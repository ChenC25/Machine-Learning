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mericasaa.sharepoint.com/sites/finance/Shared Documents/FP&amp;A/Data Analytics/Development/Chens_Sandbox/Machine Learning/"/>
    </mc:Choice>
  </mc:AlternateContent>
  <xr:revisionPtr revIDLastSave="10" documentId="13_ncr:1_{4E9CE755-85CE-47C0-B8D9-7C0DAA5A19DA}" xr6:coauthVersionLast="47" xr6:coauthVersionMax="47" xr10:uidLastSave="{5C1D3646-4796-48D8-B510-DA865CB89FA7}"/>
  <bookViews>
    <workbookView xWindow="-120" yWindow="-120" windowWidth="38640" windowHeight="21120" xr2:uid="{00000000-000D-0000-FFFF-FFFF00000000}"/>
  </bookViews>
  <sheets>
    <sheet name="Versio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126" i="1" l="1"/>
  <c r="AJ2134" i="1"/>
  <c r="AJ2132" i="1" a="1"/>
  <c r="AJ2132" i="1" s="1"/>
  <c r="AJ2130" i="1"/>
  <c r="AJ2" i="1"/>
  <c r="AK2" i="1"/>
  <c r="AK2124" i="1"/>
  <c r="AR2" i="1"/>
  <c r="AM2122" i="1"/>
  <c r="AI2122" i="1"/>
  <c r="AI2124" i="1"/>
  <c r="AH2124" i="1"/>
  <c r="AL2124" i="1"/>
  <c r="AV2132" i="1" a="1"/>
  <c r="AV2132" i="1" s="1"/>
  <c r="AR2132" i="1" a="1"/>
  <c r="AR2132" i="1" s="1"/>
  <c r="AN2132" i="1" a="1"/>
  <c r="AN2132" i="1" s="1"/>
  <c r="AU2126" i="1"/>
  <c r="AQ2126" i="1"/>
  <c r="AM2126" i="1"/>
  <c r="AI2126" i="1"/>
  <c r="AH2126" i="1"/>
  <c r="AU2124" i="1"/>
  <c r="AT2124" i="1"/>
  <c r="AQ2124" i="1"/>
  <c r="AP2124" i="1"/>
  <c r="AM2124" i="1"/>
  <c r="AQ2122" i="1"/>
  <c r="AU2122" i="1"/>
  <c r="AW1089" i="1"/>
  <c r="AW969" i="1"/>
  <c r="AW970" i="1"/>
  <c r="AW971" i="1"/>
  <c r="AW972" i="1"/>
  <c r="AW973" i="1"/>
  <c r="AW974" i="1"/>
  <c r="AW975" i="1"/>
  <c r="AW976" i="1"/>
  <c r="AW977" i="1"/>
  <c r="AW978" i="1"/>
  <c r="AW979" i="1"/>
  <c r="AW980" i="1"/>
  <c r="AW981" i="1"/>
  <c r="AW982" i="1"/>
  <c r="AW983" i="1"/>
  <c r="AW984" i="1"/>
  <c r="AW985" i="1"/>
  <c r="AW986" i="1"/>
  <c r="AW987" i="1"/>
  <c r="AW988" i="1"/>
  <c r="AW989" i="1"/>
  <c r="AW990" i="1"/>
  <c r="AW991" i="1"/>
  <c r="AW992" i="1"/>
  <c r="AW993" i="1"/>
  <c r="AW994" i="1"/>
  <c r="AW995" i="1"/>
  <c r="AW996" i="1"/>
  <c r="AW997" i="1"/>
  <c r="AW998" i="1"/>
  <c r="AW999" i="1"/>
  <c r="AW1000" i="1"/>
  <c r="AW1001" i="1"/>
  <c r="AW1002" i="1"/>
  <c r="AW1003" i="1"/>
  <c r="AW1004" i="1"/>
  <c r="AW1005" i="1"/>
  <c r="AW1006" i="1"/>
  <c r="AW1007" i="1"/>
  <c r="AW1008" i="1"/>
  <c r="AW1009" i="1"/>
  <c r="AW1010" i="1"/>
  <c r="AW1011" i="1"/>
  <c r="AW1012" i="1"/>
  <c r="AW1013" i="1"/>
  <c r="AW1014" i="1"/>
  <c r="AW1015" i="1"/>
  <c r="AW1016" i="1"/>
  <c r="AW1017" i="1"/>
  <c r="AW1018" i="1"/>
  <c r="AW1019" i="1"/>
  <c r="AW1020" i="1"/>
  <c r="AW1021" i="1"/>
  <c r="AW1022" i="1"/>
  <c r="AW1023" i="1"/>
  <c r="AW1024" i="1"/>
  <c r="AW1025" i="1"/>
  <c r="AW1026" i="1"/>
  <c r="AW1027" i="1"/>
  <c r="AW1028" i="1"/>
  <c r="AW1029" i="1"/>
  <c r="AW1030" i="1"/>
  <c r="AW1031" i="1"/>
  <c r="AW1032" i="1"/>
  <c r="AW1033" i="1"/>
  <c r="AW1034" i="1"/>
  <c r="AW1035" i="1"/>
  <c r="AW1036" i="1"/>
  <c r="AW1037" i="1"/>
  <c r="AW1038" i="1"/>
  <c r="AW1039" i="1"/>
  <c r="AW1040" i="1"/>
  <c r="AW1041" i="1"/>
  <c r="AW1042" i="1"/>
  <c r="AW1043" i="1"/>
  <c r="AW1044" i="1"/>
  <c r="AW1045" i="1"/>
  <c r="AW1046" i="1"/>
  <c r="AW1047" i="1"/>
  <c r="AW1048" i="1"/>
  <c r="AW1049" i="1"/>
  <c r="AW1050" i="1"/>
  <c r="AW1051" i="1"/>
  <c r="AW1052" i="1"/>
  <c r="AW1053" i="1"/>
  <c r="AW1054" i="1"/>
  <c r="AW1055" i="1"/>
  <c r="AW1056" i="1"/>
  <c r="AW1057" i="1"/>
  <c r="AW1058" i="1"/>
  <c r="AW1059" i="1"/>
  <c r="AW1060" i="1"/>
  <c r="AW1061" i="1"/>
  <c r="AW1062" i="1"/>
  <c r="AW1063" i="1"/>
  <c r="AW1064" i="1"/>
  <c r="AW1065" i="1"/>
  <c r="AW1066" i="1"/>
  <c r="AW1067" i="1"/>
  <c r="AW1068" i="1"/>
  <c r="AW1069" i="1"/>
  <c r="AW1070" i="1"/>
  <c r="AW1071" i="1"/>
  <c r="AW1072" i="1"/>
  <c r="AW1073" i="1"/>
  <c r="AW1074" i="1"/>
  <c r="AW1075" i="1"/>
  <c r="AW1076" i="1"/>
  <c r="AW1077" i="1"/>
  <c r="AW1078" i="1"/>
  <c r="AW1079" i="1"/>
  <c r="AW1080" i="1"/>
  <c r="AW1081" i="1"/>
  <c r="AW1082" i="1"/>
  <c r="AW1083" i="1"/>
  <c r="AW1084" i="1"/>
  <c r="AW1085" i="1"/>
  <c r="AW1086" i="1"/>
  <c r="AW1087" i="1"/>
  <c r="AW1088" i="1"/>
  <c r="AW1090" i="1"/>
  <c r="AW1091" i="1"/>
  <c r="AW1092" i="1"/>
  <c r="AW1093" i="1"/>
  <c r="AW1094" i="1"/>
  <c r="AW1095" i="1"/>
  <c r="AW1096" i="1"/>
  <c r="AW1097" i="1"/>
  <c r="AW1098" i="1"/>
  <c r="AW1099" i="1"/>
  <c r="AW1100" i="1"/>
  <c r="AW1101" i="1"/>
  <c r="AW1102" i="1"/>
  <c r="AW1103" i="1"/>
  <c r="AW1104" i="1"/>
  <c r="AW1105" i="1"/>
  <c r="AW1106" i="1"/>
  <c r="AW1107" i="1"/>
  <c r="AW1108" i="1"/>
  <c r="AW1109" i="1"/>
  <c r="AW1110" i="1"/>
  <c r="AW1111" i="1"/>
  <c r="AW1112" i="1"/>
  <c r="AW1113" i="1"/>
  <c r="AW1114" i="1"/>
  <c r="AW1115" i="1"/>
  <c r="AW1116" i="1"/>
  <c r="AW1117" i="1"/>
  <c r="AW1118" i="1"/>
  <c r="AW1119" i="1"/>
  <c r="AW1120" i="1"/>
  <c r="AW1121" i="1"/>
  <c r="AW1122" i="1"/>
  <c r="AW1123" i="1"/>
  <c r="AW1124" i="1"/>
  <c r="AW1125" i="1"/>
  <c r="AW1126" i="1"/>
  <c r="AW1127" i="1"/>
  <c r="AW1128" i="1"/>
  <c r="AW1129" i="1"/>
  <c r="AW1130" i="1"/>
  <c r="AW1131" i="1"/>
  <c r="AW1132" i="1"/>
  <c r="AW1133" i="1"/>
  <c r="AW1134" i="1"/>
  <c r="AW1135" i="1"/>
  <c r="AW1136" i="1"/>
  <c r="AW1137" i="1"/>
  <c r="AW1138" i="1"/>
  <c r="AW1139" i="1"/>
  <c r="AW1140" i="1"/>
  <c r="AW1141" i="1"/>
  <c r="AW1142" i="1"/>
  <c r="AW1143" i="1"/>
  <c r="AW1144" i="1"/>
  <c r="AW1145" i="1"/>
  <c r="AW1146" i="1"/>
  <c r="AW1147" i="1"/>
  <c r="AW1148" i="1"/>
  <c r="AW1149" i="1"/>
  <c r="AW1150" i="1"/>
  <c r="AW1151" i="1"/>
  <c r="AW1152" i="1"/>
  <c r="AW1153" i="1"/>
  <c r="AW1154" i="1"/>
  <c r="AW1155" i="1"/>
  <c r="AW1156" i="1"/>
  <c r="AW1157" i="1"/>
  <c r="AW1158" i="1"/>
  <c r="AW1159" i="1"/>
  <c r="AW1160" i="1"/>
  <c r="AW1161" i="1"/>
  <c r="AW1162" i="1"/>
  <c r="AW1163" i="1"/>
  <c r="AW1164" i="1"/>
  <c r="AW1165" i="1"/>
  <c r="AW1166" i="1"/>
  <c r="AW1167" i="1"/>
  <c r="AW1168" i="1"/>
  <c r="AW1169" i="1"/>
  <c r="AW1170" i="1"/>
  <c r="AW1171" i="1"/>
  <c r="AW1172" i="1"/>
  <c r="AW1173" i="1"/>
  <c r="AW1174" i="1"/>
  <c r="AW1175" i="1"/>
  <c r="AW1176" i="1"/>
  <c r="AW1177" i="1"/>
  <c r="AW1178" i="1"/>
  <c r="AW1179" i="1"/>
  <c r="AW1180" i="1"/>
  <c r="AW1181" i="1"/>
  <c r="AW1182" i="1"/>
  <c r="AW1183" i="1"/>
  <c r="AW1184" i="1"/>
  <c r="AW1185" i="1"/>
  <c r="AW1186" i="1"/>
  <c r="AW1187" i="1"/>
  <c r="AW1188" i="1"/>
  <c r="AW1189" i="1"/>
  <c r="AW1190" i="1"/>
  <c r="AW1191" i="1"/>
  <c r="AW1192" i="1"/>
  <c r="AW1193" i="1"/>
  <c r="AW1194" i="1"/>
  <c r="AW1195" i="1"/>
  <c r="AW1196" i="1"/>
  <c r="AW1197" i="1"/>
  <c r="AW1198" i="1"/>
  <c r="AW1199" i="1"/>
  <c r="AW1200" i="1"/>
  <c r="AW1201" i="1"/>
  <c r="AW1202" i="1"/>
  <c r="AW1203" i="1"/>
  <c r="AW1204" i="1"/>
  <c r="AW1205" i="1"/>
  <c r="AW1206" i="1"/>
  <c r="AW1207" i="1"/>
  <c r="AW1208" i="1"/>
  <c r="AW1209" i="1"/>
  <c r="AW1210" i="1"/>
  <c r="AW1211" i="1"/>
  <c r="AW1212" i="1"/>
  <c r="AW1213" i="1"/>
  <c r="AW1214" i="1"/>
  <c r="AW1215" i="1"/>
  <c r="AW1216" i="1"/>
  <c r="AW1217" i="1"/>
  <c r="AW1218" i="1"/>
  <c r="AW1219" i="1"/>
  <c r="AW1220" i="1"/>
  <c r="AW1221" i="1"/>
  <c r="AW1222" i="1"/>
  <c r="AW1223" i="1"/>
  <c r="AW1224" i="1"/>
  <c r="AW1225" i="1"/>
  <c r="AW1226" i="1"/>
  <c r="AW1227" i="1"/>
  <c r="AW1228" i="1"/>
  <c r="AW1229" i="1"/>
  <c r="AW1230" i="1"/>
  <c r="AW1231" i="1"/>
  <c r="AW1232" i="1"/>
  <c r="AW1233" i="1"/>
  <c r="AW1234" i="1"/>
  <c r="AW1235" i="1"/>
  <c r="AW1236" i="1"/>
  <c r="AW1237" i="1"/>
  <c r="AW1238" i="1"/>
  <c r="AW1239" i="1"/>
  <c r="AW1240" i="1"/>
  <c r="AW1241" i="1"/>
  <c r="AW1242" i="1"/>
  <c r="AW1243" i="1"/>
  <c r="AW1244" i="1"/>
  <c r="AW1245" i="1"/>
  <c r="AW1246" i="1"/>
  <c r="AW1247" i="1"/>
  <c r="AW1248" i="1"/>
  <c r="AW1249" i="1"/>
  <c r="AW1250" i="1"/>
  <c r="AW1251" i="1"/>
  <c r="AW1252" i="1"/>
  <c r="AW1253" i="1"/>
  <c r="AW1254" i="1"/>
  <c r="AW1255" i="1"/>
  <c r="AW1256" i="1"/>
  <c r="AW1257" i="1"/>
  <c r="AW1258" i="1"/>
  <c r="AW1259" i="1"/>
  <c r="AW1260" i="1"/>
  <c r="AW1261" i="1"/>
  <c r="AW1262" i="1"/>
  <c r="AW1263" i="1"/>
  <c r="AW1264" i="1"/>
  <c r="AW1265" i="1"/>
  <c r="AW1266" i="1"/>
  <c r="AW1267" i="1"/>
  <c r="AW1268" i="1"/>
  <c r="AW1269" i="1"/>
  <c r="AW1270" i="1"/>
  <c r="AW1271" i="1"/>
  <c r="AW1272" i="1"/>
  <c r="AW1273" i="1"/>
  <c r="AW1274" i="1"/>
  <c r="AW1275" i="1"/>
  <c r="AW1276" i="1"/>
  <c r="AW1277" i="1"/>
  <c r="AW1278" i="1"/>
  <c r="AW1279" i="1"/>
  <c r="AW1280" i="1"/>
  <c r="AW1281" i="1"/>
  <c r="AW1282" i="1"/>
  <c r="AW1283" i="1"/>
  <c r="AW1284" i="1"/>
  <c r="AW1285" i="1"/>
  <c r="AW1286" i="1"/>
  <c r="AW1287" i="1"/>
  <c r="AW1288" i="1"/>
  <c r="AW1289" i="1"/>
  <c r="AW1290" i="1"/>
  <c r="AW1291" i="1"/>
  <c r="AW1292" i="1"/>
  <c r="AW1293" i="1"/>
  <c r="AW1294" i="1"/>
  <c r="AW1295" i="1"/>
  <c r="AW1296" i="1"/>
  <c r="AW1297" i="1"/>
  <c r="AW1298" i="1"/>
  <c r="AW1299" i="1"/>
  <c r="AW1300" i="1"/>
  <c r="AW1301" i="1"/>
  <c r="AW1302" i="1"/>
  <c r="AW1303" i="1"/>
  <c r="AW1304" i="1"/>
  <c r="AW1305" i="1"/>
  <c r="AW1306" i="1"/>
  <c r="AW1307" i="1"/>
  <c r="AW1308" i="1"/>
  <c r="AW1309" i="1"/>
  <c r="AW1310" i="1"/>
  <c r="AW1311" i="1"/>
  <c r="AW1312" i="1"/>
  <c r="AW1313" i="1"/>
  <c r="AW1314" i="1"/>
  <c r="AW1315" i="1"/>
  <c r="AW1316" i="1"/>
  <c r="AW1317" i="1"/>
  <c r="AW1318" i="1"/>
  <c r="AW1319" i="1"/>
  <c r="AW1320" i="1"/>
  <c r="AW1321" i="1"/>
  <c r="AW1322" i="1"/>
  <c r="AW1323" i="1"/>
  <c r="AW1324" i="1"/>
  <c r="AW1325" i="1"/>
  <c r="AW1326" i="1"/>
  <c r="AW1327" i="1"/>
  <c r="AW1328" i="1"/>
  <c r="AW1329" i="1"/>
  <c r="AW1330" i="1"/>
  <c r="AW1331" i="1"/>
  <c r="AW1332" i="1"/>
  <c r="AW1333" i="1"/>
  <c r="AW1334" i="1"/>
  <c r="AW1335" i="1"/>
  <c r="AW1336" i="1"/>
  <c r="AW1337" i="1"/>
  <c r="AW1338" i="1"/>
  <c r="AW1339" i="1"/>
  <c r="AW1340" i="1"/>
  <c r="AW1341" i="1"/>
  <c r="AW1342" i="1"/>
  <c r="AW1343" i="1"/>
  <c r="AW1344" i="1"/>
  <c r="AW1345" i="1"/>
  <c r="AW1346" i="1"/>
  <c r="AW1347" i="1"/>
  <c r="AW1348" i="1"/>
  <c r="AW1349" i="1"/>
  <c r="AW1350" i="1"/>
  <c r="AW1351" i="1"/>
  <c r="AW1352" i="1"/>
  <c r="AW1353" i="1"/>
  <c r="AW1354" i="1"/>
  <c r="AW1355" i="1"/>
  <c r="AW1356" i="1"/>
  <c r="AW1357" i="1"/>
  <c r="AW1358" i="1"/>
  <c r="AW1359" i="1"/>
  <c r="AW1360" i="1"/>
  <c r="AW1361" i="1"/>
  <c r="AW1362" i="1"/>
  <c r="AW1363" i="1"/>
  <c r="AW1364" i="1"/>
  <c r="AW1365" i="1"/>
  <c r="AW1366" i="1"/>
  <c r="AW1367" i="1"/>
  <c r="AW1368" i="1"/>
  <c r="AW1369" i="1"/>
  <c r="AW1370" i="1"/>
  <c r="AW1371" i="1"/>
  <c r="AW1372" i="1"/>
  <c r="AW1373" i="1"/>
  <c r="AW1374" i="1"/>
  <c r="AW1375" i="1"/>
  <c r="AW1376" i="1"/>
  <c r="AW1377" i="1"/>
  <c r="AW1378" i="1"/>
  <c r="AW1379" i="1"/>
  <c r="AW1380" i="1"/>
  <c r="AW1381" i="1"/>
  <c r="AW1382" i="1"/>
  <c r="AW1383" i="1"/>
  <c r="AW1384" i="1"/>
  <c r="AW1385" i="1"/>
  <c r="AW1386" i="1"/>
  <c r="AW1387" i="1"/>
  <c r="AW1388" i="1"/>
  <c r="AW1389" i="1"/>
  <c r="AW1390" i="1"/>
  <c r="AW1391" i="1"/>
  <c r="AW1392" i="1"/>
  <c r="AW1393" i="1"/>
  <c r="AW1394" i="1"/>
  <c r="AW1395" i="1"/>
  <c r="AW1396" i="1"/>
  <c r="AW1397" i="1"/>
  <c r="AW1398" i="1"/>
  <c r="AW1399" i="1"/>
  <c r="AW1400" i="1"/>
  <c r="AW1401" i="1"/>
  <c r="AW1402" i="1"/>
  <c r="AW1403" i="1"/>
  <c r="AW1404" i="1"/>
  <c r="AW1405" i="1"/>
  <c r="AW1406" i="1"/>
  <c r="AW1407" i="1"/>
  <c r="AW1408" i="1"/>
  <c r="AW1409" i="1"/>
  <c r="AW1410" i="1"/>
  <c r="AW1411" i="1"/>
  <c r="AW1412" i="1"/>
  <c r="AW1413" i="1"/>
  <c r="AW1414" i="1"/>
  <c r="AW1415" i="1"/>
  <c r="AW1416" i="1"/>
  <c r="AW1417" i="1"/>
  <c r="AW1418" i="1"/>
  <c r="AW1419" i="1"/>
  <c r="AW1420" i="1"/>
  <c r="AW1421" i="1"/>
  <c r="AW1422" i="1"/>
  <c r="AW1423" i="1"/>
  <c r="AW1424" i="1"/>
  <c r="AW1425" i="1"/>
  <c r="AW1426" i="1"/>
  <c r="AW1427" i="1"/>
  <c r="AW1428" i="1"/>
  <c r="AW1429" i="1"/>
  <c r="AW1430" i="1"/>
  <c r="AW1431" i="1"/>
  <c r="AW1432" i="1"/>
  <c r="AW1433" i="1"/>
  <c r="AW1434" i="1"/>
  <c r="AW1435" i="1"/>
  <c r="AW1436" i="1"/>
  <c r="AW1437" i="1"/>
  <c r="AW1438" i="1"/>
  <c r="AW1439" i="1"/>
  <c r="AW1440" i="1"/>
  <c r="AW1441" i="1"/>
  <c r="AW1442" i="1"/>
  <c r="AW1443" i="1"/>
  <c r="AW1444" i="1"/>
  <c r="AW1445" i="1"/>
  <c r="AW1446" i="1"/>
  <c r="AW1447" i="1"/>
  <c r="AW1448" i="1"/>
  <c r="AW1449" i="1"/>
  <c r="AW1450" i="1"/>
  <c r="AW1451" i="1"/>
  <c r="AW1452" i="1"/>
  <c r="AW1453" i="1"/>
  <c r="AW1454" i="1"/>
  <c r="AW1455" i="1"/>
  <c r="AW1456" i="1"/>
  <c r="AW1457" i="1"/>
  <c r="AW1458" i="1"/>
  <c r="AW1459" i="1"/>
  <c r="AW1460" i="1"/>
  <c r="AW1461" i="1"/>
  <c r="AW1462" i="1"/>
  <c r="AW1463" i="1"/>
  <c r="AW1464" i="1"/>
  <c r="AW1465" i="1"/>
  <c r="AW1466" i="1"/>
  <c r="AW1467" i="1"/>
  <c r="AW1468" i="1"/>
  <c r="AW1469" i="1"/>
  <c r="AW1470" i="1"/>
  <c r="AW1471" i="1"/>
  <c r="AW1472" i="1"/>
  <c r="AW1473" i="1"/>
  <c r="AW1474" i="1"/>
  <c r="AW1475" i="1"/>
  <c r="AW1476" i="1"/>
  <c r="AW1477" i="1"/>
  <c r="AW1478" i="1"/>
  <c r="AW1479" i="1"/>
  <c r="AW1480" i="1"/>
  <c r="AW1481" i="1"/>
  <c r="AW1482" i="1"/>
  <c r="AW1483" i="1"/>
  <c r="AW1484" i="1"/>
  <c r="AW1485" i="1"/>
  <c r="AW1486" i="1"/>
  <c r="AW1487" i="1"/>
  <c r="AW1488" i="1"/>
  <c r="AW1489" i="1"/>
  <c r="AW1490" i="1"/>
  <c r="AW1491" i="1"/>
  <c r="AW1492" i="1"/>
  <c r="AW1493" i="1"/>
  <c r="AW1494" i="1"/>
  <c r="AW1495" i="1"/>
  <c r="AW1496" i="1"/>
  <c r="AW1497" i="1"/>
  <c r="AW1498" i="1"/>
  <c r="AW1499" i="1"/>
  <c r="AW1500" i="1"/>
  <c r="AW1501" i="1"/>
  <c r="AW1502" i="1"/>
  <c r="AW1503" i="1"/>
  <c r="AW1504" i="1"/>
  <c r="AW1505" i="1"/>
  <c r="AW1506" i="1"/>
  <c r="AW1507" i="1"/>
  <c r="AW1508" i="1"/>
  <c r="AW1509" i="1"/>
  <c r="AW1510" i="1"/>
  <c r="AW1511" i="1"/>
  <c r="AW1512" i="1"/>
  <c r="AW1513" i="1"/>
  <c r="AW1514" i="1"/>
  <c r="AW1515" i="1"/>
  <c r="AW1516" i="1"/>
  <c r="AW1517" i="1"/>
  <c r="AW1518" i="1"/>
  <c r="AW1519" i="1"/>
  <c r="AW1520" i="1"/>
  <c r="AW1521" i="1"/>
  <c r="AW1522" i="1"/>
  <c r="AW1523" i="1"/>
  <c r="AW1524" i="1"/>
  <c r="AW1525" i="1"/>
  <c r="AW1526" i="1"/>
  <c r="AW1527" i="1"/>
  <c r="AW1528" i="1"/>
  <c r="AW1529" i="1"/>
  <c r="AW1530" i="1"/>
  <c r="AW1531" i="1"/>
  <c r="AW1532" i="1"/>
  <c r="AW1533" i="1"/>
  <c r="AW1534" i="1"/>
  <c r="AW1535" i="1"/>
  <c r="AW1536" i="1"/>
  <c r="AW1537" i="1"/>
  <c r="AW1538" i="1"/>
  <c r="AW1539" i="1"/>
  <c r="AW1540" i="1"/>
  <c r="AW1541" i="1"/>
  <c r="AW1542" i="1"/>
  <c r="AW1543" i="1"/>
  <c r="AW1544" i="1"/>
  <c r="AW1545" i="1"/>
  <c r="AW1546" i="1"/>
  <c r="AW1547" i="1"/>
  <c r="AW1548" i="1"/>
  <c r="AW1549" i="1"/>
  <c r="AW1550" i="1"/>
  <c r="AW1551" i="1"/>
  <c r="AW1552" i="1"/>
  <c r="AW1553" i="1"/>
  <c r="AW1554" i="1"/>
  <c r="AW1555" i="1"/>
  <c r="AW1556" i="1"/>
  <c r="AW1557" i="1"/>
  <c r="AW1558" i="1"/>
  <c r="AW1559" i="1"/>
  <c r="AW1560" i="1"/>
  <c r="AW1561" i="1"/>
  <c r="AW1562" i="1"/>
  <c r="AW1563" i="1"/>
  <c r="AW1564" i="1"/>
  <c r="AW1565" i="1"/>
  <c r="AW1566" i="1"/>
  <c r="AW1567" i="1"/>
  <c r="AW1568" i="1"/>
  <c r="AW1569" i="1"/>
  <c r="AW1570" i="1"/>
  <c r="AW1571" i="1"/>
  <c r="AW1572" i="1"/>
  <c r="AW1573" i="1"/>
  <c r="AW1574" i="1"/>
  <c r="AW1575" i="1"/>
  <c r="AW1576" i="1"/>
  <c r="AW1577" i="1"/>
  <c r="AW1578" i="1"/>
  <c r="AW1579" i="1"/>
  <c r="AW1580" i="1"/>
  <c r="AW1581" i="1"/>
  <c r="AW1582" i="1"/>
  <c r="AW1583" i="1"/>
  <c r="AW1584" i="1"/>
  <c r="AW1585" i="1"/>
  <c r="AW1586" i="1"/>
  <c r="AW1587" i="1"/>
  <c r="AW1588" i="1"/>
  <c r="AW1589" i="1"/>
  <c r="AW1590" i="1"/>
  <c r="AW1591" i="1"/>
  <c r="AW1592" i="1"/>
  <c r="AW1593" i="1"/>
  <c r="AW1594" i="1"/>
  <c r="AW1595" i="1"/>
  <c r="AW1596" i="1"/>
  <c r="AW1597" i="1"/>
  <c r="AW1598" i="1"/>
  <c r="AW1599" i="1"/>
  <c r="AW1600" i="1"/>
  <c r="AW1601" i="1"/>
  <c r="AW1602" i="1"/>
  <c r="AW1603" i="1"/>
  <c r="AW1604" i="1"/>
  <c r="AW1605" i="1"/>
  <c r="AW1606" i="1"/>
  <c r="AW1607" i="1"/>
  <c r="AW1608" i="1"/>
  <c r="AW1609" i="1"/>
  <c r="AW1610" i="1"/>
  <c r="AW1611" i="1"/>
  <c r="AW1612" i="1"/>
  <c r="AW1613" i="1"/>
  <c r="AW1614" i="1"/>
  <c r="AW1615" i="1"/>
  <c r="AW1616" i="1"/>
  <c r="AW1617" i="1"/>
  <c r="AW1618" i="1"/>
  <c r="AW1619" i="1"/>
  <c r="AW1620" i="1"/>
  <c r="AW1621" i="1"/>
  <c r="AW1622" i="1"/>
  <c r="AW1623" i="1"/>
  <c r="AW1624" i="1"/>
  <c r="AW1625" i="1"/>
  <c r="AW1626" i="1"/>
  <c r="AW1627" i="1"/>
  <c r="AW1628" i="1"/>
  <c r="AW1629" i="1"/>
  <c r="AW1630" i="1"/>
  <c r="AW1631" i="1"/>
  <c r="AW1632" i="1"/>
  <c r="AW1633" i="1"/>
  <c r="AW1634" i="1"/>
  <c r="AW1635" i="1"/>
  <c r="AW1636" i="1"/>
  <c r="AW1637" i="1"/>
  <c r="AW1638" i="1"/>
  <c r="AW1639" i="1"/>
  <c r="AW1640" i="1"/>
  <c r="AW1641" i="1"/>
  <c r="AW1642" i="1"/>
  <c r="AW1643" i="1"/>
  <c r="AW1644" i="1"/>
  <c r="AW1645" i="1"/>
  <c r="AW1646" i="1"/>
  <c r="AW1647" i="1"/>
  <c r="AW1648" i="1"/>
  <c r="AW1649" i="1"/>
  <c r="AW1650" i="1"/>
  <c r="AW1651" i="1"/>
  <c r="AW1652" i="1"/>
  <c r="AW1653" i="1"/>
  <c r="AW1654" i="1"/>
  <c r="AW1655" i="1"/>
  <c r="AW1656" i="1"/>
  <c r="AW1657" i="1"/>
  <c r="AW1658" i="1"/>
  <c r="AW1659" i="1"/>
  <c r="AW1660" i="1"/>
  <c r="AW1661" i="1"/>
  <c r="AW1662" i="1"/>
  <c r="AW1663" i="1"/>
  <c r="AW1664" i="1"/>
  <c r="AW1665" i="1"/>
  <c r="AW1666" i="1"/>
  <c r="AW1667" i="1"/>
  <c r="AW1668" i="1"/>
  <c r="AW1669" i="1"/>
  <c r="AW1670" i="1"/>
  <c r="AW1671" i="1"/>
  <c r="AW1672" i="1"/>
  <c r="AW1673" i="1"/>
  <c r="AW1674" i="1"/>
  <c r="AW1675" i="1"/>
  <c r="AW1676" i="1"/>
  <c r="AW1677" i="1"/>
  <c r="AW1678" i="1"/>
  <c r="AW1679" i="1"/>
  <c r="AW1680" i="1"/>
  <c r="AW1681" i="1"/>
  <c r="AW1682" i="1"/>
  <c r="AW1683" i="1"/>
  <c r="AW1684" i="1"/>
  <c r="AW1685" i="1"/>
  <c r="AW1686" i="1"/>
  <c r="AW1687" i="1"/>
  <c r="AW1688" i="1"/>
  <c r="AW1689" i="1"/>
  <c r="AW1690" i="1"/>
  <c r="AW1691" i="1"/>
  <c r="AW1692" i="1"/>
  <c r="AW1693" i="1"/>
  <c r="AW1694" i="1"/>
  <c r="AW1695" i="1"/>
  <c r="AW1696" i="1"/>
  <c r="AW1697" i="1"/>
  <c r="AW1698" i="1"/>
  <c r="AW1699" i="1"/>
  <c r="AW1700" i="1"/>
  <c r="AW1701" i="1"/>
  <c r="AW1702" i="1"/>
  <c r="AW1703" i="1"/>
  <c r="AW1704" i="1"/>
  <c r="AW1705" i="1"/>
  <c r="AW1706" i="1"/>
  <c r="AW1707" i="1"/>
  <c r="AW1708" i="1"/>
  <c r="AW1709" i="1"/>
  <c r="AW1710" i="1"/>
  <c r="AW1711" i="1"/>
  <c r="AW1712" i="1"/>
  <c r="AW1713" i="1"/>
  <c r="AW1714" i="1"/>
  <c r="AW1715" i="1"/>
  <c r="AW1716" i="1"/>
  <c r="AW1717" i="1"/>
  <c r="AW1718" i="1"/>
  <c r="AW1719" i="1"/>
  <c r="AW1720" i="1"/>
  <c r="AW1721" i="1"/>
  <c r="AW1722" i="1"/>
  <c r="AW1723" i="1"/>
  <c r="AW1724" i="1"/>
  <c r="AW1725" i="1"/>
  <c r="AW1726" i="1"/>
  <c r="AW1727" i="1"/>
  <c r="AW1728" i="1"/>
  <c r="AW1729" i="1"/>
  <c r="AW1730" i="1"/>
  <c r="AW1731" i="1"/>
  <c r="AW1732" i="1"/>
  <c r="AW1733" i="1"/>
  <c r="AW1734" i="1"/>
  <c r="AW1735" i="1"/>
  <c r="AW1736" i="1"/>
  <c r="AW1737" i="1"/>
  <c r="AW1738" i="1"/>
  <c r="AW1739" i="1"/>
  <c r="AW1740" i="1"/>
  <c r="AW1741" i="1"/>
  <c r="AW1742" i="1"/>
  <c r="AW1743" i="1"/>
  <c r="AW1744" i="1"/>
  <c r="AW1745" i="1"/>
  <c r="AW1746" i="1"/>
  <c r="AW1747" i="1"/>
  <c r="AW1748" i="1"/>
  <c r="AW1749" i="1"/>
  <c r="AW1750" i="1"/>
  <c r="AW1751" i="1"/>
  <c r="AW1752" i="1"/>
  <c r="AW1753" i="1"/>
  <c r="AW1754" i="1"/>
  <c r="AW1755" i="1"/>
  <c r="AW1756" i="1"/>
  <c r="AW1757" i="1"/>
  <c r="AW1758" i="1"/>
  <c r="AW1759" i="1"/>
  <c r="AW1760" i="1"/>
  <c r="AW1761" i="1"/>
  <c r="AW1762" i="1"/>
  <c r="AW1763" i="1"/>
  <c r="AW1764" i="1"/>
  <c r="AW1765" i="1"/>
  <c r="AW1766" i="1"/>
  <c r="AW1767" i="1"/>
  <c r="AW1768" i="1"/>
  <c r="AW1769" i="1"/>
  <c r="AW1770" i="1"/>
  <c r="AW1771" i="1"/>
  <c r="AW1772" i="1"/>
  <c r="AW1773" i="1"/>
  <c r="AW1774" i="1"/>
  <c r="AW1775" i="1"/>
  <c r="AW1776" i="1"/>
  <c r="AW1777" i="1"/>
  <c r="AW1778" i="1"/>
  <c r="AW1779" i="1"/>
  <c r="AW1780" i="1"/>
  <c r="AW1781" i="1"/>
  <c r="AW1782" i="1"/>
  <c r="AW1783" i="1"/>
  <c r="AW1784" i="1"/>
  <c r="AW1785" i="1"/>
  <c r="AW1786" i="1"/>
  <c r="AW1787" i="1"/>
  <c r="AW1788" i="1"/>
  <c r="AW1789" i="1"/>
  <c r="AW1790" i="1"/>
  <c r="AW1791" i="1"/>
  <c r="AW1792" i="1"/>
  <c r="AW1793" i="1"/>
  <c r="AW1794" i="1"/>
  <c r="AW1795" i="1"/>
  <c r="AW1796" i="1"/>
  <c r="AW1797" i="1"/>
  <c r="AW1798" i="1"/>
  <c r="AW1799" i="1"/>
  <c r="AW1800" i="1"/>
  <c r="AW1801" i="1"/>
  <c r="AW1802" i="1"/>
  <c r="AW1803" i="1"/>
  <c r="AW1804" i="1"/>
  <c r="AW1805" i="1"/>
  <c r="AW1806" i="1"/>
  <c r="AW1807" i="1"/>
  <c r="AW1808" i="1"/>
  <c r="AW1809" i="1"/>
  <c r="AW1810" i="1"/>
  <c r="AW1811" i="1"/>
  <c r="AW1812" i="1"/>
  <c r="AW1813" i="1"/>
  <c r="AW1814" i="1"/>
  <c r="AW1815" i="1"/>
  <c r="AW1816" i="1"/>
  <c r="AW1817" i="1"/>
  <c r="AW1818" i="1"/>
  <c r="AW1819" i="1"/>
  <c r="AW1820" i="1"/>
  <c r="AW1821" i="1"/>
  <c r="AW1822" i="1"/>
  <c r="AW1823" i="1"/>
  <c r="AW1824" i="1"/>
  <c r="AW1825" i="1"/>
  <c r="AW1826" i="1"/>
  <c r="AW1827" i="1"/>
  <c r="AW1828" i="1"/>
  <c r="AW1829" i="1"/>
  <c r="AW1830" i="1"/>
  <c r="AW1831" i="1"/>
  <c r="AW1832" i="1"/>
  <c r="AW1833" i="1"/>
  <c r="AW1834" i="1"/>
  <c r="AW1835" i="1"/>
  <c r="AW1836" i="1"/>
  <c r="AW1837" i="1"/>
  <c r="AW1838" i="1"/>
  <c r="AW1839" i="1"/>
  <c r="AW1840" i="1"/>
  <c r="AW1841" i="1"/>
  <c r="AW1842" i="1"/>
  <c r="AW1843" i="1"/>
  <c r="AW1844" i="1"/>
  <c r="AW1845" i="1"/>
  <c r="AW1846" i="1"/>
  <c r="AW1847" i="1"/>
  <c r="AW1848" i="1"/>
  <c r="AW1849" i="1"/>
  <c r="AW1850" i="1"/>
  <c r="AW1851" i="1"/>
  <c r="AW1852" i="1"/>
  <c r="AW1853" i="1"/>
  <c r="AW1854" i="1"/>
  <c r="AW1855" i="1"/>
  <c r="AW1856" i="1"/>
  <c r="AW1857" i="1"/>
  <c r="AW1858" i="1"/>
  <c r="AW1859" i="1"/>
  <c r="AW1860" i="1"/>
  <c r="AW1861" i="1"/>
  <c r="AW1862" i="1"/>
  <c r="AW1863" i="1"/>
  <c r="AW1864" i="1"/>
  <c r="AW1865" i="1"/>
  <c r="AW1866" i="1"/>
  <c r="AW1867" i="1"/>
  <c r="AW1868" i="1"/>
  <c r="AW1869" i="1"/>
  <c r="AW1870" i="1"/>
  <c r="AW1871" i="1"/>
  <c r="AW1872" i="1"/>
  <c r="AW1873" i="1"/>
  <c r="AW1874" i="1"/>
  <c r="AW1875" i="1"/>
  <c r="AW1876" i="1"/>
  <c r="AW1877" i="1"/>
  <c r="AW1878" i="1"/>
  <c r="AW1879" i="1"/>
  <c r="AW1880" i="1"/>
  <c r="AW1881" i="1"/>
  <c r="AW1882" i="1"/>
  <c r="AW1883" i="1"/>
  <c r="AW1884" i="1"/>
  <c r="AW1885" i="1"/>
  <c r="AW1886" i="1"/>
  <c r="AW1887" i="1"/>
  <c r="AW1888" i="1"/>
  <c r="AW1889" i="1"/>
  <c r="AW1890" i="1"/>
  <c r="AW1891" i="1"/>
  <c r="AW1892" i="1"/>
  <c r="AW1893" i="1"/>
  <c r="AW1894" i="1"/>
  <c r="AW1895" i="1"/>
  <c r="AW1896" i="1"/>
  <c r="AW1897" i="1"/>
  <c r="AW1898" i="1"/>
  <c r="AW1899" i="1"/>
  <c r="AW1900" i="1"/>
  <c r="AW1901" i="1"/>
  <c r="AW1902" i="1"/>
  <c r="AW1903" i="1"/>
  <c r="AW1904" i="1"/>
  <c r="AW1905" i="1"/>
  <c r="AW1906" i="1"/>
  <c r="AW1907" i="1"/>
  <c r="AW1908" i="1"/>
  <c r="AW1909" i="1"/>
  <c r="AW1910" i="1"/>
  <c r="AW1911" i="1"/>
  <c r="AW1912" i="1"/>
  <c r="AW1913" i="1"/>
  <c r="AW1914" i="1"/>
  <c r="AW1915" i="1"/>
  <c r="AW1916" i="1"/>
  <c r="AW1917" i="1"/>
  <c r="AW1918" i="1"/>
  <c r="AW1919" i="1"/>
  <c r="AW1920" i="1"/>
  <c r="AW1921" i="1"/>
  <c r="AW1922" i="1"/>
  <c r="AW1923" i="1"/>
  <c r="AW1924" i="1"/>
  <c r="AW1925" i="1"/>
  <c r="AW1926" i="1"/>
  <c r="AW1927" i="1"/>
  <c r="AW1928" i="1"/>
  <c r="AW1929" i="1"/>
  <c r="AW1930" i="1"/>
  <c r="AW1931" i="1"/>
  <c r="AW1932" i="1"/>
  <c r="AW1933" i="1"/>
  <c r="AW1934" i="1"/>
  <c r="AW1935" i="1"/>
  <c r="AW1936" i="1"/>
  <c r="AW1937" i="1"/>
  <c r="AW1938" i="1"/>
  <c r="AW1939" i="1"/>
  <c r="AW1940" i="1"/>
  <c r="AW1941" i="1"/>
  <c r="AW1942" i="1"/>
  <c r="AW1943" i="1"/>
  <c r="AW1944" i="1"/>
  <c r="AW1945" i="1"/>
  <c r="AW1946" i="1"/>
  <c r="AW1947" i="1"/>
  <c r="AW1948" i="1"/>
  <c r="AW1949" i="1"/>
  <c r="AW1950" i="1"/>
  <c r="AW1951" i="1"/>
  <c r="AW1952" i="1"/>
  <c r="AW1953" i="1"/>
  <c r="AW1954" i="1"/>
  <c r="AW1955" i="1"/>
  <c r="AW1956" i="1"/>
  <c r="AW1957" i="1"/>
  <c r="AW1958" i="1"/>
  <c r="AW1959" i="1"/>
  <c r="AW1960" i="1"/>
  <c r="AW1961" i="1"/>
  <c r="AW1962" i="1"/>
  <c r="AW1963" i="1"/>
  <c r="AW1964" i="1"/>
  <c r="AW1965" i="1"/>
  <c r="AW1966" i="1"/>
  <c r="AW1967" i="1"/>
  <c r="AW1968" i="1"/>
  <c r="AW1969" i="1"/>
  <c r="AW1970" i="1"/>
  <c r="AW1971" i="1"/>
  <c r="AW1972" i="1"/>
  <c r="AW1973" i="1"/>
  <c r="AW1974" i="1"/>
  <c r="AW1975" i="1"/>
  <c r="AW1976" i="1"/>
  <c r="AW1977" i="1"/>
  <c r="AW1978" i="1"/>
  <c r="AW1979" i="1"/>
  <c r="AW1980" i="1"/>
  <c r="AW1981" i="1"/>
  <c r="AW1982" i="1"/>
  <c r="AW1983" i="1"/>
  <c r="AW1984" i="1"/>
  <c r="AW1985" i="1"/>
  <c r="AW1986" i="1"/>
  <c r="AW1987" i="1"/>
  <c r="AW1988" i="1"/>
  <c r="AW1989" i="1"/>
  <c r="AW1990" i="1"/>
  <c r="AW1991" i="1"/>
  <c r="AW1992" i="1"/>
  <c r="AW1993" i="1"/>
  <c r="AW1994" i="1"/>
  <c r="AW1995" i="1"/>
  <c r="AW1996" i="1"/>
  <c r="AW1997" i="1"/>
  <c r="AW1998" i="1"/>
  <c r="AW1999" i="1"/>
  <c r="AW2000" i="1"/>
  <c r="AW2001" i="1"/>
  <c r="AW2002" i="1"/>
  <c r="AW2003" i="1"/>
  <c r="AW2004" i="1"/>
  <c r="AW2005" i="1"/>
  <c r="AW2006" i="1"/>
  <c r="AW2007" i="1"/>
  <c r="AW2008" i="1"/>
  <c r="AW2009" i="1"/>
  <c r="AW2010" i="1"/>
  <c r="AW2011" i="1"/>
  <c r="AW2012" i="1"/>
  <c r="AW2013" i="1"/>
  <c r="AW2014" i="1"/>
  <c r="AW2015" i="1"/>
  <c r="AW2016" i="1"/>
  <c r="AW2017" i="1"/>
  <c r="AW2018" i="1"/>
  <c r="AW2019" i="1"/>
  <c r="AW2020" i="1"/>
  <c r="AW2021" i="1"/>
  <c r="AW2022" i="1"/>
  <c r="AW2023" i="1"/>
  <c r="AW2024" i="1"/>
  <c r="AW2025" i="1"/>
  <c r="AW2026" i="1"/>
  <c r="AW2027" i="1"/>
  <c r="AW2028" i="1"/>
  <c r="AW2029" i="1"/>
  <c r="AW2030" i="1"/>
  <c r="AW2031" i="1"/>
  <c r="AW2032" i="1"/>
  <c r="AW2033" i="1"/>
  <c r="AW2034" i="1"/>
  <c r="AW2035" i="1"/>
  <c r="AW2036" i="1"/>
  <c r="AW2037" i="1"/>
  <c r="AW2038" i="1"/>
  <c r="AW2039" i="1"/>
  <c r="AW2040" i="1"/>
  <c r="AW2041" i="1"/>
  <c r="AW2042" i="1"/>
  <c r="AW2043" i="1"/>
  <c r="AW2044" i="1"/>
  <c r="AW2045" i="1"/>
  <c r="AW2046" i="1"/>
  <c r="AW2047" i="1"/>
  <c r="AW2048" i="1"/>
  <c r="AW2049" i="1"/>
  <c r="AW2050" i="1"/>
  <c r="AW2051" i="1"/>
  <c r="AW2052" i="1"/>
  <c r="AW2053" i="1"/>
  <c r="AW2054" i="1"/>
  <c r="AW2055" i="1"/>
  <c r="AW2056" i="1"/>
  <c r="AW2057" i="1"/>
  <c r="AW2058" i="1"/>
  <c r="AW2059" i="1"/>
  <c r="AW2060" i="1"/>
  <c r="AW2061" i="1"/>
  <c r="AW2062" i="1"/>
  <c r="AW2063" i="1"/>
  <c r="AW2064" i="1"/>
  <c r="AW2065" i="1"/>
  <c r="AW2066" i="1"/>
  <c r="AW2067" i="1"/>
  <c r="AW2068" i="1"/>
  <c r="AW2069" i="1"/>
  <c r="AW2070" i="1"/>
  <c r="AW2071" i="1"/>
  <c r="AW2072" i="1"/>
  <c r="AW2073" i="1"/>
  <c r="AW2074" i="1"/>
  <c r="AW2075" i="1"/>
  <c r="AW2076" i="1"/>
  <c r="AW2077" i="1"/>
  <c r="AW2078" i="1"/>
  <c r="AW2079" i="1"/>
  <c r="AW2080" i="1"/>
  <c r="AW2081" i="1"/>
  <c r="AW2082" i="1"/>
  <c r="AW2083" i="1"/>
  <c r="AW2084" i="1"/>
  <c r="AW2085" i="1"/>
  <c r="AW2086" i="1"/>
  <c r="AW2087" i="1"/>
  <c r="AW2088" i="1"/>
  <c r="AW2089" i="1"/>
  <c r="AW2090" i="1"/>
  <c r="AW2091" i="1"/>
  <c r="AW2092" i="1"/>
  <c r="AW2093" i="1"/>
  <c r="AW2094" i="1"/>
  <c r="AW2095" i="1"/>
  <c r="AW2096" i="1"/>
  <c r="AW2097" i="1"/>
  <c r="AW2098" i="1"/>
  <c r="AW2099" i="1"/>
  <c r="AW2100" i="1"/>
  <c r="AW2101" i="1"/>
  <c r="AW2102" i="1"/>
  <c r="AW2103" i="1"/>
  <c r="AW2104" i="1"/>
  <c r="AW2105" i="1"/>
  <c r="AW2106" i="1"/>
  <c r="AW2107" i="1"/>
  <c r="AW2108" i="1"/>
  <c r="AW2109" i="1"/>
  <c r="AW2110" i="1"/>
  <c r="AW2111" i="1"/>
  <c r="AW2112" i="1"/>
  <c r="AW2113" i="1"/>
  <c r="AW2114" i="1"/>
  <c r="AW2115" i="1"/>
  <c r="AW2116" i="1"/>
  <c r="AW2117" i="1"/>
  <c r="AW2118" i="1"/>
  <c r="AW2119" i="1"/>
  <c r="AW963" i="1"/>
  <c r="AW964" i="1"/>
  <c r="AW965" i="1"/>
  <c r="AW966" i="1"/>
  <c r="AW967" i="1"/>
  <c r="AW968" i="1"/>
  <c r="AV979" i="1"/>
  <c r="AV980" i="1"/>
  <c r="AV981" i="1"/>
  <c r="AV982" i="1"/>
  <c r="AV983" i="1"/>
  <c r="AV984" i="1"/>
  <c r="AV985" i="1"/>
  <c r="AV986" i="1"/>
  <c r="AV987" i="1"/>
  <c r="AV988" i="1"/>
  <c r="AV989" i="1"/>
  <c r="AV990" i="1"/>
  <c r="AV991" i="1"/>
  <c r="AV992" i="1"/>
  <c r="AV993" i="1"/>
  <c r="AV994" i="1"/>
  <c r="AV995" i="1"/>
  <c r="AV996" i="1"/>
  <c r="AV997" i="1"/>
  <c r="AV998" i="1"/>
  <c r="AV999" i="1"/>
  <c r="AV1000" i="1"/>
  <c r="AV1001" i="1"/>
  <c r="AV1002" i="1"/>
  <c r="AV1003" i="1"/>
  <c r="AV1004" i="1"/>
  <c r="AV1005" i="1"/>
  <c r="AV1006" i="1"/>
  <c r="AV1007" i="1"/>
  <c r="AV1008" i="1"/>
  <c r="AV1009" i="1"/>
  <c r="AV1010" i="1"/>
  <c r="AV1011" i="1"/>
  <c r="AV1012" i="1"/>
  <c r="AV1013" i="1"/>
  <c r="AV1014" i="1"/>
  <c r="AV1015" i="1"/>
  <c r="AV1016" i="1"/>
  <c r="AV1017" i="1"/>
  <c r="AV1018" i="1"/>
  <c r="AV1019" i="1"/>
  <c r="AV1020" i="1"/>
  <c r="AV1021" i="1"/>
  <c r="AV1022" i="1"/>
  <c r="AV1023" i="1"/>
  <c r="AV1024" i="1"/>
  <c r="AV1025" i="1"/>
  <c r="AV1026" i="1"/>
  <c r="AV1027" i="1"/>
  <c r="AV1028" i="1"/>
  <c r="AV1029" i="1"/>
  <c r="AV1030" i="1"/>
  <c r="AV1031" i="1"/>
  <c r="AV1032" i="1"/>
  <c r="AV1033" i="1"/>
  <c r="AV1034" i="1"/>
  <c r="AV1035" i="1"/>
  <c r="AV1036" i="1"/>
  <c r="AV1037" i="1"/>
  <c r="AV1038" i="1"/>
  <c r="AV1039" i="1"/>
  <c r="AV1040" i="1"/>
  <c r="AV1041" i="1"/>
  <c r="AV1042" i="1"/>
  <c r="AV1043" i="1"/>
  <c r="AV1044" i="1"/>
  <c r="AV1045" i="1"/>
  <c r="AV1046" i="1"/>
  <c r="AV1047" i="1"/>
  <c r="AV1048" i="1"/>
  <c r="AV1049" i="1"/>
  <c r="AV1050" i="1"/>
  <c r="AV1051" i="1"/>
  <c r="AV1052" i="1"/>
  <c r="AV1053" i="1"/>
  <c r="AV1054" i="1"/>
  <c r="AV1055" i="1"/>
  <c r="AV1056" i="1"/>
  <c r="AV1057" i="1"/>
  <c r="AV1058" i="1"/>
  <c r="AV1059" i="1"/>
  <c r="AV1060" i="1"/>
  <c r="AV1061" i="1"/>
  <c r="AV1062" i="1"/>
  <c r="AV1063" i="1"/>
  <c r="AV1064" i="1"/>
  <c r="AV1065" i="1"/>
  <c r="AV1066" i="1"/>
  <c r="AV1067" i="1"/>
  <c r="AV1068" i="1"/>
  <c r="AV1069" i="1"/>
  <c r="AV1070" i="1"/>
  <c r="AV1071" i="1"/>
  <c r="AV1072" i="1"/>
  <c r="AV1073" i="1"/>
  <c r="AV1074" i="1"/>
  <c r="AV1075" i="1"/>
  <c r="AV1076" i="1"/>
  <c r="AV1077" i="1"/>
  <c r="AV1078" i="1"/>
  <c r="AV1079" i="1"/>
  <c r="AV1080" i="1"/>
  <c r="AV1081" i="1"/>
  <c r="AV1082" i="1"/>
  <c r="AV1083" i="1"/>
  <c r="AV1084" i="1"/>
  <c r="AV1085" i="1"/>
  <c r="AV1086" i="1"/>
  <c r="AV1087" i="1"/>
  <c r="AV1088" i="1"/>
  <c r="AV1089" i="1"/>
  <c r="AV1090" i="1"/>
  <c r="AV1091" i="1"/>
  <c r="AV1092" i="1"/>
  <c r="AV1093" i="1"/>
  <c r="AV1094" i="1"/>
  <c r="AV1095" i="1"/>
  <c r="AV1096" i="1"/>
  <c r="AV1097" i="1"/>
  <c r="AV1098" i="1"/>
  <c r="AV1099" i="1"/>
  <c r="AV1100" i="1"/>
  <c r="AV1101" i="1"/>
  <c r="AV1102" i="1"/>
  <c r="AV1103" i="1"/>
  <c r="AV1104" i="1"/>
  <c r="AV1105" i="1"/>
  <c r="AV1106" i="1"/>
  <c r="AV1107" i="1"/>
  <c r="AV1108" i="1"/>
  <c r="AV1109" i="1"/>
  <c r="AV1110" i="1"/>
  <c r="AV1111" i="1"/>
  <c r="AV1112" i="1"/>
  <c r="AV1113" i="1"/>
  <c r="AV1114" i="1"/>
  <c r="AV1115" i="1"/>
  <c r="AV1116" i="1"/>
  <c r="AV1117" i="1"/>
  <c r="AV1118" i="1"/>
  <c r="AV1119" i="1"/>
  <c r="AV1120" i="1"/>
  <c r="AV1121" i="1"/>
  <c r="AV1122" i="1"/>
  <c r="AV1123" i="1"/>
  <c r="AV1124" i="1"/>
  <c r="AV1125" i="1"/>
  <c r="AV1126" i="1"/>
  <c r="AV1127" i="1"/>
  <c r="AV1128" i="1"/>
  <c r="AV1129" i="1"/>
  <c r="AV1130" i="1"/>
  <c r="AV1131" i="1"/>
  <c r="AV1132" i="1"/>
  <c r="AV1133" i="1"/>
  <c r="AV1134" i="1"/>
  <c r="AV1135" i="1"/>
  <c r="AV1136" i="1"/>
  <c r="AV1137" i="1"/>
  <c r="AV1138" i="1"/>
  <c r="AV1139" i="1"/>
  <c r="AV1140" i="1"/>
  <c r="AV1141" i="1"/>
  <c r="AV1142" i="1"/>
  <c r="AV1143" i="1"/>
  <c r="AV1144" i="1"/>
  <c r="AV1145" i="1"/>
  <c r="AV1146" i="1"/>
  <c r="AV1147" i="1"/>
  <c r="AV1148" i="1"/>
  <c r="AV1149" i="1"/>
  <c r="AV1150" i="1"/>
  <c r="AV1151" i="1"/>
  <c r="AV1152" i="1"/>
  <c r="AV1153" i="1"/>
  <c r="AV1154" i="1"/>
  <c r="AV1155" i="1"/>
  <c r="AV1156" i="1"/>
  <c r="AV1157" i="1"/>
  <c r="AV1158" i="1"/>
  <c r="AV1159" i="1"/>
  <c r="AV1160" i="1"/>
  <c r="AV1161" i="1"/>
  <c r="AV1162" i="1"/>
  <c r="AV1163" i="1"/>
  <c r="AV1164" i="1"/>
  <c r="AV1165" i="1"/>
  <c r="AV1166" i="1"/>
  <c r="AV1167" i="1"/>
  <c r="AV1168" i="1"/>
  <c r="AV1169" i="1"/>
  <c r="AV1170" i="1"/>
  <c r="AV1171" i="1"/>
  <c r="AV1172" i="1"/>
  <c r="AV1173" i="1"/>
  <c r="AV1174" i="1"/>
  <c r="AV1175" i="1"/>
  <c r="AV1176" i="1"/>
  <c r="AV1177" i="1"/>
  <c r="AV1178" i="1"/>
  <c r="AV1179" i="1"/>
  <c r="AV1180" i="1"/>
  <c r="AV1181" i="1"/>
  <c r="AV1182" i="1"/>
  <c r="AV1183" i="1"/>
  <c r="AV1184" i="1"/>
  <c r="AV1185" i="1"/>
  <c r="AV1186" i="1"/>
  <c r="AV1187" i="1"/>
  <c r="AV1188" i="1"/>
  <c r="AV1189" i="1"/>
  <c r="AV1190" i="1"/>
  <c r="AV1191" i="1"/>
  <c r="AV1192" i="1"/>
  <c r="AV1193" i="1"/>
  <c r="AV1194" i="1"/>
  <c r="AV1195" i="1"/>
  <c r="AV1196" i="1"/>
  <c r="AV1197" i="1"/>
  <c r="AV1198" i="1"/>
  <c r="AV1199" i="1"/>
  <c r="AV1200" i="1"/>
  <c r="AV1201" i="1"/>
  <c r="AV1202" i="1"/>
  <c r="AV1203" i="1"/>
  <c r="AV1204" i="1"/>
  <c r="AV1205" i="1"/>
  <c r="AV1206" i="1"/>
  <c r="AV1207" i="1"/>
  <c r="AV1208" i="1"/>
  <c r="AV1209" i="1"/>
  <c r="AV1210" i="1"/>
  <c r="AV1211" i="1"/>
  <c r="AV1212" i="1"/>
  <c r="AV1213" i="1"/>
  <c r="AV1214" i="1"/>
  <c r="AV1215" i="1"/>
  <c r="AV1216" i="1"/>
  <c r="AV1217" i="1"/>
  <c r="AV1218" i="1"/>
  <c r="AV1219" i="1"/>
  <c r="AV1220" i="1"/>
  <c r="AV1221" i="1"/>
  <c r="AV1222" i="1"/>
  <c r="AV1223" i="1"/>
  <c r="AV1224" i="1"/>
  <c r="AV1225" i="1"/>
  <c r="AV1226" i="1"/>
  <c r="AV1227" i="1"/>
  <c r="AV1228" i="1"/>
  <c r="AV1229" i="1"/>
  <c r="AV1230" i="1"/>
  <c r="AV1231" i="1"/>
  <c r="AV1232" i="1"/>
  <c r="AV1233" i="1"/>
  <c r="AV1234" i="1"/>
  <c r="AV1235" i="1"/>
  <c r="AV1236" i="1"/>
  <c r="AV1237" i="1"/>
  <c r="AV1238" i="1"/>
  <c r="AV1239" i="1"/>
  <c r="AV1240" i="1"/>
  <c r="AV1241" i="1"/>
  <c r="AV1242" i="1"/>
  <c r="AV1243" i="1"/>
  <c r="AV1244" i="1"/>
  <c r="AV1245" i="1"/>
  <c r="AV1246" i="1"/>
  <c r="AV1247" i="1"/>
  <c r="AV1248" i="1"/>
  <c r="AV1249" i="1"/>
  <c r="AV1250" i="1"/>
  <c r="AV1251" i="1"/>
  <c r="AV1252" i="1"/>
  <c r="AV1253" i="1"/>
  <c r="AV1254" i="1"/>
  <c r="AV1255" i="1"/>
  <c r="AV1256" i="1"/>
  <c r="AV1257" i="1"/>
  <c r="AV1258" i="1"/>
  <c r="AV1259" i="1"/>
  <c r="AV1260" i="1"/>
  <c r="AV1261" i="1"/>
  <c r="AV1262" i="1"/>
  <c r="AV1263" i="1"/>
  <c r="AV1264" i="1"/>
  <c r="AV1265" i="1"/>
  <c r="AV1266" i="1"/>
  <c r="AV1267" i="1"/>
  <c r="AV1268" i="1"/>
  <c r="AV1269" i="1"/>
  <c r="AV1270" i="1"/>
  <c r="AV1271" i="1"/>
  <c r="AV1272" i="1"/>
  <c r="AV1273" i="1"/>
  <c r="AV1274" i="1"/>
  <c r="AV1275" i="1"/>
  <c r="AV1276" i="1"/>
  <c r="AV1277" i="1"/>
  <c r="AV1278" i="1"/>
  <c r="AV1279" i="1"/>
  <c r="AV1280" i="1"/>
  <c r="AV1281" i="1"/>
  <c r="AV1282" i="1"/>
  <c r="AV1283" i="1"/>
  <c r="AV1284" i="1"/>
  <c r="AV1285" i="1"/>
  <c r="AV1286" i="1"/>
  <c r="AV1287" i="1"/>
  <c r="AV1288" i="1"/>
  <c r="AV1289" i="1"/>
  <c r="AV1290" i="1"/>
  <c r="AV1291" i="1"/>
  <c r="AV1292" i="1"/>
  <c r="AV1293" i="1"/>
  <c r="AV1294" i="1"/>
  <c r="AV1295" i="1"/>
  <c r="AV1296" i="1"/>
  <c r="AV1297" i="1"/>
  <c r="AV1298" i="1"/>
  <c r="AV1299" i="1"/>
  <c r="AV1300" i="1"/>
  <c r="AV1301" i="1"/>
  <c r="AV1302" i="1"/>
  <c r="AV1303" i="1"/>
  <c r="AV1304" i="1"/>
  <c r="AV1305" i="1"/>
  <c r="AV1306" i="1"/>
  <c r="AV1307" i="1"/>
  <c r="AV1308" i="1"/>
  <c r="AV1309" i="1"/>
  <c r="AV1310" i="1"/>
  <c r="AV1311" i="1"/>
  <c r="AV1312" i="1"/>
  <c r="AV1313" i="1"/>
  <c r="AV1314" i="1"/>
  <c r="AV1315" i="1"/>
  <c r="AV1316" i="1"/>
  <c r="AV1317" i="1"/>
  <c r="AV1318" i="1"/>
  <c r="AV1319" i="1"/>
  <c r="AV1320" i="1"/>
  <c r="AV1321" i="1"/>
  <c r="AV1322" i="1"/>
  <c r="AV1323" i="1"/>
  <c r="AV1324" i="1"/>
  <c r="AV1325" i="1"/>
  <c r="AV1326" i="1"/>
  <c r="AV1327" i="1"/>
  <c r="AV1328" i="1"/>
  <c r="AV1329" i="1"/>
  <c r="AV1330" i="1"/>
  <c r="AV1331" i="1"/>
  <c r="AV1332" i="1"/>
  <c r="AV1333" i="1"/>
  <c r="AV1334" i="1"/>
  <c r="AV1335" i="1"/>
  <c r="AV1336" i="1"/>
  <c r="AV1337" i="1"/>
  <c r="AV1338" i="1"/>
  <c r="AV1339" i="1"/>
  <c r="AV1340" i="1"/>
  <c r="AV1341" i="1"/>
  <c r="AV1342" i="1"/>
  <c r="AV1343" i="1"/>
  <c r="AV1344" i="1"/>
  <c r="AV1345" i="1"/>
  <c r="AV1346" i="1"/>
  <c r="AV1347" i="1"/>
  <c r="AV1348" i="1"/>
  <c r="AV1349" i="1"/>
  <c r="AV1350" i="1"/>
  <c r="AV1351" i="1"/>
  <c r="AV1352" i="1"/>
  <c r="AV1353" i="1"/>
  <c r="AV1354" i="1"/>
  <c r="AV1355" i="1"/>
  <c r="AV1356" i="1"/>
  <c r="AV1357" i="1"/>
  <c r="AV1358" i="1"/>
  <c r="AV1359" i="1"/>
  <c r="AV1360" i="1"/>
  <c r="AV1361" i="1"/>
  <c r="AV1362" i="1"/>
  <c r="AV1363" i="1"/>
  <c r="AV1364" i="1"/>
  <c r="AV1365" i="1"/>
  <c r="AV1366" i="1"/>
  <c r="AV1367" i="1"/>
  <c r="AV1368" i="1"/>
  <c r="AV1369" i="1"/>
  <c r="AV1370" i="1"/>
  <c r="AV1371" i="1"/>
  <c r="AV1372" i="1"/>
  <c r="AV1373" i="1"/>
  <c r="AV1374" i="1"/>
  <c r="AV1375" i="1"/>
  <c r="AV1376" i="1"/>
  <c r="AV1377" i="1"/>
  <c r="AV1378" i="1"/>
  <c r="AV1379" i="1"/>
  <c r="AV1380" i="1"/>
  <c r="AV1381" i="1"/>
  <c r="AV1382" i="1"/>
  <c r="AV1383" i="1"/>
  <c r="AV1384" i="1"/>
  <c r="AV1385" i="1"/>
  <c r="AV1386" i="1"/>
  <c r="AV1387" i="1"/>
  <c r="AV1388" i="1"/>
  <c r="AV1389" i="1"/>
  <c r="AV1390" i="1"/>
  <c r="AV1391" i="1"/>
  <c r="AV1392" i="1"/>
  <c r="AV1393" i="1"/>
  <c r="AV1394" i="1"/>
  <c r="AV1395" i="1"/>
  <c r="AV1396" i="1"/>
  <c r="AV1397" i="1"/>
  <c r="AV1398" i="1"/>
  <c r="AV1399" i="1"/>
  <c r="AV1400" i="1"/>
  <c r="AV1401" i="1"/>
  <c r="AV1402" i="1"/>
  <c r="AV1403" i="1"/>
  <c r="AV1404" i="1"/>
  <c r="AV1405" i="1"/>
  <c r="AV1406" i="1"/>
  <c r="AV1407" i="1"/>
  <c r="AV1408" i="1"/>
  <c r="AV1409" i="1"/>
  <c r="AV1410" i="1"/>
  <c r="AV1411" i="1"/>
  <c r="AV1412" i="1"/>
  <c r="AV1413" i="1"/>
  <c r="AV1414" i="1"/>
  <c r="AV1415" i="1"/>
  <c r="AV1416" i="1"/>
  <c r="AV1417" i="1"/>
  <c r="AV1418" i="1"/>
  <c r="AV1419" i="1"/>
  <c r="AV1420" i="1"/>
  <c r="AV1421" i="1"/>
  <c r="AV1422" i="1"/>
  <c r="AV1423" i="1"/>
  <c r="AV1424" i="1"/>
  <c r="AV1425" i="1"/>
  <c r="AV1426" i="1"/>
  <c r="AV1427" i="1"/>
  <c r="AV1428" i="1"/>
  <c r="AV1429" i="1"/>
  <c r="AV1430" i="1"/>
  <c r="AV1431" i="1"/>
  <c r="AV1432" i="1"/>
  <c r="AV1433" i="1"/>
  <c r="AV1434" i="1"/>
  <c r="AV1435" i="1"/>
  <c r="AV1436" i="1"/>
  <c r="AV1437" i="1"/>
  <c r="AV1438" i="1"/>
  <c r="AV1439" i="1"/>
  <c r="AV1440" i="1"/>
  <c r="AV1441" i="1"/>
  <c r="AV1442" i="1"/>
  <c r="AV1443" i="1"/>
  <c r="AV1444" i="1"/>
  <c r="AV1445" i="1"/>
  <c r="AV1446" i="1"/>
  <c r="AV1447" i="1"/>
  <c r="AV1448" i="1"/>
  <c r="AV1449" i="1"/>
  <c r="AV1450" i="1"/>
  <c r="AV1451" i="1"/>
  <c r="AV1452" i="1"/>
  <c r="AV1453" i="1"/>
  <c r="AV1454" i="1"/>
  <c r="AV1455" i="1"/>
  <c r="AV1456" i="1"/>
  <c r="AV1457" i="1"/>
  <c r="AV1458" i="1"/>
  <c r="AV1459" i="1"/>
  <c r="AV1460" i="1"/>
  <c r="AV1461" i="1"/>
  <c r="AV1462" i="1"/>
  <c r="AV1463" i="1"/>
  <c r="AV1464" i="1"/>
  <c r="AV1465" i="1"/>
  <c r="AV1466" i="1"/>
  <c r="AV1467" i="1"/>
  <c r="AV1468" i="1"/>
  <c r="AV1469" i="1"/>
  <c r="AV1470" i="1"/>
  <c r="AV1471" i="1"/>
  <c r="AV1472" i="1"/>
  <c r="AV1473" i="1"/>
  <c r="AV1474" i="1"/>
  <c r="AV1475" i="1"/>
  <c r="AV1476" i="1"/>
  <c r="AV1477" i="1"/>
  <c r="AV1478" i="1"/>
  <c r="AV1479" i="1"/>
  <c r="AV1480" i="1"/>
  <c r="AV1481" i="1"/>
  <c r="AV1482" i="1"/>
  <c r="AV1483" i="1"/>
  <c r="AV1484" i="1"/>
  <c r="AV1485" i="1"/>
  <c r="AV1486" i="1"/>
  <c r="AV1487" i="1"/>
  <c r="AV1488" i="1"/>
  <c r="AV1489" i="1"/>
  <c r="AV1490" i="1"/>
  <c r="AV1491" i="1"/>
  <c r="AV1492" i="1"/>
  <c r="AV1493" i="1"/>
  <c r="AV1494" i="1"/>
  <c r="AV1495" i="1"/>
  <c r="AV1496" i="1"/>
  <c r="AV1497" i="1"/>
  <c r="AV1498" i="1"/>
  <c r="AV1499" i="1"/>
  <c r="AV1500" i="1"/>
  <c r="AV1501" i="1"/>
  <c r="AV1502" i="1"/>
  <c r="AV1503" i="1"/>
  <c r="AV1504" i="1"/>
  <c r="AV1505" i="1"/>
  <c r="AV1506" i="1"/>
  <c r="AV1507" i="1"/>
  <c r="AV1508" i="1"/>
  <c r="AV1509" i="1"/>
  <c r="AV1510" i="1"/>
  <c r="AV1511" i="1"/>
  <c r="AV1512" i="1"/>
  <c r="AV1513" i="1"/>
  <c r="AV1514" i="1"/>
  <c r="AV1515" i="1"/>
  <c r="AV1516" i="1"/>
  <c r="AV1517" i="1"/>
  <c r="AV1518" i="1"/>
  <c r="AV1519" i="1"/>
  <c r="AV1520" i="1"/>
  <c r="AV1521" i="1"/>
  <c r="AV1522" i="1"/>
  <c r="AV1523" i="1"/>
  <c r="AV1524" i="1"/>
  <c r="AV1525" i="1"/>
  <c r="AV1526" i="1"/>
  <c r="AV1527" i="1"/>
  <c r="AV1528" i="1"/>
  <c r="AV1529" i="1"/>
  <c r="AV1530" i="1"/>
  <c r="AV1531" i="1"/>
  <c r="AV1532" i="1"/>
  <c r="AV1533" i="1"/>
  <c r="AV1534" i="1"/>
  <c r="AV1535" i="1"/>
  <c r="AV1536" i="1"/>
  <c r="AV1537" i="1"/>
  <c r="AV1538" i="1"/>
  <c r="AV1539" i="1"/>
  <c r="AV1540" i="1"/>
  <c r="AV1541" i="1"/>
  <c r="AV1542" i="1"/>
  <c r="AV1543" i="1"/>
  <c r="AV1544" i="1"/>
  <c r="AV1545" i="1"/>
  <c r="AV1546" i="1"/>
  <c r="AV1547" i="1"/>
  <c r="AV1548" i="1"/>
  <c r="AV1549" i="1"/>
  <c r="AV1550" i="1"/>
  <c r="AV1551" i="1"/>
  <c r="AV1552" i="1"/>
  <c r="AV1553" i="1"/>
  <c r="AV1554" i="1"/>
  <c r="AV1555" i="1"/>
  <c r="AV1556" i="1"/>
  <c r="AV1557" i="1"/>
  <c r="AV1558" i="1"/>
  <c r="AV1559" i="1"/>
  <c r="AV1560" i="1"/>
  <c r="AV1561" i="1"/>
  <c r="AV1562" i="1"/>
  <c r="AV1563" i="1"/>
  <c r="AV1564" i="1"/>
  <c r="AV1565" i="1"/>
  <c r="AV1566" i="1"/>
  <c r="AV1567" i="1"/>
  <c r="AV1568" i="1"/>
  <c r="AV1569" i="1"/>
  <c r="AV1570" i="1"/>
  <c r="AV1571" i="1"/>
  <c r="AV1572" i="1"/>
  <c r="AV1573" i="1"/>
  <c r="AV1574" i="1"/>
  <c r="AV1575" i="1"/>
  <c r="AV1576" i="1"/>
  <c r="AV1577" i="1"/>
  <c r="AV1578" i="1"/>
  <c r="AV1579" i="1"/>
  <c r="AV1580" i="1"/>
  <c r="AV1581" i="1"/>
  <c r="AV1582" i="1"/>
  <c r="AV1583" i="1"/>
  <c r="AV1584" i="1"/>
  <c r="AV1585" i="1"/>
  <c r="AV1586" i="1"/>
  <c r="AV1587" i="1"/>
  <c r="AV1588" i="1"/>
  <c r="AV1589" i="1"/>
  <c r="AV1590" i="1"/>
  <c r="AV1591" i="1"/>
  <c r="AV1592" i="1"/>
  <c r="AV1593" i="1"/>
  <c r="AV1594" i="1"/>
  <c r="AV1595" i="1"/>
  <c r="AV1596" i="1"/>
  <c r="AV1597" i="1"/>
  <c r="AV1598" i="1"/>
  <c r="AV1599" i="1"/>
  <c r="AV1600" i="1"/>
  <c r="AV1601" i="1"/>
  <c r="AV1602" i="1"/>
  <c r="AV1603" i="1"/>
  <c r="AV1604" i="1"/>
  <c r="AV1605" i="1"/>
  <c r="AV1606" i="1"/>
  <c r="AV1607" i="1"/>
  <c r="AV1608" i="1"/>
  <c r="AV1609" i="1"/>
  <c r="AV1610" i="1"/>
  <c r="AV1611" i="1"/>
  <c r="AV1612" i="1"/>
  <c r="AV1613" i="1"/>
  <c r="AV1614" i="1"/>
  <c r="AV1615" i="1"/>
  <c r="AV1616" i="1"/>
  <c r="AV1617" i="1"/>
  <c r="AV1618" i="1"/>
  <c r="AV1619" i="1"/>
  <c r="AV1620" i="1"/>
  <c r="AV1621" i="1"/>
  <c r="AV1622" i="1"/>
  <c r="AV1623" i="1"/>
  <c r="AV1624" i="1"/>
  <c r="AV1625" i="1"/>
  <c r="AV1626" i="1"/>
  <c r="AV1627" i="1"/>
  <c r="AV1628" i="1"/>
  <c r="AV1629" i="1"/>
  <c r="AV1630" i="1"/>
  <c r="AV1631" i="1"/>
  <c r="AV1632" i="1"/>
  <c r="AV1633" i="1"/>
  <c r="AV1634" i="1"/>
  <c r="AV1635" i="1"/>
  <c r="AV1636" i="1"/>
  <c r="AV1637" i="1"/>
  <c r="AV1638" i="1"/>
  <c r="AV1639" i="1"/>
  <c r="AV1640" i="1"/>
  <c r="AV1641" i="1"/>
  <c r="AV1642" i="1"/>
  <c r="AV1643" i="1"/>
  <c r="AV1644" i="1"/>
  <c r="AV1645" i="1"/>
  <c r="AV1646" i="1"/>
  <c r="AV1647" i="1"/>
  <c r="AV1648" i="1"/>
  <c r="AV1649" i="1"/>
  <c r="AV1650" i="1"/>
  <c r="AV1651" i="1"/>
  <c r="AV1652" i="1"/>
  <c r="AV1653" i="1"/>
  <c r="AV1654" i="1"/>
  <c r="AV1655" i="1"/>
  <c r="AV1656" i="1"/>
  <c r="AV1657" i="1"/>
  <c r="AV1658" i="1"/>
  <c r="AV1659" i="1"/>
  <c r="AV1660" i="1"/>
  <c r="AV1661" i="1"/>
  <c r="AV1662" i="1"/>
  <c r="AV1663" i="1"/>
  <c r="AV1664" i="1"/>
  <c r="AV1665" i="1"/>
  <c r="AV1666" i="1"/>
  <c r="AV1667" i="1"/>
  <c r="AV1668" i="1"/>
  <c r="AV1669" i="1"/>
  <c r="AV1670" i="1"/>
  <c r="AV1671" i="1"/>
  <c r="AV1672" i="1"/>
  <c r="AV1673" i="1"/>
  <c r="AV1674" i="1"/>
  <c r="AV1675" i="1"/>
  <c r="AV1676" i="1"/>
  <c r="AV1677" i="1"/>
  <c r="AV1678" i="1"/>
  <c r="AV1679" i="1"/>
  <c r="AV1680" i="1"/>
  <c r="AV1681" i="1"/>
  <c r="AV1682" i="1"/>
  <c r="AV1683" i="1"/>
  <c r="AV1684" i="1"/>
  <c r="AV1685" i="1"/>
  <c r="AV1686" i="1"/>
  <c r="AV1687" i="1"/>
  <c r="AV1688" i="1"/>
  <c r="AV1689" i="1"/>
  <c r="AV1690" i="1"/>
  <c r="AV1691" i="1"/>
  <c r="AV1692" i="1"/>
  <c r="AV1693" i="1"/>
  <c r="AV1694" i="1"/>
  <c r="AV1695" i="1"/>
  <c r="AV1696" i="1"/>
  <c r="AV1697" i="1"/>
  <c r="AV1698" i="1"/>
  <c r="AV1699" i="1"/>
  <c r="AV1700" i="1"/>
  <c r="AV1701" i="1"/>
  <c r="AV1702" i="1"/>
  <c r="AV1703" i="1"/>
  <c r="AV1704" i="1"/>
  <c r="AV1705" i="1"/>
  <c r="AV1706" i="1"/>
  <c r="AV1707" i="1"/>
  <c r="AV1708" i="1"/>
  <c r="AV1709" i="1"/>
  <c r="AV1710" i="1"/>
  <c r="AV1711" i="1"/>
  <c r="AV1712" i="1"/>
  <c r="AV1713" i="1"/>
  <c r="AV1714" i="1"/>
  <c r="AV1715" i="1"/>
  <c r="AV1716" i="1"/>
  <c r="AV1717" i="1"/>
  <c r="AV1718" i="1"/>
  <c r="AV1719" i="1"/>
  <c r="AV1720" i="1"/>
  <c r="AV1721" i="1"/>
  <c r="AV1722" i="1"/>
  <c r="AV1723" i="1"/>
  <c r="AV1724" i="1"/>
  <c r="AV1725" i="1"/>
  <c r="AV1726" i="1"/>
  <c r="AV1727" i="1"/>
  <c r="AV1728" i="1"/>
  <c r="AV1729" i="1"/>
  <c r="AV1730" i="1"/>
  <c r="AV1731" i="1"/>
  <c r="AV1732" i="1"/>
  <c r="AV1733" i="1"/>
  <c r="AV1734" i="1"/>
  <c r="AV1735" i="1"/>
  <c r="AV1736" i="1"/>
  <c r="AV1737" i="1"/>
  <c r="AV1738" i="1"/>
  <c r="AV1739" i="1"/>
  <c r="AV1740" i="1"/>
  <c r="AV1741" i="1"/>
  <c r="AV1742" i="1"/>
  <c r="AV1743" i="1"/>
  <c r="AV1744" i="1"/>
  <c r="AV1745" i="1"/>
  <c r="AV1746" i="1"/>
  <c r="AV1747" i="1"/>
  <c r="AV1748" i="1"/>
  <c r="AV1749" i="1"/>
  <c r="AV1750" i="1"/>
  <c r="AV1751" i="1"/>
  <c r="AV1752" i="1"/>
  <c r="AV1753" i="1"/>
  <c r="AV1754" i="1"/>
  <c r="AV1755" i="1"/>
  <c r="AV1756" i="1"/>
  <c r="AV1757" i="1"/>
  <c r="AV1758" i="1"/>
  <c r="AV1759" i="1"/>
  <c r="AV1760" i="1"/>
  <c r="AV1761" i="1"/>
  <c r="AV1762" i="1"/>
  <c r="AV1763" i="1"/>
  <c r="AV1764" i="1"/>
  <c r="AV1765" i="1"/>
  <c r="AV1766" i="1"/>
  <c r="AV1767" i="1"/>
  <c r="AV1768" i="1"/>
  <c r="AV1769" i="1"/>
  <c r="AV1770" i="1"/>
  <c r="AV1771" i="1"/>
  <c r="AV1772" i="1"/>
  <c r="AV1773" i="1"/>
  <c r="AV1774" i="1"/>
  <c r="AV1775" i="1"/>
  <c r="AV1776" i="1"/>
  <c r="AV1777" i="1"/>
  <c r="AV1778" i="1"/>
  <c r="AV1779" i="1"/>
  <c r="AV1780" i="1"/>
  <c r="AV1781" i="1"/>
  <c r="AV1782" i="1"/>
  <c r="AV1783" i="1"/>
  <c r="AV1784" i="1"/>
  <c r="AV1785" i="1"/>
  <c r="AV1786" i="1"/>
  <c r="AV1787" i="1"/>
  <c r="AV1788" i="1"/>
  <c r="AV1789" i="1"/>
  <c r="AV1790" i="1"/>
  <c r="AV1791" i="1"/>
  <c r="AV1792" i="1"/>
  <c r="AV1793" i="1"/>
  <c r="AV1794" i="1"/>
  <c r="AV1795" i="1"/>
  <c r="AV1796" i="1"/>
  <c r="AV1797" i="1"/>
  <c r="AV1798" i="1"/>
  <c r="AV1799" i="1"/>
  <c r="AV1800" i="1"/>
  <c r="AV1801" i="1"/>
  <c r="AV1802" i="1"/>
  <c r="AV1803" i="1"/>
  <c r="AV1804" i="1"/>
  <c r="AV1805" i="1"/>
  <c r="AV1806" i="1"/>
  <c r="AV1807" i="1"/>
  <c r="AV1808" i="1"/>
  <c r="AV1809" i="1"/>
  <c r="AV1810" i="1"/>
  <c r="AV1811" i="1"/>
  <c r="AV1812" i="1"/>
  <c r="AV1813" i="1"/>
  <c r="AV1814" i="1"/>
  <c r="AV1815" i="1"/>
  <c r="AV1816" i="1"/>
  <c r="AV1817" i="1"/>
  <c r="AV1818" i="1"/>
  <c r="AV1819" i="1"/>
  <c r="AV1820" i="1"/>
  <c r="AV1821" i="1"/>
  <c r="AV1822" i="1"/>
  <c r="AV1823" i="1"/>
  <c r="AV1824" i="1"/>
  <c r="AV1825" i="1"/>
  <c r="AV1826" i="1"/>
  <c r="AV1827" i="1"/>
  <c r="AV1828" i="1"/>
  <c r="AV1829" i="1"/>
  <c r="AV1830" i="1"/>
  <c r="AV1831" i="1"/>
  <c r="AV1832" i="1"/>
  <c r="AV1833" i="1"/>
  <c r="AV1834" i="1"/>
  <c r="AV1835" i="1"/>
  <c r="AV1836" i="1"/>
  <c r="AV1837" i="1"/>
  <c r="AV1838" i="1"/>
  <c r="AV1839" i="1"/>
  <c r="AV1840" i="1"/>
  <c r="AV1841" i="1"/>
  <c r="AV1842" i="1"/>
  <c r="AV1843" i="1"/>
  <c r="AV1844" i="1"/>
  <c r="AV1845" i="1"/>
  <c r="AV1846" i="1"/>
  <c r="AV1847" i="1"/>
  <c r="AV1848" i="1"/>
  <c r="AV1849" i="1"/>
  <c r="AV1850" i="1"/>
  <c r="AV1851" i="1"/>
  <c r="AV1852" i="1"/>
  <c r="AV1853" i="1"/>
  <c r="AV1854" i="1"/>
  <c r="AV1855" i="1"/>
  <c r="AV1856" i="1"/>
  <c r="AV1857" i="1"/>
  <c r="AV1858" i="1"/>
  <c r="AV1859" i="1"/>
  <c r="AV1860" i="1"/>
  <c r="AV1861" i="1"/>
  <c r="AV1862" i="1"/>
  <c r="AV1863" i="1"/>
  <c r="AV1864" i="1"/>
  <c r="AV1865" i="1"/>
  <c r="AV1866" i="1"/>
  <c r="AV1867" i="1"/>
  <c r="AV1868" i="1"/>
  <c r="AV1869" i="1"/>
  <c r="AV1870" i="1"/>
  <c r="AV1871" i="1"/>
  <c r="AV1872" i="1"/>
  <c r="AV1873" i="1"/>
  <c r="AV1874" i="1"/>
  <c r="AV1875" i="1"/>
  <c r="AV1876" i="1"/>
  <c r="AV1877" i="1"/>
  <c r="AV1878" i="1"/>
  <c r="AV1879" i="1"/>
  <c r="AV1880" i="1"/>
  <c r="AV1881" i="1"/>
  <c r="AV1882" i="1"/>
  <c r="AV1883" i="1"/>
  <c r="AV1884" i="1"/>
  <c r="AV1885" i="1"/>
  <c r="AV1886" i="1"/>
  <c r="AV1887" i="1"/>
  <c r="AV1888" i="1"/>
  <c r="AV1889" i="1"/>
  <c r="AV1890" i="1"/>
  <c r="AV1891" i="1"/>
  <c r="AV1892" i="1"/>
  <c r="AV1893" i="1"/>
  <c r="AV1894" i="1"/>
  <c r="AV1895" i="1"/>
  <c r="AV1896" i="1"/>
  <c r="AV1897" i="1"/>
  <c r="AV1898" i="1"/>
  <c r="AV1899" i="1"/>
  <c r="AV1900" i="1"/>
  <c r="AV1901" i="1"/>
  <c r="AV1902" i="1"/>
  <c r="AV1903" i="1"/>
  <c r="AV1904" i="1"/>
  <c r="AV1905" i="1"/>
  <c r="AV1906" i="1"/>
  <c r="AV1907" i="1"/>
  <c r="AV1908" i="1"/>
  <c r="AV1909" i="1"/>
  <c r="AV1910" i="1"/>
  <c r="AV1911" i="1"/>
  <c r="AV1912" i="1"/>
  <c r="AV1913" i="1"/>
  <c r="AV1914" i="1"/>
  <c r="AV1915" i="1"/>
  <c r="AV1916" i="1"/>
  <c r="AV1917" i="1"/>
  <c r="AV1918" i="1"/>
  <c r="AV1919" i="1"/>
  <c r="AV1920" i="1"/>
  <c r="AV1921" i="1"/>
  <c r="AV1922" i="1"/>
  <c r="AV1923" i="1"/>
  <c r="AV1924" i="1"/>
  <c r="AV1925" i="1"/>
  <c r="AV1926" i="1"/>
  <c r="AV1927" i="1"/>
  <c r="AV1928" i="1"/>
  <c r="AV1929" i="1"/>
  <c r="AV1930" i="1"/>
  <c r="AV1931" i="1"/>
  <c r="AV1932" i="1"/>
  <c r="AV1933" i="1"/>
  <c r="AV1934" i="1"/>
  <c r="AV1935" i="1"/>
  <c r="AV1936" i="1"/>
  <c r="AV1937" i="1"/>
  <c r="AV1938" i="1"/>
  <c r="AV1939" i="1"/>
  <c r="AV1940" i="1"/>
  <c r="AV1941" i="1"/>
  <c r="AV1942" i="1"/>
  <c r="AV1943" i="1"/>
  <c r="AV1944" i="1"/>
  <c r="AV1945" i="1"/>
  <c r="AV1946" i="1"/>
  <c r="AV1947" i="1"/>
  <c r="AV1948" i="1"/>
  <c r="AV1949" i="1"/>
  <c r="AV1950" i="1"/>
  <c r="AV1951" i="1"/>
  <c r="AV1952" i="1"/>
  <c r="AV1953" i="1"/>
  <c r="AV1954" i="1"/>
  <c r="AV1955" i="1"/>
  <c r="AV1956" i="1"/>
  <c r="AV1957" i="1"/>
  <c r="AV1958" i="1"/>
  <c r="AV1959" i="1"/>
  <c r="AV1960" i="1"/>
  <c r="AV1961" i="1"/>
  <c r="AV1962" i="1"/>
  <c r="AV1963" i="1"/>
  <c r="AV1964" i="1"/>
  <c r="AV1965" i="1"/>
  <c r="AV1966" i="1"/>
  <c r="AV1967" i="1"/>
  <c r="AV1968" i="1"/>
  <c r="AV1969" i="1"/>
  <c r="AV1970" i="1"/>
  <c r="AV1971" i="1"/>
  <c r="AV1972" i="1"/>
  <c r="AV1973" i="1"/>
  <c r="AV1974" i="1"/>
  <c r="AV1975" i="1"/>
  <c r="AV1976" i="1"/>
  <c r="AV1977" i="1"/>
  <c r="AV1978" i="1"/>
  <c r="AV1979" i="1"/>
  <c r="AV1980" i="1"/>
  <c r="AV1981" i="1"/>
  <c r="AV1982" i="1"/>
  <c r="AV1983" i="1"/>
  <c r="AV1984" i="1"/>
  <c r="AV1985" i="1"/>
  <c r="AV1986" i="1"/>
  <c r="AV1987" i="1"/>
  <c r="AV1988" i="1"/>
  <c r="AV1989" i="1"/>
  <c r="AV1990" i="1"/>
  <c r="AV1991" i="1"/>
  <c r="AV1992" i="1"/>
  <c r="AV1993" i="1"/>
  <c r="AV1994" i="1"/>
  <c r="AV1995" i="1"/>
  <c r="AV1996" i="1"/>
  <c r="AV1997" i="1"/>
  <c r="AV1998" i="1"/>
  <c r="AV1999" i="1"/>
  <c r="AV2000" i="1"/>
  <c r="AV2001" i="1"/>
  <c r="AV2002" i="1"/>
  <c r="AV2003" i="1"/>
  <c r="AV2004" i="1"/>
  <c r="AV2005" i="1"/>
  <c r="AV2006" i="1"/>
  <c r="AV2007" i="1"/>
  <c r="AV2008" i="1"/>
  <c r="AV2009" i="1"/>
  <c r="AV2010" i="1"/>
  <c r="AV2011" i="1"/>
  <c r="AV2012" i="1"/>
  <c r="AV2013" i="1"/>
  <c r="AV2014" i="1"/>
  <c r="AV2015" i="1"/>
  <c r="AV2016" i="1"/>
  <c r="AV2017" i="1"/>
  <c r="AV2018" i="1"/>
  <c r="AV2019" i="1"/>
  <c r="AV2020" i="1"/>
  <c r="AV2021" i="1"/>
  <c r="AV2022" i="1"/>
  <c r="AV2023" i="1"/>
  <c r="AV2024" i="1"/>
  <c r="AV2025" i="1"/>
  <c r="AV2026" i="1"/>
  <c r="AV2027" i="1"/>
  <c r="AV2028" i="1"/>
  <c r="AV2029" i="1"/>
  <c r="AV2030" i="1"/>
  <c r="AV2031" i="1"/>
  <c r="AV2032" i="1"/>
  <c r="AV2033" i="1"/>
  <c r="AV2034" i="1"/>
  <c r="AV2035" i="1"/>
  <c r="AV2036" i="1"/>
  <c r="AV2037" i="1"/>
  <c r="AV2038" i="1"/>
  <c r="AV2039" i="1"/>
  <c r="AV2040" i="1"/>
  <c r="AV2041" i="1"/>
  <c r="AV2042" i="1"/>
  <c r="AV2043" i="1"/>
  <c r="AV2044" i="1"/>
  <c r="AV2045" i="1"/>
  <c r="AV2046" i="1"/>
  <c r="AV2047" i="1"/>
  <c r="AV2048" i="1"/>
  <c r="AV2049" i="1"/>
  <c r="AV2050" i="1"/>
  <c r="AV2051" i="1"/>
  <c r="AV2052" i="1"/>
  <c r="AV2053" i="1"/>
  <c r="AV2054" i="1"/>
  <c r="AV2055" i="1"/>
  <c r="AV2056" i="1"/>
  <c r="AV2057" i="1"/>
  <c r="AV2058" i="1"/>
  <c r="AV2059" i="1"/>
  <c r="AV2060" i="1"/>
  <c r="AV2061" i="1"/>
  <c r="AV2062" i="1"/>
  <c r="AV2063" i="1"/>
  <c r="AV2064" i="1"/>
  <c r="AV2065" i="1"/>
  <c r="AV2066" i="1"/>
  <c r="AV2067" i="1"/>
  <c r="AV2068" i="1"/>
  <c r="AV2069" i="1"/>
  <c r="AV2070" i="1"/>
  <c r="AV2071" i="1"/>
  <c r="AV2072" i="1"/>
  <c r="AV2073" i="1"/>
  <c r="AV2074" i="1"/>
  <c r="AV2075" i="1"/>
  <c r="AV2076" i="1"/>
  <c r="AV2077" i="1"/>
  <c r="AV2078" i="1"/>
  <c r="AV2079" i="1"/>
  <c r="AV2080" i="1"/>
  <c r="AV2081" i="1"/>
  <c r="AV2082" i="1"/>
  <c r="AV2083" i="1"/>
  <c r="AV2084" i="1"/>
  <c r="AV2085" i="1"/>
  <c r="AV2086" i="1"/>
  <c r="AV2087" i="1"/>
  <c r="AV2088" i="1"/>
  <c r="AV2089" i="1"/>
  <c r="AV2090" i="1"/>
  <c r="AV2091" i="1"/>
  <c r="AV2092" i="1"/>
  <c r="AV2093" i="1"/>
  <c r="AV2094" i="1"/>
  <c r="AV2095" i="1"/>
  <c r="AV2096" i="1"/>
  <c r="AV2097" i="1"/>
  <c r="AV2098" i="1"/>
  <c r="AV2099" i="1"/>
  <c r="AV2100" i="1"/>
  <c r="AV2101" i="1"/>
  <c r="AV2102" i="1"/>
  <c r="AV2103" i="1"/>
  <c r="AV2104" i="1"/>
  <c r="AV2105" i="1"/>
  <c r="AV2106" i="1"/>
  <c r="AV2107" i="1"/>
  <c r="AV2108" i="1"/>
  <c r="AV2109" i="1"/>
  <c r="AV2110" i="1"/>
  <c r="AV2111" i="1"/>
  <c r="AV2112" i="1"/>
  <c r="AV2113" i="1"/>
  <c r="AV2114" i="1"/>
  <c r="AV2115" i="1"/>
  <c r="AV2116" i="1"/>
  <c r="AV2117" i="1"/>
  <c r="AV2118" i="1"/>
  <c r="AV2119" i="1"/>
  <c r="AV962" i="1"/>
  <c r="AV963" i="1"/>
  <c r="AV964" i="1"/>
  <c r="AV965" i="1"/>
  <c r="AV966" i="1"/>
  <c r="AV967" i="1"/>
  <c r="AV968" i="1"/>
  <c r="AV969" i="1"/>
  <c r="AV970" i="1"/>
  <c r="AV971" i="1"/>
  <c r="AV972" i="1"/>
  <c r="AV973" i="1"/>
  <c r="AV974" i="1"/>
  <c r="AV975" i="1"/>
  <c r="AV976" i="1"/>
  <c r="AV977" i="1"/>
  <c r="AV978" i="1"/>
  <c r="AS974" i="1"/>
  <c r="AS975" i="1"/>
  <c r="AS976" i="1"/>
  <c r="AS977" i="1"/>
  <c r="AS978" i="1"/>
  <c r="AS979" i="1"/>
  <c r="AS980" i="1"/>
  <c r="AS981" i="1"/>
  <c r="AS982" i="1"/>
  <c r="AS983" i="1"/>
  <c r="AS984" i="1"/>
  <c r="AS985" i="1"/>
  <c r="AS986" i="1"/>
  <c r="AS987" i="1"/>
  <c r="AS988" i="1"/>
  <c r="AS989" i="1"/>
  <c r="AS990" i="1"/>
  <c r="AS991" i="1"/>
  <c r="AS992" i="1"/>
  <c r="AS993" i="1"/>
  <c r="AS994" i="1"/>
  <c r="AS995" i="1"/>
  <c r="AS996" i="1"/>
  <c r="AS997" i="1"/>
  <c r="AS998" i="1"/>
  <c r="AS999" i="1"/>
  <c r="AS1000" i="1"/>
  <c r="AS1001" i="1"/>
  <c r="AS1002" i="1"/>
  <c r="AS1003" i="1"/>
  <c r="AS1004" i="1"/>
  <c r="AS1005" i="1"/>
  <c r="AS1006" i="1"/>
  <c r="AS1007" i="1"/>
  <c r="AS1008" i="1"/>
  <c r="AS1009" i="1"/>
  <c r="AS1010" i="1"/>
  <c r="AS1011" i="1"/>
  <c r="AS1012" i="1"/>
  <c r="AS1013" i="1"/>
  <c r="AS1014" i="1"/>
  <c r="AS1015" i="1"/>
  <c r="AS1016" i="1"/>
  <c r="AS1017" i="1"/>
  <c r="AS1018" i="1"/>
  <c r="AS1019" i="1"/>
  <c r="AS1020" i="1"/>
  <c r="AS1021" i="1"/>
  <c r="AS1022" i="1"/>
  <c r="AS1023" i="1"/>
  <c r="AS1024" i="1"/>
  <c r="AS1025" i="1"/>
  <c r="AS1026" i="1"/>
  <c r="AS1027" i="1"/>
  <c r="AS1028" i="1"/>
  <c r="AS1029" i="1"/>
  <c r="AS1030" i="1"/>
  <c r="AS1031" i="1"/>
  <c r="AS1032" i="1"/>
  <c r="AS1033" i="1"/>
  <c r="AS1034" i="1"/>
  <c r="AS1035" i="1"/>
  <c r="AS1036" i="1"/>
  <c r="AS1037" i="1"/>
  <c r="AS1038" i="1"/>
  <c r="AS1039" i="1"/>
  <c r="AS1040" i="1"/>
  <c r="AS1041" i="1"/>
  <c r="AS1042" i="1"/>
  <c r="AS1043" i="1"/>
  <c r="AS1044" i="1"/>
  <c r="AS1045" i="1"/>
  <c r="AS1046" i="1"/>
  <c r="AS1047" i="1"/>
  <c r="AS1048" i="1"/>
  <c r="AS1049" i="1"/>
  <c r="AS1050" i="1"/>
  <c r="AS1051" i="1"/>
  <c r="AS1052" i="1"/>
  <c r="AS1053" i="1"/>
  <c r="AS1054" i="1"/>
  <c r="AS1055" i="1"/>
  <c r="AS1056" i="1"/>
  <c r="AS1057" i="1"/>
  <c r="AS1058" i="1"/>
  <c r="AS1059" i="1"/>
  <c r="AS1060" i="1"/>
  <c r="AS1061" i="1"/>
  <c r="AS1062" i="1"/>
  <c r="AS1063" i="1"/>
  <c r="AS1064" i="1"/>
  <c r="AS1065" i="1"/>
  <c r="AS1066" i="1"/>
  <c r="AS1067" i="1"/>
  <c r="AS1068" i="1"/>
  <c r="AS1069" i="1"/>
  <c r="AS1070" i="1"/>
  <c r="AS1071" i="1"/>
  <c r="AS1072" i="1"/>
  <c r="AS1073" i="1"/>
  <c r="AS1074" i="1"/>
  <c r="AS1075" i="1"/>
  <c r="AS1076" i="1"/>
  <c r="AS1077" i="1"/>
  <c r="AS1078" i="1"/>
  <c r="AS1079" i="1"/>
  <c r="AS1080" i="1"/>
  <c r="AS1081" i="1"/>
  <c r="AS1082" i="1"/>
  <c r="AS1083" i="1"/>
  <c r="AS1084" i="1"/>
  <c r="AS1085" i="1"/>
  <c r="AS1086" i="1"/>
  <c r="AS1087" i="1"/>
  <c r="AS1088" i="1"/>
  <c r="AS1089" i="1"/>
  <c r="AS1090" i="1"/>
  <c r="AS1091" i="1"/>
  <c r="AS1092" i="1"/>
  <c r="AS1093" i="1"/>
  <c r="AS1094" i="1"/>
  <c r="AS1095" i="1"/>
  <c r="AS1096" i="1"/>
  <c r="AS1097" i="1"/>
  <c r="AS1098" i="1"/>
  <c r="AS1099" i="1"/>
  <c r="AS1100" i="1"/>
  <c r="AS1101" i="1"/>
  <c r="AS1102" i="1"/>
  <c r="AS1103" i="1"/>
  <c r="AS1104" i="1"/>
  <c r="AS1105" i="1"/>
  <c r="AS1106" i="1"/>
  <c r="AS1107" i="1"/>
  <c r="AS1108" i="1"/>
  <c r="AS1109" i="1"/>
  <c r="AS1110" i="1"/>
  <c r="AS1111" i="1"/>
  <c r="AS1112" i="1"/>
  <c r="AS1113" i="1"/>
  <c r="AS1114" i="1"/>
  <c r="AS1115" i="1"/>
  <c r="AS1116" i="1"/>
  <c r="AS1117" i="1"/>
  <c r="AS1118" i="1"/>
  <c r="AS1119" i="1"/>
  <c r="AS1120" i="1"/>
  <c r="AS1121" i="1"/>
  <c r="AS1122" i="1"/>
  <c r="AS1123" i="1"/>
  <c r="AS1124" i="1"/>
  <c r="AS1125" i="1"/>
  <c r="AS1126" i="1"/>
  <c r="AS1127" i="1"/>
  <c r="AS1128" i="1"/>
  <c r="AS1129" i="1"/>
  <c r="AS1130" i="1"/>
  <c r="AS1131" i="1"/>
  <c r="AS1132" i="1"/>
  <c r="AS1133" i="1"/>
  <c r="AS1134" i="1"/>
  <c r="AS1135" i="1"/>
  <c r="AS1136" i="1"/>
  <c r="AS1137" i="1"/>
  <c r="AS1138" i="1"/>
  <c r="AS1139" i="1"/>
  <c r="AS1140" i="1"/>
  <c r="AS1141" i="1"/>
  <c r="AS1142" i="1"/>
  <c r="AS1143" i="1"/>
  <c r="AS1144" i="1"/>
  <c r="AS1145" i="1"/>
  <c r="AS1146" i="1"/>
  <c r="AS1147" i="1"/>
  <c r="AS1148" i="1"/>
  <c r="AS1149" i="1"/>
  <c r="AS1150" i="1"/>
  <c r="AS1151" i="1"/>
  <c r="AS1152" i="1"/>
  <c r="AS1153" i="1"/>
  <c r="AS1154" i="1"/>
  <c r="AS1155" i="1"/>
  <c r="AS1156" i="1"/>
  <c r="AS1157" i="1"/>
  <c r="AS1158" i="1"/>
  <c r="AS1159" i="1"/>
  <c r="AS1160" i="1"/>
  <c r="AS1161" i="1"/>
  <c r="AS1162" i="1"/>
  <c r="AS1163" i="1"/>
  <c r="AS1164" i="1"/>
  <c r="AS1165" i="1"/>
  <c r="AS1166" i="1"/>
  <c r="AS1167" i="1"/>
  <c r="AS1168" i="1"/>
  <c r="AS1169" i="1"/>
  <c r="AS1170" i="1"/>
  <c r="AS1171" i="1"/>
  <c r="AS1172" i="1"/>
  <c r="AS1173" i="1"/>
  <c r="AS1174" i="1"/>
  <c r="AS1175" i="1"/>
  <c r="AS1176" i="1"/>
  <c r="AS1177" i="1"/>
  <c r="AS1178" i="1"/>
  <c r="AS1179" i="1"/>
  <c r="AS1180" i="1"/>
  <c r="AS1181" i="1"/>
  <c r="AS1182" i="1"/>
  <c r="AS1183" i="1"/>
  <c r="AS1184" i="1"/>
  <c r="AS1185" i="1"/>
  <c r="AS1186" i="1"/>
  <c r="AS1187" i="1"/>
  <c r="AS1188" i="1"/>
  <c r="AS1189" i="1"/>
  <c r="AS1190" i="1"/>
  <c r="AS1191" i="1"/>
  <c r="AS1192" i="1"/>
  <c r="AS1193" i="1"/>
  <c r="AS1194" i="1"/>
  <c r="AS1195" i="1"/>
  <c r="AS1196" i="1"/>
  <c r="AS1197" i="1"/>
  <c r="AS1198" i="1"/>
  <c r="AS1199" i="1"/>
  <c r="AS1200" i="1"/>
  <c r="AS1201" i="1"/>
  <c r="AS1202" i="1"/>
  <c r="AS1203" i="1"/>
  <c r="AS1204" i="1"/>
  <c r="AS1205" i="1"/>
  <c r="AS1206" i="1"/>
  <c r="AS1207" i="1"/>
  <c r="AS1208" i="1"/>
  <c r="AS1209" i="1"/>
  <c r="AS1210" i="1"/>
  <c r="AS1211" i="1"/>
  <c r="AS1212" i="1"/>
  <c r="AS1213" i="1"/>
  <c r="AS1214" i="1"/>
  <c r="AS1215" i="1"/>
  <c r="AS1216" i="1"/>
  <c r="AS1217" i="1"/>
  <c r="AS1218" i="1"/>
  <c r="AS1219" i="1"/>
  <c r="AS1220" i="1"/>
  <c r="AS1221" i="1"/>
  <c r="AS1222" i="1"/>
  <c r="AS1223" i="1"/>
  <c r="AS1224" i="1"/>
  <c r="AS1225" i="1"/>
  <c r="AS1226" i="1"/>
  <c r="AS1227" i="1"/>
  <c r="AS1228" i="1"/>
  <c r="AS1229" i="1"/>
  <c r="AS1230" i="1"/>
  <c r="AS1231" i="1"/>
  <c r="AS1232" i="1"/>
  <c r="AS1233" i="1"/>
  <c r="AS1234" i="1"/>
  <c r="AS1235" i="1"/>
  <c r="AS1236" i="1"/>
  <c r="AS1237" i="1"/>
  <c r="AS1238" i="1"/>
  <c r="AS1239" i="1"/>
  <c r="AS1240" i="1"/>
  <c r="AS1241" i="1"/>
  <c r="AS1242" i="1"/>
  <c r="AS1243" i="1"/>
  <c r="AS1244" i="1"/>
  <c r="AS1245" i="1"/>
  <c r="AS1246" i="1"/>
  <c r="AS1247" i="1"/>
  <c r="AS1248" i="1"/>
  <c r="AS1249" i="1"/>
  <c r="AS1250" i="1"/>
  <c r="AS1251" i="1"/>
  <c r="AS1252" i="1"/>
  <c r="AS1253" i="1"/>
  <c r="AS1254" i="1"/>
  <c r="AS1255" i="1"/>
  <c r="AS1256" i="1"/>
  <c r="AS1257" i="1"/>
  <c r="AS1258" i="1"/>
  <c r="AS1259" i="1"/>
  <c r="AS1260" i="1"/>
  <c r="AS1261" i="1"/>
  <c r="AS1262" i="1"/>
  <c r="AS1263" i="1"/>
  <c r="AS1264" i="1"/>
  <c r="AS1265" i="1"/>
  <c r="AS1266" i="1"/>
  <c r="AS1267" i="1"/>
  <c r="AS1268" i="1"/>
  <c r="AS1269" i="1"/>
  <c r="AS1270" i="1"/>
  <c r="AS1271" i="1"/>
  <c r="AS1272" i="1"/>
  <c r="AS1273" i="1"/>
  <c r="AS1274" i="1"/>
  <c r="AS1275" i="1"/>
  <c r="AS1276" i="1"/>
  <c r="AS1277" i="1"/>
  <c r="AS1278" i="1"/>
  <c r="AS1279" i="1"/>
  <c r="AS1280" i="1"/>
  <c r="AS1281" i="1"/>
  <c r="AS1282" i="1"/>
  <c r="AS1283" i="1"/>
  <c r="AS1284" i="1"/>
  <c r="AS1285" i="1"/>
  <c r="AS1286" i="1"/>
  <c r="AS1287" i="1"/>
  <c r="AS1288" i="1"/>
  <c r="AS1289" i="1"/>
  <c r="AS1290" i="1"/>
  <c r="AS1291" i="1"/>
  <c r="AS1292" i="1"/>
  <c r="AS1293" i="1"/>
  <c r="AS1294" i="1"/>
  <c r="AS1295" i="1"/>
  <c r="AS1296" i="1"/>
  <c r="AS1297" i="1"/>
  <c r="AS1298" i="1"/>
  <c r="AS1299" i="1"/>
  <c r="AS1300" i="1"/>
  <c r="AS1301" i="1"/>
  <c r="AS1302" i="1"/>
  <c r="AS1303" i="1"/>
  <c r="AS1304" i="1"/>
  <c r="AS1305" i="1"/>
  <c r="AS1306" i="1"/>
  <c r="AS1307" i="1"/>
  <c r="AS1308" i="1"/>
  <c r="AS1309" i="1"/>
  <c r="AS1310" i="1"/>
  <c r="AS1311" i="1"/>
  <c r="AS1312" i="1"/>
  <c r="AS1313" i="1"/>
  <c r="AS1314" i="1"/>
  <c r="AS1315" i="1"/>
  <c r="AS1316" i="1"/>
  <c r="AS1317" i="1"/>
  <c r="AS1318" i="1"/>
  <c r="AS1319" i="1"/>
  <c r="AS1320" i="1"/>
  <c r="AS1321" i="1"/>
  <c r="AS1322" i="1"/>
  <c r="AS1323" i="1"/>
  <c r="AS1324" i="1"/>
  <c r="AS1325" i="1"/>
  <c r="AS1326" i="1"/>
  <c r="AS1327" i="1"/>
  <c r="AS1328" i="1"/>
  <c r="AS1329" i="1"/>
  <c r="AS1330" i="1"/>
  <c r="AS1331" i="1"/>
  <c r="AS1332" i="1"/>
  <c r="AS1333" i="1"/>
  <c r="AS1334" i="1"/>
  <c r="AS1335" i="1"/>
  <c r="AS1336" i="1"/>
  <c r="AS1337" i="1"/>
  <c r="AS1338" i="1"/>
  <c r="AS1339" i="1"/>
  <c r="AS1340" i="1"/>
  <c r="AS1341" i="1"/>
  <c r="AS1342" i="1"/>
  <c r="AS1343" i="1"/>
  <c r="AS1344" i="1"/>
  <c r="AS1345" i="1"/>
  <c r="AS1346" i="1"/>
  <c r="AS1347" i="1"/>
  <c r="AS1348" i="1"/>
  <c r="AS1349" i="1"/>
  <c r="AS1350" i="1"/>
  <c r="AS1351" i="1"/>
  <c r="AS1352" i="1"/>
  <c r="AS1353" i="1"/>
  <c r="AS1354" i="1"/>
  <c r="AS1355" i="1"/>
  <c r="AS1356" i="1"/>
  <c r="AS1357" i="1"/>
  <c r="AS1358" i="1"/>
  <c r="AS1359" i="1"/>
  <c r="AS1360" i="1"/>
  <c r="AS1361" i="1"/>
  <c r="AS1362" i="1"/>
  <c r="AS1363" i="1"/>
  <c r="AS1364" i="1"/>
  <c r="AS1365" i="1"/>
  <c r="AS1366" i="1"/>
  <c r="AS1367" i="1"/>
  <c r="AS1368" i="1"/>
  <c r="AS1369" i="1"/>
  <c r="AS1370" i="1"/>
  <c r="AS1371" i="1"/>
  <c r="AS1372" i="1"/>
  <c r="AS1373" i="1"/>
  <c r="AS1374" i="1"/>
  <c r="AS1375" i="1"/>
  <c r="AS1376" i="1"/>
  <c r="AS1377" i="1"/>
  <c r="AS1378" i="1"/>
  <c r="AS1379" i="1"/>
  <c r="AS1380" i="1"/>
  <c r="AS1381" i="1"/>
  <c r="AS1382" i="1"/>
  <c r="AS1383" i="1"/>
  <c r="AS1384" i="1"/>
  <c r="AS1385" i="1"/>
  <c r="AS1386" i="1"/>
  <c r="AS1387" i="1"/>
  <c r="AS1388" i="1"/>
  <c r="AS1389" i="1"/>
  <c r="AS1390" i="1"/>
  <c r="AS1391" i="1"/>
  <c r="AS1392" i="1"/>
  <c r="AS1393" i="1"/>
  <c r="AS1394" i="1"/>
  <c r="AS1395" i="1"/>
  <c r="AS1396" i="1"/>
  <c r="AS1397" i="1"/>
  <c r="AS1398" i="1"/>
  <c r="AS1399" i="1"/>
  <c r="AS1400" i="1"/>
  <c r="AS1401" i="1"/>
  <c r="AS1402" i="1"/>
  <c r="AS1403" i="1"/>
  <c r="AS1404" i="1"/>
  <c r="AS1405" i="1"/>
  <c r="AS1406" i="1"/>
  <c r="AS1407" i="1"/>
  <c r="AS1408" i="1"/>
  <c r="AS1409" i="1"/>
  <c r="AS1410" i="1"/>
  <c r="AS1411" i="1"/>
  <c r="AS1412" i="1"/>
  <c r="AS1413" i="1"/>
  <c r="AS1414" i="1"/>
  <c r="AS1415" i="1"/>
  <c r="AS1416" i="1"/>
  <c r="AS1417" i="1"/>
  <c r="AS1418" i="1"/>
  <c r="AS1419" i="1"/>
  <c r="AS1420" i="1"/>
  <c r="AS1421" i="1"/>
  <c r="AS1422" i="1"/>
  <c r="AS1423" i="1"/>
  <c r="AS1424" i="1"/>
  <c r="AS1425" i="1"/>
  <c r="AS1426" i="1"/>
  <c r="AS1427" i="1"/>
  <c r="AS1428" i="1"/>
  <c r="AS1429" i="1"/>
  <c r="AS1430" i="1"/>
  <c r="AS1431" i="1"/>
  <c r="AS1432" i="1"/>
  <c r="AS1433" i="1"/>
  <c r="AS1434" i="1"/>
  <c r="AS1435" i="1"/>
  <c r="AS1436" i="1"/>
  <c r="AS1437" i="1"/>
  <c r="AS1438" i="1"/>
  <c r="AS1439" i="1"/>
  <c r="AS1440" i="1"/>
  <c r="AS1441" i="1"/>
  <c r="AS1442" i="1"/>
  <c r="AS1443" i="1"/>
  <c r="AS1444" i="1"/>
  <c r="AS1445" i="1"/>
  <c r="AS1446" i="1"/>
  <c r="AS1447" i="1"/>
  <c r="AS1448" i="1"/>
  <c r="AS1449" i="1"/>
  <c r="AS1450" i="1"/>
  <c r="AS1451" i="1"/>
  <c r="AS1452" i="1"/>
  <c r="AS1453" i="1"/>
  <c r="AS1454" i="1"/>
  <c r="AS1455" i="1"/>
  <c r="AS1456" i="1"/>
  <c r="AS1457" i="1"/>
  <c r="AS1458" i="1"/>
  <c r="AS1459" i="1"/>
  <c r="AS1460" i="1"/>
  <c r="AS1461" i="1"/>
  <c r="AS1462" i="1"/>
  <c r="AS1463" i="1"/>
  <c r="AS1464" i="1"/>
  <c r="AS1465" i="1"/>
  <c r="AS1466" i="1"/>
  <c r="AS1467" i="1"/>
  <c r="AS1468" i="1"/>
  <c r="AS1469" i="1"/>
  <c r="AS1470" i="1"/>
  <c r="AS1471" i="1"/>
  <c r="AS1472" i="1"/>
  <c r="AS1473" i="1"/>
  <c r="AS1474" i="1"/>
  <c r="AS1475" i="1"/>
  <c r="AS1476" i="1"/>
  <c r="AS1477" i="1"/>
  <c r="AS1478" i="1"/>
  <c r="AS1479" i="1"/>
  <c r="AS1480" i="1"/>
  <c r="AS1481" i="1"/>
  <c r="AS1482" i="1"/>
  <c r="AS1483" i="1"/>
  <c r="AS1484" i="1"/>
  <c r="AS1485" i="1"/>
  <c r="AS1486" i="1"/>
  <c r="AS1487" i="1"/>
  <c r="AS1488" i="1"/>
  <c r="AS1489" i="1"/>
  <c r="AS1490" i="1"/>
  <c r="AS1491" i="1"/>
  <c r="AS1492" i="1"/>
  <c r="AS1493" i="1"/>
  <c r="AS1494" i="1"/>
  <c r="AS1495" i="1"/>
  <c r="AS1496" i="1"/>
  <c r="AS1497" i="1"/>
  <c r="AS1498" i="1"/>
  <c r="AS1499" i="1"/>
  <c r="AS1500" i="1"/>
  <c r="AS1501" i="1"/>
  <c r="AS1502" i="1"/>
  <c r="AS1503" i="1"/>
  <c r="AS1504" i="1"/>
  <c r="AS1505" i="1"/>
  <c r="AS1506" i="1"/>
  <c r="AS1507" i="1"/>
  <c r="AS1508" i="1"/>
  <c r="AS1509" i="1"/>
  <c r="AS1510" i="1"/>
  <c r="AS1511" i="1"/>
  <c r="AS1512" i="1"/>
  <c r="AS1513" i="1"/>
  <c r="AS1514" i="1"/>
  <c r="AS1515" i="1"/>
  <c r="AS1516" i="1"/>
  <c r="AS1517" i="1"/>
  <c r="AS1518" i="1"/>
  <c r="AS1519" i="1"/>
  <c r="AS1520" i="1"/>
  <c r="AS1521" i="1"/>
  <c r="AS1522" i="1"/>
  <c r="AS1523" i="1"/>
  <c r="AS1524" i="1"/>
  <c r="AS1525" i="1"/>
  <c r="AS1526" i="1"/>
  <c r="AS1527" i="1"/>
  <c r="AS1528" i="1"/>
  <c r="AS1529" i="1"/>
  <c r="AS1530" i="1"/>
  <c r="AS1531" i="1"/>
  <c r="AS1532" i="1"/>
  <c r="AS1533" i="1"/>
  <c r="AS1534" i="1"/>
  <c r="AS1535" i="1"/>
  <c r="AS1536" i="1"/>
  <c r="AS1537" i="1"/>
  <c r="AS1538" i="1"/>
  <c r="AS1539" i="1"/>
  <c r="AS1540" i="1"/>
  <c r="AS1541" i="1"/>
  <c r="AS1542" i="1"/>
  <c r="AS1543" i="1"/>
  <c r="AS1544" i="1"/>
  <c r="AS1545" i="1"/>
  <c r="AS1546" i="1"/>
  <c r="AS1547" i="1"/>
  <c r="AS1548" i="1"/>
  <c r="AS1549" i="1"/>
  <c r="AS1550" i="1"/>
  <c r="AS1551" i="1"/>
  <c r="AS1552" i="1"/>
  <c r="AS1553" i="1"/>
  <c r="AS1554" i="1"/>
  <c r="AS1555" i="1"/>
  <c r="AS1556" i="1"/>
  <c r="AS1557" i="1"/>
  <c r="AS1558" i="1"/>
  <c r="AS1559" i="1"/>
  <c r="AS1560" i="1"/>
  <c r="AS1561" i="1"/>
  <c r="AS1562" i="1"/>
  <c r="AS1563" i="1"/>
  <c r="AS1564" i="1"/>
  <c r="AS1565" i="1"/>
  <c r="AS1566" i="1"/>
  <c r="AS1567" i="1"/>
  <c r="AS1568" i="1"/>
  <c r="AS1569" i="1"/>
  <c r="AS1570" i="1"/>
  <c r="AS1571" i="1"/>
  <c r="AS1572" i="1"/>
  <c r="AS1573" i="1"/>
  <c r="AS1574" i="1"/>
  <c r="AS1575" i="1"/>
  <c r="AS1576" i="1"/>
  <c r="AS1577" i="1"/>
  <c r="AS1578" i="1"/>
  <c r="AS1579" i="1"/>
  <c r="AS1580" i="1"/>
  <c r="AS1581" i="1"/>
  <c r="AS1582" i="1"/>
  <c r="AS1583" i="1"/>
  <c r="AS1584" i="1"/>
  <c r="AS1585" i="1"/>
  <c r="AS1586" i="1"/>
  <c r="AS1587" i="1"/>
  <c r="AS1588" i="1"/>
  <c r="AS1589" i="1"/>
  <c r="AS1590" i="1"/>
  <c r="AS1591" i="1"/>
  <c r="AS1592" i="1"/>
  <c r="AS1593" i="1"/>
  <c r="AS1594" i="1"/>
  <c r="AS1595" i="1"/>
  <c r="AS1596" i="1"/>
  <c r="AS1597" i="1"/>
  <c r="AS1598" i="1"/>
  <c r="AS1599" i="1"/>
  <c r="AS1600" i="1"/>
  <c r="AS1601" i="1"/>
  <c r="AS1602" i="1"/>
  <c r="AS1603" i="1"/>
  <c r="AS1604" i="1"/>
  <c r="AS1605" i="1"/>
  <c r="AS1606" i="1"/>
  <c r="AS1607" i="1"/>
  <c r="AS1608" i="1"/>
  <c r="AS1609" i="1"/>
  <c r="AS1610" i="1"/>
  <c r="AS1611" i="1"/>
  <c r="AS1612" i="1"/>
  <c r="AS1613" i="1"/>
  <c r="AS1614" i="1"/>
  <c r="AS1615" i="1"/>
  <c r="AS1616" i="1"/>
  <c r="AS1617" i="1"/>
  <c r="AS1618" i="1"/>
  <c r="AS1619" i="1"/>
  <c r="AS1620" i="1"/>
  <c r="AS1621" i="1"/>
  <c r="AS1622" i="1"/>
  <c r="AS1623" i="1"/>
  <c r="AS1624" i="1"/>
  <c r="AS1625" i="1"/>
  <c r="AS1626" i="1"/>
  <c r="AS1627" i="1"/>
  <c r="AS1628" i="1"/>
  <c r="AS1629" i="1"/>
  <c r="AS1630" i="1"/>
  <c r="AS1631" i="1"/>
  <c r="AS1632" i="1"/>
  <c r="AS1633" i="1"/>
  <c r="AS1634" i="1"/>
  <c r="AS1635" i="1"/>
  <c r="AS1636" i="1"/>
  <c r="AS1637" i="1"/>
  <c r="AS1638" i="1"/>
  <c r="AS1639" i="1"/>
  <c r="AS1640" i="1"/>
  <c r="AS1641" i="1"/>
  <c r="AS1642" i="1"/>
  <c r="AS1643" i="1"/>
  <c r="AS1644" i="1"/>
  <c r="AS1645" i="1"/>
  <c r="AS1646" i="1"/>
  <c r="AS1647" i="1"/>
  <c r="AS1648" i="1"/>
  <c r="AS1649" i="1"/>
  <c r="AS1650" i="1"/>
  <c r="AS1651" i="1"/>
  <c r="AS1652" i="1"/>
  <c r="AS1653" i="1"/>
  <c r="AS1654" i="1"/>
  <c r="AS1655" i="1"/>
  <c r="AS1656" i="1"/>
  <c r="AS1657" i="1"/>
  <c r="AS1658" i="1"/>
  <c r="AS1659" i="1"/>
  <c r="AS1660" i="1"/>
  <c r="AS1661" i="1"/>
  <c r="AS1662" i="1"/>
  <c r="AS1663" i="1"/>
  <c r="AS1664" i="1"/>
  <c r="AS1665" i="1"/>
  <c r="AS1666" i="1"/>
  <c r="AS1667" i="1"/>
  <c r="AS1668" i="1"/>
  <c r="AS1669" i="1"/>
  <c r="AS1670" i="1"/>
  <c r="AS1671" i="1"/>
  <c r="AS1672" i="1"/>
  <c r="AS1673" i="1"/>
  <c r="AS1674" i="1"/>
  <c r="AS1675" i="1"/>
  <c r="AS1676" i="1"/>
  <c r="AS1677" i="1"/>
  <c r="AS1678" i="1"/>
  <c r="AS1679" i="1"/>
  <c r="AS1680" i="1"/>
  <c r="AS1681" i="1"/>
  <c r="AS1682" i="1"/>
  <c r="AS1683" i="1"/>
  <c r="AS1684" i="1"/>
  <c r="AS1685" i="1"/>
  <c r="AS1686" i="1"/>
  <c r="AS1687" i="1"/>
  <c r="AS1688" i="1"/>
  <c r="AS1689" i="1"/>
  <c r="AS1690" i="1"/>
  <c r="AS1691" i="1"/>
  <c r="AS1692" i="1"/>
  <c r="AS1693" i="1"/>
  <c r="AS1694" i="1"/>
  <c r="AS1695" i="1"/>
  <c r="AS1696" i="1"/>
  <c r="AS1697" i="1"/>
  <c r="AS1698" i="1"/>
  <c r="AS1699" i="1"/>
  <c r="AS1700" i="1"/>
  <c r="AS1701" i="1"/>
  <c r="AS1702" i="1"/>
  <c r="AS1703" i="1"/>
  <c r="AS1704" i="1"/>
  <c r="AS1705" i="1"/>
  <c r="AS1706" i="1"/>
  <c r="AS1707" i="1"/>
  <c r="AS1708" i="1"/>
  <c r="AS1709" i="1"/>
  <c r="AS1710" i="1"/>
  <c r="AS1711" i="1"/>
  <c r="AS1712" i="1"/>
  <c r="AS1713" i="1"/>
  <c r="AS1714" i="1"/>
  <c r="AS1715" i="1"/>
  <c r="AS1716" i="1"/>
  <c r="AS1717" i="1"/>
  <c r="AS1718" i="1"/>
  <c r="AS1719" i="1"/>
  <c r="AS1720" i="1"/>
  <c r="AS1721" i="1"/>
  <c r="AS1722" i="1"/>
  <c r="AS1723" i="1"/>
  <c r="AS1724" i="1"/>
  <c r="AS1725" i="1"/>
  <c r="AS1726" i="1"/>
  <c r="AS1727" i="1"/>
  <c r="AS1728" i="1"/>
  <c r="AS1729" i="1"/>
  <c r="AS1730" i="1"/>
  <c r="AS1731" i="1"/>
  <c r="AS1732" i="1"/>
  <c r="AS1733" i="1"/>
  <c r="AS1734" i="1"/>
  <c r="AS1735" i="1"/>
  <c r="AS1736" i="1"/>
  <c r="AS1737" i="1"/>
  <c r="AS1738" i="1"/>
  <c r="AS1739" i="1"/>
  <c r="AS1740" i="1"/>
  <c r="AS1741" i="1"/>
  <c r="AS1742" i="1"/>
  <c r="AS1743" i="1"/>
  <c r="AS1744" i="1"/>
  <c r="AS1745" i="1"/>
  <c r="AS1746" i="1"/>
  <c r="AS1747" i="1"/>
  <c r="AS1748" i="1"/>
  <c r="AS1749" i="1"/>
  <c r="AS1750" i="1"/>
  <c r="AS1751" i="1"/>
  <c r="AS1752" i="1"/>
  <c r="AS1753" i="1"/>
  <c r="AS1754" i="1"/>
  <c r="AS1755" i="1"/>
  <c r="AS1756" i="1"/>
  <c r="AS1757" i="1"/>
  <c r="AS1758" i="1"/>
  <c r="AS1759" i="1"/>
  <c r="AS1760" i="1"/>
  <c r="AS1761" i="1"/>
  <c r="AS1762" i="1"/>
  <c r="AS1763" i="1"/>
  <c r="AS1764" i="1"/>
  <c r="AS1765" i="1"/>
  <c r="AS1766" i="1"/>
  <c r="AS1767" i="1"/>
  <c r="AS1768" i="1"/>
  <c r="AS1769" i="1"/>
  <c r="AS1770" i="1"/>
  <c r="AS1771" i="1"/>
  <c r="AS1772" i="1"/>
  <c r="AS1773" i="1"/>
  <c r="AS1774" i="1"/>
  <c r="AS1775" i="1"/>
  <c r="AS1776" i="1"/>
  <c r="AS1777" i="1"/>
  <c r="AS1778" i="1"/>
  <c r="AS1779" i="1"/>
  <c r="AS1780" i="1"/>
  <c r="AS1781" i="1"/>
  <c r="AS1782" i="1"/>
  <c r="AS1783" i="1"/>
  <c r="AS1784" i="1"/>
  <c r="AS1785" i="1"/>
  <c r="AS1786" i="1"/>
  <c r="AS1787" i="1"/>
  <c r="AS1788" i="1"/>
  <c r="AS1789" i="1"/>
  <c r="AS1790" i="1"/>
  <c r="AS1791" i="1"/>
  <c r="AS1792" i="1"/>
  <c r="AS1793" i="1"/>
  <c r="AS1794" i="1"/>
  <c r="AS1795" i="1"/>
  <c r="AS1796" i="1"/>
  <c r="AS1797" i="1"/>
  <c r="AS1798" i="1"/>
  <c r="AS1799" i="1"/>
  <c r="AS1800" i="1"/>
  <c r="AS1801" i="1"/>
  <c r="AS1802" i="1"/>
  <c r="AS1803" i="1"/>
  <c r="AS1804" i="1"/>
  <c r="AS1805" i="1"/>
  <c r="AS1806" i="1"/>
  <c r="AS1807" i="1"/>
  <c r="AS1808" i="1"/>
  <c r="AS1809" i="1"/>
  <c r="AS1810" i="1"/>
  <c r="AS1811" i="1"/>
  <c r="AS1812" i="1"/>
  <c r="AS1813" i="1"/>
  <c r="AS1814" i="1"/>
  <c r="AS1815" i="1"/>
  <c r="AS1816" i="1"/>
  <c r="AS1817" i="1"/>
  <c r="AS1818" i="1"/>
  <c r="AS1819" i="1"/>
  <c r="AS1820" i="1"/>
  <c r="AS1821" i="1"/>
  <c r="AS1822" i="1"/>
  <c r="AS1823" i="1"/>
  <c r="AS1824" i="1"/>
  <c r="AS1825" i="1"/>
  <c r="AS1826" i="1"/>
  <c r="AS1827" i="1"/>
  <c r="AS1828" i="1"/>
  <c r="AS1829" i="1"/>
  <c r="AS1830" i="1"/>
  <c r="AS1831" i="1"/>
  <c r="AS1832" i="1"/>
  <c r="AS1833" i="1"/>
  <c r="AS1834" i="1"/>
  <c r="AS1835" i="1"/>
  <c r="AS1836" i="1"/>
  <c r="AS1837" i="1"/>
  <c r="AS1838" i="1"/>
  <c r="AS1839" i="1"/>
  <c r="AS1840" i="1"/>
  <c r="AS1841" i="1"/>
  <c r="AS1842" i="1"/>
  <c r="AS1843" i="1"/>
  <c r="AS1844" i="1"/>
  <c r="AS1845" i="1"/>
  <c r="AS1846" i="1"/>
  <c r="AS1847" i="1"/>
  <c r="AS1848" i="1"/>
  <c r="AS1849" i="1"/>
  <c r="AS1850" i="1"/>
  <c r="AS1851" i="1"/>
  <c r="AS1852" i="1"/>
  <c r="AS1853" i="1"/>
  <c r="AS1854" i="1"/>
  <c r="AS1855" i="1"/>
  <c r="AS1856" i="1"/>
  <c r="AS1857" i="1"/>
  <c r="AS1858" i="1"/>
  <c r="AS1859" i="1"/>
  <c r="AS1860" i="1"/>
  <c r="AS1861" i="1"/>
  <c r="AS1862" i="1"/>
  <c r="AS1863" i="1"/>
  <c r="AS1864" i="1"/>
  <c r="AS1865" i="1"/>
  <c r="AS1866" i="1"/>
  <c r="AS1867" i="1"/>
  <c r="AS1868" i="1"/>
  <c r="AS1869" i="1"/>
  <c r="AS1870" i="1"/>
  <c r="AS1871" i="1"/>
  <c r="AS1872" i="1"/>
  <c r="AS1873" i="1"/>
  <c r="AS1874" i="1"/>
  <c r="AS1875" i="1"/>
  <c r="AS1876" i="1"/>
  <c r="AS1877" i="1"/>
  <c r="AS1878" i="1"/>
  <c r="AS1879" i="1"/>
  <c r="AS1880" i="1"/>
  <c r="AS1881" i="1"/>
  <c r="AS1882" i="1"/>
  <c r="AS1883" i="1"/>
  <c r="AS1884" i="1"/>
  <c r="AS1885" i="1"/>
  <c r="AS1886" i="1"/>
  <c r="AS1887" i="1"/>
  <c r="AS1888" i="1"/>
  <c r="AS1889" i="1"/>
  <c r="AS1890" i="1"/>
  <c r="AS1891" i="1"/>
  <c r="AS1892" i="1"/>
  <c r="AS1893" i="1"/>
  <c r="AS1894" i="1"/>
  <c r="AS1895" i="1"/>
  <c r="AS1896" i="1"/>
  <c r="AS1897" i="1"/>
  <c r="AS1898" i="1"/>
  <c r="AS1899" i="1"/>
  <c r="AS1900" i="1"/>
  <c r="AS1901" i="1"/>
  <c r="AS1902" i="1"/>
  <c r="AS1903" i="1"/>
  <c r="AS1904" i="1"/>
  <c r="AS1905" i="1"/>
  <c r="AS1906" i="1"/>
  <c r="AS1907" i="1"/>
  <c r="AS1908" i="1"/>
  <c r="AS1909" i="1"/>
  <c r="AS1910" i="1"/>
  <c r="AS1911" i="1"/>
  <c r="AS1912" i="1"/>
  <c r="AS1913" i="1"/>
  <c r="AS1914" i="1"/>
  <c r="AS1915" i="1"/>
  <c r="AS1916" i="1"/>
  <c r="AS1917" i="1"/>
  <c r="AS1918" i="1"/>
  <c r="AS1919" i="1"/>
  <c r="AS1920" i="1"/>
  <c r="AS1921" i="1"/>
  <c r="AS1922" i="1"/>
  <c r="AS1923" i="1"/>
  <c r="AS1924" i="1"/>
  <c r="AS1925" i="1"/>
  <c r="AS1926" i="1"/>
  <c r="AS1927" i="1"/>
  <c r="AS1928" i="1"/>
  <c r="AS1929" i="1"/>
  <c r="AS1930" i="1"/>
  <c r="AS1931" i="1"/>
  <c r="AS1932" i="1"/>
  <c r="AS1933" i="1"/>
  <c r="AS1934" i="1"/>
  <c r="AS1935" i="1"/>
  <c r="AS1936" i="1"/>
  <c r="AS1937" i="1"/>
  <c r="AS1938" i="1"/>
  <c r="AS1939" i="1"/>
  <c r="AS1940" i="1"/>
  <c r="AS1941" i="1"/>
  <c r="AS1942" i="1"/>
  <c r="AS1943" i="1"/>
  <c r="AS1944" i="1"/>
  <c r="AS1945" i="1"/>
  <c r="AS1946" i="1"/>
  <c r="AS1947" i="1"/>
  <c r="AS1948" i="1"/>
  <c r="AS1949" i="1"/>
  <c r="AS1950" i="1"/>
  <c r="AS1951" i="1"/>
  <c r="AS1952" i="1"/>
  <c r="AS1953" i="1"/>
  <c r="AS1954" i="1"/>
  <c r="AS1955" i="1"/>
  <c r="AS1956" i="1"/>
  <c r="AS1957" i="1"/>
  <c r="AS1958" i="1"/>
  <c r="AS1959" i="1"/>
  <c r="AS1960" i="1"/>
  <c r="AS1961" i="1"/>
  <c r="AS1962" i="1"/>
  <c r="AS1963" i="1"/>
  <c r="AS1964" i="1"/>
  <c r="AS1965" i="1"/>
  <c r="AS1966" i="1"/>
  <c r="AS1967" i="1"/>
  <c r="AS1968" i="1"/>
  <c r="AS1969" i="1"/>
  <c r="AS1970" i="1"/>
  <c r="AS1971" i="1"/>
  <c r="AS1972" i="1"/>
  <c r="AS1973" i="1"/>
  <c r="AS1974" i="1"/>
  <c r="AS1975" i="1"/>
  <c r="AS1976" i="1"/>
  <c r="AS1977" i="1"/>
  <c r="AS1978" i="1"/>
  <c r="AS1979" i="1"/>
  <c r="AS1980" i="1"/>
  <c r="AS1981" i="1"/>
  <c r="AS1982" i="1"/>
  <c r="AS1983" i="1"/>
  <c r="AS1984" i="1"/>
  <c r="AS1985" i="1"/>
  <c r="AS1986" i="1"/>
  <c r="AS1987" i="1"/>
  <c r="AS1988" i="1"/>
  <c r="AS1989" i="1"/>
  <c r="AS1990" i="1"/>
  <c r="AS1991" i="1"/>
  <c r="AS1992" i="1"/>
  <c r="AS1993" i="1"/>
  <c r="AS1994" i="1"/>
  <c r="AS1995" i="1"/>
  <c r="AS1996" i="1"/>
  <c r="AS1997" i="1"/>
  <c r="AS1998" i="1"/>
  <c r="AS1999" i="1"/>
  <c r="AS2000" i="1"/>
  <c r="AS2001" i="1"/>
  <c r="AS2002" i="1"/>
  <c r="AS2003" i="1"/>
  <c r="AS2004" i="1"/>
  <c r="AS2005" i="1"/>
  <c r="AS2006" i="1"/>
  <c r="AS2007" i="1"/>
  <c r="AS2008" i="1"/>
  <c r="AS2009" i="1"/>
  <c r="AS2010" i="1"/>
  <c r="AS2011" i="1"/>
  <c r="AS2012" i="1"/>
  <c r="AS2013" i="1"/>
  <c r="AS2014" i="1"/>
  <c r="AS2015" i="1"/>
  <c r="AS2016" i="1"/>
  <c r="AS2017" i="1"/>
  <c r="AS2018" i="1"/>
  <c r="AS2019" i="1"/>
  <c r="AS2020" i="1"/>
  <c r="AS2021" i="1"/>
  <c r="AS2022" i="1"/>
  <c r="AS2023" i="1"/>
  <c r="AS2024" i="1"/>
  <c r="AS2025" i="1"/>
  <c r="AS2026" i="1"/>
  <c r="AS2027" i="1"/>
  <c r="AS2028" i="1"/>
  <c r="AS2029" i="1"/>
  <c r="AS2030" i="1"/>
  <c r="AS2031" i="1"/>
  <c r="AS2032" i="1"/>
  <c r="AS2033" i="1"/>
  <c r="AS2034" i="1"/>
  <c r="AS2035" i="1"/>
  <c r="AS2036" i="1"/>
  <c r="AS2037" i="1"/>
  <c r="AS2038" i="1"/>
  <c r="AS2039" i="1"/>
  <c r="AS2040" i="1"/>
  <c r="AS2041" i="1"/>
  <c r="AS2042" i="1"/>
  <c r="AS2043" i="1"/>
  <c r="AS2044" i="1"/>
  <c r="AS2045" i="1"/>
  <c r="AS2046" i="1"/>
  <c r="AS2047" i="1"/>
  <c r="AS2048" i="1"/>
  <c r="AS2049" i="1"/>
  <c r="AS2050" i="1"/>
  <c r="AS2051" i="1"/>
  <c r="AS2052" i="1"/>
  <c r="AS2053" i="1"/>
  <c r="AS2054" i="1"/>
  <c r="AS2055" i="1"/>
  <c r="AS2056" i="1"/>
  <c r="AS2057" i="1"/>
  <c r="AS2058" i="1"/>
  <c r="AS2059" i="1"/>
  <c r="AS2060" i="1"/>
  <c r="AS2061" i="1"/>
  <c r="AS2062" i="1"/>
  <c r="AS2063" i="1"/>
  <c r="AS2064" i="1"/>
  <c r="AS2065" i="1"/>
  <c r="AS2066" i="1"/>
  <c r="AS2067" i="1"/>
  <c r="AS2068" i="1"/>
  <c r="AS2069" i="1"/>
  <c r="AS2070" i="1"/>
  <c r="AS2071" i="1"/>
  <c r="AS2072" i="1"/>
  <c r="AS2073" i="1"/>
  <c r="AS2074" i="1"/>
  <c r="AS2075" i="1"/>
  <c r="AS2076" i="1"/>
  <c r="AS2077" i="1"/>
  <c r="AS2078" i="1"/>
  <c r="AS2079" i="1"/>
  <c r="AS2080" i="1"/>
  <c r="AS2081" i="1"/>
  <c r="AS2082" i="1"/>
  <c r="AS2083" i="1"/>
  <c r="AS2084" i="1"/>
  <c r="AS2085" i="1"/>
  <c r="AS2086" i="1"/>
  <c r="AS2087" i="1"/>
  <c r="AS2088" i="1"/>
  <c r="AS2089" i="1"/>
  <c r="AS2090" i="1"/>
  <c r="AS2091" i="1"/>
  <c r="AS2092" i="1"/>
  <c r="AS2093" i="1"/>
  <c r="AS2094" i="1"/>
  <c r="AS2095" i="1"/>
  <c r="AS2096" i="1"/>
  <c r="AS2097" i="1"/>
  <c r="AS2098" i="1"/>
  <c r="AS2099" i="1"/>
  <c r="AS2100" i="1"/>
  <c r="AS2101" i="1"/>
  <c r="AS2102" i="1"/>
  <c r="AS2103" i="1"/>
  <c r="AS2104" i="1"/>
  <c r="AS2105" i="1"/>
  <c r="AS2106" i="1"/>
  <c r="AS2107" i="1"/>
  <c r="AS2108" i="1"/>
  <c r="AS2109" i="1"/>
  <c r="AS2110" i="1"/>
  <c r="AS2111" i="1"/>
  <c r="AS2112" i="1"/>
  <c r="AS2113" i="1"/>
  <c r="AS2114" i="1"/>
  <c r="AS2115" i="1"/>
  <c r="AS2116" i="1"/>
  <c r="AS2117" i="1"/>
  <c r="AS2118" i="1"/>
  <c r="AS2119" i="1"/>
  <c r="AS962" i="1"/>
  <c r="AS963" i="1"/>
  <c r="AS964" i="1"/>
  <c r="AS965" i="1"/>
  <c r="AS966" i="1"/>
  <c r="AS967" i="1"/>
  <c r="AS968" i="1"/>
  <c r="AS969" i="1"/>
  <c r="AS970" i="1"/>
  <c r="AS971" i="1"/>
  <c r="AS972" i="1"/>
  <c r="AS973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023" i="1"/>
  <c r="AO2024" i="1"/>
  <c r="AO2025" i="1"/>
  <c r="AO2026" i="1"/>
  <c r="AO2027" i="1"/>
  <c r="AO2028" i="1"/>
  <c r="AO2029" i="1"/>
  <c r="AO2030" i="1"/>
  <c r="AO2031" i="1"/>
  <c r="AO2032" i="1"/>
  <c r="AO2033" i="1"/>
  <c r="AO2034" i="1"/>
  <c r="AO2035" i="1"/>
  <c r="AO2036" i="1"/>
  <c r="AO2037" i="1"/>
  <c r="AO2038" i="1"/>
  <c r="AO2039" i="1"/>
  <c r="AO2040" i="1"/>
  <c r="AO2041" i="1"/>
  <c r="AO2042" i="1"/>
  <c r="AO2043" i="1"/>
  <c r="AO2044" i="1"/>
  <c r="AO2045" i="1"/>
  <c r="AO2046" i="1"/>
  <c r="AO2047" i="1"/>
  <c r="AO2048" i="1"/>
  <c r="AO2049" i="1"/>
  <c r="AO2050" i="1"/>
  <c r="AO2051" i="1"/>
  <c r="AO2052" i="1"/>
  <c r="AO2053" i="1"/>
  <c r="AO2054" i="1"/>
  <c r="AO2055" i="1"/>
  <c r="AO2056" i="1"/>
  <c r="AO2057" i="1"/>
  <c r="AO2058" i="1"/>
  <c r="AO2059" i="1"/>
  <c r="AO2060" i="1"/>
  <c r="AO2061" i="1"/>
  <c r="AO2062" i="1"/>
  <c r="AO2063" i="1"/>
  <c r="AO2064" i="1"/>
  <c r="AO2065" i="1"/>
  <c r="AO2066" i="1"/>
  <c r="AO2067" i="1"/>
  <c r="AO2068" i="1"/>
  <c r="AO2069" i="1"/>
  <c r="AO2070" i="1"/>
  <c r="AO2071" i="1"/>
  <c r="AO2072" i="1"/>
  <c r="AO2073" i="1"/>
  <c r="AO2074" i="1"/>
  <c r="AO2075" i="1"/>
  <c r="AO2076" i="1"/>
  <c r="AO2077" i="1"/>
  <c r="AO2078" i="1"/>
  <c r="AO2079" i="1"/>
  <c r="AO2080" i="1"/>
  <c r="AO2081" i="1"/>
  <c r="AO2082" i="1"/>
  <c r="AO2083" i="1"/>
  <c r="AO2084" i="1"/>
  <c r="AO2085" i="1"/>
  <c r="AO2086" i="1"/>
  <c r="AO2087" i="1"/>
  <c r="AO2088" i="1"/>
  <c r="AO2089" i="1"/>
  <c r="AO2090" i="1"/>
  <c r="AO2091" i="1"/>
  <c r="AO2092" i="1"/>
  <c r="AO2093" i="1"/>
  <c r="AO2094" i="1"/>
  <c r="AO2095" i="1"/>
  <c r="AO2096" i="1"/>
  <c r="AO2097" i="1"/>
  <c r="AO2098" i="1"/>
  <c r="AO2099" i="1"/>
  <c r="AO2100" i="1"/>
  <c r="AO2101" i="1"/>
  <c r="AO2102" i="1"/>
  <c r="AO2103" i="1"/>
  <c r="AO2104" i="1"/>
  <c r="AO2105" i="1"/>
  <c r="AO2106" i="1"/>
  <c r="AO2107" i="1"/>
  <c r="AO2108" i="1"/>
  <c r="AO2109" i="1"/>
  <c r="AO2110" i="1"/>
  <c r="AO2111" i="1"/>
  <c r="AO2112" i="1"/>
  <c r="AO2113" i="1"/>
  <c r="AO2114" i="1"/>
  <c r="AO2115" i="1"/>
  <c r="AO2116" i="1"/>
  <c r="AO2117" i="1"/>
  <c r="AO2118" i="1"/>
  <c r="AO2119" i="1"/>
  <c r="AO963" i="1"/>
  <c r="AO964" i="1"/>
  <c r="AO965" i="1"/>
  <c r="AO966" i="1"/>
  <c r="AO967" i="1"/>
  <c r="AO968" i="1"/>
  <c r="AO969" i="1"/>
  <c r="AO970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023" i="1"/>
  <c r="AN2024" i="1"/>
  <c r="AN2025" i="1"/>
  <c r="AN2026" i="1"/>
  <c r="AN2027" i="1"/>
  <c r="AN2028" i="1"/>
  <c r="AN2029" i="1"/>
  <c r="AN2030" i="1"/>
  <c r="AN2031" i="1"/>
  <c r="AN2032" i="1"/>
  <c r="AN2033" i="1"/>
  <c r="AN2034" i="1"/>
  <c r="AN2035" i="1"/>
  <c r="AN2036" i="1"/>
  <c r="AN2037" i="1"/>
  <c r="AN2038" i="1"/>
  <c r="AN2039" i="1"/>
  <c r="AN2040" i="1"/>
  <c r="AN2041" i="1"/>
  <c r="AN2042" i="1"/>
  <c r="AN2043" i="1"/>
  <c r="AN2044" i="1"/>
  <c r="AN2045" i="1"/>
  <c r="AN2046" i="1"/>
  <c r="AN2047" i="1"/>
  <c r="AN2048" i="1"/>
  <c r="AN2049" i="1"/>
  <c r="AN2050" i="1"/>
  <c r="AN2051" i="1"/>
  <c r="AN2052" i="1"/>
  <c r="AN2053" i="1"/>
  <c r="AN2054" i="1"/>
  <c r="AN2055" i="1"/>
  <c r="AN2056" i="1"/>
  <c r="AN2057" i="1"/>
  <c r="AN2058" i="1"/>
  <c r="AN2059" i="1"/>
  <c r="AN2060" i="1"/>
  <c r="AN2061" i="1"/>
  <c r="AN2062" i="1"/>
  <c r="AN2063" i="1"/>
  <c r="AN2064" i="1"/>
  <c r="AN2065" i="1"/>
  <c r="AN2066" i="1"/>
  <c r="AN2067" i="1"/>
  <c r="AN2068" i="1"/>
  <c r="AN2069" i="1"/>
  <c r="AN2070" i="1"/>
  <c r="AN2071" i="1"/>
  <c r="AN2072" i="1"/>
  <c r="AN2073" i="1"/>
  <c r="AN2074" i="1"/>
  <c r="AN2075" i="1"/>
  <c r="AN2076" i="1"/>
  <c r="AN2077" i="1"/>
  <c r="AN2078" i="1"/>
  <c r="AN2079" i="1"/>
  <c r="AN2080" i="1"/>
  <c r="AN2081" i="1"/>
  <c r="AN2082" i="1"/>
  <c r="AN2083" i="1"/>
  <c r="AN2084" i="1"/>
  <c r="AN2085" i="1"/>
  <c r="AN2086" i="1"/>
  <c r="AN2087" i="1"/>
  <c r="AN2088" i="1"/>
  <c r="AN2089" i="1"/>
  <c r="AN2090" i="1"/>
  <c r="AN2091" i="1"/>
  <c r="AN2092" i="1"/>
  <c r="AN2093" i="1"/>
  <c r="AN2094" i="1"/>
  <c r="AN2095" i="1"/>
  <c r="AN2096" i="1"/>
  <c r="AN2097" i="1"/>
  <c r="AN2098" i="1"/>
  <c r="AN2099" i="1"/>
  <c r="AN2100" i="1"/>
  <c r="AN2101" i="1"/>
  <c r="AN2102" i="1"/>
  <c r="AN2103" i="1"/>
  <c r="AN2104" i="1"/>
  <c r="AN2105" i="1"/>
  <c r="AN2106" i="1"/>
  <c r="AN2107" i="1"/>
  <c r="AN2108" i="1"/>
  <c r="AN2109" i="1"/>
  <c r="AN2110" i="1"/>
  <c r="AN2111" i="1"/>
  <c r="AN2112" i="1"/>
  <c r="AN2113" i="1"/>
  <c r="AN2114" i="1"/>
  <c r="AN2115" i="1"/>
  <c r="AN2116" i="1"/>
  <c r="AN2117" i="1"/>
  <c r="AN2118" i="1"/>
  <c r="AN2119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AK2000" i="1"/>
  <c r="AK2001" i="1"/>
  <c r="AK2002" i="1"/>
  <c r="AK2003" i="1"/>
  <c r="AK2004" i="1"/>
  <c r="AK2005" i="1"/>
  <c r="AK2006" i="1"/>
  <c r="AK2007" i="1"/>
  <c r="AK2008" i="1"/>
  <c r="AK2009" i="1"/>
  <c r="AK2010" i="1"/>
  <c r="AK2011" i="1"/>
  <c r="AK2012" i="1"/>
  <c r="AK2013" i="1"/>
  <c r="AK2014" i="1"/>
  <c r="AK2015" i="1"/>
  <c r="AK2016" i="1"/>
  <c r="AK2017" i="1"/>
  <c r="AK2018" i="1"/>
  <c r="AK2019" i="1"/>
  <c r="AK2020" i="1"/>
  <c r="AK2021" i="1"/>
  <c r="AK2022" i="1"/>
  <c r="AK2023" i="1"/>
  <c r="AK2024" i="1"/>
  <c r="AK2025" i="1"/>
  <c r="AK2026" i="1"/>
  <c r="AK2027" i="1"/>
  <c r="AK2028" i="1"/>
  <c r="AK2029" i="1"/>
  <c r="AK2030" i="1"/>
  <c r="AK2031" i="1"/>
  <c r="AK2032" i="1"/>
  <c r="AK2033" i="1"/>
  <c r="AK2034" i="1"/>
  <c r="AK2035" i="1"/>
  <c r="AK2036" i="1"/>
  <c r="AK2037" i="1"/>
  <c r="AK2038" i="1"/>
  <c r="AK2039" i="1"/>
  <c r="AK2040" i="1"/>
  <c r="AK2041" i="1"/>
  <c r="AK2042" i="1"/>
  <c r="AK2043" i="1"/>
  <c r="AK2044" i="1"/>
  <c r="AK2045" i="1"/>
  <c r="AK2046" i="1"/>
  <c r="AK2047" i="1"/>
  <c r="AK2048" i="1"/>
  <c r="AK2049" i="1"/>
  <c r="AK2050" i="1"/>
  <c r="AK2051" i="1"/>
  <c r="AK2052" i="1"/>
  <c r="AK2053" i="1"/>
  <c r="AK2054" i="1"/>
  <c r="AK2055" i="1"/>
  <c r="AK2056" i="1"/>
  <c r="AK2057" i="1"/>
  <c r="AK2058" i="1"/>
  <c r="AK2059" i="1"/>
  <c r="AK2060" i="1"/>
  <c r="AK2061" i="1"/>
  <c r="AK2062" i="1"/>
  <c r="AK2063" i="1"/>
  <c r="AK2064" i="1"/>
  <c r="AK2065" i="1"/>
  <c r="AK2066" i="1"/>
  <c r="AK2067" i="1"/>
  <c r="AK2068" i="1"/>
  <c r="AK2069" i="1"/>
  <c r="AK2070" i="1"/>
  <c r="AK2071" i="1"/>
  <c r="AK2072" i="1"/>
  <c r="AK2073" i="1"/>
  <c r="AK2074" i="1"/>
  <c r="AK2075" i="1"/>
  <c r="AK2076" i="1"/>
  <c r="AK2077" i="1"/>
  <c r="AK2078" i="1"/>
  <c r="AK2079" i="1"/>
  <c r="AK2080" i="1"/>
  <c r="AK2081" i="1"/>
  <c r="AK2082" i="1"/>
  <c r="AK2083" i="1"/>
  <c r="AK2084" i="1"/>
  <c r="AK2085" i="1"/>
  <c r="AK2086" i="1"/>
  <c r="AK2087" i="1"/>
  <c r="AK2088" i="1"/>
  <c r="AK2089" i="1"/>
  <c r="AK2090" i="1"/>
  <c r="AK2091" i="1"/>
  <c r="AK2092" i="1"/>
  <c r="AK2093" i="1"/>
  <c r="AK2094" i="1"/>
  <c r="AK2095" i="1"/>
  <c r="AK2096" i="1"/>
  <c r="AK2097" i="1"/>
  <c r="AK2098" i="1"/>
  <c r="AK2099" i="1"/>
  <c r="AK2100" i="1"/>
  <c r="AK2101" i="1"/>
  <c r="AK2102" i="1"/>
  <c r="AK2103" i="1"/>
  <c r="AK2104" i="1"/>
  <c r="AK2105" i="1"/>
  <c r="AK2106" i="1"/>
  <c r="AK2107" i="1"/>
  <c r="AK2108" i="1"/>
  <c r="AK2109" i="1"/>
  <c r="AK2110" i="1"/>
  <c r="AK2111" i="1"/>
  <c r="AK2112" i="1"/>
  <c r="AK2113" i="1"/>
  <c r="AK2114" i="1"/>
  <c r="AK2115" i="1"/>
  <c r="AK2116" i="1"/>
  <c r="AK2117" i="1"/>
  <c r="AK2118" i="1"/>
  <c r="AK2119" i="1"/>
  <c r="AK963" i="1"/>
  <c r="AK964" i="1"/>
  <c r="AK965" i="1"/>
  <c r="AK966" i="1"/>
  <c r="AK967" i="1"/>
  <c r="AK968" i="1"/>
  <c r="AK969" i="1"/>
  <c r="AK970" i="1"/>
  <c r="AK971" i="1"/>
  <c r="AK972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67" i="1"/>
  <c r="AJ963" i="1"/>
  <c r="AJ964" i="1"/>
  <c r="AJ965" i="1"/>
  <c r="AJ966" i="1"/>
  <c r="AW962" i="1"/>
  <c r="AW961" i="1"/>
  <c r="AW960" i="1"/>
  <c r="AW959" i="1"/>
  <c r="AW958" i="1"/>
  <c r="AW957" i="1"/>
  <c r="AW956" i="1"/>
  <c r="AW955" i="1"/>
  <c r="AW954" i="1"/>
  <c r="AW953" i="1"/>
  <c r="AW952" i="1"/>
  <c r="AW951" i="1"/>
  <c r="AW950" i="1"/>
  <c r="AW949" i="1"/>
  <c r="AW948" i="1"/>
  <c r="AW947" i="1"/>
  <c r="AW946" i="1"/>
  <c r="AW945" i="1"/>
  <c r="AW944" i="1"/>
  <c r="AW943" i="1"/>
  <c r="AW942" i="1"/>
  <c r="AW941" i="1"/>
  <c r="AW940" i="1"/>
  <c r="AW939" i="1"/>
  <c r="AW938" i="1"/>
  <c r="AW937" i="1"/>
  <c r="AW936" i="1"/>
  <c r="AW935" i="1"/>
  <c r="AW934" i="1"/>
  <c r="AW933" i="1"/>
  <c r="AW932" i="1"/>
  <c r="AW931" i="1"/>
  <c r="AW930" i="1"/>
  <c r="AW929" i="1"/>
  <c r="AW928" i="1"/>
  <c r="AW927" i="1"/>
  <c r="AW926" i="1"/>
  <c r="AW925" i="1"/>
  <c r="AW924" i="1"/>
  <c r="AW923" i="1"/>
  <c r="AW922" i="1"/>
  <c r="AW921" i="1"/>
  <c r="AW920" i="1"/>
  <c r="AW919" i="1"/>
  <c r="AW918" i="1"/>
  <c r="AW917" i="1"/>
  <c r="AW916" i="1"/>
  <c r="AW915" i="1"/>
  <c r="AW914" i="1"/>
  <c r="AW913" i="1"/>
  <c r="AW912" i="1"/>
  <c r="AW911" i="1"/>
  <c r="AW910" i="1"/>
  <c r="AW909" i="1"/>
  <c r="AW908" i="1"/>
  <c r="AW907" i="1"/>
  <c r="AW906" i="1"/>
  <c r="AW905" i="1"/>
  <c r="AW904" i="1"/>
  <c r="AW903" i="1"/>
  <c r="AW902" i="1"/>
  <c r="AW901" i="1"/>
  <c r="AW900" i="1"/>
  <c r="AW899" i="1"/>
  <c r="AW898" i="1"/>
  <c r="AW897" i="1"/>
  <c r="AW896" i="1"/>
  <c r="AW895" i="1"/>
  <c r="AW894" i="1"/>
  <c r="AW893" i="1"/>
  <c r="AW892" i="1"/>
  <c r="AW891" i="1"/>
  <c r="AW890" i="1"/>
  <c r="AW889" i="1"/>
  <c r="AW888" i="1"/>
  <c r="AW887" i="1"/>
  <c r="AW886" i="1"/>
  <c r="AW885" i="1"/>
  <c r="AW884" i="1"/>
  <c r="AW883" i="1"/>
  <c r="AW882" i="1"/>
  <c r="AW881" i="1"/>
  <c r="AW880" i="1"/>
  <c r="AW879" i="1"/>
  <c r="AW878" i="1"/>
  <c r="AW877" i="1"/>
  <c r="AW876" i="1"/>
  <c r="AW875" i="1"/>
  <c r="AW874" i="1"/>
  <c r="AW873" i="1"/>
  <c r="AW872" i="1"/>
  <c r="AW871" i="1"/>
  <c r="AW870" i="1"/>
  <c r="AW869" i="1"/>
  <c r="AW868" i="1"/>
  <c r="AW867" i="1"/>
  <c r="AW866" i="1"/>
  <c r="AW865" i="1"/>
  <c r="AW864" i="1"/>
  <c r="AW863" i="1"/>
  <c r="AW862" i="1"/>
  <c r="AW861" i="1"/>
  <c r="AW860" i="1"/>
  <c r="AW859" i="1"/>
  <c r="AW858" i="1"/>
  <c r="AW857" i="1"/>
  <c r="AW856" i="1"/>
  <c r="AW855" i="1"/>
  <c r="AW854" i="1"/>
  <c r="AW853" i="1"/>
  <c r="AW852" i="1"/>
  <c r="AW851" i="1"/>
  <c r="AW850" i="1"/>
  <c r="AW849" i="1"/>
  <c r="AW848" i="1"/>
  <c r="AW847" i="1"/>
  <c r="AW846" i="1"/>
  <c r="AW845" i="1"/>
  <c r="AW844" i="1"/>
  <c r="AW843" i="1"/>
  <c r="AW842" i="1"/>
  <c r="AW841" i="1"/>
  <c r="AW840" i="1"/>
  <c r="AW839" i="1"/>
  <c r="AW838" i="1"/>
  <c r="AW837" i="1"/>
  <c r="AW836" i="1"/>
  <c r="AW835" i="1"/>
  <c r="AW834" i="1"/>
  <c r="AW833" i="1"/>
  <c r="AW832" i="1"/>
  <c r="AW831" i="1"/>
  <c r="AW830" i="1"/>
  <c r="AW829" i="1"/>
  <c r="AW828" i="1"/>
  <c r="AW827" i="1"/>
  <c r="AW826" i="1"/>
  <c r="AW825" i="1"/>
  <c r="AW824" i="1"/>
  <c r="AW823" i="1"/>
  <c r="AW822" i="1"/>
  <c r="AW821" i="1"/>
  <c r="AW820" i="1"/>
  <c r="AW819" i="1"/>
  <c r="AW818" i="1"/>
  <c r="AW817" i="1"/>
  <c r="AW816" i="1"/>
  <c r="AW815" i="1"/>
  <c r="AW814" i="1"/>
  <c r="AW813" i="1"/>
  <c r="AW812" i="1"/>
  <c r="AW811" i="1"/>
  <c r="AW810" i="1"/>
  <c r="AW809" i="1"/>
  <c r="AW808" i="1"/>
  <c r="AW807" i="1"/>
  <c r="AW806" i="1"/>
  <c r="AW805" i="1"/>
  <c r="AW804" i="1"/>
  <c r="AW803" i="1"/>
  <c r="AW802" i="1"/>
  <c r="AW801" i="1"/>
  <c r="AW800" i="1"/>
  <c r="AW799" i="1"/>
  <c r="AW798" i="1"/>
  <c r="AW797" i="1"/>
  <c r="AW796" i="1"/>
  <c r="AW795" i="1"/>
  <c r="AW794" i="1"/>
  <c r="AW793" i="1"/>
  <c r="AW792" i="1"/>
  <c r="AW791" i="1"/>
  <c r="AW790" i="1"/>
  <c r="AW789" i="1"/>
  <c r="AW788" i="1"/>
  <c r="AW787" i="1"/>
  <c r="AW786" i="1"/>
  <c r="AW785" i="1"/>
  <c r="AW784" i="1"/>
  <c r="AW783" i="1"/>
  <c r="AW782" i="1"/>
  <c r="AW781" i="1"/>
  <c r="AW780" i="1"/>
  <c r="AW779" i="1"/>
  <c r="AW778" i="1"/>
  <c r="AW777" i="1"/>
  <c r="AW776" i="1"/>
  <c r="AW775" i="1"/>
  <c r="AW774" i="1"/>
  <c r="AW773" i="1"/>
  <c r="AW772" i="1"/>
  <c r="AW771" i="1"/>
  <c r="AW770" i="1"/>
  <c r="AW769" i="1"/>
  <c r="AW768" i="1"/>
  <c r="AW767" i="1"/>
  <c r="AW766" i="1"/>
  <c r="AW765" i="1"/>
  <c r="AW764" i="1"/>
  <c r="AW763" i="1"/>
  <c r="AW762" i="1"/>
  <c r="AW761" i="1"/>
  <c r="AW760" i="1"/>
  <c r="AW759" i="1"/>
  <c r="AW758" i="1"/>
  <c r="AW757" i="1"/>
  <c r="AW756" i="1"/>
  <c r="AW755" i="1"/>
  <c r="AW754" i="1"/>
  <c r="AW753" i="1"/>
  <c r="AW752" i="1"/>
  <c r="AW751" i="1"/>
  <c r="AW750" i="1"/>
  <c r="AW749" i="1"/>
  <c r="AW748" i="1"/>
  <c r="AW747" i="1"/>
  <c r="AW746" i="1"/>
  <c r="AW745" i="1"/>
  <c r="AW744" i="1"/>
  <c r="AW743" i="1"/>
  <c r="AW742" i="1"/>
  <c r="AW741" i="1"/>
  <c r="AW740" i="1"/>
  <c r="AW739" i="1"/>
  <c r="AW738" i="1"/>
  <c r="AW737" i="1"/>
  <c r="AW736" i="1"/>
  <c r="AW735" i="1"/>
  <c r="AW734" i="1"/>
  <c r="AW733" i="1"/>
  <c r="AW732" i="1"/>
  <c r="AW731" i="1"/>
  <c r="AW730" i="1"/>
  <c r="AW729" i="1"/>
  <c r="AW728" i="1"/>
  <c r="AW727" i="1"/>
  <c r="AW726" i="1"/>
  <c r="AW725" i="1"/>
  <c r="AW724" i="1"/>
  <c r="AW723" i="1"/>
  <c r="AW722" i="1"/>
  <c r="AW721" i="1"/>
  <c r="AW720" i="1"/>
  <c r="AW719" i="1"/>
  <c r="AW718" i="1"/>
  <c r="AW717" i="1"/>
  <c r="AW716" i="1"/>
  <c r="AW715" i="1"/>
  <c r="AW714" i="1"/>
  <c r="AW713" i="1"/>
  <c r="AW712" i="1"/>
  <c r="AW711" i="1"/>
  <c r="AW710" i="1"/>
  <c r="AW709" i="1"/>
  <c r="AW708" i="1"/>
  <c r="AW707" i="1"/>
  <c r="AW706" i="1"/>
  <c r="AW705" i="1"/>
  <c r="AW704" i="1"/>
  <c r="AW703" i="1"/>
  <c r="AW702" i="1"/>
  <c r="AW701" i="1"/>
  <c r="AW700" i="1"/>
  <c r="AW699" i="1"/>
  <c r="AW698" i="1"/>
  <c r="AW697" i="1"/>
  <c r="AW696" i="1"/>
  <c r="AW695" i="1"/>
  <c r="AW694" i="1"/>
  <c r="AW693" i="1"/>
  <c r="AW692" i="1"/>
  <c r="AW691" i="1"/>
  <c r="AW690" i="1"/>
  <c r="AW689" i="1"/>
  <c r="AW688" i="1"/>
  <c r="AW687" i="1"/>
  <c r="AW686" i="1"/>
  <c r="AW685" i="1"/>
  <c r="AW684" i="1"/>
  <c r="AW683" i="1"/>
  <c r="AW682" i="1"/>
  <c r="AW681" i="1"/>
  <c r="AW680" i="1"/>
  <c r="AW679" i="1"/>
  <c r="AW678" i="1"/>
  <c r="AW677" i="1"/>
  <c r="AW676" i="1"/>
  <c r="AW675" i="1"/>
  <c r="AW674" i="1"/>
  <c r="AW673" i="1"/>
  <c r="AW672" i="1"/>
  <c r="AW671" i="1"/>
  <c r="AW670" i="1"/>
  <c r="AW669" i="1"/>
  <c r="AW668" i="1"/>
  <c r="AW667" i="1"/>
  <c r="AW666" i="1"/>
  <c r="AW665" i="1"/>
  <c r="AW664" i="1"/>
  <c r="AW663" i="1"/>
  <c r="AW662" i="1"/>
  <c r="AW661" i="1"/>
  <c r="AW660" i="1"/>
  <c r="AW659" i="1"/>
  <c r="AW658" i="1"/>
  <c r="AW657" i="1"/>
  <c r="AW656" i="1"/>
  <c r="AW655" i="1"/>
  <c r="AW654" i="1"/>
  <c r="AW653" i="1"/>
  <c r="AW652" i="1"/>
  <c r="AW651" i="1"/>
  <c r="AW650" i="1"/>
  <c r="AW649" i="1"/>
  <c r="AW648" i="1"/>
  <c r="AW647" i="1"/>
  <c r="AW646" i="1"/>
  <c r="AW645" i="1"/>
  <c r="AW644" i="1"/>
  <c r="AW643" i="1"/>
  <c r="AW642" i="1"/>
  <c r="AW641" i="1"/>
  <c r="AW640" i="1"/>
  <c r="AW639" i="1"/>
  <c r="AW638" i="1"/>
  <c r="AW637" i="1"/>
  <c r="AW636" i="1"/>
  <c r="AW635" i="1"/>
  <c r="AW634" i="1"/>
  <c r="AW633" i="1"/>
  <c r="AW632" i="1"/>
  <c r="AW631" i="1"/>
  <c r="AW630" i="1"/>
  <c r="AW629" i="1"/>
  <c r="AW628" i="1"/>
  <c r="AW627" i="1"/>
  <c r="AW626" i="1"/>
  <c r="AW625" i="1"/>
  <c r="AW624" i="1"/>
  <c r="AW623" i="1"/>
  <c r="AW622" i="1"/>
  <c r="AW621" i="1"/>
  <c r="AW620" i="1"/>
  <c r="AW619" i="1"/>
  <c r="AW618" i="1"/>
  <c r="AW617" i="1"/>
  <c r="AW616" i="1"/>
  <c r="AW615" i="1"/>
  <c r="AW614" i="1"/>
  <c r="AW613" i="1"/>
  <c r="AW612" i="1"/>
  <c r="AW611" i="1"/>
  <c r="AW610" i="1"/>
  <c r="AW609" i="1"/>
  <c r="AW608" i="1"/>
  <c r="AW607" i="1"/>
  <c r="AW606" i="1"/>
  <c r="AW605" i="1"/>
  <c r="AW604" i="1"/>
  <c r="AW603" i="1"/>
  <c r="AW602" i="1"/>
  <c r="AW601" i="1"/>
  <c r="AW600" i="1"/>
  <c r="AW599" i="1"/>
  <c r="AW598" i="1"/>
  <c r="AW597" i="1"/>
  <c r="AW596" i="1"/>
  <c r="AW595" i="1"/>
  <c r="AW594" i="1"/>
  <c r="AW593" i="1"/>
  <c r="AW592" i="1"/>
  <c r="AW591" i="1"/>
  <c r="AW590" i="1"/>
  <c r="AW589" i="1"/>
  <c r="AW588" i="1"/>
  <c r="AW587" i="1"/>
  <c r="AW586" i="1"/>
  <c r="AW585" i="1"/>
  <c r="AW584" i="1"/>
  <c r="AW583" i="1"/>
  <c r="AW582" i="1"/>
  <c r="AW581" i="1"/>
  <c r="AW580" i="1"/>
  <c r="AW579" i="1"/>
  <c r="AW578" i="1"/>
  <c r="AW577" i="1"/>
  <c r="AW576" i="1"/>
  <c r="AW575" i="1"/>
  <c r="AW574" i="1"/>
  <c r="AW573" i="1"/>
  <c r="AW572" i="1"/>
  <c r="AW571" i="1"/>
  <c r="AW570" i="1"/>
  <c r="AW569" i="1"/>
  <c r="AW568" i="1"/>
  <c r="AW567" i="1"/>
  <c r="AW566" i="1"/>
  <c r="AW565" i="1"/>
  <c r="AW564" i="1"/>
  <c r="AW563" i="1"/>
  <c r="AW562" i="1"/>
  <c r="AW561" i="1"/>
  <c r="AW560" i="1"/>
  <c r="AW559" i="1"/>
  <c r="AW558" i="1"/>
  <c r="AW557" i="1"/>
  <c r="AW556" i="1"/>
  <c r="AW555" i="1"/>
  <c r="AW554" i="1"/>
  <c r="AW553" i="1"/>
  <c r="AW552" i="1"/>
  <c r="AW551" i="1"/>
  <c r="AW550" i="1"/>
  <c r="AW549" i="1"/>
  <c r="AW548" i="1"/>
  <c r="AW547" i="1"/>
  <c r="AW546" i="1"/>
  <c r="AW545" i="1"/>
  <c r="AW544" i="1"/>
  <c r="AW543" i="1"/>
  <c r="AW542" i="1"/>
  <c r="AW541" i="1"/>
  <c r="AW540" i="1"/>
  <c r="AW539" i="1"/>
  <c r="AW538" i="1"/>
  <c r="AW537" i="1"/>
  <c r="AW536" i="1"/>
  <c r="AW535" i="1"/>
  <c r="AW534" i="1"/>
  <c r="AW533" i="1"/>
  <c r="AW532" i="1"/>
  <c r="AW531" i="1"/>
  <c r="AW530" i="1"/>
  <c r="AW529" i="1"/>
  <c r="AW528" i="1"/>
  <c r="AW527" i="1"/>
  <c r="AW526" i="1"/>
  <c r="AW525" i="1"/>
  <c r="AW524" i="1"/>
  <c r="AW523" i="1"/>
  <c r="AW522" i="1"/>
  <c r="AW521" i="1"/>
  <c r="AW520" i="1"/>
  <c r="AW519" i="1"/>
  <c r="AW518" i="1"/>
  <c r="AW517" i="1"/>
  <c r="AW516" i="1"/>
  <c r="AW515" i="1"/>
  <c r="AW514" i="1"/>
  <c r="AW513" i="1"/>
  <c r="AW512" i="1"/>
  <c r="AW511" i="1"/>
  <c r="AW510" i="1"/>
  <c r="AW509" i="1"/>
  <c r="AW508" i="1"/>
  <c r="AW507" i="1"/>
  <c r="AW506" i="1"/>
  <c r="AW505" i="1"/>
  <c r="AW504" i="1"/>
  <c r="AW503" i="1"/>
  <c r="AW502" i="1"/>
  <c r="AW501" i="1"/>
  <c r="AW500" i="1"/>
  <c r="AW499" i="1"/>
  <c r="AW498" i="1"/>
  <c r="AW497" i="1"/>
  <c r="AW496" i="1"/>
  <c r="AW495" i="1"/>
  <c r="AW494" i="1"/>
  <c r="AW493" i="1"/>
  <c r="AW492" i="1"/>
  <c r="AW491" i="1"/>
  <c r="AW490" i="1"/>
  <c r="AW489" i="1"/>
  <c r="AW488" i="1"/>
  <c r="AW487" i="1"/>
  <c r="AW486" i="1"/>
  <c r="AW485" i="1"/>
  <c r="AW484" i="1"/>
  <c r="AW483" i="1"/>
  <c r="AW482" i="1"/>
  <c r="AW481" i="1"/>
  <c r="AW480" i="1"/>
  <c r="AW479" i="1"/>
  <c r="AW478" i="1"/>
  <c r="AW477" i="1"/>
  <c r="AW476" i="1"/>
  <c r="AW475" i="1"/>
  <c r="AW474" i="1"/>
  <c r="AW473" i="1"/>
  <c r="AW472" i="1"/>
  <c r="AW471" i="1"/>
  <c r="AW470" i="1"/>
  <c r="AW469" i="1"/>
  <c r="AW468" i="1"/>
  <c r="AW467" i="1"/>
  <c r="AW466" i="1"/>
  <c r="AW465" i="1"/>
  <c r="AW464" i="1"/>
  <c r="AW463" i="1"/>
  <c r="AW462" i="1"/>
  <c r="AW461" i="1"/>
  <c r="AW460" i="1"/>
  <c r="AW459" i="1"/>
  <c r="AW458" i="1"/>
  <c r="AW457" i="1"/>
  <c r="AW456" i="1"/>
  <c r="AW455" i="1"/>
  <c r="AW454" i="1"/>
  <c r="AW453" i="1"/>
  <c r="AW452" i="1"/>
  <c r="AW451" i="1"/>
  <c r="AW450" i="1"/>
  <c r="AW449" i="1"/>
  <c r="AW448" i="1"/>
  <c r="AW447" i="1"/>
  <c r="AW446" i="1"/>
  <c r="AW445" i="1"/>
  <c r="AW444" i="1"/>
  <c r="AW443" i="1"/>
  <c r="AW442" i="1"/>
  <c r="AW441" i="1"/>
  <c r="AW440" i="1"/>
  <c r="AW439" i="1"/>
  <c r="AW438" i="1"/>
  <c r="AW437" i="1"/>
  <c r="AW436" i="1"/>
  <c r="AW435" i="1"/>
  <c r="AW434" i="1"/>
  <c r="AW433" i="1"/>
  <c r="AW432" i="1"/>
  <c r="AW431" i="1"/>
  <c r="AW430" i="1"/>
  <c r="AW429" i="1"/>
  <c r="AW428" i="1"/>
  <c r="AW427" i="1"/>
  <c r="AW426" i="1"/>
  <c r="AW425" i="1"/>
  <c r="AW424" i="1"/>
  <c r="AW423" i="1"/>
  <c r="AW422" i="1"/>
  <c r="AW421" i="1"/>
  <c r="AW420" i="1"/>
  <c r="AW419" i="1"/>
  <c r="AW418" i="1"/>
  <c r="AW417" i="1"/>
  <c r="AW416" i="1"/>
  <c r="AW415" i="1"/>
  <c r="AW414" i="1"/>
  <c r="AW413" i="1"/>
  <c r="AW412" i="1"/>
  <c r="AW411" i="1"/>
  <c r="AW410" i="1"/>
  <c r="AW409" i="1"/>
  <c r="AW408" i="1"/>
  <c r="AW407" i="1"/>
  <c r="AW406" i="1"/>
  <c r="AW405" i="1"/>
  <c r="AW404" i="1"/>
  <c r="AW403" i="1"/>
  <c r="AW402" i="1"/>
  <c r="AW401" i="1"/>
  <c r="AW400" i="1"/>
  <c r="AW399" i="1"/>
  <c r="AW398" i="1"/>
  <c r="AW397" i="1"/>
  <c r="AW396" i="1"/>
  <c r="AW395" i="1"/>
  <c r="AW394" i="1"/>
  <c r="AW393" i="1"/>
  <c r="AW392" i="1"/>
  <c r="AW391" i="1"/>
  <c r="AW390" i="1"/>
  <c r="AW389" i="1"/>
  <c r="AW388" i="1"/>
  <c r="AW387" i="1"/>
  <c r="AW386" i="1"/>
  <c r="AW385" i="1"/>
  <c r="AW384" i="1"/>
  <c r="AW383" i="1"/>
  <c r="AW382" i="1"/>
  <c r="AW381" i="1"/>
  <c r="AW380" i="1"/>
  <c r="AW379" i="1"/>
  <c r="AW378" i="1"/>
  <c r="AW377" i="1"/>
  <c r="AW376" i="1"/>
  <c r="AW375" i="1"/>
  <c r="AW374" i="1"/>
  <c r="AW373" i="1"/>
  <c r="AW372" i="1"/>
  <c r="AW371" i="1"/>
  <c r="AW370" i="1"/>
  <c r="AW369" i="1"/>
  <c r="AW368" i="1"/>
  <c r="AW367" i="1"/>
  <c r="AW366" i="1"/>
  <c r="AW365" i="1"/>
  <c r="AW364" i="1"/>
  <c r="AW363" i="1"/>
  <c r="AW362" i="1"/>
  <c r="AW361" i="1"/>
  <c r="AW360" i="1"/>
  <c r="AW359" i="1"/>
  <c r="AW358" i="1"/>
  <c r="AW357" i="1"/>
  <c r="AW356" i="1"/>
  <c r="AW355" i="1"/>
  <c r="AW354" i="1"/>
  <c r="AW353" i="1"/>
  <c r="AW352" i="1"/>
  <c r="AW351" i="1"/>
  <c r="AW350" i="1"/>
  <c r="AW349" i="1"/>
  <c r="AW348" i="1"/>
  <c r="AW347" i="1"/>
  <c r="AW346" i="1"/>
  <c r="AW345" i="1"/>
  <c r="AW344" i="1"/>
  <c r="AW343" i="1"/>
  <c r="AW342" i="1"/>
  <c r="AW341" i="1"/>
  <c r="AW340" i="1"/>
  <c r="AW339" i="1"/>
  <c r="AW338" i="1"/>
  <c r="AW337" i="1"/>
  <c r="AW336" i="1"/>
  <c r="AW335" i="1"/>
  <c r="AW334" i="1"/>
  <c r="AW333" i="1"/>
  <c r="AW332" i="1"/>
  <c r="AW331" i="1"/>
  <c r="AW330" i="1"/>
  <c r="AW329" i="1"/>
  <c r="AW328" i="1"/>
  <c r="AW327" i="1"/>
  <c r="AW326" i="1"/>
  <c r="AW325" i="1"/>
  <c r="AW324" i="1"/>
  <c r="AW323" i="1"/>
  <c r="AW322" i="1"/>
  <c r="AW321" i="1"/>
  <c r="AW320" i="1"/>
  <c r="AW319" i="1"/>
  <c r="AW318" i="1"/>
  <c r="AW317" i="1"/>
  <c r="AW316" i="1"/>
  <c r="AW315" i="1"/>
  <c r="AW314" i="1"/>
  <c r="AW313" i="1"/>
  <c r="AW312" i="1"/>
  <c r="AW311" i="1"/>
  <c r="AW310" i="1"/>
  <c r="AW309" i="1"/>
  <c r="AW308" i="1"/>
  <c r="AW307" i="1"/>
  <c r="AW306" i="1"/>
  <c r="AW305" i="1"/>
  <c r="AW304" i="1"/>
  <c r="AW303" i="1"/>
  <c r="AW302" i="1"/>
  <c r="AW301" i="1"/>
  <c r="AW300" i="1"/>
  <c r="AW299" i="1"/>
  <c r="AW298" i="1"/>
  <c r="AW297" i="1"/>
  <c r="AW296" i="1"/>
  <c r="AW295" i="1"/>
  <c r="AW294" i="1"/>
  <c r="AW293" i="1"/>
  <c r="AW292" i="1"/>
  <c r="AW291" i="1"/>
  <c r="AW290" i="1"/>
  <c r="AW289" i="1"/>
  <c r="AW288" i="1"/>
  <c r="AW287" i="1"/>
  <c r="AW286" i="1"/>
  <c r="AW285" i="1"/>
  <c r="AW284" i="1"/>
  <c r="AW283" i="1"/>
  <c r="AW282" i="1"/>
  <c r="AW281" i="1"/>
  <c r="AW280" i="1"/>
  <c r="AW279" i="1"/>
  <c r="AW278" i="1"/>
  <c r="AW277" i="1"/>
  <c r="AW276" i="1"/>
  <c r="AW275" i="1"/>
  <c r="AW274" i="1"/>
  <c r="AW273" i="1"/>
  <c r="AW272" i="1"/>
  <c r="AW271" i="1"/>
  <c r="AW270" i="1"/>
  <c r="AW269" i="1"/>
  <c r="AW268" i="1"/>
  <c r="AW267" i="1"/>
  <c r="AW266" i="1"/>
  <c r="AW265" i="1"/>
  <c r="AW264" i="1"/>
  <c r="AW263" i="1"/>
  <c r="AW262" i="1"/>
  <c r="AW261" i="1"/>
  <c r="AW260" i="1"/>
  <c r="AW259" i="1"/>
  <c r="AW258" i="1"/>
  <c r="AW257" i="1"/>
  <c r="AW256" i="1"/>
  <c r="AW255" i="1"/>
  <c r="AW254" i="1"/>
  <c r="AW253" i="1"/>
  <c r="AW252" i="1"/>
  <c r="AW251" i="1"/>
  <c r="AW250" i="1"/>
  <c r="AW249" i="1"/>
  <c r="AW248" i="1"/>
  <c r="AW247" i="1"/>
  <c r="AW246" i="1"/>
  <c r="AW245" i="1"/>
  <c r="AW244" i="1"/>
  <c r="AW243" i="1"/>
  <c r="AW242" i="1"/>
  <c r="AW241" i="1"/>
  <c r="AW240" i="1"/>
  <c r="AW239" i="1"/>
  <c r="AW238" i="1"/>
  <c r="AW237" i="1"/>
  <c r="AW236" i="1"/>
  <c r="AW235" i="1"/>
  <c r="AW234" i="1"/>
  <c r="AW233" i="1"/>
  <c r="AW232" i="1"/>
  <c r="AW231" i="1"/>
  <c r="AW230" i="1"/>
  <c r="AW229" i="1"/>
  <c r="AW228" i="1"/>
  <c r="AW227" i="1"/>
  <c r="AW226" i="1"/>
  <c r="AW225" i="1"/>
  <c r="AW224" i="1"/>
  <c r="AW223" i="1"/>
  <c r="AW222" i="1"/>
  <c r="AW221" i="1"/>
  <c r="AW220" i="1"/>
  <c r="AW219" i="1"/>
  <c r="AW218" i="1"/>
  <c r="AW217" i="1"/>
  <c r="AW216" i="1"/>
  <c r="AW215" i="1"/>
  <c r="AW214" i="1"/>
  <c r="AW213" i="1"/>
  <c r="AW212" i="1"/>
  <c r="AW211" i="1"/>
  <c r="AW210" i="1"/>
  <c r="AW209" i="1"/>
  <c r="AW208" i="1"/>
  <c r="AW207" i="1"/>
  <c r="AW206" i="1"/>
  <c r="AW205" i="1"/>
  <c r="AW204" i="1"/>
  <c r="AW203" i="1"/>
  <c r="AW202" i="1"/>
  <c r="AW201" i="1"/>
  <c r="AW200" i="1"/>
  <c r="AW199" i="1"/>
  <c r="AW198" i="1"/>
  <c r="AW197" i="1"/>
  <c r="AW196" i="1"/>
  <c r="AW195" i="1"/>
  <c r="AW194" i="1"/>
  <c r="AW193" i="1"/>
  <c r="AW192" i="1"/>
  <c r="AW191" i="1"/>
  <c r="AW190" i="1"/>
  <c r="AW189" i="1"/>
  <c r="AW188" i="1"/>
  <c r="AW187" i="1"/>
  <c r="AW186" i="1"/>
  <c r="AW185" i="1"/>
  <c r="AW184" i="1"/>
  <c r="AW183" i="1"/>
  <c r="AW182" i="1"/>
  <c r="AW181" i="1"/>
  <c r="AW180" i="1"/>
  <c r="AW179" i="1"/>
  <c r="AW178" i="1"/>
  <c r="AW177" i="1"/>
  <c r="AW176" i="1"/>
  <c r="AW175" i="1"/>
  <c r="AW174" i="1"/>
  <c r="AW173" i="1"/>
  <c r="AW172" i="1"/>
  <c r="AW171" i="1"/>
  <c r="AW170" i="1"/>
  <c r="AW169" i="1"/>
  <c r="AW168" i="1"/>
  <c r="AW167" i="1"/>
  <c r="AW166" i="1"/>
  <c r="AW165" i="1"/>
  <c r="AW164" i="1"/>
  <c r="AW163" i="1"/>
  <c r="AW162" i="1"/>
  <c r="AW161" i="1"/>
  <c r="AW160" i="1"/>
  <c r="AW159" i="1"/>
  <c r="AW158" i="1"/>
  <c r="AW157" i="1"/>
  <c r="AW156" i="1"/>
  <c r="AW155" i="1"/>
  <c r="AW154" i="1"/>
  <c r="AW153" i="1"/>
  <c r="AW152" i="1"/>
  <c r="AW151" i="1"/>
  <c r="AW150" i="1"/>
  <c r="AW149" i="1"/>
  <c r="AW148" i="1"/>
  <c r="AW147" i="1"/>
  <c r="AW146" i="1"/>
  <c r="AW145" i="1"/>
  <c r="AW144" i="1"/>
  <c r="AW143" i="1"/>
  <c r="AW142" i="1"/>
  <c r="AW141" i="1"/>
  <c r="AW140" i="1"/>
  <c r="AW139" i="1"/>
  <c r="AW138" i="1"/>
  <c r="AW137" i="1"/>
  <c r="AW136" i="1"/>
  <c r="AW135" i="1"/>
  <c r="AW134" i="1"/>
  <c r="AW133" i="1"/>
  <c r="AW132" i="1"/>
  <c r="AW131" i="1"/>
  <c r="AW130" i="1"/>
  <c r="AW129" i="1"/>
  <c r="AW128" i="1"/>
  <c r="AW127" i="1"/>
  <c r="AW126" i="1"/>
  <c r="AW125" i="1"/>
  <c r="AW124" i="1"/>
  <c r="AW123" i="1"/>
  <c r="AW122" i="1"/>
  <c r="AW121" i="1"/>
  <c r="AW120" i="1"/>
  <c r="AW119" i="1"/>
  <c r="AW118" i="1"/>
  <c r="AW117" i="1"/>
  <c r="AW116" i="1"/>
  <c r="AW115" i="1"/>
  <c r="AW114" i="1"/>
  <c r="AW113" i="1"/>
  <c r="AW112" i="1"/>
  <c r="AW111" i="1"/>
  <c r="AW110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  <c r="AS961" i="1"/>
  <c r="AS960" i="1"/>
  <c r="AS959" i="1"/>
  <c r="AS958" i="1"/>
  <c r="AS957" i="1"/>
  <c r="AS956" i="1"/>
  <c r="AS955" i="1"/>
  <c r="AS954" i="1"/>
  <c r="AS953" i="1"/>
  <c r="AS952" i="1"/>
  <c r="AS951" i="1"/>
  <c r="AS950" i="1"/>
  <c r="AS949" i="1"/>
  <c r="AS948" i="1"/>
  <c r="AS947" i="1"/>
  <c r="AS946" i="1"/>
  <c r="AS945" i="1"/>
  <c r="AS944" i="1"/>
  <c r="AS943" i="1"/>
  <c r="AS942" i="1"/>
  <c r="AS941" i="1"/>
  <c r="AS940" i="1"/>
  <c r="AS939" i="1"/>
  <c r="AS938" i="1"/>
  <c r="AS937" i="1"/>
  <c r="AS936" i="1"/>
  <c r="AS935" i="1"/>
  <c r="AS934" i="1"/>
  <c r="AS933" i="1"/>
  <c r="AS932" i="1"/>
  <c r="AS931" i="1"/>
  <c r="AS930" i="1"/>
  <c r="AS929" i="1"/>
  <c r="AS928" i="1"/>
  <c r="AS927" i="1"/>
  <c r="AS926" i="1"/>
  <c r="AS925" i="1"/>
  <c r="AS924" i="1"/>
  <c r="AS923" i="1"/>
  <c r="AS922" i="1"/>
  <c r="AS921" i="1"/>
  <c r="AS920" i="1"/>
  <c r="AS919" i="1"/>
  <c r="AS918" i="1"/>
  <c r="AS917" i="1"/>
  <c r="AS916" i="1"/>
  <c r="AS915" i="1"/>
  <c r="AS914" i="1"/>
  <c r="AS913" i="1"/>
  <c r="AS912" i="1"/>
  <c r="AS911" i="1"/>
  <c r="AS910" i="1"/>
  <c r="AS909" i="1"/>
  <c r="AS908" i="1"/>
  <c r="AS907" i="1"/>
  <c r="AS906" i="1"/>
  <c r="AS905" i="1"/>
  <c r="AS904" i="1"/>
  <c r="AS903" i="1"/>
  <c r="AS902" i="1"/>
  <c r="AS901" i="1"/>
  <c r="AS900" i="1"/>
  <c r="AS899" i="1"/>
  <c r="AS898" i="1"/>
  <c r="AS897" i="1"/>
  <c r="AS896" i="1"/>
  <c r="AS895" i="1"/>
  <c r="AS894" i="1"/>
  <c r="AS893" i="1"/>
  <c r="AS892" i="1"/>
  <c r="AS891" i="1"/>
  <c r="AS890" i="1"/>
  <c r="AS889" i="1"/>
  <c r="AS888" i="1"/>
  <c r="AS887" i="1"/>
  <c r="AS886" i="1"/>
  <c r="AS885" i="1"/>
  <c r="AS884" i="1"/>
  <c r="AS883" i="1"/>
  <c r="AS882" i="1"/>
  <c r="AS881" i="1"/>
  <c r="AS880" i="1"/>
  <c r="AS879" i="1"/>
  <c r="AS878" i="1"/>
  <c r="AS877" i="1"/>
  <c r="AS876" i="1"/>
  <c r="AS875" i="1"/>
  <c r="AS874" i="1"/>
  <c r="AS873" i="1"/>
  <c r="AS872" i="1"/>
  <c r="AS871" i="1"/>
  <c r="AS870" i="1"/>
  <c r="AS869" i="1"/>
  <c r="AS868" i="1"/>
  <c r="AS867" i="1"/>
  <c r="AS866" i="1"/>
  <c r="AS865" i="1"/>
  <c r="AS864" i="1"/>
  <c r="AS863" i="1"/>
  <c r="AS862" i="1"/>
  <c r="AS861" i="1"/>
  <c r="AS860" i="1"/>
  <c r="AS859" i="1"/>
  <c r="AS858" i="1"/>
  <c r="AS857" i="1"/>
  <c r="AS856" i="1"/>
  <c r="AS855" i="1"/>
  <c r="AS854" i="1"/>
  <c r="AS853" i="1"/>
  <c r="AS852" i="1"/>
  <c r="AS851" i="1"/>
  <c r="AS850" i="1"/>
  <c r="AS849" i="1"/>
  <c r="AS848" i="1"/>
  <c r="AS847" i="1"/>
  <c r="AS846" i="1"/>
  <c r="AS845" i="1"/>
  <c r="AS844" i="1"/>
  <c r="AS843" i="1"/>
  <c r="AS842" i="1"/>
  <c r="AS841" i="1"/>
  <c r="AS840" i="1"/>
  <c r="AS839" i="1"/>
  <c r="AS838" i="1"/>
  <c r="AS837" i="1"/>
  <c r="AS836" i="1"/>
  <c r="AS835" i="1"/>
  <c r="AS834" i="1"/>
  <c r="AS833" i="1"/>
  <c r="AS832" i="1"/>
  <c r="AS831" i="1"/>
  <c r="AS830" i="1"/>
  <c r="AS829" i="1"/>
  <c r="AS828" i="1"/>
  <c r="AS827" i="1"/>
  <c r="AS826" i="1"/>
  <c r="AS825" i="1"/>
  <c r="AS824" i="1"/>
  <c r="AS823" i="1"/>
  <c r="AS822" i="1"/>
  <c r="AS821" i="1"/>
  <c r="AS820" i="1"/>
  <c r="AS819" i="1"/>
  <c r="AS818" i="1"/>
  <c r="AS817" i="1"/>
  <c r="AS816" i="1"/>
  <c r="AS815" i="1"/>
  <c r="AS814" i="1"/>
  <c r="AS813" i="1"/>
  <c r="AS812" i="1"/>
  <c r="AS811" i="1"/>
  <c r="AS810" i="1"/>
  <c r="AS809" i="1"/>
  <c r="AS808" i="1"/>
  <c r="AS807" i="1"/>
  <c r="AS806" i="1"/>
  <c r="AS805" i="1"/>
  <c r="AS804" i="1"/>
  <c r="AS803" i="1"/>
  <c r="AS802" i="1"/>
  <c r="AS801" i="1"/>
  <c r="AS800" i="1"/>
  <c r="AS799" i="1"/>
  <c r="AS798" i="1"/>
  <c r="AS797" i="1"/>
  <c r="AS796" i="1"/>
  <c r="AS795" i="1"/>
  <c r="AS794" i="1"/>
  <c r="AS793" i="1"/>
  <c r="AS792" i="1"/>
  <c r="AS791" i="1"/>
  <c r="AS790" i="1"/>
  <c r="AS789" i="1"/>
  <c r="AS788" i="1"/>
  <c r="AS787" i="1"/>
  <c r="AS786" i="1"/>
  <c r="AS785" i="1"/>
  <c r="AS784" i="1"/>
  <c r="AS783" i="1"/>
  <c r="AS782" i="1"/>
  <c r="AS781" i="1"/>
  <c r="AS780" i="1"/>
  <c r="AS779" i="1"/>
  <c r="AS778" i="1"/>
  <c r="AS777" i="1"/>
  <c r="AS776" i="1"/>
  <c r="AS775" i="1"/>
  <c r="AS774" i="1"/>
  <c r="AS773" i="1"/>
  <c r="AS772" i="1"/>
  <c r="AS771" i="1"/>
  <c r="AS770" i="1"/>
  <c r="AS769" i="1"/>
  <c r="AS768" i="1"/>
  <c r="AS767" i="1"/>
  <c r="AS766" i="1"/>
  <c r="AS765" i="1"/>
  <c r="AS764" i="1"/>
  <c r="AS763" i="1"/>
  <c r="AS762" i="1"/>
  <c r="AS761" i="1"/>
  <c r="AS760" i="1"/>
  <c r="AS759" i="1"/>
  <c r="AS758" i="1"/>
  <c r="AS757" i="1"/>
  <c r="AS756" i="1"/>
  <c r="AS755" i="1"/>
  <c r="AS754" i="1"/>
  <c r="AS753" i="1"/>
  <c r="AS752" i="1"/>
  <c r="AS751" i="1"/>
  <c r="AS750" i="1"/>
  <c r="AS749" i="1"/>
  <c r="AS748" i="1"/>
  <c r="AS747" i="1"/>
  <c r="AS746" i="1"/>
  <c r="AS745" i="1"/>
  <c r="AS744" i="1"/>
  <c r="AS743" i="1"/>
  <c r="AS742" i="1"/>
  <c r="AS741" i="1"/>
  <c r="AS740" i="1"/>
  <c r="AS739" i="1"/>
  <c r="AS738" i="1"/>
  <c r="AS737" i="1"/>
  <c r="AS736" i="1"/>
  <c r="AS735" i="1"/>
  <c r="AS734" i="1"/>
  <c r="AS733" i="1"/>
  <c r="AS732" i="1"/>
  <c r="AS731" i="1"/>
  <c r="AS730" i="1"/>
  <c r="AS729" i="1"/>
  <c r="AS728" i="1"/>
  <c r="AS727" i="1"/>
  <c r="AS726" i="1"/>
  <c r="AS725" i="1"/>
  <c r="AS724" i="1"/>
  <c r="AS723" i="1"/>
  <c r="AS722" i="1"/>
  <c r="AS721" i="1"/>
  <c r="AS720" i="1"/>
  <c r="AS719" i="1"/>
  <c r="AS718" i="1"/>
  <c r="AS717" i="1"/>
  <c r="AS716" i="1"/>
  <c r="AS715" i="1"/>
  <c r="AS714" i="1"/>
  <c r="AS713" i="1"/>
  <c r="AS712" i="1"/>
  <c r="AS711" i="1"/>
  <c r="AS710" i="1"/>
  <c r="AS709" i="1"/>
  <c r="AS708" i="1"/>
  <c r="AS707" i="1"/>
  <c r="AS706" i="1"/>
  <c r="AS705" i="1"/>
  <c r="AS704" i="1"/>
  <c r="AS703" i="1"/>
  <c r="AS702" i="1"/>
  <c r="AS701" i="1"/>
  <c r="AS700" i="1"/>
  <c r="AS699" i="1"/>
  <c r="AS698" i="1"/>
  <c r="AS697" i="1"/>
  <c r="AS696" i="1"/>
  <c r="AS695" i="1"/>
  <c r="AS694" i="1"/>
  <c r="AS693" i="1"/>
  <c r="AS692" i="1"/>
  <c r="AS691" i="1"/>
  <c r="AS690" i="1"/>
  <c r="AS689" i="1"/>
  <c r="AS688" i="1"/>
  <c r="AS687" i="1"/>
  <c r="AS686" i="1"/>
  <c r="AS685" i="1"/>
  <c r="AS684" i="1"/>
  <c r="AS683" i="1"/>
  <c r="AS682" i="1"/>
  <c r="AS681" i="1"/>
  <c r="AS680" i="1"/>
  <c r="AS679" i="1"/>
  <c r="AS678" i="1"/>
  <c r="AS677" i="1"/>
  <c r="AS676" i="1"/>
  <c r="AS675" i="1"/>
  <c r="AS674" i="1"/>
  <c r="AS673" i="1"/>
  <c r="AS672" i="1"/>
  <c r="AS671" i="1"/>
  <c r="AS670" i="1"/>
  <c r="AS669" i="1"/>
  <c r="AS668" i="1"/>
  <c r="AS667" i="1"/>
  <c r="AS666" i="1"/>
  <c r="AS665" i="1"/>
  <c r="AS664" i="1"/>
  <c r="AS663" i="1"/>
  <c r="AS662" i="1"/>
  <c r="AS661" i="1"/>
  <c r="AS660" i="1"/>
  <c r="AS659" i="1"/>
  <c r="AS658" i="1"/>
  <c r="AS657" i="1"/>
  <c r="AS656" i="1"/>
  <c r="AS655" i="1"/>
  <c r="AS654" i="1"/>
  <c r="AS653" i="1"/>
  <c r="AS652" i="1"/>
  <c r="AS651" i="1"/>
  <c r="AS650" i="1"/>
  <c r="AS649" i="1"/>
  <c r="AS648" i="1"/>
  <c r="AS647" i="1"/>
  <c r="AS646" i="1"/>
  <c r="AS645" i="1"/>
  <c r="AS644" i="1"/>
  <c r="AS643" i="1"/>
  <c r="AS642" i="1"/>
  <c r="AS641" i="1"/>
  <c r="AS640" i="1"/>
  <c r="AS639" i="1"/>
  <c r="AS638" i="1"/>
  <c r="AS637" i="1"/>
  <c r="AS636" i="1"/>
  <c r="AS635" i="1"/>
  <c r="AS634" i="1"/>
  <c r="AS633" i="1"/>
  <c r="AS632" i="1"/>
  <c r="AS631" i="1"/>
  <c r="AS630" i="1"/>
  <c r="AS629" i="1"/>
  <c r="AS628" i="1"/>
  <c r="AS627" i="1"/>
  <c r="AS626" i="1"/>
  <c r="AS625" i="1"/>
  <c r="AS624" i="1"/>
  <c r="AS623" i="1"/>
  <c r="AS622" i="1"/>
  <c r="AS621" i="1"/>
  <c r="AS620" i="1"/>
  <c r="AS619" i="1"/>
  <c r="AS618" i="1"/>
  <c r="AS617" i="1"/>
  <c r="AS616" i="1"/>
  <c r="AS615" i="1"/>
  <c r="AS614" i="1"/>
  <c r="AS613" i="1"/>
  <c r="AS612" i="1"/>
  <c r="AS611" i="1"/>
  <c r="AS610" i="1"/>
  <c r="AS609" i="1"/>
  <c r="AS608" i="1"/>
  <c r="AS607" i="1"/>
  <c r="AS606" i="1"/>
  <c r="AS605" i="1"/>
  <c r="AS604" i="1"/>
  <c r="AS603" i="1"/>
  <c r="AS602" i="1"/>
  <c r="AS601" i="1"/>
  <c r="AS600" i="1"/>
  <c r="AS599" i="1"/>
  <c r="AS598" i="1"/>
  <c r="AS597" i="1"/>
  <c r="AS596" i="1"/>
  <c r="AS595" i="1"/>
  <c r="AS594" i="1"/>
  <c r="AS593" i="1"/>
  <c r="AS592" i="1"/>
  <c r="AS591" i="1"/>
  <c r="AS590" i="1"/>
  <c r="AS589" i="1"/>
  <c r="AS588" i="1"/>
  <c r="AS587" i="1"/>
  <c r="AS586" i="1"/>
  <c r="AS585" i="1"/>
  <c r="AS584" i="1"/>
  <c r="AS583" i="1"/>
  <c r="AS582" i="1"/>
  <c r="AS581" i="1"/>
  <c r="AS580" i="1"/>
  <c r="AS579" i="1"/>
  <c r="AS578" i="1"/>
  <c r="AS577" i="1"/>
  <c r="AS576" i="1"/>
  <c r="AS575" i="1"/>
  <c r="AS574" i="1"/>
  <c r="AS573" i="1"/>
  <c r="AS572" i="1"/>
  <c r="AS571" i="1"/>
  <c r="AS570" i="1"/>
  <c r="AS569" i="1"/>
  <c r="AS568" i="1"/>
  <c r="AS567" i="1"/>
  <c r="AS566" i="1"/>
  <c r="AS565" i="1"/>
  <c r="AS564" i="1"/>
  <c r="AS563" i="1"/>
  <c r="AS562" i="1"/>
  <c r="AS561" i="1"/>
  <c r="AS560" i="1"/>
  <c r="AS559" i="1"/>
  <c r="AS558" i="1"/>
  <c r="AS557" i="1"/>
  <c r="AS556" i="1"/>
  <c r="AS555" i="1"/>
  <c r="AS554" i="1"/>
  <c r="AS553" i="1"/>
  <c r="AS552" i="1"/>
  <c r="AS551" i="1"/>
  <c r="AS550" i="1"/>
  <c r="AS549" i="1"/>
  <c r="AS548" i="1"/>
  <c r="AS547" i="1"/>
  <c r="AS546" i="1"/>
  <c r="AS545" i="1"/>
  <c r="AS544" i="1"/>
  <c r="AS543" i="1"/>
  <c r="AS542" i="1"/>
  <c r="AS541" i="1"/>
  <c r="AS540" i="1"/>
  <c r="AS539" i="1"/>
  <c r="AS538" i="1"/>
  <c r="AS537" i="1"/>
  <c r="AS536" i="1"/>
  <c r="AS535" i="1"/>
  <c r="AS534" i="1"/>
  <c r="AS533" i="1"/>
  <c r="AS532" i="1"/>
  <c r="AS531" i="1"/>
  <c r="AS530" i="1"/>
  <c r="AS529" i="1"/>
  <c r="AS528" i="1"/>
  <c r="AS527" i="1"/>
  <c r="AS526" i="1"/>
  <c r="AS525" i="1"/>
  <c r="AS524" i="1"/>
  <c r="AS523" i="1"/>
  <c r="AS522" i="1"/>
  <c r="AS521" i="1"/>
  <c r="AS520" i="1"/>
  <c r="AS519" i="1"/>
  <c r="AS518" i="1"/>
  <c r="AS517" i="1"/>
  <c r="AS516" i="1"/>
  <c r="AS515" i="1"/>
  <c r="AS514" i="1"/>
  <c r="AS513" i="1"/>
  <c r="AS512" i="1"/>
  <c r="AS511" i="1"/>
  <c r="AS510" i="1"/>
  <c r="AS509" i="1"/>
  <c r="AS508" i="1"/>
  <c r="AS507" i="1"/>
  <c r="AS506" i="1"/>
  <c r="AS505" i="1"/>
  <c r="AS504" i="1"/>
  <c r="AS503" i="1"/>
  <c r="AS502" i="1"/>
  <c r="AS501" i="1"/>
  <c r="AS500" i="1"/>
  <c r="AS499" i="1"/>
  <c r="AS498" i="1"/>
  <c r="AS497" i="1"/>
  <c r="AS496" i="1"/>
  <c r="AS495" i="1"/>
  <c r="AS494" i="1"/>
  <c r="AS493" i="1"/>
  <c r="AS492" i="1"/>
  <c r="AS491" i="1"/>
  <c r="AS490" i="1"/>
  <c r="AS489" i="1"/>
  <c r="AS488" i="1"/>
  <c r="AS487" i="1"/>
  <c r="AS486" i="1"/>
  <c r="AS485" i="1"/>
  <c r="AS484" i="1"/>
  <c r="AS483" i="1"/>
  <c r="AS482" i="1"/>
  <c r="AS481" i="1"/>
  <c r="AS480" i="1"/>
  <c r="AS479" i="1"/>
  <c r="AS478" i="1"/>
  <c r="AS477" i="1"/>
  <c r="AS476" i="1"/>
  <c r="AS475" i="1"/>
  <c r="AS474" i="1"/>
  <c r="AS473" i="1"/>
  <c r="AS472" i="1"/>
  <c r="AS471" i="1"/>
  <c r="AS470" i="1"/>
  <c r="AS469" i="1"/>
  <c r="AS468" i="1"/>
  <c r="AS467" i="1"/>
  <c r="AS466" i="1"/>
  <c r="AS465" i="1"/>
  <c r="AS464" i="1"/>
  <c r="AS463" i="1"/>
  <c r="AS462" i="1"/>
  <c r="AS461" i="1"/>
  <c r="AS460" i="1"/>
  <c r="AS459" i="1"/>
  <c r="AS458" i="1"/>
  <c r="AS457" i="1"/>
  <c r="AS456" i="1"/>
  <c r="AS455" i="1"/>
  <c r="AS454" i="1"/>
  <c r="AS453" i="1"/>
  <c r="AS452" i="1"/>
  <c r="AS451" i="1"/>
  <c r="AS450" i="1"/>
  <c r="AS449" i="1"/>
  <c r="AS448" i="1"/>
  <c r="AS447" i="1"/>
  <c r="AS446" i="1"/>
  <c r="AS445" i="1"/>
  <c r="AS444" i="1"/>
  <c r="AS443" i="1"/>
  <c r="AS442" i="1"/>
  <c r="AS441" i="1"/>
  <c r="AS440" i="1"/>
  <c r="AS439" i="1"/>
  <c r="AS438" i="1"/>
  <c r="AS437" i="1"/>
  <c r="AS436" i="1"/>
  <c r="AS435" i="1"/>
  <c r="AS434" i="1"/>
  <c r="AS433" i="1"/>
  <c r="AS432" i="1"/>
  <c r="AS431" i="1"/>
  <c r="AS430" i="1"/>
  <c r="AS429" i="1"/>
  <c r="AS428" i="1"/>
  <c r="AS427" i="1"/>
  <c r="AS426" i="1"/>
  <c r="AS425" i="1"/>
  <c r="AS424" i="1"/>
  <c r="AS423" i="1"/>
  <c r="AS422" i="1"/>
  <c r="AS421" i="1"/>
  <c r="AS420" i="1"/>
  <c r="AS419" i="1"/>
  <c r="AS418" i="1"/>
  <c r="AS417" i="1"/>
  <c r="AS416" i="1"/>
  <c r="AS415" i="1"/>
  <c r="AS414" i="1"/>
  <c r="AS413" i="1"/>
  <c r="AS412" i="1"/>
  <c r="AS411" i="1"/>
  <c r="AS410" i="1"/>
  <c r="AS409" i="1"/>
  <c r="AS408" i="1"/>
  <c r="AS407" i="1"/>
  <c r="AS406" i="1"/>
  <c r="AS405" i="1"/>
  <c r="AS404" i="1"/>
  <c r="AS403" i="1"/>
  <c r="AS402" i="1"/>
  <c r="AS401" i="1"/>
  <c r="AS400" i="1"/>
  <c r="AS399" i="1"/>
  <c r="AS398" i="1"/>
  <c r="AS397" i="1"/>
  <c r="AS396" i="1"/>
  <c r="AS395" i="1"/>
  <c r="AS394" i="1"/>
  <c r="AS393" i="1"/>
  <c r="AS392" i="1"/>
  <c r="AS391" i="1"/>
  <c r="AS390" i="1"/>
  <c r="AS389" i="1"/>
  <c r="AS388" i="1"/>
  <c r="AS387" i="1"/>
  <c r="AS386" i="1"/>
  <c r="AS385" i="1"/>
  <c r="AS384" i="1"/>
  <c r="AS383" i="1"/>
  <c r="AS382" i="1"/>
  <c r="AS381" i="1"/>
  <c r="AS380" i="1"/>
  <c r="AS379" i="1"/>
  <c r="AS378" i="1"/>
  <c r="AS377" i="1"/>
  <c r="AS376" i="1"/>
  <c r="AS375" i="1"/>
  <c r="AS374" i="1"/>
  <c r="AS373" i="1"/>
  <c r="AS372" i="1"/>
  <c r="AS371" i="1"/>
  <c r="AS370" i="1"/>
  <c r="AS369" i="1"/>
  <c r="AS368" i="1"/>
  <c r="AS367" i="1"/>
  <c r="AS366" i="1"/>
  <c r="AS365" i="1"/>
  <c r="AS364" i="1"/>
  <c r="AS363" i="1"/>
  <c r="AS362" i="1"/>
  <c r="AS361" i="1"/>
  <c r="AS360" i="1"/>
  <c r="AS359" i="1"/>
  <c r="AS358" i="1"/>
  <c r="AS357" i="1"/>
  <c r="AS356" i="1"/>
  <c r="AS355" i="1"/>
  <c r="AS354" i="1"/>
  <c r="AS353" i="1"/>
  <c r="AS352" i="1"/>
  <c r="AS351" i="1"/>
  <c r="AS350" i="1"/>
  <c r="AS349" i="1"/>
  <c r="AS348" i="1"/>
  <c r="AS347" i="1"/>
  <c r="AS346" i="1"/>
  <c r="AS345" i="1"/>
  <c r="AS344" i="1"/>
  <c r="AS343" i="1"/>
  <c r="AS342" i="1"/>
  <c r="AS341" i="1"/>
  <c r="AS340" i="1"/>
  <c r="AS339" i="1"/>
  <c r="AS338" i="1"/>
  <c r="AS337" i="1"/>
  <c r="AS336" i="1"/>
  <c r="AS335" i="1"/>
  <c r="AS334" i="1"/>
  <c r="AS333" i="1"/>
  <c r="AS332" i="1"/>
  <c r="AS331" i="1"/>
  <c r="AS330" i="1"/>
  <c r="AS329" i="1"/>
  <c r="AS328" i="1"/>
  <c r="AS327" i="1"/>
  <c r="AS326" i="1"/>
  <c r="AS325" i="1"/>
  <c r="AS324" i="1"/>
  <c r="AS323" i="1"/>
  <c r="AS322" i="1"/>
  <c r="AS321" i="1"/>
  <c r="AS320" i="1"/>
  <c r="AS319" i="1"/>
  <c r="AS318" i="1"/>
  <c r="AS317" i="1"/>
  <c r="AS316" i="1"/>
  <c r="AS315" i="1"/>
  <c r="AS314" i="1"/>
  <c r="AS313" i="1"/>
  <c r="AS312" i="1"/>
  <c r="AS311" i="1"/>
  <c r="AS310" i="1"/>
  <c r="AS309" i="1"/>
  <c r="AS308" i="1"/>
  <c r="AS307" i="1"/>
  <c r="AS306" i="1"/>
  <c r="AS305" i="1"/>
  <c r="AS304" i="1"/>
  <c r="AS303" i="1"/>
  <c r="AS302" i="1"/>
  <c r="AS301" i="1"/>
  <c r="AS300" i="1"/>
  <c r="AS299" i="1"/>
  <c r="AS298" i="1"/>
  <c r="AS297" i="1"/>
  <c r="AS296" i="1"/>
  <c r="AS295" i="1"/>
  <c r="AS294" i="1"/>
  <c r="AS293" i="1"/>
  <c r="AS292" i="1"/>
  <c r="AS291" i="1"/>
  <c r="AS290" i="1"/>
  <c r="AS289" i="1"/>
  <c r="AS288" i="1"/>
  <c r="AS287" i="1"/>
  <c r="AS286" i="1"/>
  <c r="AS285" i="1"/>
  <c r="AS284" i="1"/>
  <c r="AS283" i="1"/>
  <c r="AS282" i="1"/>
  <c r="AS281" i="1"/>
  <c r="AS280" i="1"/>
  <c r="AS279" i="1"/>
  <c r="AS278" i="1"/>
  <c r="AS277" i="1"/>
  <c r="AS276" i="1"/>
  <c r="AS275" i="1"/>
  <c r="AS274" i="1"/>
  <c r="AS273" i="1"/>
  <c r="AS272" i="1"/>
  <c r="AS271" i="1"/>
  <c r="AS270" i="1"/>
  <c r="AS269" i="1"/>
  <c r="AS268" i="1"/>
  <c r="AS267" i="1"/>
  <c r="AS266" i="1"/>
  <c r="AS265" i="1"/>
  <c r="AS264" i="1"/>
  <c r="AS263" i="1"/>
  <c r="AS262" i="1"/>
  <c r="AS261" i="1"/>
  <c r="AS260" i="1"/>
  <c r="AS259" i="1"/>
  <c r="AS258" i="1"/>
  <c r="AS257" i="1"/>
  <c r="AS256" i="1"/>
  <c r="AS255" i="1"/>
  <c r="AS254" i="1"/>
  <c r="AS253" i="1"/>
  <c r="AS252" i="1"/>
  <c r="AS251" i="1"/>
  <c r="AS250" i="1"/>
  <c r="AS249" i="1"/>
  <c r="AS248" i="1"/>
  <c r="AS247" i="1"/>
  <c r="AS246" i="1"/>
  <c r="AS245" i="1"/>
  <c r="AS244" i="1"/>
  <c r="AS243" i="1"/>
  <c r="AS242" i="1"/>
  <c r="AS241" i="1"/>
  <c r="AS240" i="1"/>
  <c r="AS239" i="1"/>
  <c r="AS238" i="1"/>
  <c r="AS237" i="1"/>
  <c r="AS236" i="1"/>
  <c r="AS235" i="1"/>
  <c r="AS234" i="1"/>
  <c r="AS233" i="1"/>
  <c r="AS232" i="1"/>
  <c r="AS231" i="1"/>
  <c r="AS230" i="1"/>
  <c r="AS229" i="1"/>
  <c r="AS228" i="1"/>
  <c r="AS227" i="1"/>
  <c r="AS226" i="1"/>
  <c r="AS225" i="1"/>
  <c r="AS224" i="1"/>
  <c r="AS223" i="1"/>
  <c r="AS222" i="1"/>
  <c r="AS221" i="1"/>
  <c r="AS220" i="1"/>
  <c r="AS219" i="1"/>
  <c r="AS218" i="1"/>
  <c r="AS217" i="1"/>
  <c r="AS216" i="1"/>
  <c r="AS215" i="1"/>
  <c r="AS214" i="1"/>
  <c r="AS213" i="1"/>
  <c r="AS212" i="1"/>
  <c r="AS211" i="1"/>
  <c r="AS210" i="1"/>
  <c r="AS209" i="1"/>
  <c r="AS208" i="1"/>
  <c r="AS207" i="1"/>
  <c r="AS206" i="1"/>
  <c r="AS205" i="1"/>
  <c r="AS204" i="1"/>
  <c r="AS203" i="1"/>
  <c r="AS202" i="1"/>
  <c r="AS201" i="1"/>
  <c r="AS200" i="1"/>
  <c r="AS199" i="1"/>
  <c r="AS198" i="1"/>
  <c r="AS197" i="1"/>
  <c r="AS196" i="1"/>
  <c r="AS195" i="1"/>
  <c r="AS194" i="1"/>
  <c r="AS193" i="1"/>
  <c r="AS192" i="1"/>
  <c r="AS191" i="1"/>
  <c r="AS190" i="1"/>
  <c r="AS189" i="1"/>
  <c r="AS188" i="1"/>
  <c r="AS187" i="1"/>
  <c r="AS186" i="1"/>
  <c r="AS185" i="1"/>
  <c r="AS184" i="1"/>
  <c r="AS183" i="1"/>
  <c r="AS182" i="1"/>
  <c r="AS181" i="1"/>
  <c r="AS180" i="1"/>
  <c r="AS179" i="1"/>
  <c r="AS178" i="1"/>
  <c r="AS177" i="1"/>
  <c r="AS176" i="1"/>
  <c r="AS175" i="1"/>
  <c r="AS174" i="1"/>
  <c r="AS173" i="1"/>
  <c r="AS172" i="1"/>
  <c r="AS171" i="1"/>
  <c r="AS170" i="1"/>
  <c r="AS169" i="1"/>
  <c r="AS168" i="1"/>
  <c r="AS167" i="1"/>
  <c r="AS166" i="1"/>
  <c r="AS165" i="1"/>
  <c r="AS164" i="1"/>
  <c r="AS163" i="1"/>
  <c r="AS162" i="1"/>
  <c r="AS161" i="1"/>
  <c r="AS160" i="1"/>
  <c r="AS159" i="1"/>
  <c r="AS158" i="1"/>
  <c r="AS157" i="1"/>
  <c r="AS156" i="1"/>
  <c r="AS155" i="1"/>
  <c r="AS154" i="1"/>
  <c r="AS153" i="1"/>
  <c r="AS152" i="1"/>
  <c r="AS151" i="1"/>
  <c r="AS150" i="1"/>
  <c r="AS149" i="1"/>
  <c r="AS148" i="1"/>
  <c r="AS147" i="1"/>
  <c r="AS146" i="1"/>
  <c r="AS145" i="1"/>
  <c r="AS144" i="1"/>
  <c r="AS143" i="1"/>
  <c r="AS142" i="1"/>
  <c r="AS141" i="1"/>
  <c r="AS140" i="1"/>
  <c r="AS139" i="1"/>
  <c r="AS138" i="1"/>
  <c r="AS137" i="1"/>
  <c r="AS136" i="1"/>
  <c r="AS135" i="1"/>
  <c r="AS134" i="1"/>
  <c r="AS133" i="1"/>
  <c r="AS132" i="1"/>
  <c r="AS131" i="1"/>
  <c r="AS130" i="1"/>
  <c r="AS129" i="1"/>
  <c r="AS128" i="1"/>
  <c r="AS127" i="1"/>
  <c r="AS126" i="1"/>
  <c r="AS125" i="1"/>
  <c r="AS124" i="1"/>
  <c r="AS123" i="1"/>
  <c r="AS122" i="1"/>
  <c r="AS121" i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AS4" i="1"/>
  <c r="AS3" i="1"/>
  <c r="AS2" i="1"/>
  <c r="AO962" i="1"/>
  <c r="AO961" i="1"/>
  <c r="AO960" i="1"/>
  <c r="AO959" i="1"/>
  <c r="AO958" i="1"/>
  <c r="AO957" i="1"/>
  <c r="AO956" i="1"/>
  <c r="AO955" i="1"/>
  <c r="AO954" i="1"/>
  <c r="AO953" i="1"/>
  <c r="AO952" i="1"/>
  <c r="AO951" i="1"/>
  <c r="AO950" i="1"/>
  <c r="AO949" i="1"/>
  <c r="AO948" i="1"/>
  <c r="AO947" i="1"/>
  <c r="AO946" i="1"/>
  <c r="AO945" i="1"/>
  <c r="AO944" i="1"/>
  <c r="AO943" i="1"/>
  <c r="AO942" i="1"/>
  <c r="AO941" i="1"/>
  <c r="AO940" i="1"/>
  <c r="AO939" i="1"/>
  <c r="AO938" i="1"/>
  <c r="AO937" i="1"/>
  <c r="AO936" i="1"/>
  <c r="AO935" i="1"/>
  <c r="AO934" i="1"/>
  <c r="AO933" i="1"/>
  <c r="AO932" i="1"/>
  <c r="AO931" i="1"/>
  <c r="AO930" i="1"/>
  <c r="AO929" i="1"/>
  <c r="AO928" i="1"/>
  <c r="AO927" i="1"/>
  <c r="AO926" i="1"/>
  <c r="AO925" i="1"/>
  <c r="AO924" i="1"/>
  <c r="AO923" i="1"/>
  <c r="AO922" i="1"/>
  <c r="AO921" i="1"/>
  <c r="AO920" i="1"/>
  <c r="AO919" i="1"/>
  <c r="AO918" i="1"/>
  <c r="AO917" i="1"/>
  <c r="AO916" i="1"/>
  <c r="AO915" i="1"/>
  <c r="AO914" i="1"/>
  <c r="AO913" i="1"/>
  <c r="AO912" i="1"/>
  <c r="AO911" i="1"/>
  <c r="AO910" i="1"/>
  <c r="AO909" i="1"/>
  <c r="AO908" i="1"/>
  <c r="AO907" i="1"/>
  <c r="AO906" i="1"/>
  <c r="AO905" i="1"/>
  <c r="AO904" i="1"/>
  <c r="AO903" i="1"/>
  <c r="AO902" i="1"/>
  <c r="AO901" i="1"/>
  <c r="AO900" i="1"/>
  <c r="AO899" i="1"/>
  <c r="AO898" i="1"/>
  <c r="AO897" i="1"/>
  <c r="AO896" i="1"/>
  <c r="AO895" i="1"/>
  <c r="AO894" i="1"/>
  <c r="AO893" i="1"/>
  <c r="AO892" i="1"/>
  <c r="AO891" i="1"/>
  <c r="AO890" i="1"/>
  <c r="AO889" i="1"/>
  <c r="AO888" i="1"/>
  <c r="AO887" i="1"/>
  <c r="AO886" i="1"/>
  <c r="AO885" i="1"/>
  <c r="AO884" i="1"/>
  <c r="AO883" i="1"/>
  <c r="AO882" i="1"/>
  <c r="AO881" i="1"/>
  <c r="AO880" i="1"/>
  <c r="AO879" i="1"/>
  <c r="AO878" i="1"/>
  <c r="AO877" i="1"/>
  <c r="AO876" i="1"/>
  <c r="AO875" i="1"/>
  <c r="AO874" i="1"/>
  <c r="AO873" i="1"/>
  <c r="AO872" i="1"/>
  <c r="AO871" i="1"/>
  <c r="AO870" i="1"/>
  <c r="AO869" i="1"/>
  <c r="AO868" i="1"/>
  <c r="AO867" i="1"/>
  <c r="AO866" i="1"/>
  <c r="AO865" i="1"/>
  <c r="AO864" i="1"/>
  <c r="AO863" i="1"/>
  <c r="AO862" i="1"/>
  <c r="AO861" i="1"/>
  <c r="AO860" i="1"/>
  <c r="AO859" i="1"/>
  <c r="AO858" i="1"/>
  <c r="AO857" i="1"/>
  <c r="AO856" i="1"/>
  <c r="AO855" i="1"/>
  <c r="AO854" i="1"/>
  <c r="AO853" i="1"/>
  <c r="AO852" i="1"/>
  <c r="AO851" i="1"/>
  <c r="AO850" i="1"/>
  <c r="AO849" i="1"/>
  <c r="AO848" i="1"/>
  <c r="AO847" i="1"/>
  <c r="AO846" i="1"/>
  <c r="AO845" i="1"/>
  <c r="AO844" i="1"/>
  <c r="AO843" i="1"/>
  <c r="AO842" i="1"/>
  <c r="AO841" i="1"/>
  <c r="AO840" i="1"/>
  <c r="AO839" i="1"/>
  <c r="AO838" i="1"/>
  <c r="AO837" i="1"/>
  <c r="AO836" i="1"/>
  <c r="AO835" i="1"/>
  <c r="AO834" i="1"/>
  <c r="AO833" i="1"/>
  <c r="AO832" i="1"/>
  <c r="AO831" i="1"/>
  <c r="AO830" i="1"/>
  <c r="AO829" i="1"/>
  <c r="AO828" i="1"/>
  <c r="AO827" i="1"/>
  <c r="AO826" i="1"/>
  <c r="AO825" i="1"/>
  <c r="AO824" i="1"/>
  <c r="AO823" i="1"/>
  <c r="AO822" i="1"/>
  <c r="AO821" i="1"/>
  <c r="AO820" i="1"/>
  <c r="AO819" i="1"/>
  <c r="AO818" i="1"/>
  <c r="AO817" i="1"/>
  <c r="AO816" i="1"/>
  <c r="AO815" i="1"/>
  <c r="AO814" i="1"/>
  <c r="AO813" i="1"/>
  <c r="AO812" i="1"/>
  <c r="AO811" i="1"/>
  <c r="AO810" i="1"/>
  <c r="AO809" i="1"/>
  <c r="AO808" i="1"/>
  <c r="AO807" i="1"/>
  <c r="AO806" i="1"/>
  <c r="AO805" i="1"/>
  <c r="AO804" i="1"/>
  <c r="AO803" i="1"/>
  <c r="AO802" i="1"/>
  <c r="AO801" i="1"/>
  <c r="AO800" i="1"/>
  <c r="AO799" i="1"/>
  <c r="AO798" i="1"/>
  <c r="AO797" i="1"/>
  <c r="AO796" i="1"/>
  <c r="AO795" i="1"/>
  <c r="AO794" i="1"/>
  <c r="AO793" i="1"/>
  <c r="AO792" i="1"/>
  <c r="AO791" i="1"/>
  <c r="AO790" i="1"/>
  <c r="AO789" i="1"/>
  <c r="AO788" i="1"/>
  <c r="AO787" i="1"/>
  <c r="AO786" i="1"/>
  <c r="AO785" i="1"/>
  <c r="AO784" i="1"/>
  <c r="AO783" i="1"/>
  <c r="AO782" i="1"/>
  <c r="AO781" i="1"/>
  <c r="AO780" i="1"/>
  <c r="AO779" i="1"/>
  <c r="AO778" i="1"/>
  <c r="AO777" i="1"/>
  <c r="AO776" i="1"/>
  <c r="AO775" i="1"/>
  <c r="AO774" i="1"/>
  <c r="AO773" i="1"/>
  <c r="AO772" i="1"/>
  <c r="AO771" i="1"/>
  <c r="AO770" i="1"/>
  <c r="AO769" i="1"/>
  <c r="AO768" i="1"/>
  <c r="AO767" i="1"/>
  <c r="AO766" i="1"/>
  <c r="AO765" i="1"/>
  <c r="AO764" i="1"/>
  <c r="AO763" i="1"/>
  <c r="AO762" i="1"/>
  <c r="AO761" i="1"/>
  <c r="AO760" i="1"/>
  <c r="AO759" i="1"/>
  <c r="AO758" i="1"/>
  <c r="AO757" i="1"/>
  <c r="AO756" i="1"/>
  <c r="AO755" i="1"/>
  <c r="AO754" i="1"/>
  <c r="AO753" i="1"/>
  <c r="AO752" i="1"/>
  <c r="AO751" i="1"/>
  <c r="AO750" i="1"/>
  <c r="AO749" i="1"/>
  <c r="AO748" i="1"/>
  <c r="AO747" i="1"/>
  <c r="AO746" i="1"/>
  <c r="AO745" i="1"/>
  <c r="AO744" i="1"/>
  <c r="AO743" i="1"/>
  <c r="AO742" i="1"/>
  <c r="AO741" i="1"/>
  <c r="AO740" i="1"/>
  <c r="AO739" i="1"/>
  <c r="AO738" i="1"/>
  <c r="AO737" i="1"/>
  <c r="AO736" i="1"/>
  <c r="AO735" i="1"/>
  <c r="AO734" i="1"/>
  <c r="AO733" i="1"/>
  <c r="AO732" i="1"/>
  <c r="AO731" i="1"/>
  <c r="AO730" i="1"/>
  <c r="AO729" i="1"/>
  <c r="AO728" i="1"/>
  <c r="AO727" i="1"/>
  <c r="AO726" i="1"/>
  <c r="AO725" i="1"/>
  <c r="AO724" i="1"/>
  <c r="AO723" i="1"/>
  <c r="AO722" i="1"/>
  <c r="AO721" i="1"/>
  <c r="AO720" i="1"/>
  <c r="AO719" i="1"/>
  <c r="AO718" i="1"/>
  <c r="AO717" i="1"/>
  <c r="AO716" i="1"/>
  <c r="AO715" i="1"/>
  <c r="AO714" i="1"/>
  <c r="AO713" i="1"/>
  <c r="AO712" i="1"/>
  <c r="AO711" i="1"/>
  <c r="AO710" i="1"/>
  <c r="AO709" i="1"/>
  <c r="AO708" i="1"/>
  <c r="AO707" i="1"/>
  <c r="AO706" i="1"/>
  <c r="AO705" i="1"/>
  <c r="AO704" i="1"/>
  <c r="AO703" i="1"/>
  <c r="AO702" i="1"/>
  <c r="AO701" i="1"/>
  <c r="AO700" i="1"/>
  <c r="AO699" i="1"/>
  <c r="AO698" i="1"/>
  <c r="AO697" i="1"/>
  <c r="AO696" i="1"/>
  <c r="AO695" i="1"/>
  <c r="AO694" i="1"/>
  <c r="AO693" i="1"/>
  <c r="AO692" i="1"/>
  <c r="AO691" i="1"/>
  <c r="AO690" i="1"/>
  <c r="AO689" i="1"/>
  <c r="AO688" i="1"/>
  <c r="AO687" i="1"/>
  <c r="AO686" i="1"/>
  <c r="AO685" i="1"/>
  <c r="AO684" i="1"/>
  <c r="AO683" i="1"/>
  <c r="AO682" i="1"/>
  <c r="AO681" i="1"/>
  <c r="AO680" i="1"/>
  <c r="AO679" i="1"/>
  <c r="AO678" i="1"/>
  <c r="AO677" i="1"/>
  <c r="AO676" i="1"/>
  <c r="AO675" i="1"/>
  <c r="AO674" i="1"/>
  <c r="AO673" i="1"/>
  <c r="AO672" i="1"/>
  <c r="AO671" i="1"/>
  <c r="AO670" i="1"/>
  <c r="AO669" i="1"/>
  <c r="AO668" i="1"/>
  <c r="AO667" i="1"/>
  <c r="AO666" i="1"/>
  <c r="AO665" i="1"/>
  <c r="AO664" i="1"/>
  <c r="AO663" i="1"/>
  <c r="AO662" i="1"/>
  <c r="AO661" i="1"/>
  <c r="AO660" i="1"/>
  <c r="AO659" i="1"/>
  <c r="AO658" i="1"/>
  <c r="AO657" i="1"/>
  <c r="AO656" i="1"/>
  <c r="AO655" i="1"/>
  <c r="AO654" i="1"/>
  <c r="AO653" i="1"/>
  <c r="AO652" i="1"/>
  <c r="AO651" i="1"/>
  <c r="AO650" i="1"/>
  <c r="AO649" i="1"/>
  <c r="AO648" i="1"/>
  <c r="AO647" i="1"/>
  <c r="AO646" i="1"/>
  <c r="AO645" i="1"/>
  <c r="AO644" i="1"/>
  <c r="AO643" i="1"/>
  <c r="AO642" i="1"/>
  <c r="AO641" i="1"/>
  <c r="AO640" i="1"/>
  <c r="AO639" i="1"/>
  <c r="AO638" i="1"/>
  <c r="AO637" i="1"/>
  <c r="AO636" i="1"/>
  <c r="AO635" i="1"/>
  <c r="AO634" i="1"/>
  <c r="AO633" i="1"/>
  <c r="AO632" i="1"/>
  <c r="AO631" i="1"/>
  <c r="AO630" i="1"/>
  <c r="AO629" i="1"/>
  <c r="AO628" i="1"/>
  <c r="AO627" i="1"/>
  <c r="AO626" i="1"/>
  <c r="AO625" i="1"/>
  <c r="AO624" i="1"/>
  <c r="AO623" i="1"/>
  <c r="AO622" i="1"/>
  <c r="AO621" i="1"/>
  <c r="AO620" i="1"/>
  <c r="AO619" i="1"/>
  <c r="AO618" i="1"/>
  <c r="AO617" i="1"/>
  <c r="AO616" i="1"/>
  <c r="AO615" i="1"/>
  <c r="AO614" i="1"/>
  <c r="AO613" i="1"/>
  <c r="AO612" i="1"/>
  <c r="AO611" i="1"/>
  <c r="AO610" i="1"/>
  <c r="AO609" i="1"/>
  <c r="AO608" i="1"/>
  <c r="AO607" i="1"/>
  <c r="AO606" i="1"/>
  <c r="AO605" i="1"/>
  <c r="AO604" i="1"/>
  <c r="AO603" i="1"/>
  <c r="AO602" i="1"/>
  <c r="AO601" i="1"/>
  <c r="AO600" i="1"/>
  <c r="AO599" i="1"/>
  <c r="AO598" i="1"/>
  <c r="AO597" i="1"/>
  <c r="AO596" i="1"/>
  <c r="AO595" i="1"/>
  <c r="AO594" i="1"/>
  <c r="AO593" i="1"/>
  <c r="AO592" i="1"/>
  <c r="AO591" i="1"/>
  <c r="AO590" i="1"/>
  <c r="AO589" i="1"/>
  <c r="AO588" i="1"/>
  <c r="AO587" i="1"/>
  <c r="AO586" i="1"/>
  <c r="AO585" i="1"/>
  <c r="AO584" i="1"/>
  <c r="AO583" i="1"/>
  <c r="AO582" i="1"/>
  <c r="AO581" i="1"/>
  <c r="AO580" i="1"/>
  <c r="AO579" i="1"/>
  <c r="AO578" i="1"/>
  <c r="AO577" i="1"/>
  <c r="AO576" i="1"/>
  <c r="AO575" i="1"/>
  <c r="AO574" i="1"/>
  <c r="AO573" i="1"/>
  <c r="AO572" i="1"/>
  <c r="AO571" i="1"/>
  <c r="AO570" i="1"/>
  <c r="AO569" i="1"/>
  <c r="AO568" i="1"/>
  <c r="AO567" i="1"/>
  <c r="AO566" i="1"/>
  <c r="AO565" i="1"/>
  <c r="AO564" i="1"/>
  <c r="AO563" i="1"/>
  <c r="AO562" i="1"/>
  <c r="AO561" i="1"/>
  <c r="AO560" i="1"/>
  <c r="AO559" i="1"/>
  <c r="AO558" i="1"/>
  <c r="AO557" i="1"/>
  <c r="AO556" i="1"/>
  <c r="AO555" i="1"/>
  <c r="AO554" i="1"/>
  <c r="AO553" i="1"/>
  <c r="AO552" i="1"/>
  <c r="AO551" i="1"/>
  <c r="AO550" i="1"/>
  <c r="AO549" i="1"/>
  <c r="AO548" i="1"/>
  <c r="AO547" i="1"/>
  <c r="AO546" i="1"/>
  <c r="AO545" i="1"/>
  <c r="AO544" i="1"/>
  <c r="AO543" i="1"/>
  <c r="AO542" i="1"/>
  <c r="AO541" i="1"/>
  <c r="AO540" i="1"/>
  <c r="AO539" i="1"/>
  <c r="AO538" i="1"/>
  <c r="AO537" i="1"/>
  <c r="AO536" i="1"/>
  <c r="AO535" i="1"/>
  <c r="AO534" i="1"/>
  <c r="AO533" i="1"/>
  <c r="AO532" i="1"/>
  <c r="AO531" i="1"/>
  <c r="AO530" i="1"/>
  <c r="AO529" i="1"/>
  <c r="AO528" i="1"/>
  <c r="AO527" i="1"/>
  <c r="AO526" i="1"/>
  <c r="AO525" i="1"/>
  <c r="AO524" i="1"/>
  <c r="AO523" i="1"/>
  <c r="AO522" i="1"/>
  <c r="AO521" i="1"/>
  <c r="AO520" i="1"/>
  <c r="AO519" i="1"/>
  <c r="AO518" i="1"/>
  <c r="AO517" i="1"/>
  <c r="AO516" i="1"/>
  <c r="AO515" i="1"/>
  <c r="AO514" i="1"/>
  <c r="AO513" i="1"/>
  <c r="AO512" i="1"/>
  <c r="AO511" i="1"/>
  <c r="AO510" i="1"/>
  <c r="AO509" i="1"/>
  <c r="AO508" i="1"/>
  <c r="AO507" i="1"/>
  <c r="AO506" i="1"/>
  <c r="AO505" i="1"/>
  <c r="AO504" i="1"/>
  <c r="AO503" i="1"/>
  <c r="AO502" i="1"/>
  <c r="AO501" i="1"/>
  <c r="AO500" i="1"/>
  <c r="AO499" i="1"/>
  <c r="AO498" i="1"/>
  <c r="AO497" i="1"/>
  <c r="AO496" i="1"/>
  <c r="AO495" i="1"/>
  <c r="AO494" i="1"/>
  <c r="AO493" i="1"/>
  <c r="AO492" i="1"/>
  <c r="AO491" i="1"/>
  <c r="AO490" i="1"/>
  <c r="AO489" i="1"/>
  <c r="AO488" i="1"/>
  <c r="AO487" i="1"/>
  <c r="AO486" i="1"/>
  <c r="AO485" i="1"/>
  <c r="AO484" i="1"/>
  <c r="AO483" i="1"/>
  <c r="AO482" i="1"/>
  <c r="AO481" i="1"/>
  <c r="AO480" i="1"/>
  <c r="AO479" i="1"/>
  <c r="AO478" i="1"/>
  <c r="AO477" i="1"/>
  <c r="AO476" i="1"/>
  <c r="AO475" i="1"/>
  <c r="AO474" i="1"/>
  <c r="AO473" i="1"/>
  <c r="AO472" i="1"/>
  <c r="AO471" i="1"/>
  <c r="AO470" i="1"/>
  <c r="AO469" i="1"/>
  <c r="AO468" i="1"/>
  <c r="AO467" i="1"/>
  <c r="AO466" i="1"/>
  <c r="AO465" i="1"/>
  <c r="AO464" i="1"/>
  <c r="AO463" i="1"/>
  <c r="AO462" i="1"/>
  <c r="AO461" i="1"/>
  <c r="AO460" i="1"/>
  <c r="AO459" i="1"/>
  <c r="AO458" i="1"/>
  <c r="AO457" i="1"/>
  <c r="AO456" i="1"/>
  <c r="AO455" i="1"/>
  <c r="AO454" i="1"/>
  <c r="AO453" i="1"/>
  <c r="AO452" i="1"/>
  <c r="AO451" i="1"/>
  <c r="AO450" i="1"/>
  <c r="AO449" i="1"/>
  <c r="AO448" i="1"/>
  <c r="AO447" i="1"/>
  <c r="AO446" i="1"/>
  <c r="AO445" i="1"/>
  <c r="AO444" i="1"/>
  <c r="AO443" i="1"/>
  <c r="AO442" i="1"/>
  <c r="AO441" i="1"/>
  <c r="AO440" i="1"/>
  <c r="AO439" i="1"/>
  <c r="AO438" i="1"/>
  <c r="AO437" i="1"/>
  <c r="AO436" i="1"/>
  <c r="AO435" i="1"/>
  <c r="AO434" i="1"/>
  <c r="AO433" i="1"/>
  <c r="AO432" i="1"/>
  <c r="AO431" i="1"/>
  <c r="AO430" i="1"/>
  <c r="AO429" i="1"/>
  <c r="AO428" i="1"/>
  <c r="AO427" i="1"/>
  <c r="AO426" i="1"/>
  <c r="AO425" i="1"/>
  <c r="AO424" i="1"/>
  <c r="AO423" i="1"/>
  <c r="AO422" i="1"/>
  <c r="AO421" i="1"/>
  <c r="AO420" i="1"/>
  <c r="AO419" i="1"/>
  <c r="AO418" i="1"/>
  <c r="AO417" i="1"/>
  <c r="AO416" i="1"/>
  <c r="AO415" i="1"/>
  <c r="AO414" i="1"/>
  <c r="AO413" i="1"/>
  <c r="AO412" i="1"/>
  <c r="AO411" i="1"/>
  <c r="AO410" i="1"/>
  <c r="AO409" i="1"/>
  <c r="AO408" i="1"/>
  <c r="AO407" i="1"/>
  <c r="AO406" i="1"/>
  <c r="AO405" i="1"/>
  <c r="AO404" i="1"/>
  <c r="AO403" i="1"/>
  <c r="AO402" i="1"/>
  <c r="AO401" i="1"/>
  <c r="AO400" i="1"/>
  <c r="AO399" i="1"/>
  <c r="AO398" i="1"/>
  <c r="AO397" i="1"/>
  <c r="AO396" i="1"/>
  <c r="AO395" i="1"/>
  <c r="AO394" i="1"/>
  <c r="AO393" i="1"/>
  <c r="AO392" i="1"/>
  <c r="AO391" i="1"/>
  <c r="AO390" i="1"/>
  <c r="AO389" i="1"/>
  <c r="AO388" i="1"/>
  <c r="AO387" i="1"/>
  <c r="AO386" i="1"/>
  <c r="AO385" i="1"/>
  <c r="AO384" i="1"/>
  <c r="AO383" i="1"/>
  <c r="AO382" i="1"/>
  <c r="AO381" i="1"/>
  <c r="AO380" i="1"/>
  <c r="AO379" i="1"/>
  <c r="AO378" i="1"/>
  <c r="AO377" i="1"/>
  <c r="AO376" i="1"/>
  <c r="AO375" i="1"/>
  <c r="AO374" i="1"/>
  <c r="AO373" i="1"/>
  <c r="AO372" i="1"/>
  <c r="AO371" i="1"/>
  <c r="AO370" i="1"/>
  <c r="AO369" i="1"/>
  <c r="AO368" i="1"/>
  <c r="AO367" i="1"/>
  <c r="AO366" i="1"/>
  <c r="AO365" i="1"/>
  <c r="AO364" i="1"/>
  <c r="AO363" i="1"/>
  <c r="AO362" i="1"/>
  <c r="AO361" i="1"/>
  <c r="AO360" i="1"/>
  <c r="AO359" i="1"/>
  <c r="AO358" i="1"/>
  <c r="AO357" i="1"/>
  <c r="AO356" i="1"/>
  <c r="AO355" i="1"/>
  <c r="AO354" i="1"/>
  <c r="AO353" i="1"/>
  <c r="AO352" i="1"/>
  <c r="AO351" i="1"/>
  <c r="AO350" i="1"/>
  <c r="AO349" i="1"/>
  <c r="AO348" i="1"/>
  <c r="AO347" i="1"/>
  <c r="AO346" i="1"/>
  <c r="AO345" i="1"/>
  <c r="AO344" i="1"/>
  <c r="AO343" i="1"/>
  <c r="AO342" i="1"/>
  <c r="AO341" i="1"/>
  <c r="AO340" i="1"/>
  <c r="AO339" i="1"/>
  <c r="AO338" i="1"/>
  <c r="AO337" i="1"/>
  <c r="AO336" i="1"/>
  <c r="AO335" i="1"/>
  <c r="AO334" i="1"/>
  <c r="AO333" i="1"/>
  <c r="AO332" i="1"/>
  <c r="AO331" i="1"/>
  <c r="AO330" i="1"/>
  <c r="AO329" i="1"/>
  <c r="AO328" i="1"/>
  <c r="AO327" i="1"/>
  <c r="AO326" i="1"/>
  <c r="AO325" i="1"/>
  <c r="AO324" i="1"/>
  <c r="AO323" i="1"/>
  <c r="AO322" i="1"/>
  <c r="AO321" i="1"/>
  <c r="AO320" i="1"/>
  <c r="AO319" i="1"/>
  <c r="AO318" i="1"/>
  <c r="AO317" i="1"/>
  <c r="AO316" i="1"/>
  <c r="AO315" i="1"/>
  <c r="AO314" i="1"/>
  <c r="AO313" i="1"/>
  <c r="AO312" i="1"/>
  <c r="AO311" i="1"/>
  <c r="AO310" i="1"/>
  <c r="AO309" i="1"/>
  <c r="AO308" i="1"/>
  <c r="AO307" i="1"/>
  <c r="AO306" i="1"/>
  <c r="AO305" i="1"/>
  <c r="AO304" i="1"/>
  <c r="AO303" i="1"/>
  <c r="AO302" i="1"/>
  <c r="AO301" i="1"/>
  <c r="AO300" i="1"/>
  <c r="AO299" i="1"/>
  <c r="AO298" i="1"/>
  <c r="AO297" i="1"/>
  <c r="AO296" i="1"/>
  <c r="AO295" i="1"/>
  <c r="AO294" i="1"/>
  <c r="AO293" i="1"/>
  <c r="AO292" i="1"/>
  <c r="AO291" i="1"/>
  <c r="AO290" i="1"/>
  <c r="AO289" i="1"/>
  <c r="AO288" i="1"/>
  <c r="AO287" i="1"/>
  <c r="AO286" i="1"/>
  <c r="AO285" i="1"/>
  <c r="AO284" i="1"/>
  <c r="AO283" i="1"/>
  <c r="AO282" i="1"/>
  <c r="AO281" i="1"/>
  <c r="AO280" i="1"/>
  <c r="AO279" i="1"/>
  <c r="AO278" i="1"/>
  <c r="AO277" i="1"/>
  <c r="AO276" i="1"/>
  <c r="AO275" i="1"/>
  <c r="AO274" i="1"/>
  <c r="AO273" i="1"/>
  <c r="AO272" i="1"/>
  <c r="AO271" i="1"/>
  <c r="AO270" i="1"/>
  <c r="AO269" i="1"/>
  <c r="AO268" i="1"/>
  <c r="AO267" i="1"/>
  <c r="AO266" i="1"/>
  <c r="AO265" i="1"/>
  <c r="AO264" i="1"/>
  <c r="AO263" i="1"/>
  <c r="AO262" i="1"/>
  <c r="AO261" i="1"/>
  <c r="AO260" i="1"/>
  <c r="AO259" i="1"/>
  <c r="AO258" i="1"/>
  <c r="AO257" i="1"/>
  <c r="AO256" i="1"/>
  <c r="AO255" i="1"/>
  <c r="AO254" i="1"/>
  <c r="AO253" i="1"/>
  <c r="AO252" i="1"/>
  <c r="AO251" i="1"/>
  <c r="AO250" i="1"/>
  <c r="AO249" i="1"/>
  <c r="AO248" i="1"/>
  <c r="AO247" i="1"/>
  <c r="AO246" i="1"/>
  <c r="AO245" i="1"/>
  <c r="AO244" i="1"/>
  <c r="AO243" i="1"/>
  <c r="AO242" i="1"/>
  <c r="AO241" i="1"/>
  <c r="AO240" i="1"/>
  <c r="AO239" i="1"/>
  <c r="AO238" i="1"/>
  <c r="AO237" i="1"/>
  <c r="AO236" i="1"/>
  <c r="AO235" i="1"/>
  <c r="AO234" i="1"/>
  <c r="AO233" i="1"/>
  <c r="AO232" i="1"/>
  <c r="AO231" i="1"/>
  <c r="AO230" i="1"/>
  <c r="AO229" i="1"/>
  <c r="AO228" i="1"/>
  <c r="AO227" i="1"/>
  <c r="AO226" i="1"/>
  <c r="AO225" i="1"/>
  <c r="AO224" i="1"/>
  <c r="AO223" i="1"/>
  <c r="AO222" i="1"/>
  <c r="AO221" i="1"/>
  <c r="AO220" i="1"/>
  <c r="AO219" i="1"/>
  <c r="AO218" i="1"/>
  <c r="AO217" i="1"/>
  <c r="AO216" i="1"/>
  <c r="AO215" i="1"/>
  <c r="AO214" i="1"/>
  <c r="AO213" i="1"/>
  <c r="AO212" i="1"/>
  <c r="AO211" i="1"/>
  <c r="AO210" i="1"/>
  <c r="AO209" i="1"/>
  <c r="AO208" i="1"/>
  <c r="AO207" i="1"/>
  <c r="AO206" i="1"/>
  <c r="AO205" i="1"/>
  <c r="AO204" i="1"/>
  <c r="AO203" i="1"/>
  <c r="AO202" i="1"/>
  <c r="AO201" i="1"/>
  <c r="AO200" i="1"/>
  <c r="AO199" i="1"/>
  <c r="AO198" i="1"/>
  <c r="AO197" i="1"/>
  <c r="AO196" i="1"/>
  <c r="AO195" i="1"/>
  <c r="AO194" i="1"/>
  <c r="AO193" i="1"/>
  <c r="AO192" i="1"/>
  <c r="AO191" i="1"/>
  <c r="AO190" i="1"/>
  <c r="AO189" i="1"/>
  <c r="AO188" i="1"/>
  <c r="AO187" i="1"/>
  <c r="AO186" i="1"/>
  <c r="AO185" i="1"/>
  <c r="AO184" i="1"/>
  <c r="AO183" i="1"/>
  <c r="AO182" i="1"/>
  <c r="AO181" i="1"/>
  <c r="AO180" i="1"/>
  <c r="AO179" i="1"/>
  <c r="AO178" i="1"/>
  <c r="AO177" i="1"/>
  <c r="AO176" i="1"/>
  <c r="AO175" i="1"/>
  <c r="AO174" i="1"/>
  <c r="AO173" i="1"/>
  <c r="AO172" i="1"/>
  <c r="AO171" i="1"/>
  <c r="AO170" i="1"/>
  <c r="AO169" i="1"/>
  <c r="AO168" i="1"/>
  <c r="AO167" i="1"/>
  <c r="AO166" i="1"/>
  <c r="AO165" i="1"/>
  <c r="AO164" i="1"/>
  <c r="AO163" i="1"/>
  <c r="AO162" i="1"/>
  <c r="AO161" i="1"/>
  <c r="AO160" i="1"/>
  <c r="AO159" i="1"/>
  <c r="AO158" i="1"/>
  <c r="AO157" i="1"/>
  <c r="AO156" i="1"/>
  <c r="AO155" i="1"/>
  <c r="AO154" i="1"/>
  <c r="AO153" i="1"/>
  <c r="AO152" i="1"/>
  <c r="AO151" i="1"/>
  <c r="AO150" i="1"/>
  <c r="AO149" i="1"/>
  <c r="AO148" i="1"/>
  <c r="AO147" i="1"/>
  <c r="AO146" i="1"/>
  <c r="AO145" i="1"/>
  <c r="AO144" i="1"/>
  <c r="AO143" i="1"/>
  <c r="AO142" i="1"/>
  <c r="AO141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20" i="1"/>
  <c r="AO119" i="1"/>
  <c r="AO118" i="1"/>
  <c r="AO117" i="1"/>
  <c r="AO116" i="1"/>
  <c r="AO115" i="1"/>
  <c r="AO114" i="1"/>
  <c r="AO113" i="1"/>
  <c r="AO112" i="1"/>
  <c r="AO111" i="1"/>
  <c r="AO110" i="1"/>
  <c r="AO109" i="1"/>
  <c r="AO108" i="1"/>
  <c r="AO107" i="1"/>
  <c r="AO106" i="1"/>
  <c r="AO105" i="1"/>
  <c r="AO104" i="1"/>
  <c r="AO103" i="1"/>
  <c r="AO102" i="1"/>
  <c r="AO101" i="1"/>
  <c r="AO100" i="1"/>
  <c r="AO99" i="1"/>
  <c r="AO98" i="1"/>
  <c r="AO97" i="1"/>
  <c r="AO96" i="1"/>
  <c r="AO95" i="1"/>
  <c r="AO94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  <c r="AO4" i="1"/>
  <c r="AO3" i="1"/>
  <c r="AO2" i="1"/>
  <c r="AK962" i="1"/>
  <c r="AK961" i="1"/>
  <c r="AK960" i="1"/>
  <c r="AK959" i="1"/>
  <c r="AK958" i="1"/>
  <c r="AK957" i="1"/>
  <c r="AK956" i="1"/>
  <c r="AK955" i="1"/>
  <c r="AK954" i="1"/>
  <c r="AK953" i="1"/>
  <c r="AK952" i="1"/>
  <c r="AK951" i="1"/>
  <c r="AK950" i="1"/>
  <c r="AK949" i="1"/>
  <c r="AK948" i="1"/>
  <c r="AK947" i="1"/>
  <c r="AK946" i="1"/>
  <c r="AK945" i="1"/>
  <c r="AK944" i="1"/>
  <c r="AK943" i="1"/>
  <c r="AK942" i="1"/>
  <c r="AK941" i="1"/>
  <c r="AK940" i="1"/>
  <c r="AK939" i="1"/>
  <c r="AK938" i="1"/>
  <c r="AK937" i="1"/>
  <c r="AK936" i="1"/>
  <c r="AK935" i="1"/>
  <c r="AK934" i="1"/>
  <c r="AK933" i="1"/>
  <c r="AK932" i="1"/>
  <c r="AK931" i="1"/>
  <c r="AK930" i="1"/>
  <c r="AK929" i="1"/>
  <c r="AK928" i="1"/>
  <c r="AK927" i="1"/>
  <c r="AK926" i="1"/>
  <c r="AK925" i="1"/>
  <c r="AK924" i="1"/>
  <c r="AK923" i="1"/>
  <c r="AK922" i="1"/>
  <c r="AK921" i="1"/>
  <c r="AK920" i="1"/>
  <c r="AK919" i="1"/>
  <c r="AK918" i="1"/>
  <c r="AK917" i="1"/>
  <c r="AK916" i="1"/>
  <c r="AK915" i="1"/>
  <c r="AK914" i="1"/>
  <c r="AK913" i="1"/>
  <c r="AK912" i="1"/>
  <c r="AK911" i="1"/>
  <c r="AK910" i="1"/>
  <c r="AK909" i="1"/>
  <c r="AK908" i="1"/>
  <c r="AK907" i="1"/>
  <c r="AK906" i="1"/>
  <c r="AK905" i="1"/>
  <c r="AK904" i="1"/>
  <c r="AK903" i="1"/>
  <c r="AK902" i="1"/>
  <c r="AK901" i="1"/>
  <c r="AK900" i="1"/>
  <c r="AK899" i="1"/>
  <c r="AK898" i="1"/>
  <c r="AK897" i="1"/>
  <c r="AK896" i="1"/>
  <c r="AK895" i="1"/>
  <c r="AK894" i="1"/>
  <c r="AK893" i="1"/>
  <c r="AK892" i="1"/>
  <c r="AK891" i="1"/>
  <c r="AK890" i="1"/>
  <c r="AK889" i="1"/>
  <c r="AK888" i="1"/>
  <c r="AK887" i="1"/>
  <c r="AK886" i="1"/>
  <c r="AK885" i="1"/>
  <c r="AK884" i="1"/>
  <c r="AK883" i="1"/>
  <c r="AK882" i="1"/>
  <c r="AK881" i="1"/>
  <c r="AK880" i="1"/>
  <c r="AK879" i="1"/>
  <c r="AK878" i="1"/>
  <c r="AK877" i="1"/>
  <c r="AK876" i="1"/>
  <c r="AK875" i="1"/>
  <c r="AK874" i="1"/>
  <c r="AK873" i="1"/>
  <c r="AK872" i="1"/>
  <c r="AK871" i="1"/>
  <c r="AK870" i="1"/>
  <c r="AK869" i="1"/>
  <c r="AK868" i="1"/>
  <c r="AK867" i="1"/>
  <c r="AK866" i="1"/>
  <c r="AK865" i="1"/>
  <c r="AK864" i="1"/>
  <c r="AK863" i="1"/>
  <c r="AK862" i="1"/>
  <c r="AK861" i="1"/>
  <c r="AK860" i="1"/>
  <c r="AK859" i="1"/>
  <c r="AK858" i="1"/>
  <c r="AK857" i="1"/>
  <c r="AK856" i="1"/>
  <c r="AK855" i="1"/>
  <c r="AK854" i="1"/>
  <c r="AK853" i="1"/>
  <c r="AK852" i="1"/>
  <c r="AK851" i="1"/>
  <c r="AK850" i="1"/>
  <c r="AK849" i="1"/>
  <c r="AK848" i="1"/>
  <c r="AK847" i="1"/>
  <c r="AK846" i="1"/>
  <c r="AK845" i="1"/>
  <c r="AK844" i="1"/>
  <c r="AK843" i="1"/>
  <c r="AK842" i="1"/>
  <c r="AK841" i="1"/>
  <c r="AK840" i="1"/>
  <c r="AK839" i="1"/>
  <c r="AK838" i="1"/>
  <c r="AK837" i="1"/>
  <c r="AK836" i="1"/>
  <c r="AK835" i="1"/>
  <c r="AK834" i="1"/>
  <c r="AK833" i="1"/>
  <c r="AK832" i="1"/>
  <c r="AK831" i="1"/>
  <c r="AK830" i="1"/>
  <c r="AK829" i="1"/>
  <c r="AK828" i="1"/>
  <c r="AK827" i="1"/>
  <c r="AK826" i="1"/>
  <c r="AK825" i="1"/>
  <c r="AK824" i="1"/>
  <c r="AK823" i="1"/>
  <c r="AK822" i="1"/>
  <c r="AK821" i="1"/>
  <c r="AK820" i="1"/>
  <c r="AK819" i="1"/>
  <c r="AK818" i="1"/>
  <c r="AK817" i="1"/>
  <c r="AK816" i="1"/>
  <c r="AK815" i="1"/>
  <c r="AK814" i="1"/>
  <c r="AK813" i="1"/>
  <c r="AK812" i="1"/>
  <c r="AK811" i="1"/>
  <c r="AK810" i="1"/>
  <c r="AK809" i="1"/>
  <c r="AK808" i="1"/>
  <c r="AK807" i="1"/>
  <c r="AK806" i="1"/>
  <c r="AK805" i="1"/>
  <c r="AK804" i="1"/>
  <c r="AK803" i="1"/>
  <c r="AK802" i="1"/>
  <c r="AK801" i="1"/>
  <c r="AK800" i="1"/>
  <c r="AK799" i="1"/>
  <c r="AK798" i="1"/>
  <c r="AK797" i="1"/>
  <c r="AK796" i="1"/>
  <c r="AK795" i="1"/>
  <c r="AK794" i="1"/>
  <c r="AK793" i="1"/>
  <c r="AK792" i="1"/>
  <c r="AK791" i="1"/>
  <c r="AK790" i="1"/>
  <c r="AK789" i="1"/>
  <c r="AK788" i="1"/>
  <c r="AK787" i="1"/>
  <c r="AK786" i="1"/>
  <c r="AK785" i="1"/>
  <c r="AK784" i="1"/>
  <c r="AK783" i="1"/>
  <c r="AK782" i="1"/>
  <c r="AK781" i="1"/>
  <c r="AK780" i="1"/>
  <c r="AK779" i="1"/>
  <c r="AK778" i="1"/>
  <c r="AK777" i="1"/>
  <c r="AK776" i="1"/>
  <c r="AK775" i="1"/>
  <c r="AK774" i="1"/>
  <c r="AK773" i="1"/>
  <c r="AK772" i="1"/>
  <c r="AK771" i="1"/>
  <c r="AK770" i="1"/>
  <c r="AK769" i="1"/>
  <c r="AK768" i="1"/>
  <c r="AK767" i="1"/>
  <c r="AK766" i="1"/>
  <c r="AK765" i="1"/>
  <c r="AK764" i="1"/>
  <c r="AK763" i="1"/>
  <c r="AK762" i="1"/>
  <c r="AK761" i="1"/>
  <c r="AK760" i="1"/>
  <c r="AK759" i="1"/>
  <c r="AK758" i="1"/>
  <c r="AK757" i="1"/>
  <c r="AK756" i="1"/>
  <c r="AK755" i="1"/>
  <c r="AK754" i="1"/>
  <c r="AK753" i="1"/>
  <c r="AK752" i="1"/>
  <c r="AK751" i="1"/>
  <c r="AK750" i="1"/>
  <c r="AK749" i="1"/>
  <c r="AK748" i="1"/>
  <c r="AK747" i="1"/>
  <c r="AK746" i="1"/>
  <c r="AK745" i="1"/>
  <c r="AK744" i="1"/>
  <c r="AK743" i="1"/>
  <c r="AK742" i="1"/>
  <c r="AK741" i="1"/>
  <c r="AK740" i="1"/>
  <c r="AK739" i="1"/>
  <c r="AK738" i="1"/>
  <c r="AK737" i="1"/>
  <c r="AK736" i="1"/>
  <c r="AK735" i="1"/>
  <c r="AK734" i="1"/>
  <c r="AK733" i="1"/>
  <c r="AK732" i="1"/>
  <c r="AK731" i="1"/>
  <c r="AK730" i="1"/>
  <c r="AK729" i="1"/>
  <c r="AK728" i="1"/>
  <c r="AK727" i="1"/>
  <c r="AK726" i="1"/>
  <c r="AK725" i="1"/>
  <c r="AK724" i="1"/>
  <c r="AK723" i="1"/>
  <c r="AK722" i="1"/>
  <c r="AK721" i="1"/>
  <c r="AK720" i="1"/>
  <c r="AK719" i="1"/>
  <c r="AK718" i="1"/>
  <c r="AK717" i="1"/>
  <c r="AK716" i="1"/>
  <c r="AK715" i="1"/>
  <c r="AK714" i="1"/>
  <c r="AK713" i="1"/>
  <c r="AK712" i="1"/>
  <c r="AK711" i="1"/>
  <c r="AK710" i="1"/>
  <c r="AK709" i="1"/>
  <c r="AK708" i="1"/>
  <c r="AK707" i="1"/>
  <c r="AK706" i="1"/>
  <c r="AK705" i="1"/>
  <c r="AK704" i="1"/>
  <c r="AK703" i="1"/>
  <c r="AK702" i="1"/>
  <c r="AK701" i="1"/>
  <c r="AK700" i="1"/>
  <c r="AK699" i="1"/>
  <c r="AK698" i="1"/>
  <c r="AK697" i="1"/>
  <c r="AK696" i="1"/>
  <c r="AK695" i="1"/>
  <c r="AK694" i="1"/>
  <c r="AK693" i="1"/>
  <c r="AK692" i="1"/>
  <c r="AK691" i="1"/>
  <c r="AK690" i="1"/>
  <c r="AK689" i="1"/>
  <c r="AK688" i="1"/>
  <c r="AK687" i="1"/>
  <c r="AK686" i="1"/>
  <c r="AK685" i="1"/>
  <c r="AK684" i="1"/>
  <c r="AK683" i="1"/>
  <c r="AK682" i="1"/>
  <c r="AK681" i="1"/>
  <c r="AK680" i="1"/>
  <c r="AK679" i="1"/>
  <c r="AK678" i="1"/>
  <c r="AK677" i="1"/>
  <c r="AK676" i="1"/>
  <c r="AK675" i="1"/>
  <c r="AK674" i="1"/>
  <c r="AK673" i="1"/>
  <c r="AK672" i="1"/>
  <c r="AK671" i="1"/>
  <c r="AK670" i="1"/>
  <c r="AK669" i="1"/>
  <c r="AK668" i="1"/>
  <c r="AK667" i="1"/>
  <c r="AK666" i="1"/>
  <c r="AK665" i="1"/>
  <c r="AK664" i="1"/>
  <c r="AK663" i="1"/>
  <c r="AK662" i="1"/>
  <c r="AK661" i="1"/>
  <c r="AK660" i="1"/>
  <c r="AK659" i="1"/>
  <c r="AK658" i="1"/>
  <c r="AK657" i="1"/>
  <c r="AK656" i="1"/>
  <c r="AK655" i="1"/>
  <c r="AK654" i="1"/>
  <c r="AK653" i="1"/>
  <c r="AK652" i="1"/>
  <c r="AK651" i="1"/>
  <c r="AK650" i="1"/>
  <c r="AK649" i="1"/>
  <c r="AK648" i="1"/>
  <c r="AK647" i="1"/>
  <c r="AK646" i="1"/>
  <c r="AK645" i="1"/>
  <c r="AK644" i="1"/>
  <c r="AK643" i="1"/>
  <c r="AK642" i="1"/>
  <c r="AK641" i="1"/>
  <c r="AK640" i="1"/>
  <c r="AK639" i="1"/>
  <c r="AK638" i="1"/>
  <c r="AK637" i="1"/>
  <c r="AK636" i="1"/>
  <c r="AK635" i="1"/>
  <c r="AK634" i="1"/>
  <c r="AK633" i="1"/>
  <c r="AK632" i="1"/>
  <c r="AK631" i="1"/>
  <c r="AK630" i="1"/>
  <c r="AK629" i="1"/>
  <c r="AK628" i="1"/>
  <c r="AK627" i="1"/>
  <c r="AK626" i="1"/>
  <c r="AK625" i="1"/>
  <c r="AK624" i="1"/>
  <c r="AK623" i="1"/>
  <c r="AK622" i="1"/>
  <c r="AK621" i="1"/>
  <c r="AK620" i="1"/>
  <c r="AK619" i="1"/>
  <c r="AK618" i="1"/>
  <c r="AK617" i="1"/>
  <c r="AK616" i="1"/>
  <c r="AK615" i="1"/>
  <c r="AK614" i="1"/>
  <c r="AK613" i="1"/>
  <c r="AK612" i="1"/>
  <c r="AK611" i="1"/>
  <c r="AK610" i="1"/>
  <c r="AK609" i="1"/>
  <c r="AK608" i="1"/>
  <c r="AK607" i="1"/>
  <c r="AK606" i="1"/>
  <c r="AK605" i="1"/>
  <c r="AK604" i="1"/>
  <c r="AK603" i="1"/>
  <c r="AK602" i="1"/>
  <c r="AK601" i="1"/>
  <c r="AK600" i="1"/>
  <c r="AK599" i="1"/>
  <c r="AK598" i="1"/>
  <c r="AK597" i="1"/>
  <c r="AK596" i="1"/>
  <c r="AK595" i="1"/>
  <c r="AK594" i="1"/>
  <c r="AK593" i="1"/>
  <c r="AK592" i="1"/>
  <c r="AK591" i="1"/>
  <c r="AK590" i="1"/>
  <c r="AK589" i="1"/>
  <c r="AK588" i="1"/>
  <c r="AK587" i="1"/>
  <c r="AK586" i="1"/>
  <c r="AK585" i="1"/>
  <c r="AK584" i="1"/>
  <c r="AK583" i="1"/>
  <c r="AK582" i="1"/>
  <c r="AK581" i="1"/>
  <c r="AK580" i="1"/>
  <c r="AK579" i="1"/>
  <c r="AK578" i="1"/>
  <c r="AK577" i="1"/>
  <c r="AK576" i="1"/>
  <c r="AK575" i="1"/>
  <c r="AK574" i="1"/>
  <c r="AK573" i="1"/>
  <c r="AK572" i="1"/>
  <c r="AK571" i="1"/>
  <c r="AK570" i="1"/>
  <c r="AK569" i="1"/>
  <c r="AK568" i="1"/>
  <c r="AK567" i="1"/>
  <c r="AK566" i="1"/>
  <c r="AK565" i="1"/>
  <c r="AK564" i="1"/>
  <c r="AK563" i="1"/>
  <c r="AK562" i="1"/>
  <c r="AK561" i="1"/>
  <c r="AK560" i="1"/>
  <c r="AK559" i="1"/>
  <c r="AK558" i="1"/>
  <c r="AK557" i="1"/>
  <c r="AK556" i="1"/>
  <c r="AK555" i="1"/>
  <c r="AK554" i="1"/>
  <c r="AK553" i="1"/>
  <c r="AK552" i="1"/>
  <c r="AK551" i="1"/>
  <c r="AK550" i="1"/>
  <c r="AK549" i="1"/>
  <c r="AK548" i="1"/>
  <c r="AK547" i="1"/>
  <c r="AK546" i="1"/>
  <c r="AK545" i="1"/>
  <c r="AK544" i="1"/>
  <c r="AK543" i="1"/>
  <c r="AK542" i="1"/>
  <c r="AK541" i="1"/>
  <c r="AK540" i="1"/>
  <c r="AK539" i="1"/>
  <c r="AK538" i="1"/>
  <c r="AK537" i="1"/>
  <c r="AK536" i="1"/>
  <c r="AK535" i="1"/>
  <c r="AK534" i="1"/>
  <c r="AK533" i="1"/>
  <c r="AK532" i="1"/>
  <c r="AK531" i="1"/>
  <c r="AK530" i="1"/>
  <c r="AK529" i="1"/>
  <c r="AK528" i="1"/>
  <c r="AK527" i="1"/>
  <c r="AK526" i="1"/>
  <c r="AK525" i="1"/>
  <c r="AK524" i="1"/>
  <c r="AK523" i="1"/>
  <c r="AK522" i="1"/>
  <c r="AK521" i="1"/>
  <c r="AK520" i="1"/>
  <c r="AK519" i="1"/>
  <c r="AK518" i="1"/>
  <c r="AK517" i="1"/>
  <c r="AK516" i="1"/>
  <c r="AK515" i="1"/>
  <c r="AK514" i="1"/>
  <c r="AK513" i="1"/>
  <c r="AK512" i="1"/>
  <c r="AK511" i="1"/>
  <c r="AK510" i="1"/>
  <c r="AK509" i="1"/>
  <c r="AK508" i="1"/>
  <c r="AK507" i="1"/>
  <c r="AK506" i="1"/>
  <c r="AK505" i="1"/>
  <c r="AK504" i="1"/>
  <c r="AK503" i="1"/>
  <c r="AK502" i="1"/>
  <c r="AK501" i="1"/>
  <c r="AK500" i="1"/>
  <c r="AK499" i="1"/>
  <c r="AK498" i="1"/>
  <c r="AK497" i="1"/>
  <c r="AK496" i="1"/>
  <c r="AK495" i="1"/>
  <c r="AK494" i="1"/>
  <c r="AK493" i="1"/>
  <c r="AK492" i="1"/>
  <c r="AK491" i="1"/>
  <c r="AK490" i="1"/>
  <c r="AK489" i="1"/>
  <c r="AK488" i="1"/>
  <c r="AK487" i="1"/>
  <c r="AK486" i="1"/>
  <c r="AK485" i="1"/>
  <c r="AK484" i="1"/>
  <c r="AK483" i="1"/>
  <c r="AK482" i="1"/>
  <c r="AK481" i="1"/>
  <c r="AK480" i="1"/>
  <c r="AK479" i="1"/>
  <c r="AK478" i="1"/>
  <c r="AK477" i="1"/>
  <c r="AK476" i="1"/>
  <c r="AK475" i="1"/>
  <c r="AK474" i="1"/>
  <c r="AK473" i="1"/>
  <c r="AK472" i="1"/>
  <c r="AK471" i="1"/>
  <c r="AK470" i="1"/>
  <c r="AK469" i="1"/>
  <c r="AK468" i="1"/>
  <c r="AK467" i="1"/>
  <c r="AK466" i="1"/>
  <c r="AK465" i="1"/>
  <c r="AK464" i="1"/>
  <c r="AK463" i="1"/>
  <c r="AK462" i="1"/>
  <c r="AK461" i="1"/>
  <c r="AK460" i="1"/>
  <c r="AK459" i="1"/>
  <c r="AK458" i="1"/>
  <c r="AK457" i="1"/>
  <c r="AK456" i="1"/>
  <c r="AK455" i="1"/>
  <c r="AK454" i="1"/>
  <c r="AK453" i="1"/>
  <c r="AK452" i="1"/>
  <c r="AK451" i="1"/>
  <c r="AK450" i="1"/>
  <c r="AK449" i="1"/>
  <c r="AK448" i="1"/>
  <c r="AK447" i="1"/>
  <c r="AK446" i="1"/>
  <c r="AK445" i="1"/>
  <c r="AK444" i="1"/>
  <c r="AK443" i="1"/>
  <c r="AK442" i="1"/>
  <c r="AK441" i="1"/>
  <c r="AK440" i="1"/>
  <c r="AK439" i="1"/>
  <c r="AK438" i="1"/>
  <c r="AK437" i="1"/>
  <c r="AK436" i="1"/>
  <c r="AK435" i="1"/>
  <c r="AK434" i="1"/>
  <c r="AK433" i="1"/>
  <c r="AK432" i="1"/>
  <c r="AK431" i="1"/>
  <c r="AK430" i="1"/>
  <c r="AK429" i="1"/>
  <c r="AK428" i="1"/>
  <c r="AK427" i="1"/>
  <c r="AK426" i="1"/>
  <c r="AK425" i="1"/>
  <c r="AK424" i="1"/>
  <c r="AK423" i="1"/>
  <c r="AK422" i="1"/>
  <c r="AK421" i="1"/>
  <c r="AK420" i="1"/>
  <c r="AK419" i="1"/>
  <c r="AK418" i="1"/>
  <c r="AK417" i="1"/>
  <c r="AK416" i="1"/>
  <c r="AK415" i="1"/>
  <c r="AK414" i="1"/>
  <c r="AK413" i="1"/>
  <c r="AK412" i="1"/>
  <c r="AK411" i="1"/>
  <c r="AK410" i="1"/>
  <c r="AK409" i="1"/>
  <c r="AK408" i="1"/>
  <c r="AK407" i="1"/>
  <c r="AK406" i="1"/>
  <c r="AK405" i="1"/>
  <c r="AK404" i="1"/>
  <c r="AK403" i="1"/>
  <c r="AK402" i="1"/>
  <c r="AK401" i="1"/>
  <c r="AK400" i="1"/>
  <c r="AK399" i="1"/>
  <c r="AK398" i="1"/>
  <c r="AK397" i="1"/>
  <c r="AK396" i="1"/>
  <c r="AK395" i="1"/>
  <c r="AK394" i="1"/>
  <c r="AK393" i="1"/>
  <c r="AK392" i="1"/>
  <c r="AK391" i="1"/>
  <c r="AK390" i="1"/>
  <c r="AK389" i="1"/>
  <c r="AK388" i="1"/>
  <c r="AK387" i="1"/>
  <c r="AK386" i="1"/>
  <c r="AK385" i="1"/>
  <c r="AK384" i="1"/>
  <c r="AK383" i="1"/>
  <c r="AK382" i="1"/>
  <c r="AK381" i="1"/>
  <c r="AK380" i="1"/>
  <c r="AK379" i="1"/>
  <c r="AK378" i="1"/>
  <c r="AK377" i="1"/>
  <c r="AK376" i="1"/>
  <c r="AK375" i="1"/>
  <c r="AK374" i="1"/>
  <c r="AK373" i="1"/>
  <c r="AK372" i="1"/>
  <c r="AK371" i="1"/>
  <c r="AK370" i="1"/>
  <c r="AK369" i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V961" i="1"/>
  <c r="AV960" i="1"/>
  <c r="AV959" i="1"/>
  <c r="AV958" i="1"/>
  <c r="AV957" i="1"/>
  <c r="AV956" i="1"/>
  <c r="AV955" i="1"/>
  <c r="AV954" i="1"/>
  <c r="AV953" i="1"/>
  <c r="AV952" i="1"/>
  <c r="AV951" i="1"/>
  <c r="AV950" i="1"/>
  <c r="AV949" i="1"/>
  <c r="AV948" i="1"/>
  <c r="AV947" i="1"/>
  <c r="AV946" i="1"/>
  <c r="AV945" i="1"/>
  <c r="AV944" i="1"/>
  <c r="AV943" i="1"/>
  <c r="AV942" i="1"/>
  <c r="AV941" i="1"/>
  <c r="AV940" i="1"/>
  <c r="AV939" i="1"/>
  <c r="AV938" i="1"/>
  <c r="AV937" i="1"/>
  <c r="AV936" i="1"/>
  <c r="AV935" i="1"/>
  <c r="AV934" i="1"/>
  <c r="AV933" i="1"/>
  <c r="AV932" i="1"/>
  <c r="AV931" i="1"/>
  <c r="AV930" i="1"/>
  <c r="AV929" i="1"/>
  <c r="AV928" i="1"/>
  <c r="AV927" i="1"/>
  <c r="AV926" i="1"/>
  <c r="AV925" i="1"/>
  <c r="AV924" i="1"/>
  <c r="AV923" i="1"/>
  <c r="AV922" i="1"/>
  <c r="AV921" i="1"/>
  <c r="AV920" i="1"/>
  <c r="AV919" i="1"/>
  <c r="AV918" i="1"/>
  <c r="AV917" i="1"/>
  <c r="AV916" i="1"/>
  <c r="AV915" i="1"/>
  <c r="AV914" i="1"/>
  <c r="AV913" i="1"/>
  <c r="AV912" i="1"/>
  <c r="AV911" i="1"/>
  <c r="AV910" i="1"/>
  <c r="AV909" i="1"/>
  <c r="AV908" i="1"/>
  <c r="AV907" i="1"/>
  <c r="AV906" i="1"/>
  <c r="AV905" i="1"/>
  <c r="AV904" i="1"/>
  <c r="AV903" i="1"/>
  <c r="AV902" i="1"/>
  <c r="AV901" i="1"/>
  <c r="AV900" i="1"/>
  <c r="AV899" i="1"/>
  <c r="AV898" i="1"/>
  <c r="AV897" i="1"/>
  <c r="AV896" i="1"/>
  <c r="AV895" i="1"/>
  <c r="AV894" i="1"/>
  <c r="AV893" i="1"/>
  <c r="AV892" i="1"/>
  <c r="AV891" i="1"/>
  <c r="AV890" i="1"/>
  <c r="AV889" i="1"/>
  <c r="AV888" i="1"/>
  <c r="AV887" i="1"/>
  <c r="AV886" i="1"/>
  <c r="AV885" i="1"/>
  <c r="AV884" i="1"/>
  <c r="AV883" i="1"/>
  <c r="AV882" i="1"/>
  <c r="AV881" i="1"/>
  <c r="AV880" i="1"/>
  <c r="AV879" i="1"/>
  <c r="AV878" i="1"/>
  <c r="AV877" i="1"/>
  <c r="AV876" i="1"/>
  <c r="AV875" i="1"/>
  <c r="AV874" i="1"/>
  <c r="AV873" i="1"/>
  <c r="AV872" i="1"/>
  <c r="AV871" i="1"/>
  <c r="AV870" i="1"/>
  <c r="AV869" i="1"/>
  <c r="AV868" i="1"/>
  <c r="AV867" i="1"/>
  <c r="AV866" i="1"/>
  <c r="AV865" i="1"/>
  <c r="AV864" i="1"/>
  <c r="AV863" i="1"/>
  <c r="AV862" i="1"/>
  <c r="AV861" i="1"/>
  <c r="AV860" i="1"/>
  <c r="AV859" i="1"/>
  <c r="AV858" i="1"/>
  <c r="AV857" i="1"/>
  <c r="AV856" i="1"/>
  <c r="AV855" i="1"/>
  <c r="AV854" i="1"/>
  <c r="AV853" i="1"/>
  <c r="AV852" i="1"/>
  <c r="AV851" i="1"/>
  <c r="AV850" i="1"/>
  <c r="AV849" i="1"/>
  <c r="AV848" i="1"/>
  <c r="AV847" i="1"/>
  <c r="AV846" i="1"/>
  <c r="AV845" i="1"/>
  <c r="AV844" i="1"/>
  <c r="AV843" i="1"/>
  <c r="AV842" i="1"/>
  <c r="AV841" i="1"/>
  <c r="AV840" i="1"/>
  <c r="AV839" i="1"/>
  <c r="AV838" i="1"/>
  <c r="AV837" i="1"/>
  <c r="AV836" i="1"/>
  <c r="AV835" i="1"/>
  <c r="AV834" i="1"/>
  <c r="AV833" i="1"/>
  <c r="AV832" i="1"/>
  <c r="AV831" i="1"/>
  <c r="AV830" i="1"/>
  <c r="AV829" i="1"/>
  <c r="AV828" i="1"/>
  <c r="AV827" i="1"/>
  <c r="AV826" i="1"/>
  <c r="AV825" i="1"/>
  <c r="AV824" i="1"/>
  <c r="AV823" i="1"/>
  <c r="AV822" i="1"/>
  <c r="AV821" i="1"/>
  <c r="AV820" i="1"/>
  <c r="AV819" i="1"/>
  <c r="AV818" i="1"/>
  <c r="AV817" i="1"/>
  <c r="AV816" i="1"/>
  <c r="AV815" i="1"/>
  <c r="AV814" i="1"/>
  <c r="AV813" i="1"/>
  <c r="AV812" i="1"/>
  <c r="AV811" i="1"/>
  <c r="AV810" i="1"/>
  <c r="AV809" i="1"/>
  <c r="AV808" i="1"/>
  <c r="AV807" i="1"/>
  <c r="AV806" i="1"/>
  <c r="AV805" i="1"/>
  <c r="AV804" i="1"/>
  <c r="AV803" i="1"/>
  <c r="AV802" i="1"/>
  <c r="AV801" i="1"/>
  <c r="AV800" i="1"/>
  <c r="AV799" i="1"/>
  <c r="AV798" i="1"/>
  <c r="AV797" i="1"/>
  <c r="AV796" i="1"/>
  <c r="AV795" i="1"/>
  <c r="AV794" i="1"/>
  <c r="AV793" i="1"/>
  <c r="AV792" i="1"/>
  <c r="AV791" i="1"/>
  <c r="AV790" i="1"/>
  <c r="AV789" i="1"/>
  <c r="AV788" i="1"/>
  <c r="AV787" i="1"/>
  <c r="AV786" i="1"/>
  <c r="AV785" i="1"/>
  <c r="AV784" i="1"/>
  <c r="AV783" i="1"/>
  <c r="AV782" i="1"/>
  <c r="AV781" i="1"/>
  <c r="AV780" i="1"/>
  <c r="AV779" i="1"/>
  <c r="AV778" i="1"/>
  <c r="AV777" i="1"/>
  <c r="AV776" i="1"/>
  <c r="AV775" i="1"/>
  <c r="AV774" i="1"/>
  <c r="AV773" i="1"/>
  <c r="AV772" i="1"/>
  <c r="AV771" i="1"/>
  <c r="AV770" i="1"/>
  <c r="AV769" i="1"/>
  <c r="AV768" i="1"/>
  <c r="AV767" i="1"/>
  <c r="AV766" i="1"/>
  <c r="AV765" i="1"/>
  <c r="AV764" i="1"/>
  <c r="AV763" i="1"/>
  <c r="AV762" i="1"/>
  <c r="AV761" i="1"/>
  <c r="AV760" i="1"/>
  <c r="AV759" i="1"/>
  <c r="AV758" i="1"/>
  <c r="AV757" i="1"/>
  <c r="AV756" i="1"/>
  <c r="AV755" i="1"/>
  <c r="AV754" i="1"/>
  <c r="AV753" i="1"/>
  <c r="AV752" i="1"/>
  <c r="AV751" i="1"/>
  <c r="AV750" i="1"/>
  <c r="AV749" i="1"/>
  <c r="AV748" i="1"/>
  <c r="AV747" i="1"/>
  <c r="AV746" i="1"/>
  <c r="AV745" i="1"/>
  <c r="AV744" i="1"/>
  <c r="AV743" i="1"/>
  <c r="AV742" i="1"/>
  <c r="AV741" i="1"/>
  <c r="AV740" i="1"/>
  <c r="AV739" i="1"/>
  <c r="AV738" i="1"/>
  <c r="AV737" i="1"/>
  <c r="AV736" i="1"/>
  <c r="AV735" i="1"/>
  <c r="AV734" i="1"/>
  <c r="AV733" i="1"/>
  <c r="AV732" i="1"/>
  <c r="AV731" i="1"/>
  <c r="AV730" i="1"/>
  <c r="AV729" i="1"/>
  <c r="AV728" i="1"/>
  <c r="AV727" i="1"/>
  <c r="AV726" i="1"/>
  <c r="AV725" i="1"/>
  <c r="AV724" i="1"/>
  <c r="AV723" i="1"/>
  <c r="AV722" i="1"/>
  <c r="AV721" i="1"/>
  <c r="AV720" i="1"/>
  <c r="AV719" i="1"/>
  <c r="AV718" i="1"/>
  <c r="AV717" i="1"/>
  <c r="AV716" i="1"/>
  <c r="AV715" i="1"/>
  <c r="AV714" i="1"/>
  <c r="AV713" i="1"/>
  <c r="AV712" i="1"/>
  <c r="AV711" i="1"/>
  <c r="AV710" i="1"/>
  <c r="AV709" i="1"/>
  <c r="AV708" i="1"/>
  <c r="AV707" i="1"/>
  <c r="AV706" i="1"/>
  <c r="AV705" i="1"/>
  <c r="AV704" i="1"/>
  <c r="AV703" i="1"/>
  <c r="AV702" i="1"/>
  <c r="AV701" i="1"/>
  <c r="AV700" i="1"/>
  <c r="AV699" i="1"/>
  <c r="AV698" i="1"/>
  <c r="AV697" i="1"/>
  <c r="AV696" i="1"/>
  <c r="AV695" i="1"/>
  <c r="AV694" i="1"/>
  <c r="AV693" i="1"/>
  <c r="AV692" i="1"/>
  <c r="AV691" i="1"/>
  <c r="AV690" i="1"/>
  <c r="AV689" i="1"/>
  <c r="AV688" i="1"/>
  <c r="AV687" i="1"/>
  <c r="AV686" i="1"/>
  <c r="AV685" i="1"/>
  <c r="AV684" i="1"/>
  <c r="AV683" i="1"/>
  <c r="AV682" i="1"/>
  <c r="AV681" i="1"/>
  <c r="AV680" i="1"/>
  <c r="AV679" i="1"/>
  <c r="AV678" i="1"/>
  <c r="AV677" i="1"/>
  <c r="AV676" i="1"/>
  <c r="AV675" i="1"/>
  <c r="AV674" i="1"/>
  <c r="AV673" i="1"/>
  <c r="AV672" i="1"/>
  <c r="AV671" i="1"/>
  <c r="AV670" i="1"/>
  <c r="AV669" i="1"/>
  <c r="AV668" i="1"/>
  <c r="AV667" i="1"/>
  <c r="AV666" i="1"/>
  <c r="AV665" i="1"/>
  <c r="AV664" i="1"/>
  <c r="AV663" i="1"/>
  <c r="AV662" i="1"/>
  <c r="AV661" i="1"/>
  <c r="AV660" i="1"/>
  <c r="AV659" i="1"/>
  <c r="AV658" i="1"/>
  <c r="AV657" i="1"/>
  <c r="AV656" i="1"/>
  <c r="AV655" i="1"/>
  <c r="AV654" i="1"/>
  <c r="AV653" i="1"/>
  <c r="AV652" i="1"/>
  <c r="AV651" i="1"/>
  <c r="AV650" i="1"/>
  <c r="AV649" i="1"/>
  <c r="AV648" i="1"/>
  <c r="AV647" i="1"/>
  <c r="AV646" i="1"/>
  <c r="AV645" i="1"/>
  <c r="AV644" i="1"/>
  <c r="AV643" i="1"/>
  <c r="AV642" i="1"/>
  <c r="AV641" i="1"/>
  <c r="AV640" i="1"/>
  <c r="AV639" i="1"/>
  <c r="AV638" i="1"/>
  <c r="AV637" i="1"/>
  <c r="AV636" i="1"/>
  <c r="AV635" i="1"/>
  <c r="AV634" i="1"/>
  <c r="AV633" i="1"/>
  <c r="AV632" i="1"/>
  <c r="AV631" i="1"/>
  <c r="AV630" i="1"/>
  <c r="AV629" i="1"/>
  <c r="AV628" i="1"/>
  <c r="AV627" i="1"/>
  <c r="AV626" i="1"/>
  <c r="AV625" i="1"/>
  <c r="AV624" i="1"/>
  <c r="AV623" i="1"/>
  <c r="AV622" i="1"/>
  <c r="AV621" i="1"/>
  <c r="AV620" i="1"/>
  <c r="AV619" i="1"/>
  <c r="AV618" i="1"/>
  <c r="AV617" i="1"/>
  <c r="AV616" i="1"/>
  <c r="AV615" i="1"/>
  <c r="AV614" i="1"/>
  <c r="AV613" i="1"/>
  <c r="AV612" i="1"/>
  <c r="AV611" i="1"/>
  <c r="AV610" i="1"/>
  <c r="AV609" i="1"/>
  <c r="AV608" i="1"/>
  <c r="AV607" i="1"/>
  <c r="AV606" i="1"/>
  <c r="AV605" i="1"/>
  <c r="AV604" i="1"/>
  <c r="AV603" i="1"/>
  <c r="AV602" i="1"/>
  <c r="AV601" i="1"/>
  <c r="AV600" i="1"/>
  <c r="AV599" i="1"/>
  <c r="AV598" i="1"/>
  <c r="AV597" i="1"/>
  <c r="AV596" i="1"/>
  <c r="AV595" i="1"/>
  <c r="AV594" i="1"/>
  <c r="AV593" i="1"/>
  <c r="AV592" i="1"/>
  <c r="AV591" i="1"/>
  <c r="AV590" i="1"/>
  <c r="AV589" i="1"/>
  <c r="AV588" i="1"/>
  <c r="AV587" i="1"/>
  <c r="AV586" i="1"/>
  <c r="AV585" i="1"/>
  <c r="AV584" i="1"/>
  <c r="AV583" i="1"/>
  <c r="AV582" i="1"/>
  <c r="AV581" i="1"/>
  <c r="AV580" i="1"/>
  <c r="AV579" i="1"/>
  <c r="AV578" i="1"/>
  <c r="AV577" i="1"/>
  <c r="AV576" i="1"/>
  <c r="AV575" i="1"/>
  <c r="AV574" i="1"/>
  <c r="AV573" i="1"/>
  <c r="AV572" i="1"/>
  <c r="AV571" i="1"/>
  <c r="AV570" i="1"/>
  <c r="AV569" i="1"/>
  <c r="AV568" i="1"/>
  <c r="AV567" i="1"/>
  <c r="AV566" i="1"/>
  <c r="AV565" i="1"/>
  <c r="AV564" i="1"/>
  <c r="AV563" i="1"/>
  <c r="AV562" i="1"/>
  <c r="AV561" i="1"/>
  <c r="AV560" i="1"/>
  <c r="AV559" i="1"/>
  <c r="AV558" i="1"/>
  <c r="AV557" i="1"/>
  <c r="AV556" i="1"/>
  <c r="AV555" i="1"/>
  <c r="AV554" i="1"/>
  <c r="AV553" i="1"/>
  <c r="AV552" i="1"/>
  <c r="AV551" i="1"/>
  <c r="AV550" i="1"/>
  <c r="AV549" i="1"/>
  <c r="AV548" i="1"/>
  <c r="AV547" i="1"/>
  <c r="AV546" i="1"/>
  <c r="AV545" i="1"/>
  <c r="AV544" i="1"/>
  <c r="AV543" i="1"/>
  <c r="AV542" i="1"/>
  <c r="AV541" i="1"/>
  <c r="AV540" i="1"/>
  <c r="AV539" i="1"/>
  <c r="AV538" i="1"/>
  <c r="AV537" i="1"/>
  <c r="AV536" i="1"/>
  <c r="AV535" i="1"/>
  <c r="AV534" i="1"/>
  <c r="AV533" i="1"/>
  <c r="AV532" i="1"/>
  <c r="AV531" i="1"/>
  <c r="AV530" i="1"/>
  <c r="AV529" i="1"/>
  <c r="AV528" i="1"/>
  <c r="AV527" i="1"/>
  <c r="AV526" i="1"/>
  <c r="AV525" i="1"/>
  <c r="AV524" i="1"/>
  <c r="AV523" i="1"/>
  <c r="AV522" i="1"/>
  <c r="AV521" i="1"/>
  <c r="AV520" i="1"/>
  <c r="AV519" i="1"/>
  <c r="AV518" i="1"/>
  <c r="AV517" i="1"/>
  <c r="AV516" i="1"/>
  <c r="AV515" i="1"/>
  <c r="AV514" i="1"/>
  <c r="AV513" i="1"/>
  <c r="AV512" i="1"/>
  <c r="AV511" i="1"/>
  <c r="AV510" i="1"/>
  <c r="AV509" i="1"/>
  <c r="AV508" i="1"/>
  <c r="AV507" i="1"/>
  <c r="AV506" i="1"/>
  <c r="AV505" i="1"/>
  <c r="AV504" i="1"/>
  <c r="AV503" i="1"/>
  <c r="AV502" i="1"/>
  <c r="AV501" i="1"/>
  <c r="AV500" i="1"/>
  <c r="AV499" i="1"/>
  <c r="AV498" i="1"/>
  <c r="AV497" i="1"/>
  <c r="AV496" i="1"/>
  <c r="AV495" i="1"/>
  <c r="AV494" i="1"/>
  <c r="AV493" i="1"/>
  <c r="AV492" i="1"/>
  <c r="AV491" i="1"/>
  <c r="AV490" i="1"/>
  <c r="AV489" i="1"/>
  <c r="AV488" i="1"/>
  <c r="AV487" i="1"/>
  <c r="AV486" i="1"/>
  <c r="AV485" i="1"/>
  <c r="AV484" i="1"/>
  <c r="AV483" i="1"/>
  <c r="AV482" i="1"/>
  <c r="AV481" i="1"/>
  <c r="AV480" i="1"/>
  <c r="AV479" i="1"/>
  <c r="AV478" i="1"/>
  <c r="AV477" i="1"/>
  <c r="AV476" i="1"/>
  <c r="AV475" i="1"/>
  <c r="AV474" i="1"/>
  <c r="AV473" i="1"/>
  <c r="AV472" i="1"/>
  <c r="AV471" i="1"/>
  <c r="AV470" i="1"/>
  <c r="AV469" i="1"/>
  <c r="AV468" i="1"/>
  <c r="AV467" i="1"/>
  <c r="AV466" i="1"/>
  <c r="AV465" i="1"/>
  <c r="AV464" i="1"/>
  <c r="AV463" i="1"/>
  <c r="AV462" i="1"/>
  <c r="AV461" i="1"/>
  <c r="AV460" i="1"/>
  <c r="AV459" i="1"/>
  <c r="AV458" i="1"/>
  <c r="AV457" i="1"/>
  <c r="AV456" i="1"/>
  <c r="AV455" i="1"/>
  <c r="AV454" i="1"/>
  <c r="AV453" i="1"/>
  <c r="AV452" i="1"/>
  <c r="AV451" i="1"/>
  <c r="AV450" i="1"/>
  <c r="AV449" i="1"/>
  <c r="AV448" i="1"/>
  <c r="AV447" i="1"/>
  <c r="AV446" i="1"/>
  <c r="AV445" i="1"/>
  <c r="AV444" i="1"/>
  <c r="AV443" i="1"/>
  <c r="AV442" i="1"/>
  <c r="AV441" i="1"/>
  <c r="AV440" i="1"/>
  <c r="AV439" i="1"/>
  <c r="AV438" i="1"/>
  <c r="AV437" i="1"/>
  <c r="AV436" i="1"/>
  <c r="AV435" i="1"/>
  <c r="AV434" i="1"/>
  <c r="AV433" i="1"/>
  <c r="AV432" i="1"/>
  <c r="AV431" i="1"/>
  <c r="AV430" i="1"/>
  <c r="AV429" i="1"/>
  <c r="AV428" i="1"/>
  <c r="AV427" i="1"/>
  <c r="AV426" i="1"/>
  <c r="AV425" i="1"/>
  <c r="AV424" i="1"/>
  <c r="AV423" i="1"/>
  <c r="AV422" i="1"/>
  <c r="AV421" i="1"/>
  <c r="AV420" i="1"/>
  <c r="AV419" i="1"/>
  <c r="AV418" i="1"/>
  <c r="AV417" i="1"/>
  <c r="AV416" i="1"/>
  <c r="AV415" i="1"/>
  <c r="AV414" i="1"/>
  <c r="AV413" i="1"/>
  <c r="AV412" i="1"/>
  <c r="AV411" i="1"/>
  <c r="AV410" i="1"/>
  <c r="AV409" i="1"/>
  <c r="AV408" i="1"/>
  <c r="AV407" i="1"/>
  <c r="AV406" i="1"/>
  <c r="AV405" i="1"/>
  <c r="AV404" i="1"/>
  <c r="AV403" i="1"/>
  <c r="AV402" i="1"/>
  <c r="AV401" i="1"/>
  <c r="AV400" i="1"/>
  <c r="AV399" i="1"/>
  <c r="AV398" i="1"/>
  <c r="AV397" i="1"/>
  <c r="AV396" i="1"/>
  <c r="AV395" i="1"/>
  <c r="AV394" i="1"/>
  <c r="AV393" i="1"/>
  <c r="AV392" i="1"/>
  <c r="AV391" i="1"/>
  <c r="AV390" i="1"/>
  <c r="AV389" i="1"/>
  <c r="AV388" i="1"/>
  <c r="AV387" i="1"/>
  <c r="AV386" i="1"/>
  <c r="AV385" i="1"/>
  <c r="AV384" i="1"/>
  <c r="AV383" i="1"/>
  <c r="AV382" i="1"/>
  <c r="AV381" i="1"/>
  <c r="AV380" i="1"/>
  <c r="AV379" i="1"/>
  <c r="AV378" i="1"/>
  <c r="AV377" i="1"/>
  <c r="AV376" i="1"/>
  <c r="AV375" i="1"/>
  <c r="AV374" i="1"/>
  <c r="AV373" i="1"/>
  <c r="AV372" i="1"/>
  <c r="AV371" i="1"/>
  <c r="AV370" i="1"/>
  <c r="AV369" i="1"/>
  <c r="AV368" i="1"/>
  <c r="AV367" i="1"/>
  <c r="AV366" i="1"/>
  <c r="AV365" i="1"/>
  <c r="AV364" i="1"/>
  <c r="AV363" i="1"/>
  <c r="AV362" i="1"/>
  <c r="AV361" i="1"/>
  <c r="AV360" i="1"/>
  <c r="AV359" i="1"/>
  <c r="AV358" i="1"/>
  <c r="AV357" i="1"/>
  <c r="AV356" i="1"/>
  <c r="AV355" i="1"/>
  <c r="AV354" i="1"/>
  <c r="AV353" i="1"/>
  <c r="AV352" i="1"/>
  <c r="AV351" i="1"/>
  <c r="AV350" i="1"/>
  <c r="AV349" i="1"/>
  <c r="AV348" i="1"/>
  <c r="AV347" i="1"/>
  <c r="AV346" i="1"/>
  <c r="AV345" i="1"/>
  <c r="AV344" i="1"/>
  <c r="AV343" i="1"/>
  <c r="AV342" i="1"/>
  <c r="AV341" i="1"/>
  <c r="AV340" i="1"/>
  <c r="AV339" i="1"/>
  <c r="AV338" i="1"/>
  <c r="AV337" i="1"/>
  <c r="AV336" i="1"/>
  <c r="AV335" i="1"/>
  <c r="AV334" i="1"/>
  <c r="AV333" i="1"/>
  <c r="AV332" i="1"/>
  <c r="AV331" i="1"/>
  <c r="AV330" i="1"/>
  <c r="AV329" i="1"/>
  <c r="AV328" i="1"/>
  <c r="AV327" i="1"/>
  <c r="AV326" i="1"/>
  <c r="AV325" i="1"/>
  <c r="AV324" i="1"/>
  <c r="AV323" i="1"/>
  <c r="AV322" i="1"/>
  <c r="AV321" i="1"/>
  <c r="AV320" i="1"/>
  <c r="AV319" i="1"/>
  <c r="AV318" i="1"/>
  <c r="AV317" i="1"/>
  <c r="AV316" i="1"/>
  <c r="AV315" i="1"/>
  <c r="AV314" i="1"/>
  <c r="AV313" i="1"/>
  <c r="AV312" i="1"/>
  <c r="AV311" i="1"/>
  <c r="AV310" i="1"/>
  <c r="AV309" i="1"/>
  <c r="AV308" i="1"/>
  <c r="AV307" i="1"/>
  <c r="AV306" i="1"/>
  <c r="AV305" i="1"/>
  <c r="AV304" i="1"/>
  <c r="AV303" i="1"/>
  <c r="AV302" i="1"/>
  <c r="AV301" i="1"/>
  <c r="AV300" i="1"/>
  <c r="AV299" i="1"/>
  <c r="AV298" i="1"/>
  <c r="AV297" i="1"/>
  <c r="AV296" i="1"/>
  <c r="AV295" i="1"/>
  <c r="AV294" i="1"/>
  <c r="AV293" i="1"/>
  <c r="AV292" i="1"/>
  <c r="AV291" i="1"/>
  <c r="AV290" i="1"/>
  <c r="AV289" i="1"/>
  <c r="AV288" i="1"/>
  <c r="AV287" i="1"/>
  <c r="AV286" i="1"/>
  <c r="AV285" i="1"/>
  <c r="AV284" i="1"/>
  <c r="AV283" i="1"/>
  <c r="AV282" i="1"/>
  <c r="AV281" i="1"/>
  <c r="AV280" i="1"/>
  <c r="AV279" i="1"/>
  <c r="AV278" i="1"/>
  <c r="AV277" i="1"/>
  <c r="AV276" i="1"/>
  <c r="AV275" i="1"/>
  <c r="AV274" i="1"/>
  <c r="AV273" i="1"/>
  <c r="AV272" i="1"/>
  <c r="AV271" i="1"/>
  <c r="AV270" i="1"/>
  <c r="AV269" i="1"/>
  <c r="AV268" i="1"/>
  <c r="AV267" i="1"/>
  <c r="AV266" i="1"/>
  <c r="AV265" i="1"/>
  <c r="AV264" i="1"/>
  <c r="AV263" i="1"/>
  <c r="AV262" i="1"/>
  <c r="AV261" i="1"/>
  <c r="AV260" i="1"/>
  <c r="AV259" i="1"/>
  <c r="AV258" i="1"/>
  <c r="AV257" i="1"/>
  <c r="AV256" i="1"/>
  <c r="AV255" i="1"/>
  <c r="AV254" i="1"/>
  <c r="AV253" i="1"/>
  <c r="AV252" i="1"/>
  <c r="AV251" i="1"/>
  <c r="AV250" i="1"/>
  <c r="AV249" i="1"/>
  <c r="AV248" i="1"/>
  <c r="AV247" i="1"/>
  <c r="AV246" i="1"/>
  <c r="AV245" i="1"/>
  <c r="AV244" i="1"/>
  <c r="AV243" i="1"/>
  <c r="AV242" i="1"/>
  <c r="AV241" i="1"/>
  <c r="AV240" i="1"/>
  <c r="AV239" i="1"/>
  <c r="AV238" i="1"/>
  <c r="AV237" i="1"/>
  <c r="AV236" i="1"/>
  <c r="AV235" i="1"/>
  <c r="AV234" i="1"/>
  <c r="AV233" i="1"/>
  <c r="AV232" i="1"/>
  <c r="AV231" i="1"/>
  <c r="AV230" i="1"/>
  <c r="AV229" i="1"/>
  <c r="AV228" i="1"/>
  <c r="AV227" i="1"/>
  <c r="AV226" i="1"/>
  <c r="AV225" i="1"/>
  <c r="AV224" i="1"/>
  <c r="AV223" i="1"/>
  <c r="AV222" i="1"/>
  <c r="AV221" i="1"/>
  <c r="AV220" i="1"/>
  <c r="AV219" i="1"/>
  <c r="AV218" i="1"/>
  <c r="AV217" i="1"/>
  <c r="AV216" i="1"/>
  <c r="AV215" i="1"/>
  <c r="AV214" i="1"/>
  <c r="AV213" i="1"/>
  <c r="AV212" i="1"/>
  <c r="AV211" i="1"/>
  <c r="AV210" i="1"/>
  <c r="AV209" i="1"/>
  <c r="AV208" i="1"/>
  <c r="AV207" i="1"/>
  <c r="AV206" i="1"/>
  <c r="AV205" i="1"/>
  <c r="AV204" i="1"/>
  <c r="AV203" i="1"/>
  <c r="AV202" i="1"/>
  <c r="AV201" i="1"/>
  <c r="AV200" i="1"/>
  <c r="AV199" i="1"/>
  <c r="AV198" i="1"/>
  <c r="AV197" i="1"/>
  <c r="AV196" i="1"/>
  <c r="AV195" i="1"/>
  <c r="AV194" i="1"/>
  <c r="AV193" i="1"/>
  <c r="AV192" i="1"/>
  <c r="AV191" i="1"/>
  <c r="AV190" i="1"/>
  <c r="AV189" i="1"/>
  <c r="AV188" i="1"/>
  <c r="AV187" i="1"/>
  <c r="AV186" i="1"/>
  <c r="AV185" i="1"/>
  <c r="AV184" i="1"/>
  <c r="AV183" i="1"/>
  <c r="AV182" i="1"/>
  <c r="AV181" i="1"/>
  <c r="AV180" i="1"/>
  <c r="AV179" i="1"/>
  <c r="AV178" i="1"/>
  <c r="AV177" i="1"/>
  <c r="AV176" i="1"/>
  <c r="AV175" i="1"/>
  <c r="AV174" i="1"/>
  <c r="AV173" i="1"/>
  <c r="AV172" i="1"/>
  <c r="AV171" i="1"/>
  <c r="AV170" i="1"/>
  <c r="AV169" i="1"/>
  <c r="AV168" i="1"/>
  <c r="AV167" i="1"/>
  <c r="AV166" i="1"/>
  <c r="AV165" i="1"/>
  <c r="AV164" i="1"/>
  <c r="AV163" i="1"/>
  <c r="AV162" i="1"/>
  <c r="AV161" i="1"/>
  <c r="AV160" i="1"/>
  <c r="AV159" i="1"/>
  <c r="AV158" i="1"/>
  <c r="AV157" i="1"/>
  <c r="AV156" i="1"/>
  <c r="AV155" i="1"/>
  <c r="AV154" i="1"/>
  <c r="AV153" i="1"/>
  <c r="AV152" i="1"/>
  <c r="AV151" i="1"/>
  <c r="AV150" i="1"/>
  <c r="AV149" i="1"/>
  <c r="AV148" i="1"/>
  <c r="AV147" i="1"/>
  <c r="AV146" i="1"/>
  <c r="AV145" i="1"/>
  <c r="AV144" i="1"/>
  <c r="AV143" i="1"/>
  <c r="AV142" i="1"/>
  <c r="AV141" i="1"/>
  <c r="AV140" i="1"/>
  <c r="AV139" i="1"/>
  <c r="AV138" i="1"/>
  <c r="AV137" i="1"/>
  <c r="AV136" i="1"/>
  <c r="AV135" i="1"/>
  <c r="AV134" i="1"/>
  <c r="AV133" i="1"/>
  <c r="AV132" i="1"/>
  <c r="AV131" i="1"/>
  <c r="AV130" i="1"/>
  <c r="AV129" i="1"/>
  <c r="AV128" i="1"/>
  <c r="AV127" i="1"/>
  <c r="AV126" i="1"/>
  <c r="AV125" i="1"/>
  <c r="AV124" i="1"/>
  <c r="AV123" i="1"/>
  <c r="AV122" i="1"/>
  <c r="AV121" i="1"/>
  <c r="AV120" i="1"/>
  <c r="AV119" i="1"/>
  <c r="AV118" i="1"/>
  <c r="AV117" i="1"/>
  <c r="AV116" i="1"/>
  <c r="AV115" i="1"/>
  <c r="AV114" i="1"/>
  <c r="AV113" i="1"/>
  <c r="AV112" i="1"/>
  <c r="AV111" i="1"/>
  <c r="AV110" i="1"/>
  <c r="AV109" i="1"/>
  <c r="AV108" i="1"/>
  <c r="AV107" i="1"/>
  <c r="AV106" i="1"/>
  <c r="AV105" i="1"/>
  <c r="AV104" i="1"/>
  <c r="AV103" i="1"/>
  <c r="AV102" i="1"/>
  <c r="AV101" i="1"/>
  <c r="AV100" i="1"/>
  <c r="AV99" i="1"/>
  <c r="AV98" i="1"/>
  <c r="AV97" i="1"/>
  <c r="AV96" i="1"/>
  <c r="AV95" i="1"/>
  <c r="AV94" i="1"/>
  <c r="AV93" i="1"/>
  <c r="AV92" i="1"/>
  <c r="AV91" i="1"/>
  <c r="AV90" i="1"/>
  <c r="AV89" i="1"/>
  <c r="AV88" i="1"/>
  <c r="AV87" i="1"/>
  <c r="AV86" i="1"/>
  <c r="AV85" i="1"/>
  <c r="AV84" i="1"/>
  <c r="AV83" i="1"/>
  <c r="AV82" i="1"/>
  <c r="AV81" i="1"/>
  <c r="AV80" i="1"/>
  <c r="AV79" i="1"/>
  <c r="AV78" i="1"/>
  <c r="AV77" i="1"/>
  <c r="AV76" i="1"/>
  <c r="AV75" i="1"/>
  <c r="AV74" i="1"/>
  <c r="AV73" i="1"/>
  <c r="AV72" i="1"/>
  <c r="AV71" i="1"/>
  <c r="AV70" i="1"/>
  <c r="AV69" i="1"/>
  <c r="AV68" i="1"/>
  <c r="AV67" i="1"/>
  <c r="AV66" i="1"/>
  <c r="AV65" i="1"/>
  <c r="AV64" i="1"/>
  <c r="AV63" i="1"/>
  <c r="AV62" i="1"/>
  <c r="AV61" i="1"/>
  <c r="AV60" i="1"/>
  <c r="AV59" i="1"/>
  <c r="AV58" i="1"/>
  <c r="AV57" i="1"/>
  <c r="AV56" i="1"/>
  <c r="AV55" i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V42" i="1"/>
  <c r="AV41" i="1"/>
  <c r="AV40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V4" i="1"/>
  <c r="AV3" i="1"/>
  <c r="AV2" i="1"/>
  <c r="AR962" i="1"/>
  <c r="AR961" i="1"/>
  <c r="AR960" i="1"/>
  <c r="AR959" i="1"/>
  <c r="AR958" i="1"/>
  <c r="AR957" i="1"/>
  <c r="AR956" i="1"/>
  <c r="AR955" i="1"/>
  <c r="AR954" i="1"/>
  <c r="AR953" i="1"/>
  <c r="AR952" i="1"/>
  <c r="AR951" i="1"/>
  <c r="AR950" i="1"/>
  <c r="AR949" i="1"/>
  <c r="AR948" i="1"/>
  <c r="AR947" i="1"/>
  <c r="AR946" i="1"/>
  <c r="AR945" i="1"/>
  <c r="AR944" i="1"/>
  <c r="AR943" i="1"/>
  <c r="AR942" i="1"/>
  <c r="AR941" i="1"/>
  <c r="AR940" i="1"/>
  <c r="AR939" i="1"/>
  <c r="AR938" i="1"/>
  <c r="AR937" i="1"/>
  <c r="AR936" i="1"/>
  <c r="AR935" i="1"/>
  <c r="AR934" i="1"/>
  <c r="AR933" i="1"/>
  <c r="AR932" i="1"/>
  <c r="AR931" i="1"/>
  <c r="AR930" i="1"/>
  <c r="AR929" i="1"/>
  <c r="AR928" i="1"/>
  <c r="AR927" i="1"/>
  <c r="AR926" i="1"/>
  <c r="AR925" i="1"/>
  <c r="AR924" i="1"/>
  <c r="AR923" i="1"/>
  <c r="AR922" i="1"/>
  <c r="AR921" i="1"/>
  <c r="AR920" i="1"/>
  <c r="AR919" i="1"/>
  <c r="AR918" i="1"/>
  <c r="AR917" i="1"/>
  <c r="AR916" i="1"/>
  <c r="AR915" i="1"/>
  <c r="AR914" i="1"/>
  <c r="AR913" i="1"/>
  <c r="AR912" i="1"/>
  <c r="AR911" i="1"/>
  <c r="AR910" i="1"/>
  <c r="AR909" i="1"/>
  <c r="AR908" i="1"/>
  <c r="AR907" i="1"/>
  <c r="AR906" i="1"/>
  <c r="AR905" i="1"/>
  <c r="AR904" i="1"/>
  <c r="AR903" i="1"/>
  <c r="AR902" i="1"/>
  <c r="AR901" i="1"/>
  <c r="AR900" i="1"/>
  <c r="AR899" i="1"/>
  <c r="AR898" i="1"/>
  <c r="AR897" i="1"/>
  <c r="AR896" i="1"/>
  <c r="AR895" i="1"/>
  <c r="AR894" i="1"/>
  <c r="AR893" i="1"/>
  <c r="AR892" i="1"/>
  <c r="AR891" i="1"/>
  <c r="AR890" i="1"/>
  <c r="AR889" i="1"/>
  <c r="AR888" i="1"/>
  <c r="AR887" i="1"/>
  <c r="AR886" i="1"/>
  <c r="AR885" i="1"/>
  <c r="AR884" i="1"/>
  <c r="AR883" i="1"/>
  <c r="AR882" i="1"/>
  <c r="AR881" i="1"/>
  <c r="AR880" i="1"/>
  <c r="AR879" i="1"/>
  <c r="AR878" i="1"/>
  <c r="AR877" i="1"/>
  <c r="AR876" i="1"/>
  <c r="AR875" i="1"/>
  <c r="AR874" i="1"/>
  <c r="AR873" i="1"/>
  <c r="AR872" i="1"/>
  <c r="AR871" i="1"/>
  <c r="AR870" i="1"/>
  <c r="AR869" i="1"/>
  <c r="AR868" i="1"/>
  <c r="AR867" i="1"/>
  <c r="AR866" i="1"/>
  <c r="AR865" i="1"/>
  <c r="AR864" i="1"/>
  <c r="AR863" i="1"/>
  <c r="AR862" i="1"/>
  <c r="AR861" i="1"/>
  <c r="AR860" i="1"/>
  <c r="AR859" i="1"/>
  <c r="AR858" i="1"/>
  <c r="AR857" i="1"/>
  <c r="AR856" i="1"/>
  <c r="AR855" i="1"/>
  <c r="AR854" i="1"/>
  <c r="AR853" i="1"/>
  <c r="AR852" i="1"/>
  <c r="AR851" i="1"/>
  <c r="AR850" i="1"/>
  <c r="AR849" i="1"/>
  <c r="AR848" i="1"/>
  <c r="AR847" i="1"/>
  <c r="AR846" i="1"/>
  <c r="AR845" i="1"/>
  <c r="AR844" i="1"/>
  <c r="AR843" i="1"/>
  <c r="AR842" i="1"/>
  <c r="AR841" i="1"/>
  <c r="AR840" i="1"/>
  <c r="AR839" i="1"/>
  <c r="AR838" i="1"/>
  <c r="AR837" i="1"/>
  <c r="AR836" i="1"/>
  <c r="AR835" i="1"/>
  <c r="AR834" i="1"/>
  <c r="AR833" i="1"/>
  <c r="AR832" i="1"/>
  <c r="AR831" i="1"/>
  <c r="AR830" i="1"/>
  <c r="AR829" i="1"/>
  <c r="AR828" i="1"/>
  <c r="AR827" i="1"/>
  <c r="AR826" i="1"/>
  <c r="AR825" i="1"/>
  <c r="AR824" i="1"/>
  <c r="AR823" i="1"/>
  <c r="AR822" i="1"/>
  <c r="AR821" i="1"/>
  <c r="AR820" i="1"/>
  <c r="AR819" i="1"/>
  <c r="AR818" i="1"/>
  <c r="AR817" i="1"/>
  <c r="AR816" i="1"/>
  <c r="AR815" i="1"/>
  <c r="AR814" i="1"/>
  <c r="AR813" i="1"/>
  <c r="AR812" i="1"/>
  <c r="AR811" i="1"/>
  <c r="AR810" i="1"/>
  <c r="AR809" i="1"/>
  <c r="AR808" i="1"/>
  <c r="AR807" i="1"/>
  <c r="AR806" i="1"/>
  <c r="AR805" i="1"/>
  <c r="AR804" i="1"/>
  <c r="AR803" i="1"/>
  <c r="AR802" i="1"/>
  <c r="AR801" i="1"/>
  <c r="AR800" i="1"/>
  <c r="AR799" i="1"/>
  <c r="AR798" i="1"/>
  <c r="AR797" i="1"/>
  <c r="AR796" i="1"/>
  <c r="AR795" i="1"/>
  <c r="AR794" i="1"/>
  <c r="AR793" i="1"/>
  <c r="AR792" i="1"/>
  <c r="AR791" i="1"/>
  <c r="AR790" i="1"/>
  <c r="AR789" i="1"/>
  <c r="AR788" i="1"/>
  <c r="AR787" i="1"/>
  <c r="AR786" i="1"/>
  <c r="AR785" i="1"/>
  <c r="AR784" i="1"/>
  <c r="AR783" i="1"/>
  <c r="AR782" i="1"/>
  <c r="AR781" i="1"/>
  <c r="AR780" i="1"/>
  <c r="AR779" i="1"/>
  <c r="AR778" i="1"/>
  <c r="AR777" i="1"/>
  <c r="AR776" i="1"/>
  <c r="AR775" i="1"/>
  <c r="AR774" i="1"/>
  <c r="AR773" i="1"/>
  <c r="AR772" i="1"/>
  <c r="AR771" i="1"/>
  <c r="AR770" i="1"/>
  <c r="AR769" i="1"/>
  <c r="AR768" i="1"/>
  <c r="AR767" i="1"/>
  <c r="AR766" i="1"/>
  <c r="AR765" i="1"/>
  <c r="AR764" i="1"/>
  <c r="AR763" i="1"/>
  <c r="AR762" i="1"/>
  <c r="AR761" i="1"/>
  <c r="AR760" i="1"/>
  <c r="AR759" i="1"/>
  <c r="AR758" i="1"/>
  <c r="AR757" i="1"/>
  <c r="AR756" i="1"/>
  <c r="AR755" i="1"/>
  <c r="AR754" i="1"/>
  <c r="AR753" i="1"/>
  <c r="AR752" i="1"/>
  <c r="AR751" i="1"/>
  <c r="AR750" i="1"/>
  <c r="AR749" i="1"/>
  <c r="AR748" i="1"/>
  <c r="AR747" i="1"/>
  <c r="AR746" i="1"/>
  <c r="AR745" i="1"/>
  <c r="AR744" i="1"/>
  <c r="AR743" i="1"/>
  <c r="AR742" i="1"/>
  <c r="AR741" i="1"/>
  <c r="AR740" i="1"/>
  <c r="AR739" i="1"/>
  <c r="AR738" i="1"/>
  <c r="AR737" i="1"/>
  <c r="AR736" i="1"/>
  <c r="AR735" i="1"/>
  <c r="AR734" i="1"/>
  <c r="AR733" i="1"/>
  <c r="AR732" i="1"/>
  <c r="AR731" i="1"/>
  <c r="AR730" i="1"/>
  <c r="AR729" i="1"/>
  <c r="AR728" i="1"/>
  <c r="AR727" i="1"/>
  <c r="AR726" i="1"/>
  <c r="AR725" i="1"/>
  <c r="AR724" i="1"/>
  <c r="AR723" i="1"/>
  <c r="AR722" i="1"/>
  <c r="AR721" i="1"/>
  <c r="AR720" i="1"/>
  <c r="AR719" i="1"/>
  <c r="AR718" i="1"/>
  <c r="AR717" i="1"/>
  <c r="AR716" i="1"/>
  <c r="AR715" i="1"/>
  <c r="AR714" i="1"/>
  <c r="AR713" i="1"/>
  <c r="AR712" i="1"/>
  <c r="AR711" i="1"/>
  <c r="AR710" i="1"/>
  <c r="AR709" i="1"/>
  <c r="AR708" i="1"/>
  <c r="AR707" i="1"/>
  <c r="AR706" i="1"/>
  <c r="AR705" i="1"/>
  <c r="AR704" i="1"/>
  <c r="AR703" i="1"/>
  <c r="AR702" i="1"/>
  <c r="AR701" i="1"/>
  <c r="AR700" i="1"/>
  <c r="AR699" i="1"/>
  <c r="AR698" i="1"/>
  <c r="AR697" i="1"/>
  <c r="AR696" i="1"/>
  <c r="AR695" i="1"/>
  <c r="AR694" i="1"/>
  <c r="AR693" i="1"/>
  <c r="AR692" i="1"/>
  <c r="AR691" i="1"/>
  <c r="AR690" i="1"/>
  <c r="AR689" i="1"/>
  <c r="AR688" i="1"/>
  <c r="AR687" i="1"/>
  <c r="AR686" i="1"/>
  <c r="AR685" i="1"/>
  <c r="AR684" i="1"/>
  <c r="AR683" i="1"/>
  <c r="AR682" i="1"/>
  <c r="AR681" i="1"/>
  <c r="AR680" i="1"/>
  <c r="AR679" i="1"/>
  <c r="AR678" i="1"/>
  <c r="AR677" i="1"/>
  <c r="AR676" i="1"/>
  <c r="AR675" i="1"/>
  <c r="AR674" i="1"/>
  <c r="AR673" i="1"/>
  <c r="AR672" i="1"/>
  <c r="AR671" i="1"/>
  <c r="AR670" i="1"/>
  <c r="AR669" i="1"/>
  <c r="AR668" i="1"/>
  <c r="AR667" i="1"/>
  <c r="AR666" i="1"/>
  <c r="AR665" i="1"/>
  <c r="AR664" i="1"/>
  <c r="AR663" i="1"/>
  <c r="AR662" i="1"/>
  <c r="AR661" i="1"/>
  <c r="AR660" i="1"/>
  <c r="AR659" i="1"/>
  <c r="AR658" i="1"/>
  <c r="AR657" i="1"/>
  <c r="AR656" i="1"/>
  <c r="AR655" i="1"/>
  <c r="AR654" i="1"/>
  <c r="AR653" i="1"/>
  <c r="AR652" i="1"/>
  <c r="AR651" i="1"/>
  <c r="AR650" i="1"/>
  <c r="AR649" i="1"/>
  <c r="AR648" i="1"/>
  <c r="AR647" i="1"/>
  <c r="AR646" i="1"/>
  <c r="AR645" i="1"/>
  <c r="AR644" i="1"/>
  <c r="AR643" i="1"/>
  <c r="AR642" i="1"/>
  <c r="AR641" i="1"/>
  <c r="AR640" i="1"/>
  <c r="AR639" i="1"/>
  <c r="AR638" i="1"/>
  <c r="AR637" i="1"/>
  <c r="AR636" i="1"/>
  <c r="AR635" i="1"/>
  <c r="AR634" i="1"/>
  <c r="AR633" i="1"/>
  <c r="AR632" i="1"/>
  <c r="AR631" i="1"/>
  <c r="AR630" i="1"/>
  <c r="AR629" i="1"/>
  <c r="AR628" i="1"/>
  <c r="AR627" i="1"/>
  <c r="AR626" i="1"/>
  <c r="AR625" i="1"/>
  <c r="AR624" i="1"/>
  <c r="AR623" i="1"/>
  <c r="AR622" i="1"/>
  <c r="AR621" i="1"/>
  <c r="AR620" i="1"/>
  <c r="AR619" i="1"/>
  <c r="AR618" i="1"/>
  <c r="AR617" i="1"/>
  <c r="AR616" i="1"/>
  <c r="AR615" i="1"/>
  <c r="AR614" i="1"/>
  <c r="AR613" i="1"/>
  <c r="AR612" i="1"/>
  <c r="AR611" i="1"/>
  <c r="AR610" i="1"/>
  <c r="AR609" i="1"/>
  <c r="AR608" i="1"/>
  <c r="AR607" i="1"/>
  <c r="AR606" i="1"/>
  <c r="AR605" i="1"/>
  <c r="AR604" i="1"/>
  <c r="AR603" i="1"/>
  <c r="AR602" i="1"/>
  <c r="AR601" i="1"/>
  <c r="AR600" i="1"/>
  <c r="AR599" i="1"/>
  <c r="AR598" i="1"/>
  <c r="AR597" i="1"/>
  <c r="AR596" i="1"/>
  <c r="AR595" i="1"/>
  <c r="AR594" i="1"/>
  <c r="AR593" i="1"/>
  <c r="AR592" i="1"/>
  <c r="AR591" i="1"/>
  <c r="AR590" i="1"/>
  <c r="AR589" i="1"/>
  <c r="AR588" i="1"/>
  <c r="AR587" i="1"/>
  <c r="AR586" i="1"/>
  <c r="AR585" i="1"/>
  <c r="AR584" i="1"/>
  <c r="AR583" i="1"/>
  <c r="AR582" i="1"/>
  <c r="AR581" i="1"/>
  <c r="AR580" i="1"/>
  <c r="AR579" i="1"/>
  <c r="AR578" i="1"/>
  <c r="AR577" i="1"/>
  <c r="AR576" i="1"/>
  <c r="AR575" i="1"/>
  <c r="AR574" i="1"/>
  <c r="AR573" i="1"/>
  <c r="AR572" i="1"/>
  <c r="AR571" i="1"/>
  <c r="AR570" i="1"/>
  <c r="AR569" i="1"/>
  <c r="AR568" i="1"/>
  <c r="AR567" i="1"/>
  <c r="AR566" i="1"/>
  <c r="AR565" i="1"/>
  <c r="AR564" i="1"/>
  <c r="AR563" i="1"/>
  <c r="AR562" i="1"/>
  <c r="AR561" i="1"/>
  <c r="AR560" i="1"/>
  <c r="AR559" i="1"/>
  <c r="AR558" i="1"/>
  <c r="AR557" i="1"/>
  <c r="AR556" i="1"/>
  <c r="AR555" i="1"/>
  <c r="AR554" i="1"/>
  <c r="AR553" i="1"/>
  <c r="AR552" i="1"/>
  <c r="AR551" i="1"/>
  <c r="AR550" i="1"/>
  <c r="AR549" i="1"/>
  <c r="AR548" i="1"/>
  <c r="AR547" i="1"/>
  <c r="AR546" i="1"/>
  <c r="AR545" i="1"/>
  <c r="AR544" i="1"/>
  <c r="AR543" i="1"/>
  <c r="AR542" i="1"/>
  <c r="AR541" i="1"/>
  <c r="AR540" i="1"/>
  <c r="AR539" i="1"/>
  <c r="AR538" i="1"/>
  <c r="AR537" i="1"/>
  <c r="AR536" i="1"/>
  <c r="AR535" i="1"/>
  <c r="AR534" i="1"/>
  <c r="AR533" i="1"/>
  <c r="AR532" i="1"/>
  <c r="AR531" i="1"/>
  <c r="AR530" i="1"/>
  <c r="AR529" i="1"/>
  <c r="AR528" i="1"/>
  <c r="AR527" i="1"/>
  <c r="AR526" i="1"/>
  <c r="AR525" i="1"/>
  <c r="AR524" i="1"/>
  <c r="AR523" i="1"/>
  <c r="AR522" i="1"/>
  <c r="AR521" i="1"/>
  <c r="AR520" i="1"/>
  <c r="AR519" i="1"/>
  <c r="AR518" i="1"/>
  <c r="AR517" i="1"/>
  <c r="AR516" i="1"/>
  <c r="AR515" i="1"/>
  <c r="AR514" i="1"/>
  <c r="AR513" i="1"/>
  <c r="AR512" i="1"/>
  <c r="AR511" i="1"/>
  <c r="AR510" i="1"/>
  <c r="AR509" i="1"/>
  <c r="AR508" i="1"/>
  <c r="AR507" i="1"/>
  <c r="AR506" i="1"/>
  <c r="AR505" i="1"/>
  <c r="AR504" i="1"/>
  <c r="AR503" i="1"/>
  <c r="AR502" i="1"/>
  <c r="AR501" i="1"/>
  <c r="AR500" i="1"/>
  <c r="AR499" i="1"/>
  <c r="AR498" i="1"/>
  <c r="AR497" i="1"/>
  <c r="AR496" i="1"/>
  <c r="AR495" i="1"/>
  <c r="AR494" i="1"/>
  <c r="AR493" i="1"/>
  <c r="AR492" i="1"/>
  <c r="AR491" i="1"/>
  <c r="AR490" i="1"/>
  <c r="AR489" i="1"/>
  <c r="AR488" i="1"/>
  <c r="AR487" i="1"/>
  <c r="AR486" i="1"/>
  <c r="AR485" i="1"/>
  <c r="AR484" i="1"/>
  <c r="AR483" i="1"/>
  <c r="AR482" i="1"/>
  <c r="AR481" i="1"/>
  <c r="AR480" i="1"/>
  <c r="AR479" i="1"/>
  <c r="AR478" i="1"/>
  <c r="AR477" i="1"/>
  <c r="AR476" i="1"/>
  <c r="AR475" i="1"/>
  <c r="AR474" i="1"/>
  <c r="AR473" i="1"/>
  <c r="AR472" i="1"/>
  <c r="AR471" i="1"/>
  <c r="AR470" i="1"/>
  <c r="AR469" i="1"/>
  <c r="AR468" i="1"/>
  <c r="AR467" i="1"/>
  <c r="AR466" i="1"/>
  <c r="AR465" i="1"/>
  <c r="AR464" i="1"/>
  <c r="AR463" i="1"/>
  <c r="AR462" i="1"/>
  <c r="AR461" i="1"/>
  <c r="AR460" i="1"/>
  <c r="AR459" i="1"/>
  <c r="AR458" i="1"/>
  <c r="AR457" i="1"/>
  <c r="AR456" i="1"/>
  <c r="AR455" i="1"/>
  <c r="AR454" i="1"/>
  <c r="AR453" i="1"/>
  <c r="AR452" i="1"/>
  <c r="AR451" i="1"/>
  <c r="AR450" i="1"/>
  <c r="AR449" i="1"/>
  <c r="AR448" i="1"/>
  <c r="AR447" i="1"/>
  <c r="AR446" i="1"/>
  <c r="AR445" i="1"/>
  <c r="AR444" i="1"/>
  <c r="AR443" i="1"/>
  <c r="AR442" i="1"/>
  <c r="AR441" i="1"/>
  <c r="AR440" i="1"/>
  <c r="AR439" i="1"/>
  <c r="AR438" i="1"/>
  <c r="AR437" i="1"/>
  <c r="AR436" i="1"/>
  <c r="AR435" i="1"/>
  <c r="AR434" i="1"/>
  <c r="AR433" i="1"/>
  <c r="AR432" i="1"/>
  <c r="AR431" i="1"/>
  <c r="AR430" i="1"/>
  <c r="AR429" i="1"/>
  <c r="AR428" i="1"/>
  <c r="AR427" i="1"/>
  <c r="AR426" i="1"/>
  <c r="AR425" i="1"/>
  <c r="AR424" i="1"/>
  <c r="AR423" i="1"/>
  <c r="AR422" i="1"/>
  <c r="AR421" i="1"/>
  <c r="AR420" i="1"/>
  <c r="AR419" i="1"/>
  <c r="AR418" i="1"/>
  <c r="AR417" i="1"/>
  <c r="AR416" i="1"/>
  <c r="AR415" i="1"/>
  <c r="AR414" i="1"/>
  <c r="AR413" i="1"/>
  <c r="AR412" i="1"/>
  <c r="AR411" i="1"/>
  <c r="AR410" i="1"/>
  <c r="AR409" i="1"/>
  <c r="AR408" i="1"/>
  <c r="AR407" i="1"/>
  <c r="AR406" i="1"/>
  <c r="AR405" i="1"/>
  <c r="AR404" i="1"/>
  <c r="AR403" i="1"/>
  <c r="AR402" i="1"/>
  <c r="AR401" i="1"/>
  <c r="AR400" i="1"/>
  <c r="AR399" i="1"/>
  <c r="AR398" i="1"/>
  <c r="AR397" i="1"/>
  <c r="AR396" i="1"/>
  <c r="AR395" i="1"/>
  <c r="AR394" i="1"/>
  <c r="AR393" i="1"/>
  <c r="AR392" i="1"/>
  <c r="AR391" i="1"/>
  <c r="AR390" i="1"/>
  <c r="AR389" i="1"/>
  <c r="AR388" i="1"/>
  <c r="AR387" i="1"/>
  <c r="AR386" i="1"/>
  <c r="AR385" i="1"/>
  <c r="AR384" i="1"/>
  <c r="AR383" i="1"/>
  <c r="AR382" i="1"/>
  <c r="AR381" i="1"/>
  <c r="AR380" i="1"/>
  <c r="AR379" i="1"/>
  <c r="AR378" i="1"/>
  <c r="AR377" i="1"/>
  <c r="AR376" i="1"/>
  <c r="AR375" i="1"/>
  <c r="AR374" i="1"/>
  <c r="AR373" i="1"/>
  <c r="AR372" i="1"/>
  <c r="AR371" i="1"/>
  <c r="AR370" i="1"/>
  <c r="AR369" i="1"/>
  <c r="AR368" i="1"/>
  <c r="AR367" i="1"/>
  <c r="AR366" i="1"/>
  <c r="AR365" i="1"/>
  <c r="AR364" i="1"/>
  <c r="AR363" i="1"/>
  <c r="AR362" i="1"/>
  <c r="AR361" i="1"/>
  <c r="AR360" i="1"/>
  <c r="AR359" i="1"/>
  <c r="AR358" i="1"/>
  <c r="AR357" i="1"/>
  <c r="AR356" i="1"/>
  <c r="AR355" i="1"/>
  <c r="AR354" i="1"/>
  <c r="AR353" i="1"/>
  <c r="AR352" i="1"/>
  <c r="AR351" i="1"/>
  <c r="AR350" i="1"/>
  <c r="AR349" i="1"/>
  <c r="AR348" i="1"/>
  <c r="AR347" i="1"/>
  <c r="AR346" i="1"/>
  <c r="AR345" i="1"/>
  <c r="AR344" i="1"/>
  <c r="AR343" i="1"/>
  <c r="AR342" i="1"/>
  <c r="AR341" i="1"/>
  <c r="AR340" i="1"/>
  <c r="AR339" i="1"/>
  <c r="AR338" i="1"/>
  <c r="AR337" i="1"/>
  <c r="AR336" i="1"/>
  <c r="AR335" i="1"/>
  <c r="AR334" i="1"/>
  <c r="AR333" i="1"/>
  <c r="AR332" i="1"/>
  <c r="AR331" i="1"/>
  <c r="AR330" i="1"/>
  <c r="AR329" i="1"/>
  <c r="AR328" i="1"/>
  <c r="AR327" i="1"/>
  <c r="AR326" i="1"/>
  <c r="AR325" i="1"/>
  <c r="AR324" i="1"/>
  <c r="AR323" i="1"/>
  <c r="AR322" i="1"/>
  <c r="AR321" i="1"/>
  <c r="AR320" i="1"/>
  <c r="AR319" i="1"/>
  <c r="AR318" i="1"/>
  <c r="AR317" i="1"/>
  <c r="AR316" i="1"/>
  <c r="AR315" i="1"/>
  <c r="AR314" i="1"/>
  <c r="AR313" i="1"/>
  <c r="AR312" i="1"/>
  <c r="AR311" i="1"/>
  <c r="AR310" i="1"/>
  <c r="AR309" i="1"/>
  <c r="AR308" i="1"/>
  <c r="AR307" i="1"/>
  <c r="AR306" i="1"/>
  <c r="AR305" i="1"/>
  <c r="AR304" i="1"/>
  <c r="AR303" i="1"/>
  <c r="AR302" i="1"/>
  <c r="AR301" i="1"/>
  <c r="AR300" i="1"/>
  <c r="AR299" i="1"/>
  <c r="AR298" i="1"/>
  <c r="AR297" i="1"/>
  <c r="AR296" i="1"/>
  <c r="AR295" i="1"/>
  <c r="AR294" i="1"/>
  <c r="AR293" i="1"/>
  <c r="AR292" i="1"/>
  <c r="AR291" i="1"/>
  <c r="AR290" i="1"/>
  <c r="AR289" i="1"/>
  <c r="AR288" i="1"/>
  <c r="AR287" i="1"/>
  <c r="AR286" i="1"/>
  <c r="AR285" i="1"/>
  <c r="AR284" i="1"/>
  <c r="AR283" i="1"/>
  <c r="AR282" i="1"/>
  <c r="AR281" i="1"/>
  <c r="AR280" i="1"/>
  <c r="AR279" i="1"/>
  <c r="AR278" i="1"/>
  <c r="AR277" i="1"/>
  <c r="AR276" i="1"/>
  <c r="AR275" i="1"/>
  <c r="AR274" i="1"/>
  <c r="AR273" i="1"/>
  <c r="AR272" i="1"/>
  <c r="AR271" i="1"/>
  <c r="AR270" i="1"/>
  <c r="AR269" i="1"/>
  <c r="AR268" i="1"/>
  <c r="AR267" i="1"/>
  <c r="AR266" i="1"/>
  <c r="AR265" i="1"/>
  <c r="AR264" i="1"/>
  <c r="AR263" i="1"/>
  <c r="AR262" i="1"/>
  <c r="AR261" i="1"/>
  <c r="AR260" i="1"/>
  <c r="AR259" i="1"/>
  <c r="AR258" i="1"/>
  <c r="AR257" i="1"/>
  <c r="AR256" i="1"/>
  <c r="AR255" i="1"/>
  <c r="AR254" i="1"/>
  <c r="AR253" i="1"/>
  <c r="AR252" i="1"/>
  <c r="AR251" i="1"/>
  <c r="AR250" i="1"/>
  <c r="AR249" i="1"/>
  <c r="AR248" i="1"/>
  <c r="AR247" i="1"/>
  <c r="AR246" i="1"/>
  <c r="AR245" i="1"/>
  <c r="AR244" i="1"/>
  <c r="AR243" i="1"/>
  <c r="AR242" i="1"/>
  <c r="AR241" i="1"/>
  <c r="AR240" i="1"/>
  <c r="AR239" i="1"/>
  <c r="AR238" i="1"/>
  <c r="AR237" i="1"/>
  <c r="AR236" i="1"/>
  <c r="AR235" i="1"/>
  <c r="AR234" i="1"/>
  <c r="AR233" i="1"/>
  <c r="AR232" i="1"/>
  <c r="AR231" i="1"/>
  <c r="AR230" i="1"/>
  <c r="AR229" i="1"/>
  <c r="AR228" i="1"/>
  <c r="AR227" i="1"/>
  <c r="AR226" i="1"/>
  <c r="AR225" i="1"/>
  <c r="AR224" i="1"/>
  <c r="AR223" i="1"/>
  <c r="AR222" i="1"/>
  <c r="AR221" i="1"/>
  <c r="AR220" i="1"/>
  <c r="AR219" i="1"/>
  <c r="AR218" i="1"/>
  <c r="AR217" i="1"/>
  <c r="AR216" i="1"/>
  <c r="AR215" i="1"/>
  <c r="AR214" i="1"/>
  <c r="AR213" i="1"/>
  <c r="AR212" i="1"/>
  <c r="AR211" i="1"/>
  <c r="AR210" i="1"/>
  <c r="AR209" i="1"/>
  <c r="AR208" i="1"/>
  <c r="AR207" i="1"/>
  <c r="AR206" i="1"/>
  <c r="AR205" i="1"/>
  <c r="AR204" i="1"/>
  <c r="AR203" i="1"/>
  <c r="AR202" i="1"/>
  <c r="AR201" i="1"/>
  <c r="AR200" i="1"/>
  <c r="AR199" i="1"/>
  <c r="AR198" i="1"/>
  <c r="AR197" i="1"/>
  <c r="AR196" i="1"/>
  <c r="AR195" i="1"/>
  <c r="AR194" i="1"/>
  <c r="AR193" i="1"/>
  <c r="AR192" i="1"/>
  <c r="AR191" i="1"/>
  <c r="AR190" i="1"/>
  <c r="AR189" i="1"/>
  <c r="AR188" i="1"/>
  <c r="AR187" i="1"/>
  <c r="AR186" i="1"/>
  <c r="AR185" i="1"/>
  <c r="AR184" i="1"/>
  <c r="AR183" i="1"/>
  <c r="AR182" i="1"/>
  <c r="AR181" i="1"/>
  <c r="AR180" i="1"/>
  <c r="AR179" i="1"/>
  <c r="AR178" i="1"/>
  <c r="AR177" i="1"/>
  <c r="AR176" i="1"/>
  <c r="AR175" i="1"/>
  <c r="AR174" i="1"/>
  <c r="AR173" i="1"/>
  <c r="AR172" i="1"/>
  <c r="AR171" i="1"/>
  <c r="AR170" i="1"/>
  <c r="AR169" i="1"/>
  <c r="AR168" i="1"/>
  <c r="AR167" i="1"/>
  <c r="AR166" i="1"/>
  <c r="AR165" i="1"/>
  <c r="AR164" i="1"/>
  <c r="AR163" i="1"/>
  <c r="AR162" i="1"/>
  <c r="AR161" i="1"/>
  <c r="AR160" i="1"/>
  <c r="AR159" i="1"/>
  <c r="AR158" i="1"/>
  <c r="AR157" i="1"/>
  <c r="AR156" i="1"/>
  <c r="AR155" i="1"/>
  <c r="AR154" i="1"/>
  <c r="AR153" i="1"/>
  <c r="AR152" i="1"/>
  <c r="AR151" i="1"/>
  <c r="AR150" i="1"/>
  <c r="AR149" i="1"/>
  <c r="AR148" i="1"/>
  <c r="AR147" i="1"/>
  <c r="AR146" i="1"/>
  <c r="AR145" i="1"/>
  <c r="AR144" i="1"/>
  <c r="AR143" i="1"/>
  <c r="AR142" i="1"/>
  <c r="AR141" i="1"/>
  <c r="AR140" i="1"/>
  <c r="AR139" i="1"/>
  <c r="AR138" i="1"/>
  <c r="AR137" i="1"/>
  <c r="AR136" i="1"/>
  <c r="AR135" i="1"/>
  <c r="AR134" i="1"/>
  <c r="AR133" i="1"/>
  <c r="AR132" i="1"/>
  <c r="AR131" i="1"/>
  <c r="AR130" i="1"/>
  <c r="AR129" i="1"/>
  <c r="AR128" i="1"/>
  <c r="AR127" i="1"/>
  <c r="AR126" i="1"/>
  <c r="AR125" i="1"/>
  <c r="AR124" i="1"/>
  <c r="AR123" i="1"/>
  <c r="AR122" i="1"/>
  <c r="AR121" i="1"/>
  <c r="AR120" i="1"/>
  <c r="AR119" i="1"/>
  <c r="AR118" i="1"/>
  <c r="AR117" i="1"/>
  <c r="AR116" i="1"/>
  <c r="AR115" i="1"/>
  <c r="AR114" i="1"/>
  <c r="AR113" i="1"/>
  <c r="AR112" i="1"/>
  <c r="AR111" i="1"/>
  <c r="AR110" i="1"/>
  <c r="AR109" i="1"/>
  <c r="AR108" i="1"/>
  <c r="AR107" i="1"/>
  <c r="AR106" i="1"/>
  <c r="AR105" i="1"/>
  <c r="AR104" i="1"/>
  <c r="AR103" i="1"/>
  <c r="AR102" i="1"/>
  <c r="AR101" i="1"/>
  <c r="AR100" i="1"/>
  <c r="AR99" i="1"/>
  <c r="AR98" i="1"/>
  <c r="AR97" i="1"/>
  <c r="AR96" i="1"/>
  <c r="AR95" i="1"/>
  <c r="AR94" i="1"/>
  <c r="AR93" i="1"/>
  <c r="AR92" i="1"/>
  <c r="AR91" i="1"/>
  <c r="AR90" i="1"/>
  <c r="AR89" i="1"/>
  <c r="AR88" i="1"/>
  <c r="AR87" i="1"/>
  <c r="AR86" i="1"/>
  <c r="AR85" i="1"/>
  <c r="AR84" i="1"/>
  <c r="AR83" i="1"/>
  <c r="AR82" i="1"/>
  <c r="AR81" i="1"/>
  <c r="AR80" i="1"/>
  <c r="AR79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R3" i="1"/>
  <c r="AN962" i="1"/>
  <c r="AN961" i="1"/>
  <c r="AN960" i="1"/>
  <c r="AN959" i="1"/>
  <c r="AN958" i="1"/>
  <c r="AN957" i="1"/>
  <c r="AN956" i="1"/>
  <c r="AN955" i="1"/>
  <c r="AN954" i="1"/>
  <c r="AN953" i="1"/>
  <c r="AN952" i="1"/>
  <c r="AN951" i="1"/>
  <c r="AN950" i="1"/>
  <c r="AN949" i="1"/>
  <c r="AN948" i="1"/>
  <c r="AN947" i="1"/>
  <c r="AN946" i="1"/>
  <c r="AN945" i="1"/>
  <c r="AN944" i="1"/>
  <c r="AN943" i="1"/>
  <c r="AN942" i="1"/>
  <c r="AN941" i="1"/>
  <c r="AN940" i="1"/>
  <c r="AN939" i="1"/>
  <c r="AN938" i="1"/>
  <c r="AN937" i="1"/>
  <c r="AN936" i="1"/>
  <c r="AN935" i="1"/>
  <c r="AN934" i="1"/>
  <c r="AN933" i="1"/>
  <c r="AN932" i="1"/>
  <c r="AN931" i="1"/>
  <c r="AN930" i="1"/>
  <c r="AN929" i="1"/>
  <c r="AN928" i="1"/>
  <c r="AN927" i="1"/>
  <c r="AN926" i="1"/>
  <c r="AN925" i="1"/>
  <c r="AN924" i="1"/>
  <c r="AN923" i="1"/>
  <c r="AN922" i="1"/>
  <c r="AN921" i="1"/>
  <c r="AN920" i="1"/>
  <c r="AN919" i="1"/>
  <c r="AN918" i="1"/>
  <c r="AN917" i="1"/>
  <c r="AN916" i="1"/>
  <c r="AN915" i="1"/>
  <c r="AN914" i="1"/>
  <c r="AN913" i="1"/>
  <c r="AN912" i="1"/>
  <c r="AN911" i="1"/>
  <c r="AN910" i="1"/>
  <c r="AN909" i="1"/>
  <c r="AN908" i="1"/>
  <c r="AN907" i="1"/>
  <c r="AN906" i="1"/>
  <c r="AN905" i="1"/>
  <c r="AN904" i="1"/>
  <c r="AN903" i="1"/>
  <c r="AN902" i="1"/>
  <c r="AN901" i="1"/>
  <c r="AN900" i="1"/>
  <c r="AN899" i="1"/>
  <c r="AN898" i="1"/>
  <c r="AN897" i="1"/>
  <c r="AN896" i="1"/>
  <c r="AN895" i="1"/>
  <c r="AN894" i="1"/>
  <c r="AN893" i="1"/>
  <c r="AN892" i="1"/>
  <c r="AN891" i="1"/>
  <c r="AN890" i="1"/>
  <c r="AN889" i="1"/>
  <c r="AN888" i="1"/>
  <c r="AN887" i="1"/>
  <c r="AN886" i="1"/>
  <c r="AN885" i="1"/>
  <c r="AN884" i="1"/>
  <c r="AN883" i="1"/>
  <c r="AN882" i="1"/>
  <c r="AN881" i="1"/>
  <c r="AN880" i="1"/>
  <c r="AN879" i="1"/>
  <c r="AN878" i="1"/>
  <c r="AN877" i="1"/>
  <c r="AN876" i="1"/>
  <c r="AN875" i="1"/>
  <c r="AN874" i="1"/>
  <c r="AN873" i="1"/>
  <c r="AN872" i="1"/>
  <c r="AN871" i="1"/>
  <c r="AN870" i="1"/>
  <c r="AN869" i="1"/>
  <c r="AN868" i="1"/>
  <c r="AN867" i="1"/>
  <c r="AN866" i="1"/>
  <c r="AN865" i="1"/>
  <c r="AN864" i="1"/>
  <c r="AN863" i="1"/>
  <c r="AN862" i="1"/>
  <c r="AN861" i="1"/>
  <c r="AN860" i="1"/>
  <c r="AN859" i="1"/>
  <c r="AN858" i="1"/>
  <c r="AN857" i="1"/>
  <c r="AN856" i="1"/>
  <c r="AN855" i="1"/>
  <c r="AN854" i="1"/>
  <c r="AN853" i="1"/>
  <c r="AN852" i="1"/>
  <c r="AN851" i="1"/>
  <c r="AN850" i="1"/>
  <c r="AN849" i="1"/>
  <c r="AN848" i="1"/>
  <c r="AN847" i="1"/>
  <c r="AN846" i="1"/>
  <c r="AN845" i="1"/>
  <c r="AN844" i="1"/>
  <c r="AN843" i="1"/>
  <c r="AN842" i="1"/>
  <c r="AN841" i="1"/>
  <c r="AN840" i="1"/>
  <c r="AN839" i="1"/>
  <c r="AN838" i="1"/>
  <c r="AN837" i="1"/>
  <c r="AN836" i="1"/>
  <c r="AN835" i="1"/>
  <c r="AN834" i="1"/>
  <c r="AN833" i="1"/>
  <c r="AN832" i="1"/>
  <c r="AN831" i="1"/>
  <c r="AN830" i="1"/>
  <c r="AN829" i="1"/>
  <c r="AN828" i="1"/>
  <c r="AN827" i="1"/>
  <c r="AN826" i="1"/>
  <c r="AN825" i="1"/>
  <c r="AN824" i="1"/>
  <c r="AN823" i="1"/>
  <c r="AN822" i="1"/>
  <c r="AN821" i="1"/>
  <c r="AN820" i="1"/>
  <c r="AN819" i="1"/>
  <c r="AN818" i="1"/>
  <c r="AN817" i="1"/>
  <c r="AN816" i="1"/>
  <c r="AN815" i="1"/>
  <c r="AN814" i="1"/>
  <c r="AN813" i="1"/>
  <c r="AN812" i="1"/>
  <c r="AN811" i="1"/>
  <c r="AN810" i="1"/>
  <c r="AN809" i="1"/>
  <c r="AN808" i="1"/>
  <c r="AN807" i="1"/>
  <c r="AN806" i="1"/>
  <c r="AN805" i="1"/>
  <c r="AN804" i="1"/>
  <c r="AN803" i="1"/>
  <c r="AN802" i="1"/>
  <c r="AN801" i="1"/>
  <c r="AN800" i="1"/>
  <c r="AN799" i="1"/>
  <c r="AN798" i="1"/>
  <c r="AN797" i="1"/>
  <c r="AN796" i="1"/>
  <c r="AN795" i="1"/>
  <c r="AN794" i="1"/>
  <c r="AN793" i="1"/>
  <c r="AN792" i="1"/>
  <c r="AN791" i="1"/>
  <c r="AN790" i="1"/>
  <c r="AN789" i="1"/>
  <c r="AN788" i="1"/>
  <c r="AN787" i="1"/>
  <c r="AN786" i="1"/>
  <c r="AN785" i="1"/>
  <c r="AN784" i="1"/>
  <c r="AN783" i="1"/>
  <c r="AN782" i="1"/>
  <c r="AN781" i="1"/>
  <c r="AN780" i="1"/>
  <c r="AN779" i="1"/>
  <c r="AN778" i="1"/>
  <c r="AN777" i="1"/>
  <c r="AN776" i="1"/>
  <c r="AN775" i="1"/>
  <c r="AN774" i="1"/>
  <c r="AN773" i="1"/>
  <c r="AN772" i="1"/>
  <c r="AN771" i="1"/>
  <c r="AN770" i="1"/>
  <c r="AN769" i="1"/>
  <c r="AN768" i="1"/>
  <c r="AN767" i="1"/>
  <c r="AN766" i="1"/>
  <c r="AN765" i="1"/>
  <c r="AN764" i="1"/>
  <c r="AN763" i="1"/>
  <c r="AN762" i="1"/>
  <c r="AN761" i="1"/>
  <c r="AN760" i="1"/>
  <c r="AN759" i="1"/>
  <c r="AN758" i="1"/>
  <c r="AN757" i="1"/>
  <c r="AN756" i="1"/>
  <c r="AN755" i="1"/>
  <c r="AN754" i="1"/>
  <c r="AN753" i="1"/>
  <c r="AN752" i="1"/>
  <c r="AN751" i="1"/>
  <c r="AN750" i="1"/>
  <c r="AN749" i="1"/>
  <c r="AN748" i="1"/>
  <c r="AN747" i="1"/>
  <c r="AN746" i="1"/>
  <c r="AN745" i="1"/>
  <c r="AN744" i="1"/>
  <c r="AN743" i="1"/>
  <c r="AN742" i="1"/>
  <c r="AN741" i="1"/>
  <c r="AN740" i="1"/>
  <c r="AN739" i="1"/>
  <c r="AN738" i="1"/>
  <c r="AN737" i="1"/>
  <c r="AN736" i="1"/>
  <c r="AN735" i="1"/>
  <c r="AN734" i="1"/>
  <c r="AN733" i="1"/>
  <c r="AN732" i="1"/>
  <c r="AN731" i="1"/>
  <c r="AN730" i="1"/>
  <c r="AN729" i="1"/>
  <c r="AN728" i="1"/>
  <c r="AN727" i="1"/>
  <c r="AN726" i="1"/>
  <c r="AN725" i="1"/>
  <c r="AN724" i="1"/>
  <c r="AN723" i="1"/>
  <c r="AN722" i="1"/>
  <c r="AN721" i="1"/>
  <c r="AN720" i="1"/>
  <c r="AN719" i="1"/>
  <c r="AN718" i="1"/>
  <c r="AN717" i="1"/>
  <c r="AN716" i="1"/>
  <c r="AN715" i="1"/>
  <c r="AN714" i="1"/>
  <c r="AN713" i="1"/>
  <c r="AN712" i="1"/>
  <c r="AN711" i="1"/>
  <c r="AN710" i="1"/>
  <c r="AN709" i="1"/>
  <c r="AN708" i="1"/>
  <c r="AN707" i="1"/>
  <c r="AN706" i="1"/>
  <c r="AN705" i="1"/>
  <c r="AN704" i="1"/>
  <c r="AN703" i="1"/>
  <c r="AN702" i="1"/>
  <c r="AN701" i="1"/>
  <c r="AN700" i="1"/>
  <c r="AN699" i="1"/>
  <c r="AN698" i="1"/>
  <c r="AN697" i="1"/>
  <c r="AN696" i="1"/>
  <c r="AN695" i="1"/>
  <c r="AN694" i="1"/>
  <c r="AN693" i="1"/>
  <c r="AN692" i="1"/>
  <c r="AN691" i="1"/>
  <c r="AN690" i="1"/>
  <c r="AN689" i="1"/>
  <c r="AN688" i="1"/>
  <c r="AN687" i="1"/>
  <c r="AN686" i="1"/>
  <c r="AN685" i="1"/>
  <c r="AN684" i="1"/>
  <c r="AN683" i="1"/>
  <c r="AN682" i="1"/>
  <c r="AN681" i="1"/>
  <c r="AN680" i="1"/>
  <c r="AN679" i="1"/>
  <c r="AN678" i="1"/>
  <c r="AN677" i="1"/>
  <c r="AN676" i="1"/>
  <c r="AN675" i="1"/>
  <c r="AN674" i="1"/>
  <c r="AN673" i="1"/>
  <c r="AN672" i="1"/>
  <c r="AN671" i="1"/>
  <c r="AN670" i="1"/>
  <c r="AN669" i="1"/>
  <c r="AN668" i="1"/>
  <c r="AN667" i="1"/>
  <c r="AN666" i="1"/>
  <c r="AN665" i="1"/>
  <c r="AN664" i="1"/>
  <c r="AN663" i="1"/>
  <c r="AN662" i="1"/>
  <c r="AN661" i="1"/>
  <c r="AN660" i="1"/>
  <c r="AN659" i="1"/>
  <c r="AN658" i="1"/>
  <c r="AN657" i="1"/>
  <c r="AN656" i="1"/>
  <c r="AN655" i="1"/>
  <c r="AN654" i="1"/>
  <c r="AN653" i="1"/>
  <c r="AN652" i="1"/>
  <c r="AN651" i="1"/>
  <c r="AN650" i="1"/>
  <c r="AN649" i="1"/>
  <c r="AN648" i="1"/>
  <c r="AN647" i="1"/>
  <c r="AN646" i="1"/>
  <c r="AN645" i="1"/>
  <c r="AN644" i="1"/>
  <c r="AN643" i="1"/>
  <c r="AN642" i="1"/>
  <c r="AN641" i="1"/>
  <c r="AN640" i="1"/>
  <c r="AN639" i="1"/>
  <c r="AN638" i="1"/>
  <c r="AN637" i="1"/>
  <c r="AN636" i="1"/>
  <c r="AN635" i="1"/>
  <c r="AN634" i="1"/>
  <c r="AN633" i="1"/>
  <c r="AN632" i="1"/>
  <c r="AN631" i="1"/>
  <c r="AN630" i="1"/>
  <c r="AN629" i="1"/>
  <c r="AN628" i="1"/>
  <c r="AN627" i="1"/>
  <c r="AN626" i="1"/>
  <c r="AN625" i="1"/>
  <c r="AN624" i="1"/>
  <c r="AN623" i="1"/>
  <c r="AN622" i="1"/>
  <c r="AN621" i="1"/>
  <c r="AN620" i="1"/>
  <c r="AN619" i="1"/>
  <c r="AN618" i="1"/>
  <c r="AN617" i="1"/>
  <c r="AN616" i="1"/>
  <c r="AN615" i="1"/>
  <c r="AN614" i="1"/>
  <c r="AN613" i="1"/>
  <c r="AN612" i="1"/>
  <c r="AN611" i="1"/>
  <c r="AN610" i="1"/>
  <c r="AN609" i="1"/>
  <c r="AN608" i="1"/>
  <c r="AN607" i="1"/>
  <c r="AN606" i="1"/>
  <c r="AN605" i="1"/>
  <c r="AN604" i="1"/>
  <c r="AN603" i="1"/>
  <c r="AN602" i="1"/>
  <c r="AN601" i="1"/>
  <c r="AN600" i="1"/>
  <c r="AN599" i="1"/>
  <c r="AN598" i="1"/>
  <c r="AN597" i="1"/>
  <c r="AN596" i="1"/>
  <c r="AN595" i="1"/>
  <c r="AN594" i="1"/>
  <c r="AN593" i="1"/>
  <c r="AN592" i="1"/>
  <c r="AN591" i="1"/>
  <c r="AN590" i="1"/>
  <c r="AN589" i="1"/>
  <c r="AN588" i="1"/>
  <c r="AN587" i="1"/>
  <c r="AN586" i="1"/>
  <c r="AN585" i="1"/>
  <c r="AN584" i="1"/>
  <c r="AN583" i="1"/>
  <c r="AN582" i="1"/>
  <c r="AN581" i="1"/>
  <c r="AN580" i="1"/>
  <c r="AN579" i="1"/>
  <c r="AN578" i="1"/>
  <c r="AN577" i="1"/>
  <c r="AN576" i="1"/>
  <c r="AN575" i="1"/>
  <c r="AN574" i="1"/>
  <c r="AN573" i="1"/>
  <c r="AN572" i="1"/>
  <c r="AN571" i="1"/>
  <c r="AN570" i="1"/>
  <c r="AN569" i="1"/>
  <c r="AN568" i="1"/>
  <c r="AN567" i="1"/>
  <c r="AN566" i="1"/>
  <c r="AN565" i="1"/>
  <c r="AN564" i="1"/>
  <c r="AN563" i="1"/>
  <c r="AN562" i="1"/>
  <c r="AN561" i="1"/>
  <c r="AN560" i="1"/>
  <c r="AN559" i="1"/>
  <c r="AN558" i="1"/>
  <c r="AN557" i="1"/>
  <c r="AN556" i="1"/>
  <c r="AN555" i="1"/>
  <c r="AN554" i="1"/>
  <c r="AN553" i="1"/>
  <c r="AN552" i="1"/>
  <c r="AN551" i="1"/>
  <c r="AN550" i="1"/>
  <c r="AN549" i="1"/>
  <c r="AN548" i="1"/>
  <c r="AN547" i="1"/>
  <c r="AN546" i="1"/>
  <c r="AN545" i="1"/>
  <c r="AN544" i="1"/>
  <c r="AN543" i="1"/>
  <c r="AN542" i="1"/>
  <c r="AN541" i="1"/>
  <c r="AN540" i="1"/>
  <c r="AN539" i="1"/>
  <c r="AN538" i="1"/>
  <c r="AN537" i="1"/>
  <c r="AN536" i="1"/>
  <c r="AN535" i="1"/>
  <c r="AN534" i="1"/>
  <c r="AN533" i="1"/>
  <c r="AN532" i="1"/>
  <c r="AN531" i="1"/>
  <c r="AN530" i="1"/>
  <c r="AN529" i="1"/>
  <c r="AN528" i="1"/>
  <c r="AN527" i="1"/>
  <c r="AN526" i="1"/>
  <c r="AN525" i="1"/>
  <c r="AN524" i="1"/>
  <c r="AN523" i="1"/>
  <c r="AN522" i="1"/>
  <c r="AN521" i="1"/>
  <c r="AN520" i="1"/>
  <c r="AN519" i="1"/>
  <c r="AN518" i="1"/>
  <c r="AN517" i="1"/>
  <c r="AN516" i="1"/>
  <c r="AN515" i="1"/>
  <c r="AN514" i="1"/>
  <c r="AN513" i="1"/>
  <c r="AN512" i="1"/>
  <c r="AN511" i="1"/>
  <c r="AN510" i="1"/>
  <c r="AN509" i="1"/>
  <c r="AN508" i="1"/>
  <c r="AN507" i="1"/>
  <c r="AN506" i="1"/>
  <c r="AN505" i="1"/>
  <c r="AN504" i="1"/>
  <c r="AN503" i="1"/>
  <c r="AN502" i="1"/>
  <c r="AN501" i="1"/>
  <c r="AN500" i="1"/>
  <c r="AN499" i="1"/>
  <c r="AN498" i="1"/>
  <c r="AN497" i="1"/>
  <c r="AN496" i="1"/>
  <c r="AN495" i="1"/>
  <c r="AN494" i="1"/>
  <c r="AN493" i="1"/>
  <c r="AN492" i="1"/>
  <c r="AN491" i="1"/>
  <c r="AN490" i="1"/>
  <c r="AN489" i="1"/>
  <c r="AN488" i="1"/>
  <c r="AN487" i="1"/>
  <c r="AN486" i="1"/>
  <c r="AN485" i="1"/>
  <c r="AN484" i="1"/>
  <c r="AN483" i="1"/>
  <c r="AN482" i="1"/>
  <c r="AN481" i="1"/>
  <c r="AN480" i="1"/>
  <c r="AN479" i="1"/>
  <c r="AN478" i="1"/>
  <c r="AN477" i="1"/>
  <c r="AN476" i="1"/>
  <c r="AN475" i="1"/>
  <c r="AN474" i="1"/>
  <c r="AN473" i="1"/>
  <c r="AN472" i="1"/>
  <c r="AN471" i="1"/>
  <c r="AN470" i="1"/>
  <c r="AN469" i="1"/>
  <c r="AN468" i="1"/>
  <c r="AN467" i="1"/>
  <c r="AN466" i="1"/>
  <c r="AN465" i="1"/>
  <c r="AN464" i="1"/>
  <c r="AN463" i="1"/>
  <c r="AN462" i="1"/>
  <c r="AN461" i="1"/>
  <c r="AN460" i="1"/>
  <c r="AN459" i="1"/>
  <c r="AN458" i="1"/>
  <c r="AN457" i="1"/>
  <c r="AN456" i="1"/>
  <c r="AN455" i="1"/>
  <c r="AN454" i="1"/>
  <c r="AN453" i="1"/>
  <c r="AN452" i="1"/>
  <c r="AN451" i="1"/>
  <c r="AN450" i="1"/>
  <c r="AN449" i="1"/>
  <c r="AN448" i="1"/>
  <c r="AN447" i="1"/>
  <c r="AN446" i="1"/>
  <c r="AN445" i="1"/>
  <c r="AN444" i="1"/>
  <c r="AN443" i="1"/>
  <c r="AN442" i="1"/>
  <c r="AN441" i="1"/>
  <c r="AN440" i="1"/>
  <c r="AN439" i="1"/>
  <c r="AN438" i="1"/>
  <c r="AN437" i="1"/>
  <c r="AN436" i="1"/>
  <c r="AN435" i="1"/>
  <c r="AN434" i="1"/>
  <c r="AN433" i="1"/>
  <c r="AN432" i="1"/>
  <c r="AN431" i="1"/>
  <c r="AN430" i="1"/>
  <c r="AN429" i="1"/>
  <c r="AN428" i="1"/>
  <c r="AN427" i="1"/>
  <c r="AN426" i="1"/>
  <c r="AN425" i="1"/>
  <c r="AN424" i="1"/>
  <c r="AN423" i="1"/>
  <c r="AN422" i="1"/>
  <c r="AN421" i="1"/>
  <c r="AN420" i="1"/>
  <c r="AN419" i="1"/>
  <c r="AN418" i="1"/>
  <c r="AN417" i="1"/>
  <c r="AN416" i="1"/>
  <c r="AN415" i="1"/>
  <c r="AN414" i="1"/>
  <c r="AN413" i="1"/>
  <c r="AN412" i="1"/>
  <c r="AN411" i="1"/>
  <c r="AN410" i="1"/>
  <c r="AN409" i="1"/>
  <c r="AN408" i="1"/>
  <c r="AN407" i="1"/>
  <c r="AN406" i="1"/>
  <c r="AN405" i="1"/>
  <c r="AN404" i="1"/>
  <c r="AN403" i="1"/>
  <c r="AN402" i="1"/>
  <c r="AN401" i="1"/>
  <c r="AN400" i="1"/>
  <c r="AN399" i="1"/>
  <c r="AN398" i="1"/>
  <c r="AN397" i="1"/>
  <c r="AN396" i="1"/>
  <c r="AN395" i="1"/>
  <c r="AN394" i="1"/>
  <c r="AN393" i="1"/>
  <c r="AN392" i="1"/>
  <c r="AN391" i="1"/>
  <c r="AN390" i="1"/>
  <c r="AN389" i="1"/>
  <c r="AN388" i="1"/>
  <c r="AN387" i="1"/>
  <c r="AN386" i="1"/>
  <c r="AN385" i="1"/>
  <c r="AN384" i="1"/>
  <c r="AN383" i="1"/>
  <c r="AN382" i="1"/>
  <c r="AN381" i="1"/>
  <c r="AN380" i="1"/>
  <c r="AN379" i="1"/>
  <c r="AN378" i="1"/>
  <c r="AN377" i="1"/>
  <c r="AN376" i="1"/>
  <c r="AN375" i="1"/>
  <c r="AN374" i="1"/>
  <c r="AN373" i="1"/>
  <c r="AN372" i="1"/>
  <c r="AN371" i="1"/>
  <c r="AN370" i="1"/>
  <c r="AN369" i="1"/>
  <c r="AN368" i="1"/>
  <c r="AN367" i="1"/>
  <c r="AN366" i="1"/>
  <c r="AN365" i="1"/>
  <c r="AN364" i="1"/>
  <c r="AN363" i="1"/>
  <c r="AN362" i="1"/>
  <c r="AN361" i="1"/>
  <c r="AN360" i="1"/>
  <c r="AN359" i="1"/>
  <c r="AN358" i="1"/>
  <c r="AN357" i="1"/>
  <c r="AN356" i="1"/>
  <c r="AN355" i="1"/>
  <c r="AN354" i="1"/>
  <c r="AN353" i="1"/>
  <c r="AN352" i="1"/>
  <c r="AN351" i="1"/>
  <c r="AN350" i="1"/>
  <c r="AN349" i="1"/>
  <c r="AN348" i="1"/>
  <c r="AN347" i="1"/>
  <c r="AN346" i="1"/>
  <c r="AN345" i="1"/>
  <c r="AN344" i="1"/>
  <c r="AN343" i="1"/>
  <c r="AN342" i="1"/>
  <c r="AN341" i="1"/>
  <c r="AN340" i="1"/>
  <c r="AN339" i="1"/>
  <c r="AN338" i="1"/>
  <c r="AN337" i="1"/>
  <c r="AN336" i="1"/>
  <c r="AN335" i="1"/>
  <c r="AN334" i="1"/>
  <c r="AN333" i="1"/>
  <c r="AN332" i="1"/>
  <c r="AN331" i="1"/>
  <c r="AN330" i="1"/>
  <c r="AN329" i="1"/>
  <c r="AN328" i="1"/>
  <c r="AN327" i="1"/>
  <c r="AN326" i="1"/>
  <c r="AN325" i="1"/>
  <c r="AN324" i="1"/>
  <c r="AN323" i="1"/>
  <c r="AN322" i="1"/>
  <c r="AN321" i="1"/>
  <c r="AN320" i="1"/>
  <c r="AN319" i="1"/>
  <c r="AN318" i="1"/>
  <c r="AN317" i="1"/>
  <c r="AN316" i="1"/>
  <c r="AN315" i="1"/>
  <c r="AN314" i="1"/>
  <c r="AN313" i="1"/>
  <c r="AN312" i="1"/>
  <c r="AN311" i="1"/>
  <c r="AN310" i="1"/>
  <c r="AN309" i="1"/>
  <c r="AN308" i="1"/>
  <c r="AN307" i="1"/>
  <c r="AN306" i="1"/>
  <c r="AN305" i="1"/>
  <c r="AN304" i="1"/>
  <c r="AN303" i="1"/>
  <c r="AN302" i="1"/>
  <c r="AN301" i="1"/>
  <c r="AN300" i="1"/>
  <c r="AN299" i="1"/>
  <c r="AN298" i="1"/>
  <c r="AN297" i="1"/>
  <c r="AN296" i="1"/>
  <c r="AN295" i="1"/>
  <c r="AN294" i="1"/>
  <c r="AN293" i="1"/>
  <c r="AN292" i="1"/>
  <c r="AN291" i="1"/>
  <c r="AN290" i="1"/>
  <c r="AN289" i="1"/>
  <c r="AN288" i="1"/>
  <c r="AN287" i="1"/>
  <c r="AN286" i="1"/>
  <c r="AN285" i="1"/>
  <c r="AN284" i="1"/>
  <c r="AN283" i="1"/>
  <c r="AN282" i="1"/>
  <c r="AN281" i="1"/>
  <c r="AN280" i="1"/>
  <c r="AN279" i="1"/>
  <c r="AN278" i="1"/>
  <c r="AN277" i="1"/>
  <c r="AN276" i="1"/>
  <c r="AN275" i="1"/>
  <c r="AN274" i="1"/>
  <c r="AN273" i="1"/>
  <c r="AN272" i="1"/>
  <c r="AN271" i="1"/>
  <c r="AN270" i="1"/>
  <c r="AN269" i="1"/>
  <c r="AN268" i="1"/>
  <c r="AN267" i="1"/>
  <c r="AN266" i="1"/>
  <c r="AN265" i="1"/>
  <c r="AN264" i="1"/>
  <c r="AN263" i="1"/>
  <c r="AN262" i="1"/>
  <c r="AN261" i="1"/>
  <c r="AN260" i="1"/>
  <c r="AN259" i="1"/>
  <c r="AN258" i="1"/>
  <c r="AN257" i="1"/>
  <c r="AN256" i="1"/>
  <c r="AN255" i="1"/>
  <c r="AN254" i="1"/>
  <c r="AN253" i="1"/>
  <c r="AN252" i="1"/>
  <c r="AN251" i="1"/>
  <c r="AN250" i="1"/>
  <c r="AN249" i="1"/>
  <c r="AN248" i="1"/>
  <c r="AN247" i="1"/>
  <c r="AN246" i="1"/>
  <c r="AN245" i="1"/>
  <c r="AN244" i="1"/>
  <c r="AN243" i="1"/>
  <c r="AN242" i="1"/>
  <c r="AN241" i="1"/>
  <c r="AN240" i="1"/>
  <c r="AN239" i="1"/>
  <c r="AN238" i="1"/>
  <c r="AN237" i="1"/>
  <c r="AN236" i="1"/>
  <c r="AN235" i="1"/>
  <c r="AN234" i="1"/>
  <c r="AN233" i="1"/>
  <c r="AN232" i="1"/>
  <c r="AN231" i="1"/>
  <c r="AN230" i="1"/>
  <c r="AN229" i="1"/>
  <c r="AN228" i="1"/>
  <c r="AN227" i="1"/>
  <c r="AN226" i="1"/>
  <c r="AN225" i="1"/>
  <c r="AN224" i="1"/>
  <c r="AN223" i="1"/>
  <c r="AN222" i="1"/>
  <c r="AN221" i="1"/>
  <c r="AN220" i="1"/>
  <c r="AN219" i="1"/>
  <c r="AN218" i="1"/>
  <c r="AN217" i="1"/>
  <c r="AN216" i="1"/>
  <c r="AN215" i="1"/>
  <c r="AN214" i="1"/>
  <c r="AN213" i="1"/>
  <c r="AN212" i="1"/>
  <c r="AN211" i="1"/>
  <c r="AN210" i="1"/>
  <c r="AN209" i="1"/>
  <c r="AN208" i="1"/>
  <c r="AN207" i="1"/>
  <c r="AN206" i="1"/>
  <c r="AN205" i="1"/>
  <c r="AN204" i="1"/>
  <c r="AN203" i="1"/>
  <c r="AN202" i="1"/>
  <c r="AN201" i="1"/>
  <c r="AN200" i="1"/>
  <c r="AN199" i="1"/>
  <c r="AN198" i="1"/>
  <c r="AN197" i="1"/>
  <c r="AN196" i="1"/>
  <c r="AN195" i="1"/>
  <c r="AN194" i="1"/>
  <c r="AN193" i="1"/>
  <c r="AN192" i="1"/>
  <c r="AN191" i="1"/>
  <c r="AN190" i="1"/>
  <c r="AN189" i="1"/>
  <c r="AN188" i="1"/>
  <c r="AN187" i="1"/>
  <c r="AN186" i="1"/>
  <c r="AN185" i="1"/>
  <c r="AN184" i="1"/>
  <c r="AN183" i="1"/>
  <c r="AN182" i="1"/>
  <c r="AN181" i="1"/>
  <c r="AN180" i="1"/>
  <c r="AN179" i="1"/>
  <c r="AN178" i="1"/>
  <c r="AN177" i="1"/>
  <c r="AN176" i="1"/>
  <c r="AN175" i="1"/>
  <c r="AN174" i="1"/>
  <c r="AN173" i="1"/>
  <c r="AN172" i="1"/>
  <c r="AN171" i="1"/>
  <c r="AN170" i="1"/>
  <c r="AN169" i="1"/>
  <c r="AN168" i="1"/>
  <c r="AN167" i="1"/>
  <c r="AN166" i="1"/>
  <c r="AN165" i="1"/>
  <c r="AN164" i="1"/>
  <c r="AN163" i="1"/>
  <c r="AN162" i="1"/>
  <c r="AN161" i="1"/>
  <c r="AN160" i="1"/>
  <c r="AN159" i="1"/>
  <c r="AN158" i="1"/>
  <c r="AN157" i="1"/>
  <c r="AN156" i="1"/>
  <c r="AN155" i="1"/>
  <c r="AN154" i="1"/>
  <c r="AN153" i="1"/>
  <c r="AN152" i="1"/>
  <c r="AN151" i="1"/>
  <c r="AN150" i="1"/>
  <c r="AN149" i="1"/>
  <c r="AN148" i="1"/>
  <c r="AN147" i="1"/>
  <c r="AN146" i="1"/>
  <c r="AN145" i="1"/>
  <c r="AN144" i="1"/>
  <c r="AN143" i="1"/>
  <c r="AN142" i="1"/>
  <c r="AN141" i="1"/>
  <c r="AN140" i="1"/>
  <c r="AN139" i="1"/>
  <c r="AN138" i="1"/>
  <c r="AN137" i="1"/>
  <c r="AN136" i="1"/>
  <c r="AN135" i="1"/>
  <c r="AN134" i="1"/>
  <c r="AN133" i="1"/>
  <c r="AN132" i="1"/>
  <c r="AN131" i="1"/>
  <c r="AN130" i="1"/>
  <c r="AN129" i="1"/>
  <c r="AN128" i="1"/>
  <c r="AN127" i="1"/>
  <c r="AN126" i="1"/>
  <c r="AN125" i="1"/>
  <c r="AN124" i="1"/>
  <c r="AN123" i="1"/>
  <c r="AN122" i="1"/>
  <c r="AN121" i="1"/>
  <c r="AN120" i="1"/>
  <c r="AN119" i="1"/>
  <c r="AN118" i="1"/>
  <c r="AN117" i="1"/>
  <c r="AN116" i="1"/>
  <c r="AN115" i="1"/>
  <c r="AN114" i="1"/>
  <c r="AN113" i="1"/>
  <c r="AN112" i="1"/>
  <c r="AN111" i="1"/>
  <c r="AN110" i="1"/>
  <c r="AN109" i="1"/>
  <c r="AN108" i="1"/>
  <c r="AN107" i="1"/>
  <c r="AN106" i="1"/>
  <c r="AN105" i="1"/>
  <c r="AN104" i="1"/>
  <c r="AN103" i="1"/>
  <c r="AN102" i="1"/>
  <c r="AN101" i="1"/>
  <c r="AN100" i="1"/>
  <c r="AN99" i="1"/>
  <c r="AN98" i="1"/>
  <c r="AN97" i="1"/>
  <c r="AN96" i="1"/>
  <c r="AN95" i="1"/>
  <c r="AN94" i="1"/>
  <c r="AN93" i="1"/>
  <c r="AN92" i="1"/>
  <c r="AN91" i="1"/>
  <c r="AN90" i="1"/>
  <c r="AN89" i="1"/>
  <c r="AN88" i="1"/>
  <c r="AN87" i="1"/>
  <c r="AN86" i="1"/>
  <c r="AN85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N2" i="1"/>
  <c r="AJ962" i="1"/>
  <c r="AJ961" i="1"/>
  <c r="AJ960" i="1"/>
  <c r="AJ959" i="1"/>
  <c r="AJ958" i="1"/>
  <c r="AJ957" i="1"/>
  <c r="AJ956" i="1"/>
  <c r="AJ955" i="1"/>
  <c r="AJ954" i="1"/>
  <c r="AJ953" i="1"/>
  <c r="AJ952" i="1"/>
  <c r="AJ951" i="1"/>
  <c r="AJ950" i="1"/>
  <c r="AJ949" i="1"/>
  <c r="AJ948" i="1"/>
  <c r="AJ947" i="1"/>
  <c r="AJ946" i="1"/>
  <c r="AJ945" i="1"/>
  <c r="AJ944" i="1"/>
  <c r="AJ943" i="1"/>
  <c r="AJ942" i="1"/>
  <c r="AJ941" i="1"/>
  <c r="AJ940" i="1"/>
  <c r="AJ939" i="1"/>
  <c r="AJ938" i="1"/>
  <c r="AJ937" i="1"/>
  <c r="AJ936" i="1"/>
  <c r="AJ935" i="1"/>
  <c r="AJ934" i="1"/>
  <c r="AJ933" i="1"/>
  <c r="AJ932" i="1"/>
  <c r="AJ931" i="1"/>
  <c r="AJ930" i="1"/>
  <c r="AJ929" i="1"/>
  <c r="AJ928" i="1"/>
  <c r="AJ927" i="1"/>
  <c r="AJ926" i="1"/>
  <c r="AJ925" i="1"/>
  <c r="AJ924" i="1"/>
  <c r="AJ923" i="1"/>
  <c r="AJ922" i="1"/>
  <c r="AJ921" i="1"/>
  <c r="AJ920" i="1"/>
  <c r="AJ919" i="1"/>
  <c r="AJ918" i="1"/>
  <c r="AJ917" i="1"/>
  <c r="AJ916" i="1"/>
  <c r="AJ915" i="1"/>
  <c r="AJ914" i="1"/>
  <c r="AJ913" i="1"/>
  <c r="AJ912" i="1"/>
  <c r="AJ911" i="1"/>
  <c r="AJ910" i="1"/>
  <c r="AJ909" i="1"/>
  <c r="AJ908" i="1"/>
  <c r="AJ907" i="1"/>
  <c r="AJ906" i="1"/>
  <c r="AJ905" i="1"/>
  <c r="AJ904" i="1"/>
  <c r="AJ903" i="1"/>
  <c r="AJ902" i="1"/>
  <c r="AJ901" i="1"/>
  <c r="AJ900" i="1"/>
  <c r="AJ899" i="1"/>
  <c r="AJ898" i="1"/>
  <c r="AJ897" i="1"/>
  <c r="AJ896" i="1"/>
  <c r="AJ895" i="1"/>
  <c r="AJ894" i="1"/>
  <c r="AJ893" i="1"/>
  <c r="AJ892" i="1"/>
  <c r="AJ891" i="1"/>
  <c r="AJ890" i="1"/>
  <c r="AJ889" i="1"/>
  <c r="AJ888" i="1"/>
  <c r="AJ887" i="1"/>
  <c r="AJ886" i="1"/>
  <c r="AJ885" i="1"/>
  <c r="AJ884" i="1"/>
  <c r="AJ883" i="1"/>
  <c r="AJ882" i="1"/>
  <c r="AJ881" i="1"/>
  <c r="AJ880" i="1"/>
  <c r="AJ879" i="1"/>
  <c r="AJ878" i="1"/>
  <c r="AJ877" i="1"/>
  <c r="AJ876" i="1"/>
  <c r="AJ875" i="1"/>
  <c r="AJ874" i="1"/>
  <c r="AJ873" i="1"/>
  <c r="AJ872" i="1"/>
  <c r="AJ871" i="1"/>
  <c r="AJ870" i="1"/>
  <c r="AJ869" i="1"/>
  <c r="AJ868" i="1"/>
  <c r="AJ867" i="1"/>
  <c r="AJ866" i="1"/>
  <c r="AJ865" i="1"/>
  <c r="AJ864" i="1"/>
  <c r="AJ863" i="1"/>
  <c r="AJ862" i="1"/>
  <c r="AJ861" i="1"/>
  <c r="AJ860" i="1"/>
  <c r="AJ859" i="1"/>
  <c r="AJ858" i="1"/>
  <c r="AJ857" i="1"/>
  <c r="AJ856" i="1"/>
  <c r="AJ855" i="1"/>
  <c r="AJ854" i="1"/>
  <c r="AJ853" i="1"/>
  <c r="AJ852" i="1"/>
  <c r="AJ851" i="1"/>
  <c r="AJ850" i="1"/>
  <c r="AJ849" i="1"/>
  <c r="AJ848" i="1"/>
  <c r="AJ847" i="1"/>
  <c r="AJ846" i="1"/>
  <c r="AJ845" i="1"/>
  <c r="AJ844" i="1"/>
  <c r="AJ843" i="1"/>
  <c r="AJ842" i="1"/>
  <c r="AJ841" i="1"/>
  <c r="AJ840" i="1"/>
  <c r="AJ839" i="1"/>
  <c r="AJ838" i="1"/>
  <c r="AJ837" i="1"/>
  <c r="AJ836" i="1"/>
  <c r="AJ835" i="1"/>
  <c r="AJ834" i="1"/>
  <c r="AJ833" i="1"/>
  <c r="AJ832" i="1"/>
  <c r="AJ831" i="1"/>
  <c r="AJ830" i="1"/>
  <c r="AJ829" i="1"/>
  <c r="AJ828" i="1"/>
  <c r="AJ827" i="1"/>
  <c r="AJ826" i="1"/>
  <c r="AJ825" i="1"/>
  <c r="AJ824" i="1"/>
  <c r="AJ823" i="1"/>
  <c r="AJ822" i="1"/>
  <c r="AJ821" i="1"/>
  <c r="AJ820" i="1"/>
  <c r="AJ819" i="1"/>
  <c r="AJ818" i="1"/>
  <c r="AJ817" i="1"/>
  <c r="AJ816" i="1"/>
  <c r="AJ815" i="1"/>
  <c r="AJ814" i="1"/>
  <c r="AJ813" i="1"/>
  <c r="AJ812" i="1"/>
  <c r="AJ811" i="1"/>
  <c r="AJ810" i="1"/>
  <c r="AJ809" i="1"/>
  <c r="AJ808" i="1"/>
  <c r="AJ807" i="1"/>
  <c r="AJ806" i="1"/>
  <c r="AJ805" i="1"/>
  <c r="AJ804" i="1"/>
  <c r="AJ803" i="1"/>
  <c r="AJ802" i="1"/>
  <c r="AJ801" i="1"/>
  <c r="AJ800" i="1"/>
  <c r="AJ799" i="1"/>
  <c r="AJ798" i="1"/>
  <c r="AJ797" i="1"/>
  <c r="AJ796" i="1"/>
  <c r="AJ795" i="1"/>
  <c r="AJ794" i="1"/>
  <c r="AJ793" i="1"/>
  <c r="AJ792" i="1"/>
  <c r="AJ791" i="1"/>
  <c r="AJ790" i="1"/>
  <c r="AJ789" i="1"/>
  <c r="AJ788" i="1"/>
  <c r="AJ787" i="1"/>
  <c r="AJ786" i="1"/>
  <c r="AJ785" i="1"/>
  <c r="AJ784" i="1"/>
  <c r="AJ783" i="1"/>
  <c r="AJ782" i="1"/>
  <c r="AJ781" i="1"/>
  <c r="AJ780" i="1"/>
  <c r="AJ779" i="1"/>
  <c r="AJ778" i="1"/>
  <c r="AJ777" i="1"/>
  <c r="AJ776" i="1"/>
  <c r="AJ775" i="1"/>
  <c r="AJ774" i="1"/>
  <c r="AJ773" i="1"/>
  <c r="AJ772" i="1"/>
  <c r="AJ771" i="1"/>
  <c r="AJ770" i="1"/>
  <c r="AJ769" i="1"/>
  <c r="AJ768" i="1"/>
  <c r="AJ767" i="1"/>
  <c r="AJ766" i="1"/>
  <c r="AJ765" i="1"/>
  <c r="AJ764" i="1"/>
  <c r="AJ763" i="1"/>
  <c r="AJ762" i="1"/>
  <c r="AJ761" i="1"/>
  <c r="AJ760" i="1"/>
  <c r="AJ759" i="1"/>
  <c r="AJ758" i="1"/>
  <c r="AJ757" i="1"/>
  <c r="AJ756" i="1"/>
  <c r="AJ755" i="1"/>
  <c r="AJ754" i="1"/>
  <c r="AJ753" i="1"/>
  <c r="AJ752" i="1"/>
  <c r="AJ751" i="1"/>
  <c r="AJ750" i="1"/>
  <c r="AJ749" i="1"/>
  <c r="AJ748" i="1"/>
  <c r="AJ747" i="1"/>
  <c r="AJ746" i="1"/>
  <c r="AJ745" i="1"/>
  <c r="AJ744" i="1"/>
  <c r="AJ743" i="1"/>
  <c r="AJ742" i="1"/>
  <c r="AJ741" i="1"/>
  <c r="AJ740" i="1"/>
  <c r="AJ739" i="1"/>
  <c r="AJ738" i="1"/>
  <c r="AJ737" i="1"/>
  <c r="AJ736" i="1"/>
  <c r="AJ735" i="1"/>
  <c r="AJ734" i="1"/>
  <c r="AJ733" i="1"/>
  <c r="AJ732" i="1"/>
  <c r="AJ731" i="1"/>
  <c r="AJ730" i="1"/>
  <c r="AJ729" i="1"/>
  <c r="AJ728" i="1"/>
  <c r="AJ727" i="1"/>
  <c r="AJ726" i="1"/>
  <c r="AJ725" i="1"/>
  <c r="AJ724" i="1"/>
  <c r="AJ723" i="1"/>
  <c r="AJ722" i="1"/>
  <c r="AJ721" i="1"/>
  <c r="AJ720" i="1"/>
  <c r="AJ719" i="1"/>
  <c r="AJ718" i="1"/>
  <c r="AJ717" i="1"/>
  <c r="AJ716" i="1"/>
  <c r="AJ715" i="1"/>
  <c r="AJ714" i="1"/>
  <c r="AJ713" i="1"/>
  <c r="AJ712" i="1"/>
  <c r="AJ711" i="1"/>
  <c r="AJ710" i="1"/>
  <c r="AJ709" i="1"/>
  <c r="AJ708" i="1"/>
  <c r="AJ707" i="1"/>
  <c r="AJ706" i="1"/>
  <c r="AJ705" i="1"/>
  <c r="AJ704" i="1"/>
  <c r="AJ703" i="1"/>
  <c r="AJ702" i="1"/>
  <c r="AJ701" i="1"/>
  <c r="AJ700" i="1"/>
  <c r="AJ699" i="1"/>
  <c r="AJ698" i="1"/>
  <c r="AJ697" i="1"/>
  <c r="AJ696" i="1"/>
  <c r="AJ695" i="1"/>
  <c r="AJ694" i="1"/>
  <c r="AJ693" i="1"/>
  <c r="AJ692" i="1"/>
  <c r="AJ691" i="1"/>
  <c r="AJ690" i="1"/>
  <c r="AJ689" i="1"/>
  <c r="AJ688" i="1"/>
  <c r="AJ687" i="1"/>
  <c r="AJ686" i="1"/>
  <c r="AJ685" i="1"/>
  <c r="AJ684" i="1"/>
  <c r="AJ683" i="1"/>
  <c r="AJ682" i="1"/>
  <c r="AJ681" i="1"/>
  <c r="AJ680" i="1"/>
  <c r="AJ679" i="1"/>
  <c r="AJ678" i="1"/>
  <c r="AJ677" i="1"/>
  <c r="AJ676" i="1"/>
  <c r="AJ675" i="1"/>
  <c r="AJ674" i="1"/>
  <c r="AJ673" i="1"/>
  <c r="AJ672" i="1"/>
  <c r="AJ671" i="1"/>
  <c r="AJ670" i="1"/>
  <c r="AJ669" i="1"/>
  <c r="AJ668" i="1"/>
  <c r="AJ667" i="1"/>
  <c r="AJ666" i="1"/>
  <c r="AJ665" i="1"/>
  <c r="AJ664" i="1"/>
  <c r="AJ663" i="1"/>
  <c r="AJ662" i="1"/>
  <c r="AJ661" i="1"/>
  <c r="AJ660" i="1"/>
  <c r="AJ659" i="1"/>
  <c r="AJ658" i="1"/>
  <c r="AJ657" i="1"/>
  <c r="AJ656" i="1"/>
  <c r="AJ655" i="1"/>
  <c r="AJ654" i="1"/>
  <c r="AJ653" i="1"/>
  <c r="AJ652" i="1"/>
  <c r="AJ651" i="1"/>
  <c r="AJ650" i="1"/>
  <c r="AJ649" i="1"/>
  <c r="AJ648" i="1"/>
  <c r="AJ647" i="1"/>
  <c r="AJ646" i="1"/>
  <c r="AJ645" i="1"/>
  <c r="AJ644" i="1"/>
  <c r="AJ643" i="1"/>
  <c r="AJ642" i="1"/>
  <c r="AJ641" i="1"/>
  <c r="AJ640" i="1"/>
  <c r="AJ639" i="1"/>
  <c r="AJ638" i="1"/>
  <c r="AJ637" i="1"/>
  <c r="AJ636" i="1"/>
  <c r="AJ635" i="1"/>
  <c r="AJ634" i="1"/>
  <c r="AJ633" i="1"/>
  <c r="AJ632" i="1"/>
  <c r="AJ631" i="1"/>
  <c r="AJ630" i="1"/>
  <c r="AJ629" i="1"/>
  <c r="AJ628" i="1"/>
  <c r="AJ627" i="1"/>
  <c r="AJ626" i="1"/>
  <c r="AJ625" i="1"/>
  <c r="AJ624" i="1"/>
  <c r="AJ623" i="1"/>
  <c r="AJ622" i="1"/>
  <c r="AJ621" i="1"/>
  <c r="AJ620" i="1"/>
  <c r="AJ619" i="1"/>
  <c r="AJ618" i="1"/>
  <c r="AJ617" i="1"/>
  <c r="AJ616" i="1"/>
  <c r="AJ615" i="1"/>
  <c r="AJ614" i="1"/>
  <c r="AJ613" i="1"/>
  <c r="AJ612" i="1"/>
  <c r="AJ611" i="1"/>
  <c r="AJ610" i="1"/>
  <c r="AJ609" i="1"/>
  <c r="AJ608" i="1"/>
  <c r="AJ607" i="1"/>
  <c r="AJ606" i="1"/>
  <c r="AJ605" i="1"/>
  <c r="AJ604" i="1"/>
  <c r="AJ603" i="1"/>
  <c r="AJ602" i="1"/>
  <c r="AJ601" i="1"/>
  <c r="AJ600" i="1"/>
  <c r="AJ599" i="1"/>
  <c r="AJ598" i="1"/>
  <c r="AJ597" i="1"/>
  <c r="AJ596" i="1"/>
  <c r="AJ595" i="1"/>
  <c r="AJ594" i="1"/>
  <c r="AJ593" i="1"/>
  <c r="AJ592" i="1"/>
  <c r="AJ591" i="1"/>
  <c r="AJ590" i="1"/>
  <c r="AJ589" i="1"/>
  <c r="AJ588" i="1"/>
  <c r="AJ587" i="1"/>
  <c r="AJ586" i="1"/>
  <c r="AJ585" i="1"/>
  <c r="AJ584" i="1"/>
  <c r="AJ583" i="1"/>
  <c r="AJ582" i="1"/>
  <c r="AJ581" i="1"/>
  <c r="AJ580" i="1"/>
  <c r="AJ579" i="1"/>
  <c r="AJ578" i="1"/>
  <c r="AJ577" i="1"/>
  <c r="AJ576" i="1"/>
  <c r="AJ575" i="1"/>
  <c r="AJ574" i="1"/>
  <c r="AJ573" i="1"/>
  <c r="AJ572" i="1"/>
  <c r="AJ571" i="1"/>
  <c r="AJ570" i="1"/>
  <c r="AJ569" i="1"/>
  <c r="AJ568" i="1"/>
  <c r="AJ567" i="1"/>
  <c r="AJ566" i="1"/>
  <c r="AJ565" i="1"/>
  <c r="AJ564" i="1"/>
  <c r="AJ563" i="1"/>
  <c r="AJ562" i="1"/>
  <c r="AJ561" i="1"/>
  <c r="AJ560" i="1"/>
  <c r="AJ559" i="1"/>
  <c r="AJ558" i="1"/>
  <c r="AJ557" i="1"/>
  <c r="AJ556" i="1"/>
  <c r="AJ555" i="1"/>
  <c r="AJ554" i="1"/>
  <c r="AJ553" i="1"/>
  <c r="AJ552" i="1"/>
  <c r="AJ551" i="1"/>
  <c r="AJ550" i="1"/>
  <c r="AJ549" i="1"/>
  <c r="AJ548" i="1"/>
  <c r="AJ547" i="1"/>
  <c r="AJ546" i="1"/>
  <c r="AJ545" i="1"/>
  <c r="AJ544" i="1"/>
  <c r="AJ543" i="1"/>
  <c r="AJ542" i="1"/>
  <c r="AJ541" i="1"/>
  <c r="AJ540" i="1"/>
  <c r="AJ539" i="1"/>
  <c r="AJ538" i="1"/>
  <c r="AJ537" i="1"/>
  <c r="AJ536" i="1"/>
  <c r="AJ535" i="1"/>
  <c r="AJ534" i="1"/>
  <c r="AJ533" i="1"/>
  <c r="AJ532" i="1"/>
  <c r="AJ531" i="1"/>
  <c r="AJ530" i="1"/>
  <c r="AJ529" i="1"/>
  <c r="AJ528" i="1"/>
  <c r="AJ527" i="1"/>
  <c r="AJ526" i="1"/>
  <c r="AJ525" i="1"/>
  <c r="AJ524" i="1"/>
  <c r="AJ523" i="1"/>
  <c r="AJ522" i="1"/>
  <c r="AJ521" i="1"/>
  <c r="AJ520" i="1"/>
  <c r="AJ519" i="1"/>
  <c r="AJ518" i="1"/>
  <c r="AJ517" i="1"/>
  <c r="AJ516" i="1"/>
  <c r="AJ515" i="1"/>
  <c r="AJ514" i="1"/>
  <c r="AJ513" i="1"/>
  <c r="AJ512" i="1"/>
  <c r="AJ511" i="1"/>
  <c r="AJ510" i="1"/>
  <c r="AJ509" i="1"/>
  <c r="AJ508" i="1"/>
  <c r="AJ507" i="1"/>
  <c r="AJ506" i="1"/>
  <c r="AJ505" i="1"/>
  <c r="AJ504" i="1"/>
  <c r="AJ503" i="1"/>
  <c r="AJ502" i="1"/>
  <c r="AJ501" i="1"/>
  <c r="AJ500" i="1"/>
  <c r="AJ499" i="1"/>
  <c r="AJ498" i="1"/>
  <c r="AJ497" i="1"/>
  <c r="AJ496" i="1"/>
  <c r="AJ495" i="1"/>
  <c r="AJ494" i="1"/>
  <c r="AJ493" i="1"/>
  <c r="AJ492" i="1"/>
  <c r="AJ491" i="1"/>
  <c r="AJ490" i="1"/>
  <c r="AJ489" i="1"/>
  <c r="AJ488" i="1"/>
  <c r="AJ487" i="1"/>
  <c r="AJ486" i="1"/>
  <c r="AJ485" i="1"/>
  <c r="AJ484" i="1"/>
  <c r="AJ483" i="1"/>
  <c r="AJ482" i="1"/>
  <c r="AJ481" i="1"/>
  <c r="AJ480" i="1"/>
  <c r="AJ479" i="1"/>
  <c r="AJ478" i="1"/>
  <c r="AJ477" i="1"/>
  <c r="AJ476" i="1"/>
  <c r="AJ475" i="1"/>
  <c r="AJ474" i="1"/>
  <c r="AJ473" i="1"/>
  <c r="AJ472" i="1"/>
  <c r="AJ471" i="1"/>
  <c r="AJ470" i="1"/>
  <c r="AJ469" i="1"/>
  <c r="AJ468" i="1"/>
  <c r="AJ467" i="1"/>
  <c r="AJ466" i="1"/>
  <c r="AJ465" i="1"/>
  <c r="AJ464" i="1"/>
  <c r="AJ463" i="1"/>
  <c r="AJ462" i="1"/>
  <c r="AJ461" i="1"/>
  <c r="AJ460" i="1"/>
  <c r="AJ459" i="1"/>
  <c r="AJ458" i="1"/>
  <c r="AJ457" i="1"/>
  <c r="AJ456" i="1"/>
  <c r="AJ455" i="1"/>
  <c r="AJ454" i="1"/>
  <c r="AJ453" i="1"/>
  <c r="AJ452" i="1"/>
  <c r="AJ451" i="1"/>
  <c r="AJ450" i="1"/>
  <c r="AJ449" i="1"/>
  <c r="AJ448" i="1"/>
  <c r="AJ447" i="1"/>
  <c r="AJ446" i="1"/>
  <c r="AJ445" i="1"/>
  <c r="AJ444" i="1"/>
  <c r="AJ443" i="1"/>
  <c r="AJ442" i="1"/>
  <c r="AJ441" i="1"/>
  <c r="AJ440" i="1"/>
  <c r="AJ439" i="1"/>
  <c r="AJ438" i="1"/>
  <c r="AJ437" i="1"/>
  <c r="AJ436" i="1"/>
  <c r="AJ435" i="1"/>
  <c r="AJ434" i="1"/>
  <c r="AJ433" i="1"/>
  <c r="AJ432" i="1"/>
  <c r="AJ431" i="1"/>
  <c r="AJ430" i="1"/>
  <c r="AJ429" i="1"/>
  <c r="AJ428" i="1"/>
  <c r="AJ427" i="1"/>
  <c r="AJ426" i="1"/>
  <c r="AJ425" i="1"/>
  <c r="AJ424" i="1"/>
  <c r="AJ423" i="1"/>
  <c r="AJ422" i="1"/>
  <c r="AJ421" i="1"/>
  <c r="AJ420" i="1"/>
  <c r="AJ419" i="1"/>
  <c r="AJ418" i="1"/>
  <c r="AJ417" i="1"/>
  <c r="AJ416" i="1"/>
  <c r="AJ415" i="1"/>
  <c r="AJ414" i="1"/>
  <c r="AJ413" i="1"/>
  <c r="AJ412" i="1"/>
  <c r="AJ411" i="1"/>
  <c r="AJ410" i="1"/>
  <c r="AJ409" i="1"/>
  <c r="AJ408" i="1"/>
  <c r="AJ407" i="1"/>
  <c r="AJ406" i="1"/>
  <c r="AJ405" i="1"/>
  <c r="AJ404" i="1"/>
  <c r="AJ403" i="1"/>
  <c r="AJ402" i="1"/>
  <c r="AJ401" i="1"/>
  <c r="AJ400" i="1"/>
  <c r="AJ399" i="1"/>
  <c r="AJ398" i="1"/>
  <c r="AJ397" i="1"/>
  <c r="AJ396" i="1"/>
  <c r="AJ395" i="1"/>
  <c r="AJ394" i="1"/>
  <c r="AJ393" i="1"/>
  <c r="AJ392" i="1"/>
  <c r="AJ391" i="1"/>
  <c r="AJ390" i="1"/>
  <c r="AJ389" i="1"/>
  <c r="AJ388" i="1"/>
  <c r="AJ387" i="1"/>
  <c r="AJ386" i="1"/>
  <c r="AJ385" i="1"/>
  <c r="AJ384" i="1"/>
  <c r="AJ383" i="1"/>
  <c r="AJ382" i="1"/>
  <c r="AJ381" i="1"/>
  <c r="AJ380" i="1"/>
  <c r="AJ379" i="1"/>
  <c r="AJ378" i="1"/>
  <c r="AJ377" i="1"/>
  <c r="AJ376" i="1"/>
  <c r="AJ375" i="1"/>
  <c r="AJ374" i="1"/>
  <c r="AJ373" i="1"/>
  <c r="AJ372" i="1"/>
  <c r="AJ371" i="1"/>
  <c r="AJ370" i="1"/>
  <c r="AJ369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V2128" i="1" l="1"/>
  <c r="AR2128" i="1"/>
  <c r="AS2126" i="1"/>
  <c r="AO2126" i="1"/>
  <c r="AJ2124" i="1"/>
  <c r="AK2126" i="1"/>
  <c r="AJ2128" i="1"/>
  <c r="AN2124" i="1"/>
  <c r="AN2130" i="1"/>
  <c r="AN2134" i="1" s="1"/>
  <c r="AN2128" i="1"/>
  <c r="AS2124" i="1"/>
  <c r="AQ2125" i="1" s="1"/>
  <c r="AO2124" i="1"/>
  <c r="AV2124" i="1"/>
  <c r="AV2126" i="1"/>
  <c r="AV2130" i="1"/>
  <c r="AV2134" i="1" s="1"/>
  <c r="AR2130" i="1"/>
  <c r="AR2134" i="1" s="1"/>
  <c r="AR2126" i="1"/>
  <c r="AR2124" i="1"/>
  <c r="AN2126" i="1"/>
  <c r="AJ2126" i="1"/>
  <c r="AW21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<sst xmlns="http://schemas.openxmlformats.org/spreadsheetml/2006/main" count="37937" uniqueCount="1627">
  <si>
    <t>Location_Region</t>
  </si>
  <si>
    <t>VRLOCATION</t>
  </si>
  <si>
    <t>VRSALEAMT</t>
  </si>
  <si>
    <t>VRMILEAGE</t>
  </si>
  <si>
    <t>Vehicle_year</t>
  </si>
  <si>
    <t>Make</t>
  </si>
  <si>
    <t>Model</t>
  </si>
  <si>
    <t>Trim</t>
  </si>
  <si>
    <t>Series</t>
  </si>
  <si>
    <t>Vehicle_cylinders</t>
  </si>
  <si>
    <t>Vehicle_botcolor</t>
  </si>
  <si>
    <t>Vehicle_doors</t>
  </si>
  <si>
    <t>Vehicle_trantype</t>
  </si>
  <si>
    <t>Vehicle_engine</t>
  </si>
  <si>
    <t>Vehicle_drive</t>
  </si>
  <si>
    <t>Vehicle_condition_drivable</t>
  </si>
  <si>
    <t>Vehicle_condition_overall</t>
  </si>
  <si>
    <t>VehicleType</t>
  </si>
  <si>
    <t>BodyClass</t>
  </si>
  <si>
    <t>DriveType</t>
  </si>
  <si>
    <t>EngineHP</t>
  </si>
  <si>
    <t>FuelTypePrimary</t>
  </si>
  <si>
    <t>EngineConfiguration</t>
  </si>
  <si>
    <t>EngineModel</t>
  </si>
  <si>
    <t>GVWR</t>
  </si>
  <si>
    <t>PlantCountry</t>
  </si>
  <si>
    <t>BasePrice</t>
  </si>
  <si>
    <t>IsEV</t>
  </si>
  <si>
    <t>EVType</t>
  </si>
  <si>
    <t>MarketSegment</t>
  </si>
  <si>
    <t>SALEDATE_WeekofYearNumber</t>
  </si>
  <si>
    <t>SALEDATE_MonthofYearNumber</t>
  </si>
  <si>
    <t>SALEDATE_Quarter</t>
  </si>
  <si>
    <t>SALEDATE_Year</t>
  </si>
  <si>
    <t>XGB_Predictions</t>
  </si>
  <si>
    <t>CatBoost_Predictions</t>
  </si>
  <si>
    <t>CatBoost_Native_Predictions</t>
  </si>
  <si>
    <t>Stacked_Predictions</t>
  </si>
  <si>
    <t>WEST</t>
  </si>
  <si>
    <t>NORTHHOUSTON</t>
  </si>
  <si>
    <t>TOYOTA</t>
  </si>
  <si>
    <t>Prius</t>
  </si>
  <si>
    <t>ZVW30L</t>
  </si>
  <si>
    <t>BLU</t>
  </si>
  <si>
    <t>A</t>
  </si>
  <si>
    <t>F</t>
  </si>
  <si>
    <t>Y</t>
  </si>
  <si>
    <t>PASSENGER CAR</t>
  </si>
  <si>
    <t>Hatchback/Liftback/Notchback</t>
  </si>
  <si>
    <t>4x2</t>
  </si>
  <si>
    <t>Gasoline</t>
  </si>
  <si>
    <t>In-Line</t>
  </si>
  <si>
    <t>2ZR-FXE+3JM</t>
  </si>
  <si>
    <t>Class 1B: 3,001 - 4,000 lb (1,360 - 1,814 kg)</t>
  </si>
  <si>
    <t>JAPAN</t>
  </si>
  <si>
    <t>Hybrid</t>
  </si>
  <si>
    <t>EV Hatchback</t>
  </si>
  <si>
    <t>SAINTLOUIS</t>
  </si>
  <si>
    <t>KIA</t>
  </si>
  <si>
    <t>Niro</t>
  </si>
  <si>
    <t>EX / EX Prem</t>
  </si>
  <si>
    <t>BLK</t>
  </si>
  <si>
    <t>MULTIPURPOSE PASSENGER VEHICLE (MPV)</t>
  </si>
  <si>
    <t>Sport Utility Vehicle (SUV)/Multi-Purpose Vehicle (MPV)</t>
  </si>
  <si>
    <t>GDI</t>
  </si>
  <si>
    <t>Class 1C: 4,001 - 5,000 lb (1,814 - 2,268 kg)</t>
  </si>
  <si>
    <t>SOUTH KOREA</t>
  </si>
  <si>
    <t>EV SUV</t>
  </si>
  <si>
    <t>SANANTONIO</t>
  </si>
  <si>
    <t>FORD</t>
  </si>
  <si>
    <t>Transit</t>
  </si>
  <si>
    <t>250</t>
  </si>
  <si>
    <t>WHT</t>
  </si>
  <si>
    <t>R</t>
  </si>
  <si>
    <t>TRUCK</t>
  </si>
  <si>
    <t>Cargo Van</t>
  </si>
  <si>
    <t>V-Shaped</t>
  </si>
  <si>
    <t>Class 2G: 8,001 - 9,000 lb (3,629 - 4,082 kg)</t>
  </si>
  <si>
    <t>UNITED STATES (USA)</t>
  </si>
  <si>
    <t>ICE</t>
  </si>
  <si>
    <t>Van</t>
  </si>
  <si>
    <t>EAST</t>
  </si>
  <si>
    <t>NEWJERSEY</t>
  </si>
  <si>
    <t>ACURA</t>
  </si>
  <si>
    <t>RDX</t>
  </si>
  <si>
    <t>AWD/All-Wheel Drive</t>
  </si>
  <si>
    <t>J35Z2</t>
  </si>
  <si>
    <t>SUV</t>
  </si>
  <si>
    <t>RAM</t>
  </si>
  <si>
    <t>1500</t>
  </si>
  <si>
    <t>Laramie</t>
  </si>
  <si>
    <t>4</t>
  </si>
  <si>
    <t>Pickup</t>
  </si>
  <si>
    <t>4WD/4-Wheel Drive/4x4</t>
  </si>
  <si>
    <t>Class 2E: 6,001 - 7,000 lb (2,722 - 3,175 kg)</t>
  </si>
  <si>
    <t>Pickup 1500</t>
  </si>
  <si>
    <t>AUSTIN</t>
  </si>
  <si>
    <t>CHEVROLET</t>
  </si>
  <si>
    <t>Equinox</t>
  </si>
  <si>
    <t>1LT (FWD)</t>
  </si>
  <si>
    <t>N</t>
  </si>
  <si>
    <t>FWD/Front-Wheel Drive</t>
  </si>
  <si>
    <t>LAF</t>
  </si>
  <si>
    <t>CANADA</t>
  </si>
  <si>
    <t>Expedition</t>
  </si>
  <si>
    <t>XLT</t>
  </si>
  <si>
    <t>SIL</t>
  </si>
  <si>
    <t>3.5L GTDI</t>
  </si>
  <si>
    <t>Class 2F: 7,001 - 8,000 lb (3,175 - 3,629 kg)</t>
  </si>
  <si>
    <t>SUV 3-Row</t>
  </si>
  <si>
    <t>DALLAS</t>
  </si>
  <si>
    <t>Soul</t>
  </si>
  <si>
    <t>Base</t>
  </si>
  <si>
    <t>G GDI</t>
  </si>
  <si>
    <t>NORTH</t>
  </si>
  <si>
    <t>CHIPPEWAFALLS</t>
  </si>
  <si>
    <t>DODGE</t>
  </si>
  <si>
    <t>Durango</t>
  </si>
  <si>
    <t>Limited</t>
  </si>
  <si>
    <t>VOLKSWAGEN</t>
  </si>
  <si>
    <t>Jetta</t>
  </si>
  <si>
    <t>SE, Sport</t>
  </si>
  <si>
    <t>RED</t>
  </si>
  <si>
    <t>Sedan/Saloon</t>
  </si>
  <si>
    <t>1.8T</t>
  </si>
  <si>
    <t>Class 1: 6,000 lb or less (2,722 kg or less)</t>
  </si>
  <si>
    <t>MEXICO</t>
  </si>
  <si>
    <t>Sedan</t>
  </si>
  <si>
    <t>SOUTH</t>
  </si>
  <si>
    <t>JACKSONVILLE</t>
  </si>
  <si>
    <t>1LT</t>
  </si>
  <si>
    <t>LEA - Flex Fuel (Gas/Alc), Aluminum, HO,</t>
  </si>
  <si>
    <t>MERCEDES-BENZ</t>
  </si>
  <si>
    <t>E-Class</t>
  </si>
  <si>
    <t>AMG E53</t>
  </si>
  <si>
    <t>GRY</t>
  </si>
  <si>
    <t>M256</t>
  </si>
  <si>
    <t>GERMANY</t>
  </si>
  <si>
    <t>Atlas</t>
  </si>
  <si>
    <t>4Motion S</t>
  </si>
  <si>
    <t>FSI</t>
  </si>
  <si>
    <t>Class 1D: 5,001 - 6,000 lb (2,268 - 2,722 kg)</t>
  </si>
  <si>
    <t>JEEP</t>
  </si>
  <si>
    <t>Cherokee</t>
  </si>
  <si>
    <t>Latitude/Longitude/North</t>
  </si>
  <si>
    <t>KL</t>
  </si>
  <si>
    <t>NISSAN</t>
  </si>
  <si>
    <t>Rogue</t>
  </si>
  <si>
    <t>Crossover Utility Vehicle (CUV)</t>
  </si>
  <si>
    <t>Tacoma</t>
  </si>
  <si>
    <t>SR5</t>
  </si>
  <si>
    <t>GRN325L</t>
  </si>
  <si>
    <t>2GR-FKS</t>
  </si>
  <si>
    <t>Maxima</t>
  </si>
  <si>
    <t>Colorado</t>
  </si>
  <si>
    <t>LT</t>
  </si>
  <si>
    <t>LCV - Spark Ignited Direct Injection, Variable Valve Timing, DCVCP, E85 MAX, E0-E100, ALUM</t>
  </si>
  <si>
    <t>Explorer</t>
  </si>
  <si>
    <t>MORTON</t>
  </si>
  <si>
    <t>Silverado</t>
  </si>
  <si>
    <t>Work Truck</t>
  </si>
  <si>
    <t>L84</t>
  </si>
  <si>
    <t>HYUNDAI</t>
  </si>
  <si>
    <t>Sonata</t>
  </si>
  <si>
    <t>Sport / Sport w/ Premium Pkg, Sport w/ Tech Pkg / Limited / Limited w/Tech Pkg / Limited w/Ultimate Pkg / Sport 2.0T / Limited 2.0T</t>
  </si>
  <si>
    <t>DOHC GDI THETA-II</t>
  </si>
  <si>
    <t>HONDA</t>
  </si>
  <si>
    <t>Pilot</t>
  </si>
  <si>
    <t>Touring</t>
  </si>
  <si>
    <t>J35Z4</t>
  </si>
  <si>
    <t>CHARLESTON</t>
  </si>
  <si>
    <t>Express</t>
  </si>
  <si>
    <t>2500 Cargo</t>
  </si>
  <si>
    <t>LV1</t>
  </si>
  <si>
    <t>GMC</t>
  </si>
  <si>
    <t>Yukon</t>
  </si>
  <si>
    <t>SLT</t>
  </si>
  <si>
    <t>1/2 Ton</t>
  </si>
  <si>
    <t>GLD</t>
  </si>
  <si>
    <t>RWD/Rear-Wheel Drive</t>
  </si>
  <si>
    <t>Flexible Fuel Vehicle (FFV)</t>
  </si>
  <si>
    <t>LMG - Flex Fuel (Gas/ALC), Cylinder Deactivation Iron</t>
  </si>
  <si>
    <t>4-Runner</t>
  </si>
  <si>
    <t>TRD offroad</t>
  </si>
  <si>
    <t>280 Series</t>
  </si>
  <si>
    <t>1GR-FE</t>
  </si>
  <si>
    <t>CLARKCOUNTY</t>
  </si>
  <si>
    <t>MDX</t>
  </si>
  <si>
    <t>ADV</t>
  </si>
  <si>
    <t>J35Y5</t>
  </si>
  <si>
    <t>S</t>
  </si>
  <si>
    <t>1.4T</t>
  </si>
  <si>
    <t>GLS/ GLS Popular</t>
  </si>
  <si>
    <t>DOHC GDI</t>
  </si>
  <si>
    <t>Challenger</t>
  </si>
  <si>
    <t>R/T</t>
  </si>
  <si>
    <t>LC</t>
  </si>
  <si>
    <t>Coupe</t>
  </si>
  <si>
    <t>Traverse</t>
  </si>
  <si>
    <t>LS</t>
  </si>
  <si>
    <t>LLT</t>
  </si>
  <si>
    <t>Corolla</t>
  </si>
  <si>
    <t>L/LE</t>
  </si>
  <si>
    <t>ZRE172L</t>
  </si>
  <si>
    <t>2ZR-FE</t>
  </si>
  <si>
    <t>GL(BASE)</t>
  </si>
  <si>
    <t>GRN</t>
  </si>
  <si>
    <t>DOHC GDI GAMMA</t>
  </si>
  <si>
    <t>TECH</t>
  </si>
  <si>
    <t>J37A1</t>
  </si>
  <si>
    <t>TAMPA</t>
  </si>
  <si>
    <t>Elantra</t>
  </si>
  <si>
    <t>GLS/GLS Preferred/ Limited/Limited Tech GS/SE/SE Tech</t>
  </si>
  <si>
    <t>INFINITI</t>
  </si>
  <si>
    <t>G25</t>
  </si>
  <si>
    <t>Tundra</t>
  </si>
  <si>
    <t>GSK50L/UPK50L/GS51L/UPK51L/USK51L/USK52L/USK55L/UPK56L/USK56L/USK57L</t>
  </si>
  <si>
    <t>BGE</t>
  </si>
  <si>
    <t>1UR-FE</t>
  </si>
  <si>
    <t>Class 2: 6,001 - 10,000 lb (2,722 - 4,536 kg)</t>
  </si>
  <si>
    <t>Sorento</t>
  </si>
  <si>
    <t>GL</t>
  </si>
  <si>
    <t>DOHC T-GDI THETA-II</t>
  </si>
  <si>
    <t>Odyssey</t>
  </si>
  <si>
    <t>SE</t>
  </si>
  <si>
    <t>Minivan</t>
  </si>
  <si>
    <t>J35Z8</t>
  </si>
  <si>
    <t>E-350</t>
  </si>
  <si>
    <t>Econoline</t>
  </si>
  <si>
    <t>Diesel</t>
  </si>
  <si>
    <t>Class 2H: 9,001 - 10,000 lb (4,082 - 4,536 kg)</t>
  </si>
  <si>
    <t>F-150</t>
  </si>
  <si>
    <t>Murano</t>
  </si>
  <si>
    <t>RAV4</t>
  </si>
  <si>
    <t>Sports</t>
  </si>
  <si>
    <t>ASA42L/ASA44L</t>
  </si>
  <si>
    <t>2AR-FE</t>
  </si>
  <si>
    <t>Charger</t>
  </si>
  <si>
    <t>GT</t>
  </si>
  <si>
    <t>Sportage</t>
  </si>
  <si>
    <t>LX</t>
  </si>
  <si>
    <t>BRN</t>
  </si>
  <si>
    <t>GDI THETA II</t>
  </si>
  <si>
    <t>Forte</t>
  </si>
  <si>
    <t>Suburban</t>
  </si>
  <si>
    <t>LMG - Flex Fuel (Gas/ALC), Cylinder Deactivation, Iron</t>
  </si>
  <si>
    <t>HARRISBURG</t>
  </si>
  <si>
    <t>CR-V</t>
  </si>
  <si>
    <t>EX</t>
  </si>
  <si>
    <t>L15BE</t>
  </si>
  <si>
    <t>Escape</t>
  </si>
  <si>
    <t>Journey</t>
  </si>
  <si>
    <t>SE (US)</t>
  </si>
  <si>
    <t>ORG</t>
  </si>
  <si>
    <t>Terrain</t>
  </si>
  <si>
    <t>LYX</t>
  </si>
  <si>
    <t>Santa Fe Sport</t>
  </si>
  <si>
    <t>Sport Value Pkg ,Sport Premium pkg, Sport Tech pkg, Sport 2.0T Base</t>
  </si>
  <si>
    <t>F-350</t>
  </si>
  <si>
    <t>Super Duty - Single Rear Wheel</t>
  </si>
  <si>
    <t>Class 3: 10,001 - 14,000 lb (4,536 - 6,350 kg)</t>
  </si>
  <si>
    <t>Pickup 3500</t>
  </si>
  <si>
    <t>Crew Cab</t>
  </si>
  <si>
    <t>MAZDA</t>
  </si>
  <si>
    <t>CX-5</t>
  </si>
  <si>
    <t>Touring/GS</t>
  </si>
  <si>
    <t>PY</t>
  </si>
  <si>
    <t>SE / SE w/Popular Pkg / Eco / Eco w/Tech Pkg</t>
  </si>
  <si>
    <t>2.3L GTDI</t>
  </si>
  <si>
    <t>Dakota</t>
  </si>
  <si>
    <t>AN</t>
  </si>
  <si>
    <t>TULSA</t>
  </si>
  <si>
    <t>Crossover</t>
  </si>
  <si>
    <t>XL SLT</t>
  </si>
  <si>
    <t>LASVEGAS</t>
  </si>
  <si>
    <t>Dragon DI TC</t>
  </si>
  <si>
    <t>Latitude(US,Mex), Longitude(BUX), North(Can)</t>
  </si>
  <si>
    <t>TAN</t>
  </si>
  <si>
    <t>GDI THETA</t>
  </si>
  <si>
    <t>Sentra</t>
  </si>
  <si>
    <t>Grade SV</t>
  </si>
  <si>
    <t>Delux Grade</t>
  </si>
  <si>
    <t>TRN245L/GRN245L</t>
  </si>
  <si>
    <t>LSD</t>
  </si>
  <si>
    <t>Flex</t>
  </si>
  <si>
    <t>SEL</t>
  </si>
  <si>
    <t>LEXUS</t>
  </si>
  <si>
    <t>RX</t>
  </si>
  <si>
    <t>350</t>
  </si>
  <si>
    <t>GSU30L/GSU35L</t>
  </si>
  <si>
    <t>2GR-FE</t>
  </si>
  <si>
    <t>Popular/Turbo Base/Turbo Leather</t>
  </si>
  <si>
    <t>GLS</t>
  </si>
  <si>
    <t>VCK30L, UCK30L</t>
  </si>
  <si>
    <t>2UZ-FE</t>
  </si>
  <si>
    <t>Sedona</t>
  </si>
  <si>
    <t>G37</t>
  </si>
  <si>
    <t>Camry</t>
  </si>
  <si>
    <t>ASV50L/GSV50L/AVV50L</t>
  </si>
  <si>
    <t>SE, Eco</t>
  </si>
  <si>
    <t>GDI THETA-II</t>
  </si>
  <si>
    <t>Big Horn / Lone Star</t>
  </si>
  <si>
    <t>Pathfinder</t>
  </si>
  <si>
    <t>Grade S</t>
  </si>
  <si>
    <t>RICHMOND</t>
  </si>
  <si>
    <t>LINCOLN</t>
  </si>
  <si>
    <t>Aviator</t>
  </si>
  <si>
    <t>Reserve</t>
  </si>
  <si>
    <t>GTDI</t>
  </si>
  <si>
    <t>PENSACOLA</t>
  </si>
  <si>
    <t>Mustang</t>
  </si>
  <si>
    <t>GT Coupe</t>
  </si>
  <si>
    <t>2500</t>
  </si>
  <si>
    <t>Single Rear Wheels</t>
  </si>
  <si>
    <t>Sierra</t>
  </si>
  <si>
    <t>SLE</t>
  </si>
  <si>
    <t>LC9</t>
  </si>
  <si>
    <t>VOLVO</t>
  </si>
  <si>
    <t>XC90</t>
  </si>
  <si>
    <t>Momentum</t>
  </si>
  <si>
    <t>AWD/AWD (T8)</t>
  </si>
  <si>
    <t>B4204TS(HP)</t>
  </si>
  <si>
    <t>SWEDEN</t>
  </si>
  <si>
    <t>2.5L I-VCT</t>
  </si>
  <si>
    <t>SE w/ Tech</t>
  </si>
  <si>
    <t>2.0 TSI</t>
  </si>
  <si>
    <t>Grand Touring/GT</t>
  </si>
  <si>
    <t>CLA-Class</t>
  </si>
  <si>
    <t>CLA250</t>
  </si>
  <si>
    <t>M270</t>
  </si>
  <si>
    <t>HUNGARY</t>
  </si>
  <si>
    <t>Bronco Sport</t>
  </si>
  <si>
    <t>BIG BEND</t>
  </si>
  <si>
    <t>DRAGON</t>
  </si>
  <si>
    <t>Altima</t>
  </si>
  <si>
    <t>Compass</t>
  </si>
  <si>
    <t>Latitude</t>
  </si>
  <si>
    <t>TSI</t>
  </si>
  <si>
    <t>RST</t>
  </si>
  <si>
    <t>L84 - DI, ALUM, GEN 5, VAR 2</t>
  </si>
  <si>
    <t>CHICAGO</t>
  </si>
  <si>
    <t>BUICK</t>
  </si>
  <si>
    <t>Verano</t>
  </si>
  <si>
    <t>LEA</t>
  </si>
  <si>
    <t>FX35</t>
  </si>
  <si>
    <t>BMW</t>
  </si>
  <si>
    <t>640i</t>
  </si>
  <si>
    <t>GC</t>
  </si>
  <si>
    <t>6-Series</t>
  </si>
  <si>
    <t>WESTMICHIGAN</t>
  </si>
  <si>
    <t>SRW Low Roof Van</t>
  </si>
  <si>
    <t>150</t>
  </si>
  <si>
    <t>Grade SR</t>
  </si>
  <si>
    <t>12 Series</t>
  </si>
  <si>
    <t>M20A-FKS</t>
  </si>
  <si>
    <t>FIAT</t>
  </si>
  <si>
    <t>500</t>
  </si>
  <si>
    <t>Pop</t>
  </si>
  <si>
    <t>5</t>
  </si>
  <si>
    <t>Hatchback</t>
  </si>
  <si>
    <t>GAMMA</t>
  </si>
  <si>
    <t>C-Class</t>
  </si>
  <si>
    <t>C250</t>
  </si>
  <si>
    <t>Trax</t>
  </si>
  <si>
    <t>Premier</t>
  </si>
  <si>
    <t>LUV - MFI, Variable Valve Timing, E85 MAX, ALUM</t>
  </si>
  <si>
    <t>PORSCHE</t>
  </si>
  <si>
    <t>Cayman</t>
  </si>
  <si>
    <t>ACV40L/GSV40L/AHV40L</t>
  </si>
  <si>
    <t>2AZ-FE</t>
  </si>
  <si>
    <t>KANSAS</t>
  </si>
  <si>
    <t>I</t>
  </si>
  <si>
    <t>LFY</t>
  </si>
  <si>
    <t>Grand Cherokee</t>
  </si>
  <si>
    <t>Laredo/Rocky Mountain Edition</t>
  </si>
  <si>
    <t>WK</t>
  </si>
  <si>
    <t>ZZE130L</t>
  </si>
  <si>
    <t>1ZZ-FE</t>
  </si>
  <si>
    <t>L, LX, S</t>
  </si>
  <si>
    <t>Cruze</t>
  </si>
  <si>
    <t>LTZ</t>
  </si>
  <si>
    <t>LUV</t>
  </si>
  <si>
    <t>Telluride</t>
  </si>
  <si>
    <t>SX</t>
  </si>
  <si>
    <t>GDI Lambda-II</t>
  </si>
  <si>
    <t>ELPASO</t>
  </si>
  <si>
    <t>SuperCab</t>
  </si>
  <si>
    <t>5.0L-4V</t>
  </si>
  <si>
    <t>MITSUBISHI</t>
  </si>
  <si>
    <t>Outlander</t>
  </si>
  <si>
    <t>SE, BLACK EDITION</t>
  </si>
  <si>
    <t>Optima</t>
  </si>
  <si>
    <t>DOHC MPI THETA II</t>
  </si>
  <si>
    <t>EV Sedan</t>
  </si>
  <si>
    <t>Fusion</t>
  </si>
  <si>
    <t>M35</t>
  </si>
  <si>
    <t>SXT</t>
  </si>
  <si>
    <t>LA</t>
  </si>
  <si>
    <t>Laredo</t>
  </si>
  <si>
    <t>SUBARU</t>
  </si>
  <si>
    <t>Impreza</t>
  </si>
  <si>
    <t>STI-S</t>
  </si>
  <si>
    <t>6</t>
  </si>
  <si>
    <t>CADILLAC</t>
  </si>
  <si>
    <t>CTS</t>
  </si>
  <si>
    <t>Luxury</t>
  </si>
  <si>
    <t>LFX</t>
  </si>
  <si>
    <t>Genesis</t>
  </si>
  <si>
    <t>BH</t>
  </si>
  <si>
    <t>Macan</t>
  </si>
  <si>
    <t>Type 95B</t>
  </si>
  <si>
    <t>EXL</t>
  </si>
  <si>
    <t>J35Y6</t>
  </si>
  <si>
    <t>SUZUKI</t>
  </si>
  <si>
    <t>SX4</t>
  </si>
  <si>
    <t>Crossover (US)/Crossover Tech (US)/JX+ESP (Canada)/Sedan LE (ESP) (US)/Sedan LE Pop Pkg (ESP) (US)</t>
  </si>
  <si>
    <t>Expedition MAX</t>
  </si>
  <si>
    <t>V6 Coupe</t>
  </si>
  <si>
    <t>L, LX</t>
  </si>
  <si>
    <t>Tahoe</t>
  </si>
  <si>
    <t>1/2 ton</t>
  </si>
  <si>
    <t>LMG</t>
  </si>
  <si>
    <t>LS (AWD)</t>
  </si>
  <si>
    <t>LE2 -DI: Direct Injection, VVT: Variable Valve Timing, GEN, ALUM</t>
  </si>
  <si>
    <t>L83 - SIDI: Spark Ignited Direct Injection, VVT: Variable Valve Timing, AFM, E85 MAX, ALUM</t>
  </si>
  <si>
    <t>MINI</t>
  </si>
  <si>
    <t>Cooper</t>
  </si>
  <si>
    <t>UNITED KINGDOM (UK)</t>
  </si>
  <si>
    <t>Active</t>
  </si>
  <si>
    <t>DRAGON GTDI</t>
  </si>
  <si>
    <t>Eddie Bauer</t>
  </si>
  <si>
    <t>Cube</t>
  </si>
  <si>
    <t>High Country</t>
  </si>
  <si>
    <t>NFA</t>
  </si>
  <si>
    <t>TRN265L</t>
  </si>
  <si>
    <t>2TR-FE</t>
  </si>
  <si>
    <t>Mirage</t>
  </si>
  <si>
    <t>ES/LE/SE</t>
  </si>
  <si>
    <t>MIVEC</t>
  </si>
  <si>
    <t>THAILAND</t>
  </si>
  <si>
    <t>SEL, Sport, Limited, Limited Turbo</t>
  </si>
  <si>
    <t>Armada</t>
  </si>
  <si>
    <t>Classic DS</t>
  </si>
  <si>
    <t>Tradesman (US) / ST</t>
  </si>
  <si>
    <t>Camaro</t>
  </si>
  <si>
    <t>2SS</t>
  </si>
  <si>
    <t>LT1 - Direct Injection, AFM, Variable Valve Timing, High Output, ALUM</t>
  </si>
  <si>
    <t>Titanium</t>
  </si>
  <si>
    <t>AXVA70L/GSV70L/AXVH70L</t>
  </si>
  <si>
    <t>A25A-FKS</t>
  </si>
  <si>
    <t>L83 - SIDI, VVT, AFM, E85 MAX, Aluminum.</t>
  </si>
  <si>
    <t>Versa</t>
  </si>
  <si>
    <t>Adventure/XLE</t>
  </si>
  <si>
    <t>ASA44L/ASA42L/AVA44L</t>
  </si>
  <si>
    <t>GMT-400</t>
  </si>
  <si>
    <t>1/2 Ton Nominal</t>
  </si>
  <si>
    <t>CT5</t>
  </si>
  <si>
    <t>Sport</t>
  </si>
  <si>
    <t>LSY</t>
  </si>
  <si>
    <t>L83 -Spark Ignited Direct Injection, Variable Valve Timing, AFM, E85 MAX, ALUM</t>
  </si>
  <si>
    <t>SEL, SEL w/ Tech, Limited, Limited w/ Ultimate, Sport ,Sport 2.0T, Limited 2.0T</t>
  </si>
  <si>
    <t>LG2 - DI: Direct Injection, VVT: Variable Valve Timing, ALUM, VAR2, GEN2</t>
  </si>
  <si>
    <t>GL (Middle-Low Grade)</t>
  </si>
  <si>
    <t>MPI Nu</t>
  </si>
  <si>
    <t>LAND ROVER</t>
  </si>
  <si>
    <t>Range Rover Evoque</t>
  </si>
  <si>
    <t>Prestige Premium</t>
  </si>
  <si>
    <t>ENGLAND</t>
  </si>
  <si>
    <t>2LT (FWD)</t>
  </si>
  <si>
    <t>LFW - VVT. E85 Max. Aluminum.</t>
  </si>
  <si>
    <t>Malibu</t>
  </si>
  <si>
    <t>LS (1LS)</t>
  </si>
  <si>
    <t>LFV - DI: Direct Injection, VVT: Variable Valve Timing, GEN 1</t>
  </si>
  <si>
    <t>L83 - VVT, Active Fuel Management, Aluminum.</t>
  </si>
  <si>
    <t>NORTHCALIFORNIA</t>
  </si>
  <si>
    <t>F-250</t>
  </si>
  <si>
    <t>F-Series Super Duty - Single Rear Wheel</t>
  </si>
  <si>
    <t>INCOMPLETE VEHICLE</t>
  </si>
  <si>
    <t>LE5</t>
  </si>
  <si>
    <t>LEA - Flex Fuel (Gas/Alc), Aluminum, High Output</t>
  </si>
  <si>
    <t>Hybrid / Hybrid Limited</t>
  </si>
  <si>
    <t>MERCURY</t>
  </si>
  <si>
    <t>Sable</t>
  </si>
  <si>
    <t>Premier FWD</t>
  </si>
  <si>
    <t>BIRMINGHAM</t>
  </si>
  <si>
    <t>Grand Highlander</t>
  </si>
  <si>
    <t>15 Series</t>
  </si>
  <si>
    <t>A25A-FXS, 5NM+4NM</t>
  </si>
  <si>
    <t>EV SUV 3-Row</t>
  </si>
  <si>
    <t>Work Truck/LS/Fleet/Base</t>
  </si>
  <si>
    <t>L96 - E85 MAX, Iron</t>
  </si>
  <si>
    <t>KALAMAZOO</t>
  </si>
  <si>
    <t>Forester</t>
  </si>
  <si>
    <t>NA U5</t>
  </si>
  <si>
    <t>Trailhawk</t>
  </si>
  <si>
    <t>SL</t>
  </si>
  <si>
    <t>ZRE142L / AZE141L</t>
  </si>
  <si>
    <t>SE, CVT</t>
  </si>
  <si>
    <t>MZEA12L-DEXSBA</t>
  </si>
  <si>
    <t>M20-FKS</t>
  </si>
  <si>
    <t>1SS</t>
  </si>
  <si>
    <t>SAVANNAH</t>
  </si>
  <si>
    <t>X5</t>
  </si>
  <si>
    <t>xDrive40i</t>
  </si>
  <si>
    <t>G-Class</t>
  </si>
  <si>
    <t>AMG G63 / AMG G63 Bi-Turbo</t>
  </si>
  <si>
    <t>M177</t>
  </si>
  <si>
    <t>AUSTRIA</t>
  </si>
  <si>
    <t>Scion tC</t>
  </si>
  <si>
    <t>AGT20L</t>
  </si>
  <si>
    <t>L / LX</t>
  </si>
  <si>
    <t>DOHC GDI Theta II</t>
  </si>
  <si>
    <t>2.7L-4V</t>
  </si>
  <si>
    <t>LT (1LT)</t>
  </si>
  <si>
    <t>LFV - Direct Injection, Variable Valve Timing, GEN 1 GMNA</t>
  </si>
  <si>
    <t>AUDI</t>
  </si>
  <si>
    <t>Q5</t>
  </si>
  <si>
    <t>quattro Premium Plus</t>
  </si>
  <si>
    <t>Arteon</t>
  </si>
  <si>
    <t>SEL R-Line</t>
  </si>
  <si>
    <t>R/T SCAT PACK</t>
  </si>
  <si>
    <t>LaCrosse</t>
  </si>
  <si>
    <t>CXL</t>
  </si>
  <si>
    <t>L26</t>
  </si>
  <si>
    <t>Avalon</t>
  </si>
  <si>
    <t>MCX10L</t>
  </si>
  <si>
    <t>1MZ-FE</t>
  </si>
  <si>
    <t>Q50</t>
  </si>
  <si>
    <t>911</t>
  </si>
  <si>
    <t>Carrera</t>
  </si>
  <si>
    <t>Convertible/Cabriolet</t>
  </si>
  <si>
    <t>Convertible</t>
  </si>
  <si>
    <t>Santa Fe</t>
  </si>
  <si>
    <t>SE Base</t>
  </si>
  <si>
    <t>GDI LAMBDA ?</t>
  </si>
  <si>
    <t>ATS</t>
  </si>
  <si>
    <t>Standard</t>
  </si>
  <si>
    <t>LTG</t>
  </si>
  <si>
    <t>AUCTIONINMOTION</t>
  </si>
  <si>
    <t>HR-V</t>
  </si>
  <si>
    <t>R18Z9</t>
  </si>
  <si>
    <t>Premium</t>
  </si>
  <si>
    <t>LGX -DI: Direct Injection - VVT: Variable Valve Timing - ALUM - GEN 2</t>
  </si>
  <si>
    <t>Passat</t>
  </si>
  <si>
    <t>Terraza</t>
  </si>
  <si>
    <t>Ext. Incomplete Mobility</t>
  </si>
  <si>
    <t>1/2 ton Base</t>
  </si>
  <si>
    <t>LGD</t>
  </si>
  <si>
    <t>Denali</t>
  </si>
  <si>
    <t>L5P - Direct Injection, DURAMAX, GEN 5, VAR 1</t>
  </si>
  <si>
    <t>Highlander</t>
  </si>
  <si>
    <t>GSU40L/GSU45L/MHU48L/ASU40L</t>
  </si>
  <si>
    <t>G35</t>
  </si>
  <si>
    <t>VQ35DE</t>
  </si>
  <si>
    <t>Escalade</t>
  </si>
  <si>
    <t>ESV Platinum</t>
  </si>
  <si>
    <t>L86 - SIDI, VVT, AFM, E85 MAX, ALUM</t>
  </si>
  <si>
    <t>CHRYSLER</t>
  </si>
  <si>
    <t>200</t>
  </si>
  <si>
    <t>Limited / Touring Convertible</t>
  </si>
  <si>
    <t>JS</t>
  </si>
  <si>
    <t>ERB</t>
  </si>
  <si>
    <t>Accord</t>
  </si>
  <si>
    <t>Mazda6</t>
  </si>
  <si>
    <t>Touring Technology Package</t>
  </si>
  <si>
    <t>Titan</t>
  </si>
  <si>
    <t>Bronco</t>
  </si>
  <si>
    <t>Base, Big Bend, Black Diamond, Outer Banks, Badlands, Wildtrak, Everglades</t>
  </si>
  <si>
    <t>EcoBoost</t>
  </si>
  <si>
    <t>Sequoia</t>
  </si>
  <si>
    <t>UCK35L</t>
  </si>
  <si>
    <t>Corolla Cross</t>
  </si>
  <si>
    <t>LE</t>
  </si>
  <si>
    <t>MXGA15 / MXGH15 (15 Series)</t>
  </si>
  <si>
    <t>Enclave</t>
  </si>
  <si>
    <t>Essence</t>
  </si>
  <si>
    <t>LFY - Spark ignited Direct Injection, ATSS, GEN1</t>
  </si>
  <si>
    <t>L84 - DI, DFM, ALUM, GEN 5, VAR 2</t>
  </si>
  <si>
    <t>Hatchback Tall</t>
  </si>
  <si>
    <t>Custom</t>
  </si>
  <si>
    <t>L3B</t>
  </si>
  <si>
    <t>EX-L</t>
  </si>
  <si>
    <t>K24Z6</t>
  </si>
  <si>
    <t>X3</t>
  </si>
  <si>
    <t>sDrive28i</t>
  </si>
  <si>
    <t>328i</t>
  </si>
  <si>
    <t>SA</t>
  </si>
  <si>
    <t>3-Series</t>
  </si>
  <si>
    <t>SOUTH AFRICA</t>
  </si>
  <si>
    <t>ASV40L/GSV40L/AHV40L</t>
  </si>
  <si>
    <t>2LT</t>
  </si>
  <si>
    <t>LLT - SIDI, ALUM, 60 DEGREES</t>
  </si>
  <si>
    <t>Encore</t>
  </si>
  <si>
    <t>LE2 - Direct Injection, Variable Valve Timing, ALUM, GEN 1</t>
  </si>
  <si>
    <t>GL - Middle-low</t>
  </si>
  <si>
    <t>DOHC GDI THETA II</t>
  </si>
  <si>
    <t>COLUMBUS</t>
  </si>
  <si>
    <t>Blazer</t>
  </si>
  <si>
    <t>1.5L GTDI Sigma w/Premium Fuel</t>
  </si>
  <si>
    <t>BUR</t>
  </si>
  <si>
    <t>bZ4X</t>
  </si>
  <si>
    <t>Electric</t>
  </si>
  <si>
    <t>1YM Motor</t>
  </si>
  <si>
    <t>BEV</t>
  </si>
  <si>
    <t>GENESIS</t>
  </si>
  <si>
    <t>G80</t>
  </si>
  <si>
    <t>3.8 Base / 3.8 Premium / 3.8 Ultimate / 5.0 Ultimate</t>
  </si>
  <si>
    <t>Taurus</t>
  </si>
  <si>
    <t>SEL FWD</t>
  </si>
  <si>
    <t>3.5L Ti-VCT</t>
  </si>
  <si>
    <t>Longitude(BUX), North(Canada), Latitude(Mex, U.S.)</t>
  </si>
  <si>
    <t>Mazda3</t>
  </si>
  <si>
    <t>L3T California</t>
  </si>
  <si>
    <t>SPORT</t>
  </si>
  <si>
    <t>K24W1</t>
  </si>
  <si>
    <t>TX</t>
  </si>
  <si>
    <t>10 Series</t>
  </si>
  <si>
    <t>T24A-FTS</t>
  </si>
  <si>
    <t>PONTIAC</t>
  </si>
  <si>
    <t>Grand AM</t>
  </si>
  <si>
    <t>SE1</t>
  </si>
  <si>
    <t>LA1</t>
  </si>
  <si>
    <t>Envision</t>
  </si>
  <si>
    <t>LCV</t>
  </si>
  <si>
    <t>CHINA</t>
  </si>
  <si>
    <t>Ford</t>
  </si>
  <si>
    <t>Denali FWD</t>
  </si>
  <si>
    <t>LTG - Spark Ignited Direct Injection, ALUM DOHC, VVT, DCVCP TURBO, E0-E100, ALUM</t>
  </si>
  <si>
    <t>Civic</t>
  </si>
  <si>
    <t>R18Z1</t>
  </si>
  <si>
    <t>Renegade</t>
  </si>
  <si>
    <t>LATITUDE - LONGITUDE</t>
  </si>
  <si>
    <t>ITALY</t>
  </si>
  <si>
    <t>Wrangler</t>
  </si>
  <si>
    <t>Rubicon</t>
  </si>
  <si>
    <t>JK</t>
  </si>
  <si>
    <t>E350</t>
  </si>
  <si>
    <t>ProMaster 2500</t>
  </si>
  <si>
    <t>Standard Roof</t>
  </si>
  <si>
    <t>Rabbit</t>
  </si>
  <si>
    <t>3.5L V6 Cyclone</t>
  </si>
  <si>
    <t>sDrive30i</t>
  </si>
  <si>
    <t>Base/ LX</t>
  </si>
  <si>
    <t>Sienna</t>
  </si>
  <si>
    <t>GSL30L/GSL33L/GSL35L/ASL30L</t>
  </si>
  <si>
    <t>Acadia</t>
  </si>
  <si>
    <t>LGX - Direct Injection, Variable Valve Timing, ALUM, GEN 2</t>
  </si>
  <si>
    <t>Sport/GX</t>
  </si>
  <si>
    <t>PE</t>
  </si>
  <si>
    <t>Patriot</t>
  </si>
  <si>
    <t>MK74</t>
  </si>
  <si>
    <t>L87 - DI DFM, ALUM, GEN 5</t>
  </si>
  <si>
    <t>5.0L 4V</t>
  </si>
  <si>
    <t>ES</t>
  </si>
  <si>
    <t>MCV20L</t>
  </si>
  <si>
    <t>T</t>
  </si>
  <si>
    <t>LD</t>
  </si>
  <si>
    <t>Police Vehicle</t>
  </si>
  <si>
    <t>Impala Limited</t>
  </si>
  <si>
    <t>LT Fleet</t>
  </si>
  <si>
    <t>LFX - SIDI, VVT, E85 MAX, ALUM GM</t>
  </si>
  <si>
    <t>XT5</t>
  </si>
  <si>
    <t>Premium Luxury</t>
  </si>
  <si>
    <t>BOSTON</t>
  </si>
  <si>
    <t>GLE-Class</t>
  </si>
  <si>
    <t>AMG GLE53 4MATIC+</t>
  </si>
  <si>
    <t>Palisade</t>
  </si>
  <si>
    <t>GDI LAMBDA II</t>
  </si>
  <si>
    <t>Mirage G4</t>
  </si>
  <si>
    <t>MEDIUM</t>
  </si>
  <si>
    <t>EX-L-V6</t>
  </si>
  <si>
    <t>J35Y1</t>
  </si>
  <si>
    <t>Ranger</t>
  </si>
  <si>
    <t>GDI THETA III</t>
  </si>
  <si>
    <t>Tucson</t>
  </si>
  <si>
    <t>SE Popular, ECO, Sport, Limited</t>
  </si>
  <si>
    <t>430i</t>
  </si>
  <si>
    <t>xDrive</t>
  </si>
  <si>
    <t>4-Series</t>
  </si>
  <si>
    <t>UPK51L/GSK51L/USK51L/USK52L/UPK56L/USK56L/USK57L</t>
  </si>
  <si>
    <t>K24A4</t>
  </si>
  <si>
    <t>GLA-Class</t>
  </si>
  <si>
    <t>GLA250</t>
  </si>
  <si>
    <t>1500 (1/2 ton)</t>
  </si>
  <si>
    <t>L30</t>
  </si>
  <si>
    <t>DT</t>
  </si>
  <si>
    <t>Big Horn/Lonestar</t>
  </si>
  <si>
    <t>LFV - Direct Injection, Variable Valve Timing, GEN 1</t>
  </si>
  <si>
    <t>Accent</t>
  </si>
  <si>
    <t>5DR SE / 5DR SE Sunroof/ 4DR GLS Prem</t>
  </si>
  <si>
    <t>Focus</t>
  </si>
  <si>
    <t>2LT (AWD)</t>
  </si>
  <si>
    <t>ZRE212L-DEXLPA</t>
  </si>
  <si>
    <t>2ZR-FAE</t>
  </si>
  <si>
    <t>Tribute</t>
  </si>
  <si>
    <t>Raptor SVT</t>
  </si>
  <si>
    <t>Crown Victoria</t>
  </si>
  <si>
    <t>Ram</t>
  </si>
  <si>
    <t>2500-Longhorn</t>
  </si>
  <si>
    <t>LX, S, SE</t>
  </si>
  <si>
    <t>Beetle</t>
  </si>
  <si>
    <t>Impala</t>
  </si>
  <si>
    <t>LZE</t>
  </si>
  <si>
    <t>MKX</t>
  </si>
  <si>
    <t>3.7L TIVCT (Twin Independent Variable Camshaft Timing)</t>
  </si>
  <si>
    <t>K20C4</t>
  </si>
  <si>
    <t>Avalanche</t>
  </si>
  <si>
    <t>Sport Utility Truck (SUT)</t>
  </si>
  <si>
    <t>LC9 - Flex Fuel (GAS/ALC) Aluminium Cylinder, Deactivation FFV</t>
  </si>
  <si>
    <t>528i</t>
  </si>
  <si>
    <t>5-Series</t>
  </si>
  <si>
    <t>Elite</t>
  </si>
  <si>
    <t>L83 - VVT, AFM (Active Fuel Management), Aluminum</t>
  </si>
  <si>
    <t>3UR-FBE</t>
  </si>
  <si>
    <t>X</t>
  </si>
  <si>
    <t>TJ</t>
  </si>
  <si>
    <t>SR</t>
  </si>
  <si>
    <t>Rubicon/Unlimited Rubicon</t>
  </si>
  <si>
    <t>M440i</t>
  </si>
  <si>
    <t>TESLA</t>
  </si>
  <si>
    <t>Model S</t>
  </si>
  <si>
    <t>Base/Hybrid</t>
  </si>
  <si>
    <t>ASU50L/GSU50L/GSU55L/GVU58L</t>
  </si>
  <si>
    <t>Navigator L</t>
  </si>
  <si>
    <t>LFX - Spark Ignited Direct injection, VVT, E85 MAX, ALUM</t>
  </si>
  <si>
    <t>SE (Popular Equipment Pkg.), Eco, Sport, Limited, Night</t>
  </si>
  <si>
    <t>T-GDI GAMMA</t>
  </si>
  <si>
    <t>LE/SE/XLE/XSE</t>
  </si>
  <si>
    <t>SE (no options)</t>
  </si>
  <si>
    <t>GDI Nu</t>
  </si>
  <si>
    <t>ZR2</t>
  </si>
  <si>
    <t>LGZ</t>
  </si>
  <si>
    <t>T-GDI THETA II</t>
  </si>
  <si>
    <t>MKC</t>
  </si>
  <si>
    <t>LX Base</t>
  </si>
  <si>
    <t>PUR</t>
  </si>
  <si>
    <t>Kona</t>
  </si>
  <si>
    <t>J35A7</t>
  </si>
  <si>
    <t>SEL w/ Convenience Pkg</t>
  </si>
  <si>
    <t>MPI NU PE</t>
  </si>
  <si>
    <t>Premium II</t>
  </si>
  <si>
    <t>CX-30</t>
  </si>
  <si>
    <t>Select Package</t>
  </si>
  <si>
    <t>LEA - E85 MAX, Aluminum.</t>
  </si>
  <si>
    <t>S60</t>
  </si>
  <si>
    <t>SVR7 R-Design Base (Premier Level)</t>
  </si>
  <si>
    <t>S60/S60I</t>
  </si>
  <si>
    <t>B4204T12 (PZEV)</t>
  </si>
  <si>
    <t>BELGIUM</t>
  </si>
  <si>
    <t>ULEV2</t>
  </si>
  <si>
    <t>B8444S</t>
  </si>
  <si>
    <t>LFV</t>
  </si>
  <si>
    <t>Silverado HD</t>
  </si>
  <si>
    <t>L8T</t>
  </si>
  <si>
    <t>Elantra N</t>
  </si>
  <si>
    <t>T-GDI Theta II</t>
  </si>
  <si>
    <t>Mazda5</t>
  </si>
  <si>
    <t>Wagon</t>
  </si>
  <si>
    <t>L5X</t>
  </si>
  <si>
    <t>SuperCrew-Raptor</t>
  </si>
  <si>
    <t>EX (with leather)</t>
  </si>
  <si>
    <t>UF</t>
  </si>
  <si>
    <t>LM7</t>
  </si>
  <si>
    <t>3UR-FE</t>
  </si>
  <si>
    <t>SuperCrew</t>
  </si>
  <si>
    <t>TSX</t>
  </si>
  <si>
    <t>K24Z3</t>
  </si>
  <si>
    <t>R18A1</t>
  </si>
  <si>
    <t>Outback</t>
  </si>
  <si>
    <t>Limited +M/R+/Navi</t>
  </si>
  <si>
    <t>3.6NA U5</t>
  </si>
  <si>
    <t>LE2</t>
  </si>
  <si>
    <t>Silverado LD</t>
  </si>
  <si>
    <t>L83 - DI, AFM, ALUM, GEN 5, VAR 1</t>
  </si>
  <si>
    <t>Yukon XL</t>
  </si>
  <si>
    <t>MK</t>
  </si>
  <si>
    <t>Touring+NAVI+H/K+M/R</t>
  </si>
  <si>
    <t>Horizontally opposed (boxer)</t>
  </si>
  <si>
    <t>2.5NA U5</t>
  </si>
  <si>
    <t>X6</t>
  </si>
  <si>
    <t>xDrive50i</t>
  </si>
  <si>
    <t>1500 (1/2 Ton)</t>
  </si>
  <si>
    <t>GI</t>
  </si>
  <si>
    <t>LV3 - VVT, Aluminum, E85 Max</t>
  </si>
  <si>
    <t>JAGUAR</t>
  </si>
  <si>
    <t>XF</t>
  </si>
  <si>
    <t>SE, Ralliart Edition</t>
  </si>
  <si>
    <t>Sahara</t>
  </si>
  <si>
    <t>LLT - SIDI: Spark Ignited Direct injection, ALUM, 60 Degrees</t>
  </si>
  <si>
    <t>K</t>
  </si>
  <si>
    <t>L86 - SIDI: Spark Ignited Direct Injection, VVT: Variable Valve Timing, AFM, E85MAX, ALUM</t>
  </si>
  <si>
    <t>GS</t>
  </si>
  <si>
    <t>GWL10L/GRL10L/GRL15L</t>
  </si>
  <si>
    <t>2GR-FSE</t>
  </si>
  <si>
    <t>Golf</t>
  </si>
  <si>
    <t>K20C2</t>
  </si>
  <si>
    <t>M264</t>
  </si>
  <si>
    <t>Z71</t>
  </si>
  <si>
    <t>L86 - VVT, AFM, E85 Max, Aluminum</t>
  </si>
  <si>
    <t>GT (US), GT Rallye (Can)</t>
  </si>
  <si>
    <t>Veloster</t>
  </si>
  <si>
    <t>Veloster, Value Edition, R-Spec &amp; Veloster Turbo (G Grade is only available)</t>
  </si>
  <si>
    <t>GDI GAMMA</t>
  </si>
  <si>
    <t>QR25DE</t>
  </si>
  <si>
    <t>Tracker</t>
  </si>
  <si>
    <t>L34</t>
  </si>
  <si>
    <t>MKS</t>
  </si>
  <si>
    <t>FWD</t>
  </si>
  <si>
    <t>DS (Single Rear Wheels)</t>
  </si>
  <si>
    <t>Savana</t>
  </si>
  <si>
    <t>Compressed Natural Gas (CNG)</t>
  </si>
  <si>
    <t>LC8 - Flex Fuel (CNG/LPG)</t>
  </si>
  <si>
    <t>K24Z7</t>
  </si>
  <si>
    <t>Range Rover Velar</t>
  </si>
  <si>
    <t>P400 Dynamic HSE</t>
  </si>
  <si>
    <t>AJ20P6</t>
  </si>
  <si>
    <t>Latitude (US), Longitude (Bux), North (Can)</t>
  </si>
  <si>
    <t>Wilderness</t>
  </si>
  <si>
    <t>SLT 1</t>
  </si>
  <si>
    <t>ATLANTA</t>
  </si>
  <si>
    <t>Unlimited Sport</t>
  </si>
  <si>
    <t>LX-S</t>
  </si>
  <si>
    <t>Excursion</t>
  </si>
  <si>
    <t>EXT</t>
  </si>
  <si>
    <t>L20</t>
  </si>
  <si>
    <t>GSX40L/AVX40L</t>
  </si>
  <si>
    <t>SX/SX-P</t>
  </si>
  <si>
    <t>T-GDI Theta-III</t>
  </si>
  <si>
    <t>QX70</t>
  </si>
  <si>
    <t>Outlander Sport</t>
  </si>
  <si>
    <t>High</t>
  </si>
  <si>
    <t>Styleside</t>
  </si>
  <si>
    <t>F-Series</t>
  </si>
  <si>
    <t>LGX - DI: Direct Injection, VVT: Variable Valve Timing, ALUM, GEN 2</t>
  </si>
  <si>
    <t>1AR-FE</t>
  </si>
  <si>
    <t>J30A5</t>
  </si>
  <si>
    <t>CORRY</t>
  </si>
  <si>
    <t>K5</t>
  </si>
  <si>
    <t>GT-Line</t>
  </si>
  <si>
    <t>T-GDI GAMMA II</t>
  </si>
  <si>
    <t>Scion FR-S</t>
  </si>
  <si>
    <t>STD</t>
  </si>
  <si>
    <t>FA20</t>
  </si>
  <si>
    <t>Inscription</t>
  </si>
  <si>
    <t>B4204TSH</t>
  </si>
  <si>
    <t>FJ Cruiser</t>
  </si>
  <si>
    <t>GSJ10L/GSJ15L</t>
  </si>
  <si>
    <t>Sport Popular / Sport Leather / Sport Tech / Sport Turbo / Sport Turbo leather</t>
  </si>
  <si>
    <t>DOHC GDI Theta</t>
  </si>
  <si>
    <t>SRX</t>
  </si>
  <si>
    <t>LFX - VVT, E85 Max, Aluminum</t>
  </si>
  <si>
    <t>LR2</t>
  </si>
  <si>
    <t>HSE</t>
  </si>
  <si>
    <t>Scion iA</t>
  </si>
  <si>
    <t>P5V</t>
  </si>
  <si>
    <t>QX50</t>
  </si>
  <si>
    <t>SE FWD</t>
  </si>
  <si>
    <t>Rendezvous</t>
  </si>
  <si>
    <t>SRV Vehicle</t>
  </si>
  <si>
    <t>LX9</t>
  </si>
  <si>
    <t>BATONROUGE</t>
  </si>
  <si>
    <t>LU3</t>
  </si>
  <si>
    <t>XSE</t>
  </si>
  <si>
    <t>AXVA70L/GSV70L/AXVH70L/AXVH71L</t>
  </si>
  <si>
    <t>3.3L TIVCT</t>
  </si>
  <si>
    <t>SE (BUX,US,Mex), SE CVP (Canada)</t>
  </si>
  <si>
    <t>JC</t>
  </si>
  <si>
    <t>LF1</t>
  </si>
  <si>
    <t>GSX30L</t>
  </si>
  <si>
    <t>GRN280L/GRN285L</t>
  </si>
  <si>
    <t>Town and Country</t>
  </si>
  <si>
    <t>RT</t>
  </si>
  <si>
    <t>Juke</t>
  </si>
  <si>
    <t>Edge</t>
  </si>
  <si>
    <t>Rogue Sport</t>
  </si>
  <si>
    <t>L15B7</t>
  </si>
  <si>
    <t>L, LE, LE w/LE Conveneince Tech pkg, LE - US Source</t>
  </si>
  <si>
    <t>18 Series</t>
  </si>
  <si>
    <t>Value, SEL, Sport, Limited, Ultimate</t>
  </si>
  <si>
    <t>LYX - Direct Injection, VVT, FGT, TURBO, ALUM, GEN1</t>
  </si>
  <si>
    <t>LUBBOCK</t>
  </si>
  <si>
    <t>TOURING</t>
  </si>
  <si>
    <t>LFB2</t>
  </si>
  <si>
    <t>3500</t>
  </si>
  <si>
    <t>Incomplete - Cutaway</t>
  </si>
  <si>
    <t>LY2</t>
  </si>
  <si>
    <t>Other</t>
  </si>
  <si>
    <t>Kicks</t>
  </si>
  <si>
    <t>Sebring</t>
  </si>
  <si>
    <t>L96</t>
  </si>
  <si>
    <t>DOHC theta ii</t>
  </si>
  <si>
    <t>Yaris iA</t>
  </si>
  <si>
    <t>M5</t>
  </si>
  <si>
    <t>EV Wagon</t>
  </si>
  <si>
    <t>GL(Middle-low grade)</t>
  </si>
  <si>
    <t>DOHC MPI theta-ii</t>
  </si>
  <si>
    <t>Crosstrek</t>
  </si>
  <si>
    <t>Ltd + NAVI + EyeSight</t>
  </si>
  <si>
    <t>Naturally Aspirated</t>
  </si>
  <si>
    <t>R-Class</t>
  </si>
  <si>
    <t>4 MATIC</t>
  </si>
  <si>
    <t>R350</t>
  </si>
  <si>
    <t>Unlimited Rubicon</t>
  </si>
  <si>
    <t>Platinum</t>
  </si>
  <si>
    <t>TIVCT</t>
  </si>
  <si>
    <t>TRD offroad Prem</t>
  </si>
  <si>
    <t>R/T 392</t>
  </si>
  <si>
    <t>GSV40L/AVV60L</t>
  </si>
  <si>
    <t>QX60</t>
  </si>
  <si>
    <t>Xterra</t>
  </si>
  <si>
    <t>L87</t>
  </si>
  <si>
    <t>GDI Theta III</t>
  </si>
  <si>
    <t>GLC-Class</t>
  </si>
  <si>
    <t>Base-4M</t>
  </si>
  <si>
    <t>GLC300</t>
  </si>
  <si>
    <t>M274</t>
  </si>
  <si>
    <t>Rebel(U, BUX), Sport 2TL pkg/Rebel 2TW pkg (Can)</t>
  </si>
  <si>
    <t>1500-SLT</t>
  </si>
  <si>
    <t>L20 - Flex Fuel(Gas/Ethanol), SFI Iron</t>
  </si>
  <si>
    <t>1LS/1LT</t>
  </si>
  <si>
    <t>LTG - Spark ignited Direct injection, Variable Valve Timing, ALUM DOHC, DCVCP TURBO, E0-E100, ALUM</t>
  </si>
  <si>
    <t>Tradesman</t>
  </si>
  <si>
    <t>SLT1</t>
  </si>
  <si>
    <t>STD, Style, Tech</t>
  </si>
  <si>
    <t>DOHC GDI NU</t>
  </si>
  <si>
    <t>SR/SR5</t>
  </si>
  <si>
    <t>B5254T2</t>
  </si>
  <si>
    <t>VIRGINIA</t>
  </si>
  <si>
    <t>GTDI Sigma w/Premium Fuel</t>
  </si>
  <si>
    <t>L86 - VVT, AFM, E85 Max, Aluminum.</t>
  </si>
  <si>
    <t>Premier (2LZ)</t>
  </si>
  <si>
    <t>LTG - Spark Ignited Direct Injection, ALUM DOHC, Variable Valve Timing, DCVCP TURBO, E0-E100, ALUM</t>
  </si>
  <si>
    <t>ALPHA</t>
  </si>
  <si>
    <t>LML</t>
  </si>
  <si>
    <t>M</t>
  </si>
  <si>
    <t>Incomplete - Chassis Cab (Number of Cab Unknown)</t>
  </si>
  <si>
    <t>LANCASTER</t>
  </si>
  <si>
    <t>Trail Boss - LT</t>
  </si>
  <si>
    <t>Latitude Plus</t>
  </si>
  <si>
    <t>SE/XLE</t>
  </si>
  <si>
    <t>Pacifica</t>
  </si>
  <si>
    <t>Advanced 4x4</t>
  </si>
  <si>
    <t>First Edition</t>
  </si>
  <si>
    <t>Grand Caravan</t>
  </si>
  <si>
    <t>MR20DE</t>
  </si>
  <si>
    <t>Preferred Package</t>
  </si>
  <si>
    <t>PYUKD</t>
  </si>
  <si>
    <t>2H0</t>
  </si>
  <si>
    <t>L86 -SIDI: Spark Ignition Direct Injection, VVT: Variable Valve Timing, AFM, E85 MAX, ALUM</t>
  </si>
  <si>
    <t>GRN280L/GRN285L/TRN280L/TRN285L</t>
  </si>
  <si>
    <t>SLE 2 FWD</t>
  </si>
  <si>
    <t>LS w/Connectivity Package</t>
  </si>
  <si>
    <t>I4 Coupe</t>
  </si>
  <si>
    <t>Azera</t>
  </si>
  <si>
    <t>Azera tech</t>
  </si>
  <si>
    <t>GDI Lambda - II</t>
  </si>
  <si>
    <t>ST</t>
  </si>
  <si>
    <t>L5P - DI, DURAMAX, GEN 5, VAR. 1</t>
  </si>
  <si>
    <t>Tiguan</t>
  </si>
  <si>
    <t>SEL Sport</t>
  </si>
  <si>
    <t>L82 - DI, AFM, ALUM, GEN 5, VAR 1</t>
  </si>
  <si>
    <t>Corsair</t>
  </si>
  <si>
    <t>GTDI-A</t>
  </si>
  <si>
    <t>Ltd/Platinum</t>
  </si>
  <si>
    <t>Base/ BaseStyle/ Base Tech Turbo/ Turbo Ultimate</t>
  </si>
  <si>
    <t>DOHC T-GDI GAMMA</t>
  </si>
  <si>
    <t>Golf GTI</t>
  </si>
  <si>
    <t>S, Sport, SE, Autobahn</t>
  </si>
  <si>
    <t>LBP</t>
  </si>
  <si>
    <t>Sprinter</t>
  </si>
  <si>
    <t>C3500</t>
  </si>
  <si>
    <t>MB OM642</t>
  </si>
  <si>
    <t>King Ranch</t>
  </si>
  <si>
    <t>4Motion 3.6 FSI SEL Premium</t>
  </si>
  <si>
    <t>QX80</t>
  </si>
  <si>
    <t>SLE 2 AWD</t>
  </si>
  <si>
    <t>LCV - L4, SIDI, DCVCP, VVT, E85 MAX , E0-E100, ALUM</t>
  </si>
  <si>
    <t>Limited+ES+Navi(HK)+AP</t>
  </si>
  <si>
    <t>Naturally Aspirated U5</t>
  </si>
  <si>
    <t>MASERATI</t>
  </si>
  <si>
    <t>Ghibli</t>
  </si>
  <si>
    <t>M157</t>
  </si>
  <si>
    <t>M156B</t>
  </si>
  <si>
    <t>EX, EX w/Out BSI</t>
  </si>
  <si>
    <t>R/T Rallye / R/T</t>
  </si>
  <si>
    <t>Medium</t>
  </si>
  <si>
    <t>J35Z1</t>
  </si>
  <si>
    <t>LTZ (RPO STZ)</t>
  </si>
  <si>
    <t>LZG</t>
  </si>
  <si>
    <t>SR5/SR5 Premium/TRD Off Road/TRD Off Road Premium/Ltd/TRD Pro</t>
  </si>
  <si>
    <t>SE/SEL</t>
  </si>
  <si>
    <t>L/LE/SE/XLE</t>
  </si>
  <si>
    <t>EXL-R</t>
  </si>
  <si>
    <t>L3B - SIDI, VVT, ALUM</t>
  </si>
  <si>
    <t>Super Duty - Dual Rear Wheel</t>
  </si>
  <si>
    <t>Incomplete - Chassis Cab (Single Cab)</t>
  </si>
  <si>
    <t>MCV20L/SXV20L</t>
  </si>
  <si>
    <t>5S-FE</t>
  </si>
  <si>
    <t>EQE-Class SUV</t>
  </si>
  <si>
    <t>EQE350 4MATIC</t>
  </si>
  <si>
    <t>ED</t>
  </si>
  <si>
    <t>Seville</t>
  </si>
  <si>
    <t>SLS</t>
  </si>
  <si>
    <t>LD8</t>
  </si>
  <si>
    <t>Unlimited Sahara</t>
  </si>
  <si>
    <t>428i</t>
  </si>
  <si>
    <t>LS (1FL)</t>
  </si>
  <si>
    <t>LT (2FL)</t>
  </si>
  <si>
    <t>K24Z1</t>
  </si>
  <si>
    <t>XLE (M Grade)</t>
  </si>
  <si>
    <t>PE Federal/Canada/California</t>
  </si>
  <si>
    <t>Encore GX</t>
  </si>
  <si>
    <t>L3T -  L3, SIDI, VVT, ALUM</t>
  </si>
  <si>
    <t>E320</t>
  </si>
  <si>
    <t>Leather</t>
  </si>
  <si>
    <t>K24W9</t>
  </si>
  <si>
    <t>L83 - Spark Ignited Direct Injection, Variable Valve Timing, AFM, E85 MAX, ALUM</t>
  </si>
  <si>
    <t>Sport Platinum</t>
  </si>
  <si>
    <t>HOUSTON</t>
  </si>
  <si>
    <t>U</t>
  </si>
  <si>
    <t>Police</t>
  </si>
  <si>
    <t>4-MATIC</t>
  </si>
  <si>
    <t>GLS(Middle grade)</t>
  </si>
  <si>
    <t>DOHC MPI NU</t>
  </si>
  <si>
    <t>XLT/ KING RANCH</t>
  </si>
  <si>
    <t>Grand Cherokee L</t>
  </si>
  <si>
    <t>AJ126</t>
  </si>
  <si>
    <t>FINLAND</t>
  </si>
  <si>
    <t>XL Denali</t>
  </si>
  <si>
    <t>L86 - Spark Ignited Direct Injection, Variable Valve Timing, AFM, E85MAX, ALUM</t>
  </si>
  <si>
    <t>DR / Light Duty</t>
  </si>
  <si>
    <t>3500 (1 Ton)</t>
  </si>
  <si>
    <t>L31</t>
  </si>
  <si>
    <t>DOHC GDI LAMBDA II</t>
  </si>
  <si>
    <t>Cooper Convertible</t>
  </si>
  <si>
    <t>AXAA52L/AXAA54L/AXAH54L</t>
  </si>
  <si>
    <t>L83 -SIDI: Spark Ignited Direct Injection, VVT: Variable Valve Timing, AFM, E85 MAX, ALUM</t>
  </si>
  <si>
    <t>X1</t>
  </si>
  <si>
    <t>X1 sDrive28i</t>
  </si>
  <si>
    <t>LFX (2.0L) Federal</t>
  </si>
  <si>
    <t>Rio</t>
  </si>
  <si>
    <t>JB</t>
  </si>
  <si>
    <t>LM2</t>
  </si>
  <si>
    <t>1LS</t>
  </si>
  <si>
    <t>LWE</t>
  </si>
  <si>
    <t>SATURN</t>
  </si>
  <si>
    <t>Ion</t>
  </si>
  <si>
    <t>Sedan Level 1</t>
  </si>
  <si>
    <t>L61</t>
  </si>
  <si>
    <t>TOLEDO</t>
  </si>
  <si>
    <t>Taos</t>
  </si>
  <si>
    <t>Quad Cab</t>
  </si>
  <si>
    <t>Big Horn</t>
  </si>
  <si>
    <t>320i</t>
  </si>
  <si>
    <t>GLB-Class</t>
  </si>
  <si>
    <t>GLB250</t>
  </si>
  <si>
    <t>M260</t>
  </si>
  <si>
    <t>Navigator</t>
  </si>
  <si>
    <t>Sahara/Unlimited Sahara</t>
  </si>
  <si>
    <t>L99</t>
  </si>
  <si>
    <t>SV</t>
  </si>
  <si>
    <t>ES/SE/LE/SP/SEL/Limited</t>
  </si>
  <si>
    <t>L3V (2.3L) Federal</t>
  </si>
  <si>
    <t>Convenience</t>
  </si>
  <si>
    <t>S-Class</t>
  </si>
  <si>
    <t>S550</t>
  </si>
  <si>
    <t>Spark</t>
  </si>
  <si>
    <t>1LT (LT)</t>
  </si>
  <si>
    <t>LV7 - MFI, Variable Valve Timing, ALUM, GEN 1 VAR 1</t>
  </si>
  <si>
    <t>Prm+AWP</t>
  </si>
  <si>
    <t>LL0</t>
  </si>
  <si>
    <t>75 Series</t>
  </si>
  <si>
    <t>V35A-FTS</t>
  </si>
  <si>
    <t>2.0L GTDI w/premium fuel</t>
  </si>
  <si>
    <t>EXL/EXL-NAVI/EXL-RES</t>
  </si>
  <si>
    <t>LUV - VVT, ALUM GME E85 MAX</t>
  </si>
  <si>
    <t>Frontier</t>
  </si>
  <si>
    <t>KA24DE</t>
  </si>
  <si>
    <t>Middle-low level</t>
  </si>
  <si>
    <t>ASA33L/ASA38L/GSA33L/GSA38L</t>
  </si>
  <si>
    <t>SLE 1 (AWD)</t>
  </si>
  <si>
    <t>ILX</t>
  </si>
  <si>
    <t>20 TECH</t>
  </si>
  <si>
    <t>R20A5</t>
  </si>
  <si>
    <t>LFY - Spark Ignited Direct injection, ATSS, GEN 1</t>
  </si>
  <si>
    <t>Sport 4-M Bi-Turbo</t>
  </si>
  <si>
    <t>AMG GLE43</t>
  </si>
  <si>
    <t>C300</t>
  </si>
  <si>
    <t>330i</t>
  </si>
  <si>
    <t>Sedan NA</t>
  </si>
  <si>
    <t>DTS</t>
  </si>
  <si>
    <t>L76</t>
  </si>
  <si>
    <t>Avenir</t>
  </si>
  <si>
    <t>Limited+M/R+ES+NAVI</t>
  </si>
  <si>
    <t>U5</t>
  </si>
  <si>
    <t>SLK-Class</t>
  </si>
  <si>
    <t>320</t>
  </si>
  <si>
    <t>MB</t>
  </si>
  <si>
    <t>Model Y</t>
  </si>
  <si>
    <t>Discovery</t>
  </si>
  <si>
    <t>SE, ECO</t>
  </si>
  <si>
    <t>SRT 392</t>
  </si>
  <si>
    <t>CX</t>
  </si>
  <si>
    <t>LX, S</t>
  </si>
  <si>
    <t>DOHC GDI LAMBDA</t>
  </si>
  <si>
    <t>Escort</t>
  </si>
  <si>
    <t>L/LE/SE/XLE/XSE</t>
  </si>
  <si>
    <t>Base / LX</t>
  </si>
  <si>
    <t>DOHC MPI Theta - II</t>
  </si>
  <si>
    <t>A4</t>
  </si>
  <si>
    <t>quattro Premium</t>
  </si>
  <si>
    <t>HD</t>
  </si>
  <si>
    <t>DJ (Single Rear Wheels)</t>
  </si>
  <si>
    <t>300</t>
  </si>
  <si>
    <t>SXT/SLT</t>
  </si>
  <si>
    <t>ND</t>
  </si>
  <si>
    <t>ZRE212L</t>
  </si>
  <si>
    <t>Cavalier</t>
  </si>
  <si>
    <t>MCL20L/MCL23L/MC25L</t>
  </si>
  <si>
    <t>3MZ-FE</t>
  </si>
  <si>
    <t>S500</t>
  </si>
  <si>
    <t>xDrive GT</t>
  </si>
  <si>
    <t>IS</t>
  </si>
  <si>
    <t>ASE30L/GSE31L/GSE36L/GSE37L</t>
  </si>
  <si>
    <t>4GR-FSE</t>
  </si>
  <si>
    <t>S, SE, R-Line</t>
  </si>
  <si>
    <t>1.4 TSI</t>
  </si>
  <si>
    <t>Plus</t>
  </si>
  <si>
    <t>Model 3</t>
  </si>
  <si>
    <t>LUW</t>
  </si>
  <si>
    <t>LX - Middle-low</t>
  </si>
  <si>
    <t>EX35</t>
  </si>
  <si>
    <t>Rogue Select</t>
  </si>
  <si>
    <t>SR/SR5/TRD Sport</t>
  </si>
  <si>
    <t>K24A2</t>
  </si>
  <si>
    <t>Touring L</t>
  </si>
  <si>
    <t>XLS</t>
  </si>
  <si>
    <t>VZN180L/VZN185L</t>
  </si>
  <si>
    <t>5VZ-FE</t>
  </si>
  <si>
    <t>Preferred</t>
  </si>
  <si>
    <t>LUV: MFI, Variable Valve Timing, ALUM, E85 MAX</t>
  </si>
  <si>
    <t>Transit Connect</t>
  </si>
  <si>
    <t>SPAIN</t>
  </si>
  <si>
    <t>Limited +M/R+6CD HK</t>
  </si>
  <si>
    <t>2.5NA U6</t>
  </si>
  <si>
    <t>Dart</t>
  </si>
  <si>
    <t>Limited/RT</t>
  </si>
  <si>
    <t>4XE</t>
  </si>
  <si>
    <t>C-HR</t>
  </si>
  <si>
    <t>XLE/XLE Premium</t>
  </si>
  <si>
    <t>ZGX10L</t>
  </si>
  <si>
    <t>3ZR-FAE</t>
  </si>
  <si>
    <t>TURKEY</t>
  </si>
  <si>
    <t>MKZ</t>
  </si>
  <si>
    <t>AWD</t>
  </si>
  <si>
    <t>Touring Eye-Sight+ NAVI+ H/K</t>
  </si>
  <si>
    <t>2.5Turbo U4</t>
  </si>
  <si>
    <t>I4 Convertible</t>
  </si>
  <si>
    <t>2.3L 4V Premium Fuel</t>
  </si>
  <si>
    <t>Yaris</t>
  </si>
  <si>
    <t>NCP91L / NCP93L</t>
  </si>
  <si>
    <t>1NZ-FE</t>
  </si>
  <si>
    <t>S65 AMG</t>
  </si>
  <si>
    <t>GLS(Middle)</t>
  </si>
  <si>
    <t>Versa Note</t>
  </si>
  <si>
    <t>S4</t>
  </si>
  <si>
    <t>Audi</t>
  </si>
  <si>
    <t>FWD/eAWD (T8)</t>
  </si>
  <si>
    <t>B4204T (MP)</t>
  </si>
  <si>
    <t>Crew Cab SRW</t>
  </si>
  <si>
    <t>L</t>
  </si>
  <si>
    <t>XL</t>
  </si>
  <si>
    <t>2.5L DOHC PFI</t>
  </si>
  <si>
    <t>Latitude (North for Canada)</t>
  </si>
  <si>
    <t>Hardtop</t>
  </si>
  <si>
    <t>Cooper S</t>
  </si>
  <si>
    <t>North (Can), Latitude (U)</t>
  </si>
  <si>
    <t>Technology Package</t>
  </si>
  <si>
    <t>XTS</t>
  </si>
  <si>
    <t>LFX - SIDI: Spark Ignited Direct injection, VVT: Variable Valve Timing, E85 MAX, ALUM</t>
  </si>
  <si>
    <t>330</t>
  </si>
  <si>
    <t>MCV31L</t>
  </si>
  <si>
    <t>XLE/XSE/Touring/Ltd.</t>
  </si>
  <si>
    <t>GSX50L/AXXH50L</t>
  </si>
  <si>
    <t>C300-4M</t>
  </si>
  <si>
    <t>TLX</t>
  </si>
  <si>
    <t>TECH V6</t>
  </si>
  <si>
    <t>XJ</t>
  </si>
  <si>
    <t>XJL / XJL Supercharged</t>
  </si>
  <si>
    <t>Ecosport</t>
  </si>
  <si>
    <t>SE - FWD</t>
  </si>
  <si>
    <t>INDIA</t>
  </si>
  <si>
    <t>2.5 NA U5</t>
  </si>
  <si>
    <t>SE / Value Edition / Sport / Limited</t>
  </si>
  <si>
    <t>Sport +ES +BSD</t>
  </si>
  <si>
    <t>Fiesta</t>
  </si>
  <si>
    <t>1.6L Ti-VCT</t>
  </si>
  <si>
    <t>TL</t>
  </si>
  <si>
    <t>J35Z6</t>
  </si>
  <si>
    <t>FE, LXS</t>
  </si>
  <si>
    <t>L59</t>
  </si>
  <si>
    <t>SE Pop, SE Plus, Eco, Sport, Value, Ultimate Base/Ultimate</t>
  </si>
  <si>
    <t>DS</t>
  </si>
  <si>
    <t>Premium Plus</t>
  </si>
  <si>
    <t>2.0T</t>
  </si>
  <si>
    <t>SE Wolfsburg Edition</t>
  </si>
  <si>
    <t>128i</t>
  </si>
  <si>
    <t>1-Series</t>
  </si>
  <si>
    <t>Work Truck/Fleet/Base</t>
  </si>
  <si>
    <t>76 Series</t>
  </si>
  <si>
    <t>Premier (2LT)</t>
  </si>
  <si>
    <t>SEL, Value Edition &amp; Limited</t>
  </si>
  <si>
    <t>MPI NU</t>
  </si>
  <si>
    <t>GL-Class</t>
  </si>
  <si>
    <t>GL450</t>
  </si>
  <si>
    <t>LY5</t>
  </si>
  <si>
    <t>Hummer EV SUV</t>
  </si>
  <si>
    <t>3X</t>
  </si>
  <si>
    <t>XRL + ETJ</t>
  </si>
  <si>
    <t>AN/DN</t>
  </si>
  <si>
    <t>Sierra HD</t>
  </si>
  <si>
    <t>Fit</t>
  </si>
  <si>
    <t>L15A1</t>
  </si>
  <si>
    <t>535i</t>
  </si>
  <si>
    <t>Discovery Sport</t>
  </si>
  <si>
    <t>AJ20P</t>
  </si>
  <si>
    <t>R-Dynamic SE</t>
  </si>
  <si>
    <t>250C</t>
  </si>
  <si>
    <t>GSE20L/GSE21L/GSE25L</t>
  </si>
  <si>
    <t>GSK50L/UCK50L/USK50L/GSK51L/UCK51LUSK51L/UCK52L/USK52L/UCK55L/USK55L/UCK56L/USK56L/UCK57L/USK57L</t>
  </si>
  <si>
    <t>ML-Class</t>
  </si>
  <si>
    <t>ML350</t>
  </si>
  <si>
    <t>Caravan/Grand Caravan</t>
  </si>
  <si>
    <t>SE Popular Pkg, SE Tech pkg, Limited</t>
  </si>
  <si>
    <t>SH-AWD</t>
  </si>
  <si>
    <t>AT4</t>
  </si>
  <si>
    <t>L87 -  DI DFM, ALUM, GEN 5</t>
  </si>
  <si>
    <t>Trailblazer</t>
  </si>
  <si>
    <t>LL8</t>
  </si>
  <si>
    <t>MK49</t>
  </si>
  <si>
    <t>GT Line</t>
  </si>
  <si>
    <t>CX-9</t>
  </si>
  <si>
    <t>CAV Californoia</t>
  </si>
  <si>
    <t>NHW20L</t>
  </si>
  <si>
    <t>INZ-FXE+3CM</t>
  </si>
  <si>
    <t>Sonic</t>
  </si>
  <si>
    <t>LWE - VVT, GME</t>
  </si>
  <si>
    <t>MCU20L</t>
  </si>
  <si>
    <t>GREENVILLE</t>
  </si>
  <si>
    <t>XC60</t>
  </si>
  <si>
    <t>Premier (non R design)</t>
  </si>
  <si>
    <t>B5254T12</t>
  </si>
  <si>
    <t>C350</t>
  </si>
  <si>
    <t>Platinum/1794</t>
  </si>
  <si>
    <t>UPK51L/UPK56L/USK51L/USK52L/USK56L/USK57L</t>
  </si>
  <si>
    <t>Auto trans, RWD</t>
  </si>
  <si>
    <t>LY7</t>
  </si>
  <si>
    <t>Medium Roof</t>
  </si>
  <si>
    <t>K24Z2</t>
  </si>
  <si>
    <t>SE, SE (AQ301 Trans)</t>
  </si>
  <si>
    <t>2.0L GTDI high w/Premium Fuel</t>
  </si>
  <si>
    <t>FE/LX/LXS</t>
  </si>
  <si>
    <t>LT FWD (1LT)</t>
  </si>
  <si>
    <t>GSK50L/UPK50L/USK50L/GSK51L/UPK51L/USK51L/UPK52L/USK52L/UPK55L/USK55LUPK56L/USK56L/UPK57L/USK57L</t>
  </si>
  <si>
    <t>SE, SE R-Line Black, SEL</t>
  </si>
  <si>
    <t>Sport / Limited / Sport 2.0</t>
  </si>
  <si>
    <t>LV3 - GEN 5, SIDI, VVT: Variable Valve Timing, E85 MAX, ALUM</t>
  </si>
  <si>
    <t>300 Touring (US &amp; Can), 300 Limited (BUX)</t>
  </si>
  <si>
    <t>Light Duty</t>
  </si>
  <si>
    <t>Select</t>
  </si>
  <si>
    <t>2.0L Ecoboost</t>
  </si>
  <si>
    <t>SLT 1 FWD</t>
  </si>
  <si>
    <t>Premier (1LZ)</t>
  </si>
  <si>
    <t>GSE20L/GSE21L</t>
  </si>
  <si>
    <t>WRX</t>
  </si>
  <si>
    <t>GX</t>
  </si>
  <si>
    <t>460</t>
  </si>
  <si>
    <t>URJ150L</t>
  </si>
  <si>
    <t>Q7</t>
  </si>
  <si>
    <t>S Line Prestige</t>
  </si>
  <si>
    <t>3.0T</t>
  </si>
  <si>
    <t>SLOVAKIA</t>
  </si>
  <si>
    <t>LGX -  DI: Direct Injection, VVT, ALUM, GEN 2</t>
  </si>
  <si>
    <t>Fleet/Base</t>
  </si>
  <si>
    <t>Venue</t>
  </si>
  <si>
    <t>SEL / Limited</t>
  </si>
  <si>
    <t>GAMMA II</t>
  </si>
  <si>
    <t>ProMaster 1500</t>
  </si>
  <si>
    <t>VF</t>
  </si>
  <si>
    <t>Sport / GS</t>
  </si>
  <si>
    <t>GRN305L</t>
  </si>
  <si>
    <t>Crossword</t>
  </si>
  <si>
    <t>Insight</t>
  </si>
  <si>
    <t>LDA3</t>
  </si>
  <si>
    <t>Captiva Sport</t>
  </si>
  <si>
    <t>L86 - SIDI: Spark Ignited Direct Injection, VVT: Variable Valve Timing, AFM, E85 MAX, ALUM</t>
  </si>
  <si>
    <t>Prius V</t>
  </si>
  <si>
    <t>ZVW41L</t>
  </si>
  <si>
    <t>2ZR-FXE+5JM</t>
  </si>
  <si>
    <t>XLE</t>
  </si>
  <si>
    <t>GSU75L</t>
  </si>
  <si>
    <t>L15B1</t>
  </si>
  <si>
    <t>5.0L 4V Premium Fuel</t>
  </si>
  <si>
    <t>RS</t>
  </si>
  <si>
    <t>SE / SE NAVI / Limited / Limited NAVI</t>
  </si>
  <si>
    <t>SE w/ Technology, 4Motion w/ R-Line</t>
  </si>
  <si>
    <t>GSK30L/UCK30L/UCK31L</t>
  </si>
  <si>
    <t>sDrive35i</t>
  </si>
  <si>
    <t>LT AWD (1LT)</t>
  </si>
  <si>
    <t>LIH - E0-15, DI, L3, VVT, ALUM, CSS PRIME</t>
  </si>
  <si>
    <t>MCU23L/MCU28L/ACU20L/ACU25L</t>
  </si>
  <si>
    <t>OTH</t>
  </si>
  <si>
    <t>LX, S, X-Line</t>
  </si>
  <si>
    <t>Premium ES, SMART</t>
  </si>
  <si>
    <t>Tech</t>
  </si>
  <si>
    <t>3.7L Ti-VCT</t>
  </si>
  <si>
    <t>Ridgeline</t>
  </si>
  <si>
    <t>RTL</t>
  </si>
  <si>
    <t>Monocoque Chassis - Double Cab</t>
  </si>
  <si>
    <t>J35A9</t>
  </si>
  <si>
    <t>STX</t>
  </si>
  <si>
    <t>Liberty</t>
  </si>
  <si>
    <t>KK</t>
  </si>
  <si>
    <t>Scat Pack</t>
  </si>
  <si>
    <t>E grade</t>
  </si>
  <si>
    <t>GSL30L/GSL33L/GSL35L</t>
  </si>
  <si>
    <t>AXLH45L</t>
  </si>
  <si>
    <t>A25A-FXS, 5NM, 4NM</t>
  </si>
  <si>
    <t>EV Minivan</t>
  </si>
  <si>
    <t>F-550</t>
  </si>
  <si>
    <t>F-Series Super Duty - Dual Rear Wheel</t>
  </si>
  <si>
    <t>Incomplete - Chassis Cab (Double Cab)</t>
  </si>
  <si>
    <t>Class 5: 16,001 - 19,500 lb (7,258 - 8,845 kg)</t>
  </si>
  <si>
    <t>HD Truck</t>
  </si>
  <si>
    <t>400h</t>
  </si>
  <si>
    <t>MHU33L/MHU38L</t>
  </si>
  <si>
    <t>3MZ-FE + 1JM, 2FM</t>
  </si>
  <si>
    <t>Overland</t>
  </si>
  <si>
    <t>1RS</t>
  </si>
  <si>
    <t>I4</t>
  </si>
  <si>
    <t>4V</t>
  </si>
  <si>
    <t>F-450</t>
  </si>
  <si>
    <t>LS / Captiva Sport LS</t>
  </si>
  <si>
    <t>LNJ</t>
  </si>
  <si>
    <t>Crosstour</t>
  </si>
  <si>
    <t>K24Y2</t>
  </si>
  <si>
    <t>LX Premium</t>
  </si>
  <si>
    <t>SRW Medium Roof Van</t>
  </si>
  <si>
    <t>BUS</t>
  </si>
  <si>
    <t>LU3 - 90 Degree engine</t>
  </si>
  <si>
    <t>GTDI LEV3 SULEV30</t>
  </si>
  <si>
    <t>SE R-Line Black</t>
  </si>
  <si>
    <t>TOURING-7</t>
  </si>
  <si>
    <t>S40</t>
  </si>
  <si>
    <t>B5254T7</t>
  </si>
  <si>
    <t>Super Crew - Raptor</t>
  </si>
  <si>
    <t>Astro Van</t>
  </si>
  <si>
    <t>Scion iM</t>
  </si>
  <si>
    <t>ZRE186L</t>
  </si>
  <si>
    <t>NCP131L</t>
  </si>
  <si>
    <t>FRANCE</t>
  </si>
  <si>
    <t>2LT/ Captiva Sport LT</t>
  </si>
  <si>
    <t>LG8</t>
  </si>
  <si>
    <t>LFX - SIDI, VVT, E85 MAX, Aluminum</t>
  </si>
  <si>
    <t>TOP</t>
  </si>
  <si>
    <t>Gasoline 3.3 V6 GDI Lambda II</t>
  </si>
  <si>
    <t>L15BY</t>
  </si>
  <si>
    <t>CE</t>
  </si>
  <si>
    <t>Deluxe</t>
  </si>
  <si>
    <t>GRN270L</t>
  </si>
  <si>
    <t>L20 - Flex Fuel(Gas/Ethanol), IRON</t>
  </si>
  <si>
    <t>C4</t>
  </si>
  <si>
    <t>4500 Medium Duty</t>
  </si>
  <si>
    <t>Class 4: 14,001 - 16,000 lb (6,350 - 7,258 kg)</t>
  </si>
  <si>
    <t>Denali AWD</t>
  </si>
  <si>
    <t>GLS, JSL</t>
  </si>
  <si>
    <t>Grand Wagoneer</t>
  </si>
  <si>
    <t>Series III</t>
  </si>
  <si>
    <t>V6 Convertible</t>
  </si>
  <si>
    <t>LT (&amp; 2LT)</t>
  </si>
  <si>
    <t>All Terrain 1</t>
  </si>
  <si>
    <t>Core grade (Canada only)</t>
  </si>
  <si>
    <t>SLT (1)</t>
  </si>
  <si>
    <t>Value, SEL, Sport, Limited, Ultimate, Night</t>
  </si>
  <si>
    <t>GDI Theta II</t>
  </si>
  <si>
    <t>IZZ-FE</t>
  </si>
  <si>
    <t>600 Luxury</t>
  </si>
  <si>
    <t>310 Series</t>
  </si>
  <si>
    <t>Zephyr</t>
  </si>
  <si>
    <t>Grand Touring</t>
  </si>
  <si>
    <t>PY Cylinder Deactivation</t>
  </si>
  <si>
    <t>LLT - ALUM, 60 Degrees, SIDI: Spark ignited Direct Injection</t>
  </si>
  <si>
    <t>GSX40L / AVX40L</t>
  </si>
  <si>
    <t>CROSSROAD (M,U,C)</t>
  </si>
  <si>
    <t>A6</t>
  </si>
  <si>
    <t>C-Max</t>
  </si>
  <si>
    <t>ATK IVCT HEV</t>
  </si>
  <si>
    <t>L96 - Flexible Fuel Engine (GAS/ETHANOL), IRON</t>
  </si>
  <si>
    <t>Gran Coupe</t>
  </si>
  <si>
    <t>YEL</t>
  </si>
  <si>
    <t>RC</t>
  </si>
  <si>
    <t>350 2WD</t>
  </si>
  <si>
    <t>ASC10L/GSC10L/GSC15L/GSC16L</t>
  </si>
  <si>
    <t>LATITUDE (US-MEX)-NORTH(CAN)-LONGITUDE(Others)</t>
  </si>
  <si>
    <t>Base/Hybrid Base/SE</t>
  </si>
  <si>
    <t>GSU40L/GSU45L/ASU40L/GVU48L</t>
  </si>
  <si>
    <t>Standard Roof 136in WB</t>
  </si>
  <si>
    <t>Advance</t>
  </si>
  <si>
    <t>EV Pickup 1500</t>
  </si>
  <si>
    <t>G</t>
  </si>
  <si>
    <t>Heavy Duty</t>
  </si>
  <si>
    <t>LFX - SIDI, VVT, E85 MAX, ALUM</t>
  </si>
  <si>
    <t>530e</t>
  </si>
  <si>
    <t>Premium, Ultra Premium</t>
  </si>
  <si>
    <t>SLE 1 FWD</t>
  </si>
  <si>
    <t>Lyriq</t>
  </si>
  <si>
    <t>Lux-1</t>
  </si>
  <si>
    <t>X0E + EC6</t>
  </si>
  <si>
    <t>Summit</t>
  </si>
  <si>
    <t>TiVCT</t>
  </si>
  <si>
    <t>LT-L</t>
  </si>
  <si>
    <t>VP</t>
  </si>
  <si>
    <t>Denali XL</t>
  </si>
  <si>
    <t>L94 - Flex Fuel(Gas/ALC). ALUM Cylinder Deactivation</t>
  </si>
  <si>
    <t>Convenience Group</t>
  </si>
  <si>
    <t>Touring/Touring-EL</t>
  </si>
  <si>
    <t>HEV</t>
  </si>
  <si>
    <t>L20 - Engine Flexible Fuel, Iron</t>
  </si>
  <si>
    <t>Unlimited X / Sport</t>
  </si>
  <si>
    <t>M45</t>
  </si>
  <si>
    <t>VK45DE</t>
  </si>
  <si>
    <t>SR5 Grade</t>
  </si>
  <si>
    <t>UPK51L/USK51L/USK52L/UPK56L/USK56L/USK57L</t>
  </si>
  <si>
    <t>LGX</t>
  </si>
  <si>
    <t>R-Line</t>
  </si>
  <si>
    <t>550i</t>
  </si>
  <si>
    <t>Genesis Coupe</t>
  </si>
  <si>
    <t>SEL Without FCA, SEL + Convenience Pkg (without FCA), SE</t>
  </si>
  <si>
    <t>MPI Nu PE</t>
  </si>
  <si>
    <t>AXVA70L</t>
  </si>
  <si>
    <t>LV1 - SIDI, VVT, E85 MAX, IRON</t>
  </si>
  <si>
    <t>USE20L</t>
  </si>
  <si>
    <t>Corolla Matrix</t>
  </si>
  <si>
    <t>ZZE132L/ZZE133L/ZZE134L</t>
  </si>
  <si>
    <t>Trail Boss Custom</t>
  </si>
  <si>
    <t>LV3 - GEN 5, SIDI, VVT, OHV, E85 MAX ALUM</t>
  </si>
  <si>
    <t>AXAA52L / AXAA54L / AXAH54L / AXAL54L</t>
  </si>
  <si>
    <t>Low Roof</t>
  </si>
  <si>
    <t>Continental</t>
  </si>
  <si>
    <t>2.7L GTDI</t>
  </si>
  <si>
    <t>xDrive28i</t>
  </si>
  <si>
    <t>40 Series</t>
  </si>
  <si>
    <t>RS (1SP)</t>
  </si>
  <si>
    <t>STI Limited+L+KA+RE+BSD+NAVI(H/K)+M/R</t>
  </si>
  <si>
    <t>SE, SEL</t>
  </si>
  <si>
    <t>XLE/XLE Plus/XLE Premium/Touring/Ltd.</t>
  </si>
  <si>
    <t>PY Cylinder Decativation</t>
  </si>
  <si>
    <t>Select Sport Package</t>
  </si>
  <si>
    <t>Touring (US &amp; Can), Limited (BUX)</t>
  </si>
  <si>
    <t>CORPUSCHRISTI</t>
  </si>
  <si>
    <t>PY Cylinder Deactiviation</t>
  </si>
  <si>
    <t>Premium Style Edition/Tech Style Edition</t>
  </si>
  <si>
    <t>K24V7</t>
  </si>
  <si>
    <t>LFA - LIVC, Active Fuel Management System</t>
  </si>
  <si>
    <t>Quest</t>
  </si>
  <si>
    <t>SA SULEV</t>
  </si>
  <si>
    <t>EXL/ EXL-NAVI/ EXL-RES</t>
  </si>
  <si>
    <t>A-SPEC</t>
  </si>
  <si>
    <t>2LS</t>
  </si>
  <si>
    <t>SHREVEPORT</t>
  </si>
  <si>
    <t>Limited Grade</t>
  </si>
  <si>
    <t>USK60L/USK65L</t>
  </si>
  <si>
    <t>HHR</t>
  </si>
  <si>
    <t>LE8 -Flex Fuel (Gas/Alc), VVT, ALUM</t>
  </si>
  <si>
    <t>LX w/Popular Pkg</t>
  </si>
  <si>
    <t>50 Series</t>
  </si>
  <si>
    <t>SEL &amp; Limited</t>
  </si>
  <si>
    <t>Crew</t>
  </si>
  <si>
    <t>Komfort</t>
  </si>
  <si>
    <t>QL</t>
  </si>
  <si>
    <t>KJ</t>
  </si>
  <si>
    <t>G 1.6 DOHC T-GDI</t>
  </si>
  <si>
    <t>L86 - Spark Ignited Direct Injection, Variable Valve Timing, E85 MAX, AFM, ALUM</t>
  </si>
  <si>
    <t>High Power Turbo</t>
  </si>
  <si>
    <t>ECO</t>
  </si>
  <si>
    <t>1.6L Ti-VCT Premium Fuel</t>
  </si>
  <si>
    <t>LT EXT</t>
  </si>
  <si>
    <t>3500 Passenger</t>
  </si>
  <si>
    <t>L96 - Engine Flexible Fuel, Iron</t>
  </si>
  <si>
    <t>Passport</t>
  </si>
  <si>
    <t>PLATINUM</t>
  </si>
  <si>
    <t>ELITE</t>
  </si>
  <si>
    <t>J35Y7</t>
  </si>
  <si>
    <t>Longitude(B),North(Can),Latitude(M,U)</t>
  </si>
  <si>
    <t>E-150</t>
  </si>
  <si>
    <t>North(Can),Latitude(U)</t>
  </si>
  <si>
    <t>LKW</t>
  </si>
  <si>
    <t>3.8 Base / 3.8 Premium / 3.8 Ultimate /3.3T Sport/ 5.0 Ultimate</t>
  </si>
  <si>
    <t>LGY</t>
  </si>
  <si>
    <t>Gamma II</t>
  </si>
  <si>
    <t>Grand Marquis</t>
  </si>
  <si>
    <t>MR18DE</t>
  </si>
  <si>
    <t>Premium+Moonroof</t>
  </si>
  <si>
    <t>Voyager</t>
  </si>
  <si>
    <t>LXI</t>
  </si>
  <si>
    <t>RWD V6</t>
  </si>
  <si>
    <t>2.0L GTDI Premium Fuel</t>
  </si>
  <si>
    <t>Limited/Latitude</t>
  </si>
  <si>
    <t>BLUETEC</t>
  </si>
  <si>
    <t>Seltos</t>
  </si>
  <si>
    <t>Nu MPI</t>
  </si>
  <si>
    <t>Touring/Touring-TE</t>
  </si>
  <si>
    <t>Eco</t>
  </si>
  <si>
    <t>T-GDI Kappa</t>
  </si>
  <si>
    <t>Borrego</t>
  </si>
  <si>
    <t>D2 (Dual Rear Wheels)</t>
  </si>
  <si>
    <t>LE (X Grade)</t>
  </si>
  <si>
    <t>XT6</t>
  </si>
  <si>
    <t>GLS / JSL / TAX (Middle Grade)</t>
  </si>
  <si>
    <t>200S</t>
  </si>
  <si>
    <t>SEL Convenience</t>
  </si>
  <si>
    <t>A25A-FXS, 5NM</t>
  </si>
  <si>
    <t>Jetta, S</t>
  </si>
  <si>
    <t>Premium+All Weather Package</t>
  </si>
  <si>
    <t>2.5L U6</t>
  </si>
  <si>
    <t>A25A-FXS</t>
  </si>
  <si>
    <t>1LS/ 1LT</t>
  </si>
  <si>
    <t>RS (3LT)</t>
  </si>
  <si>
    <t>QX56</t>
  </si>
  <si>
    <t>SE/Express</t>
  </si>
  <si>
    <t>L5P</t>
  </si>
  <si>
    <t>3-series</t>
  </si>
  <si>
    <t>DELUXE</t>
  </si>
  <si>
    <t>RZN140L</t>
  </si>
  <si>
    <t>2RZ-FE</t>
  </si>
  <si>
    <t>Pure Premium</t>
  </si>
  <si>
    <t>LEV3 SULEV30</t>
  </si>
  <si>
    <t>EL-Limited</t>
  </si>
  <si>
    <t>CLS-Class</t>
  </si>
  <si>
    <t>AMG</t>
  </si>
  <si>
    <t>CLS63</t>
  </si>
  <si>
    <t>GL1500CF (VALKYRIE INTERSTATE)</t>
  </si>
  <si>
    <t>MOTORCYCLE</t>
  </si>
  <si>
    <t>Motorcycle - Street</t>
  </si>
  <si>
    <t>Class 1A: 3,000 lb or less (1,360 kg or less)</t>
  </si>
  <si>
    <t>GSU70L/AXUH70L</t>
  </si>
  <si>
    <t>SE Hybrid</t>
  </si>
  <si>
    <t>2.0L 4V AtK HEV</t>
  </si>
  <si>
    <t>70 Series</t>
  </si>
  <si>
    <t>CAN-AM</t>
  </si>
  <si>
    <t>Outlander G2 / Outlander G2L</t>
  </si>
  <si>
    <t>XMR</t>
  </si>
  <si>
    <t>Fixed Digit</t>
  </si>
  <si>
    <t>Off-road Vehicle - All Terrain Vehicle (ATV) (Motorcycle-style)</t>
  </si>
  <si>
    <t>1000R</t>
  </si>
  <si>
    <t>EX-L V6</t>
  </si>
  <si>
    <t>Grand Vitara</t>
  </si>
  <si>
    <t>L4 Premium (US)/2.4L JX (Canada)</t>
  </si>
  <si>
    <t>Class C Hard Top</t>
  </si>
  <si>
    <t>Magnum</t>
  </si>
  <si>
    <t>DOHC T-GDI Theta II</t>
  </si>
  <si>
    <t>Canyon</t>
  </si>
  <si>
    <t>LGZ - Direct Injection, Variable Valve Timing, ALUM, VAR2, GEN 2</t>
  </si>
  <si>
    <t>FWD Essence</t>
  </si>
  <si>
    <t>305 Series</t>
  </si>
  <si>
    <t>S500 4MATIC</t>
  </si>
  <si>
    <t>Regular Cab</t>
  </si>
  <si>
    <t>GDI Theta-II</t>
  </si>
  <si>
    <t>DOHC GDI Theta - II</t>
  </si>
  <si>
    <t>MX-5</t>
  </si>
  <si>
    <t>LF</t>
  </si>
  <si>
    <t>20</t>
  </si>
  <si>
    <t>370Z</t>
  </si>
  <si>
    <t>Touring Plus</t>
  </si>
  <si>
    <t>LOW</t>
  </si>
  <si>
    <t>Silverado LTD</t>
  </si>
  <si>
    <t>GTI</t>
  </si>
  <si>
    <t>Work Truck/Fleet/Value Leader</t>
  </si>
  <si>
    <t>Ti-VCT</t>
  </si>
  <si>
    <t>Sportline</t>
  </si>
  <si>
    <t>Premium + CWP</t>
  </si>
  <si>
    <t>i5</t>
  </si>
  <si>
    <t>i5 xDrive40</t>
  </si>
  <si>
    <t>EXL-N</t>
  </si>
  <si>
    <t>1.6L GTDI</t>
  </si>
  <si>
    <t>SEL w/ Premium Pkg</t>
  </si>
  <si>
    <t>Countryman</t>
  </si>
  <si>
    <t>NETHERLANDS</t>
  </si>
  <si>
    <t>ESV Luxury</t>
  </si>
  <si>
    <t>LFX Federal / Canada</t>
  </si>
  <si>
    <t>Windstar</t>
  </si>
  <si>
    <t>3.7L TiVCT</t>
  </si>
  <si>
    <t>LML - PTI, DURAMAX</t>
  </si>
  <si>
    <t>80 Series</t>
  </si>
  <si>
    <t>ES, LE, BE</t>
  </si>
  <si>
    <t>LTZ (2LZ)</t>
  </si>
  <si>
    <t>LFX - SIDI: Spark Ignited Direct injection, VVT, E85 MAX, ALUM</t>
  </si>
  <si>
    <t>Turbo R-Spec, Turbo and Turbo Ultimate</t>
  </si>
  <si>
    <t>K24W9/K24V9</t>
  </si>
  <si>
    <t>LEA - SIDI: Spark Ignited Direct Injection, E85 MAX, ALUM</t>
  </si>
  <si>
    <t>Grade SL</t>
  </si>
  <si>
    <t>SXA16L/SXA11L/SXA15L/SXA10L/BEA11L</t>
  </si>
  <si>
    <t>3S-FE</t>
  </si>
  <si>
    <t>SE w/ Tech R-Line w/ Sunroof Pkg.</t>
  </si>
  <si>
    <t>3.6 FSI</t>
  </si>
  <si>
    <t>AMG GT</t>
  </si>
  <si>
    <t>AMG GT63 S</t>
  </si>
  <si>
    <t>Sport ES/SE (ASX ES in Puerto Rico)</t>
  </si>
  <si>
    <t>DOHC MIVEC</t>
  </si>
  <si>
    <t>Avenger</t>
  </si>
  <si>
    <t>5-series</t>
  </si>
  <si>
    <t>$ Error</t>
  </si>
  <si>
    <t>% Error</t>
  </si>
  <si>
    <t>R^2</t>
  </si>
  <si>
    <t>Sum</t>
  </si>
  <si>
    <t>Mean</t>
  </si>
  <si>
    <t>Standard Deviation</t>
  </si>
  <si>
    <t>XGB</t>
  </si>
  <si>
    <t>Catboost</t>
  </si>
  <si>
    <t>Catboost_Native</t>
  </si>
  <si>
    <t>Stacked</t>
  </si>
  <si>
    <t>MAE</t>
  </si>
  <si>
    <t>on average, I’m off by $X</t>
  </si>
  <si>
    <t>RSME</t>
  </si>
  <si>
    <t>penalizes large errors more</t>
  </si>
  <si>
    <t>MAPE</t>
  </si>
  <si>
    <t>Mean Absolute Percentage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</si>
</sst>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2" borderId="0" xfId="0" applyNumberFormat="1" applyFill="1"/>
    <xf numFmtId="10" fontId="0" fillId="0" borderId="0" xfId="0" applyNumberFormat="1"/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 vertical="top"/>
    </xf>
    <xf numFmtId="165" fontId="0" fillId="2" borderId="0" xfId="0" applyNumberFormat="1" applyFill="1"/>
    <xf numFmtId="165" fontId="0" fillId="0" borderId="0" xfId="0" applyNumberFormat="1"/>
    <xf numFmtId="166" fontId="0" fillId="0" borderId="0" xfId="0" applyNumberFormat="1"/>
    <xf numFmtId="164" fontId="1" fillId="2" borderId="1" xfId="0" applyNumberFormat="1" applyFont="1" applyFill="1" applyBorder="1" applyAlignment="1">
      <alignment horizontal="center" vertical="top"/>
    </xf>
    <xf numFmtId="164" fontId="1" fillId="3" borderId="1" xfId="0" applyNumberFormat="1" applyFont="1" applyFill="1" applyBorder="1" applyAlignment="1">
      <alignment horizontal="center" vertical="top"/>
    </xf>
    <xf numFmtId="165" fontId="1" fillId="3" borderId="1" xfId="0" applyNumberFormat="1" applyFont="1" applyFill="1" applyBorder="1" applyAlignment="1">
      <alignment horizontal="center" vertical="top"/>
    </xf>
    <xf numFmtId="164" fontId="0" fillId="3" borderId="0" xfId="0" applyNumberFormat="1" applyFill="1"/>
    <xf numFmtId="165" fontId="0" fillId="3" borderId="0" xfId="0" applyNumberFormat="1" applyFill="1"/>
    <xf numFmtId="164" fontId="1" fillId="4" borderId="1" xfId="0" applyNumberFormat="1" applyFont="1" applyFill="1" applyBorder="1" applyAlignment="1">
      <alignment horizontal="center" vertical="top"/>
    </xf>
    <xf numFmtId="165" fontId="1" fillId="4" borderId="1" xfId="0" applyNumberFormat="1" applyFont="1" applyFill="1" applyBorder="1" applyAlignment="1">
      <alignment horizontal="center" vertical="top"/>
    </xf>
    <xf numFmtId="164" fontId="0" fillId="4" borderId="0" xfId="0" applyNumberFormat="1" applyFill="1"/>
    <xf numFmtId="165" fontId="0" fillId="4" borderId="0" xfId="0" applyNumberFormat="1" applyFill="1"/>
    <xf numFmtId="164" fontId="1" fillId="5" borderId="1" xfId="0" applyNumberFormat="1" applyFont="1" applyFill="1" applyBorder="1" applyAlignment="1">
      <alignment horizontal="center" vertical="top"/>
    </xf>
    <xf numFmtId="165" fontId="1" fillId="5" borderId="1" xfId="0" applyNumberFormat="1" applyFont="1" applyFill="1" applyBorder="1" applyAlignment="1">
      <alignment horizontal="center" vertical="top"/>
    </xf>
    <xf numFmtId="164" fontId="0" fillId="5" borderId="0" xfId="0" applyNumberFormat="1" applyFill="1"/>
    <xf numFmtId="165" fontId="0" fillId="5" borderId="0" xfId="0" applyNumberForma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9525</xdr:colOff>
      <xdr:row>2135</xdr:row>
      <xdr:rowOff>9525</xdr:rowOff>
    </xdr:from>
    <xdr:to>
      <xdr:col>38</xdr:col>
      <xdr:colOff>304799</xdr:colOff>
      <xdr:row>2142</xdr:row>
      <xdr:rowOff>5531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99CF5B-1E3B-4251-94E5-4D864D3F464E}"/>
            </a:ext>
          </a:extLst>
        </xdr:cNvPr>
        <xdr:cNvSpPr txBox="1"/>
      </xdr:nvSpPr>
      <xdr:spPr>
        <a:xfrm>
          <a:off x="63598425" y="406727025"/>
          <a:ext cx="4190999" cy="13295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Interpretation in car price project</a:t>
          </a:r>
        </a:p>
        <a:p>
          <a:r>
            <a:rPr lang="en-US" b="1"/>
            <a:t>MAPE &lt; 10%</a:t>
          </a:r>
          <a:r>
            <a:rPr lang="en-US"/>
            <a:t> → Excellent (very tight predictions).</a:t>
          </a:r>
        </a:p>
        <a:p>
          <a:r>
            <a:rPr lang="en-US" b="1"/>
            <a:t>10–20%</a:t>
          </a:r>
          <a:r>
            <a:rPr lang="en-US"/>
            <a:t> → Good/acceptable, depending on use case.</a:t>
          </a:r>
        </a:p>
        <a:p>
          <a:r>
            <a:rPr lang="en-US" b="1"/>
            <a:t>20–30%</a:t>
          </a:r>
          <a:r>
            <a:rPr lang="en-US"/>
            <a:t> → Moderate, may be too high if precise pricing is needed.</a:t>
          </a:r>
        </a:p>
        <a:p>
          <a:r>
            <a:rPr lang="en-US" b="1"/>
            <a:t>&gt;30%</a:t>
          </a:r>
          <a:r>
            <a:rPr lang="en-US"/>
            <a:t> → Weak, predictions too far off to trust for pricing decisions.</a:t>
          </a:r>
        </a:p>
        <a:p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136"/>
  <sheetViews>
    <sheetView tabSelected="1" topLeftCell="AE2098" workbookViewId="0">
      <selection activeCell="AW2127" sqref="AW2127"/>
    </sheetView>
  </sheetViews>
  <sheetFormatPr defaultRowHeight="15" x14ac:dyDescent="0.25"/>
  <cols>
    <col min="1" max="1" width="15.7109375" bestFit="1" customWidth="1"/>
    <col min="2" max="2" width="19" bestFit="1" customWidth="1"/>
    <col min="3" max="3" width="11.42578125" bestFit="1" customWidth="1"/>
    <col min="4" max="4" width="12.5703125" bestFit="1" customWidth="1"/>
    <col min="5" max="5" width="15.7109375" bestFit="1" customWidth="1"/>
    <col min="6" max="6" width="31" bestFit="1" customWidth="1"/>
    <col min="7" max="7" width="120.42578125" bestFit="1" customWidth="1"/>
    <col min="8" max="8" width="103.28515625" bestFit="1" customWidth="1"/>
    <col min="9" max="9" width="16.85546875" bestFit="1" customWidth="1"/>
    <col min="10" max="10" width="16.28515625" bestFit="1" customWidth="1"/>
    <col min="11" max="11" width="13.85546875" bestFit="1" customWidth="1"/>
    <col min="12" max="12" width="16.42578125" bestFit="1" customWidth="1"/>
    <col min="13" max="13" width="15" bestFit="1" customWidth="1"/>
    <col min="14" max="14" width="13.42578125" bestFit="1" customWidth="1"/>
    <col min="15" max="15" width="26" bestFit="1" customWidth="1"/>
    <col min="16" max="16" width="24.7109375" bestFit="1" customWidth="1"/>
    <col min="17" max="17" width="39.85546875" bestFit="1" customWidth="1"/>
    <col min="18" max="18" width="57.28515625" bestFit="1" customWidth="1"/>
    <col min="19" max="19" width="23" bestFit="1" customWidth="1"/>
    <col min="20" max="20" width="9.42578125" bestFit="1" customWidth="1"/>
    <col min="21" max="21" width="28.85546875" bestFit="1" customWidth="1"/>
    <col min="22" max="22" width="27.42578125" bestFit="1" customWidth="1"/>
    <col min="23" max="23" width="93.42578125" bestFit="1" customWidth="1"/>
    <col min="24" max="24" width="39" bestFit="1" customWidth="1"/>
    <col min="25" max="25" width="21.5703125" bestFit="1" customWidth="1"/>
    <col min="26" max="26" width="9.5703125" bestFit="1" customWidth="1"/>
    <col min="27" max="27" width="4.7109375" bestFit="1" customWidth="1"/>
    <col min="28" max="28" width="7.5703125" bestFit="1" customWidth="1"/>
    <col min="29" max="29" width="15.42578125" bestFit="1" customWidth="1"/>
    <col min="30" max="30" width="29.85546875" bestFit="1" customWidth="1"/>
    <col min="31" max="31" width="30.5703125" bestFit="1" customWidth="1"/>
    <col min="32" max="32" width="17.85546875" bestFit="1" customWidth="1"/>
    <col min="33" max="33" width="14.85546875" bestFit="1" customWidth="1"/>
    <col min="34" max="34" width="11.7109375" style="4" bestFit="1" customWidth="1"/>
    <col min="35" max="35" width="15.85546875" style="4" bestFit="1" customWidth="1"/>
    <col min="36" max="36" width="15.42578125" style="4" customWidth="1"/>
    <col min="37" max="37" width="15.42578125" style="7" customWidth="1"/>
    <col min="38" max="38" width="11.7109375" style="4" bestFit="1" customWidth="1"/>
    <col min="39" max="39" width="20.140625" style="4" bestFit="1" customWidth="1"/>
    <col min="40" max="40" width="15.42578125" style="4" customWidth="1"/>
    <col min="41" max="41" width="15.42578125" style="7" customWidth="1"/>
    <col min="42" max="42" width="11.7109375" style="4" bestFit="1" customWidth="1"/>
    <col min="43" max="43" width="27.28515625" style="4" bestFit="1" customWidth="1"/>
    <col min="44" max="44" width="15.42578125" style="4" customWidth="1"/>
    <col min="45" max="45" width="15.42578125" style="7" customWidth="1"/>
    <col min="46" max="46" width="11.7109375" style="4" bestFit="1" customWidth="1"/>
    <col min="47" max="47" width="19.140625" style="4" bestFit="1" customWidth="1"/>
    <col min="48" max="48" width="15.42578125" style="4" customWidth="1"/>
    <col min="49" max="49" width="15.42578125" style="7" customWidth="1"/>
  </cols>
  <sheetData>
    <row r="1" spans="1:49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9" t="s">
        <v>2</v>
      </c>
      <c r="AI1" s="9" t="s">
        <v>34</v>
      </c>
      <c r="AJ1" s="9" t="s">
        <v>1611</v>
      </c>
      <c r="AK1" s="5" t="s">
        <v>1612</v>
      </c>
      <c r="AL1" s="10" t="s">
        <v>2</v>
      </c>
      <c r="AM1" s="10" t="s">
        <v>35</v>
      </c>
      <c r="AN1" s="10" t="s">
        <v>1611</v>
      </c>
      <c r="AO1" s="11" t="s">
        <v>1612</v>
      </c>
      <c r="AP1" s="14" t="s">
        <v>2</v>
      </c>
      <c r="AQ1" s="14" t="s">
        <v>36</v>
      </c>
      <c r="AR1" s="14" t="s">
        <v>1611</v>
      </c>
      <c r="AS1" s="15" t="s">
        <v>1612</v>
      </c>
      <c r="AT1" s="18" t="s">
        <v>2</v>
      </c>
      <c r="AU1" s="18" t="s">
        <v>37</v>
      </c>
      <c r="AV1" s="18" t="s">
        <v>1611</v>
      </c>
      <c r="AW1" s="19" t="s">
        <v>1612</v>
      </c>
    </row>
    <row r="2" spans="1:49" x14ac:dyDescent="0.25">
      <c r="A2" t="s">
        <v>38</v>
      </c>
      <c r="B2" t="s">
        <v>39</v>
      </c>
      <c r="C2">
        <v>213949</v>
      </c>
      <c r="D2">
        <v>2010</v>
      </c>
      <c r="E2" t="s">
        <v>40</v>
      </c>
      <c r="F2" t="s">
        <v>41</v>
      </c>
      <c r="H2" t="s">
        <v>42</v>
      </c>
      <c r="I2">
        <v>4</v>
      </c>
      <c r="J2" t="s">
        <v>43</v>
      </c>
      <c r="K2">
        <v>4</v>
      </c>
      <c r="L2" t="s">
        <v>44</v>
      </c>
      <c r="M2">
        <v>1.8</v>
      </c>
      <c r="N2" t="s">
        <v>45</v>
      </c>
      <c r="O2" t="s">
        <v>46</v>
      </c>
      <c r="Q2" t="s">
        <v>47</v>
      </c>
      <c r="R2" t="s">
        <v>48</v>
      </c>
      <c r="S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AA2">
        <v>1</v>
      </c>
      <c r="AB2" t="s">
        <v>55</v>
      </c>
      <c r="AC2" t="s">
        <v>56</v>
      </c>
      <c r="AD2">
        <v>36</v>
      </c>
      <c r="AE2">
        <v>9</v>
      </c>
      <c r="AF2">
        <v>3</v>
      </c>
      <c r="AG2">
        <v>2025</v>
      </c>
      <c r="AH2" s="2">
        <v>2100</v>
      </c>
      <c r="AI2" s="2">
        <v>1785.3076171875</v>
      </c>
      <c r="AJ2" s="2">
        <f>ABS(AH2-AI2)</f>
        <v>314.6923828125</v>
      </c>
      <c r="AK2" s="6">
        <f>ABS($AH2-AI2)/$AH2</f>
        <v>0.14985351562499999</v>
      </c>
      <c r="AL2" s="12">
        <v>2100</v>
      </c>
      <c r="AM2" s="12">
        <v>1938.7332042685489</v>
      </c>
      <c r="AN2" s="12">
        <f>ABS(AL2-AM2)</f>
        <v>161.26679573145111</v>
      </c>
      <c r="AO2" s="13">
        <f>ABS($AH2-AM2)/$AH2</f>
        <v>7.6793712253071952E-2</v>
      </c>
      <c r="AP2" s="16">
        <v>2100</v>
      </c>
      <c r="AQ2" s="16">
        <v>1424.448950081226</v>
      </c>
      <c r="AR2" s="16">
        <f>ABS(AP2-AQ2)</f>
        <v>675.55104991877397</v>
      </c>
      <c r="AS2" s="17">
        <f>ABS($AH2-AQ2)/$AH2</f>
        <v>0.32169097615179715</v>
      </c>
      <c r="AT2" s="20">
        <v>2100</v>
      </c>
      <c r="AU2" s="20">
        <v>1788.581420898438</v>
      </c>
      <c r="AV2" s="20">
        <f>ABS(AT2-AU2)</f>
        <v>311.41857910156205</v>
      </c>
      <c r="AW2" s="21">
        <f>ABS($AH2-AU2)/$AH2</f>
        <v>0.14829456147693432</v>
      </c>
    </row>
    <row r="3" spans="1:49" x14ac:dyDescent="0.25">
      <c r="A3" t="s">
        <v>38</v>
      </c>
      <c r="B3" t="s">
        <v>57</v>
      </c>
      <c r="C3">
        <v>70280</v>
      </c>
      <c r="D3">
        <v>2017</v>
      </c>
      <c r="E3" t="s">
        <v>58</v>
      </c>
      <c r="F3" t="s">
        <v>59</v>
      </c>
      <c r="G3" t="s">
        <v>60</v>
      </c>
      <c r="I3">
        <v>4</v>
      </c>
      <c r="J3" t="s">
        <v>61</v>
      </c>
      <c r="K3">
        <v>4</v>
      </c>
      <c r="L3" t="s">
        <v>44</v>
      </c>
      <c r="M3">
        <v>1.6</v>
      </c>
      <c r="N3" t="s">
        <v>45</v>
      </c>
      <c r="O3" t="s">
        <v>46</v>
      </c>
      <c r="P3">
        <v>4</v>
      </c>
      <c r="Q3" t="s">
        <v>62</v>
      </c>
      <c r="R3" t="s">
        <v>63</v>
      </c>
      <c r="S3" t="s">
        <v>49</v>
      </c>
      <c r="T3">
        <v>104</v>
      </c>
      <c r="U3" t="s">
        <v>50</v>
      </c>
      <c r="W3" t="s">
        <v>64</v>
      </c>
      <c r="X3" t="s">
        <v>65</v>
      </c>
      <c r="Y3" t="s">
        <v>66</v>
      </c>
      <c r="Z3">
        <v>25700</v>
      </c>
      <c r="AA3">
        <v>1</v>
      </c>
      <c r="AB3" t="s">
        <v>55</v>
      </c>
      <c r="AC3" t="s">
        <v>67</v>
      </c>
      <c r="AD3">
        <v>36</v>
      </c>
      <c r="AE3">
        <v>9</v>
      </c>
      <c r="AF3">
        <v>3</v>
      </c>
      <c r="AG3">
        <v>2025</v>
      </c>
      <c r="AH3" s="2">
        <v>8000</v>
      </c>
      <c r="AI3" s="2">
        <v>7775.57177734375</v>
      </c>
      <c r="AJ3" s="2">
        <f t="shared" ref="AJ3:AJ66" si="0">ABS(AH3-AI3)</f>
        <v>224.42822265625</v>
      </c>
      <c r="AK3" s="6">
        <f t="shared" ref="AK3:AK66" si="1">ABS($AH3-AI3)/$AH3</f>
        <v>2.8053527832031251E-2</v>
      </c>
      <c r="AL3" s="12">
        <v>8000</v>
      </c>
      <c r="AM3" s="12">
        <v>8079.387249761161</v>
      </c>
      <c r="AN3" s="12">
        <f t="shared" ref="AN3:AN66" si="2">ABS(AL3-AM3)</f>
        <v>79.387249761161002</v>
      </c>
      <c r="AO3" s="13">
        <f t="shared" ref="AO3:AO66" si="3">ABS($AH3-AM3)/$AH3</f>
        <v>9.9234062201451253E-3</v>
      </c>
      <c r="AP3" s="16">
        <v>8000</v>
      </c>
      <c r="AQ3" s="16">
        <v>8146.4203034161264</v>
      </c>
      <c r="AR3" s="16">
        <f t="shared" ref="AR3:AR66" si="4">ABS(AP3-AQ3)</f>
        <v>146.42030341612644</v>
      </c>
      <c r="AS3" s="17">
        <f t="shared" ref="AS3:AS66" si="5">ABS($AH3-AQ3)/$AH3</f>
        <v>1.8302537927015805E-2</v>
      </c>
      <c r="AT3" s="20">
        <v>8000</v>
      </c>
      <c r="AU3" s="20">
        <v>7928.76171875</v>
      </c>
      <c r="AV3" s="20">
        <f t="shared" ref="AV3:AV66" si="6">ABS(AT3-AU3)</f>
        <v>71.23828125</v>
      </c>
      <c r="AW3" s="21">
        <f t="shared" ref="AW3:AW66" si="7">ABS($AH3-AU3)/$AH3</f>
        <v>8.9047851562499992E-3</v>
      </c>
    </row>
    <row r="4" spans="1:49" x14ac:dyDescent="0.25">
      <c r="A4" t="s">
        <v>38</v>
      </c>
      <c r="B4" t="s">
        <v>68</v>
      </c>
      <c r="C4">
        <v>226822</v>
      </c>
      <c r="D4">
        <v>2018</v>
      </c>
      <c r="E4" t="s">
        <v>69</v>
      </c>
      <c r="F4" t="s">
        <v>70</v>
      </c>
      <c r="H4" t="s">
        <v>71</v>
      </c>
      <c r="I4">
        <v>6</v>
      </c>
      <c r="J4" t="s">
        <v>72</v>
      </c>
      <c r="K4">
        <v>3</v>
      </c>
      <c r="L4" t="s">
        <v>44</v>
      </c>
      <c r="M4">
        <v>3.7</v>
      </c>
      <c r="N4" t="s">
        <v>73</v>
      </c>
      <c r="O4" t="s">
        <v>46</v>
      </c>
      <c r="P4">
        <v>2</v>
      </c>
      <c r="Q4" t="s">
        <v>74</v>
      </c>
      <c r="R4" t="s">
        <v>75</v>
      </c>
      <c r="T4">
        <v>275</v>
      </c>
      <c r="U4" t="s">
        <v>50</v>
      </c>
      <c r="V4" t="s">
        <v>76</v>
      </c>
      <c r="X4" t="s">
        <v>77</v>
      </c>
      <c r="Y4" t="s">
        <v>78</v>
      </c>
      <c r="AA4">
        <v>0</v>
      </c>
      <c r="AB4" t="s">
        <v>79</v>
      </c>
      <c r="AC4" t="s">
        <v>80</v>
      </c>
      <c r="AD4">
        <v>36</v>
      </c>
      <c r="AE4">
        <v>9</v>
      </c>
      <c r="AF4">
        <v>3</v>
      </c>
      <c r="AG4">
        <v>2025</v>
      </c>
      <c r="AH4" s="2">
        <v>5400</v>
      </c>
      <c r="AI4" s="2">
        <v>5526.720703125</v>
      </c>
      <c r="AJ4" s="2">
        <f t="shared" si="0"/>
        <v>126.720703125</v>
      </c>
      <c r="AK4" s="6">
        <f t="shared" si="1"/>
        <v>2.3466796875000001E-2</v>
      </c>
      <c r="AL4" s="12">
        <v>5400</v>
      </c>
      <c r="AM4" s="12">
        <v>5421.8808553360504</v>
      </c>
      <c r="AN4" s="12">
        <f t="shared" si="2"/>
        <v>21.880855336050445</v>
      </c>
      <c r="AO4" s="13">
        <f t="shared" si="3"/>
        <v>4.0520102474167494E-3</v>
      </c>
      <c r="AP4" s="16">
        <v>5400</v>
      </c>
      <c r="AQ4" s="16">
        <v>4988.3341429256052</v>
      </c>
      <c r="AR4" s="16">
        <f t="shared" si="4"/>
        <v>411.66585707439481</v>
      </c>
      <c r="AS4" s="17">
        <f t="shared" si="5"/>
        <v>7.6234417976739785E-2</v>
      </c>
      <c r="AT4" s="20">
        <v>5400</v>
      </c>
      <c r="AU4" s="20">
        <v>5595.107421875</v>
      </c>
      <c r="AV4" s="20">
        <f t="shared" si="6"/>
        <v>195.107421875</v>
      </c>
      <c r="AW4" s="21">
        <f t="shared" si="7"/>
        <v>3.6131004050925924E-2</v>
      </c>
    </row>
    <row r="5" spans="1:49" x14ac:dyDescent="0.25">
      <c r="A5" t="s">
        <v>81</v>
      </c>
      <c r="B5" t="s">
        <v>82</v>
      </c>
      <c r="C5">
        <v>251010</v>
      </c>
      <c r="D5">
        <v>2015</v>
      </c>
      <c r="E5" t="s">
        <v>83</v>
      </c>
      <c r="F5" t="s">
        <v>84</v>
      </c>
      <c r="I5">
        <v>6</v>
      </c>
      <c r="J5" t="s">
        <v>61</v>
      </c>
      <c r="K5">
        <v>4</v>
      </c>
      <c r="L5" t="s">
        <v>44</v>
      </c>
      <c r="M5">
        <v>3.5</v>
      </c>
      <c r="N5" t="s">
        <v>44</v>
      </c>
      <c r="O5" t="s">
        <v>46</v>
      </c>
      <c r="Q5" t="s">
        <v>62</v>
      </c>
      <c r="R5" t="s">
        <v>63</v>
      </c>
      <c r="S5" t="s">
        <v>85</v>
      </c>
      <c r="T5">
        <v>273</v>
      </c>
      <c r="U5" t="s">
        <v>50</v>
      </c>
      <c r="V5" t="s">
        <v>76</v>
      </c>
      <c r="W5" t="s">
        <v>86</v>
      </c>
      <c r="X5" t="s">
        <v>65</v>
      </c>
      <c r="Y5" t="s">
        <v>78</v>
      </c>
      <c r="AA5">
        <v>0</v>
      </c>
      <c r="AB5" t="s">
        <v>79</v>
      </c>
      <c r="AC5" t="s">
        <v>87</v>
      </c>
      <c r="AD5">
        <v>36</v>
      </c>
      <c r="AE5">
        <v>9</v>
      </c>
      <c r="AF5">
        <v>3</v>
      </c>
      <c r="AG5">
        <v>2025</v>
      </c>
      <c r="AH5" s="2">
        <v>2000</v>
      </c>
      <c r="AI5" s="2">
        <v>1958.727416992188</v>
      </c>
      <c r="AJ5" s="2">
        <f t="shared" si="0"/>
        <v>41.272583007812045</v>
      </c>
      <c r="AK5" s="6">
        <f t="shared" si="1"/>
        <v>2.0636291503906022E-2</v>
      </c>
      <c r="AL5" s="12">
        <v>2000</v>
      </c>
      <c r="AM5" s="12">
        <v>2562.8908951067151</v>
      </c>
      <c r="AN5" s="12">
        <f t="shared" si="2"/>
        <v>562.89089510671511</v>
      </c>
      <c r="AO5" s="13">
        <f t="shared" si="3"/>
        <v>0.28144544755335754</v>
      </c>
      <c r="AP5" s="16">
        <v>2000</v>
      </c>
      <c r="AQ5" s="16">
        <v>2089.283400271886</v>
      </c>
      <c r="AR5" s="16">
        <f t="shared" si="4"/>
        <v>89.283400271885967</v>
      </c>
      <c r="AS5" s="17">
        <f t="shared" si="5"/>
        <v>4.4641700135942985E-2</v>
      </c>
      <c r="AT5" s="20">
        <v>2000</v>
      </c>
      <c r="AU5" s="20">
        <v>1979.087158203125</v>
      </c>
      <c r="AV5" s="20">
        <f t="shared" si="6"/>
        <v>20.912841796875</v>
      </c>
      <c r="AW5" s="21">
        <f t="shared" si="7"/>
        <v>1.0456420898437501E-2</v>
      </c>
    </row>
    <row r="6" spans="1:49" x14ac:dyDescent="0.25">
      <c r="A6" t="s">
        <v>38</v>
      </c>
      <c r="B6" t="s">
        <v>39</v>
      </c>
      <c r="C6">
        <v>170277</v>
      </c>
      <c r="D6">
        <v>2014</v>
      </c>
      <c r="E6" t="s">
        <v>88</v>
      </c>
      <c r="F6" t="s">
        <v>89</v>
      </c>
      <c r="G6" t="s">
        <v>90</v>
      </c>
      <c r="I6">
        <v>8</v>
      </c>
      <c r="J6" t="s">
        <v>72</v>
      </c>
      <c r="K6">
        <v>4</v>
      </c>
      <c r="L6" t="s">
        <v>44</v>
      </c>
      <c r="M6">
        <v>5.7</v>
      </c>
      <c r="N6" t="s">
        <v>91</v>
      </c>
      <c r="O6" t="s">
        <v>46</v>
      </c>
      <c r="Q6" t="s">
        <v>74</v>
      </c>
      <c r="R6" t="s">
        <v>92</v>
      </c>
      <c r="S6" t="s">
        <v>93</v>
      </c>
      <c r="U6" t="s">
        <v>50</v>
      </c>
      <c r="X6" t="s">
        <v>94</v>
      </c>
      <c r="Y6" t="s">
        <v>78</v>
      </c>
      <c r="AA6">
        <v>0</v>
      </c>
      <c r="AB6" t="s">
        <v>79</v>
      </c>
      <c r="AC6" t="s">
        <v>95</v>
      </c>
      <c r="AD6">
        <v>36</v>
      </c>
      <c r="AE6">
        <v>9</v>
      </c>
      <c r="AF6">
        <v>3</v>
      </c>
      <c r="AG6">
        <v>2025</v>
      </c>
      <c r="AH6" s="2">
        <v>10250</v>
      </c>
      <c r="AI6" s="2">
        <v>8611.921875</v>
      </c>
      <c r="AJ6" s="2">
        <f t="shared" si="0"/>
        <v>1638.078125</v>
      </c>
      <c r="AK6" s="6">
        <f t="shared" si="1"/>
        <v>0.1598125</v>
      </c>
      <c r="AL6" s="12">
        <v>10250</v>
      </c>
      <c r="AM6" s="12">
        <v>6514.5797373520827</v>
      </c>
      <c r="AN6" s="12">
        <f t="shared" si="2"/>
        <v>3735.4202626479173</v>
      </c>
      <c r="AO6" s="13">
        <f t="shared" si="3"/>
        <v>0.3644312451363822</v>
      </c>
      <c r="AP6" s="16">
        <v>10250</v>
      </c>
      <c r="AQ6" s="16">
        <v>8078.2598314291772</v>
      </c>
      <c r="AR6" s="16">
        <f t="shared" si="4"/>
        <v>2171.7401685708228</v>
      </c>
      <c r="AS6" s="17">
        <f t="shared" si="5"/>
        <v>0.21187708961666563</v>
      </c>
      <c r="AT6" s="20">
        <v>10250</v>
      </c>
      <c r="AU6" s="20">
        <v>8418.4560546875</v>
      </c>
      <c r="AV6" s="20">
        <f t="shared" si="6"/>
        <v>1831.5439453125</v>
      </c>
      <c r="AW6" s="21">
        <f t="shared" si="7"/>
        <v>0.17868721417682926</v>
      </c>
    </row>
    <row r="7" spans="1:49" x14ac:dyDescent="0.25">
      <c r="A7" t="s">
        <v>38</v>
      </c>
      <c r="B7" t="s">
        <v>96</v>
      </c>
      <c r="C7">
        <v>159480</v>
      </c>
      <c r="D7">
        <v>2011</v>
      </c>
      <c r="E7" t="s">
        <v>97</v>
      </c>
      <c r="F7" t="s">
        <v>98</v>
      </c>
      <c r="G7" t="s">
        <v>99</v>
      </c>
      <c r="I7">
        <v>4</v>
      </c>
      <c r="J7" t="s">
        <v>72</v>
      </c>
      <c r="K7">
        <v>4</v>
      </c>
      <c r="L7" t="s">
        <v>44</v>
      </c>
      <c r="M7">
        <v>2.4</v>
      </c>
      <c r="N7" t="s">
        <v>45</v>
      </c>
      <c r="O7" t="s">
        <v>100</v>
      </c>
      <c r="Q7" t="s">
        <v>62</v>
      </c>
      <c r="R7" t="s">
        <v>63</v>
      </c>
      <c r="S7" t="s">
        <v>101</v>
      </c>
      <c r="U7" t="s">
        <v>50</v>
      </c>
      <c r="W7" t="s">
        <v>102</v>
      </c>
      <c r="X7" t="s">
        <v>65</v>
      </c>
      <c r="Y7" t="s">
        <v>103</v>
      </c>
      <c r="AA7">
        <v>0</v>
      </c>
      <c r="AB7" t="s">
        <v>79</v>
      </c>
      <c r="AC7" t="s">
        <v>87</v>
      </c>
      <c r="AD7">
        <v>36</v>
      </c>
      <c r="AE7">
        <v>9</v>
      </c>
      <c r="AF7">
        <v>3</v>
      </c>
      <c r="AG7">
        <v>2025</v>
      </c>
      <c r="AH7" s="2">
        <v>800</v>
      </c>
      <c r="AI7" s="2">
        <v>781.91522216796875</v>
      </c>
      <c r="AJ7" s="2">
        <f t="shared" si="0"/>
        <v>18.08477783203125</v>
      </c>
      <c r="AK7" s="6">
        <f t="shared" si="1"/>
        <v>2.2605972290039064E-2</v>
      </c>
      <c r="AL7" s="12">
        <v>800</v>
      </c>
      <c r="AM7" s="12">
        <v>865.20308836186132</v>
      </c>
      <c r="AN7" s="12">
        <f t="shared" si="2"/>
        <v>65.203088361861319</v>
      </c>
      <c r="AO7" s="13">
        <f t="shared" si="3"/>
        <v>8.1503860452326646E-2</v>
      </c>
      <c r="AP7" s="16">
        <v>800</v>
      </c>
      <c r="AQ7" s="16">
        <v>654.60332812367085</v>
      </c>
      <c r="AR7" s="16">
        <f t="shared" si="4"/>
        <v>145.39667187632915</v>
      </c>
      <c r="AS7" s="17">
        <f t="shared" si="5"/>
        <v>0.18174583984541143</v>
      </c>
      <c r="AT7" s="20">
        <v>800</v>
      </c>
      <c r="AU7" s="20">
        <v>752.505859375</v>
      </c>
      <c r="AV7" s="20">
        <f t="shared" si="6"/>
        <v>47.494140625</v>
      </c>
      <c r="AW7" s="21">
        <f t="shared" si="7"/>
        <v>5.9367675781249997E-2</v>
      </c>
    </row>
    <row r="8" spans="1:49" x14ac:dyDescent="0.25">
      <c r="A8" t="s">
        <v>38</v>
      </c>
      <c r="B8" t="s">
        <v>39</v>
      </c>
      <c r="C8">
        <v>91201</v>
      </c>
      <c r="D8">
        <v>2020</v>
      </c>
      <c r="E8" t="s">
        <v>69</v>
      </c>
      <c r="F8" t="s">
        <v>104</v>
      </c>
      <c r="H8" t="s">
        <v>105</v>
      </c>
      <c r="I8">
        <v>6</v>
      </c>
      <c r="J8" t="s">
        <v>106</v>
      </c>
      <c r="K8">
        <v>4</v>
      </c>
      <c r="L8" t="s">
        <v>44</v>
      </c>
      <c r="M8">
        <v>3.5</v>
      </c>
      <c r="N8" t="s">
        <v>73</v>
      </c>
      <c r="O8" t="s">
        <v>46</v>
      </c>
      <c r="Q8" t="s">
        <v>62</v>
      </c>
      <c r="R8" t="s">
        <v>63</v>
      </c>
      <c r="S8" t="s">
        <v>49</v>
      </c>
      <c r="T8">
        <v>310</v>
      </c>
      <c r="U8" t="s">
        <v>50</v>
      </c>
      <c r="V8" t="s">
        <v>76</v>
      </c>
      <c r="W8" t="s">
        <v>107</v>
      </c>
      <c r="X8" t="s">
        <v>108</v>
      </c>
      <c r="Y8" t="s">
        <v>78</v>
      </c>
      <c r="AA8">
        <v>0</v>
      </c>
      <c r="AB8" t="s">
        <v>79</v>
      </c>
      <c r="AC8" t="s">
        <v>109</v>
      </c>
      <c r="AD8">
        <v>36</v>
      </c>
      <c r="AE8">
        <v>9</v>
      </c>
      <c r="AF8">
        <v>3</v>
      </c>
      <c r="AG8">
        <v>2025</v>
      </c>
      <c r="AH8" s="2">
        <v>21500</v>
      </c>
      <c r="AI8" s="2">
        <v>22425.33203125</v>
      </c>
      <c r="AJ8" s="2">
        <f t="shared" si="0"/>
        <v>925.33203125</v>
      </c>
      <c r="AK8" s="6">
        <f t="shared" si="1"/>
        <v>4.3038699127906976E-2</v>
      </c>
      <c r="AL8" s="12">
        <v>21500</v>
      </c>
      <c r="AM8" s="12">
        <v>23537.900906441209</v>
      </c>
      <c r="AN8" s="12">
        <f t="shared" si="2"/>
        <v>2037.9009064412094</v>
      </c>
      <c r="AO8" s="13">
        <f t="shared" si="3"/>
        <v>9.4786088671684157E-2</v>
      </c>
      <c r="AP8" s="16">
        <v>21500</v>
      </c>
      <c r="AQ8" s="16">
        <v>21311.76427881858</v>
      </c>
      <c r="AR8" s="16">
        <f t="shared" si="4"/>
        <v>188.23572118141965</v>
      </c>
      <c r="AS8" s="17">
        <f t="shared" si="5"/>
        <v>8.7551498223916117E-3</v>
      </c>
      <c r="AT8" s="20">
        <v>21500</v>
      </c>
      <c r="AU8" s="20">
        <v>22502.5234375</v>
      </c>
      <c r="AV8" s="20">
        <f t="shared" si="6"/>
        <v>1002.5234375</v>
      </c>
      <c r="AW8" s="21">
        <f t="shared" si="7"/>
        <v>4.6628997093023254E-2</v>
      </c>
    </row>
    <row r="9" spans="1:49" x14ac:dyDescent="0.25">
      <c r="A9" t="s">
        <v>38</v>
      </c>
      <c r="B9" t="s">
        <v>110</v>
      </c>
      <c r="C9">
        <v>142676</v>
      </c>
      <c r="D9">
        <v>2019</v>
      </c>
      <c r="E9" t="s">
        <v>58</v>
      </c>
      <c r="F9" t="s">
        <v>111</v>
      </c>
      <c r="G9" t="s">
        <v>112</v>
      </c>
      <c r="I9">
        <v>4</v>
      </c>
      <c r="J9" t="s">
        <v>61</v>
      </c>
      <c r="K9">
        <v>4</v>
      </c>
      <c r="L9" t="s">
        <v>44</v>
      </c>
      <c r="M9">
        <v>1.6</v>
      </c>
      <c r="N9" t="s">
        <v>45</v>
      </c>
      <c r="Q9" t="s">
        <v>62</v>
      </c>
      <c r="R9" t="s">
        <v>63</v>
      </c>
      <c r="S9" t="s">
        <v>49</v>
      </c>
      <c r="T9">
        <v>130</v>
      </c>
      <c r="U9" t="s">
        <v>50</v>
      </c>
      <c r="W9" t="s">
        <v>113</v>
      </c>
      <c r="X9" t="s">
        <v>53</v>
      </c>
      <c r="Y9" t="s">
        <v>66</v>
      </c>
      <c r="AA9">
        <v>0</v>
      </c>
      <c r="AB9" t="s">
        <v>79</v>
      </c>
      <c r="AC9" t="s">
        <v>87</v>
      </c>
      <c r="AD9">
        <v>36</v>
      </c>
      <c r="AE9">
        <v>9</v>
      </c>
      <c r="AF9">
        <v>3</v>
      </c>
      <c r="AG9">
        <v>2025</v>
      </c>
      <c r="AH9" s="2">
        <v>3200</v>
      </c>
      <c r="AI9" s="2">
        <v>2662.604248046875</v>
      </c>
      <c r="AJ9" s="2">
        <f t="shared" si="0"/>
        <v>537.395751953125</v>
      </c>
      <c r="AK9" s="6">
        <f t="shared" si="1"/>
        <v>0.16793617248535156</v>
      </c>
      <c r="AL9" s="12">
        <v>3200</v>
      </c>
      <c r="AM9" s="12">
        <v>3800.7644273820069</v>
      </c>
      <c r="AN9" s="12">
        <f t="shared" si="2"/>
        <v>600.76442738200694</v>
      </c>
      <c r="AO9" s="13">
        <f t="shared" si="3"/>
        <v>0.18773888355687718</v>
      </c>
      <c r="AP9" s="16">
        <v>3200</v>
      </c>
      <c r="AQ9" s="16">
        <v>2866.3725165788042</v>
      </c>
      <c r="AR9" s="16">
        <f t="shared" si="4"/>
        <v>333.62748342119585</v>
      </c>
      <c r="AS9" s="17">
        <f t="shared" si="5"/>
        <v>0.10425858856912371</v>
      </c>
      <c r="AT9" s="20">
        <v>3200</v>
      </c>
      <c r="AU9" s="20">
        <v>2753.513671875</v>
      </c>
      <c r="AV9" s="20">
        <f t="shared" si="6"/>
        <v>446.486328125</v>
      </c>
      <c r="AW9" s="21">
        <f t="shared" si="7"/>
        <v>0.13952697753906251</v>
      </c>
    </row>
    <row r="10" spans="1:49" x14ac:dyDescent="0.25">
      <c r="A10" t="s">
        <v>114</v>
      </c>
      <c r="B10" t="s">
        <v>115</v>
      </c>
      <c r="C10">
        <v>240411</v>
      </c>
      <c r="D10">
        <v>2016</v>
      </c>
      <c r="E10" t="s">
        <v>116</v>
      </c>
      <c r="F10" t="s">
        <v>117</v>
      </c>
      <c r="G10" t="s">
        <v>118</v>
      </c>
      <c r="I10">
        <v>6</v>
      </c>
      <c r="J10" t="s">
        <v>61</v>
      </c>
      <c r="K10">
        <v>4</v>
      </c>
      <c r="L10" t="s">
        <v>44</v>
      </c>
      <c r="M10">
        <v>3.6</v>
      </c>
      <c r="N10" t="s">
        <v>44</v>
      </c>
      <c r="O10" t="s">
        <v>46</v>
      </c>
      <c r="Q10" t="s">
        <v>62</v>
      </c>
      <c r="R10" t="s">
        <v>63</v>
      </c>
      <c r="S10" t="s">
        <v>85</v>
      </c>
      <c r="T10">
        <v>295</v>
      </c>
      <c r="U10" t="s">
        <v>50</v>
      </c>
      <c r="V10" t="s">
        <v>76</v>
      </c>
      <c r="X10" t="s">
        <v>94</v>
      </c>
      <c r="Y10" t="s">
        <v>78</v>
      </c>
      <c r="AA10">
        <v>0</v>
      </c>
      <c r="AB10" t="s">
        <v>79</v>
      </c>
      <c r="AC10" t="s">
        <v>87</v>
      </c>
      <c r="AD10">
        <v>36</v>
      </c>
      <c r="AE10">
        <v>9</v>
      </c>
      <c r="AF10">
        <v>3</v>
      </c>
      <c r="AG10">
        <v>2025</v>
      </c>
      <c r="AH10" s="2">
        <v>2400</v>
      </c>
      <c r="AI10" s="2">
        <v>3132.233642578125</v>
      </c>
      <c r="AJ10" s="2">
        <f t="shared" si="0"/>
        <v>732.233642578125</v>
      </c>
      <c r="AK10" s="6">
        <f t="shared" si="1"/>
        <v>0.30509735107421876</v>
      </c>
      <c r="AL10" s="12">
        <v>2400</v>
      </c>
      <c r="AM10" s="12">
        <v>3625.8956573274768</v>
      </c>
      <c r="AN10" s="12">
        <f t="shared" si="2"/>
        <v>1225.8956573274768</v>
      </c>
      <c r="AO10" s="13">
        <f t="shared" si="3"/>
        <v>0.51078985721978198</v>
      </c>
      <c r="AP10" s="16">
        <v>2400</v>
      </c>
      <c r="AQ10" s="16">
        <v>2970.0822495639441</v>
      </c>
      <c r="AR10" s="16">
        <f t="shared" si="4"/>
        <v>570.08224956394406</v>
      </c>
      <c r="AS10" s="17">
        <f t="shared" si="5"/>
        <v>0.23753427065164337</v>
      </c>
      <c r="AT10" s="20">
        <v>2400</v>
      </c>
      <c r="AU10" s="20">
        <v>3179.056884765625</v>
      </c>
      <c r="AV10" s="20">
        <f t="shared" si="6"/>
        <v>779.056884765625</v>
      </c>
      <c r="AW10" s="21">
        <f t="shared" si="7"/>
        <v>0.32460703531901042</v>
      </c>
    </row>
    <row r="11" spans="1:49" x14ac:dyDescent="0.25">
      <c r="A11" t="s">
        <v>38</v>
      </c>
      <c r="B11" t="s">
        <v>110</v>
      </c>
      <c r="C11">
        <v>138419</v>
      </c>
      <c r="D11">
        <v>2015</v>
      </c>
      <c r="E11" t="s">
        <v>119</v>
      </c>
      <c r="F11" t="s">
        <v>120</v>
      </c>
      <c r="G11" t="s">
        <v>121</v>
      </c>
      <c r="I11">
        <v>4</v>
      </c>
      <c r="J11" t="s">
        <v>122</v>
      </c>
      <c r="K11">
        <v>4</v>
      </c>
      <c r="L11" t="s">
        <v>44</v>
      </c>
      <c r="M11">
        <v>1.8</v>
      </c>
      <c r="N11" t="s">
        <v>45</v>
      </c>
      <c r="Q11" t="s">
        <v>47</v>
      </c>
      <c r="R11" t="s">
        <v>123</v>
      </c>
      <c r="T11">
        <v>170</v>
      </c>
      <c r="U11" t="s">
        <v>50</v>
      </c>
      <c r="W11" t="s">
        <v>124</v>
      </c>
      <c r="X11" t="s">
        <v>125</v>
      </c>
      <c r="Y11" t="s">
        <v>126</v>
      </c>
      <c r="AA11">
        <v>0</v>
      </c>
      <c r="AB11" t="s">
        <v>79</v>
      </c>
      <c r="AC11" t="s">
        <v>127</v>
      </c>
      <c r="AD11">
        <v>36</v>
      </c>
      <c r="AE11">
        <v>9</v>
      </c>
      <c r="AF11">
        <v>3</v>
      </c>
      <c r="AG11">
        <v>2025</v>
      </c>
      <c r="AH11" s="2">
        <v>1800</v>
      </c>
      <c r="AI11" s="2">
        <v>2098.224853515625</v>
      </c>
      <c r="AJ11" s="2">
        <f t="shared" si="0"/>
        <v>298.224853515625</v>
      </c>
      <c r="AK11" s="6">
        <f t="shared" si="1"/>
        <v>0.16568047417534723</v>
      </c>
      <c r="AL11" s="12">
        <v>1800</v>
      </c>
      <c r="AM11" s="12">
        <v>2134.0880064214298</v>
      </c>
      <c r="AN11" s="12">
        <f t="shared" si="2"/>
        <v>334.08800642142978</v>
      </c>
      <c r="AO11" s="13">
        <f t="shared" si="3"/>
        <v>0.18560444801190543</v>
      </c>
      <c r="AP11" s="16">
        <v>1800</v>
      </c>
      <c r="AQ11" s="16">
        <v>1693.468614643936</v>
      </c>
      <c r="AR11" s="16">
        <f t="shared" si="4"/>
        <v>106.53138535606399</v>
      </c>
      <c r="AS11" s="17">
        <f t="shared" si="5"/>
        <v>5.918410297559111E-2</v>
      </c>
      <c r="AT11" s="20">
        <v>1800</v>
      </c>
      <c r="AU11" s="20">
        <v>2092.685791015625</v>
      </c>
      <c r="AV11" s="20">
        <f t="shared" si="6"/>
        <v>292.685791015625</v>
      </c>
      <c r="AW11" s="21">
        <f t="shared" si="7"/>
        <v>0.16260321723090279</v>
      </c>
    </row>
    <row r="12" spans="1:49" x14ac:dyDescent="0.25">
      <c r="A12" t="s">
        <v>128</v>
      </c>
      <c r="B12" t="s">
        <v>129</v>
      </c>
      <c r="C12">
        <v>134252</v>
      </c>
      <c r="D12">
        <v>2015</v>
      </c>
      <c r="E12" t="s">
        <v>97</v>
      </c>
      <c r="F12" t="s">
        <v>98</v>
      </c>
      <c r="G12" t="s">
        <v>130</v>
      </c>
      <c r="I12">
        <v>4</v>
      </c>
      <c r="J12" t="s">
        <v>43</v>
      </c>
      <c r="K12">
        <v>4</v>
      </c>
      <c r="L12" t="s">
        <v>44</v>
      </c>
      <c r="M12">
        <v>2.4</v>
      </c>
      <c r="N12" t="s">
        <v>45</v>
      </c>
      <c r="Q12" t="s">
        <v>62</v>
      </c>
      <c r="R12" t="s">
        <v>63</v>
      </c>
      <c r="S12" t="s">
        <v>101</v>
      </c>
      <c r="U12" t="s">
        <v>50</v>
      </c>
      <c r="W12" t="s">
        <v>131</v>
      </c>
      <c r="X12" t="s">
        <v>65</v>
      </c>
      <c r="Y12" t="s">
        <v>103</v>
      </c>
      <c r="AA12">
        <v>0</v>
      </c>
      <c r="AB12" t="s">
        <v>79</v>
      </c>
      <c r="AC12" t="s">
        <v>87</v>
      </c>
      <c r="AD12">
        <v>36</v>
      </c>
      <c r="AE12">
        <v>9</v>
      </c>
      <c r="AF12">
        <v>3</v>
      </c>
      <c r="AG12">
        <v>2025</v>
      </c>
      <c r="AH12" s="2">
        <v>1600</v>
      </c>
      <c r="AI12" s="2">
        <v>3707.132568359375</v>
      </c>
      <c r="AJ12" s="2">
        <f t="shared" si="0"/>
        <v>2107.132568359375</v>
      </c>
      <c r="AK12" s="6">
        <f t="shared" si="1"/>
        <v>1.3169578552246093</v>
      </c>
      <c r="AL12" s="12">
        <v>1600</v>
      </c>
      <c r="AM12" s="12">
        <v>3398.3160975328892</v>
      </c>
      <c r="AN12" s="12">
        <f t="shared" si="2"/>
        <v>1798.3160975328892</v>
      </c>
      <c r="AO12" s="13">
        <f t="shared" si="3"/>
        <v>1.1239475609580558</v>
      </c>
      <c r="AP12" s="16">
        <v>1600</v>
      </c>
      <c r="AQ12" s="16">
        <v>2743.0462770017489</v>
      </c>
      <c r="AR12" s="16">
        <f t="shared" si="4"/>
        <v>1143.0462770017489</v>
      </c>
      <c r="AS12" s="17">
        <f t="shared" si="5"/>
        <v>0.71440392312609302</v>
      </c>
      <c r="AT12" s="20">
        <v>1600</v>
      </c>
      <c r="AU12" s="20">
        <v>3717.3701171875</v>
      </c>
      <c r="AV12" s="20">
        <f t="shared" si="6"/>
        <v>2117.3701171875</v>
      </c>
      <c r="AW12" s="21">
        <f t="shared" si="7"/>
        <v>1.3233563232421874</v>
      </c>
    </row>
    <row r="13" spans="1:49" x14ac:dyDescent="0.25">
      <c r="A13" t="s">
        <v>38</v>
      </c>
      <c r="B13" t="s">
        <v>39</v>
      </c>
      <c r="C13">
        <v>47985</v>
      </c>
      <c r="D13">
        <v>2022</v>
      </c>
      <c r="E13" t="s">
        <v>132</v>
      </c>
      <c r="F13" t="s">
        <v>133</v>
      </c>
      <c r="H13" t="s">
        <v>134</v>
      </c>
      <c r="I13">
        <v>6</v>
      </c>
      <c r="J13" t="s">
        <v>135</v>
      </c>
      <c r="K13">
        <v>4</v>
      </c>
      <c r="L13" t="s">
        <v>44</v>
      </c>
      <c r="M13">
        <v>3</v>
      </c>
      <c r="N13" t="s">
        <v>44</v>
      </c>
      <c r="O13" t="s">
        <v>46</v>
      </c>
      <c r="Q13" t="s">
        <v>47</v>
      </c>
      <c r="R13" t="s">
        <v>123</v>
      </c>
      <c r="T13">
        <v>429</v>
      </c>
      <c r="U13" t="s">
        <v>50</v>
      </c>
      <c r="V13" t="s">
        <v>76</v>
      </c>
      <c r="W13" t="s">
        <v>136</v>
      </c>
      <c r="X13" t="s">
        <v>125</v>
      </c>
      <c r="Y13" t="s">
        <v>137</v>
      </c>
      <c r="AA13">
        <v>0</v>
      </c>
      <c r="AB13" t="s">
        <v>79</v>
      </c>
      <c r="AC13" t="s">
        <v>127</v>
      </c>
      <c r="AD13">
        <v>36</v>
      </c>
      <c r="AE13">
        <v>9</v>
      </c>
      <c r="AF13">
        <v>3</v>
      </c>
      <c r="AG13">
        <v>2025</v>
      </c>
      <c r="AH13" s="2">
        <v>46000</v>
      </c>
      <c r="AI13" s="2">
        <v>43572.1171875</v>
      </c>
      <c r="AJ13" s="2">
        <f t="shared" si="0"/>
        <v>2427.8828125</v>
      </c>
      <c r="AK13" s="6">
        <f t="shared" si="1"/>
        <v>5.2780061141304346E-2</v>
      </c>
      <c r="AL13" s="12">
        <v>46000</v>
      </c>
      <c r="AM13" s="12">
        <v>37776.290651897623</v>
      </c>
      <c r="AN13" s="12">
        <f t="shared" si="2"/>
        <v>8223.7093481023767</v>
      </c>
      <c r="AO13" s="13">
        <f t="shared" si="3"/>
        <v>0.17877629017613864</v>
      </c>
      <c r="AP13" s="16">
        <v>46000</v>
      </c>
      <c r="AQ13" s="16">
        <v>40530.374683758193</v>
      </c>
      <c r="AR13" s="16">
        <f t="shared" si="4"/>
        <v>5469.625316241807</v>
      </c>
      <c r="AS13" s="17">
        <f t="shared" si="5"/>
        <v>0.11890489817916972</v>
      </c>
      <c r="AT13" s="20">
        <v>46000</v>
      </c>
      <c r="AU13" s="20">
        <v>42570.13671875</v>
      </c>
      <c r="AV13" s="20">
        <f t="shared" si="6"/>
        <v>3429.86328125</v>
      </c>
      <c r="AW13" s="21">
        <f t="shared" si="7"/>
        <v>7.4562245244565215E-2</v>
      </c>
    </row>
    <row r="14" spans="1:49" x14ac:dyDescent="0.25">
      <c r="A14" t="s">
        <v>38</v>
      </c>
      <c r="B14" t="s">
        <v>39</v>
      </c>
      <c r="C14">
        <v>83992</v>
      </c>
      <c r="D14">
        <v>2018</v>
      </c>
      <c r="E14" t="s">
        <v>119</v>
      </c>
      <c r="F14" t="s">
        <v>138</v>
      </c>
      <c r="G14" t="s">
        <v>139</v>
      </c>
      <c r="I14">
        <v>6</v>
      </c>
      <c r="J14" t="s">
        <v>61</v>
      </c>
      <c r="K14">
        <v>4</v>
      </c>
      <c r="L14" t="s">
        <v>44</v>
      </c>
      <c r="M14">
        <v>3.6</v>
      </c>
      <c r="N14" t="s">
        <v>44</v>
      </c>
      <c r="O14" t="s">
        <v>46</v>
      </c>
      <c r="Q14" t="s">
        <v>62</v>
      </c>
      <c r="R14" t="s">
        <v>63</v>
      </c>
      <c r="S14" t="s">
        <v>85</v>
      </c>
      <c r="T14">
        <v>276</v>
      </c>
      <c r="U14" t="s">
        <v>50</v>
      </c>
      <c r="W14" t="s">
        <v>140</v>
      </c>
      <c r="X14" t="s">
        <v>141</v>
      </c>
      <c r="Y14" t="s">
        <v>78</v>
      </c>
      <c r="Z14">
        <v>33950</v>
      </c>
      <c r="AA14">
        <v>0</v>
      </c>
      <c r="AB14" t="s">
        <v>79</v>
      </c>
      <c r="AC14" t="s">
        <v>109</v>
      </c>
      <c r="AD14">
        <v>36</v>
      </c>
      <c r="AE14">
        <v>9</v>
      </c>
      <c r="AF14">
        <v>3</v>
      </c>
      <c r="AG14">
        <v>2025</v>
      </c>
      <c r="AH14" s="2">
        <v>12800</v>
      </c>
      <c r="AI14" s="2">
        <v>13365.8251953125</v>
      </c>
      <c r="AJ14" s="2">
        <f t="shared" si="0"/>
        <v>565.8251953125</v>
      </c>
      <c r="AK14" s="6">
        <f t="shared" si="1"/>
        <v>4.4205093383789064E-2</v>
      </c>
      <c r="AL14" s="12">
        <v>12800</v>
      </c>
      <c r="AM14" s="12">
        <v>13735.307371919631</v>
      </c>
      <c r="AN14" s="12">
        <f t="shared" si="2"/>
        <v>935.3073719196309</v>
      </c>
      <c r="AO14" s="13">
        <f t="shared" si="3"/>
        <v>7.307088843122117E-2</v>
      </c>
      <c r="AP14" s="16">
        <v>12800</v>
      </c>
      <c r="AQ14" s="16">
        <v>15257.251867274121</v>
      </c>
      <c r="AR14" s="16">
        <f t="shared" si="4"/>
        <v>2457.2518672741207</v>
      </c>
      <c r="AS14" s="17">
        <f t="shared" si="5"/>
        <v>0.19197280213079068</v>
      </c>
      <c r="AT14" s="20">
        <v>12800</v>
      </c>
      <c r="AU14" s="20">
        <v>13490.1669921875</v>
      </c>
      <c r="AV14" s="20">
        <f t="shared" si="6"/>
        <v>690.1669921875</v>
      </c>
      <c r="AW14" s="21">
        <f t="shared" si="7"/>
        <v>5.3919296264648441E-2</v>
      </c>
    </row>
    <row r="15" spans="1:49" x14ac:dyDescent="0.25">
      <c r="A15" t="s">
        <v>38</v>
      </c>
      <c r="B15" t="s">
        <v>96</v>
      </c>
      <c r="C15">
        <v>88983</v>
      </c>
      <c r="D15">
        <v>2016</v>
      </c>
      <c r="E15" t="s">
        <v>142</v>
      </c>
      <c r="F15" t="s">
        <v>143</v>
      </c>
      <c r="G15" t="s">
        <v>144</v>
      </c>
      <c r="H15" t="s">
        <v>145</v>
      </c>
      <c r="I15">
        <v>6</v>
      </c>
      <c r="J15" t="s">
        <v>106</v>
      </c>
      <c r="K15">
        <v>4</v>
      </c>
      <c r="L15" t="s">
        <v>44</v>
      </c>
      <c r="M15">
        <v>3.2</v>
      </c>
      <c r="N15" t="s">
        <v>45</v>
      </c>
      <c r="O15" t="s">
        <v>100</v>
      </c>
      <c r="P15">
        <v>2</v>
      </c>
      <c r="Q15" t="s">
        <v>62</v>
      </c>
      <c r="R15" t="s">
        <v>63</v>
      </c>
      <c r="S15" t="s">
        <v>49</v>
      </c>
      <c r="U15" t="s">
        <v>50</v>
      </c>
      <c r="X15" t="s">
        <v>141</v>
      </c>
      <c r="Y15" t="s">
        <v>78</v>
      </c>
      <c r="AA15">
        <v>0</v>
      </c>
      <c r="AB15" t="s">
        <v>79</v>
      </c>
      <c r="AC15" t="s">
        <v>87</v>
      </c>
      <c r="AD15">
        <v>36</v>
      </c>
      <c r="AE15">
        <v>9</v>
      </c>
      <c r="AF15">
        <v>3</v>
      </c>
      <c r="AG15">
        <v>2025</v>
      </c>
      <c r="AH15" s="2">
        <v>4500</v>
      </c>
      <c r="AI15" s="2">
        <v>3435.150146484375</v>
      </c>
      <c r="AJ15" s="2">
        <f t="shared" si="0"/>
        <v>1064.849853515625</v>
      </c>
      <c r="AK15" s="6">
        <f t="shared" si="1"/>
        <v>0.23663330078125</v>
      </c>
      <c r="AL15" s="12">
        <v>4500</v>
      </c>
      <c r="AM15" s="12">
        <v>3561.007078449974</v>
      </c>
      <c r="AN15" s="12">
        <f t="shared" si="2"/>
        <v>938.99292155002604</v>
      </c>
      <c r="AO15" s="13">
        <f t="shared" si="3"/>
        <v>0.20866509367778358</v>
      </c>
      <c r="AP15" s="16">
        <v>4500</v>
      </c>
      <c r="AQ15" s="16">
        <v>3436.3015934560199</v>
      </c>
      <c r="AR15" s="16">
        <f t="shared" si="4"/>
        <v>1063.6984065439801</v>
      </c>
      <c r="AS15" s="17">
        <f t="shared" si="5"/>
        <v>0.23637742367644002</v>
      </c>
      <c r="AT15" s="20">
        <v>4500</v>
      </c>
      <c r="AU15" s="20">
        <v>3488.456298828125</v>
      </c>
      <c r="AV15" s="20">
        <f t="shared" si="6"/>
        <v>1011.543701171875</v>
      </c>
      <c r="AW15" s="21">
        <f t="shared" si="7"/>
        <v>0.22478748914930555</v>
      </c>
    </row>
    <row r="16" spans="1:49" x14ac:dyDescent="0.25">
      <c r="A16" t="s">
        <v>38</v>
      </c>
      <c r="B16" t="s">
        <v>110</v>
      </c>
      <c r="C16">
        <v>179236</v>
      </c>
      <c r="D16">
        <v>2012</v>
      </c>
      <c r="E16" t="s">
        <v>146</v>
      </c>
      <c r="F16" t="s">
        <v>147</v>
      </c>
      <c r="I16">
        <v>4</v>
      </c>
      <c r="J16" t="s">
        <v>106</v>
      </c>
      <c r="K16">
        <v>4</v>
      </c>
      <c r="L16" t="s">
        <v>44</v>
      </c>
      <c r="M16">
        <v>2.5</v>
      </c>
      <c r="N16" t="s">
        <v>44</v>
      </c>
      <c r="Q16" t="s">
        <v>62</v>
      </c>
      <c r="R16" t="s">
        <v>148</v>
      </c>
      <c r="S16" t="s">
        <v>49</v>
      </c>
      <c r="U16" t="s">
        <v>50</v>
      </c>
      <c r="X16" t="s">
        <v>65</v>
      </c>
      <c r="Y16" t="s">
        <v>54</v>
      </c>
      <c r="AA16">
        <v>0</v>
      </c>
      <c r="AB16" t="s">
        <v>79</v>
      </c>
      <c r="AC16" t="s">
        <v>87</v>
      </c>
      <c r="AD16">
        <v>36</v>
      </c>
      <c r="AE16">
        <v>9</v>
      </c>
      <c r="AF16">
        <v>3</v>
      </c>
      <c r="AG16">
        <v>2025</v>
      </c>
      <c r="AH16" s="2">
        <v>800</v>
      </c>
      <c r="AI16" s="2">
        <v>1184.220336914062</v>
      </c>
      <c r="AJ16" s="2">
        <f t="shared" si="0"/>
        <v>384.22033691406205</v>
      </c>
      <c r="AK16" s="6">
        <f t="shared" si="1"/>
        <v>0.48027542114257754</v>
      </c>
      <c r="AL16" s="12">
        <v>800</v>
      </c>
      <c r="AM16" s="12">
        <v>1536.0794492283969</v>
      </c>
      <c r="AN16" s="12">
        <f t="shared" si="2"/>
        <v>736.07944922839692</v>
      </c>
      <c r="AO16" s="13">
        <f t="shared" si="3"/>
        <v>0.92009931153549618</v>
      </c>
      <c r="AP16" s="16">
        <v>800</v>
      </c>
      <c r="AQ16" s="16">
        <v>1203.461591817638</v>
      </c>
      <c r="AR16" s="16">
        <f t="shared" si="4"/>
        <v>403.46159181763801</v>
      </c>
      <c r="AS16" s="17">
        <f t="shared" si="5"/>
        <v>0.50432698977204748</v>
      </c>
      <c r="AT16" s="20">
        <v>800</v>
      </c>
      <c r="AU16" s="20">
        <v>1183.245239257812</v>
      </c>
      <c r="AV16" s="20">
        <f t="shared" si="6"/>
        <v>383.24523925781205</v>
      </c>
      <c r="AW16" s="21">
        <f t="shared" si="7"/>
        <v>0.47905654907226508</v>
      </c>
    </row>
    <row r="17" spans="1:49" x14ac:dyDescent="0.25">
      <c r="A17" t="s">
        <v>38</v>
      </c>
      <c r="B17" t="s">
        <v>96</v>
      </c>
      <c r="C17">
        <v>51810</v>
      </c>
      <c r="D17">
        <v>2021</v>
      </c>
      <c r="E17" t="s">
        <v>40</v>
      </c>
      <c r="F17" t="s">
        <v>149</v>
      </c>
      <c r="G17" t="s">
        <v>150</v>
      </c>
      <c r="H17" t="s">
        <v>151</v>
      </c>
      <c r="I17">
        <v>6</v>
      </c>
      <c r="J17" t="s">
        <v>135</v>
      </c>
      <c r="K17">
        <v>4</v>
      </c>
      <c r="L17" t="s">
        <v>44</v>
      </c>
      <c r="M17">
        <v>3.5</v>
      </c>
      <c r="N17" t="s">
        <v>73</v>
      </c>
      <c r="O17" t="s">
        <v>46</v>
      </c>
      <c r="Q17" t="s">
        <v>74</v>
      </c>
      <c r="R17" t="s">
        <v>92</v>
      </c>
      <c r="S17" t="s">
        <v>49</v>
      </c>
      <c r="T17">
        <v>278</v>
      </c>
      <c r="U17" t="s">
        <v>50</v>
      </c>
      <c r="V17" t="s">
        <v>76</v>
      </c>
      <c r="W17" t="s">
        <v>152</v>
      </c>
      <c r="X17" t="s">
        <v>141</v>
      </c>
      <c r="Y17" t="s">
        <v>78</v>
      </c>
      <c r="Z17">
        <v>28190</v>
      </c>
      <c r="AA17">
        <v>0</v>
      </c>
      <c r="AB17" t="s">
        <v>79</v>
      </c>
      <c r="AC17" t="s">
        <v>95</v>
      </c>
      <c r="AD17">
        <v>36</v>
      </c>
      <c r="AE17">
        <v>9</v>
      </c>
      <c r="AF17">
        <v>3</v>
      </c>
      <c r="AG17">
        <v>2025</v>
      </c>
      <c r="AH17" s="2">
        <v>20250</v>
      </c>
      <c r="AI17" s="2">
        <v>25428.1875</v>
      </c>
      <c r="AJ17" s="2">
        <f t="shared" si="0"/>
        <v>5178.1875</v>
      </c>
      <c r="AK17" s="6">
        <f t="shared" si="1"/>
        <v>0.25571296296296298</v>
      </c>
      <c r="AL17" s="12">
        <v>20250</v>
      </c>
      <c r="AM17" s="12">
        <v>26359.925054639421</v>
      </c>
      <c r="AN17" s="12">
        <f t="shared" si="2"/>
        <v>6109.9250546394214</v>
      </c>
      <c r="AO17" s="13">
        <f t="shared" si="3"/>
        <v>0.30172469405626773</v>
      </c>
      <c r="AP17" s="16">
        <v>20250</v>
      </c>
      <c r="AQ17" s="16">
        <v>23562.226260792449</v>
      </c>
      <c r="AR17" s="16">
        <f t="shared" si="4"/>
        <v>3312.2262607924495</v>
      </c>
      <c r="AS17" s="17">
        <f t="shared" si="5"/>
        <v>0.16356672892802221</v>
      </c>
      <c r="AT17" s="20">
        <v>20250</v>
      </c>
      <c r="AU17" s="20">
        <v>25340.9375</v>
      </c>
      <c r="AV17" s="20">
        <f t="shared" si="6"/>
        <v>5090.9375</v>
      </c>
      <c r="AW17" s="21">
        <f t="shared" si="7"/>
        <v>0.25140432098765431</v>
      </c>
    </row>
    <row r="18" spans="1:49" x14ac:dyDescent="0.25">
      <c r="A18" t="s">
        <v>128</v>
      </c>
      <c r="B18" t="s">
        <v>129</v>
      </c>
      <c r="C18">
        <v>136355</v>
      </c>
      <c r="D18">
        <v>2014</v>
      </c>
      <c r="E18" t="s">
        <v>146</v>
      </c>
      <c r="F18" t="s">
        <v>153</v>
      </c>
      <c r="I18">
        <v>6</v>
      </c>
      <c r="J18" t="s">
        <v>61</v>
      </c>
      <c r="K18">
        <v>4</v>
      </c>
      <c r="L18" t="s">
        <v>44</v>
      </c>
      <c r="M18">
        <v>3.5</v>
      </c>
      <c r="N18" t="s">
        <v>45</v>
      </c>
      <c r="Q18" t="s">
        <v>47</v>
      </c>
      <c r="R18" t="s">
        <v>123</v>
      </c>
      <c r="S18" t="s">
        <v>49</v>
      </c>
      <c r="U18" t="s">
        <v>50</v>
      </c>
      <c r="X18" t="s">
        <v>125</v>
      </c>
      <c r="Y18" t="s">
        <v>78</v>
      </c>
      <c r="AA18">
        <v>0</v>
      </c>
      <c r="AB18" t="s">
        <v>79</v>
      </c>
      <c r="AC18" t="s">
        <v>127</v>
      </c>
      <c r="AD18">
        <v>36</v>
      </c>
      <c r="AE18">
        <v>9</v>
      </c>
      <c r="AF18">
        <v>3</v>
      </c>
      <c r="AG18">
        <v>2025</v>
      </c>
      <c r="AH18" s="2">
        <v>3000</v>
      </c>
      <c r="AI18" s="2">
        <v>2617.32421875</v>
      </c>
      <c r="AJ18" s="2">
        <f t="shared" si="0"/>
        <v>382.67578125</v>
      </c>
      <c r="AK18" s="6">
        <f t="shared" si="1"/>
        <v>0.12755859375</v>
      </c>
      <c r="AL18" s="12">
        <v>3000</v>
      </c>
      <c r="AM18" s="12">
        <v>2671.2341623502939</v>
      </c>
      <c r="AN18" s="12">
        <f t="shared" si="2"/>
        <v>328.7658376497061</v>
      </c>
      <c r="AO18" s="13">
        <f t="shared" si="3"/>
        <v>0.10958861254990203</v>
      </c>
      <c r="AP18" s="16">
        <v>3000</v>
      </c>
      <c r="AQ18" s="16">
        <v>2400.2692293627688</v>
      </c>
      <c r="AR18" s="16">
        <f t="shared" si="4"/>
        <v>599.73077063723122</v>
      </c>
      <c r="AS18" s="17">
        <f t="shared" si="5"/>
        <v>0.19991025687907707</v>
      </c>
      <c r="AT18" s="20">
        <v>3000</v>
      </c>
      <c r="AU18" s="20">
        <v>2616.557861328125</v>
      </c>
      <c r="AV18" s="20">
        <f t="shared" si="6"/>
        <v>383.442138671875</v>
      </c>
      <c r="AW18" s="21">
        <f t="shared" si="7"/>
        <v>0.12781404622395834</v>
      </c>
    </row>
    <row r="19" spans="1:49" x14ac:dyDescent="0.25">
      <c r="A19" t="s">
        <v>38</v>
      </c>
      <c r="B19" t="s">
        <v>96</v>
      </c>
      <c r="C19">
        <v>99841</v>
      </c>
      <c r="D19">
        <v>2019</v>
      </c>
      <c r="E19" t="s">
        <v>97</v>
      </c>
      <c r="F19" t="s">
        <v>154</v>
      </c>
      <c r="G19" t="s">
        <v>155</v>
      </c>
      <c r="I19">
        <v>4</v>
      </c>
      <c r="J19" t="s">
        <v>122</v>
      </c>
      <c r="K19">
        <v>4</v>
      </c>
      <c r="L19" t="s">
        <v>44</v>
      </c>
      <c r="M19">
        <v>2.5</v>
      </c>
      <c r="N19" t="s">
        <v>73</v>
      </c>
      <c r="O19" t="s">
        <v>46</v>
      </c>
      <c r="P19">
        <v>2</v>
      </c>
      <c r="Q19" t="s">
        <v>74</v>
      </c>
      <c r="R19" t="s">
        <v>92</v>
      </c>
      <c r="S19" t="s">
        <v>49</v>
      </c>
      <c r="U19" t="s">
        <v>50</v>
      </c>
      <c r="V19" t="s">
        <v>51</v>
      </c>
      <c r="W19" t="s">
        <v>156</v>
      </c>
      <c r="X19" t="s">
        <v>141</v>
      </c>
      <c r="Y19" t="s">
        <v>78</v>
      </c>
      <c r="Z19">
        <v>30795</v>
      </c>
      <c r="AA19">
        <v>0</v>
      </c>
      <c r="AB19" t="s">
        <v>79</v>
      </c>
      <c r="AC19" t="s">
        <v>95</v>
      </c>
      <c r="AD19">
        <v>36</v>
      </c>
      <c r="AE19">
        <v>9</v>
      </c>
      <c r="AF19">
        <v>3</v>
      </c>
      <c r="AG19">
        <v>2025</v>
      </c>
      <c r="AH19" s="2">
        <v>13400</v>
      </c>
      <c r="AI19" s="2">
        <v>10720.9501953125</v>
      </c>
      <c r="AJ19" s="2">
        <f t="shared" si="0"/>
        <v>2679.0498046875</v>
      </c>
      <c r="AK19" s="6">
        <f t="shared" si="1"/>
        <v>0.19992908990205224</v>
      </c>
      <c r="AL19" s="12">
        <v>13400</v>
      </c>
      <c r="AM19" s="12">
        <v>10210.99683485439</v>
      </c>
      <c r="AN19" s="12">
        <f t="shared" si="2"/>
        <v>3189.0031651456102</v>
      </c>
      <c r="AO19" s="13">
        <f t="shared" si="3"/>
        <v>0.23798531083176194</v>
      </c>
      <c r="AP19" s="16">
        <v>13400</v>
      </c>
      <c r="AQ19" s="16">
        <v>9845.6458223537011</v>
      </c>
      <c r="AR19" s="16">
        <f t="shared" si="4"/>
        <v>3554.3541776462989</v>
      </c>
      <c r="AS19" s="17">
        <f t="shared" si="5"/>
        <v>0.26525031176464919</v>
      </c>
      <c r="AT19" s="20">
        <v>13400</v>
      </c>
      <c r="AU19" s="20">
        <v>10617.96875</v>
      </c>
      <c r="AV19" s="20">
        <f t="shared" si="6"/>
        <v>2782.03125</v>
      </c>
      <c r="AW19" s="21">
        <f t="shared" si="7"/>
        <v>0.20761427238805971</v>
      </c>
    </row>
    <row r="20" spans="1:49" x14ac:dyDescent="0.25">
      <c r="A20" t="s">
        <v>38</v>
      </c>
      <c r="B20" t="s">
        <v>39</v>
      </c>
      <c r="C20">
        <v>119807</v>
      </c>
      <c r="D20">
        <v>2015</v>
      </c>
      <c r="E20" t="s">
        <v>69</v>
      </c>
      <c r="F20" t="s">
        <v>157</v>
      </c>
      <c r="G20" t="s">
        <v>105</v>
      </c>
      <c r="I20">
        <v>6</v>
      </c>
      <c r="J20" t="s">
        <v>61</v>
      </c>
      <c r="K20">
        <v>4</v>
      </c>
      <c r="L20" t="s">
        <v>44</v>
      </c>
      <c r="M20">
        <v>3.5</v>
      </c>
      <c r="N20" t="s">
        <v>45</v>
      </c>
      <c r="O20" t="s">
        <v>46</v>
      </c>
      <c r="Q20" t="s">
        <v>62</v>
      </c>
      <c r="R20" t="s">
        <v>63</v>
      </c>
      <c r="T20">
        <v>290</v>
      </c>
      <c r="U20" t="s">
        <v>50</v>
      </c>
      <c r="V20" t="s">
        <v>76</v>
      </c>
      <c r="X20" t="s">
        <v>94</v>
      </c>
      <c r="Y20" t="s">
        <v>78</v>
      </c>
      <c r="AA20">
        <v>0</v>
      </c>
      <c r="AB20" t="s">
        <v>79</v>
      </c>
      <c r="AC20" t="s">
        <v>87</v>
      </c>
      <c r="AD20">
        <v>36</v>
      </c>
      <c r="AE20">
        <v>9</v>
      </c>
      <c r="AF20">
        <v>3</v>
      </c>
      <c r="AG20">
        <v>2025</v>
      </c>
      <c r="AH20" s="2">
        <v>5750</v>
      </c>
      <c r="AI20" s="2">
        <v>6300.45068359375</v>
      </c>
      <c r="AJ20" s="2">
        <f t="shared" si="0"/>
        <v>550.45068359375</v>
      </c>
      <c r="AK20" s="6">
        <f t="shared" si="1"/>
        <v>9.5730553668478255E-2</v>
      </c>
      <c r="AL20" s="12">
        <v>5750</v>
      </c>
      <c r="AM20" s="12">
        <v>6691.8393304122992</v>
      </c>
      <c r="AN20" s="12">
        <f t="shared" si="2"/>
        <v>941.8393304122992</v>
      </c>
      <c r="AO20" s="13">
        <f t="shared" si="3"/>
        <v>0.16379814441953031</v>
      </c>
      <c r="AP20" s="16">
        <v>5750</v>
      </c>
      <c r="AQ20" s="16">
        <v>6217.922987360118</v>
      </c>
      <c r="AR20" s="16">
        <f t="shared" si="4"/>
        <v>467.92298736011799</v>
      </c>
      <c r="AS20" s="17">
        <f t="shared" si="5"/>
        <v>8.1377910845237905E-2</v>
      </c>
      <c r="AT20" s="20">
        <v>5750</v>
      </c>
      <c r="AU20" s="20">
        <v>6452.6728515625</v>
      </c>
      <c r="AV20" s="20">
        <f t="shared" si="6"/>
        <v>702.6728515625</v>
      </c>
      <c r="AW20" s="21">
        <f t="shared" si="7"/>
        <v>0.12220397418478261</v>
      </c>
    </row>
    <row r="21" spans="1:49" x14ac:dyDescent="0.25">
      <c r="A21" t="s">
        <v>114</v>
      </c>
      <c r="B21" t="s">
        <v>158</v>
      </c>
      <c r="C21">
        <v>13564</v>
      </c>
      <c r="D21">
        <v>2024</v>
      </c>
      <c r="E21" t="s">
        <v>97</v>
      </c>
      <c r="F21" t="s">
        <v>159</v>
      </c>
      <c r="G21" t="s">
        <v>160</v>
      </c>
      <c r="H21" t="s">
        <v>89</v>
      </c>
      <c r="I21">
        <v>8</v>
      </c>
      <c r="J21" t="s">
        <v>72</v>
      </c>
      <c r="K21">
        <v>2</v>
      </c>
      <c r="L21" t="s">
        <v>44</v>
      </c>
      <c r="M21">
        <v>5.3</v>
      </c>
      <c r="N21" t="s">
        <v>73</v>
      </c>
      <c r="O21" t="s">
        <v>46</v>
      </c>
      <c r="P21">
        <v>4</v>
      </c>
      <c r="Q21" t="s">
        <v>74</v>
      </c>
      <c r="R21" t="s">
        <v>92</v>
      </c>
      <c r="S21" t="s">
        <v>49</v>
      </c>
      <c r="U21" t="s">
        <v>50</v>
      </c>
      <c r="W21" t="s">
        <v>161</v>
      </c>
      <c r="X21" t="s">
        <v>94</v>
      </c>
      <c r="Y21" t="s">
        <v>126</v>
      </c>
      <c r="AA21">
        <v>0</v>
      </c>
      <c r="AB21" t="s">
        <v>79</v>
      </c>
      <c r="AC21" t="s">
        <v>95</v>
      </c>
      <c r="AD21">
        <v>36</v>
      </c>
      <c r="AE21">
        <v>9</v>
      </c>
      <c r="AF21">
        <v>3</v>
      </c>
      <c r="AG21">
        <v>2025</v>
      </c>
      <c r="AH21" s="2">
        <v>24500</v>
      </c>
      <c r="AI21" s="2">
        <v>27429.791015625</v>
      </c>
      <c r="AJ21" s="2">
        <f t="shared" si="0"/>
        <v>2929.791015625</v>
      </c>
      <c r="AK21" s="6">
        <f t="shared" si="1"/>
        <v>0.11958330676020408</v>
      </c>
      <c r="AL21" s="12">
        <v>24500</v>
      </c>
      <c r="AM21" s="12">
        <v>33579.697193769367</v>
      </c>
      <c r="AN21" s="12">
        <f t="shared" si="2"/>
        <v>9079.697193769367</v>
      </c>
      <c r="AO21" s="13">
        <f t="shared" si="3"/>
        <v>0.37059988545997419</v>
      </c>
      <c r="AP21" s="16">
        <v>24500</v>
      </c>
      <c r="AQ21" s="16">
        <v>26181.34863185514</v>
      </c>
      <c r="AR21" s="16">
        <f t="shared" si="4"/>
        <v>1681.3486318551404</v>
      </c>
      <c r="AS21" s="17">
        <f t="shared" si="5"/>
        <v>6.8626474769597573E-2</v>
      </c>
      <c r="AT21" s="20">
        <v>24500</v>
      </c>
      <c r="AU21" s="20">
        <v>28255.6875</v>
      </c>
      <c r="AV21" s="20">
        <f t="shared" si="6"/>
        <v>3755.6875</v>
      </c>
      <c r="AW21" s="21">
        <f t="shared" si="7"/>
        <v>0.15329336734693877</v>
      </c>
    </row>
    <row r="22" spans="1:49" x14ac:dyDescent="0.25">
      <c r="A22" t="s">
        <v>38</v>
      </c>
      <c r="B22" t="s">
        <v>68</v>
      </c>
      <c r="C22">
        <v>160012</v>
      </c>
      <c r="D22">
        <v>2015</v>
      </c>
      <c r="E22" t="s">
        <v>69</v>
      </c>
      <c r="F22" t="s">
        <v>157</v>
      </c>
      <c r="G22" t="s">
        <v>112</v>
      </c>
      <c r="I22">
        <v>6</v>
      </c>
      <c r="J22" t="s">
        <v>72</v>
      </c>
      <c r="K22">
        <v>4</v>
      </c>
      <c r="L22" t="s">
        <v>44</v>
      </c>
      <c r="M22">
        <v>3.5</v>
      </c>
      <c r="N22" t="s">
        <v>91</v>
      </c>
      <c r="O22" t="s">
        <v>46</v>
      </c>
      <c r="P22">
        <v>1</v>
      </c>
      <c r="Q22" t="s">
        <v>62</v>
      </c>
      <c r="R22" t="s">
        <v>63</v>
      </c>
      <c r="T22">
        <v>290</v>
      </c>
      <c r="U22" t="s">
        <v>50</v>
      </c>
      <c r="V22" t="s">
        <v>76</v>
      </c>
      <c r="X22" t="s">
        <v>94</v>
      </c>
      <c r="Y22" t="s">
        <v>78</v>
      </c>
      <c r="AA22">
        <v>0</v>
      </c>
      <c r="AB22" t="s">
        <v>79</v>
      </c>
      <c r="AC22" t="s">
        <v>87</v>
      </c>
      <c r="AD22">
        <v>36</v>
      </c>
      <c r="AE22">
        <v>9</v>
      </c>
      <c r="AF22">
        <v>3</v>
      </c>
      <c r="AG22">
        <v>2025</v>
      </c>
      <c r="AH22" s="2">
        <v>1600</v>
      </c>
      <c r="AI22" s="2">
        <v>3008.264404296875</v>
      </c>
      <c r="AJ22" s="2">
        <f t="shared" si="0"/>
        <v>1408.264404296875</v>
      </c>
      <c r="AK22" s="6">
        <f t="shared" si="1"/>
        <v>0.88016525268554691</v>
      </c>
      <c r="AL22" s="12">
        <v>1600</v>
      </c>
      <c r="AM22" s="12">
        <v>3272.2906849179321</v>
      </c>
      <c r="AN22" s="12">
        <f t="shared" si="2"/>
        <v>1672.2906849179321</v>
      </c>
      <c r="AO22" s="13">
        <f t="shared" si="3"/>
        <v>1.0451816780737075</v>
      </c>
      <c r="AP22" s="16">
        <v>1600</v>
      </c>
      <c r="AQ22" s="16">
        <v>2581.3020255124939</v>
      </c>
      <c r="AR22" s="16">
        <f t="shared" si="4"/>
        <v>981.30202551249386</v>
      </c>
      <c r="AS22" s="17">
        <f t="shared" si="5"/>
        <v>0.61331376594530862</v>
      </c>
      <c r="AT22" s="20">
        <v>1600</v>
      </c>
      <c r="AU22" s="20">
        <v>3040.5732421875</v>
      </c>
      <c r="AV22" s="20">
        <f t="shared" si="6"/>
        <v>1440.5732421875</v>
      </c>
      <c r="AW22" s="21">
        <f t="shared" si="7"/>
        <v>0.90035827636718746</v>
      </c>
    </row>
    <row r="23" spans="1:49" x14ac:dyDescent="0.25">
      <c r="A23" t="s">
        <v>81</v>
      </c>
      <c r="B23" t="s">
        <v>82</v>
      </c>
      <c r="C23">
        <v>85000</v>
      </c>
      <c r="D23">
        <v>2016</v>
      </c>
      <c r="E23" t="s">
        <v>162</v>
      </c>
      <c r="F23" t="s">
        <v>163</v>
      </c>
      <c r="G23" t="s">
        <v>164</v>
      </c>
      <c r="I23">
        <v>4</v>
      </c>
      <c r="J23" t="s">
        <v>61</v>
      </c>
      <c r="K23">
        <v>4</v>
      </c>
      <c r="L23" t="s">
        <v>44</v>
      </c>
      <c r="M23">
        <v>2.4</v>
      </c>
      <c r="N23" t="s">
        <v>45</v>
      </c>
      <c r="O23" t="s">
        <v>46</v>
      </c>
      <c r="Q23" t="s">
        <v>47</v>
      </c>
      <c r="R23" t="s">
        <v>123</v>
      </c>
      <c r="U23" t="s">
        <v>50</v>
      </c>
      <c r="V23" t="s">
        <v>51</v>
      </c>
      <c r="W23" t="s">
        <v>165</v>
      </c>
      <c r="X23" t="s">
        <v>125</v>
      </c>
      <c r="Y23" t="s">
        <v>78</v>
      </c>
      <c r="AA23">
        <v>0</v>
      </c>
      <c r="AB23" t="s">
        <v>79</v>
      </c>
      <c r="AC23" t="s">
        <v>127</v>
      </c>
      <c r="AD23">
        <v>36</v>
      </c>
      <c r="AE23">
        <v>9</v>
      </c>
      <c r="AF23">
        <v>3</v>
      </c>
      <c r="AG23">
        <v>2025</v>
      </c>
      <c r="AH23" s="2">
        <v>6700</v>
      </c>
      <c r="AI23" s="2">
        <v>5431.54736328125</v>
      </c>
      <c r="AJ23" s="2">
        <f t="shared" si="0"/>
        <v>1268.45263671875</v>
      </c>
      <c r="AK23" s="6">
        <f t="shared" si="1"/>
        <v>0.18932128906250001</v>
      </c>
      <c r="AL23" s="12">
        <v>6700</v>
      </c>
      <c r="AM23" s="12">
        <v>5282.7359538284018</v>
      </c>
      <c r="AN23" s="12">
        <f t="shared" si="2"/>
        <v>1417.2640461715982</v>
      </c>
      <c r="AO23" s="13">
        <f t="shared" si="3"/>
        <v>0.21153194718979079</v>
      </c>
      <c r="AP23" s="16">
        <v>6700</v>
      </c>
      <c r="AQ23" s="16">
        <v>4692.9258283409617</v>
      </c>
      <c r="AR23" s="16">
        <f t="shared" si="4"/>
        <v>2007.0741716590383</v>
      </c>
      <c r="AS23" s="17">
        <f t="shared" si="5"/>
        <v>0.29956330920284152</v>
      </c>
      <c r="AT23" s="20">
        <v>6700</v>
      </c>
      <c r="AU23" s="20">
        <v>5447.0810546875</v>
      </c>
      <c r="AV23" s="20">
        <f t="shared" si="6"/>
        <v>1252.9189453125</v>
      </c>
      <c r="AW23" s="21">
        <f t="shared" si="7"/>
        <v>0.18700282765858209</v>
      </c>
    </row>
    <row r="24" spans="1:49" x14ac:dyDescent="0.25">
      <c r="A24" t="s">
        <v>38</v>
      </c>
      <c r="B24" t="s">
        <v>96</v>
      </c>
      <c r="C24">
        <v>239755</v>
      </c>
      <c r="D24">
        <v>2010</v>
      </c>
      <c r="E24" t="s">
        <v>166</v>
      </c>
      <c r="F24" t="s">
        <v>167</v>
      </c>
      <c r="G24" t="s">
        <v>168</v>
      </c>
      <c r="I24">
        <v>6</v>
      </c>
      <c r="J24" t="s">
        <v>106</v>
      </c>
      <c r="K24">
        <v>4</v>
      </c>
      <c r="L24" t="s">
        <v>44</v>
      </c>
      <c r="M24">
        <v>3.5</v>
      </c>
      <c r="N24" t="s">
        <v>45</v>
      </c>
      <c r="O24" t="s">
        <v>46</v>
      </c>
      <c r="Q24" t="s">
        <v>62</v>
      </c>
      <c r="R24" t="s">
        <v>63</v>
      </c>
      <c r="S24" t="s">
        <v>49</v>
      </c>
      <c r="T24">
        <v>250</v>
      </c>
      <c r="U24" t="s">
        <v>50</v>
      </c>
      <c r="V24" t="s">
        <v>76</v>
      </c>
      <c r="W24" t="s">
        <v>169</v>
      </c>
      <c r="X24" t="s">
        <v>141</v>
      </c>
      <c r="Y24" t="s">
        <v>78</v>
      </c>
      <c r="AA24">
        <v>0</v>
      </c>
      <c r="AB24" t="s">
        <v>79</v>
      </c>
      <c r="AC24" t="s">
        <v>87</v>
      </c>
      <c r="AD24">
        <v>36</v>
      </c>
      <c r="AE24">
        <v>9</v>
      </c>
      <c r="AF24">
        <v>3</v>
      </c>
      <c r="AG24">
        <v>2025</v>
      </c>
      <c r="AH24" s="2">
        <v>2100</v>
      </c>
      <c r="AI24" s="2">
        <v>1459.455688476562</v>
      </c>
      <c r="AJ24" s="2">
        <f t="shared" si="0"/>
        <v>640.54431152343795</v>
      </c>
      <c r="AK24" s="6">
        <f t="shared" si="1"/>
        <v>0.30502110072544664</v>
      </c>
      <c r="AL24" s="12">
        <v>2100</v>
      </c>
      <c r="AM24" s="12">
        <v>1977.308767191166</v>
      </c>
      <c r="AN24" s="12">
        <f t="shared" si="2"/>
        <v>122.691232808834</v>
      </c>
      <c r="AO24" s="13">
        <f t="shared" si="3"/>
        <v>5.8424396575635237E-2</v>
      </c>
      <c r="AP24" s="16">
        <v>2100</v>
      </c>
      <c r="AQ24" s="16">
        <v>1691.715981040735</v>
      </c>
      <c r="AR24" s="16">
        <f t="shared" si="4"/>
        <v>408.28401895926504</v>
      </c>
      <c r="AS24" s="17">
        <f t="shared" si="5"/>
        <v>0.19442096140917384</v>
      </c>
      <c r="AT24" s="20">
        <v>2100</v>
      </c>
      <c r="AU24" s="20">
        <v>1461.56591796875</v>
      </c>
      <c r="AV24" s="20">
        <f t="shared" si="6"/>
        <v>638.43408203125</v>
      </c>
      <c r="AW24" s="21">
        <f t="shared" si="7"/>
        <v>0.30401622953869045</v>
      </c>
    </row>
    <row r="25" spans="1:49" x14ac:dyDescent="0.25">
      <c r="A25" t="s">
        <v>81</v>
      </c>
      <c r="B25" t="s">
        <v>170</v>
      </c>
      <c r="C25">
        <v>13592</v>
      </c>
      <c r="D25">
        <v>2024</v>
      </c>
      <c r="E25" t="s">
        <v>97</v>
      </c>
      <c r="F25" t="s">
        <v>171</v>
      </c>
      <c r="H25" t="s">
        <v>172</v>
      </c>
      <c r="I25">
        <v>6</v>
      </c>
      <c r="J25" t="s">
        <v>72</v>
      </c>
      <c r="K25">
        <v>3</v>
      </c>
      <c r="L25" t="s">
        <v>44</v>
      </c>
      <c r="M25">
        <v>4.3</v>
      </c>
      <c r="N25" t="s">
        <v>73</v>
      </c>
      <c r="O25" t="s">
        <v>46</v>
      </c>
      <c r="P25">
        <v>5</v>
      </c>
      <c r="Q25" t="s">
        <v>74</v>
      </c>
      <c r="R25" t="s">
        <v>75</v>
      </c>
      <c r="U25" t="s">
        <v>50</v>
      </c>
      <c r="V25" t="s">
        <v>76</v>
      </c>
      <c r="W25" t="s">
        <v>173</v>
      </c>
      <c r="X25" t="s">
        <v>77</v>
      </c>
      <c r="Y25" t="s">
        <v>78</v>
      </c>
      <c r="AA25">
        <v>0</v>
      </c>
      <c r="AB25" t="s">
        <v>79</v>
      </c>
      <c r="AC25" t="s">
        <v>80</v>
      </c>
      <c r="AD25">
        <v>36</v>
      </c>
      <c r="AE25">
        <v>9</v>
      </c>
      <c r="AF25">
        <v>3</v>
      </c>
      <c r="AG25">
        <v>2025</v>
      </c>
      <c r="AH25" s="2">
        <v>31500</v>
      </c>
      <c r="AI25" s="2">
        <v>28663.626953125</v>
      </c>
      <c r="AJ25" s="2">
        <f t="shared" si="0"/>
        <v>2836.373046875</v>
      </c>
      <c r="AK25" s="6">
        <f t="shared" si="1"/>
        <v>9.0043588789682535E-2</v>
      </c>
      <c r="AL25" s="12">
        <v>31500</v>
      </c>
      <c r="AM25" s="12">
        <v>31169.676686674389</v>
      </c>
      <c r="AN25" s="12">
        <f t="shared" si="2"/>
        <v>330.3233133256108</v>
      </c>
      <c r="AO25" s="13">
        <f t="shared" si="3"/>
        <v>1.0486454391289231E-2</v>
      </c>
      <c r="AP25" s="16">
        <v>31500</v>
      </c>
      <c r="AQ25" s="16">
        <v>30602.484100161058</v>
      </c>
      <c r="AR25" s="16">
        <f t="shared" si="4"/>
        <v>897.51589983894155</v>
      </c>
      <c r="AS25" s="17">
        <f t="shared" si="5"/>
        <v>2.8492568248855286E-2</v>
      </c>
      <c r="AT25" s="20">
        <v>31500</v>
      </c>
      <c r="AU25" s="20">
        <v>28857.083984375</v>
      </c>
      <c r="AV25" s="20">
        <f t="shared" si="6"/>
        <v>2642.916015625</v>
      </c>
      <c r="AW25" s="21">
        <f t="shared" si="7"/>
        <v>8.3902095734126977E-2</v>
      </c>
    </row>
    <row r="26" spans="1:49" x14ac:dyDescent="0.25">
      <c r="A26" t="s">
        <v>128</v>
      </c>
      <c r="B26" t="s">
        <v>129</v>
      </c>
      <c r="C26">
        <v>207341</v>
      </c>
      <c r="D26">
        <v>2013</v>
      </c>
      <c r="E26" t="s">
        <v>174</v>
      </c>
      <c r="F26" t="s">
        <v>175</v>
      </c>
      <c r="G26" t="s">
        <v>176</v>
      </c>
      <c r="H26" t="s">
        <v>177</v>
      </c>
      <c r="I26">
        <v>8</v>
      </c>
      <c r="J26" t="s">
        <v>178</v>
      </c>
      <c r="K26">
        <v>4</v>
      </c>
      <c r="L26" t="s">
        <v>44</v>
      </c>
      <c r="M26">
        <v>5.3</v>
      </c>
      <c r="N26" t="s">
        <v>73</v>
      </c>
      <c r="O26" t="s">
        <v>46</v>
      </c>
      <c r="Q26" t="s">
        <v>62</v>
      </c>
      <c r="R26" t="s">
        <v>63</v>
      </c>
      <c r="S26" t="s">
        <v>179</v>
      </c>
      <c r="U26" t="s">
        <v>180</v>
      </c>
      <c r="V26" t="s">
        <v>76</v>
      </c>
      <c r="W26" t="s">
        <v>181</v>
      </c>
      <c r="X26" t="s">
        <v>108</v>
      </c>
      <c r="Y26" t="s">
        <v>78</v>
      </c>
      <c r="AA26">
        <v>0</v>
      </c>
      <c r="AB26" t="s">
        <v>79</v>
      </c>
      <c r="AC26" t="s">
        <v>87</v>
      </c>
      <c r="AD26">
        <v>36</v>
      </c>
      <c r="AE26">
        <v>9</v>
      </c>
      <c r="AF26">
        <v>3</v>
      </c>
      <c r="AG26">
        <v>2025</v>
      </c>
      <c r="AH26" s="2">
        <v>2000</v>
      </c>
      <c r="AI26" s="2">
        <v>2880.692626953125</v>
      </c>
      <c r="AJ26" s="2">
        <f t="shared" si="0"/>
        <v>880.692626953125</v>
      </c>
      <c r="AK26" s="6">
        <f t="shared" si="1"/>
        <v>0.4403463134765625</v>
      </c>
      <c r="AL26" s="12">
        <v>2000</v>
      </c>
      <c r="AM26" s="12">
        <v>4109.5994845775249</v>
      </c>
      <c r="AN26" s="12">
        <f t="shared" si="2"/>
        <v>2109.5994845775249</v>
      </c>
      <c r="AO26" s="13">
        <f t="shared" si="3"/>
        <v>1.0547997422887625</v>
      </c>
      <c r="AP26" s="16">
        <v>2000</v>
      </c>
      <c r="AQ26" s="16">
        <v>3201.68458580263</v>
      </c>
      <c r="AR26" s="16">
        <f t="shared" si="4"/>
        <v>1201.68458580263</v>
      </c>
      <c r="AS26" s="17">
        <f t="shared" si="5"/>
        <v>0.60084229290131497</v>
      </c>
      <c r="AT26" s="20">
        <v>2000</v>
      </c>
      <c r="AU26" s="20">
        <v>2940.628662109375</v>
      </c>
      <c r="AV26" s="20">
        <f t="shared" si="6"/>
        <v>940.628662109375</v>
      </c>
      <c r="AW26" s="21">
        <f t="shared" si="7"/>
        <v>0.47031433105468751</v>
      </c>
    </row>
    <row r="27" spans="1:49" x14ac:dyDescent="0.25">
      <c r="A27" t="s">
        <v>38</v>
      </c>
      <c r="B27" t="s">
        <v>68</v>
      </c>
      <c r="C27">
        <v>38026</v>
      </c>
      <c r="D27">
        <v>2024</v>
      </c>
      <c r="E27" t="s">
        <v>40</v>
      </c>
      <c r="F27" t="s">
        <v>182</v>
      </c>
      <c r="G27" t="s">
        <v>183</v>
      </c>
      <c r="H27" t="s">
        <v>184</v>
      </c>
      <c r="I27">
        <v>6</v>
      </c>
      <c r="J27" t="s">
        <v>106</v>
      </c>
      <c r="K27">
        <v>4</v>
      </c>
      <c r="L27" t="s">
        <v>44</v>
      </c>
      <c r="M27">
        <v>4</v>
      </c>
      <c r="N27" t="s">
        <v>91</v>
      </c>
      <c r="O27" t="s">
        <v>46</v>
      </c>
      <c r="P27">
        <v>4</v>
      </c>
      <c r="Q27" t="s">
        <v>62</v>
      </c>
      <c r="R27" t="s">
        <v>63</v>
      </c>
      <c r="S27" t="s">
        <v>93</v>
      </c>
      <c r="T27">
        <v>270</v>
      </c>
      <c r="U27" t="s">
        <v>50</v>
      </c>
      <c r="V27" t="s">
        <v>76</v>
      </c>
      <c r="W27" t="s">
        <v>185</v>
      </c>
      <c r="X27" t="s">
        <v>94</v>
      </c>
      <c r="Y27" t="s">
        <v>54</v>
      </c>
      <c r="AA27">
        <v>0</v>
      </c>
      <c r="AB27" t="s">
        <v>79</v>
      </c>
      <c r="AC27" t="s">
        <v>87</v>
      </c>
      <c r="AD27">
        <v>36</v>
      </c>
      <c r="AE27">
        <v>9</v>
      </c>
      <c r="AF27">
        <v>3</v>
      </c>
      <c r="AG27">
        <v>2025</v>
      </c>
      <c r="AH27" s="2">
        <v>36750</v>
      </c>
      <c r="AI27" s="2">
        <v>33056.7578125</v>
      </c>
      <c r="AJ27" s="2">
        <f t="shared" si="0"/>
        <v>3693.2421875</v>
      </c>
      <c r="AK27" s="6">
        <f t="shared" si="1"/>
        <v>0.10049638605442177</v>
      </c>
      <c r="AL27" s="12">
        <v>36750</v>
      </c>
      <c r="AM27" s="12">
        <v>36311.616773774949</v>
      </c>
      <c r="AN27" s="12">
        <f t="shared" si="2"/>
        <v>438.38322622505075</v>
      </c>
      <c r="AO27" s="13">
        <f t="shared" si="3"/>
        <v>1.1928795271429952E-2</v>
      </c>
      <c r="AP27" s="16">
        <v>36750</v>
      </c>
      <c r="AQ27" s="16">
        <v>35239.32683877708</v>
      </c>
      <c r="AR27" s="16">
        <f t="shared" si="4"/>
        <v>1510.6731612229196</v>
      </c>
      <c r="AS27" s="17">
        <f t="shared" si="5"/>
        <v>4.1106752686337948E-2</v>
      </c>
      <c r="AT27" s="20">
        <v>36750</v>
      </c>
      <c r="AU27" s="20">
        <v>33018.4765625</v>
      </c>
      <c r="AV27" s="20">
        <f t="shared" si="6"/>
        <v>3731.5234375</v>
      </c>
      <c r="AW27" s="21">
        <f t="shared" si="7"/>
        <v>0.10153805272108843</v>
      </c>
    </row>
    <row r="28" spans="1:49" x14ac:dyDescent="0.25">
      <c r="A28" t="s">
        <v>38</v>
      </c>
      <c r="B28" t="s">
        <v>68</v>
      </c>
      <c r="C28">
        <v>44872</v>
      </c>
      <c r="D28">
        <v>2020</v>
      </c>
      <c r="E28" t="s">
        <v>146</v>
      </c>
      <c r="F28" t="s">
        <v>147</v>
      </c>
      <c r="I28">
        <v>4</v>
      </c>
      <c r="J28" t="s">
        <v>135</v>
      </c>
      <c r="K28">
        <v>4</v>
      </c>
      <c r="L28" t="s">
        <v>44</v>
      </c>
      <c r="M28">
        <v>2.5</v>
      </c>
      <c r="N28" t="s">
        <v>45</v>
      </c>
      <c r="O28" t="s">
        <v>46</v>
      </c>
      <c r="P28">
        <v>4</v>
      </c>
      <c r="Q28" t="s">
        <v>62</v>
      </c>
      <c r="R28" t="s">
        <v>148</v>
      </c>
      <c r="S28" t="s">
        <v>49</v>
      </c>
      <c r="U28" t="s">
        <v>50</v>
      </c>
      <c r="X28" t="s">
        <v>65</v>
      </c>
      <c r="Y28" t="s">
        <v>78</v>
      </c>
      <c r="AA28">
        <v>0</v>
      </c>
      <c r="AB28" t="s">
        <v>79</v>
      </c>
      <c r="AC28" t="s">
        <v>87</v>
      </c>
      <c r="AD28">
        <v>36</v>
      </c>
      <c r="AE28">
        <v>9</v>
      </c>
      <c r="AF28">
        <v>3</v>
      </c>
      <c r="AG28">
        <v>2025</v>
      </c>
      <c r="AH28" s="2">
        <v>14250</v>
      </c>
      <c r="AI28" s="2">
        <v>16143.8720703125</v>
      </c>
      <c r="AJ28" s="2">
        <f t="shared" si="0"/>
        <v>1893.8720703125</v>
      </c>
      <c r="AK28" s="6">
        <f t="shared" si="1"/>
        <v>0.13290330317982457</v>
      </c>
      <c r="AL28" s="12">
        <v>14250</v>
      </c>
      <c r="AM28" s="12">
        <v>15496.792051266621</v>
      </c>
      <c r="AN28" s="12">
        <f t="shared" si="2"/>
        <v>1246.7920512666205</v>
      </c>
      <c r="AO28" s="13">
        <f t="shared" si="3"/>
        <v>8.7494179036254074E-2</v>
      </c>
      <c r="AP28" s="16">
        <v>14250</v>
      </c>
      <c r="AQ28" s="16">
        <v>14287.43233384059</v>
      </c>
      <c r="AR28" s="16">
        <f t="shared" si="4"/>
        <v>37.432333840590218</v>
      </c>
      <c r="AS28" s="17">
        <f t="shared" si="5"/>
        <v>2.6268304449536995E-3</v>
      </c>
      <c r="AT28" s="20">
        <v>14250</v>
      </c>
      <c r="AU28" s="20">
        <v>15793.19140625</v>
      </c>
      <c r="AV28" s="20">
        <f t="shared" si="6"/>
        <v>1543.19140625</v>
      </c>
      <c r="AW28" s="21">
        <f t="shared" si="7"/>
        <v>0.10829413377192983</v>
      </c>
    </row>
    <row r="29" spans="1:49" x14ac:dyDescent="0.25">
      <c r="A29" t="s">
        <v>81</v>
      </c>
      <c r="B29" t="s">
        <v>186</v>
      </c>
      <c r="C29">
        <v>72723</v>
      </c>
      <c r="D29">
        <v>2022</v>
      </c>
      <c r="E29" t="s">
        <v>83</v>
      </c>
      <c r="F29" t="s">
        <v>187</v>
      </c>
      <c r="G29" t="s">
        <v>188</v>
      </c>
      <c r="I29">
        <v>6</v>
      </c>
      <c r="J29" t="s">
        <v>135</v>
      </c>
      <c r="K29">
        <v>4</v>
      </c>
      <c r="L29" t="s">
        <v>44</v>
      </c>
      <c r="M29">
        <v>3.5</v>
      </c>
      <c r="N29" t="s">
        <v>44</v>
      </c>
      <c r="O29" t="s">
        <v>46</v>
      </c>
      <c r="Q29" t="s">
        <v>62</v>
      </c>
      <c r="R29" t="s">
        <v>63</v>
      </c>
      <c r="S29" t="s">
        <v>93</v>
      </c>
      <c r="T29">
        <v>290</v>
      </c>
      <c r="U29" t="s">
        <v>50</v>
      </c>
      <c r="V29" t="s">
        <v>76</v>
      </c>
      <c r="W29" t="s">
        <v>189</v>
      </c>
      <c r="X29" t="s">
        <v>141</v>
      </c>
      <c r="Y29" t="s">
        <v>78</v>
      </c>
      <c r="AA29">
        <v>0</v>
      </c>
      <c r="AB29" t="s">
        <v>79</v>
      </c>
      <c r="AC29" t="s">
        <v>109</v>
      </c>
      <c r="AD29">
        <v>36</v>
      </c>
      <c r="AE29">
        <v>9</v>
      </c>
      <c r="AF29">
        <v>3</v>
      </c>
      <c r="AG29">
        <v>2025</v>
      </c>
      <c r="AH29" s="2">
        <v>34500</v>
      </c>
      <c r="AI29" s="2">
        <v>27698.162109375</v>
      </c>
      <c r="AJ29" s="2">
        <f t="shared" si="0"/>
        <v>6801.837890625</v>
      </c>
      <c r="AK29" s="6">
        <f t="shared" si="1"/>
        <v>0.1971547214673913</v>
      </c>
      <c r="AL29" s="12">
        <v>34500</v>
      </c>
      <c r="AM29" s="12">
        <v>26794.450997049411</v>
      </c>
      <c r="AN29" s="12">
        <f t="shared" si="2"/>
        <v>7705.5490029505891</v>
      </c>
      <c r="AO29" s="13">
        <f t="shared" si="3"/>
        <v>0.22334924646233592</v>
      </c>
      <c r="AP29" s="16">
        <v>34500</v>
      </c>
      <c r="AQ29" s="16">
        <v>26212.951488005208</v>
      </c>
      <c r="AR29" s="16">
        <f t="shared" si="4"/>
        <v>8287.0485119947916</v>
      </c>
      <c r="AS29" s="17">
        <f t="shared" si="5"/>
        <v>0.24020430469550122</v>
      </c>
      <c r="AT29" s="20">
        <v>34500</v>
      </c>
      <c r="AU29" s="20">
        <v>27243.720703125</v>
      </c>
      <c r="AV29" s="20">
        <f t="shared" si="6"/>
        <v>7256.279296875</v>
      </c>
      <c r="AW29" s="21">
        <f t="shared" si="7"/>
        <v>0.21032693614130435</v>
      </c>
    </row>
    <row r="30" spans="1:49" x14ac:dyDescent="0.25">
      <c r="A30" t="s">
        <v>38</v>
      </c>
      <c r="B30" t="s">
        <v>110</v>
      </c>
      <c r="C30">
        <v>139302</v>
      </c>
      <c r="D30">
        <v>2016</v>
      </c>
      <c r="E30" t="s">
        <v>119</v>
      </c>
      <c r="F30" t="s">
        <v>120</v>
      </c>
      <c r="G30" t="s">
        <v>190</v>
      </c>
      <c r="I30">
        <v>4</v>
      </c>
      <c r="J30" t="s">
        <v>122</v>
      </c>
      <c r="K30">
        <v>4</v>
      </c>
      <c r="L30" t="s">
        <v>44</v>
      </c>
      <c r="M30">
        <v>1.4</v>
      </c>
      <c r="N30" t="s">
        <v>45</v>
      </c>
      <c r="Q30" t="s">
        <v>47</v>
      </c>
      <c r="R30" t="s">
        <v>123</v>
      </c>
      <c r="T30">
        <v>150</v>
      </c>
      <c r="U30" t="s">
        <v>50</v>
      </c>
      <c r="W30" t="s">
        <v>191</v>
      </c>
      <c r="X30" t="s">
        <v>125</v>
      </c>
      <c r="Y30" t="s">
        <v>126</v>
      </c>
      <c r="AA30">
        <v>0</v>
      </c>
      <c r="AB30" t="s">
        <v>79</v>
      </c>
      <c r="AC30" t="s">
        <v>127</v>
      </c>
      <c r="AD30">
        <v>36</v>
      </c>
      <c r="AE30">
        <v>9</v>
      </c>
      <c r="AF30">
        <v>3</v>
      </c>
      <c r="AG30">
        <v>2025</v>
      </c>
      <c r="AH30" s="2">
        <v>2000</v>
      </c>
      <c r="AI30" s="2">
        <v>1757.794555664062</v>
      </c>
      <c r="AJ30" s="2">
        <f t="shared" si="0"/>
        <v>242.20544433593795</v>
      </c>
      <c r="AK30" s="6">
        <f t="shared" si="1"/>
        <v>0.12110272216796898</v>
      </c>
      <c r="AL30" s="12">
        <v>2000</v>
      </c>
      <c r="AM30" s="12">
        <v>1941.1696407973559</v>
      </c>
      <c r="AN30" s="12">
        <f t="shared" si="2"/>
        <v>58.830359202644104</v>
      </c>
      <c r="AO30" s="13">
        <f t="shared" si="3"/>
        <v>2.9415179601322051E-2</v>
      </c>
      <c r="AP30" s="16">
        <v>2000</v>
      </c>
      <c r="AQ30" s="16">
        <v>1813.6631520465089</v>
      </c>
      <c r="AR30" s="16">
        <f t="shared" si="4"/>
        <v>186.33684795349109</v>
      </c>
      <c r="AS30" s="17">
        <f t="shared" si="5"/>
        <v>9.3168423976745546E-2</v>
      </c>
      <c r="AT30" s="20">
        <v>2000</v>
      </c>
      <c r="AU30" s="20">
        <v>1765.56591796875</v>
      </c>
      <c r="AV30" s="20">
        <f t="shared" si="6"/>
        <v>234.43408203125</v>
      </c>
      <c r="AW30" s="21">
        <f t="shared" si="7"/>
        <v>0.117217041015625</v>
      </c>
    </row>
    <row r="31" spans="1:49" x14ac:dyDescent="0.25">
      <c r="A31" t="s">
        <v>38</v>
      </c>
      <c r="B31" t="s">
        <v>39</v>
      </c>
      <c r="C31">
        <v>93383</v>
      </c>
      <c r="D31">
        <v>2013</v>
      </c>
      <c r="E31" t="s">
        <v>162</v>
      </c>
      <c r="F31" t="s">
        <v>163</v>
      </c>
      <c r="G31" t="s">
        <v>192</v>
      </c>
      <c r="I31">
        <v>4</v>
      </c>
      <c r="J31" t="s">
        <v>135</v>
      </c>
      <c r="K31">
        <v>4</v>
      </c>
      <c r="L31" t="s">
        <v>44</v>
      </c>
      <c r="M31">
        <v>2.4</v>
      </c>
      <c r="N31" t="s">
        <v>45</v>
      </c>
      <c r="O31" t="s">
        <v>190</v>
      </c>
      <c r="P31">
        <v>1</v>
      </c>
      <c r="Q31" t="s">
        <v>47</v>
      </c>
      <c r="R31" t="s">
        <v>123</v>
      </c>
      <c r="U31" t="s">
        <v>50</v>
      </c>
      <c r="W31" t="s">
        <v>193</v>
      </c>
      <c r="X31" t="s">
        <v>125</v>
      </c>
      <c r="Y31" t="s">
        <v>78</v>
      </c>
      <c r="AA31">
        <v>0</v>
      </c>
      <c r="AB31" t="s">
        <v>79</v>
      </c>
      <c r="AC31" t="s">
        <v>127</v>
      </c>
      <c r="AD31">
        <v>36</v>
      </c>
      <c r="AE31">
        <v>9</v>
      </c>
      <c r="AF31">
        <v>3</v>
      </c>
      <c r="AG31">
        <v>2025</v>
      </c>
      <c r="AH31" s="2">
        <v>800</v>
      </c>
      <c r="AI31" s="2">
        <v>1155.35498046875</v>
      </c>
      <c r="AJ31" s="2">
        <f t="shared" si="0"/>
        <v>355.35498046875</v>
      </c>
      <c r="AK31" s="6">
        <f t="shared" si="1"/>
        <v>0.4441937255859375</v>
      </c>
      <c r="AL31" s="12">
        <v>800</v>
      </c>
      <c r="AM31" s="12">
        <v>1181.7457699248589</v>
      </c>
      <c r="AN31" s="12">
        <f t="shared" si="2"/>
        <v>381.74576992485891</v>
      </c>
      <c r="AO31" s="13">
        <f t="shared" si="3"/>
        <v>0.47718221240607361</v>
      </c>
      <c r="AP31" s="16">
        <v>800</v>
      </c>
      <c r="AQ31" s="16">
        <v>1008.970971568353</v>
      </c>
      <c r="AR31" s="16">
        <f t="shared" si="4"/>
        <v>208.97097156835298</v>
      </c>
      <c r="AS31" s="17">
        <f t="shared" si="5"/>
        <v>0.26121371446044123</v>
      </c>
      <c r="AT31" s="20">
        <v>800</v>
      </c>
      <c r="AU31" s="20">
        <v>1162.204833984375</v>
      </c>
      <c r="AV31" s="20">
        <f t="shared" si="6"/>
        <v>362.204833984375</v>
      </c>
      <c r="AW31" s="21">
        <f t="shared" si="7"/>
        <v>0.45275604248046875</v>
      </c>
    </row>
    <row r="32" spans="1:49" x14ac:dyDescent="0.25">
      <c r="A32" t="s">
        <v>38</v>
      </c>
      <c r="B32" t="s">
        <v>110</v>
      </c>
      <c r="C32">
        <v>194693</v>
      </c>
      <c r="D32">
        <v>2010</v>
      </c>
      <c r="E32" t="s">
        <v>116</v>
      </c>
      <c r="F32" t="s">
        <v>194</v>
      </c>
      <c r="G32" t="s">
        <v>195</v>
      </c>
      <c r="H32" t="s">
        <v>196</v>
      </c>
      <c r="I32">
        <v>8</v>
      </c>
      <c r="J32" t="s">
        <v>106</v>
      </c>
      <c r="K32">
        <v>2</v>
      </c>
      <c r="L32" t="s">
        <v>44</v>
      </c>
      <c r="M32">
        <v>5.7</v>
      </c>
      <c r="N32" t="s">
        <v>73</v>
      </c>
      <c r="O32" t="s">
        <v>100</v>
      </c>
      <c r="Q32" t="s">
        <v>47</v>
      </c>
      <c r="R32" t="s">
        <v>197</v>
      </c>
      <c r="S32" t="s">
        <v>179</v>
      </c>
      <c r="U32" t="s">
        <v>50</v>
      </c>
      <c r="X32" t="s">
        <v>125</v>
      </c>
      <c r="Y32" t="s">
        <v>103</v>
      </c>
      <c r="AA32">
        <v>0</v>
      </c>
      <c r="AB32" t="s">
        <v>79</v>
      </c>
      <c r="AC32" t="s">
        <v>197</v>
      </c>
      <c r="AD32">
        <v>36</v>
      </c>
      <c r="AE32">
        <v>9</v>
      </c>
      <c r="AF32">
        <v>3</v>
      </c>
      <c r="AG32">
        <v>2025</v>
      </c>
      <c r="AH32" s="2">
        <v>1800</v>
      </c>
      <c r="AI32" s="2">
        <v>1246.120971679688</v>
      </c>
      <c r="AJ32" s="2">
        <f t="shared" si="0"/>
        <v>553.87902832031205</v>
      </c>
      <c r="AK32" s="6">
        <f t="shared" si="1"/>
        <v>0.30771057128906226</v>
      </c>
      <c r="AL32" s="12">
        <v>1800</v>
      </c>
      <c r="AM32" s="12">
        <v>1170.4739707441811</v>
      </c>
      <c r="AN32" s="12">
        <f t="shared" si="2"/>
        <v>629.52602925581891</v>
      </c>
      <c r="AO32" s="13">
        <f t="shared" si="3"/>
        <v>0.3497366829198994</v>
      </c>
      <c r="AP32" s="16">
        <v>1800</v>
      </c>
      <c r="AQ32" s="16">
        <v>1429.397452850525</v>
      </c>
      <c r="AR32" s="16">
        <f t="shared" si="4"/>
        <v>370.60254714947496</v>
      </c>
      <c r="AS32" s="17">
        <f t="shared" si="5"/>
        <v>0.20589030397193053</v>
      </c>
      <c r="AT32" s="20">
        <v>1800</v>
      </c>
      <c r="AU32" s="20">
        <v>1218.570068359375</v>
      </c>
      <c r="AV32" s="20">
        <f t="shared" si="6"/>
        <v>581.429931640625</v>
      </c>
      <c r="AW32" s="21">
        <f t="shared" si="7"/>
        <v>0.32301662868923608</v>
      </c>
    </row>
    <row r="33" spans="1:49" x14ac:dyDescent="0.25">
      <c r="A33" t="s">
        <v>38</v>
      </c>
      <c r="B33" t="s">
        <v>39</v>
      </c>
      <c r="C33">
        <v>184948</v>
      </c>
      <c r="D33">
        <v>2015</v>
      </c>
      <c r="E33" t="s">
        <v>97</v>
      </c>
      <c r="F33" t="s">
        <v>198</v>
      </c>
      <c r="G33" t="s">
        <v>199</v>
      </c>
      <c r="I33">
        <v>6</v>
      </c>
      <c r="J33" t="s">
        <v>106</v>
      </c>
      <c r="K33">
        <v>4</v>
      </c>
      <c r="L33" t="s">
        <v>44</v>
      </c>
      <c r="M33">
        <v>3.6</v>
      </c>
      <c r="N33" t="s">
        <v>45</v>
      </c>
      <c r="O33" t="s">
        <v>46</v>
      </c>
      <c r="P33">
        <v>2</v>
      </c>
      <c r="Q33" t="s">
        <v>62</v>
      </c>
      <c r="R33" t="s">
        <v>63</v>
      </c>
      <c r="S33" t="s">
        <v>101</v>
      </c>
      <c r="U33" t="s">
        <v>50</v>
      </c>
      <c r="V33" t="s">
        <v>76</v>
      </c>
      <c r="W33" t="s">
        <v>200</v>
      </c>
      <c r="X33" t="s">
        <v>94</v>
      </c>
      <c r="Y33" t="s">
        <v>78</v>
      </c>
      <c r="AA33">
        <v>0</v>
      </c>
      <c r="AB33" t="s">
        <v>79</v>
      </c>
      <c r="AC33" t="s">
        <v>87</v>
      </c>
      <c r="AD33">
        <v>36</v>
      </c>
      <c r="AE33">
        <v>9</v>
      </c>
      <c r="AF33">
        <v>3</v>
      </c>
      <c r="AG33">
        <v>2025</v>
      </c>
      <c r="AH33" s="2">
        <v>1700</v>
      </c>
      <c r="AI33" s="2">
        <v>1844.336181640625</v>
      </c>
      <c r="AJ33" s="2">
        <f t="shared" si="0"/>
        <v>144.336181640625</v>
      </c>
      <c r="AK33" s="6">
        <f t="shared" si="1"/>
        <v>8.4903636259191173E-2</v>
      </c>
      <c r="AL33" s="12">
        <v>1700</v>
      </c>
      <c r="AM33" s="12">
        <v>2154.4036258250389</v>
      </c>
      <c r="AN33" s="12">
        <f t="shared" si="2"/>
        <v>454.40362582503894</v>
      </c>
      <c r="AO33" s="13">
        <f t="shared" si="3"/>
        <v>0.26729625048531702</v>
      </c>
      <c r="AP33" s="16">
        <v>1700</v>
      </c>
      <c r="AQ33" s="16">
        <v>1484.4932643552861</v>
      </c>
      <c r="AR33" s="16">
        <f t="shared" si="4"/>
        <v>215.5067356447139</v>
      </c>
      <c r="AS33" s="17">
        <f t="shared" si="5"/>
        <v>0.12676866802630229</v>
      </c>
      <c r="AT33" s="20">
        <v>1700</v>
      </c>
      <c r="AU33" s="20">
        <v>1849.65234375</v>
      </c>
      <c r="AV33" s="20">
        <f t="shared" si="6"/>
        <v>149.65234375</v>
      </c>
      <c r="AW33" s="21">
        <f t="shared" si="7"/>
        <v>8.8030790441176468E-2</v>
      </c>
    </row>
    <row r="34" spans="1:49" x14ac:dyDescent="0.25">
      <c r="A34" t="s">
        <v>38</v>
      </c>
      <c r="B34" t="s">
        <v>39</v>
      </c>
      <c r="C34">
        <v>252364</v>
      </c>
      <c r="D34">
        <v>2016</v>
      </c>
      <c r="E34" t="s">
        <v>40</v>
      </c>
      <c r="F34" t="s">
        <v>201</v>
      </c>
      <c r="G34" t="s">
        <v>202</v>
      </c>
      <c r="H34" t="s">
        <v>203</v>
      </c>
      <c r="I34">
        <v>4</v>
      </c>
      <c r="J34" t="s">
        <v>106</v>
      </c>
      <c r="K34">
        <v>4</v>
      </c>
      <c r="L34" t="s">
        <v>44</v>
      </c>
      <c r="M34">
        <v>1.8</v>
      </c>
      <c r="N34" t="s">
        <v>45</v>
      </c>
      <c r="Q34" t="s">
        <v>47</v>
      </c>
      <c r="R34" t="s">
        <v>123</v>
      </c>
      <c r="S34" t="s">
        <v>49</v>
      </c>
      <c r="T34">
        <v>132</v>
      </c>
      <c r="U34" t="s">
        <v>50</v>
      </c>
      <c r="V34" t="s">
        <v>51</v>
      </c>
      <c r="W34" t="s">
        <v>204</v>
      </c>
      <c r="X34" t="s">
        <v>125</v>
      </c>
      <c r="Y34" t="s">
        <v>78</v>
      </c>
      <c r="AA34">
        <v>0</v>
      </c>
      <c r="AB34" t="s">
        <v>79</v>
      </c>
      <c r="AC34" t="s">
        <v>127</v>
      </c>
      <c r="AD34">
        <v>36</v>
      </c>
      <c r="AE34">
        <v>9</v>
      </c>
      <c r="AF34">
        <v>3</v>
      </c>
      <c r="AG34">
        <v>2025</v>
      </c>
      <c r="AH34" s="2">
        <v>3750</v>
      </c>
      <c r="AI34" s="2">
        <v>2873.31494140625</v>
      </c>
      <c r="AJ34" s="2">
        <f t="shared" si="0"/>
        <v>876.68505859375</v>
      </c>
      <c r="AK34" s="6">
        <f t="shared" si="1"/>
        <v>0.23378268229166665</v>
      </c>
      <c r="AL34" s="12">
        <v>3750</v>
      </c>
      <c r="AM34" s="12">
        <v>2478.8417386372848</v>
      </c>
      <c r="AN34" s="12">
        <f t="shared" si="2"/>
        <v>1271.1582613627152</v>
      </c>
      <c r="AO34" s="13">
        <f t="shared" si="3"/>
        <v>0.33897553636339073</v>
      </c>
      <c r="AP34" s="16">
        <v>3750</v>
      </c>
      <c r="AQ34" s="16">
        <v>2318.3960918970888</v>
      </c>
      <c r="AR34" s="16">
        <f t="shared" si="4"/>
        <v>1431.6039081029112</v>
      </c>
      <c r="AS34" s="17">
        <f t="shared" si="5"/>
        <v>0.38176104216077633</v>
      </c>
      <c r="AT34" s="20">
        <v>3750</v>
      </c>
      <c r="AU34" s="20">
        <v>2854.00146484375</v>
      </c>
      <c r="AV34" s="20">
        <f t="shared" si="6"/>
        <v>895.99853515625</v>
      </c>
      <c r="AW34" s="21">
        <f t="shared" si="7"/>
        <v>0.23893294270833335</v>
      </c>
    </row>
    <row r="35" spans="1:49" x14ac:dyDescent="0.25">
      <c r="A35" t="s">
        <v>38</v>
      </c>
      <c r="B35" t="s">
        <v>39</v>
      </c>
      <c r="C35">
        <v>68088</v>
      </c>
      <c r="D35">
        <v>2018</v>
      </c>
      <c r="E35" t="s">
        <v>146</v>
      </c>
      <c r="F35" t="s">
        <v>147</v>
      </c>
      <c r="I35">
        <v>4</v>
      </c>
      <c r="J35" t="s">
        <v>106</v>
      </c>
      <c r="K35">
        <v>4</v>
      </c>
      <c r="L35" t="s">
        <v>44</v>
      </c>
      <c r="M35">
        <v>2.5</v>
      </c>
      <c r="N35" t="s">
        <v>45</v>
      </c>
      <c r="O35" t="s">
        <v>46</v>
      </c>
      <c r="Q35" t="s">
        <v>62</v>
      </c>
      <c r="R35" t="s">
        <v>148</v>
      </c>
      <c r="S35" t="s">
        <v>49</v>
      </c>
      <c r="T35">
        <v>170</v>
      </c>
      <c r="U35" t="s">
        <v>50</v>
      </c>
      <c r="X35" t="s">
        <v>65</v>
      </c>
      <c r="Y35" t="s">
        <v>54</v>
      </c>
      <c r="Z35">
        <v>24800</v>
      </c>
      <c r="AA35">
        <v>0</v>
      </c>
      <c r="AB35" t="s">
        <v>79</v>
      </c>
      <c r="AC35" t="s">
        <v>87</v>
      </c>
      <c r="AD35">
        <v>36</v>
      </c>
      <c r="AE35">
        <v>9</v>
      </c>
      <c r="AF35">
        <v>3</v>
      </c>
      <c r="AG35">
        <v>2025</v>
      </c>
      <c r="AH35" s="2">
        <v>12000</v>
      </c>
      <c r="AI35" s="2">
        <v>8983.0810546875</v>
      </c>
      <c r="AJ35" s="2">
        <f t="shared" si="0"/>
        <v>3016.9189453125</v>
      </c>
      <c r="AK35" s="6">
        <f t="shared" si="1"/>
        <v>0.25140991210937502</v>
      </c>
      <c r="AL35" s="12">
        <v>12000</v>
      </c>
      <c r="AM35" s="12">
        <v>8930.2352732861964</v>
      </c>
      <c r="AN35" s="12">
        <f t="shared" si="2"/>
        <v>3069.7647267138036</v>
      </c>
      <c r="AO35" s="13">
        <f t="shared" si="3"/>
        <v>0.25581372722615031</v>
      </c>
      <c r="AP35" s="16">
        <v>12000</v>
      </c>
      <c r="AQ35" s="16">
        <v>8175.2130849940759</v>
      </c>
      <c r="AR35" s="16">
        <f t="shared" si="4"/>
        <v>3824.7869150059241</v>
      </c>
      <c r="AS35" s="17">
        <f t="shared" si="5"/>
        <v>0.31873224291716035</v>
      </c>
      <c r="AT35" s="20">
        <v>12000</v>
      </c>
      <c r="AU35" s="20">
        <v>9071.48828125</v>
      </c>
      <c r="AV35" s="20">
        <f t="shared" si="6"/>
        <v>2928.51171875</v>
      </c>
      <c r="AW35" s="21">
        <f t="shared" si="7"/>
        <v>0.24404264322916666</v>
      </c>
    </row>
    <row r="36" spans="1:49" x14ac:dyDescent="0.25">
      <c r="A36" t="s">
        <v>38</v>
      </c>
      <c r="B36" t="s">
        <v>39</v>
      </c>
      <c r="C36">
        <v>106299</v>
      </c>
      <c r="D36">
        <v>2014</v>
      </c>
      <c r="E36" t="s">
        <v>58</v>
      </c>
      <c r="F36" t="s">
        <v>111</v>
      </c>
      <c r="G36" t="s">
        <v>205</v>
      </c>
      <c r="I36">
        <v>4</v>
      </c>
      <c r="J36" t="s">
        <v>206</v>
      </c>
      <c r="K36">
        <v>4</v>
      </c>
      <c r="L36" t="s">
        <v>44</v>
      </c>
      <c r="M36">
        <v>1.6</v>
      </c>
      <c r="N36" t="s">
        <v>45</v>
      </c>
      <c r="O36" t="s">
        <v>46</v>
      </c>
      <c r="Q36" t="s">
        <v>62</v>
      </c>
      <c r="R36" t="s">
        <v>63</v>
      </c>
      <c r="U36" t="s">
        <v>50</v>
      </c>
      <c r="W36" t="s">
        <v>207</v>
      </c>
      <c r="X36" t="s">
        <v>53</v>
      </c>
      <c r="Y36" t="s">
        <v>66</v>
      </c>
      <c r="AA36">
        <v>0</v>
      </c>
      <c r="AB36" t="s">
        <v>79</v>
      </c>
      <c r="AC36" t="s">
        <v>87</v>
      </c>
      <c r="AD36">
        <v>36</v>
      </c>
      <c r="AE36">
        <v>9</v>
      </c>
      <c r="AF36">
        <v>3</v>
      </c>
      <c r="AG36">
        <v>2025</v>
      </c>
      <c r="AH36" s="2">
        <v>1400</v>
      </c>
      <c r="AI36" s="2">
        <v>2963.530517578125</v>
      </c>
      <c r="AJ36" s="2">
        <f t="shared" si="0"/>
        <v>1563.530517578125</v>
      </c>
      <c r="AK36" s="6">
        <f t="shared" si="1"/>
        <v>1.1168075125558035</v>
      </c>
      <c r="AL36" s="12">
        <v>1400</v>
      </c>
      <c r="AM36" s="12">
        <v>3181.4279228180162</v>
      </c>
      <c r="AN36" s="12">
        <f t="shared" si="2"/>
        <v>1781.4279228180162</v>
      </c>
      <c r="AO36" s="13">
        <f t="shared" si="3"/>
        <v>1.272448516298583</v>
      </c>
      <c r="AP36" s="16">
        <v>1400</v>
      </c>
      <c r="AQ36" s="16">
        <v>2455.6177257741579</v>
      </c>
      <c r="AR36" s="16">
        <f t="shared" si="4"/>
        <v>1055.6177257741579</v>
      </c>
      <c r="AS36" s="17">
        <f t="shared" si="5"/>
        <v>0.75401266126725563</v>
      </c>
      <c r="AT36" s="20">
        <v>1400</v>
      </c>
      <c r="AU36" s="20">
        <v>3010.354248046875</v>
      </c>
      <c r="AV36" s="20">
        <f t="shared" si="6"/>
        <v>1610.354248046875</v>
      </c>
      <c r="AW36" s="21">
        <f t="shared" si="7"/>
        <v>1.1502530343191963</v>
      </c>
    </row>
    <row r="37" spans="1:49" x14ac:dyDescent="0.25">
      <c r="A37" t="s">
        <v>128</v>
      </c>
      <c r="B37" t="s">
        <v>129</v>
      </c>
      <c r="C37">
        <v>194574</v>
      </c>
      <c r="D37">
        <v>2008</v>
      </c>
      <c r="E37" t="s">
        <v>83</v>
      </c>
      <c r="F37" t="s">
        <v>187</v>
      </c>
      <c r="G37" t="s">
        <v>208</v>
      </c>
      <c r="I37">
        <v>6</v>
      </c>
      <c r="J37" t="s">
        <v>135</v>
      </c>
      <c r="K37">
        <v>4</v>
      </c>
      <c r="L37" t="s">
        <v>44</v>
      </c>
      <c r="M37">
        <v>3.7</v>
      </c>
      <c r="N37" t="s">
        <v>44</v>
      </c>
      <c r="O37" t="s">
        <v>46</v>
      </c>
      <c r="P37">
        <v>2</v>
      </c>
      <c r="Q37" t="s">
        <v>62</v>
      </c>
      <c r="R37" t="s">
        <v>63</v>
      </c>
      <c r="T37">
        <v>300</v>
      </c>
      <c r="U37" t="s">
        <v>50</v>
      </c>
      <c r="V37" t="s">
        <v>76</v>
      </c>
      <c r="W37" t="s">
        <v>209</v>
      </c>
      <c r="X37" t="s">
        <v>141</v>
      </c>
      <c r="Y37" t="s">
        <v>103</v>
      </c>
      <c r="AA37">
        <v>0</v>
      </c>
      <c r="AB37" t="s">
        <v>79</v>
      </c>
      <c r="AC37" t="s">
        <v>87</v>
      </c>
      <c r="AD37">
        <v>36</v>
      </c>
      <c r="AE37">
        <v>9</v>
      </c>
      <c r="AF37">
        <v>3</v>
      </c>
      <c r="AG37">
        <v>2025</v>
      </c>
      <c r="AH37" s="2">
        <v>900</v>
      </c>
      <c r="AI37" s="2">
        <v>976.13372802734375</v>
      </c>
      <c r="AJ37" s="2">
        <f t="shared" si="0"/>
        <v>76.13372802734375</v>
      </c>
      <c r="AK37" s="6">
        <f t="shared" si="1"/>
        <v>8.4593031141493052E-2</v>
      </c>
      <c r="AL37" s="12">
        <v>900</v>
      </c>
      <c r="AM37" s="12">
        <v>1180.881065032773</v>
      </c>
      <c r="AN37" s="12">
        <f t="shared" si="2"/>
        <v>280.88106503277299</v>
      </c>
      <c r="AO37" s="13">
        <f t="shared" si="3"/>
        <v>0.31209007225863666</v>
      </c>
      <c r="AP37" s="16">
        <v>900</v>
      </c>
      <c r="AQ37" s="16">
        <v>1158.235010846455</v>
      </c>
      <c r="AR37" s="16">
        <f t="shared" si="4"/>
        <v>258.235010846455</v>
      </c>
      <c r="AS37" s="17">
        <f t="shared" si="5"/>
        <v>0.28692778982939443</v>
      </c>
      <c r="AT37" s="20">
        <v>900</v>
      </c>
      <c r="AU37" s="20">
        <v>964.4090576171875</v>
      </c>
      <c r="AV37" s="20">
        <f t="shared" si="6"/>
        <v>64.4090576171875</v>
      </c>
      <c r="AW37" s="21">
        <f t="shared" si="7"/>
        <v>7.1565619574652781E-2</v>
      </c>
    </row>
    <row r="38" spans="1:49" x14ac:dyDescent="0.25">
      <c r="A38" t="s">
        <v>128</v>
      </c>
      <c r="B38" t="s">
        <v>210</v>
      </c>
      <c r="C38">
        <v>221263</v>
      </c>
      <c r="D38">
        <v>2013</v>
      </c>
      <c r="E38" t="s">
        <v>162</v>
      </c>
      <c r="F38" t="s">
        <v>211</v>
      </c>
      <c r="G38" t="s">
        <v>212</v>
      </c>
      <c r="I38">
        <v>4</v>
      </c>
      <c r="J38" t="s">
        <v>135</v>
      </c>
      <c r="K38">
        <v>4</v>
      </c>
      <c r="L38" t="s">
        <v>44</v>
      </c>
      <c r="M38">
        <v>1.8</v>
      </c>
      <c r="N38" t="s">
        <v>45</v>
      </c>
      <c r="O38" t="s">
        <v>46</v>
      </c>
      <c r="Q38" t="s">
        <v>47</v>
      </c>
      <c r="R38" t="s">
        <v>123</v>
      </c>
      <c r="U38" t="s">
        <v>50</v>
      </c>
      <c r="X38" t="s">
        <v>125</v>
      </c>
      <c r="Y38" t="s">
        <v>78</v>
      </c>
      <c r="AA38">
        <v>0</v>
      </c>
      <c r="AB38" t="s">
        <v>79</v>
      </c>
      <c r="AC38" t="s">
        <v>127</v>
      </c>
      <c r="AD38">
        <v>36</v>
      </c>
      <c r="AE38">
        <v>9</v>
      </c>
      <c r="AF38">
        <v>3</v>
      </c>
      <c r="AG38">
        <v>2025</v>
      </c>
      <c r="AH38" s="2">
        <v>700</v>
      </c>
      <c r="AI38" s="2">
        <v>1119.425048828125</v>
      </c>
      <c r="AJ38" s="2">
        <f t="shared" si="0"/>
        <v>419.425048828125</v>
      </c>
      <c r="AK38" s="6">
        <f t="shared" si="1"/>
        <v>0.59917864118303577</v>
      </c>
      <c r="AL38" s="12">
        <v>700</v>
      </c>
      <c r="AM38" s="12">
        <v>1221.699616604614</v>
      </c>
      <c r="AN38" s="12">
        <f t="shared" si="2"/>
        <v>521.69961660461399</v>
      </c>
      <c r="AO38" s="13">
        <f t="shared" si="3"/>
        <v>0.74528516657802002</v>
      </c>
      <c r="AP38" s="16">
        <v>700</v>
      </c>
      <c r="AQ38" s="16">
        <v>1005.755978904518</v>
      </c>
      <c r="AR38" s="16">
        <f t="shared" si="4"/>
        <v>305.75597890451797</v>
      </c>
      <c r="AS38" s="17">
        <f t="shared" si="5"/>
        <v>0.43679425557788282</v>
      </c>
      <c r="AT38" s="20">
        <v>700</v>
      </c>
      <c r="AU38" s="20">
        <v>1119.1328125</v>
      </c>
      <c r="AV38" s="20">
        <f t="shared" si="6"/>
        <v>419.1328125</v>
      </c>
      <c r="AW38" s="21">
        <f t="shared" si="7"/>
        <v>0.59876116071428576</v>
      </c>
    </row>
    <row r="39" spans="1:49" x14ac:dyDescent="0.25">
      <c r="A39" t="s">
        <v>128</v>
      </c>
      <c r="B39" t="s">
        <v>210</v>
      </c>
      <c r="C39">
        <v>141215</v>
      </c>
      <c r="D39">
        <v>2012</v>
      </c>
      <c r="E39" t="s">
        <v>213</v>
      </c>
      <c r="F39" t="s">
        <v>214</v>
      </c>
      <c r="I39">
        <v>6</v>
      </c>
      <c r="J39" t="s">
        <v>72</v>
      </c>
      <c r="K39">
        <v>4</v>
      </c>
      <c r="L39" t="s">
        <v>44</v>
      </c>
      <c r="M39">
        <v>2.5</v>
      </c>
      <c r="N39" t="s">
        <v>73</v>
      </c>
      <c r="O39" t="s">
        <v>46</v>
      </c>
      <c r="Q39" t="s">
        <v>47</v>
      </c>
      <c r="R39" t="s">
        <v>123</v>
      </c>
      <c r="S39" t="s">
        <v>49</v>
      </c>
      <c r="U39" t="s">
        <v>50</v>
      </c>
      <c r="V39" t="s">
        <v>76</v>
      </c>
      <c r="X39" t="s">
        <v>125</v>
      </c>
      <c r="Y39" t="s">
        <v>54</v>
      </c>
      <c r="AA39">
        <v>0</v>
      </c>
      <c r="AB39" t="s">
        <v>79</v>
      </c>
      <c r="AC39" t="s">
        <v>127</v>
      </c>
      <c r="AD39">
        <v>36</v>
      </c>
      <c r="AE39">
        <v>9</v>
      </c>
      <c r="AF39">
        <v>3</v>
      </c>
      <c r="AG39">
        <v>2025</v>
      </c>
      <c r="AH39" s="2">
        <v>1200</v>
      </c>
      <c r="AI39" s="2">
        <v>2750.7568359375</v>
      </c>
      <c r="AJ39" s="2">
        <f t="shared" si="0"/>
        <v>1550.7568359375</v>
      </c>
      <c r="AK39" s="6">
        <f t="shared" si="1"/>
        <v>1.29229736328125</v>
      </c>
      <c r="AL39" s="12">
        <v>1200</v>
      </c>
      <c r="AM39" s="12">
        <v>3202.2765520921312</v>
      </c>
      <c r="AN39" s="12">
        <f t="shared" si="2"/>
        <v>2002.2765520921312</v>
      </c>
      <c r="AO39" s="13">
        <f t="shared" si="3"/>
        <v>1.6685637934101094</v>
      </c>
      <c r="AP39" s="16">
        <v>1200</v>
      </c>
      <c r="AQ39" s="16">
        <v>2671.268498784445</v>
      </c>
      <c r="AR39" s="16">
        <f t="shared" si="4"/>
        <v>1471.268498784445</v>
      </c>
      <c r="AS39" s="17">
        <f t="shared" si="5"/>
        <v>1.2260570823203709</v>
      </c>
      <c r="AT39" s="20">
        <v>1200</v>
      </c>
      <c r="AU39" s="20">
        <v>2778.634521484375</v>
      </c>
      <c r="AV39" s="20">
        <f t="shared" si="6"/>
        <v>1578.634521484375</v>
      </c>
      <c r="AW39" s="21">
        <f t="shared" si="7"/>
        <v>1.3155287679036458</v>
      </c>
    </row>
    <row r="40" spans="1:49" x14ac:dyDescent="0.25">
      <c r="A40" t="s">
        <v>38</v>
      </c>
      <c r="B40" t="s">
        <v>68</v>
      </c>
      <c r="C40">
        <v>145915</v>
      </c>
      <c r="D40">
        <v>2013</v>
      </c>
      <c r="E40" t="s">
        <v>40</v>
      </c>
      <c r="F40" t="s">
        <v>215</v>
      </c>
      <c r="G40" t="s">
        <v>150</v>
      </c>
      <c r="H40" t="s">
        <v>216</v>
      </c>
      <c r="I40">
        <v>8</v>
      </c>
      <c r="J40" t="s">
        <v>217</v>
      </c>
      <c r="K40">
        <v>4</v>
      </c>
      <c r="L40" t="s">
        <v>44</v>
      </c>
      <c r="M40">
        <v>4.5999999999999996</v>
      </c>
      <c r="N40" t="s">
        <v>73</v>
      </c>
      <c r="O40" t="s">
        <v>46</v>
      </c>
      <c r="Q40" t="s">
        <v>74</v>
      </c>
      <c r="R40" t="s">
        <v>92</v>
      </c>
      <c r="S40" t="s">
        <v>49</v>
      </c>
      <c r="T40">
        <v>310</v>
      </c>
      <c r="U40" t="s">
        <v>50</v>
      </c>
      <c r="V40" t="s">
        <v>76</v>
      </c>
      <c r="W40" t="s">
        <v>218</v>
      </c>
      <c r="X40" t="s">
        <v>219</v>
      </c>
      <c r="Y40" t="s">
        <v>78</v>
      </c>
      <c r="AA40">
        <v>0</v>
      </c>
      <c r="AB40" t="s">
        <v>79</v>
      </c>
      <c r="AC40" t="s">
        <v>95</v>
      </c>
      <c r="AD40">
        <v>36</v>
      </c>
      <c r="AE40">
        <v>9</v>
      </c>
      <c r="AF40">
        <v>3</v>
      </c>
      <c r="AG40">
        <v>2025</v>
      </c>
      <c r="AH40" s="2">
        <v>10000</v>
      </c>
      <c r="AI40" s="2">
        <v>9336.4677734375</v>
      </c>
      <c r="AJ40" s="2">
        <f t="shared" si="0"/>
        <v>663.5322265625</v>
      </c>
      <c r="AK40" s="6">
        <f t="shared" si="1"/>
        <v>6.6353222656250002E-2</v>
      </c>
      <c r="AL40" s="12">
        <v>10000</v>
      </c>
      <c r="AM40" s="12">
        <v>9837.5731780411243</v>
      </c>
      <c r="AN40" s="12">
        <f t="shared" si="2"/>
        <v>162.42682195887573</v>
      </c>
      <c r="AO40" s="13">
        <f t="shared" si="3"/>
        <v>1.6242682195887575E-2</v>
      </c>
      <c r="AP40" s="16">
        <v>10000</v>
      </c>
      <c r="AQ40" s="16">
        <v>8536.1332795377839</v>
      </c>
      <c r="AR40" s="16">
        <f t="shared" si="4"/>
        <v>1463.8667204622161</v>
      </c>
      <c r="AS40" s="17">
        <f t="shared" si="5"/>
        <v>0.14638667204622161</v>
      </c>
      <c r="AT40" s="20">
        <v>10000</v>
      </c>
      <c r="AU40" s="20">
        <v>9510.486328125</v>
      </c>
      <c r="AV40" s="20">
        <f t="shared" si="6"/>
        <v>489.513671875</v>
      </c>
      <c r="AW40" s="21">
        <f t="shared" si="7"/>
        <v>4.8951367187499997E-2</v>
      </c>
    </row>
    <row r="41" spans="1:49" x14ac:dyDescent="0.25">
      <c r="A41" t="s">
        <v>38</v>
      </c>
      <c r="B41" t="s">
        <v>110</v>
      </c>
      <c r="C41">
        <v>186911</v>
      </c>
      <c r="D41">
        <v>2015</v>
      </c>
      <c r="E41" t="s">
        <v>58</v>
      </c>
      <c r="F41" t="s">
        <v>220</v>
      </c>
      <c r="G41" t="s">
        <v>221</v>
      </c>
      <c r="I41">
        <v>4</v>
      </c>
      <c r="J41" t="s">
        <v>135</v>
      </c>
      <c r="K41">
        <v>4</v>
      </c>
      <c r="L41" t="s">
        <v>44</v>
      </c>
      <c r="M41">
        <v>2.4</v>
      </c>
      <c r="N41" t="s">
        <v>45</v>
      </c>
      <c r="Q41" t="s">
        <v>62</v>
      </c>
      <c r="R41" t="s">
        <v>63</v>
      </c>
      <c r="S41" t="s">
        <v>49</v>
      </c>
      <c r="U41" t="s">
        <v>50</v>
      </c>
      <c r="W41" t="s">
        <v>222</v>
      </c>
      <c r="X41" t="s">
        <v>65</v>
      </c>
      <c r="Y41" t="s">
        <v>78</v>
      </c>
      <c r="AA41">
        <v>0</v>
      </c>
      <c r="AB41" t="s">
        <v>79</v>
      </c>
      <c r="AC41" t="s">
        <v>87</v>
      </c>
      <c r="AD41">
        <v>36</v>
      </c>
      <c r="AE41">
        <v>9</v>
      </c>
      <c r="AF41">
        <v>3</v>
      </c>
      <c r="AG41">
        <v>2025</v>
      </c>
      <c r="AH41" s="2">
        <v>2800</v>
      </c>
      <c r="AI41" s="2">
        <v>2194.441650390625</v>
      </c>
      <c r="AJ41" s="2">
        <f t="shared" si="0"/>
        <v>605.558349609375</v>
      </c>
      <c r="AK41" s="6">
        <f t="shared" si="1"/>
        <v>0.21627083914620535</v>
      </c>
      <c r="AL41" s="12">
        <v>2800</v>
      </c>
      <c r="AM41" s="12">
        <v>2227.5913214210659</v>
      </c>
      <c r="AN41" s="12">
        <f t="shared" si="2"/>
        <v>572.40867857893409</v>
      </c>
      <c r="AO41" s="13">
        <f t="shared" si="3"/>
        <v>0.20443167092104789</v>
      </c>
      <c r="AP41" s="16">
        <v>2800</v>
      </c>
      <c r="AQ41" s="16">
        <v>1546.1291077103081</v>
      </c>
      <c r="AR41" s="16">
        <f t="shared" si="4"/>
        <v>1253.8708922896919</v>
      </c>
      <c r="AS41" s="17">
        <f t="shared" si="5"/>
        <v>0.44781103296060426</v>
      </c>
      <c r="AT41" s="20">
        <v>2800</v>
      </c>
      <c r="AU41" s="20">
        <v>2222.90673828125</v>
      </c>
      <c r="AV41" s="20">
        <f t="shared" si="6"/>
        <v>577.09326171875</v>
      </c>
      <c r="AW41" s="21">
        <f t="shared" si="7"/>
        <v>0.20610473632812501</v>
      </c>
    </row>
    <row r="42" spans="1:49" x14ac:dyDescent="0.25">
      <c r="A42" t="s">
        <v>128</v>
      </c>
      <c r="B42" t="s">
        <v>129</v>
      </c>
      <c r="C42">
        <v>164032</v>
      </c>
      <c r="D42">
        <v>2016</v>
      </c>
      <c r="E42" t="s">
        <v>166</v>
      </c>
      <c r="F42" t="s">
        <v>223</v>
      </c>
      <c r="G42" t="s">
        <v>224</v>
      </c>
      <c r="I42">
        <v>6</v>
      </c>
      <c r="J42" t="s">
        <v>135</v>
      </c>
      <c r="K42">
        <v>4</v>
      </c>
      <c r="L42" t="s">
        <v>44</v>
      </c>
      <c r="M42">
        <v>3.5</v>
      </c>
      <c r="N42" t="s">
        <v>45</v>
      </c>
      <c r="Q42" t="s">
        <v>62</v>
      </c>
      <c r="R42" t="s">
        <v>225</v>
      </c>
      <c r="S42" t="s">
        <v>49</v>
      </c>
      <c r="T42">
        <v>280</v>
      </c>
      <c r="U42" t="s">
        <v>50</v>
      </c>
      <c r="V42" t="s">
        <v>76</v>
      </c>
      <c r="W42" t="s">
        <v>226</v>
      </c>
      <c r="X42" t="s">
        <v>94</v>
      </c>
      <c r="Y42" t="s">
        <v>78</v>
      </c>
      <c r="AA42">
        <v>0</v>
      </c>
      <c r="AB42" t="s">
        <v>79</v>
      </c>
      <c r="AC42" t="s">
        <v>225</v>
      </c>
      <c r="AD42">
        <v>36</v>
      </c>
      <c r="AE42">
        <v>9</v>
      </c>
      <c r="AF42">
        <v>3</v>
      </c>
      <c r="AG42">
        <v>2025</v>
      </c>
      <c r="AH42" s="2">
        <v>6000</v>
      </c>
      <c r="AI42" s="2">
        <v>5109.33642578125</v>
      </c>
      <c r="AJ42" s="2">
        <f t="shared" si="0"/>
        <v>890.66357421875</v>
      </c>
      <c r="AK42" s="6">
        <f t="shared" si="1"/>
        <v>0.14844392903645834</v>
      </c>
      <c r="AL42" s="12">
        <v>6000</v>
      </c>
      <c r="AM42" s="12">
        <v>5630.3441163281914</v>
      </c>
      <c r="AN42" s="12">
        <f t="shared" si="2"/>
        <v>369.65588367180862</v>
      </c>
      <c r="AO42" s="13">
        <f t="shared" si="3"/>
        <v>6.160931394530144E-2</v>
      </c>
      <c r="AP42" s="16">
        <v>6000</v>
      </c>
      <c r="AQ42" s="16">
        <v>4308.6812160809932</v>
      </c>
      <c r="AR42" s="16">
        <f t="shared" si="4"/>
        <v>1691.3187839190068</v>
      </c>
      <c r="AS42" s="17">
        <f t="shared" si="5"/>
        <v>0.28188646398650113</v>
      </c>
      <c r="AT42" s="20">
        <v>6000</v>
      </c>
      <c r="AU42" s="20">
        <v>5149.8154296875</v>
      </c>
      <c r="AV42" s="20">
        <f t="shared" si="6"/>
        <v>850.1845703125</v>
      </c>
      <c r="AW42" s="21">
        <f t="shared" si="7"/>
        <v>0.14169742838541666</v>
      </c>
    </row>
    <row r="43" spans="1:49" x14ac:dyDescent="0.25">
      <c r="A43" t="s">
        <v>38</v>
      </c>
      <c r="B43" t="s">
        <v>39</v>
      </c>
      <c r="C43">
        <v>92948</v>
      </c>
      <c r="D43">
        <v>2018</v>
      </c>
      <c r="E43" t="s">
        <v>97</v>
      </c>
      <c r="F43" t="s">
        <v>154</v>
      </c>
      <c r="G43" t="s">
        <v>160</v>
      </c>
      <c r="I43">
        <v>4</v>
      </c>
      <c r="J43" t="s">
        <v>122</v>
      </c>
      <c r="K43">
        <v>4</v>
      </c>
      <c r="L43" t="s">
        <v>44</v>
      </c>
      <c r="M43">
        <v>2.5</v>
      </c>
      <c r="N43" t="s">
        <v>73</v>
      </c>
      <c r="O43" t="s">
        <v>46</v>
      </c>
      <c r="Q43" t="s">
        <v>74</v>
      </c>
      <c r="R43" t="s">
        <v>92</v>
      </c>
      <c r="S43" t="s">
        <v>49</v>
      </c>
      <c r="U43" t="s">
        <v>50</v>
      </c>
      <c r="V43" t="s">
        <v>51</v>
      </c>
      <c r="W43" t="s">
        <v>156</v>
      </c>
      <c r="X43" t="s">
        <v>141</v>
      </c>
      <c r="Y43" t="s">
        <v>78</v>
      </c>
      <c r="Z43">
        <v>26300</v>
      </c>
      <c r="AA43">
        <v>0</v>
      </c>
      <c r="AB43" t="s">
        <v>79</v>
      </c>
      <c r="AC43" t="s">
        <v>95</v>
      </c>
      <c r="AD43">
        <v>36</v>
      </c>
      <c r="AE43">
        <v>9</v>
      </c>
      <c r="AF43">
        <v>3</v>
      </c>
      <c r="AG43">
        <v>2025</v>
      </c>
      <c r="AH43" s="2">
        <v>13000</v>
      </c>
      <c r="AI43" s="2">
        <v>12182.55859375</v>
      </c>
      <c r="AJ43" s="2">
        <f t="shared" si="0"/>
        <v>817.44140625</v>
      </c>
      <c r="AK43" s="6">
        <f t="shared" si="1"/>
        <v>6.2880108173076918E-2</v>
      </c>
      <c r="AL43" s="12">
        <v>13000</v>
      </c>
      <c r="AM43" s="12">
        <v>11323.778305287169</v>
      </c>
      <c r="AN43" s="12">
        <f t="shared" si="2"/>
        <v>1676.2216947128309</v>
      </c>
      <c r="AO43" s="13">
        <f t="shared" si="3"/>
        <v>0.12894013036252544</v>
      </c>
      <c r="AP43" s="16">
        <v>13000</v>
      </c>
      <c r="AQ43" s="16">
        <v>12390.6926334209</v>
      </c>
      <c r="AR43" s="16">
        <f t="shared" si="4"/>
        <v>609.30736657909983</v>
      </c>
      <c r="AS43" s="17">
        <f t="shared" si="5"/>
        <v>4.6869797429161524E-2</v>
      </c>
      <c r="AT43" s="20">
        <v>13000</v>
      </c>
      <c r="AU43" s="20">
        <v>12025.3857421875</v>
      </c>
      <c r="AV43" s="20">
        <f t="shared" si="6"/>
        <v>974.6142578125</v>
      </c>
      <c r="AW43" s="21">
        <f t="shared" si="7"/>
        <v>7.4970327524038455E-2</v>
      </c>
    </row>
    <row r="44" spans="1:49" x14ac:dyDescent="0.25">
      <c r="A44" t="s">
        <v>38</v>
      </c>
      <c r="B44" t="s">
        <v>68</v>
      </c>
      <c r="C44">
        <v>120753</v>
      </c>
      <c r="D44">
        <v>2005</v>
      </c>
      <c r="E44" t="s">
        <v>69</v>
      </c>
      <c r="F44" t="s">
        <v>227</v>
      </c>
      <c r="H44" t="s">
        <v>228</v>
      </c>
      <c r="I44">
        <v>8</v>
      </c>
      <c r="J44" t="s">
        <v>72</v>
      </c>
      <c r="K44">
        <v>3</v>
      </c>
      <c r="L44" t="s">
        <v>44</v>
      </c>
      <c r="M44">
        <v>6</v>
      </c>
      <c r="N44" t="s">
        <v>73</v>
      </c>
      <c r="O44" t="s">
        <v>46</v>
      </c>
      <c r="P44">
        <v>2</v>
      </c>
      <c r="Q44" t="s">
        <v>74</v>
      </c>
      <c r="R44" t="s">
        <v>75</v>
      </c>
      <c r="S44" t="s">
        <v>49</v>
      </c>
      <c r="T44">
        <v>235</v>
      </c>
      <c r="U44" t="s">
        <v>229</v>
      </c>
      <c r="V44" t="s">
        <v>76</v>
      </c>
      <c r="X44" t="s">
        <v>230</v>
      </c>
      <c r="Y44" t="s">
        <v>78</v>
      </c>
      <c r="AA44">
        <v>0</v>
      </c>
      <c r="AB44" t="s">
        <v>79</v>
      </c>
      <c r="AC44" t="s">
        <v>80</v>
      </c>
      <c r="AD44">
        <v>36</v>
      </c>
      <c r="AE44">
        <v>9</v>
      </c>
      <c r="AF44">
        <v>3</v>
      </c>
      <c r="AG44">
        <v>2025</v>
      </c>
      <c r="AH44" s="2">
        <v>3200</v>
      </c>
      <c r="AI44" s="2">
        <v>3487.80419921875</v>
      </c>
      <c r="AJ44" s="2">
        <f t="shared" si="0"/>
        <v>287.80419921875</v>
      </c>
      <c r="AK44" s="6">
        <f t="shared" si="1"/>
        <v>8.9938812255859368E-2</v>
      </c>
      <c r="AL44" s="12">
        <v>3200</v>
      </c>
      <c r="AM44" s="12">
        <v>3184.422122420438</v>
      </c>
      <c r="AN44" s="12">
        <f t="shared" si="2"/>
        <v>15.577877579562028</v>
      </c>
      <c r="AO44" s="13">
        <f t="shared" si="3"/>
        <v>4.8680867436131335E-3</v>
      </c>
      <c r="AP44" s="16">
        <v>3200</v>
      </c>
      <c r="AQ44" s="16">
        <v>3146.3254588072859</v>
      </c>
      <c r="AR44" s="16">
        <f t="shared" si="4"/>
        <v>53.674541192714059</v>
      </c>
      <c r="AS44" s="17">
        <f t="shared" si="5"/>
        <v>1.6773294122723145E-2</v>
      </c>
      <c r="AT44" s="20">
        <v>3200</v>
      </c>
      <c r="AU44" s="20">
        <v>3529.3701171875</v>
      </c>
      <c r="AV44" s="20">
        <f t="shared" si="6"/>
        <v>329.3701171875</v>
      </c>
      <c r="AW44" s="21">
        <f t="shared" si="7"/>
        <v>0.10292816162109375</v>
      </c>
    </row>
    <row r="45" spans="1:49" x14ac:dyDescent="0.25">
      <c r="A45" t="s">
        <v>128</v>
      </c>
      <c r="B45" t="s">
        <v>129</v>
      </c>
      <c r="C45">
        <v>151862</v>
      </c>
      <c r="D45">
        <v>2013</v>
      </c>
      <c r="E45" t="s">
        <v>69</v>
      </c>
      <c r="F45" t="s">
        <v>231</v>
      </c>
      <c r="I45">
        <v>6</v>
      </c>
      <c r="J45" t="s">
        <v>206</v>
      </c>
      <c r="K45">
        <v>2</v>
      </c>
      <c r="L45" t="s">
        <v>44</v>
      </c>
      <c r="M45">
        <v>3.7</v>
      </c>
      <c r="N45" t="s">
        <v>73</v>
      </c>
      <c r="Q45" t="s">
        <v>74</v>
      </c>
      <c r="R45" t="s">
        <v>92</v>
      </c>
      <c r="S45" t="s">
        <v>49</v>
      </c>
      <c r="T45">
        <v>302</v>
      </c>
      <c r="U45" t="s">
        <v>50</v>
      </c>
      <c r="V45" t="s">
        <v>76</v>
      </c>
      <c r="X45" t="s">
        <v>94</v>
      </c>
      <c r="Y45" t="s">
        <v>78</v>
      </c>
      <c r="AA45">
        <v>0</v>
      </c>
      <c r="AB45" t="s">
        <v>79</v>
      </c>
      <c r="AC45" t="s">
        <v>95</v>
      </c>
      <c r="AD45">
        <v>36</v>
      </c>
      <c r="AE45">
        <v>9</v>
      </c>
      <c r="AF45">
        <v>3</v>
      </c>
      <c r="AG45">
        <v>2025</v>
      </c>
      <c r="AH45" s="2">
        <v>4200</v>
      </c>
      <c r="AI45" s="2">
        <v>5550.30859375</v>
      </c>
      <c r="AJ45" s="2">
        <f t="shared" si="0"/>
        <v>1350.30859375</v>
      </c>
      <c r="AK45" s="6">
        <f t="shared" si="1"/>
        <v>0.3215020461309524</v>
      </c>
      <c r="AL45" s="12">
        <v>4200</v>
      </c>
      <c r="AM45" s="12">
        <v>5511.8141310324199</v>
      </c>
      <c r="AN45" s="12">
        <f t="shared" si="2"/>
        <v>1311.8141310324199</v>
      </c>
      <c r="AO45" s="13">
        <f t="shared" si="3"/>
        <v>0.3123366978648619</v>
      </c>
      <c r="AP45" s="16">
        <v>4200</v>
      </c>
      <c r="AQ45" s="16">
        <v>5408.1117943119834</v>
      </c>
      <c r="AR45" s="16">
        <f t="shared" si="4"/>
        <v>1208.1117943119834</v>
      </c>
      <c r="AS45" s="17">
        <f t="shared" si="5"/>
        <v>0.28764566531237701</v>
      </c>
      <c r="AT45" s="20">
        <v>4200</v>
      </c>
      <c r="AU45" s="20">
        <v>5603.94140625</v>
      </c>
      <c r="AV45" s="20">
        <f t="shared" si="6"/>
        <v>1403.94140625</v>
      </c>
      <c r="AW45" s="21">
        <f t="shared" si="7"/>
        <v>0.33427176339285714</v>
      </c>
    </row>
    <row r="46" spans="1:49" x14ac:dyDescent="0.25">
      <c r="A46" t="s">
        <v>38</v>
      </c>
      <c r="B46" t="s">
        <v>39</v>
      </c>
      <c r="C46">
        <v>84462</v>
      </c>
      <c r="D46">
        <v>2018</v>
      </c>
      <c r="E46" t="s">
        <v>146</v>
      </c>
      <c r="F46" t="s">
        <v>232</v>
      </c>
      <c r="I46">
        <v>6</v>
      </c>
      <c r="J46" t="s">
        <v>43</v>
      </c>
      <c r="K46">
        <v>4</v>
      </c>
      <c r="L46" t="s">
        <v>44</v>
      </c>
      <c r="M46">
        <v>3.5</v>
      </c>
      <c r="N46" t="s">
        <v>44</v>
      </c>
      <c r="O46" t="s">
        <v>46</v>
      </c>
      <c r="Q46" t="s">
        <v>62</v>
      </c>
      <c r="R46" t="s">
        <v>148</v>
      </c>
      <c r="S46" t="s">
        <v>93</v>
      </c>
      <c r="U46" t="s">
        <v>50</v>
      </c>
      <c r="X46" t="s">
        <v>141</v>
      </c>
      <c r="Y46" t="s">
        <v>78</v>
      </c>
      <c r="Z46">
        <v>31000</v>
      </c>
      <c r="AA46">
        <v>0</v>
      </c>
      <c r="AB46" t="s">
        <v>79</v>
      </c>
      <c r="AC46" t="s">
        <v>87</v>
      </c>
      <c r="AD46">
        <v>36</v>
      </c>
      <c r="AE46">
        <v>9</v>
      </c>
      <c r="AF46">
        <v>3</v>
      </c>
      <c r="AG46">
        <v>2025</v>
      </c>
      <c r="AH46" s="2">
        <v>9250</v>
      </c>
      <c r="AI46" s="2">
        <v>11197.95703125</v>
      </c>
      <c r="AJ46" s="2">
        <f t="shared" si="0"/>
        <v>1947.95703125</v>
      </c>
      <c r="AK46" s="6">
        <f t="shared" si="1"/>
        <v>0.21058994932432432</v>
      </c>
      <c r="AL46" s="12">
        <v>9250</v>
      </c>
      <c r="AM46" s="12">
        <v>11218.806619196081</v>
      </c>
      <c r="AN46" s="12">
        <f t="shared" si="2"/>
        <v>1968.8066191960806</v>
      </c>
      <c r="AO46" s="13">
        <f t="shared" si="3"/>
        <v>0.21284395883200871</v>
      </c>
      <c r="AP46" s="16">
        <v>9250</v>
      </c>
      <c r="AQ46" s="16">
        <v>9917.7113010908888</v>
      </c>
      <c r="AR46" s="16">
        <f t="shared" si="4"/>
        <v>667.71130109088881</v>
      </c>
      <c r="AS46" s="17">
        <f t="shared" si="5"/>
        <v>7.2185005523339327E-2</v>
      </c>
      <c r="AT46" s="20">
        <v>9250</v>
      </c>
      <c r="AU46" s="20">
        <v>11200.521484375</v>
      </c>
      <c r="AV46" s="20">
        <f t="shared" si="6"/>
        <v>1950.521484375</v>
      </c>
      <c r="AW46" s="21">
        <f t="shared" si="7"/>
        <v>0.2108671875</v>
      </c>
    </row>
    <row r="47" spans="1:49" x14ac:dyDescent="0.25">
      <c r="A47" t="s">
        <v>128</v>
      </c>
      <c r="B47" t="s">
        <v>210</v>
      </c>
      <c r="C47">
        <v>210620</v>
      </c>
      <c r="D47">
        <v>2013</v>
      </c>
      <c r="E47" t="s">
        <v>40</v>
      </c>
      <c r="F47" t="s">
        <v>233</v>
      </c>
      <c r="G47" t="s">
        <v>234</v>
      </c>
      <c r="H47" t="s">
        <v>235</v>
      </c>
      <c r="I47">
        <v>4</v>
      </c>
      <c r="J47" t="s">
        <v>106</v>
      </c>
      <c r="K47">
        <v>4</v>
      </c>
      <c r="L47" t="s">
        <v>44</v>
      </c>
      <c r="M47">
        <v>2.5</v>
      </c>
      <c r="N47" t="s">
        <v>45</v>
      </c>
      <c r="O47" t="s">
        <v>46</v>
      </c>
      <c r="Q47" t="s">
        <v>62</v>
      </c>
      <c r="R47" t="s">
        <v>63</v>
      </c>
      <c r="S47" t="s">
        <v>49</v>
      </c>
      <c r="T47">
        <v>176</v>
      </c>
      <c r="U47" t="s">
        <v>50</v>
      </c>
      <c r="V47" t="s">
        <v>51</v>
      </c>
      <c r="W47" t="s">
        <v>236</v>
      </c>
      <c r="X47" t="s">
        <v>65</v>
      </c>
      <c r="Y47" t="s">
        <v>54</v>
      </c>
      <c r="AA47">
        <v>0</v>
      </c>
      <c r="AB47" t="s">
        <v>79</v>
      </c>
      <c r="AC47" t="s">
        <v>87</v>
      </c>
      <c r="AD47">
        <v>36</v>
      </c>
      <c r="AE47">
        <v>9</v>
      </c>
      <c r="AF47">
        <v>3</v>
      </c>
      <c r="AG47">
        <v>2025</v>
      </c>
      <c r="AH47" s="2">
        <v>4600</v>
      </c>
      <c r="AI47" s="2">
        <v>2828.98095703125</v>
      </c>
      <c r="AJ47" s="2">
        <f t="shared" si="0"/>
        <v>1771.01904296875</v>
      </c>
      <c r="AK47" s="6">
        <f t="shared" si="1"/>
        <v>0.38500413977581521</v>
      </c>
      <c r="AL47" s="12">
        <v>4600</v>
      </c>
      <c r="AM47" s="12">
        <v>2747.249620137668</v>
      </c>
      <c r="AN47" s="12">
        <f t="shared" si="2"/>
        <v>1852.750379862332</v>
      </c>
      <c r="AO47" s="13">
        <f t="shared" si="3"/>
        <v>0.40277182170920262</v>
      </c>
      <c r="AP47" s="16">
        <v>4600</v>
      </c>
      <c r="AQ47" s="16">
        <v>2680.5715367959592</v>
      </c>
      <c r="AR47" s="16">
        <f t="shared" si="4"/>
        <v>1919.4284632040408</v>
      </c>
      <c r="AS47" s="17">
        <f t="shared" si="5"/>
        <v>0.41726705721826973</v>
      </c>
      <c r="AT47" s="20">
        <v>4600</v>
      </c>
      <c r="AU47" s="20">
        <v>2871.440673828125</v>
      </c>
      <c r="AV47" s="20">
        <f t="shared" si="6"/>
        <v>1728.559326171875</v>
      </c>
      <c r="AW47" s="21">
        <f t="shared" si="7"/>
        <v>0.37577376655910327</v>
      </c>
    </row>
    <row r="48" spans="1:49" x14ac:dyDescent="0.25">
      <c r="A48" t="s">
        <v>128</v>
      </c>
      <c r="B48" t="s">
        <v>210</v>
      </c>
      <c r="C48">
        <v>18818</v>
      </c>
      <c r="D48">
        <v>2023</v>
      </c>
      <c r="E48" t="s">
        <v>116</v>
      </c>
      <c r="F48" t="s">
        <v>237</v>
      </c>
      <c r="H48" t="s">
        <v>238</v>
      </c>
      <c r="I48">
        <v>6</v>
      </c>
      <c r="J48" t="s">
        <v>61</v>
      </c>
      <c r="K48">
        <v>4</v>
      </c>
      <c r="L48" t="s">
        <v>44</v>
      </c>
      <c r="M48">
        <v>3.6</v>
      </c>
      <c r="N48" t="s">
        <v>73</v>
      </c>
      <c r="O48" t="s">
        <v>46</v>
      </c>
      <c r="Q48" t="s">
        <v>47</v>
      </c>
      <c r="R48" t="s">
        <v>123</v>
      </c>
      <c r="S48" t="s">
        <v>179</v>
      </c>
      <c r="T48">
        <v>292</v>
      </c>
      <c r="U48" t="s">
        <v>50</v>
      </c>
      <c r="V48" t="s">
        <v>76</v>
      </c>
      <c r="X48" t="s">
        <v>125</v>
      </c>
      <c r="Y48" t="s">
        <v>103</v>
      </c>
      <c r="AA48">
        <v>0</v>
      </c>
      <c r="AB48" t="s">
        <v>79</v>
      </c>
      <c r="AC48" t="s">
        <v>127</v>
      </c>
      <c r="AD48">
        <v>36</v>
      </c>
      <c r="AE48">
        <v>9</v>
      </c>
      <c r="AF48">
        <v>3</v>
      </c>
      <c r="AG48">
        <v>2025</v>
      </c>
      <c r="AH48" s="2">
        <v>29500</v>
      </c>
      <c r="AI48" s="2">
        <v>24446.921875</v>
      </c>
      <c r="AJ48" s="2">
        <f t="shared" si="0"/>
        <v>5053.078125</v>
      </c>
      <c r="AK48" s="6">
        <f t="shared" si="1"/>
        <v>0.17129078389830507</v>
      </c>
      <c r="AL48" s="12">
        <v>29500</v>
      </c>
      <c r="AM48" s="12">
        <v>29102.169958091788</v>
      </c>
      <c r="AN48" s="12">
        <f t="shared" si="2"/>
        <v>397.83004190821157</v>
      </c>
      <c r="AO48" s="13">
        <f t="shared" si="3"/>
        <v>1.3485764132481749E-2</v>
      </c>
      <c r="AP48" s="16">
        <v>29500</v>
      </c>
      <c r="AQ48" s="16">
        <v>25414.42357537353</v>
      </c>
      <c r="AR48" s="16">
        <f t="shared" si="4"/>
        <v>4085.5764246264698</v>
      </c>
      <c r="AS48" s="17">
        <f t="shared" si="5"/>
        <v>0.13849411608903286</v>
      </c>
      <c r="AT48" s="20">
        <v>29500</v>
      </c>
      <c r="AU48" s="20">
        <v>25254.99609375</v>
      </c>
      <c r="AV48" s="20">
        <f t="shared" si="6"/>
        <v>4245.00390625</v>
      </c>
      <c r="AW48" s="21">
        <f t="shared" si="7"/>
        <v>0.1438984375</v>
      </c>
    </row>
    <row r="49" spans="1:49" x14ac:dyDescent="0.25">
      <c r="A49" t="s">
        <v>38</v>
      </c>
      <c r="B49" t="s">
        <v>96</v>
      </c>
      <c r="C49">
        <v>144612</v>
      </c>
      <c r="D49">
        <v>2017</v>
      </c>
      <c r="E49" t="s">
        <v>58</v>
      </c>
      <c r="F49" t="s">
        <v>239</v>
      </c>
      <c r="G49" t="s">
        <v>240</v>
      </c>
      <c r="I49">
        <v>4</v>
      </c>
      <c r="J49" t="s">
        <v>241</v>
      </c>
      <c r="K49">
        <v>4</v>
      </c>
      <c r="L49" t="s">
        <v>44</v>
      </c>
      <c r="M49">
        <v>2.4</v>
      </c>
      <c r="N49" t="s">
        <v>45</v>
      </c>
      <c r="O49" t="s">
        <v>46</v>
      </c>
      <c r="P49">
        <v>4</v>
      </c>
      <c r="Q49" t="s">
        <v>62</v>
      </c>
      <c r="R49" t="s">
        <v>63</v>
      </c>
      <c r="S49" t="s">
        <v>49</v>
      </c>
      <c r="T49">
        <v>181</v>
      </c>
      <c r="U49" t="s">
        <v>50</v>
      </c>
      <c r="V49" t="s">
        <v>51</v>
      </c>
      <c r="W49" t="s">
        <v>242</v>
      </c>
      <c r="X49" t="s">
        <v>65</v>
      </c>
      <c r="Y49" t="s">
        <v>66</v>
      </c>
      <c r="AA49">
        <v>0</v>
      </c>
      <c r="AB49" t="s">
        <v>79</v>
      </c>
      <c r="AC49" t="s">
        <v>87</v>
      </c>
      <c r="AD49">
        <v>36</v>
      </c>
      <c r="AE49">
        <v>9</v>
      </c>
      <c r="AF49">
        <v>3</v>
      </c>
      <c r="AG49">
        <v>2025</v>
      </c>
      <c r="AH49" s="2">
        <v>4400</v>
      </c>
      <c r="AI49" s="2">
        <v>4289.0419921875</v>
      </c>
      <c r="AJ49" s="2">
        <f t="shared" si="0"/>
        <v>110.9580078125</v>
      </c>
      <c r="AK49" s="6">
        <f t="shared" si="1"/>
        <v>2.5217729048295456E-2</v>
      </c>
      <c r="AL49" s="12">
        <v>4400</v>
      </c>
      <c r="AM49" s="12">
        <v>4562.4580116501202</v>
      </c>
      <c r="AN49" s="12">
        <f t="shared" si="2"/>
        <v>162.45801165012017</v>
      </c>
      <c r="AO49" s="13">
        <f t="shared" si="3"/>
        <v>3.6922275375027312E-2</v>
      </c>
      <c r="AP49" s="16">
        <v>4400</v>
      </c>
      <c r="AQ49" s="16">
        <v>4356.2548263407389</v>
      </c>
      <c r="AR49" s="16">
        <f t="shared" si="4"/>
        <v>43.745173659261127</v>
      </c>
      <c r="AS49" s="17">
        <f t="shared" si="5"/>
        <v>9.942084922559347E-3</v>
      </c>
      <c r="AT49" s="20">
        <v>4400</v>
      </c>
      <c r="AU49" s="20">
        <v>4364.75341796875</v>
      </c>
      <c r="AV49" s="20">
        <f t="shared" si="6"/>
        <v>35.24658203125</v>
      </c>
      <c r="AW49" s="21">
        <f t="shared" si="7"/>
        <v>8.0105868252840912E-3</v>
      </c>
    </row>
    <row r="50" spans="1:49" x14ac:dyDescent="0.25">
      <c r="A50" t="s">
        <v>128</v>
      </c>
      <c r="B50" t="s">
        <v>129</v>
      </c>
      <c r="C50">
        <v>169114</v>
      </c>
      <c r="D50">
        <v>2014</v>
      </c>
      <c r="E50" t="s">
        <v>58</v>
      </c>
      <c r="F50" t="s">
        <v>243</v>
      </c>
      <c r="G50" t="s">
        <v>240</v>
      </c>
      <c r="I50">
        <v>4</v>
      </c>
      <c r="J50" t="s">
        <v>122</v>
      </c>
      <c r="K50">
        <v>4</v>
      </c>
      <c r="L50" t="s">
        <v>44</v>
      </c>
      <c r="M50">
        <v>1.8</v>
      </c>
      <c r="N50" t="s">
        <v>45</v>
      </c>
      <c r="O50" t="s">
        <v>46</v>
      </c>
      <c r="P50">
        <v>3</v>
      </c>
      <c r="Q50" t="s">
        <v>47</v>
      </c>
      <c r="R50" t="s">
        <v>123</v>
      </c>
      <c r="U50" t="s">
        <v>50</v>
      </c>
      <c r="X50" t="s">
        <v>125</v>
      </c>
      <c r="Y50" t="s">
        <v>66</v>
      </c>
      <c r="AA50">
        <v>0</v>
      </c>
      <c r="AB50" t="s">
        <v>79</v>
      </c>
      <c r="AC50" t="s">
        <v>127</v>
      </c>
      <c r="AD50">
        <v>36</v>
      </c>
      <c r="AE50">
        <v>9</v>
      </c>
      <c r="AF50">
        <v>3</v>
      </c>
      <c r="AG50">
        <v>2025</v>
      </c>
      <c r="AH50" s="2">
        <v>1500</v>
      </c>
      <c r="AI50" s="2">
        <v>1252.40283203125</v>
      </c>
      <c r="AJ50" s="2">
        <f t="shared" si="0"/>
        <v>247.59716796875</v>
      </c>
      <c r="AK50" s="6">
        <f t="shared" si="1"/>
        <v>0.16506477864583333</v>
      </c>
      <c r="AL50" s="12">
        <v>1500</v>
      </c>
      <c r="AM50" s="12">
        <v>1351.918234838417</v>
      </c>
      <c r="AN50" s="12">
        <f t="shared" si="2"/>
        <v>148.08176516158301</v>
      </c>
      <c r="AO50" s="13">
        <f t="shared" si="3"/>
        <v>9.8721176774388672E-2</v>
      </c>
      <c r="AP50" s="16">
        <v>1500</v>
      </c>
      <c r="AQ50" s="16">
        <v>1152.8663419366569</v>
      </c>
      <c r="AR50" s="16">
        <f t="shared" si="4"/>
        <v>347.13365806334309</v>
      </c>
      <c r="AS50" s="17">
        <f t="shared" si="5"/>
        <v>0.23142243870889539</v>
      </c>
      <c r="AT50" s="20">
        <v>1500</v>
      </c>
      <c r="AU50" s="20">
        <v>1220.093383789062</v>
      </c>
      <c r="AV50" s="20">
        <f t="shared" si="6"/>
        <v>279.90661621093795</v>
      </c>
      <c r="AW50" s="21">
        <f t="shared" si="7"/>
        <v>0.18660441080729198</v>
      </c>
    </row>
    <row r="51" spans="1:49" x14ac:dyDescent="0.25">
      <c r="A51" t="s">
        <v>38</v>
      </c>
      <c r="B51" t="s">
        <v>96</v>
      </c>
      <c r="C51">
        <v>133079</v>
      </c>
      <c r="D51">
        <v>2012</v>
      </c>
      <c r="E51" t="s">
        <v>97</v>
      </c>
      <c r="F51" t="s">
        <v>244</v>
      </c>
      <c r="G51" t="s">
        <v>155</v>
      </c>
      <c r="H51" t="s">
        <v>177</v>
      </c>
      <c r="I51">
        <v>8</v>
      </c>
      <c r="J51" t="s">
        <v>106</v>
      </c>
      <c r="K51">
        <v>4</v>
      </c>
      <c r="L51" t="s">
        <v>44</v>
      </c>
      <c r="M51">
        <v>5.3</v>
      </c>
      <c r="N51" t="s">
        <v>73</v>
      </c>
      <c r="O51" t="s">
        <v>46</v>
      </c>
      <c r="P51">
        <v>4</v>
      </c>
      <c r="Q51" t="s">
        <v>62</v>
      </c>
      <c r="R51" t="s">
        <v>63</v>
      </c>
      <c r="S51" t="s">
        <v>179</v>
      </c>
      <c r="U51" t="s">
        <v>50</v>
      </c>
      <c r="V51" t="s">
        <v>76</v>
      </c>
      <c r="W51" t="s">
        <v>245</v>
      </c>
      <c r="X51" t="s">
        <v>108</v>
      </c>
      <c r="Y51" t="s">
        <v>78</v>
      </c>
      <c r="AA51">
        <v>0</v>
      </c>
      <c r="AB51" t="s">
        <v>79</v>
      </c>
      <c r="AC51" t="s">
        <v>87</v>
      </c>
      <c r="AD51">
        <v>36</v>
      </c>
      <c r="AE51">
        <v>9</v>
      </c>
      <c r="AF51">
        <v>3</v>
      </c>
      <c r="AG51">
        <v>2025</v>
      </c>
      <c r="AH51" s="2">
        <v>8500</v>
      </c>
      <c r="AI51" s="2">
        <v>7425.04248046875</v>
      </c>
      <c r="AJ51" s="2">
        <f t="shared" si="0"/>
        <v>1074.95751953125</v>
      </c>
      <c r="AK51" s="6">
        <f t="shared" si="1"/>
        <v>0.12646559053308823</v>
      </c>
      <c r="AL51" s="12">
        <v>8500</v>
      </c>
      <c r="AM51" s="12">
        <v>8407.9801331690542</v>
      </c>
      <c r="AN51" s="12">
        <f t="shared" si="2"/>
        <v>92.01986683094583</v>
      </c>
      <c r="AO51" s="13">
        <f t="shared" si="3"/>
        <v>1.0825866685993626E-2</v>
      </c>
      <c r="AP51" s="16">
        <v>8500</v>
      </c>
      <c r="AQ51" s="16">
        <v>6070.5574793238866</v>
      </c>
      <c r="AR51" s="16">
        <f t="shared" si="4"/>
        <v>2429.4425206761134</v>
      </c>
      <c r="AS51" s="17">
        <f t="shared" si="5"/>
        <v>0.28581676713836629</v>
      </c>
      <c r="AT51" s="20">
        <v>8500</v>
      </c>
      <c r="AU51" s="20">
        <v>7637.751953125</v>
      </c>
      <c r="AV51" s="20">
        <f t="shared" si="6"/>
        <v>862.248046875</v>
      </c>
      <c r="AW51" s="21">
        <f t="shared" si="7"/>
        <v>0.10144094669117647</v>
      </c>
    </row>
    <row r="52" spans="1:49" x14ac:dyDescent="0.25">
      <c r="A52" t="s">
        <v>81</v>
      </c>
      <c r="B52" t="s">
        <v>246</v>
      </c>
      <c r="C52">
        <v>21154</v>
      </c>
      <c r="D52">
        <v>2022</v>
      </c>
      <c r="E52" t="s">
        <v>166</v>
      </c>
      <c r="F52" t="s">
        <v>247</v>
      </c>
      <c r="G52" t="s">
        <v>248</v>
      </c>
      <c r="I52">
        <v>4</v>
      </c>
      <c r="J52" t="s">
        <v>72</v>
      </c>
      <c r="K52">
        <v>4</v>
      </c>
      <c r="L52" t="s">
        <v>44</v>
      </c>
      <c r="M52">
        <v>1.5</v>
      </c>
      <c r="N52" t="s">
        <v>44</v>
      </c>
      <c r="O52" t="s">
        <v>46</v>
      </c>
      <c r="P52">
        <v>2</v>
      </c>
      <c r="Q52" t="s">
        <v>62</v>
      </c>
      <c r="R52" t="s">
        <v>63</v>
      </c>
      <c r="S52" t="s">
        <v>93</v>
      </c>
      <c r="T52">
        <v>190</v>
      </c>
      <c r="U52" t="s">
        <v>50</v>
      </c>
      <c r="V52" t="s">
        <v>51</v>
      </c>
      <c r="W52" t="s">
        <v>249</v>
      </c>
      <c r="X52" t="s">
        <v>65</v>
      </c>
      <c r="Y52" t="s">
        <v>78</v>
      </c>
      <c r="AA52">
        <v>0</v>
      </c>
      <c r="AB52" t="s">
        <v>79</v>
      </c>
      <c r="AC52" t="s">
        <v>87</v>
      </c>
      <c r="AD52">
        <v>36</v>
      </c>
      <c r="AE52">
        <v>9</v>
      </c>
      <c r="AF52">
        <v>3</v>
      </c>
      <c r="AG52">
        <v>2025</v>
      </c>
      <c r="AH52" s="2">
        <v>16000</v>
      </c>
      <c r="AI52" s="2">
        <v>19938.830078125</v>
      </c>
      <c r="AJ52" s="2">
        <f t="shared" si="0"/>
        <v>3938.830078125</v>
      </c>
      <c r="AK52" s="6">
        <f t="shared" si="1"/>
        <v>0.2461768798828125</v>
      </c>
      <c r="AL52" s="12">
        <v>16000</v>
      </c>
      <c r="AM52" s="12">
        <v>19890.51289789363</v>
      </c>
      <c r="AN52" s="12">
        <f t="shared" si="2"/>
        <v>3890.51289789363</v>
      </c>
      <c r="AO52" s="13">
        <f t="shared" si="3"/>
        <v>0.24315705611835187</v>
      </c>
      <c r="AP52" s="16">
        <v>16000</v>
      </c>
      <c r="AQ52" s="16">
        <v>18492.375436505539</v>
      </c>
      <c r="AR52" s="16">
        <f t="shared" si="4"/>
        <v>2492.3754365055393</v>
      </c>
      <c r="AS52" s="17">
        <f t="shared" si="5"/>
        <v>0.1557734647815962</v>
      </c>
      <c r="AT52" s="20">
        <v>16000</v>
      </c>
      <c r="AU52" s="20">
        <v>19641.470703125</v>
      </c>
      <c r="AV52" s="20">
        <f t="shared" si="6"/>
        <v>3641.470703125</v>
      </c>
      <c r="AW52" s="21">
        <f t="shared" si="7"/>
        <v>0.2275919189453125</v>
      </c>
    </row>
    <row r="53" spans="1:49" x14ac:dyDescent="0.25">
      <c r="A53" t="s">
        <v>38</v>
      </c>
      <c r="B53" t="s">
        <v>57</v>
      </c>
      <c r="C53">
        <v>171274</v>
      </c>
      <c r="D53">
        <v>2014</v>
      </c>
      <c r="E53" t="s">
        <v>69</v>
      </c>
      <c r="F53" t="s">
        <v>250</v>
      </c>
      <c r="H53" t="s">
        <v>224</v>
      </c>
      <c r="I53">
        <v>4</v>
      </c>
      <c r="J53" t="s">
        <v>122</v>
      </c>
      <c r="K53">
        <v>4</v>
      </c>
      <c r="L53" t="s">
        <v>44</v>
      </c>
      <c r="M53">
        <v>1.6</v>
      </c>
      <c r="N53" t="s">
        <v>45</v>
      </c>
      <c r="O53" t="s">
        <v>46</v>
      </c>
      <c r="P53">
        <v>5</v>
      </c>
      <c r="Q53" t="s">
        <v>62</v>
      </c>
      <c r="R53" t="s">
        <v>63</v>
      </c>
      <c r="S53" t="s">
        <v>49</v>
      </c>
      <c r="T53">
        <v>178</v>
      </c>
      <c r="U53" t="s">
        <v>50</v>
      </c>
      <c r="V53" t="s">
        <v>51</v>
      </c>
      <c r="X53" t="s">
        <v>65</v>
      </c>
      <c r="Y53" t="s">
        <v>78</v>
      </c>
      <c r="AA53">
        <v>0</v>
      </c>
      <c r="AB53" t="s">
        <v>79</v>
      </c>
      <c r="AC53" t="s">
        <v>87</v>
      </c>
      <c r="AD53">
        <v>36</v>
      </c>
      <c r="AE53">
        <v>9</v>
      </c>
      <c r="AF53">
        <v>3</v>
      </c>
      <c r="AG53">
        <v>2025</v>
      </c>
      <c r="AH53" s="2">
        <v>4500</v>
      </c>
      <c r="AI53" s="2">
        <v>2603.823974609375</v>
      </c>
      <c r="AJ53" s="2">
        <f t="shared" si="0"/>
        <v>1896.176025390625</v>
      </c>
      <c r="AK53" s="6">
        <f t="shared" si="1"/>
        <v>0.42137245008680557</v>
      </c>
      <c r="AL53" s="12">
        <v>4500</v>
      </c>
      <c r="AM53" s="12">
        <v>2519.3751637206592</v>
      </c>
      <c r="AN53" s="12">
        <f t="shared" si="2"/>
        <v>1980.6248362793408</v>
      </c>
      <c r="AO53" s="13">
        <f t="shared" si="3"/>
        <v>0.44013885250652018</v>
      </c>
      <c r="AP53" s="16">
        <v>4500</v>
      </c>
      <c r="AQ53" s="16">
        <v>2318.3886522202988</v>
      </c>
      <c r="AR53" s="16">
        <f t="shared" si="4"/>
        <v>2181.6113477797012</v>
      </c>
      <c r="AS53" s="17">
        <f t="shared" si="5"/>
        <v>0.48480252172882249</v>
      </c>
      <c r="AT53" s="20">
        <v>4500</v>
      </c>
      <c r="AU53" s="20">
        <v>2608.451171875</v>
      </c>
      <c r="AV53" s="20">
        <f t="shared" si="6"/>
        <v>1891.548828125</v>
      </c>
      <c r="AW53" s="21">
        <f t="shared" si="7"/>
        <v>0.42034418402777779</v>
      </c>
    </row>
    <row r="54" spans="1:49" x14ac:dyDescent="0.25">
      <c r="A54" t="s">
        <v>81</v>
      </c>
      <c r="B54" t="s">
        <v>82</v>
      </c>
      <c r="C54">
        <v>41852</v>
      </c>
      <c r="D54">
        <v>2019</v>
      </c>
      <c r="E54" t="s">
        <v>116</v>
      </c>
      <c r="F54" t="s">
        <v>251</v>
      </c>
      <c r="H54" t="s">
        <v>252</v>
      </c>
      <c r="I54">
        <v>6</v>
      </c>
      <c r="J54" t="s">
        <v>253</v>
      </c>
      <c r="K54">
        <v>4</v>
      </c>
      <c r="L54" t="s">
        <v>44</v>
      </c>
      <c r="M54">
        <v>3.6</v>
      </c>
      <c r="N54" t="s">
        <v>44</v>
      </c>
      <c r="O54" t="s">
        <v>46</v>
      </c>
      <c r="Q54" t="s">
        <v>62</v>
      </c>
      <c r="R54" t="s">
        <v>63</v>
      </c>
      <c r="S54" t="s">
        <v>85</v>
      </c>
      <c r="T54">
        <v>283</v>
      </c>
      <c r="U54" t="s">
        <v>50</v>
      </c>
      <c r="V54" t="s">
        <v>76</v>
      </c>
      <c r="X54" t="s">
        <v>141</v>
      </c>
      <c r="Y54" t="s">
        <v>126</v>
      </c>
      <c r="AA54">
        <v>0</v>
      </c>
      <c r="AB54" t="s">
        <v>79</v>
      </c>
      <c r="AC54" t="s">
        <v>87</v>
      </c>
      <c r="AD54">
        <v>36</v>
      </c>
      <c r="AE54">
        <v>9</v>
      </c>
      <c r="AF54">
        <v>3</v>
      </c>
      <c r="AG54">
        <v>2025</v>
      </c>
      <c r="AH54" s="2">
        <v>6100</v>
      </c>
      <c r="AI54" s="2">
        <v>13607.5380859375</v>
      </c>
      <c r="AJ54" s="2">
        <f t="shared" si="0"/>
        <v>7507.5380859375</v>
      </c>
      <c r="AK54" s="6">
        <f t="shared" si="1"/>
        <v>1.2307439485143443</v>
      </c>
      <c r="AL54" s="12">
        <v>6100</v>
      </c>
      <c r="AM54" s="12">
        <v>13774.935975753409</v>
      </c>
      <c r="AN54" s="12">
        <f t="shared" si="2"/>
        <v>7674.9359757534094</v>
      </c>
      <c r="AO54" s="13">
        <f t="shared" si="3"/>
        <v>1.2581862255333458</v>
      </c>
      <c r="AP54" s="16">
        <v>6100</v>
      </c>
      <c r="AQ54" s="16">
        <v>11592.418689212531</v>
      </c>
      <c r="AR54" s="16">
        <f t="shared" si="4"/>
        <v>5492.4186892125308</v>
      </c>
      <c r="AS54" s="17">
        <f t="shared" si="5"/>
        <v>0.90039650642828373</v>
      </c>
      <c r="AT54" s="20">
        <v>6100</v>
      </c>
      <c r="AU54" s="20">
        <v>13586.0888671875</v>
      </c>
      <c r="AV54" s="20">
        <f t="shared" si="6"/>
        <v>7486.0888671875</v>
      </c>
      <c r="AW54" s="21">
        <f t="shared" si="7"/>
        <v>1.2272276831454918</v>
      </c>
    </row>
    <row r="55" spans="1:49" x14ac:dyDescent="0.25">
      <c r="A55" t="s">
        <v>38</v>
      </c>
      <c r="B55" t="s">
        <v>96</v>
      </c>
      <c r="C55">
        <v>81593</v>
      </c>
      <c r="D55">
        <v>2022</v>
      </c>
      <c r="E55" t="s">
        <v>174</v>
      </c>
      <c r="F55" t="s">
        <v>254</v>
      </c>
      <c r="H55" t="s">
        <v>176</v>
      </c>
      <c r="I55">
        <v>4</v>
      </c>
      <c r="J55" t="s">
        <v>72</v>
      </c>
      <c r="K55">
        <v>4</v>
      </c>
      <c r="L55" t="s">
        <v>44</v>
      </c>
      <c r="M55">
        <v>1.5</v>
      </c>
      <c r="N55" t="s">
        <v>44</v>
      </c>
      <c r="O55" t="s">
        <v>46</v>
      </c>
      <c r="P55">
        <v>3</v>
      </c>
      <c r="Q55" t="s">
        <v>62</v>
      </c>
      <c r="R55" t="s">
        <v>63</v>
      </c>
      <c r="S55" t="s">
        <v>85</v>
      </c>
      <c r="U55" t="s">
        <v>50</v>
      </c>
      <c r="V55" t="s">
        <v>51</v>
      </c>
      <c r="W55" t="s">
        <v>255</v>
      </c>
      <c r="X55" t="s">
        <v>65</v>
      </c>
      <c r="Y55" t="s">
        <v>126</v>
      </c>
      <c r="AA55">
        <v>0</v>
      </c>
      <c r="AB55" t="s">
        <v>79</v>
      </c>
      <c r="AC55" t="s">
        <v>87</v>
      </c>
      <c r="AD55">
        <v>36</v>
      </c>
      <c r="AE55">
        <v>9</v>
      </c>
      <c r="AF55">
        <v>3</v>
      </c>
      <c r="AG55">
        <v>2025</v>
      </c>
      <c r="AH55" s="2">
        <v>14750</v>
      </c>
      <c r="AI55" s="2">
        <v>16617.26953125</v>
      </c>
      <c r="AJ55" s="2">
        <f t="shared" si="0"/>
        <v>1867.26953125</v>
      </c>
      <c r="AK55" s="6">
        <f t="shared" si="1"/>
        <v>0.12659454449152543</v>
      </c>
      <c r="AL55" s="12">
        <v>14750</v>
      </c>
      <c r="AM55" s="12">
        <v>16225.44044994592</v>
      </c>
      <c r="AN55" s="12">
        <f t="shared" si="2"/>
        <v>1475.4404499459197</v>
      </c>
      <c r="AO55" s="13">
        <f t="shared" si="3"/>
        <v>0.10002986101328269</v>
      </c>
      <c r="AP55" s="16">
        <v>14750</v>
      </c>
      <c r="AQ55" s="16">
        <v>14917.470892292269</v>
      </c>
      <c r="AR55" s="16">
        <f t="shared" si="4"/>
        <v>167.47089229226913</v>
      </c>
      <c r="AS55" s="17">
        <f t="shared" si="5"/>
        <v>1.1353958799475873E-2</v>
      </c>
      <c r="AT55" s="20">
        <v>14750</v>
      </c>
      <c r="AU55" s="20">
        <v>16321.5537109375</v>
      </c>
      <c r="AV55" s="20">
        <f t="shared" si="6"/>
        <v>1571.5537109375</v>
      </c>
      <c r="AW55" s="21">
        <f t="shared" si="7"/>
        <v>0.10654601430084745</v>
      </c>
    </row>
    <row r="56" spans="1:49" x14ac:dyDescent="0.25">
      <c r="A56" t="s">
        <v>38</v>
      </c>
      <c r="B56" t="s">
        <v>39</v>
      </c>
      <c r="C56">
        <v>108509</v>
      </c>
      <c r="D56">
        <v>2018</v>
      </c>
      <c r="E56" t="s">
        <v>162</v>
      </c>
      <c r="F56" t="s">
        <v>256</v>
      </c>
      <c r="G56" t="s">
        <v>257</v>
      </c>
      <c r="I56">
        <v>4</v>
      </c>
      <c r="J56" t="s">
        <v>72</v>
      </c>
      <c r="K56">
        <v>4</v>
      </c>
      <c r="L56" t="s">
        <v>44</v>
      </c>
      <c r="M56">
        <v>2.4</v>
      </c>
      <c r="N56" t="s">
        <v>45</v>
      </c>
      <c r="O56" t="s">
        <v>46</v>
      </c>
      <c r="Q56" t="s">
        <v>62</v>
      </c>
      <c r="R56" t="s">
        <v>63</v>
      </c>
      <c r="S56" t="s">
        <v>49</v>
      </c>
      <c r="T56">
        <v>185</v>
      </c>
      <c r="U56" t="s">
        <v>50</v>
      </c>
      <c r="V56" t="s">
        <v>51</v>
      </c>
      <c r="W56" t="s">
        <v>242</v>
      </c>
      <c r="X56" t="s">
        <v>65</v>
      </c>
      <c r="Y56" t="s">
        <v>78</v>
      </c>
      <c r="AA56">
        <v>0</v>
      </c>
      <c r="AB56" t="s">
        <v>79</v>
      </c>
      <c r="AC56" t="s">
        <v>87</v>
      </c>
      <c r="AD56">
        <v>36</v>
      </c>
      <c r="AE56">
        <v>9</v>
      </c>
      <c r="AF56">
        <v>3</v>
      </c>
      <c r="AG56">
        <v>2025</v>
      </c>
      <c r="AH56" s="2">
        <v>6750</v>
      </c>
      <c r="AI56" s="2">
        <v>8264.53515625</v>
      </c>
      <c r="AJ56" s="2">
        <f t="shared" si="0"/>
        <v>1514.53515625</v>
      </c>
      <c r="AK56" s="6">
        <f t="shared" si="1"/>
        <v>0.2243755787037037</v>
      </c>
      <c r="AL56" s="12">
        <v>6750</v>
      </c>
      <c r="AM56" s="12">
        <v>7153.8054115025316</v>
      </c>
      <c r="AN56" s="12">
        <f t="shared" si="2"/>
        <v>403.80541150253157</v>
      </c>
      <c r="AO56" s="13">
        <f t="shared" si="3"/>
        <v>5.9823023926300976E-2</v>
      </c>
      <c r="AP56" s="16">
        <v>6750</v>
      </c>
      <c r="AQ56" s="16">
        <v>6036.7310737984571</v>
      </c>
      <c r="AR56" s="16">
        <f t="shared" si="4"/>
        <v>713.26892620154285</v>
      </c>
      <c r="AS56" s="17">
        <f t="shared" si="5"/>
        <v>0.10566947054837672</v>
      </c>
      <c r="AT56" s="20">
        <v>6750</v>
      </c>
      <c r="AU56" s="20">
        <v>8183.62451171875</v>
      </c>
      <c r="AV56" s="20">
        <f t="shared" si="6"/>
        <v>1433.62451171875</v>
      </c>
      <c r="AW56" s="21">
        <f t="shared" si="7"/>
        <v>0.21238881655092592</v>
      </c>
    </row>
    <row r="57" spans="1:49" x14ac:dyDescent="0.25">
      <c r="A57" t="s">
        <v>38</v>
      </c>
      <c r="B57" t="s">
        <v>68</v>
      </c>
      <c r="C57">
        <v>119013</v>
      </c>
      <c r="D57">
        <v>2017</v>
      </c>
      <c r="E57" t="s">
        <v>69</v>
      </c>
      <c r="F57" t="s">
        <v>258</v>
      </c>
      <c r="H57" t="s">
        <v>259</v>
      </c>
      <c r="I57">
        <v>8</v>
      </c>
      <c r="J57" t="s">
        <v>106</v>
      </c>
      <c r="K57">
        <v>4</v>
      </c>
      <c r="L57" t="s">
        <v>44</v>
      </c>
      <c r="M57">
        <v>6.7</v>
      </c>
      <c r="N57" t="s">
        <v>91</v>
      </c>
      <c r="O57" t="s">
        <v>46</v>
      </c>
      <c r="P57">
        <v>5</v>
      </c>
      <c r="Q57" t="s">
        <v>74</v>
      </c>
      <c r="R57" t="s">
        <v>92</v>
      </c>
      <c r="S57" t="s">
        <v>93</v>
      </c>
      <c r="T57">
        <v>440</v>
      </c>
      <c r="U57" t="s">
        <v>229</v>
      </c>
      <c r="V57" t="s">
        <v>76</v>
      </c>
      <c r="X57" t="s">
        <v>260</v>
      </c>
      <c r="Y57" t="s">
        <v>78</v>
      </c>
      <c r="Z57">
        <v>41790</v>
      </c>
      <c r="AA57">
        <v>0</v>
      </c>
      <c r="AB57" t="s">
        <v>79</v>
      </c>
      <c r="AC57" t="s">
        <v>261</v>
      </c>
      <c r="AD57">
        <v>36</v>
      </c>
      <c r="AE57">
        <v>9</v>
      </c>
      <c r="AF57">
        <v>3</v>
      </c>
      <c r="AG57">
        <v>2025</v>
      </c>
      <c r="AH57" s="2">
        <v>36250</v>
      </c>
      <c r="AI57" s="2">
        <v>33796.578125</v>
      </c>
      <c r="AJ57" s="2">
        <f t="shared" si="0"/>
        <v>2453.421875</v>
      </c>
      <c r="AK57" s="6">
        <f t="shared" si="1"/>
        <v>6.7680603448275867E-2</v>
      </c>
      <c r="AL57" s="12">
        <v>36250</v>
      </c>
      <c r="AM57" s="12">
        <v>29905.899146949021</v>
      </c>
      <c r="AN57" s="12">
        <f t="shared" si="2"/>
        <v>6344.1008530509789</v>
      </c>
      <c r="AO57" s="13">
        <f t="shared" si="3"/>
        <v>0.17500967870485459</v>
      </c>
      <c r="AP57" s="16">
        <v>36250</v>
      </c>
      <c r="AQ57" s="16">
        <v>35200.477633453178</v>
      </c>
      <c r="AR57" s="16">
        <f t="shared" si="4"/>
        <v>1049.522366546822</v>
      </c>
      <c r="AS57" s="17">
        <f t="shared" si="5"/>
        <v>2.8952341146119227E-2</v>
      </c>
      <c r="AT57" s="20">
        <v>36250</v>
      </c>
      <c r="AU57" s="20">
        <v>33033.84765625</v>
      </c>
      <c r="AV57" s="20">
        <f t="shared" si="6"/>
        <v>3216.15234375</v>
      </c>
      <c r="AW57" s="21">
        <f t="shared" si="7"/>
        <v>8.8721443965517247E-2</v>
      </c>
    </row>
    <row r="58" spans="1:49" x14ac:dyDescent="0.25">
      <c r="A58" t="s">
        <v>38</v>
      </c>
      <c r="B58" t="s">
        <v>96</v>
      </c>
      <c r="C58">
        <v>53904</v>
      </c>
      <c r="D58">
        <v>2023</v>
      </c>
      <c r="E58" t="s">
        <v>88</v>
      </c>
      <c r="F58" t="s">
        <v>89</v>
      </c>
      <c r="G58" t="s">
        <v>262</v>
      </c>
      <c r="H58" t="s">
        <v>176</v>
      </c>
      <c r="I58">
        <v>6</v>
      </c>
      <c r="J58" t="s">
        <v>106</v>
      </c>
      <c r="K58">
        <v>4</v>
      </c>
      <c r="L58" t="s">
        <v>44</v>
      </c>
      <c r="M58">
        <v>3.6</v>
      </c>
      <c r="N58" t="s">
        <v>91</v>
      </c>
      <c r="O58" t="s">
        <v>46</v>
      </c>
      <c r="P58">
        <v>4</v>
      </c>
      <c r="Q58" t="s">
        <v>74</v>
      </c>
      <c r="R58" t="s">
        <v>92</v>
      </c>
      <c r="S58" t="s">
        <v>93</v>
      </c>
      <c r="T58">
        <v>305</v>
      </c>
      <c r="U58" t="s">
        <v>50</v>
      </c>
      <c r="V58" t="s">
        <v>76</v>
      </c>
      <c r="X58" t="s">
        <v>94</v>
      </c>
      <c r="Y58" t="s">
        <v>78</v>
      </c>
      <c r="AA58">
        <v>0</v>
      </c>
      <c r="AB58" t="s">
        <v>79</v>
      </c>
      <c r="AC58" t="s">
        <v>95</v>
      </c>
      <c r="AD58">
        <v>36</v>
      </c>
      <c r="AE58">
        <v>9</v>
      </c>
      <c r="AF58">
        <v>3</v>
      </c>
      <c r="AG58">
        <v>2025</v>
      </c>
      <c r="AH58" s="2">
        <v>24750</v>
      </c>
      <c r="AI58" s="2">
        <v>26217.162109375</v>
      </c>
      <c r="AJ58" s="2">
        <f t="shared" si="0"/>
        <v>1467.162109375</v>
      </c>
      <c r="AK58" s="6">
        <f t="shared" si="1"/>
        <v>5.9279277146464644E-2</v>
      </c>
      <c r="AL58" s="12">
        <v>24750</v>
      </c>
      <c r="AM58" s="12">
        <v>29548.574647523761</v>
      </c>
      <c r="AN58" s="12">
        <f t="shared" si="2"/>
        <v>4798.5746475237611</v>
      </c>
      <c r="AO58" s="13">
        <f t="shared" si="3"/>
        <v>0.19388180394035398</v>
      </c>
      <c r="AP58" s="16">
        <v>24750</v>
      </c>
      <c r="AQ58" s="16">
        <v>28345.008776174182</v>
      </c>
      <c r="AR58" s="16">
        <f t="shared" si="4"/>
        <v>3595.0087761741815</v>
      </c>
      <c r="AS58" s="17">
        <f t="shared" si="5"/>
        <v>0.14525287984542148</v>
      </c>
      <c r="AT58" s="20">
        <v>24750</v>
      </c>
      <c r="AU58" s="20">
        <v>26740.74609375</v>
      </c>
      <c r="AV58" s="20">
        <f t="shared" si="6"/>
        <v>1990.74609375</v>
      </c>
      <c r="AW58" s="21">
        <f t="shared" si="7"/>
        <v>8.043418560606061E-2</v>
      </c>
    </row>
    <row r="59" spans="1:49" x14ac:dyDescent="0.25">
      <c r="A59" t="s">
        <v>38</v>
      </c>
      <c r="B59" t="s">
        <v>39</v>
      </c>
      <c r="C59">
        <v>100231</v>
      </c>
      <c r="D59">
        <v>2014</v>
      </c>
      <c r="E59" t="s">
        <v>263</v>
      </c>
      <c r="F59" t="s">
        <v>264</v>
      </c>
      <c r="G59" t="s">
        <v>265</v>
      </c>
      <c r="I59">
        <v>4</v>
      </c>
      <c r="J59" t="s">
        <v>61</v>
      </c>
      <c r="K59">
        <v>4</v>
      </c>
      <c r="L59" t="s">
        <v>44</v>
      </c>
      <c r="M59">
        <v>2.5</v>
      </c>
      <c r="N59" t="s">
        <v>45</v>
      </c>
      <c r="O59" t="s">
        <v>46</v>
      </c>
      <c r="Q59" t="s">
        <v>62</v>
      </c>
      <c r="R59" t="s">
        <v>63</v>
      </c>
      <c r="S59" t="s">
        <v>49</v>
      </c>
      <c r="U59" t="s">
        <v>50</v>
      </c>
      <c r="V59" t="s">
        <v>51</v>
      </c>
      <c r="W59" t="s">
        <v>266</v>
      </c>
      <c r="X59" t="s">
        <v>65</v>
      </c>
      <c r="Y59" t="s">
        <v>54</v>
      </c>
      <c r="AA59">
        <v>0</v>
      </c>
      <c r="AB59" t="s">
        <v>79</v>
      </c>
      <c r="AC59" t="s">
        <v>87</v>
      </c>
      <c r="AD59">
        <v>36</v>
      </c>
      <c r="AE59">
        <v>9</v>
      </c>
      <c r="AF59">
        <v>3</v>
      </c>
      <c r="AG59">
        <v>2025</v>
      </c>
      <c r="AH59" s="2">
        <v>9000</v>
      </c>
      <c r="AI59" s="2">
        <v>6590.26708984375</v>
      </c>
      <c r="AJ59" s="2">
        <f t="shared" si="0"/>
        <v>2409.73291015625</v>
      </c>
      <c r="AK59" s="6">
        <f t="shared" si="1"/>
        <v>0.26774810112847225</v>
      </c>
      <c r="AL59" s="12">
        <v>9000</v>
      </c>
      <c r="AM59" s="12">
        <v>4820.913040131938</v>
      </c>
      <c r="AN59" s="12">
        <f t="shared" si="2"/>
        <v>4179.086959868062</v>
      </c>
      <c r="AO59" s="13">
        <f t="shared" si="3"/>
        <v>0.46434299554089575</v>
      </c>
      <c r="AP59" s="16">
        <v>9000</v>
      </c>
      <c r="AQ59" s="16">
        <v>5558.1172520901882</v>
      </c>
      <c r="AR59" s="16">
        <f t="shared" si="4"/>
        <v>3441.8827479098118</v>
      </c>
      <c r="AS59" s="17">
        <f t="shared" si="5"/>
        <v>0.38243141643442352</v>
      </c>
      <c r="AT59" s="20">
        <v>9000</v>
      </c>
      <c r="AU59" s="20">
        <v>6462.82373046875</v>
      </c>
      <c r="AV59" s="20">
        <f t="shared" si="6"/>
        <v>2537.17626953125</v>
      </c>
      <c r="AW59" s="21">
        <f t="shared" si="7"/>
        <v>0.28190847439236111</v>
      </c>
    </row>
    <row r="60" spans="1:49" x14ac:dyDescent="0.25">
      <c r="A60" t="s">
        <v>81</v>
      </c>
      <c r="B60" t="s">
        <v>82</v>
      </c>
      <c r="C60">
        <v>75805</v>
      </c>
      <c r="D60">
        <v>2016</v>
      </c>
      <c r="E60" t="s">
        <v>162</v>
      </c>
      <c r="F60" t="s">
        <v>163</v>
      </c>
      <c r="G60" t="s">
        <v>267</v>
      </c>
      <c r="I60">
        <v>4</v>
      </c>
      <c r="J60" t="s">
        <v>122</v>
      </c>
      <c r="K60">
        <v>4</v>
      </c>
      <c r="L60" t="s">
        <v>44</v>
      </c>
      <c r="M60">
        <v>2.4</v>
      </c>
      <c r="N60" t="s">
        <v>45</v>
      </c>
      <c r="O60" t="s">
        <v>46</v>
      </c>
      <c r="Q60" t="s">
        <v>47</v>
      </c>
      <c r="R60" t="s">
        <v>123</v>
      </c>
      <c r="U60" t="s">
        <v>50</v>
      </c>
      <c r="V60" t="s">
        <v>51</v>
      </c>
      <c r="W60" t="s">
        <v>165</v>
      </c>
      <c r="X60" t="s">
        <v>125</v>
      </c>
      <c r="Y60" t="s">
        <v>78</v>
      </c>
      <c r="AA60">
        <v>0</v>
      </c>
      <c r="AB60" t="s">
        <v>79</v>
      </c>
      <c r="AC60" t="s">
        <v>127</v>
      </c>
      <c r="AD60">
        <v>36</v>
      </c>
      <c r="AE60">
        <v>9</v>
      </c>
      <c r="AF60">
        <v>3</v>
      </c>
      <c r="AG60">
        <v>2025</v>
      </c>
      <c r="AH60" s="2">
        <v>5500</v>
      </c>
      <c r="AI60" s="2">
        <v>5298.80908203125</v>
      </c>
      <c r="AJ60" s="2">
        <f t="shared" si="0"/>
        <v>201.19091796875</v>
      </c>
      <c r="AK60" s="6">
        <f t="shared" si="1"/>
        <v>3.6580166903409088E-2</v>
      </c>
      <c r="AL60" s="12">
        <v>5500</v>
      </c>
      <c r="AM60" s="12">
        <v>5702.9431389272477</v>
      </c>
      <c r="AN60" s="12">
        <f t="shared" si="2"/>
        <v>202.94313892724767</v>
      </c>
      <c r="AO60" s="13">
        <f t="shared" si="3"/>
        <v>3.6898752532226853E-2</v>
      </c>
      <c r="AP60" s="16">
        <v>5500</v>
      </c>
      <c r="AQ60" s="16">
        <v>4709.3975417837764</v>
      </c>
      <c r="AR60" s="16">
        <f t="shared" si="4"/>
        <v>790.60245821622357</v>
      </c>
      <c r="AS60" s="17">
        <f t="shared" si="5"/>
        <v>0.14374590149385882</v>
      </c>
      <c r="AT60" s="20">
        <v>5500</v>
      </c>
      <c r="AU60" s="20">
        <v>5381.45263671875</v>
      </c>
      <c r="AV60" s="20">
        <f t="shared" si="6"/>
        <v>118.54736328125</v>
      </c>
      <c r="AW60" s="21">
        <f t="shared" si="7"/>
        <v>2.1554066051136363E-2</v>
      </c>
    </row>
    <row r="61" spans="1:49" x14ac:dyDescent="0.25">
      <c r="A61" t="s">
        <v>38</v>
      </c>
      <c r="B61" t="s">
        <v>39</v>
      </c>
      <c r="C61">
        <v>90862</v>
      </c>
      <c r="D61">
        <v>2017</v>
      </c>
      <c r="E61" t="s">
        <v>69</v>
      </c>
      <c r="F61" t="s">
        <v>157</v>
      </c>
      <c r="G61" t="s">
        <v>118</v>
      </c>
      <c r="I61">
        <v>4</v>
      </c>
      <c r="J61" t="s">
        <v>106</v>
      </c>
      <c r="K61">
        <v>4</v>
      </c>
      <c r="L61" t="s">
        <v>44</v>
      </c>
      <c r="M61">
        <v>2.2999999999999998</v>
      </c>
      <c r="N61" t="s">
        <v>91</v>
      </c>
      <c r="O61" t="s">
        <v>46</v>
      </c>
      <c r="Q61" t="s">
        <v>62</v>
      </c>
      <c r="R61" t="s">
        <v>63</v>
      </c>
      <c r="S61" t="s">
        <v>93</v>
      </c>
      <c r="T61">
        <v>280</v>
      </c>
      <c r="U61" t="s">
        <v>50</v>
      </c>
      <c r="V61" t="s">
        <v>51</v>
      </c>
      <c r="W61" t="s">
        <v>268</v>
      </c>
      <c r="X61" t="s">
        <v>94</v>
      </c>
      <c r="Y61" t="s">
        <v>78</v>
      </c>
      <c r="Z61">
        <v>41675</v>
      </c>
      <c r="AA61">
        <v>0</v>
      </c>
      <c r="AB61" t="s">
        <v>79</v>
      </c>
      <c r="AC61" t="s">
        <v>109</v>
      </c>
      <c r="AD61">
        <v>36</v>
      </c>
      <c r="AE61">
        <v>9</v>
      </c>
      <c r="AF61">
        <v>3</v>
      </c>
      <c r="AG61">
        <v>2025</v>
      </c>
      <c r="AH61" s="2">
        <v>9250</v>
      </c>
      <c r="AI61" s="2">
        <v>13737.3896484375</v>
      </c>
      <c r="AJ61" s="2">
        <f t="shared" si="0"/>
        <v>4487.3896484375</v>
      </c>
      <c r="AK61" s="6">
        <f t="shared" si="1"/>
        <v>0.4851232052364865</v>
      </c>
      <c r="AL61" s="12">
        <v>9250</v>
      </c>
      <c r="AM61" s="12">
        <v>13088.153174083211</v>
      </c>
      <c r="AN61" s="12">
        <f t="shared" si="2"/>
        <v>3838.1531740832106</v>
      </c>
      <c r="AO61" s="13">
        <f t="shared" si="3"/>
        <v>0.41493547827926602</v>
      </c>
      <c r="AP61" s="16">
        <v>9250</v>
      </c>
      <c r="AQ61" s="16">
        <v>11539.65596983688</v>
      </c>
      <c r="AR61" s="16">
        <f t="shared" si="4"/>
        <v>2289.6559698368801</v>
      </c>
      <c r="AS61" s="17">
        <f t="shared" si="5"/>
        <v>0.24753037511750056</v>
      </c>
      <c r="AT61" s="20">
        <v>9250</v>
      </c>
      <c r="AU61" s="20">
        <v>13505.357421875</v>
      </c>
      <c r="AV61" s="20">
        <f t="shared" si="6"/>
        <v>4255.357421875</v>
      </c>
      <c r="AW61" s="21">
        <f t="shared" si="7"/>
        <v>0.46003864020270269</v>
      </c>
    </row>
    <row r="62" spans="1:49" x14ac:dyDescent="0.25">
      <c r="A62" t="s">
        <v>128</v>
      </c>
      <c r="B62" t="s">
        <v>129</v>
      </c>
      <c r="C62">
        <v>237260</v>
      </c>
      <c r="D62">
        <v>2002</v>
      </c>
      <c r="E62" t="s">
        <v>116</v>
      </c>
      <c r="F62" t="s">
        <v>269</v>
      </c>
      <c r="G62" t="s">
        <v>176</v>
      </c>
      <c r="H62" t="s">
        <v>270</v>
      </c>
      <c r="I62">
        <v>8</v>
      </c>
      <c r="J62" t="s">
        <v>61</v>
      </c>
      <c r="K62">
        <v>4</v>
      </c>
      <c r="L62" t="s">
        <v>44</v>
      </c>
      <c r="M62">
        <v>4.7</v>
      </c>
      <c r="N62" t="s">
        <v>73</v>
      </c>
      <c r="O62" t="s">
        <v>46</v>
      </c>
      <c r="Q62" t="s">
        <v>74</v>
      </c>
      <c r="R62" t="s">
        <v>92</v>
      </c>
      <c r="S62" t="s">
        <v>49</v>
      </c>
      <c r="U62" t="s">
        <v>50</v>
      </c>
      <c r="V62" t="s">
        <v>76</v>
      </c>
      <c r="X62" t="s">
        <v>94</v>
      </c>
      <c r="Y62" t="s">
        <v>78</v>
      </c>
      <c r="AA62">
        <v>0</v>
      </c>
      <c r="AB62" t="s">
        <v>79</v>
      </c>
      <c r="AC62" t="s">
        <v>95</v>
      </c>
      <c r="AD62">
        <v>36</v>
      </c>
      <c r="AE62">
        <v>9</v>
      </c>
      <c r="AF62">
        <v>3</v>
      </c>
      <c r="AG62">
        <v>2025</v>
      </c>
      <c r="AH62" s="2">
        <v>1100</v>
      </c>
      <c r="AI62" s="2">
        <v>997.69775390625</v>
      </c>
      <c r="AJ62" s="2">
        <f t="shared" si="0"/>
        <v>102.30224609375</v>
      </c>
      <c r="AK62" s="6">
        <f t="shared" si="1"/>
        <v>9.3002041903409091E-2</v>
      </c>
      <c r="AL62" s="12">
        <v>1100</v>
      </c>
      <c r="AM62" s="12">
        <v>1220.6143567110601</v>
      </c>
      <c r="AN62" s="12">
        <f t="shared" si="2"/>
        <v>120.61435671106005</v>
      </c>
      <c r="AO62" s="13">
        <f t="shared" si="3"/>
        <v>0.10964941519187278</v>
      </c>
      <c r="AP62" s="16">
        <v>1100</v>
      </c>
      <c r="AQ62" s="16">
        <v>921.04891582802338</v>
      </c>
      <c r="AR62" s="16">
        <f t="shared" si="4"/>
        <v>178.95108417197662</v>
      </c>
      <c r="AS62" s="17">
        <f t="shared" si="5"/>
        <v>0.16268280379270603</v>
      </c>
      <c r="AT62" s="20">
        <v>1100</v>
      </c>
      <c r="AU62" s="20">
        <v>1013.509582519531</v>
      </c>
      <c r="AV62" s="20">
        <f t="shared" si="6"/>
        <v>86.490417480468977</v>
      </c>
      <c r="AW62" s="21">
        <f t="shared" si="7"/>
        <v>7.86276522549718E-2</v>
      </c>
    </row>
    <row r="63" spans="1:49" x14ac:dyDescent="0.25">
      <c r="A63" t="s">
        <v>128</v>
      </c>
      <c r="B63" t="s">
        <v>271</v>
      </c>
      <c r="C63">
        <v>125672</v>
      </c>
      <c r="D63">
        <v>2019</v>
      </c>
      <c r="E63" t="s">
        <v>146</v>
      </c>
      <c r="F63" t="s">
        <v>147</v>
      </c>
      <c r="H63" t="s">
        <v>272</v>
      </c>
      <c r="I63">
        <v>4</v>
      </c>
      <c r="J63" t="s">
        <v>72</v>
      </c>
      <c r="K63">
        <v>4</v>
      </c>
      <c r="L63" t="s">
        <v>44</v>
      </c>
      <c r="M63">
        <v>2.5</v>
      </c>
      <c r="N63" t="s">
        <v>44</v>
      </c>
      <c r="O63" t="s">
        <v>46</v>
      </c>
      <c r="P63">
        <v>4</v>
      </c>
      <c r="Q63" t="s">
        <v>62</v>
      </c>
      <c r="R63" t="s">
        <v>63</v>
      </c>
      <c r="S63" t="s">
        <v>93</v>
      </c>
      <c r="U63" t="s">
        <v>50</v>
      </c>
      <c r="X63" t="s">
        <v>65</v>
      </c>
      <c r="Y63" t="s">
        <v>54</v>
      </c>
      <c r="AA63">
        <v>0</v>
      </c>
      <c r="AB63" t="s">
        <v>79</v>
      </c>
      <c r="AC63" t="s">
        <v>87</v>
      </c>
      <c r="AD63">
        <v>36</v>
      </c>
      <c r="AE63">
        <v>9</v>
      </c>
      <c r="AF63">
        <v>3</v>
      </c>
      <c r="AG63">
        <v>2025</v>
      </c>
      <c r="AH63" s="2">
        <v>10000</v>
      </c>
      <c r="AI63" s="2">
        <v>8800.2685546875</v>
      </c>
      <c r="AJ63" s="2">
        <f t="shared" si="0"/>
        <v>1199.7314453125</v>
      </c>
      <c r="AK63" s="6">
        <f t="shared" si="1"/>
        <v>0.11997314453125001</v>
      </c>
      <c r="AL63" s="12">
        <v>10000</v>
      </c>
      <c r="AM63" s="12">
        <v>7540.7459324348056</v>
      </c>
      <c r="AN63" s="12">
        <f t="shared" si="2"/>
        <v>2459.2540675651944</v>
      </c>
      <c r="AO63" s="13">
        <f t="shared" si="3"/>
        <v>0.24592540675651944</v>
      </c>
      <c r="AP63" s="16">
        <v>10000</v>
      </c>
      <c r="AQ63" s="16">
        <v>6715.2234881387494</v>
      </c>
      <c r="AR63" s="16">
        <f t="shared" si="4"/>
        <v>3284.7765118612506</v>
      </c>
      <c r="AS63" s="17">
        <f t="shared" si="5"/>
        <v>0.32847765118612504</v>
      </c>
      <c r="AT63" s="20">
        <v>10000</v>
      </c>
      <c r="AU63" s="20">
        <v>8721.8212890625</v>
      </c>
      <c r="AV63" s="20">
        <f t="shared" si="6"/>
        <v>1278.1787109375</v>
      </c>
      <c r="AW63" s="21">
        <f t="shared" si="7"/>
        <v>0.12781787109375001</v>
      </c>
    </row>
    <row r="64" spans="1:49" x14ac:dyDescent="0.25">
      <c r="A64" t="s">
        <v>128</v>
      </c>
      <c r="B64" t="s">
        <v>129</v>
      </c>
      <c r="C64">
        <v>288513</v>
      </c>
      <c r="D64">
        <v>2013</v>
      </c>
      <c r="E64" t="s">
        <v>174</v>
      </c>
      <c r="F64" t="s">
        <v>175</v>
      </c>
      <c r="G64" t="s">
        <v>273</v>
      </c>
      <c r="H64" t="s">
        <v>177</v>
      </c>
      <c r="I64">
        <v>8</v>
      </c>
      <c r="J64" t="s">
        <v>61</v>
      </c>
      <c r="K64">
        <v>4</v>
      </c>
      <c r="L64" t="s">
        <v>44</v>
      </c>
      <c r="M64">
        <v>5.3</v>
      </c>
      <c r="N64" t="s">
        <v>73</v>
      </c>
      <c r="Q64" t="s">
        <v>62</v>
      </c>
      <c r="R64" t="s">
        <v>63</v>
      </c>
      <c r="S64" t="s">
        <v>179</v>
      </c>
      <c r="U64" t="s">
        <v>180</v>
      </c>
      <c r="V64" t="s">
        <v>76</v>
      </c>
      <c r="W64" t="s">
        <v>181</v>
      </c>
      <c r="X64" t="s">
        <v>108</v>
      </c>
      <c r="Y64" t="s">
        <v>78</v>
      </c>
      <c r="AA64">
        <v>0</v>
      </c>
      <c r="AB64" t="s">
        <v>79</v>
      </c>
      <c r="AC64" t="s">
        <v>87</v>
      </c>
      <c r="AD64">
        <v>36</v>
      </c>
      <c r="AE64">
        <v>9</v>
      </c>
      <c r="AF64">
        <v>3</v>
      </c>
      <c r="AG64">
        <v>2025</v>
      </c>
      <c r="AH64" s="2">
        <v>500</v>
      </c>
      <c r="AI64" s="2">
        <v>2072.258056640625</v>
      </c>
      <c r="AJ64" s="2">
        <f t="shared" si="0"/>
        <v>1572.258056640625</v>
      </c>
      <c r="AK64" s="6">
        <f t="shared" si="1"/>
        <v>3.14451611328125</v>
      </c>
      <c r="AL64" s="12">
        <v>500</v>
      </c>
      <c r="AM64" s="12">
        <v>3057.106589339272</v>
      </c>
      <c r="AN64" s="12">
        <f t="shared" si="2"/>
        <v>2557.106589339272</v>
      </c>
      <c r="AO64" s="13">
        <f t="shared" si="3"/>
        <v>5.1142131786785443</v>
      </c>
      <c r="AP64" s="16">
        <v>500</v>
      </c>
      <c r="AQ64" s="16">
        <v>2396.4815175173349</v>
      </c>
      <c r="AR64" s="16">
        <f t="shared" si="4"/>
        <v>1896.4815175173349</v>
      </c>
      <c r="AS64" s="17">
        <f t="shared" si="5"/>
        <v>3.7929630350346697</v>
      </c>
      <c r="AT64" s="20">
        <v>500</v>
      </c>
      <c r="AU64" s="20">
        <v>2154.627197265625</v>
      </c>
      <c r="AV64" s="20">
        <f t="shared" si="6"/>
        <v>1654.627197265625</v>
      </c>
      <c r="AW64" s="21">
        <f t="shared" si="7"/>
        <v>3.30925439453125</v>
      </c>
    </row>
    <row r="65" spans="1:49" x14ac:dyDescent="0.25">
      <c r="A65" t="s">
        <v>38</v>
      </c>
      <c r="B65" t="s">
        <v>274</v>
      </c>
      <c r="C65">
        <v>18470</v>
      </c>
      <c r="D65">
        <v>2022</v>
      </c>
      <c r="E65" t="s">
        <v>69</v>
      </c>
      <c r="F65" t="s">
        <v>250</v>
      </c>
      <c r="H65" t="s">
        <v>224</v>
      </c>
      <c r="I65">
        <v>3</v>
      </c>
      <c r="K65">
        <v>4</v>
      </c>
      <c r="L65" t="s">
        <v>44</v>
      </c>
      <c r="M65">
        <v>1.5</v>
      </c>
      <c r="N65" t="s">
        <v>44</v>
      </c>
      <c r="Q65" t="s">
        <v>62</v>
      </c>
      <c r="R65" t="s">
        <v>63</v>
      </c>
      <c r="S65" t="s">
        <v>93</v>
      </c>
      <c r="T65">
        <v>181</v>
      </c>
      <c r="U65" t="s">
        <v>50</v>
      </c>
      <c r="V65" t="s">
        <v>51</v>
      </c>
      <c r="W65" t="s">
        <v>275</v>
      </c>
      <c r="X65" t="s">
        <v>65</v>
      </c>
      <c r="Y65" t="s">
        <v>78</v>
      </c>
      <c r="AA65">
        <v>0</v>
      </c>
      <c r="AB65" t="s">
        <v>79</v>
      </c>
      <c r="AC65" t="s">
        <v>87</v>
      </c>
      <c r="AD65">
        <v>36</v>
      </c>
      <c r="AE65">
        <v>9</v>
      </c>
      <c r="AF65">
        <v>3</v>
      </c>
      <c r="AG65">
        <v>2025</v>
      </c>
      <c r="AH65" s="2">
        <v>20000</v>
      </c>
      <c r="AI65" s="2">
        <v>19212.19921875</v>
      </c>
      <c r="AJ65" s="2">
        <f t="shared" si="0"/>
        <v>787.80078125</v>
      </c>
      <c r="AK65" s="6">
        <f t="shared" si="1"/>
        <v>3.93900390625E-2</v>
      </c>
      <c r="AL65" s="12">
        <v>20000</v>
      </c>
      <c r="AM65" s="12">
        <v>19667.577450301389</v>
      </c>
      <c r="AN65" s="12">
        <f t="shared" si="2"/>
        <v>332.42254969861096</v>
      </c>
      <c r="AO65" s="13">
        <f t="shared" si="3"/>
        <v>1.6621127484930547E-2</v>
      </c>
      <c r="AP65" s="16">
        <v>20000</v>
      </c>
      <c r="AQ65" s="16">
        <v>21007.531921802849</v>
      </c>
      <c r="AR65" s="16">
        <f t="shared" si="4"/>
        <v>1007.531921802849</v>
      </c>
      <c r="AS65" s="17">
        <f t="shared" si="5"/>
        <v>5.0376596090142445E-2</v>
      </c>
      <c r="AT65" s="20">
        <v>20000</v>
      </c>
      <c r="AU65" s="20">
        <v>19180.96484375</v>
      </c>
      <c r="AV65" s="20">
        <f t="shared" si="6"/>
        <v>819.03515625</v>
      </c>
      <c r="AW65" s="21">
        <f t="shared" si="7"/>
        <v>4.0951757812500003E-2</v>
      </c>
    </row>
    <row r="66" spans="1:49" x14ac:dyDescent="0.25">
      <c r="A66" t="s">
        <v>38</v>
      </c>
      <c r="B66" t="s">
        <v>68</v>
      </c>
      <c r="C66">
        <v>57930</v>
      </c>
      <c r="D66">
        <v>2017</v>
      </c>
      <c r="E66" t="s">
        <v>142</v>
      </c>
      <c r="F66" t="s">
        <v>143</v>
      </c>
      <c r="G66" t="s">
        <v>276</v>
      </c>
      <c r="H66" t="s">
        <v>145</v>
      </c>
      <c r="I66">
        <v>4</v>
      </c>
      <c r="J66" t="s">
        <v>277</v>
      </c>
      <c r="K66">
        <v>4</v>
      </c>
      <c r="L66" t="s">
        <v>44</v>
      </c>
      <c r="M66">
        <v>2.4</v>
      </c>
      <c r="N66" t="s">
        <v>45</v>
      </c>
      <c r="O66" t="s">
        <v>46</v>
      </c>
      <c r="P66">
        <v>4</v>
      </c>
      <c r="Q66" t="s">
        <v>62</v>
      </c>
      <c r="R66" t="s">
        <v>63</v>
      </c>
      <c r="S66" t="s">
        <v>49</v>
      </c>
      <c r="T66">
        <v>184</v>
      </c>
      <c r="U66" t="s">
        <v>50</v>
      </c>
      <c r="V66" t="s">
        <v>51</v>
      </c>
      <c r="X66" t="s">
        <v>141</v>
      </c>
      <c r="Y66" t="s">
        <v>78</v>
      </c>
      <c r="Z66">
        <v>25645</v>
      </c>
      <c r="AA66">
        <v>0</v>
      </c>
      <c r="AB66" t="s">
        <v>79</v>
      </c>
      <c r="AC66" t="s">
        <v>87</v>
      </c>
      <c r="AD66">
        <v>36</v>
      </c>
      <c r="AE66">
        <v>9</v>
      </c>
      <c r="AF66">
        <v>3</v>
      </c>
      <c r="AG66">
        <v>2025</v>
      </c>
      <c r="AH66" s="2">
        <v>10000</v>
      </c>
      <c r="AI66" s="2">
        <v>10894.0869140625</v>
      </c>
      <c r="AJ66" s="2">
        <f t="shared" si="0"/>
        <v>894.0869140625</v>
      </c>
      <c r="AK66" s="6">
        <f t="shared" si="1"/>
        <v>8.9408691406250004E-2</v>
      </c>
      <c r="AL66" s="12">
        <v>10000</v>
      </c>
      <c r="AM66" s="12">
        <v>11074.808365659081</v>
      </c>
      <c r="AN66" s="12">
        <f t="shared" si="2"/>
        <v>1074.8083656590807</v>
      </c>
      <c r="AO66" s="13">
        <f t="shared" si="3"/>
        <v>0.10748083656590807</v>
      </c>
      <c r="AP66" s="16">
        <v>10000</v>
      </c>
      <c r="AQ66" s="16">
        <v>11606.37054653158</v>
      </c>
      <c r="AR66" s="16">
        <f t="shared" si="4"/>
        <v>1606.3705465315797</v>
      </c>
      <c r="AS66" s="17">
        <f t="shared" si="5"/>
        <v>0.16063705465315797</v>
      </c>
      <c r="AT66" s="20">
        <v>10000</v>
      </c>
      <c r="AU66" s="20">
        <v>11005.90625</v>
      </c>
      <c r="AV66" s="20">
        <f t="shared" si="6"/>
        <v>1005.90625</v>
      </c>
      <c r="AW66" s="21">
        <f t="shared" si="7"/>
        <v>0.100590625</v>
      </c>
    </row>
    <row r="67" spans="1:49" x14ac:dyDescent="0.25">
      <c r="A67" t="s">
        <v>38</v>
      </c>
      <c r="B67" t="s">
        <v>68</v>
      </c>
      <c r="C67">
        <v>164947</v>
      </c>
      <c r="D67">
        <v>2014</v>
      </c>
      <c r="E67" t="s">
        <v>162</v>
      </c>
      <c r="F67" t="s">
        <v>256</v>
      </c>
      <c r="G67" t="s">
        <v>221</v>
      </c>
      <c r="I67">
        <v>4</v>
      </c>
      <c r="J67" t="s">
        <v>106</v>
      </c>
      <c r="K67">
        <v>4</v>
      </c>
      <c r="L67" t="s">
        <v>44</v>
      </c>
      <c r="M67">
        <v>2.4</v>
      </c>
      <c r="N67" t="s">
        <v>45</v>
      </c>
      <c r="O67" t="s">
        <v>46</v>
      </c>
      <c r="Q67" t="s">
        <v>62</v>
      </c>
      <c r="R67" t="s">
        <v>63</v>
      </c>
      <c r="S67" t="s">
        <v>49</v>
      </c>
      <c r="U67" t="s">
        <v>50</v>
      </c>
      <c r="W67" t="s">
        <v>278</v>
      </c>
      <c r="X67" t="s">
        <v>65</v>
      </c>
      <c r="Y67" t="s">
        <v>78</v>
      </c>
      <c r="AA67">
        <v>0</v>
      </c>
      <c r="AB67" t="s">
        <v>79</v>
      </c>
      <c r="AC67" t="s">
        <v>87</v>
      </c>
      <c r="AD67">
        <v>36</v>
      </c>
      <c r="AE67">
        <v>9</v>
      </c>
      <c r="AF67">
        <v>3</v>
      </c>
      <c r="AG67">
        <v>2025</v>
      </c>
      <c r="AH67" s="2">
        <v>1500</v>
      </c>
      <c r="AI67" s="2">
        <v>2983.989013671875</v>
      </c>
      <c r="AJ67" s="2">
        <f t="shared" ref="AJ67:AJ130" si="8">ABS(AH67-AI67)</f>
        <v>1483.989013671875</v>
      </c>
      <c r="AK67" s="6">
        <f t="shared" ref="AK67:AK130" si="9">ABS($AH67-AI67)/$AH67</f>
        <v>0.98932600911458335</v>
      </c>
      <c r="AL67" s="12">
        <v>1500</v>
      </c>
      <c r="AM67" s="12">
        <v>2548.1885607898162</v>
      </c>
      <c r="AN67" s="12">
        <f t="shared" ref="AN67:AN130" si="10">ABS(AL67-AM67)</f>
        <v>1048.1885607898162</v>
      </c>
      <c r="AO67" s="13">
        <f t="shared" ref="AO67:AO130" si="11">ABS($AH67-AM67)/$AH67</f>
        <v>0.69879237385987747</v>
      </c>
      <c r="AP67" s="16">
        <v>1500</v>
      </c>
      <c r="AQ67" s="16">
        <v>2785.1020103878968</v>
      </c>
      <c r="AR67" s="16">
        <f t="shared" ref="AR67:AR130" si="12">ABS(AP67-AQ67)</f>
        <v>1285.1020103878968</v>
      </c>
      <c r="AS67" s="17">
        <f t="shared" ref="AS67:AS130" si="13">ABS($AH67-AQ67)/$AH67</f>
        <v>0.85673467359193123</v>
      </c>
      <c r="AT67" s="20">
        <v>1500</v>
      </c>
      <c r="AU67" s="20">
        <v>2977.697265625</v>
      </c>
      <c r="AV67" s="20">
        <f t="shared" ref="AV67:AV130" si="14">ABS(AT67-AU67)</f>
        <v>1477.697265625</v>
      </c>
      <c r="AW67" s="21">
        <f t="shared" ref="AW67:AW130" si="15">ABS($AH67-AU67)/$AH67</f>
        <v>0.98513151041666669</v>
      </c>
    </row>
    <row r="68" spans="1:49" x14ac:dyDescent="0.25">
      <c r="A68" t="s">
        <v>38</v>
      </c>
      <c r="B68" t="s">
        <v>68</v>
      </c>
      <c r="C68">
        <v>86787</v>
      </c>
      <c r="D68">
        <v>2021</v>
      </c>
      <c r="E68" t="s">
        <v>146</v>
      </c>
      <c r="F68" t="s">
        <v>279</v>
      </c>
      <c r="G68" t="s">
        <v>280</v>
      </c>
      <c r="I68">
        <v>4</v>
      </c>
      <c r="J68" t="s">
        <v>61</v>
      </c>
      <c r="K68">
        <v>4</v>
      </c>
      <c r="L68" t="s">
        <v>44</v>
      </c>
      <c r="M68">
        <v>2</v>
      </c>
      <c r="N68" t="s">
        <v>45</v>
      </c>
      <c r="O68" t="s">
        <v>46</v>
      </c>
      <c r="P68">
        <v>4</v>
      </c>
      <c r="Q68" t="s">
        <v>47</v>
      </c>
      <c r="R68" t="s">
        <v>123</v>
      </c>
      <c r="S68" t="s">
        <v>49</v>
      </c>
      <c r="U68" t="s">
        <v>50</v>
      </c>
      <c r="X68" t="s">
        <v>125</v>
      </c>
      <c r="Y68" t="s">
        <v>126</v>
      </c>
      <c r="AA68">
        <v>0</v>
      </c>
      <c r="AB68" t="s">
        <v>79</v>
      </c>
      <c r="AC68" t="s">
        <v>127</v>
      </c>
      <c r="AD68">
        <v>36</v>
      </c>
      <c r="AE68">
        <v>9</v>
      </c>
      <c r="AF68">
        <v>3</v>
      </c>
      <c r="AG68">
        <v>2025</v>
      </c>
      <c r="AH68" s="2">
        <v>9750</v>
      </c>
      <c r="AI68" s="2">
        <v>10528.349609375</v>
      </c>
      <c r="AJ68" s="2">
        <f t="shared" si="8"/>
        <v>778.349609375</v>
      </c>
      <c r="AK68" s="6">
        <f t="shared" si="9"/>
        <v>7.983072916666667E-2</v>
      </c>
      <c r="AL68" s="12">
        <v>9750</v>
      </c>
      <c r="AM68" s="12">
        <v>10488.40670578253</v>
      </c>
      <c r="AN68" s="12">
        <f t="shared" si="10"/>
        <v>738.40670578253048</v>
      </c>
      <c r="AO68" s="13">
        <f t="shared" si="11"/>
        <v>7.5734021105900565E-2</v>
      </c>
      <c r="AP68" s="16">
        <v>9750</v>
      </c>
      <c r="AQ68" s="16">
        <v>10834.52311040807</v>
      </c>
      <c r="AR68" s="16">
        <f t="shared" si="12"/>
        <v>1084.5231104080704</v>
      </c>
      <c r="AS68" s="17">
        <f t="shared" si="13"/>
        <v>0.11123313952903285</v>
      </c>
      <c r="AT68" s="20">
        <v>9750</v>
      </c>
      <c r="AU68" s="20">
        <v>10529.9765625</v>
      </c>
      <c r="AV68" s="20">
        <f t="shared" si="14"/>
        <v>779.9765625</v>
      </c>
      <c r="AW68" s="21">
        <f t="shared" si="15"/>
        <v>7.9997596153846148E-2</v>
      </c>
    </row>
    <row r="69" spans="1:49" x14ac:dyDescent="0.25">
      <c r="A69" t="s">
        <v>38</v>
      </c>
      <c r="B69" t="s">
        <v>39</v>
      </c>
      <c r="C69">
        <v>131077</v>
      </c>
      <c r="D69">
        <v>2015</v>
      </c>
      <c r="E69" t="s">
        <v>40</v>
      </c>
      <c r="F69" t="s">
        <v>149</v>
      </c>
      <c r="G69" t="s">
        <v>281</v>
      </c>
      <c r="H69" t="s">
        <v>282</v>
      </c>
      <c r="I69">
        <v>6</v>
      </c>
      <c r="J69" t="s">
        <v>43</v>
      </c>
      <c r="K69">
        <v>4</v>
      </c>
      <c r="L69" t="s">
        <v>44</v>
      </c>
      <c r="M69">
        <v>4</v>
      </c>
      <c r="N69" t="s">
        <v>91</v>
      </c>
      <c r="O69" t="s">
        <v>46</v>
      </c>
      <c r="P69">
        <v>3</v>
      </c>
      <c r="Q69" t="s">
        <v>74</v>
      </c>
      <c r="R69" t="s">
        <v>92</v>
      </c>
      <c r="S69" t="s">
        <v>93</v>
      </c>
      <c r="T69">
        <v>236</v>
      </c>
      <c r="U69" t="s">
        <v>50</v>
      </c>
      <c r="V69" t="s">
        <v>76</v>
      </c>
      <c r="W69" t="s">
        <v>185</v>
      </c>
      <c r="X69" t="s">
        <v>125</v>
      </c>
      <c r="Y69" t="s">
        <v>78</v>
      </c>
      <c r="AA69">
        <v>0</v>
      </c>
      <c r="AB69" t="s">
        <v>79</v>
      </c>
      <c r="AC69" t="s">
        <v>95</v>
      </c>
      <c r="AD69">
        <v>36</v>
      </c>
      <c r="AE69">
        <v>9</v>
      </c>
      <c r="AF69">
        <v>3</v>
      </c>
      <c r="AG69">
        <v>2025</v>
      </c>
      <c r="AH69" s="2">
        <v>16100</v>
      </c>
      <c r="AI69" s="2">
        <v>12915.2548828125</v>
      </c>
      <c r="AJ69" s="2">
        <f t="shared" si="8"/>
        <v>3184.7451171875</v>
      </c>
      <c r="AK69" s="6">
        <f t="shared" si="9"/>
        <v>0.19781025572593167</v>
      </c>
      <c r="AL69" s="12">
        <v>16100</v>
      </c>
      <c r="AM69" s="12">
        <v>12799.83915405544</v>
      </c>
      <c r="AN69" s="12">
        <f t="shared" si="10"/>
        <v>3300.1608459445597</v>
      </c>
      <c r="AO69" s="13">
        <f t="shared" si="11"/>
        <v>0.204978934530718</v>
      </c>
      <c r="AP69" s="16">
        <v>16100</v>
      </c>
      <c r="AQ69" s="16">
        <v>10675.660731507351</v>
      </c>
      <c r="AR69" s="16">
        <f t="shared" si="12"/>
        <v>5424.3392684926494</v>
      </c>
      <c r="AS69" s="17">
        <f t="shared" si="13"/>
        <v>0.33691548251507136</v>
      </c>
      <c r="AT69" s="20">
        <v>16100</v>
      </c>
      <c r="AU69" s="20">
        <v>12916.486328125</v>
      </c>
      <c r="AV69" s="20">
        <f t="shared" si="14"/>
        <v>3183.513671875</v>
      </c>
      <c r="AW69" s="21">
        <f t="shared" si="15"/>
        <v>0.19773376843944099</v>
      </c>
    </row>
    <row r="70" spans="1:49" x14ac:dyDescent="0.25">
      <c r="A70" t="s">
        <v>38</v>
      </c>
      <c r="B70" t="s">
        <v>96</v>
      </c>
      <c r="C70">
        <v>41699</v>
      </c>
      <c r="D70">
        <v>2024</v>
      </c>
      <c r="E70" t="s">
        <v>174</v>
      </c>
      <c r="F70" t="s">
        <v>254</v>
      </c>
      <c r="G70" t="s">
        <v>176</v>
      </c>
      <c r="I70">
        <v>4</v>
      </c>
      <c r="J70" t="s">
        <v>61</v>
      </c>
      <c r="K70">
        <v>4</v>
      </c>
      <c r="L70" t="s">
        <v>44</v>
      </c>
      <c r="M70">
        <v>1.5</v>
      </c>
      <c r="N70" t="s">
        <v>44</v>
      </c>
      <c r="O70" t="s">
        <v>46</v>
      </c>
      <c r="P70">
        <v>4</v>
      </c>
      <c r="Q70" t="s">
        <v>62</v>
      </c>
      <c r="R70" t="s">
        <v>63</v>
      </c>
      <c r="S70" t="s">
        <v>85</v>
      </c>
      <c r="U70" t="s">
        <v>50</v>
      </c>
      <c r="V70" t="s">
        <v>51</v>
      </c>
      <c r="W70" t="s">
        <v>283</v>
      </c>
      <c r="X70" t="s">
        <v>65</v>
      </c>
      <c r="Y70" t="s">
        <v>126</v>
      </c>
      <c r="AA70">
        <v>0</v>
      </c>
      <c r="AB70" t="s">
        <v>79</v>
      </c>
      <c r="AC70" t="s">
        <v>87</v>
      </c>
      <c r="AD70">
        <v>36</v>
      </c>
      <c r="AE70">
        <v>9</v>
      </c>
      <c r="AF70">
        <v>3</v>
      </c>
      <c r="AG70">
        <v>2025</v>
      </c>
      <c r="AH70" s="2">
        <v>20750</v>
      </c>
      <c r="AI70" s="2">
        <v>22640.056640625</v>
      </c>
      <c r="AJ70" s="2">
        <f t="shared" si="8"/>
        <v>1890.056640625</v>
      </c>
      <c r="AK70" s="6">
        <f t="shared" si="9"/>
        <v>9.1087067018072287E-2</v>
      </c>
      <c r="AL70" s="12">
        <v>20750</v>
      </c>
      <c r="AM70" s="12">
        <v>25333.858257235141</v>
      </c>
      <c r="AN70" s="12">
        <f t="shared" si="10"/>
        <v>4583.8582572351406</v>
      </c>
      <c r="AO70" s="13">
        <f t="shared" si="11"/>
        <v>0.22090883167398268</v>
      </c>
      <c r="AP70" s="16">
        <v>20750</v>
      </c>
      <c r="AQ70" s="16">
        <v>21940.314121210999</v>
      </c>
      <c r="AR70" s="16">
        <f t="shared" si="12"/>
        <v>1190.3141212109986</v>
      </c>
      <c r="AS70" s="17">
        <f t="shared" si="13"/>
        <v>5.7364535961975834E-2</v>
      </c>
      <c r="AT70" s="20">
        <v>20750</v>
      </c>
      <c r="AU70" s="20">
        <v>23011.498046875</v>
      </c>
      <c r="AV70" s="20">
        <f t="shared" si="14"/>
        <v>2261.498046875</v>
      </c>
      <c r="AW70" s="21">
        <f t="shared" si="15"/>
        <v>0.10898785768072289</v>
      </c>
    </row>
    <row r="71" spans="1:49" x14ac:dyDescent="0.25">
      <c r="A71" t="s">
        <v>38</v>
      </c>
      <c r="B71" t="s">
        <v>110</v>
      </c>
      <c r="C71">
        <v>104882</v>
      </c>
      <c r="D71">
        <v>2016</v>
      </c>
      <c r="E71" t="s">
        <v>69</v>
      </c>
      <c r="F71" t="s">
        <v>284</v>
      </c>
      <c r="G71" t="s">
        <v>285</v>
      </c>
      <c r="I71">
        <v>6</v>
      </c>
      <c r="J71" t="s">
        <v>106</v>
      </c>
      <c r="K71">
        <v>4</v>
      </c>
      <c r="L71" t="s">
        <v>44</v>
      </c>
      <c r="M71">
        <v>3.5</v>
      </c>
      <c r="N71" t="s">
        <v>45</v>
      </c>
      <c r="O71" t="s">
        <v>46</v>
      </c>
      <c r="P71">
        <v>3</v>
      </c>
      <c r="Q71" t="s">
        <v>62</v>
      </c>
      <c r="R71" t="s">
        <v>63</v>
      </c>
      <c r="S71" t="s">
        <v>101</v>
      </c>
      <c r="T71">
        <v>287</v>
      </c>
      <c r="U71" t="s">
        <v>50</v>
      </c>
      <c r="V71" t="s">
        <v>76</v>
      </c>
      <c r="X71" t="s">
        <v>141</v>
      </c>
      <c r="Y71" t="s">
        <v>103</v>
      </c>
      <c r="AA71">
        <v>0</v>
      </c>
      <c r="AB71" t="s">
        <v>79</v>
      </c>
      <c r="AC71" t="s">
        <v>87</v>
      </c>
      <c r="AD71">
        <v>36</v>
      </c>
      <c r="AE71">
        <v>9</v>
      </c>
      <c r="AF71">
        <v>3</v>
      </c>
      <c r="AG71">
        <v>2025</v>
      </c>
      <c r="AH71" s="2">
        <v>7250</v>
      </c>
      <c r="AI71" s="2">
        <v>5945.13330078125</v>
      </c>
      <c r="AJ71" s="2">
        <f t="shared" si="8"/>
        <v>1304.86669921875</v>
      </c>
      <c r="AK71" s="6">
        <f t="shared" si="9"/>
        <v>0.17998161368534482</v>
      </c>
      <c r="AL71" s="12">
        <v>7250</v>
      </c>
      <c r="AM71" s="12">
        <v>6584.6354804287339</v>
      </c>
      <c r="AN71" s="12">
        <f t="shared" si="10"/>
        <v>665.3645195712661</v>
      </c>
      <c r="AO71" s="13">
        <f t="shared" si="11"/>
        <v>9.1774416492588426E-2</v>
      </c>
      <c r="AP71" s="16">
        <v>7250</v>
      </c>
      <c r="AQ71" s="16">
        <v>5064.9244845083576</v>
      </c>
      <c r="AR71" s="16">
        <f t="shared" si="12"/>
        <v>2185.0755154916424</v>
      </c>
      <c r="AS71" s="17">
        <f t="shared" si="13"/>
        <v>0.30138972627470928</v>
      </c>
      <c r="AT71" s="20">
        <v>7250</v>
      </c>
      <c r="AU71" s="20">
        <v>6073.64453125</v>
      </c>
      <c r="AV71" s="20">
        <f t="shared" si="14"/>
        <v>1176.35546875</v>
      </c>
      <c r="AW71" s="21">
        <f t="shared" si="15"/>
        <v>0.16225592672413794</v>
      </c>
    </row>
    <row r="72" spans="1:49" x14ac:dyDescent="0.25">
      <c r="A72" t="s">
        <v>38</v>
      </c>
      <c r="B72" t="s">
        <v>110</v>
      </c>
      <c r="C72">
        <v>238094</v>
      </c>
      <c r="D72">
        <v>2007</v>
      </c>
      <c r="E72" t="s">
        <v>286</v>
      </c>
      <c r="F72" t="s">
        <v>287</v>
      </c>
      <c r="G72" t="s">
        <v>288</v>
      </c>
      <c r="H72" t="s">
        <v>289</v>
      </c>
      <c r="I72">
        <v>6</v>
      </c>
      <c r="J72" t="s">
        <v>217</v>
      </c>
      <c r="K72">
        <v>4</v>
      </c>
      <c r="L72" t="s">
        <v>44</v>
      </c>
      <c r="M72">
        <v>3.5</v>
      </c>
      <c r="N72" t="s">
        <v>45</v>
      </c>
      <c r="Q72" t="s">
        <v>62</v>
      </c>
      <c r="R72" t="s">
        <v>63</v>
      </c>
      <c r="S72" t="s">
        <v>49</v>
      </c>
      <c r="T72">
        <v>270</v>
      </c>
      <c r="U72" t="s">
        <v>50</v>
      </c>
      <c r="V72" t="s">
        <v>76</v>
      </c>
      <c r="W72" t="s">
        <v>290</v>
      </c>
      <c r="X72" t="s">
        <v>141</v>
      </c>
      <c r="Y72" t="s">
        <v>54</v>
      </c>
      <c r="AA72">
        <v>0</v>
      </c>
      <c r="AB72" t="s">
        <v>79</v>
      </c>
      <c r="AC72" t="s">
        <v>87</v>
      </c>
      <c r="AD72">
        <v>36</v>
      </c>
      <c r="AE72">
        <v>9</v>
      </c>
      <c r="AF72">
        <v>3</v>
      </c>
      <c r="AG72">
        <v>2025</v>
      </c>
      <c r="AH72" s="2">
        <v>1300</v>
      </c>
      <c r="AI72" s="2">
        <v>1602.216064453125</v>
      </c>
      <c r="AJ72" s="2">
        <f t="shared" si="8"/>
        <v>302.216064453125</v>
      </c>
      <c r="AK72" s="6">
        <f t="shared" si="9"/>
        <v>0.23247389573317306</v>
      </c>
      <c r="AL72" s="12">
        <v>1300</v>
      </c>
      <c r="AM72" s="12">
        <v>1763.0636699602569</v>
      </c>
      <c r="AN72" s="12">
        <f t="shared" si="10"/>
        <v>463.0636699602569</v>
      </c>
      <c r="AO72" s="13">
        <f t="shared" si="11"/>
        <v>0.35620282304635148</v>
      </c>
      <c r="AP72" s="16">
        <v>1300</v>
      </c>
      <c r="AQ72" s="16">
        <v>1608.6652874647741</v>
      </c>
      <c r="AR72" s="16">
        <f t="shared" si="12"/>
        <v>308.66528746477411</v>
      </c>
      <c r="AS72" s="17">
        <f t="shared" si="13"/>
        <v>0.23743483651136471</v>
      </c>
      <c r="AT72" s="20">
        <v>1300</v>
      </c>
      <c r="AU72" s="20">
        <v>1589.842895507812</v>
      </c>
      <c r="AV72" s="20">
        <f t="shared" si="14"/>
        <v>289.84289550781205</v>
      </c>
      <c r="AW72" s="21">
        <f t="shared" si="15"/>
        <v>0.22295607346754773</v>
      </c>
    </row>
    <row r="73" spans="1:49" x14ac:dyDescent="0.25">
      <c r="A73" t="s">
        <v>38</v>
      </c>
      <c r="B73" t="s">
        <v>68</v>
      </c>
      <c r="C73">
        <v>110170</v>
      </c>
      <c r="D73">
        <v>2016</v>
      </c>
      <c r="E73" t="s">
        <v>162</v>
      </c>
      <c r="F73" t="s">
        <v>256</v>
      </c>
      <c r="G73" t="s">
        <v>291</v>
      </c>
      <c r="I73">
        <v>4</v>
      </c>
      <c r="J73" t="s">
        <v>61</v>
      </c>
      <c r="K73">
        <v>4</v>
      </c>
      <c r="L73" t="s">
        <v>44</v>
      </c>
      <c r="M73">
        <v>2.4</v>
      </c>
      <c r="N73" t="s">
        <v>45</v>
      </c>
      <c r="O73" t="s">
        <v>46</v>
      </c>
      <c r="P73">
        <v>4</v>
      </c>
      <c r="Q73" t="s">
        <v>62</v>
      </c>
      <c r="R73" t="s">
        <v>63</v>
      </c>
      <c r="S73" t="s">
        <v>49</v>
      </c>
      <c r="U73" t="s">
        <v>50</v>
      </c>
      <c r="W73" t="s">
        <v>242</v>
      </c>
      <c r="X73" t="s">
        <v>65</v>
      </c>
      <c r="Y73" t="s">
        <v>78</v>
      </c>
      <c r="AA73">
        <v>0</v>
      </c>
      <c r="AB73" t="s">
        <v>79</v>
      </c>
      <c r="AC73" t="s">
        <v>87</v>
      </c>
      <c r="AD73">
        <v>36</v>
      </c>
      <c r="AE73">
        <v>9</v>
      </c>
      <c r="AF73">
        <v>3</v>
      </c>
      <c r="AG73">
        <v>2025</v>
      </c>
      <c r="AH73" s="2">
        <v>5500</v>
      </c>
      <c r="AI73" s="2">
        <v>6719.35791015625</v>
      </c>
      <c r="AJ73" s="2">
        <f t="shared" si="8"/>
        <v>1219.35791015625</v>
      </c>
      <c r="AK73" s="6">
        <f t="shared" si="9"/>
        <v>0.22170143821022728</v>
      </c>
      <c r="AL73" s="12">
        <v>5500</v>
      </c>
      <c r="AM73" s="12">
        <v>6446.9311197779043</v>
      </c>
      <c r="AN73" s="12">
        <f t="shared" si="10"/>
        <v>946.93111977790431</v>
      </c>
      <c r="AO73" s="13">
        <f t="shared" si="11"/>
        <v>0.17216929450507351</v>
      </c>
      <c r="AP73" s="16">
        <v>5500</v>
      </c>
      <c r="AQ73" s="16">
        <v>6021.1867958070679</v>
      </c>
      <c r="AR73" s="16">
        <f t="shared" si="12"/>
        <v>521.18679580706794</v>
      </c>
      <c r="AS73" s="17">
        <f t="shared" si="13"/>
        <v>9.4761235601285077E-2</v>
      </c>
      <c r="AT73" s="20">
        <v>5500</v>
      </c>
      <c r="AU73" s="20">
        <v>6774.0048828125</v>
      </c>
      <c r="AV73" s="20">
        <f t="shared" si="14"/>
        <v>1274.0048828125</v>
      </c>
      <c r="AW73" s="21">
        <f t="shared" si="15"/>
        <v>0.23163725142045455</v>
      </c>
    </row>
    <row r="74" spans="1:49" x14ac:dyDescent="0.25">
      <c r="A74" t="s">
        <v>128</v>
      </c>
      <c r="B74" t="s">
        <v>129</v>
      </c>
      <c r="C74">
        <v>151452</v>
      </c>
      <c r="D74">
        <v>2014</v>
      </c>
      <c r="E74" t="s">
        <v>162</v>
      </c>
      <c r="F74" t="s">
        <v>256</v>
      </c>
      <c r="G74" t="s">
        <v>292</v>
      </c>
      <c r="I74">
        <v>4</v>
      </c>
      <c r="J74" t="s">
        <v>72</v>
      </c>
      <c r="K74">
        <v>4</v>
      </c>
      <c r="L74" t="s">
        <v>44</v>
      </c>
      <c r="M74">
        <v>2.4</v>
      </c>
      <c r="N74" t="s">
        <v>45</v>
      </c>
      <c r="Q74" t="s">
        <v>62</v>
      </c>
      <c r="R74" t="s">
        <v>63</v>
      </c>
      <c r="S74" t="s">
        <v>49</v>
      </c>
      <c r="U74" t="s">
        <v>50</v>
      </c>
      <c r="W74" t="s">
        <v>278</v>
      </c>
      <c r="X74" t="s">
        <v>65</v>
      </c>
      <c r="Y74" t="s">
        <v>78</v>
      </c>
      <c r="AA74">
        <v>0</v>
      </c>
      <c r="AB74" t="s">
        <v>79</v>
      </c>
      <c r="AC74" t="s">
        <v>87</v>
      </c>
      <c r="AD74">
        <v>36</v>
      </c>
      <c r="AE74">
        <v>9</v>
      </c>
      <c r="AF74">
        <v>3</v>
      </c>
      <c r="AG74">
        <v>2025</v>
      </c>
      <c r="AH74" s="2">
        <v>3900</v>
      </c>
      <c r="AI74" s="2">
        <v>2545.142578125</v>
      </c>
      <c r="AJ74" s="2">
        <f t="shared" si="8"/>
        <v>1354.857421875</v>
      </c>
      <c r="AK74" s="6">
        <f t="shared" si="9"/>
        <v>0.34739933894230768</v>
      </c>
      <c r="AL74" s="12">
        <v>3900</v>
      </c>
      <c r="AM74" s="12">
        <v>2744.364152199108</v>
      </c>
      <c r="AN74" s="12">
        <f t="shared" si="10"/>
        <v>1155.635847800892</v>
      </c>
      <c r="AO74" s="13">
        <f t="shared" si="11"/>
        <v>0.29631688405151074</v>
      </c>
      <c r="AP74" s="16">
        <v>3900</v>
      </c>
      <c r="AQ74" s="16">
        <v>2606.6771345850002</v>
      </c>
      <c r="AR74" s="16">
        <f t="shared" si="12"/>
        <v>1293.3228654149998</v>
      </c>
      <c r="AS74" s="17">
        <f t="shared" si="13"/>
        <v>0.33162124754230765</v>
      </c>
      <c r="AT74" s="20">
        <v>3900</v>
      </c>
      <c r="AU74" s="20">
        <v>2540.00830078125</v>
      </c>
      <c r="AV74" s="20">
        <f t="shared" si="14"/>
        <v>1359.99169921875</v>
      </c>
      <c r="AW74" s="21">
        <f t="shared" si="15"/>
        <v>0.34871582031249998</v>
      </c>
    </row>
    <row r="75" spans="1:49" x14ac:dyDescent="0.25">
      <c r="A75" t="s">
        <v>38</v>
      </c>
      <c r="B75" t="s">
        <v>110</v>
      </c>
      <c r="C75">
        <v>283437</v>
      </c>
      <c r="D75">
        <v>2004</v>
      </c>
      <c r="E75" t="s">
        <v>40</v>
      </c>
      <c r="F75" t="s">
        <v>215</v>
      </c>
      <c r="G75" t="s">
        <v>150</v>
      </c>
      <c r="H75" t="s">
        <v>293</v>
      </c>
      <c r="I75">
        <v>8</v>
      </c>
      <c r="J75" t="s">
        <v>135</v>
      </c>
      <c r="K75">
        <v>4</v>
      </c>
      <c r="L75" t="s">
        <v>44</v>
      </c>
      <c r="M75">
        <v>4.7</v>
      </c>
      <c r="N75" t="s">
        <v>73</v>
      </c>
      <c r="Q75" t="s">
        <v>74</v>
      </c>
      <c r="R75" t="s">
        <v>92</v>
      </c>
      <c r="S75" t="s">
        <v>49</v>
      </c>
      <c r="T75">
        <v>240</v>
      </c>
      <c r="U75" t="s">
        <v>50</v>
      </c>
      <c r="V75" t="s">
        <v>76</v>
      </c>
      <c r="W75" t="s">
        <v>294</v>
      </c>
      <c r="X75" t="s">
        <v>94</v>
      </c>
      <c r="Y75" t="s">
        <v>78</v>
      </c>
      <c r="AA75">
        <v>0</v>
      </c>
      <c r="AB75" t="s">
        <v>79</v>
      </c>
      <c r="AC75" t="s">
        <v>95</v>
      </c>
      <c r="AD75">
        <v>36</v>
      </c>
      <c r="AE75">
        <v>9</v>
      </c>
      <c r="AF75">
        <v>3</v>
      </c>
      <c r="AG75">
        <v>2025</v>
      </c>
      <c r="AH75" s="2">
        <v>3000</v>
      </c>
      <c r="AI75" s="2">
        <v>1392.664306640625</v>
      </c>
      <c r="AJ75" s="2">
        <f t="shared" si="8"/>
        <v>1607.335693359375</v>
      </c>
      <c r="AK75" s="6">
        <f t="shared" si="9"/>
        <v>0.53577856445312499</v>
      </c>
      <c r="AL75" s="12">
        <v>3000</v>
      </c>
      <c r="AM75" s="12">
        <v>2125.0426565900598</v>
      </c>
      <c r="AN75" s="12">
        <f t="shared" si="10"/>
        <v>874.95734340994022</v>
      </c>
      <c r="AO75" s="13">
        <f t="shared" si="11"/>
        <v>0.2916524478033134</v>
      </c>
      <c r="AP75" s="16">
        <v>3000</v>
      </c>
      <c r="AQ75" s="16">
        <v>1635.984265388616</v>
      </c>
      <c r="AR75" s="16">
        <f t="shared" si="12"/>
        <v>1364.015734611384</v>
      </c>
      <c r="AS75" s="17">
        <f t="shared" si="13"/>
        <v>0.45467191153712799</v>
      </c>
      <c r="AT75" s="20">
        <v>3000</v>
      </c>
      <c r="AU75" s="20">
        <v>1429.592407226562</v>
      </c>
      <c r="AV75" s="20">
        <f t="shared" si="14"/>
        <v>1570.407592773438</v>
      </c>
      <c r="AW75" s="21">
        <f t="shared" si="15"/>
        <v>0.52346919759114596</v>
      </c>
    </row>
    <row r="76" spans="1:49" x14ac:dyDescent="0.25">
      <c r="A76" t="s">
        <v>38</v>
      </c>
      <c r="B76" t="s">
        <v>110</v>
      </c>
      <c r="C76">
        <v>169280</v>
      </c>
      <c r="D76">
        <v>2018</v>
      </c>
      <c r="E76" t="s">
        <v>146</v>
      </c>
      <c r="F76" t="s">
        <v>147</v>
      </c>
      <c r="I76">
        <v>4</v>
      </c>
      <c r="J76" t="s">
        <v>72</v>
      </c>
      <c r="K76">
        <v>4</v>
      </c>
      <c r="L76" t="s">
        <v>44</v>
      </c>
      <c r="M76">
        <v>2.5</v>
      </c>
      <c r="N76" t="s">
        <v>45</v>
      </c>
      <c r="O76" t="s">
        <v>46</v>
      </c>
      <c r="P76">
        <v>3</v>
      </c>
      <c r="Q76" t="s">
        <v>62</v>
      </c>
      <c r="R76" t="s">
        <v>148</v>
      </c>
      <c r="S76" t="s">
        <v>49</v>
      </c>
      <c r="T76">
        <v>170</v>
      </c>
      <c r="U76" t="s">
        <v>50</v>
      </c>
      <c r="X76" t="s">
        <v>65</v>
      </c>
      <c r="Y76" t="s">
        <v>78</v>
      </c>
      <c r="Z76">
        <v>24800</v>
      </c>
      <c r="AA76">
        <v>0</v>
      </c>
      <c r="AB76" t="s">
        <v>79</v>
      </c>
      <c r="AC76" t="s">
        <v>87</v>
      </c>
      <c r="AD76">
        <v>36</v>
      </c>
      <c r="AE76">
        <v>9</v>
      </c>
      <c r="AF76">
        <v>3</v>
      </c>
      <c r="AG76">
        <v>2025</v>
      </c>
      <c r="AH76" s="2">
        <v>3500</v>
      </c>
      <c r="AI76" s="2">
        <v>2660.707275390625</v>
      </c>
      <c r="AJ76" s="2">
        <f t="shared" si="8"/>
        <v>839.292724609375</v>
      </c>
      <c r="AK76" s="6">
        <f t="shared" si="9"/>
        <v>0.23979792131696429</v>
      </c>
      <c r="AL76" s="12">
        <v>3500</v>
      </c>
      <c r="AM76" s="12">
        <v>3011.7707261347559</v>
      </c>
      <c r="AN76" s="12">
        <f t="shared" si="10"/>
        <v>488.22927386524407</v>
      </c>
      <c r="AO76" s="13">
        <f t="shared" si="11"/>
        <v>0.13949407824721258</v>
      </c>
      <c r="AP76" s="16">
        <v>3500</v>
      </c>
      <c r="AQ76" s="16">
        <v>2869.05021528726</v>
      </c>
      <c r="AR76" s="16">
        <f t="shared" si="12"/>
        <v>630.94978471273998</v>
      </c>
      <c r="AS76" s="17">
        <f t="shared" si="13"/>
        <v>0.18027136706078284</v>
      </c>
      <c r="AT76" s="20">
        <v>3500</v>
      </c>
      <c r="AU76" s="20">
        <v>2649.0107421875</v>
      </c>
      <c r="AV76" s="20">
        <f t="shared" si="14"/>
        <v>850.9892578125</v>
      </c>
      <c r="AW76" s="21">
        <f t="shared" si="15"/>
        <v>0.24313978794642857</v>
      </c>
    </row>
    <row r="77" spans="1:49" x14ac:dyDescent="0.25">
      <c r="A77" t="s">
        <v>38</v>
      </c>
      <c r="B77" t="s">
        <v>110</v>
      </c>
      <c r="C77">
        <v>156450</v>
      </c>
      <c r="D77">
        <v>2017</v>
      </c>
      <c r="E77" t="s">
        <v>58</v>
      </c>
      <c r="F77" t="s">
        <v>295</v>
      </c>
      <c r="G77" t="s">
        <v>240</v>
      </c>
      <c r="I77">
        <v>6</v>
      </c>
      <c r="J77" t="s">
        <v>61</v>
      </c>
      <c r="K77">
        <v>4</v>
      </c>
      <c r="L77" t="s">
        <v>44</v>
      </c>
      <c r="M77">
        <v>3.3</v>
      </c>
      <c r="N77" t="s">
        <v>45</v>
      </c>
      <c r="Q77" t="s">
        <v>62</v>
      </c>
      <c r="R77" t="s">
        <v>225</v>
      </c>
      <c r="S77" t="s">
        <v>49</v>
      </c>
      <c r="T77">
        <v>276</v>
      </c>
      <c r="U77" t="s">
        <v>50</v>
      </c>
      <c r="X77" t="s">
        <v>94</v>
      </c>
      <c r="Y77" t="s">
        <v>66</v>
      </c>
      <c r="Z77">
        <v>28900</v>
      </c>
      <c r="AA77">
        <v>0</v>
      </c>
      <c r="AB77" t="s">
        <v>79</v>
      </c>
      <c r="AC77" t="s">
        <v>225</v>
      </c>
      <c r="AD77">
        <v>36</v>
      </c>
      <c r="AE77">
        <v>9</v>
      </c>
      <c r="AF77">
        <v>3</v>
      </c>
      <c r="AG77">
        <v>2025</v>
      </c>
      <c r="AH77" s="2">
        <v>2900</v>
      </c>
      <c r="AI77" s="2">
        <v>2651.014404296875</v>
      </c>
      <c r="AJ77" s="2">
        <f t="shared" si="8"/>
        <v>248.985595703125</v>
      </c>
      <c r="AK77" s="6">
        <f t="shared" si="9"/>
        <v>8.5857101966594823E-2</v>
      </c>
      <c r="AL77" s="12">
        <v>2900</v>
      </c>
      <c r="AM77" s="12">
        <v>3174.2690224327989</v>
      </c>
      <c r="AN77" s="12">
        <f t="shared" si="10"/>
        <v>274.26902243279892</v>
      </c>
      <c r="AO77" s="13">
        <f t="shared" si="11"/>
        <v>9.457552497682721E-2</v>
      </c>
      <c r="AP77" s="16">
        <v>2900</v>
      </c>
      <c r="AQ77" s="16">
        <v>2558.4007035089398</v>
      </c>
      <c r="AR77" s="16">
        <f t="shared" si="12"/>
        <v>341.59929649106016</v>
      </c>
      <c r="AS77" s="17">
        <f t="shared" si="13"/>
        <v>0.11779286085898626</v>
      </c>
      <c r="AT77" s="20">
        <v>2900</v>
      </c>
      <c r="AU77" s="20">
        <v>2649.0107421875</v>
      </c>
      <c r="AV77" s="20">
        <f t="shared" si="14"/>
        <v>250.9892578125</v>
      </c>
      <c r="AW77" s="21">
        <f t="shared" si="15"/>
        <v>8.6548019935344833E-2</v>
      </c>
    </row>
    <row r="78" spans="1:49" x14ac:dyDescent="0.25">
      <c r="A78" t="s">
        <v>128</v>
      </c>
      <c r="B78" t="s">
        <v>210</v>
      </c>
      <c r="C78">
        <v>187655</v>
      </c>
      <c r="D78">
        <v>2010</v>
      </c>
      <c r="E78" t="s">
        <v>213</v>
      </c>
      <c r="F78" t="s">
        <v>296</v>
      </c>
      <c r="I78">
        <v>6</v>
      </c>
      <c r="J78" t="s">
        <v>61</v>
      </c>
      <c r="K78">
        <v>4</v>
      </c>
      <c r="L78" t="s">
        <v>44</v>
      </c>
      <c r="M78">
        <v>3.7</v>
      </c>
      <c r="N78" t="s">
        <v>44</v>
      </c>
      <c r="O78" t="s">
        <v>46</v>
      </c>
      <c r="Q78" t="s">
        <v>47</v>
      </c>
      <c r="R78" t="s">
        <v>123</v>
      </c>
      <c r="S78" t="s">
        <v>93</v>
      </c>
      <c r="U78" t="s">
        <v>50</v>
      </c>
      <c r="V78" t="s">
        <v>76</v>
      </c>
      <c r="X78" t="s">
        <v>125</v>
      </c>
      <c r="Y78" t="s">
        <v>54</v>
      </c>
      <c r="AA78">
        <v>0</v>
      </c>
      <c r="AB78" t="s">
        <v>79</v>
      </c>
      <c r="AC78" t="s">
        <v>127</v>
      </c>
      <c r="AD78">
        <v>36</v>
      </c>
      <c r="AE78">
        <v>9</v>
      </c>
      <c r="AF78">
        <v>3</v>
      </c>
      <c r="AG78">
        <v>2025</v>
      </c>
      <c r="AH78" s="2">
        <v>1000</v>
      </c>
      <c r="AI78" s="2">
        <v>1549.090209960938</v>
      </c>
      <c r="AJ78" s="2">
        <f t="shared" si="8"/>
        <v>549.09020996093795</v>
      </c>
      <c r="AK78" s="6">
        <f t="shared" si="9"/>
        <v>0.54909020996093794</v>
      </c>
      <c r="AL78" s="12">
        <v>1000</v>
      </c>
      <c r="AM78" s="12">
        <v>1705.679588202061</v>
      </c>
      <c r="AN78" s="12">
        <f t="shared" si="10"/>
        <v>705.67958820206104</v>
      </c>
      <c r="AO78" s="13">
        <f t="shared" si="11"/>
        <v>0.705679588202061</v>
      </c>
      <c r="AP78" s="16">
        <v>1000</v>
      </c>
      <c r="AQ78" s="16">
        <v>1693.3531683444769</v>
      </c>
      <c r="AR78" s="16">
        <f t="shared" si="12"/>
        <v>693.3531683444769</v>
      </c>
      <c r="AS78" s="17">
        <f t="shared" si="13"/>
        <v>0.69335316834447691</v>
      </c>
      <c r="AT78" s="20">
        <v>1000</v>
      </c>
      <c r="AU78" s="20">
        <v>1557.346801757812</v>
      </c>
      <c r="AV78" s="20">
        <f t="shared" si="14"/>
        <v>557.34680175781205</v>
      </c>
      <c r="AW78" s="21">
        <f t="shared" si="15"/>
        <v>0.55734680175781204</v>
      </c>
    </row>
    <row r="79" spans="1:49" x14ac:dyDescent="0.25">
      <c r="A79" t="s">
        <v>38</v>
      </c>
      <c r="B79" t="s">
        <v>96</v>
      </c>
      <c r="C79">
        <v>140985</v>
      </c>
      <c r="D79">
        <v>2015</v>
      </c>
      <c r="E79" t="s">
        <v>40</v>
      </c>
      <c r="F79" t="s">
        <v>297</v>
      </c>
      <c r="H79" t="s">
        <v>298</v>
      </c>
      <c r="I79">
        <v>4</v>
      </c>
      <c r="J79" t="s">
        <v>217</v>
      </c>
      <c r="K79">
        <v>4</v>
      </c>
      <c r="L79" t="s">
        <v>44</v>
      </c>
      <c r="M79">
        <v>2.5</v>
      </c>
      <c r="N79" t="s">
        <v>45</v>
      </c>
      <c r="O79" t="s">
        <v>46</v>
      </c>
      <c r="Q79" t="s">
        <v>47</v>
      </c>
      <c r="R79" t="s">
        <v>123</v>
      </c>
      <c r="S79" t="s">
        <v>49</v>
      </c>
      <c r="T79">
        <v>268</v>
      </c>
      <c r="U79" t="s">
        <v>50</v>
      </c>
      <c r="V79" t="s">
        <v>51</v>
      </c>
      <c r="W79" t="s">
        <v>236</v>
      </c>
      <c r="X79" t="s">
        <v>125</v>
      </c>
      <c r="Y79" t="s">
        <v>78</v>
      </c>
      <c r="AA79">
        <v>0</v>
      </c>
      <c r="AB79" t="s">
        <v>79</v>
      </c>
      <c r="AC79" t="s">
        <v>127</v>
      </c>
      <c r="AD79">
        <v>36</v>
      </c>
      <c r="AE79">
        <v>9</v>
      </c>
      <c r="AF79">
        <v>3</v>
      </c>
      <c r="AG79">
        <v>2025</v>
      </c>
      <c r="AH79" s="2">
        <v>9250</v>
      </c>
      <c r="AI79" s="2">
        <v>5444.35400390625</v>
      </c>
      <c r="AJ79" s="2">
        <f t="shared" si="8"/>
        <v>3805.64599609375</v>
      </c>
      <c r="AK79" s="6">
        <f t="shared" si="9"/>
        <v>0.41142118876689188</v>
      </c>
      <c r="AL79" s="12">
        <v>9250</v>
      </c>
      <c r="AM79" s="12">
        <v>5528.8705989483942</v>
      </c>
      <c r="AN79" s="12">
        <f t="shared" si="10"/>
        <v>3721.1294010516058</v>
      </c>
      <c r="AO79" s="13">
        <f t="shared" si="11"/>
        <v>0.40228425957314656</v>
      </c>
      <c r="AP79" s="16">
        <v>9250</v>
      </c>
      <c r="AQ79" s="16">
        <v>4406.6411933990112</v>
      </c>
      <c r="AR79" s="16">
        <f t="shared" si="12"/>
        <v>4843.3588066009888</v>
      </c>
      <c r="AS79" s="17">
        <f t="shared" si="13"/>
        <v>0.5236063574703772</v>
      </c>
      <c r="AT79" s="20">
        <v>9250</v>
      </c>
      <c r="AU79" s="20">
        <v>5496.30810546875</v>
      </c>
      <c r="AV79" s="20">
        <f t="shared" si="14"/>
        <v>3753.69189453125</v>
      </c>
      <c r="AW79" s="21">
        <f t="shared" si="15"/>
        <v>0.4058045291385135</v>
      </c>
    </row>
    <row r="80" spans="1:49" x14ac:dyDescent="0.25">
      <c r="A80" t="s">
        <v>128</v>
      </c>
      <c r="B80" t="s">
        <v>210</v>
      </c>
      <c r="C80">
        <v>70308</v>
      </c>
      <c r="D80">
        <v>2018</v>
      </c>
      <c r="E80" t="s">
        <v>162</v>
      </c>
      <c r="F80" t="s">
        <v>163</v>
      </c>
      <c r="G80" t="s">
        <v>299</v>
      </c>
      <c r="I80">
        <v>4</v>
      </c>
      <c r="J80" t="s">
        <v>61</v>
      </c>
      <c r="K80">
        <v>4</v>
      </c>
      <c r="L80" t="s">
        <v>44</v>
      </c>
      <c r="M80">
        <v>2.4</v>
      </c>
      <c r="N80" t="s">
        <v>45</v>
      </c>
      <c r="O80" t="s">
        <v>46</v>
      </c>
      <c r="Q80" t="s">
        <v>47</v>
      </c>
      <c r="R80" t="s">
        <v>123</v>
      </c>
      <c r="T80">
        <v>187</v>
      </c>
      <c r="U80" t="s">
        <v>50</v>
      </c>
      <c r="W80" t="s">
        <v>300</v>
      </c>
      <c r="X80" t="s">
        <v>125</v>
      </c>
      <c r="Y80" t="s">
        <v>78</v>
      </c>
      <c r="AA80">
        <v>0</v>
      </c>
      <c r="AB80" t="s">
        <v>79</v>
      </c>
      <c r="AC80" t="s">
        <v>127</v>
      </c>
      <c r="AD80">
        <v>36</v>
      </c>
      <c r="AE80">
        <v>9</v>
      </c>
      <c r="AF80">
        <v>3</v>
      </c>
      <c r="AG80">
        <v>2025</v>
      </c>
      <c r="AH80" s="2">
        <v>800</v>
      </c>
      <c r="AI80" s="2">
        <v>8547.86328125</v>
      </c>
      <c r="AJ80" s="2">
        <f t="shared" si="8"/>
        <v>7747.86328125</v>
      </c>
      <c r="AK80" s="6">
        <f t="shared" si="9"/>
        <v>9.6848291015624994</v>
      </c>
      <c r="AL80" s="12">
        <v>800</v>
      </c>
      <c r="AM80" s="12">
        <v>8789.8926655038977</v>
      </c>
      <c r="AN80" s="12">
        <f t="shared" si="10"/>
        <v>7989.8926655038977</v>
      </c>
      <c r="AO80" s="13">
        <f t="shared" si="11"/>
        <v>9.9873658318798721</v>
      </c>
      <c r="AP80" s="16">
        <v>800</v>
      </c>
      <c r="AQ80" s="16">
        <v>8061.4134132890767</v>
      </c>
      <c r="AR80" s="16">
        <f t="shared" si="12"/>
        <v>7261.4134132890767</v>
      </c>
      <c r="AS80" s="17">
        <f t="shared" si="13"/>
        <v>9.0767667666113461</v>
      </c>
      <c r="AT80" s="20">
        <v>800</v>
      </c>
      <c r="AU80" s="20">
        <v>8779.29296875</v>
      </c>
      <c r="AV80" s="20">
        <f t="shared" si="14"/>
        <v>7979.29296875</v>
      </c>
      <c r="AW80" s="21">
        <f t="shared" si="15"/>
        <v>9.9741162109375008</v>
      </c>
    </row>
    <row r="81" spans="1:49" x14ac:dyDescent="0.25">
      <c r="A81" t="s">
        <v>38</v>
      </c>
      <c r="B81" t="s">
        <v>110</v>
      </c>
      <c r="C81">
        <v>48160</v>
      </c>
      <c r="D81">
        <v>2022</v>
      </c>
      <c r="E81" t="s">
        <v>88</v>
      </c>
      <c r="F81" t="s">
        <v>89</v>
      </c>
      <c r="G81" t="s">
        <v>262</v>
      </c>
      <c r="H81" t="s">
        <v>301</v>
      </c>
      <c r="I81">
        <v>8</v>
      </c>
      <c r="J81" t="s">
        <v>122</v>
      </c>
      <c r="K81">
        <v>4</v>
      </c>
      <c r="L81" t="s">
        <v>44</v>
      </c>
      <c r="M81">
        <v>5.7</v>
      </c>
      <c r="N81" t="s">
        <v>73</v>
      </c>
      <c r="O81" t="s">
        <v>46</v>
      </c>
      <c r="P81">
        <v>4</v>
      </c>
      <c r="Q81" t="s">
        <v>74</v>
      </c>
      <c r="R81" t="s">
        <v>92</v>
      </c>
      <c r="S81" t="s">
        <v>49</v>
      </c>
      <c r="T81">
        <v>395</v>
      </c>
      <c r="U81" t="s">
        <v>50</v>
      </c>
      <c r="V81" t="s">
        <v>76</v>
      </c>
      <c r="X81" t="s">
        <v>94</v>
      </c>
      <c r="Y81" t="s">
        <v>78</v>
      </c>
      <c r="AA81">
        <v>0</v>
      </c>
      <c r="AB81" t="s">
        <v>79</v>
      </c>
      <c r="AC81" t="s">
        <v>95</v>
      </c>
      <c r="AD81">
        <v>36</v>
      </c>
      <c r="AE81">
        <v>9</v>
      </c>
      <c r="AF81">
        <v>3</v>
      </c>
      <c r="AG81">
        <v>2025</v>
      </c>
      <c r="AH81" s="2">
        <v>27250</v>
      </c>
      <c r="AI81" s="2">
        <v>26221.96484375</v>
      </c>
      <c r="AJ81" s="2">
        <f t="shared" si="8"/>
        <v>1028.03515625</v>
      </c>
      <c r="AK81" s="6">
        <f t="shared" si="9"/>
        <v>3.7726060779816516E-2</v>
      </c>
      <c r="AL81" s="12">
        <v>27250</v>
      </c>
      <c r="AM81" s="12">
        <v>28111.344432710041</v>
      </c>
      <c r="AN81" s="12">
        <f t="shared" si="10"/>
        <v>861.34443271004056</v>
      </c>
      <c r="AO81" s="13">
        <f t="shared" si="11"/>
        <v>3.1608970007707911E-2</v>
      </c>
      <c r="AP81" s="16">
        <v>27250</v>
      </c>
      <c r="AQ81" s="16">
        <v>28699.683466779221</v>
      </c>
      <c r="AR81" s="16">
        <f t="shared" si="12"/>
        <v>1449.6834667792209</v>
      </c>
      <c r="AS81" s="17">
        <f t="shared" si="13"/>
        <v>5.3199393276301687E-2</v>
      </c>
      <c r="AT81" s="20">
        <v>27250</v>
      </c>
      <c r="AU81" s="20">
        <v>26447.75390625</v>
      </c>
      <c r="AV81" s="20">
        <f t="shared" si="14"/>
        <v>802.24609375</v>
      </c>
      <c r="AW81" s="21">
        <f t="shared" si="15"/>
        <v>2.944022362385321E-2</v>
      </c>
    </row>
    <row r="82" spans="1:49" x14ac:dyDescent="0.25">
      <c r="A82" t="s">
        <v>38</v>
      </c>
      <c r="B82" t="s">
        <v>96</v>
      </c>
      <c r="C82">
        <v>132237</v>
      </c>
      <c r="D82">
        <v>2020</v>
      </c>
      <c r="E82" t="s">
        <v>146</v>
      </c>
      <c r="F82" t="s">
        <v>302</v>
      </c>
      <c r="G82" t="s">
        <v>303</v>
      </c>
      <c r="H82" t="s">
        <v>272</v>
      </c>
      <c r="I82">
        <v>6</v>
      </c>
      <c r="J82" t="s">
        <v>106</v>
      </c>
      <c r="K82">
        <v>4</v>
      </c>
      <c r="L82" t="s">
        <v>44</v>
      </c>
      <c r="M82">
        <v>3.5</v>
      </c>
      <c r="N82" t="s">
        <v>45</v>
      </c>
      <c r="O82" t="s">
        <v>46</v>
      </c>
      <c r="P82">
        <v>1</v>
      </c>
      <c r="Q82" t="s">
        <v>62</v>
      </c>
      <c r="R82" t="s">
        <v>63</v>
      </c>
      <c r="S82" t="s">
        <v>49</v>
      </c>
      <c r="U82" t="s">
        <v>50</v>
      </c>
      <c r="X82" t="s">
        <v>141</v>
      </c>
      <c r="Y82" t="s">
        <v>78</v>
      </c>
      <c r="AA82">
        <v>0</v>
      </c>
      <c r="AB82" t="s">
        <v>79</v>
      </c>
      <c r="AC82" t="s">
        <v>109</v>
      </c>
      <c r="AD82">
        <v>36</v>
      </c>
      <c r="AE82">
        <v>9</v>
      </c>
      <c r="AF82">
        <v>3</v>
      </c>
      <c r="AG82">
        <v>2025</v>
      </c>
      <c r="AH82" s="2">
        <v>2500</v>
      </c>
      <c r="AI82" s="2">
        <v>4739.5712890625</v>
      </c>
      <c r="AJ82" s="2">
        <f t="shared" si="8"/>
        <v>2239.5712890625</v>
      </c>
      <c r="AK82" s="6">
        <f t="shared" si="9"/>
        <v>0.89582851562499999</v>
      </c>
      <c r="AL82" s="12">
        <v>2500</v>
      </c>
      <c r="AM82" s="12">
        <v>4860.6585397762847</v>
      </c>
      <c r="AN82" s="12">
        <f t="shared" si="10"/>
        <v>2360.6585397762847</v>
      </c>
      <c r="AO82" s="13">
        <f t="shared" si="11"/>
        <v>0.94426341591051388</v>
      </c>
      <c r="AP82" s="16">
        <v>2500</v>
      </c>
      <c r="AQ82" s="16">
        <v>5037.6500961034644</v>
      </c>
      <c r="AR82" s="16">
        <f t="shared" si="12"/>
        <v>2537.6500961034644</v>
      </c>
      <c r="AS82" s="17">
        <f t="shared" si="13"/>
        <v>1.0150600384413857</v>
      </c>
      <c r="AT82" s="20">
        <v>2500</v>
      </c>
      <c r="AU82" s="20">
        <v>4811.86474609375</v>
      </c>
      <c r="AV82" s="20">
        <f t="shared" si="14"/>
        <v>2311.86474609375</v>
      </c>
      <c r="AW82" s="21">
        <f t="shared" si="15"/>
        <v>0.92474589843749999</v>
      </c>
    </row>
    <row r="83" spans="1:49" x14ac:dyDescent="0.25">
      <c r="A83" t="s">
        <v>81</v>
      </c>
      <c r="B83" t="s">
        <v>304</v>
      </c>
      <c r="C83">
        <v>2872</v>
      </c>
      <c r="D83">
        <v>2025</v>
      </c>
      <c r="E83" t="s">
        <v>305</v>
      </c>
      <c r="F83" t="s">
        <v>306</v>
      </c>
      <c r="G83" t="s">
        <v>307</v>
      </c>
      <c r="I83">
        <v>6</v>
      </c>
      <c r="J83" t="s">
        <v>72</v>
      </c>
      <c r="K83">
        <v>4</v>
      </c>
      <c r="L83" t="s">
        <v>44</v>
      </c>
      <c r="M83">
        <v>3</v>
      </c>
      <c r="N83" t="s">
        <v>44</v>
      </c>
      <c r="O83" t="s">
        <v>46</v>
      </c>
      <c r="Q83" t="s">
        <v>62</v>
      </c>
      <c r="R83" t="s">
        <v>63</v>
      </c>
      <c r="S83" t="s">
        <v>85</v>
      </c>
      <c r="U83" t="s">
        <v>50</v>
      </c>
      <c r="V83" t="s">
        <v>76</v>
      </c>
      <c r="W83" t="s">
        <v>308</v>
      </c>
      <c r="X83" t="s">
        <v>94</v>
      </c>
      <c r="Y83" t="s">
        <v>78</v>
      </c>
      <c r="AA83">
        <v>0</v>
      </c>
      <c r="AB83" t="s">
        <v>79</v>
      </c>
      <c r="AC83" t="s">
        <v>87</v>
      </c>
      <c r="AD83">
        <v>36</v>
      </c>
      <c r="AE83">
        <v>9</v>
      </c>
      <c r="AF83">
        <v>3</v>
      </c>
      <c r="AG83">
        <v>2025</v>
      </c>
      <c r="AH83" s="2">
        <v>62600</v>
      </c>
      <c r="AI83" s="2">
        <v>56908.56640625</v>
      </c>
      <c r="AJ83" s="2">
        <f t="shared" si="8"/>
        <v>5691.43359375</v>
      </c>
      <c r="AK83" s="6">
        <f t="shared" si="9"/>
        <v>9.0917469548722041E-2</v>
      </c>
      <c r="AL83" s="12">
        <v>62600</v>
      </c>
      <c r="AM83" s="12">
        <v>37634.19695079323</v>
      </c>
      <c r="AN83" s="12">
        <f t="shared" si="10"/>
        <v>24965.80304920677</v>
      </c>
      <c r="AO83" s="13">
        <f t="shared" si="11"/>
        <v>0.39881474519499632</v>
      </c>
      <c r="AP83" s="16">
        <v>62600</v>
      </c>
      <c r="AQ83" s="16">
        <v>53635.848403177828</v>
      </c>
      <c r="AR83" s="16">
        <f t="shared" si="12"/>
        <v>8964.151596822172</v>
      </c>
      <c r="AS83" s="17">
        <f t="shared" si="13"/>
        <v>0.14319730985338933</v>
      </c>
      <c r="AT83" s="20">
        <v>62600</v>
      </c>
      <c r="AU83" s="20">
        <v>53499.45703125</v>
      </c>
      <c r="AV83" s="20">
        <f t="shared" si="14"/>
        <v>9100.54296875</v>
      </c>
      <c r="AW83" s="21">
        <f t="shared" si="15"/>
        <v>0.14537608576277955</v>
      </c>
    </row>
    <row r="84" spans="1:49" x14ac:dyDescent="0.25">
      <c r="A84" t="s">
        <v>128</v>
      </c>
      <c r="B84" t="s">
        <v>309</v>
      </c>
      <c r="C84">
        <v>169068</v>
      </c>
      <c r="D84">
        <v>2016</v>
      </c>
      <c r="E84" t="s">
        <v>69</v>
      </c>
      <c r="F84" t="s">
        <v>310</v>
      </c>
      <c r="H84" t="s">
        <v>311</v>
      </c>
      <c r="I84">
        <v>8</v>
      </c>
      <c r="J84" t="s">
        <v>135</v>
      </c>
      <c r="K84">
        <v>2</v>
      </c>
      <c r="L84" t="s">
        <v>44</v>
      </c>
      <c r="M84">
        <v>5</v>
      </c>
      <c r="N84" t="s">
        <v>73</v>
      </c>
      <c r="O84" t="s">
        <v>46</v>
      </c>
      <c r="P84">
        <v>1</v>
      </c>
      <c r="Q84" t="s">
        <v>47</v>
      </c>
      <c r="R84" t="s">
        <v>197</v>
      </c>
      <c r="T84">
        <v>435</v>
      </c>
      <c r="U84" t="s">
        <v>50</v>
      </c>
      <c r="V84" t="s">
        <v>76</v>
      </c>
      <c r="X84" t="s">
        <v>125</v>
      </c>
      <c r="Y84" t="s">
        <v>78</v>
      </c>
      <c r="AA84">
        <v>0</v>
      </c>
      <c r="AB84" t="s">
        <v>79</v>
      </c>
      <c r="AC84" t="s">
        <v>197</v>
      </c>
      <c r="AD84">
        <v>36</v>
      </c>
      <c r="AE84">
        <v>9</v>
      </c>
      <c r="AF84">
        <v>3</v>
      </c>
      <c r="AG84">
        <v>2025</v>
      </c>
      <c r="AH84" s="2">
        <v>10900</v>
      </c>
      <c r="AI84" s="2">
        <v>6221.27197265625</v>
      </c>
      <c r="AJ84" s="2">
        <f t="shared" si="8"/>
        <v>4678.72802734375</v>
      </c>
      <c r="AK84" s="6">
        <f t="shared" si="9"/>
        <v>0.42924110342603211</v>
      </c>
      <c r="AL84" s="12">
        <v>10900</v>
      </c>
      <c r="AM84" s="12">
        <v>5118.1180272549764</v>
      </c>
      <c r="AN84" s="12">
        <f t="shared" si="10"/>
        <v>5781.8819727450236</v>
      </c>
      <c r="AO84" s="13">
        <f t="shared" si="11"/>
        <v>0.53044788740780036</v>
      </c>
      <c r="AP84" s="16">
        <v>10900</v>
      </c>
      <c r="AQ84" s="16">
        <v>5386.3934554584939</v>
      </c>
      <c r="AR84" s="16">
        <f t="shared" si="12"/>
        <v>5513.6065445415061</v>
      </c>
      <c r="AS84" s="17">
        <f t="shared" si="13"/>
        <v>0.505835462801973</v>
      </c>
      <c r="AT84" s="20">
        <v>10900</v>
      </c>
      <c r="AU84" s="20">
        <v>6166.958984375</v>
      </c>
      <c r="AV84" s="20">
        <f t="shared" si="14"/>
        <v>4733.041015625</v>
      </c>
      <c r="AW84" s="21">
        <f t="shared" si="15"/>
        <v>0.43422394638761469</v>
      </c>
    </row>
    <row r="85" spans="1:49" x14ac:dyDescent="0.25">
      <c r="A85" t="s">
        <v>38</v>
      </c>
      <c r="B85" t="s">
        <v>96</v>
      </c>
      <c r="C85">
        <v>207026</v>
      </c>
      <c r="D85">
        <v>2016</v>
      </c>
      <c r="E85" t="s">
        <v>88</v>
      </c>
      <c r="F85" t="s">
        <v>312</v>
      </c>
      <c r="G85" t="s">
        <v>176</v>
      </c>
      <c r="H85" t="s">
        <v>313</v>
      </c>
      <c r="I85">
        <v>6</v>
      </c>
      <c r="J85" t="s">
        <v>106</v>
      </c>
      <c r="K85">
        <v>4</v>
      </c>
      <c r="L85" t="s">
        <v>44</v>
      </c>
      <c r="M85">
        <v>6.7</v>
      </c>
      <c r="N85" t="s">
        <v>91</v>
      </c>
      <c r="O85" t="s">
        <v>46</v>
      </c>
      <c r="Q85" t="s">
        <v>74</v>
      </c>
      <c r="R85" t="s">
        <v>92</v>
      </c>
      <c r="S85" t="s">
        <v>93</v>
      </c>
      <c r="U85" t="s">
        <v>229</v>
      </c>
      <c r="X85" t="s">
        <v>230</v>
      </c>
      <c r="Y85" t="s">
        <v>126</v>
      </c>
      <c r="AA85">
        <v>0</v>
      </c>
      <c r="AB85" t="s">
        <v>79</v>
      </c>
      <c r="AC85" t="s">
        <v>95</v>
      </c>
      <c r="AD85">
        <v>36</v>
      </c>
      <c r="AE85">
        <v>9</v>
      </c>
      <c r="AF85">
        <v>3</v>
      </c>
      <c r="AG85">
        <v>2025</v>
      </c>
      <c r="AH85" s="2">
        <v>17400</v>
      </c>
      <c r="AI85" s="2">
        <v>16515.80078125</v>
      </c>
      <c r="AJ85" s="2">
        <f t="shared" si="8"/>
        <v>884.19921875</v>
      </c>
      <c r="AK85" s="6">
        <f t="shared" si="9"/>
        <v>5.0816047054597704E-2</v>
      </c>
      <c r="AL85" s="12">
        <v>17400</v>
      </c>
      <c r="AM85" s="12">
        <v>15085.098279054169</v>
      </c>
      <c r="AN85" s="12">
        <f t="shared" si="10"/>
        <v>2314.9017209458307</v>
      </c>
      <c r="AO85" s="13">
        <f t="shared" si="11"/>
        <v>0.13304032878999028</v>
      </c>
      <c r="AP85" s="16">
        <v>17400</v>
      </c>
      <c r="AQ85" s="16">
        <v>16414.984140780351</v>
      </c>
      <c r="AR85" s="16">
        <f t="shared" si="12"/>
        <v>985.01585921964943</v>
      </c>
      <c r="AS85" s="17">
        <f t="shared" si="13"/>
        <v>5.6610106851703992E-2</v>
      </c>
      <c r="AT85" s="20">
        <v>17400</v>
      </c>
      <c r="AU85" s="20">
        <v>16109.7880859375</v>
      </c>
      <c r="AV85" s="20">
        <f t="shared" si="14"/>
        <v>1290.2119140625</v>
      </c>
      <c r="AW85" s="21">
        <f t="shared" si="15"/>
        <v>7.4150110003591951E-2</v>
      </c>
    </row>
    <row r="86" spans="1:49" x14ac:dyDescent="0.25">
      <c r="A86" t="s">
        <v>81</v>
      </c>
      <c r="B86" t="s">
        <v>186</v>
      </c>
      <c r="C86">
        <v>98561</v>
      </c>
      <c r="D86">
        <v>2021</v>
      </c>
      <c r="E86" t="s">
        <v>69</v>
      </c>
      <c r="F86" t="s">
        <v>250</v>
      </c>
      <c r="H86" t="s">
        <v>224</v>
      </c>
      <c r="I86">
        <v>3</v>
      </c>
      <c r="J86" t="s">
        <v>135</v>
      </c>
      <c r="K86">
        <v>4</v>
      </c>
      <c r="L86" t="s">
        <v>44</v>
      </c>
      <c r="M86">
        <v>1.5</v>
      </c>
      <c r="N86" t="s">
        <v>44</v>
      </c>
      <c r="O86" t="s">
        <v>46</v>
      </c>
      <c r="P86">
        <v>3</v>
      </c>
      <c r="Q86" t="s">
        <v>62</v>
      </c>
      <c r="R86" t="s">
        <v>63</v>
      </c>
      <c r="S86" t="s">
        <v>93</v>
      </c>
      <c r="U86" t="s">
        <v>50</v>
      </c>
      <c r="V86" t="s">
        <v>51</v>
      </c>
      <c r="W86" t="s">
        <v>275</v>
      </c>
      <c r="X86" t="s">
        <v>65</v>
      </c>
      <c r="Y86" t="s">
        <v>78</v>
      </c>
      <c r="AA86">
        <v>0</v>
      </c>
      <c r="AB86" t="s">
        <v>79</v>
      </c>
      <c r="AC86" t="s">
        <v>87</v>
      </c>
      <c r="AD86">
        <v>36</v>
      </c>
      <c r="AE86">
        <v>9</v>
      </c>
      <c r="AF86">
        <v>3</v>
      </c>
      <c r="AG86">
        <v>2025</v>
      </c>
      <c r="AH86" s="2">
        <v>9400</v>
      </c>
      <c r="AI86" s="2">
        <v>10027.728515625</v>
      </c>
      <c r="AJ86" s="2">
        <f t="shared" si="8"/>
        <v>627.728515625</v>
      </c>
      <c r="AK86" s="6">
        <f t="shared" si="9"/>
        <v>6.6779629321808517E-2</v>
      </c>
      <c r="AL86" s="12">
        <v>9400</v>
      </c>
      <c r="AM86" s="12">
        <v>11075.504891554519</v>
      </c>
      <c r="AN86" s="12">
        <f t="shared" si="10"/>
        <v>1675.5048915545194</v>
      </c>
      <c r="AO86" s="13">
        <f t="shared" si="11"/>
        <v>0.1782452012292042</v>
      </c>
      <c r="AP86" s="16">
        <v>9400</v>
      </c>
      <c r="AQ86" s="16">
        <v>9527.7938951169454</v>
      </c>
      <c r="AR86" s="16">
        <f t="shared" si="12"/>
        <v>127.79389511694535</v>
      </c>
      <c r="AS86" s="17">
        <f t="shared" si="13"/>
        <v>1.3595095225206952E-2</v>
      </c>
      <c r="AT86" s="20">
        <v>9400</v>
      </c>
      <c r="AU86" s="20">
        <v>10424.314453125</v>
      </c>
      <c r="AV86" s="20">
        <f t="shared" si="14"/>
        <v>1024.314453125</v>
      </c>
      <c r="AW86" s="21">
        <f t="shared" si="15"/>
        <v>0.10896962267287234</v>
      </c>
    </row>
    <row r="87" spans="1:49" x14ac:dyDescent="0.25">
      <c r="A87" t="s">
        <v>38</v>
      </c>
      <c r="B87" t="s">
        <v>96</v>
      </c>
      <c r="C87">
        <v>107016</v>
      </c>
      <c r="D87">
        <v>2014</v>
      </c>
      <c r="E87" t="s">
        <v>40</v>
      </c>
      <c r="F87" t="s">
        <v>201</v>
      </c>
      <c r="G87" t="s">
        <v>202</v>
      </c>
      <c r="H87" t="s">
        <v>203</v>
      </c>
      <c r="I87">
        <v>4</v>
      </c>
      <c r="J87" t="s">
        <v>135</v>
      </c>
      <c r="K87">
        <v>4</v>
      </c>
      <c r="L87" t="s">
        <v>44</v>
      </c>
      <c r="M87">
        <v>1.8</v>
      </c>
      <c r="N87" t="s">
        <v>45</v>
      </c>
      <c r="O87" t="s">
        <v>46</v>
      </c>
      <c r="Q87" t="s">
        <v>47</v>
      </c>
      <c r="R87" t="s">
        <v>123</v>
      </c>
      <c r="S87" t="s">
        <v>49</v>
      </c>
      <c r="T87">
        <v>132</v>
      </c>
      <c r="U87" t="s">
        <v>50</v>
      </c>
      <c r="V87" t="s">
        <v>51</v>
      </c>
      <c r="W87" t="s">
        <v>204</v>
      </c>
      <c r="X87" t="s">
        <v>125</v>
      </c>
      <c r="Y87" t="s">
        <v>103</v>
      </c>
      <c r="AA87">
        <v>0</v>
      </c>
      <c r="AB87" t="s">
        <v>79</v>
      </c>
      <c r="AC87" t="s">
        <v>127</v>
      </c>
      <c r="AD87">
        <v>36</v>
      </c>
      <c r="AE87">
        <v>9</v>
      </c>
      <c r="AF87">
        <v>3</v>
      </c>
      <c r="AG87">
        <v>2025</v>
      </c>
      <c r="AH87" s="2">
        <v>9250</v>
      </c>
      <c r="AI87" s="2">
        <v>4734.23046875</v>
      </c>
      <c r="AJ87" s="2">
        <f t="shared" si="8"/>
        <v>4515.76953125</v>
      </c>
      <c r="AK87" s="6">
        <f t="shared" si="9"/>
        <v>0.48819130067567568</v>
      </c>
      <c r="AL87" s="12">
        <v>9250</v>
      </c>
      <c r="AM87" s="12">
        <v>5213.6089427037168</v>
      </c>
      <c r="AN87" s="12">
        <f t="shared" si="10"/>
        <v>4036.3910572962832</v>
      </c>
      <c r="AO87" s="13">
        <f t="shared" si="11"/>
        <v>0.43636660078878736</v>
      </c>
      <c r="AP87" s="16">
        <v>9250</v>
      </c>
      <c r="AQ87" s="16">
        <v>4850.9839200051047</v>
      </c>
      <c r="AR87" s="16">
        <f t="shared" si="12"/>
        <v>4399.0160799948953</v>
      </c>
      <c r="AS87" s="17">
        <f t="shared" si="13"/>
        <v>0.47556930594539409</v>
      </c>
      <c r="AT87" s="20">
        <v>9250</v>
      </c>
      <c r="AU87" s="20">
        <v>4835.47314453125</v>
      </c>
      <c r="AV87" s="20">
        <f t="shared" si="14"/>
        <v>4414.52685546875</v>
      </c>
      <c r="AW87" s="21">
        <f t="shared" si="15"/>
        <v>0.47724614653716219</v>
      </c>
    </row>
    <row r="88" spans="1:49" x14ac:dyDescent="0.25">
      <c r="A88" t="s">
        <v>128</v>
      </c>
      <c r="B88" t="s">
        <v>129</v>
      </c>
      <c r="C88">
        <v>142994</v>
      </c>
      <c r="D88">
        <v>2011</v>
      </c>
      <c r="E88" t="s">
        <v>174</v>
      </c>
      <c r="F88" t="s">
        <v>314</v>
      </c>
      <c r="G88" t="s">
        <v>315</v>
      </c>
      <c r="H88" t="s">
        <v>89</v>
      </c>
      <c r="I88">
        <v>8</v>
      </c>
      <c r="J88" t="s">
        <v>72</v>
      </c>
      <c r="K88">
        <v>4</v>
      </c>
      <c r="L88" t="s">
        <v>44</v>
      </c>
      <c r="M88">
        <v>5.3</v>
      </c>
      <c r="N88" t="s">
        <v>91</v>
      </c>
      <c r="Q88" t="s">
        <v>74</v>
      </c>
      <c r="R88" t="s">
        <v>92</v>
      </c>
      <c r="S88" t="s">
        <v>93</v>
      </c>
      <c r="U88" t="s">
        <v>180</v>
      </c>
      <c r="V88" t="s">
        <v>76</v>
      </c>
      <c r="W88" t="s">
        <v>316</v>
      </c>
      <c r="X88" t="s">
        <v>94</v>
      </c>
      <c r="Y88" t="s">
        <v>126</v>
      </c>
      <c r="AA88">
        <v>0</v>
      </c>
      <c r="AB88" t="s">
        <v>79</v>
      </c>
      <c r="AC88" t="s">
        <v>95</v>
      </c>
      <c r="AD88">
        <v>36</v>
      </c>
      <c r="AE88">
        <v>9</v>
      </c>
      <c r="AF88">
        <v>3</v>
      </c>
      <c r="AG88">
        <v>2025</v>
      </c>
      <c r="AH88" s="2">
        <v>5100</v>
      </c>
      <c r="AI88" s="2">
        <v>7128.279296875</v>
      </c>
      <c r="AJ88" s="2">
        <f t="shared" si="8"/>
        <v>2028.279296875</v>
      </c>
      <c r="AK88" s="6">
        <f t="shared" si="9"/>
        <v>0.39770182291666667</v>
      </c>
      <c r="AL88" s="12">
        <v>5100</v>
      </c>
      <c r="AM88" s="12">
        <v>6859.0096040009357</v>
      </c>
      <c r="AN88" s="12">
        <f t="shared" si="10"/>
        <v>1759.0096040009357</v>
      </c>
      <c r="AO88" s="13">
        <f t="shared" si="11"/>
        <v>0.34490384392175211</v>
      </c>
      <c r="AP88" s="16">
        <v>5100</v>
      </c>
      <c r="AQ88" s="16">
        <v>6385.6564724675263</v>
      </c>
      <c r="AR88" s="16">
        <f t="shared" si="12"/>
        <v>1285.6564724675263</v>
      </c>
      <c r="AS88" s="17">
        <f t="shared" si="13"/>
        <v>0.25208950440539735</v>
      </c>
      <c r="AT88" s="20">
        <v>5100</v>
      </c>
      <c r="AU88" s="20">
        <v>7093.81689453125</v>
      </c>
      <c r="AV88" s="20">
        <f t="shared" si="14"/>
        <v>1993.81689453125</v>
      </c>
      <c r="AW88" s="21">
        <f t="shared" si="15"/>
        <v>0.3909444891237745</v>
      </c>
    </row>
    <row r="89" spans="1:49" x14ac:dyDescent="0.25">
      <c r="A89" t="s">
        <v>38</v>
      </c>
      <c r="B89" t="s">
        <v>68</v>
      </c>
      <c r="C89">
        <v>98426</v>
      </c>
      <c r="D89">
        <v>2018</v>
      </c>
      <c r="E89" t="s">
        <v>317</v>
      </c>
      <c r="F89" t="s">
        <v>318</v>
      </c>
      <c r="G89" t="s">
        <v>319</v>
      </c>
      <c r="H89" t="s">
        <v>320</v>
      </c>
      <c r="I89">
        <v>4</v>
      </c>
      <c r="J89" t="s">
        <v>43</v>
      </c>
      <c r="K89">
        <v>4</v>
      </c>
      <c r="L89" t="s">
        <v>44</v>
      </c>
      <c r="M89">
        <v>2</v>
      </c>
      <c r="N89" t="s">
        <v>44</v>
      </c>
      <c r="O89" t="s">
        <v>46</v>
      </c>
      <c r="P89">
        <v>4</v>
      </c>
      <c r="Q89" t="s">
        <v>62</v>
      </c>
      <c r="R89" t="s">
        <v>63</v>
      </c>
      <c r="S89" t="s">
        <v>85</v>
      </c>
      <c r="T89">
        <v>316</v>
      </c>
      <c r="U89" t="s">
        <v>50</v>
      </c>
      <c r="W89" t="s">
        <v>321</v>
      </c>
      <c r="X89" t="s">
        <v>94</v>
      </c>
      <c r="Y89" t="s">
        <v>322</v>
      </c>
      <c r="Z89">
        <v>46900</v>
      </c>
      <c r="AA89">
        <v>0</v>
      </c>
      <c r="AB89" t="s">
        <v>79</v>
      </c>
      <c r="AC89" t="s">
        <v>109</v>
      </c>
      <c r="AD89">
        <v>36</v>
      </c>
      <c r="AE89">
        <v>9</v>
      </c>
      <c r="AF89">
        <v>3</v>
      </c>
      <c r="AG89">
        <v>2025</v>
      </c>
      <c r="AH89" s="2">
        <v>13500</v>
      </c>
      <c r="AI89" s="2">
        <v>11421.2880859375</v>
      </c>
      <c r="AJ89" s="2">
        <f t="shared" si="8"/>
        <v>2078.7119140625</v>
      </c>
      <c r="AK89" s="6">
        <f t="shared" si="9"/>
        <v>0.15397866030092591</v>
      </c>
      <c r="AL89" s="12">
        <v>13500</v>
      </c>
      <c r="AM89" s="12">
        <v>14039.126974848879</v>
      </c>
      <c r="AN89" s="12">
        <f t="shared" si="10"/>
        <v>539.1269748488794</v>
      </c>
      <c r="AO89" s="13">
        <f t="shared" si="11"/>
        <v>3.9935331470287362E-2</v>
      </c>
      <c r="AP89" s="16">
        <v>13500</v>
      </c>
      <c r="AQ89" s="16">
        <v>13567.72028728638</v>
      </c>
      <c r="AR89" s="16">
        <f t="shared" si="12"/>
        <v>67.720287286379971</v>
      </c>
      <c r="AS89" s="17">
        <f t="shared" si="13"/>
        <v>5.0163175767688872E-3</v>
      </c>
      <c r="AT89" s="20">
        <v>13500</v>
      </c>
      <c r="AU89" s="20">
        <v>12052.44921875</v>
      </c>
      <c r="AV89" s="20">
        <f t="shared" si="14"/>
        <v>1447.55078125</v>
      </c>
      <c r="AW89" s="21">
        <f t="shared" si="15"/>
        <v>0.10722598379629629</v>
      </c>
    </row>
    <row r="90" spans="1:49" x14ac:dyDescent="0.25">
      <c r="A90" t="s">
        <v>38</v>
      </c>
      <c r="B90" t="s">
        <v>68</v>
      </c>
      <c r="C90">
        <v>78609</v>
      </c>
      <c r="D90">
        <v>2018</v>
      </c>
      <c r="E90" t="s">
        <v>69</v>
      </c>
      <c r="F90" t="s">
        <v>250</v>
      </c>
      <c r="H90" t="s">
        <v>190</v>
      </c>
      <c r="I90">
        <v>4</v>
      </c>
      <c r="J90" t="s">
        <v>135</v>
      </c>
      <c r="K90">
        <v>4</v>
      </c>
      <c r="L90" t="s">
        <v>44</v>
      </c>
      <c r="M90">
        <v>2.5</v>
      </c>
      <c r="N90" t="s">
        <v>45</v>
      </c>
      <c r="O90" t="s">
        <v>46</v>
      </c>
      <c r="P90">
        <v>5</v>
      </c>
      <c r="Q90" t="s">
        <v>62</v>
      </c>
      <c r="R90" t="s">
        <v>63</v>
      </c>
      <c r="S90" t="s">
        <v>49</v>
      </c>
      <c r="T90">
        <v>171</v>
      </c>
      <c r="U90" t="s">
        <v>50</v>
      </c>
      <c r="V90" t="s">
        <v>51</v>
      </c>
      <c r="W90" t="s">
        <v>323</v>
      </c>
      <c r="X90" t="s">
        <v>65</v>
      </c>
      <c r="Y90" t="s">
        <v>78</v>
      </c>
      <c r="Z90">
        <v>23940</v>
      </c>
      <c r="AA90">
        <v>0</v>
      </c>
      <c r="AB90" t="s">
        <v>79</v>
      </c>
      <c r="AC90" t="s">
        <v>87</v>
      </c>
      <c r="AD90">
        <v>36</v>
      </c>
      <c r="AE90">
        <v>9</v>
      </c>
      <c r="AF90">
        <v>3</v>
      </c>
      <c r="AG90">
        <v>2025</v>
      </c>
      <c r="AH90" s="2">
        <v>7000</v>
      </c>
      <c r="AI90" s="2">
        <v>8350.5771484375</v>
      </c>
      <c r="AJ90" s="2">
        <f t="shared" si="8"/>
        <v>1350.5771484375</v>
      </c>
      <c r="AK90" s="6">
        <f t="shared" si="9"/>
        <v>0.19293959263392857</v>
      </c>
      <c r="AL90" s="12">
        <v>7000</v>
      </c>
      <c r="AM90" s="12">
        <v>9113.3838382106496</v>
      </c>
      <c r="AN90" s="12">
        <f t="shared" si="10"/>
        <v>2113.3838382106496</v>
      </c>
      <c r="AO90" s="13">
        <f t="shared" si="11"/>
        <v>0.30191197688723564</v>
      </c>
      <c r="AP90" s="16">
        <v>7000</v>
      </c>
      <c r="AQ90" s="16">
        <v>8658.3608270330242</v>
      </c>
      <c r="AR90" s="16">
        <f t="shared" si="12"/>
        <v>1658.3608270330242</v>
      </c>
      <c r="AS90" s="17">
        <f t="shared" si="13"/>
        <v>0.2369086895761463</v>
      </c>
      <c r="AT90" s="20">
        <v>7000</v>
      </c>
      <c r="AU90" s="20">
        <v>8555.28515625</v>
      </c>
      <c r="AV90" s="20">
        <f t="shared" si="14"/>
        <v>1555.28515625</v>
      </c>
      <c r="AW90" s="21">
        <f t="shared" si="15"/>
        <v>0.22218359374999999</v>
      </c>
    </row>
    <row r="91" spans="1:49" x14ac:dyDescent="0.25">
      <c r="A91" t="s">
        <v>38</v>
      </c>
      <c r="B91" t="s">
        <v>68</v>
      </c>
      <c r="C91">
        <v>25520</v>
      </c>
      <c r="D91">
        <v>2023</v>
      </c>
      <c r="E91" t="s">
        <v>119</v>
      </c>
      <c r="F91" t="s">
        <v>138</v>
      </c>
      <c r="G91" t="s">
        <v>324</v>
      </c>
      <c r="I91">
        <v>4</v>
      </c>
      <c r="J91" t="s">
        <v>61</v>
      </c>
      <c r="K91">
        <v>4</v>
      </c>
      <c r="L91" t="s">
        <v>44</v>
      </c>
      <c r="M91">
        <v>2</v>
      </c>
      <c r="N91" t="s">
        <v>45</v>
      </c>
      <c r="O91" t="s">
        <v>46</v>
      </c>
      <c r="Q91" t="s">
        <v>62</v>
      </c>
      <c r="R91" t="s">
        <v>63</v>
      </c>
      <c r="T91">
        <v>235</v>
      </c>
      <c r="U91" t="s">
        <v>50</v>
      </c>
      <c r="W91" t="s">
        <v>325</v>
      </c>
      <c r="X91" t="s">
        <v>141</v>
      </c>
      <c r="Y91" t="s">
        <v>78</v>
      </c>
      <c r="AA91">
        <v>0</v>
      </c>
      <c r="AB91" t="s">
        <v>79</v>
      </c>
      <c r="AC91" t="s">
        <v>87</v>
      </c>
      <c r="AD91">
        <v>36</v>
      </c>
      <c r="AE91">
        <v>9</v>
      </c>
      <c r="AF91">
        <v>3</v>
      </c>
      <c r="AG91">
        <v>2025</v>
      </c>
      <c r="AH91" s="2">
        <v>25500</v>
      </c>
      <c r="AI91" s="2">
        <v>22928.12109375</v>
      </c>
      <c r="AJ91" s="2">
        <f t="shared" si="8"/>
        <v>2571.87890625</v>
      </c>
      <c r="AK91" s="6">
        <f t="shared" si="9"/>
        <v>0.10085799632352942</v>
      </c>
      <c r="AL91" s="12">
        <v>25500</v>
      </c>
      <c r="AM91" s="12">
        <v>19036.38046556578</v>
      </c>
      <c r="AN91" s="12">
        <f t="shared" si="10"/>
        <v>6463.6195344342195</v>
      </c>
      <c r="AO91" s="13">
        <f t="shared" si="11"/>
        <v>0.25347527586016549</v>
      </c>
      <c r="AP91" s="16">
        <v>25500</v>
      </c>
      <c r="AQ91" s="16">
        <v>23967.711302340529</v>
      </c>
      <c r="AR91" s="16">
        <f t="shared" si="12"/>
        <v>1532.2886976594709</v>
      </c>
      <c r="AS91" s="17">
        <f t="shared" si="13"/>
        <v>6.0089752849391019E-2</v>
      </c>
      <c r="AT91" s="20">
        <v>25500</v>
      </c>
      <c r="AU91" s="20">
        <v>22348.04296875</v>
      </c>
      <c r="AV91" s="20">
        <f t="shared" si="14"/>
        <v>3151.95703125</v>
      </c>
      <c r="AW91" s="21">
        <f t="shared" si="15"/>
        <v>0.12360615808823529</v>
      </c>
    </row>
    <row r="92" spans="1:49" x14ac:dyDescent="0.25">
      <c r="A92" t="s">
        <v>38</v>
      </c>
      <c r="B92" t="s">
        <v>68</v>
      </c>
      <c r="C92">
        <v>105911</v>
      </c>
      <c r="D92">
        <v>2015</v>
      </c>
      <c r="E92" t="s">
        <v>263</v>
      </c>
      <c r="F92" t="s">
        <v>264</v>
      </c>
      <c r="G92" t="s">
        <v>326</v>
      </c>
      <c r="I92">
        <v>4</v>
      </c>
      <c r="J92" t="s">
        <v>135</v>
      </c>
      <c r="K92">
        <v>4</v>
      </c>
      <c r="L92" t="s">
        <v>44</v>
      </c>
      <c r="M92">
        <v>2.5</v>
      </c>
      <c r="N92" t="s">
        <v>45</v>
      </c>
      <c r="O92" t="s">
        <v>46</v>
      </c>
      <c r="P92">
        <v>4</v>
      </c>
      <c r="Q92" t="s">
        <v>62</v>
      </c>
      <c r="R92" t="s">
        <v>63</v>
      </c>
      <c r="S92" t="s">
        <v>49</v>
      </c>
      <c r="U92" t="s">
        <v>50</v>
      </c>
      <c r="V92" t="s">
        <v>51</v>
      </c>
      <c r="W92" t="s">
        <v>266</v>
      </c>
      <c r="X92" t="s">
        <v>65</v>
      </c>
      <c r="Y92" t="s">
        <v>54</v>
      </c>
      <c r="AA92">
        <v>0</v>
      </c>
      <c r="AB92" t="s">
        <v>79</v>
      </c>
      <c r="AC92" t="s">
        <v>87</v>
      </c>
      <c r="AD92">
        <v>36</v>
      </c>
      <c r="AE92">
        <v>9</v>
      </c>
      <c r="AF92">
        <v>3</v>
      </c>
      <c r="AG92">
        <v>2025</v>
      </c>
      <c r="AH92" s="2">
        <v>7600</v>
      </c>
      <c r="AI92" s="2">
        <v>9215.888671875</v>
      </c>
      <c r="AJ92" s="2">
        <f t="shared" si="8"/>
        <v>1615.888671875</v>
      </c>
      <c r="AK92" s="6">
        <f t="shared" si="9"/>
        <v>0.21261693050986843</v>
      </c>
      <c r="AL92" s="12">
        <v>7600</v>
      </c>
      <c r="AM92" s="12">
        <v>6606.1746559111534</v>
      </c>
      <c r="AN92" s="12">
        <f t="shared" si="10"/>
        <v>993.82534408884658</v>
      </c>
      <c r="AO92" s="13">
        <f t="shared" si="11"/>
        <v>0.13076649264326928</v>
      </c>
      <c r="AP92" s="16">
        <v>7600</v>
      </c>
      <c r="AQ92" s="16">
        <v>6807.2378897605149</v>
      </c>
      <c r="AR92" s="16">
        <f t="shared" si="12"/>
        <v>792.76211023948508</v>
      </c>
      <c r="AS92" s="17">
        <f t="shared" si="13"/>
        <v>0.10431080397887961</v>
      </c>
      <c r="AT92" s="20">
        <v>7600</v>
      </c>
      <c r="AU92" s="20">
        <v>8973.0537109375</v>
      </c>
      <c r="AV92" s="20">
        <f t="shared" si="14"/>
        <v>1373.0537109375</v>
      </c>
      <c r="AW92" s="21">
        <f t="shared" si="15"/>
        <v>0.18066496196546053</v>
      </c>
    </row>
    <row r="93" spans="1:49" x14ac:dyDescent="0.25">
      <c r="A93" t="s">
        <v>38</v>
      </c>
      <c r="B93" t="s">
        <v>39</v>
      </c>
      <c r="C93">
        <v>121367</v>
      </c>
      <c r="D93">
        <v>2018</v>
      </c>
      <c r="E93" t="s">
        <v>132</v>
      </c>
      <c r="F93" t="s">
        <v>327</v>
      </c>
      <c r="H93" t="s">
        <v>328</v>
      </c>
      <c r="I93">
        <v>4</v>
      </c>
      <c r="J93" t="s">
        <v>72</v>
      </c>
      <c r="K93">
        <v>4</v>
      </c>
      <c r="L93" t="s">
        <v>44</v>
      </c>
      <c r="M93">
        <v>2</v>
      </c>
      <c r="N93" t="s">
        <v>45</v>
      </c>
      <c r="O93" t="s">
        <v>46</v>
      </c>
      <c r="Q93" t="s">
        <v>47</v>
      </c>
      <c r="R93" t="s">
        <v>123</v>
      </c>
      <c r="T93">
        <v>208</v>
      </c>
      <c r="U93" t="s">
        <v>50</v>
      </c>
      <c r="V93" t="s">
        <v>51</v>
      </c>
      <c r="W93" t="s">
        <v>329</v>
      </c>
      <c r="X93" t="s">
        <v>125</v>
      </c>
      <c r="Y93" t="s">
        <v>330</v>
      </c>
      <c r="Z93">
        <v>32700</v>
      </c>
      <c r="AA93">
        <v>0</v>
      </c>
      <c r="AB93" t="s">
        <v>79</v>
      </c>
      <c r="AC93" t="s">
        <v>127</v>
      </c>
      <c r="AD93">
        <v>36</v>
      </c>
      <c r="AE93">
        <v>9</v>
      </c>
      <c r="AF93">
        <v>3</v>
      </c>
      <c r="AG93">
        <v>2025</v>
      </c>
      <c r="AH93" s="2">
        <v>8500</v>
      </c>
      <c r="AI93" s="2">
        <v>6994.03466796875</v>
      </c>
      <c r="AJ93" s="2">
        <f t="shared" si="8"/>
        <v>1505.96533203125</v>
      </c>
      <c r="AK93" s="6">
        <f t="shared" si="9"/>
        <v>0.17717239200367646</v>
      </c>
      <c r="AL93" s="12">
        <v>8500</v>
      </c>
      <c r="AM93" s="12">
        <v>5966.671256891329</v>
      </c>
      <c r="AN93" s="12">
        <f t="shared" si="10"/>
        <v>2533.328743108671</v>
      </c>
      <c r="AO93" s="13">
        <f t="shared" si="11"/>
        <v>0.29803867565984365</v>
      </c>
      <c r="AP93" s="16">
        <v>8500</v>
      </c>
      <c r="AQ93" s="16">
        <v>6835.846381925372</v>
      </c>
      <c r="AR93" s="16">
        <f t="shared" si="12"/>
        <v>1664.153618074628</v>
      </c>
      <c r="AS93" s="17">
        <f t="shared" si="13"/>
        <v>0.19578277859701507</v>
      </c>
      <c r="AT93" s="20">
        <v>8500</v>
      </c>
      <c r="AU93" s="20">
        <v>6892.669921875</v>
      </c>
      <c r="AV93" s="20">
        <f t="shared" si="14"/>
        <v>1607.330078125</v>
      </c>
      <c r="AW93" s="21">
        <f t="shared" si="15"/>
        <v>0.18909765625</v>
      </c>
    </row>
    <row r="94" spans="1:49" x14ac:dyDescent="0.25">
      <c r="A94" t="s">
        <v>38</v>
      </c>
      <c r="B94" t="s">
        <v>96</v>
      </c>
      <c r="C94">
        <v>13606</v>
      </c>
      <c r="D94">
        <v>2024</v>
      </c>
      <c r="E94" t="s">
        <v>69</v>
      </c>
      <c r="F94" t="s">
        <v>331</v>
      </c>
      <c r="H94" t="s">
        <v>332</v>
      </c>
      <c r="I94">
        <v>3</v>
      </c>
      <c r="J94" t="s">
        <v>135</v>
      </c>
      <c r="K94">
        <v>4</v>
      </c>
      <c r="L94" t="s">
        <v>44</v>
      </c>
      <c r="M94">
        <v>1.5</v>
      </c>
      <c r="N94" t="s">
        <v>91</v>
      </c>
      <c r="O94" t="s">
        <v>46</v>
      </c>
      <c r="P94">
        <v>4</v>
      </c>
      <c r="Q94" t="s">
        <v>62</v>
      </c>
      <c r="R94" t="s">
        <v>63</v>
      </c>
      <c r="S94" t="s">
        <v>93</v>
      </c>
      <c r="U94" t="s">
        <v>50</v>
      </c>
      <c r="V94" t="s">
        <v>51</v>
      </c>
      <c r="W94" t="s">
        <v>333</v>
      </c>
      <c r="X94" t="s">
        <v>65</v>
      </c>
      <c r="Y94" t="s">
        <v>126</v>
      </c>
      <c r="AA94">
        <v>0</v>
      </c>
      <c r="AB94" t="s">
        <v>79</v>
      </c>
      <c r="AC94" t="s">
        <v>87</v>
      </c>
      <c r="AD94">
        <v>36</v>
      </c>
      <c r="AE94">
        <v>9</v>
      </c>
      <c r="AF94">
        <v>3</v>
      </c>
      <c r="AG94">
        <v>2025</v>
      </c>
      <c r="AH94" s="2">
        <v>24400</v>
      </c>
      <c r="AI94" s="2">
        <v>24213.259765625</v>
      </c>
      <c r="AJ94" s="2">
        <f t="shared" si="8"/>
        <v>186.740234375</v>
      </c>
      <c r="AK94" s="6">
        <f t="shared" si="9"/>
        <v>7.6532882940573768E-3</v>
      </c>
      <c r="AL94" s="12">
        <v>24400</v>
      </c>
      <c r="AM94" s="12">
        <v>23912.061019456731</v>
      </c>
      <c r="AN94" s="12">
        <f t="shared" si="10"/>
        <v>487.93898054326928</v>
      </c>
      <c r="AO94" s="13">
        <f t="shared" si="11"/>
        <v>1.9997499202593003E-2</v>
      </c>
      <c r="AP94" s="16">
        <v>24400</v>
      </c>
      <c r="AQ94" s="16">
        <v>23124.81557018841</v>
      </c>
      <c r="AR94" s="16">
        <f t="shared" si="12"/>
        <v>1275.1844298115902</v>
      </c>
      <c r="AS94" s="17">
        <f t="shared" si="13"/>
        <v>5.22616569594914E-2</v>
      </c>
      <c r="AT94" s="20">
        <v>24400</v>
      </c>
      <c r="AU94" s="20">
        <v>23933.05078125</v>
      </c>
      <c r="AV94" s="20">
        <f t="shared" si="14"/>
        <v>466.94921875</v>
      </c>
      <c r="AW94" s="21">
        <f t="shared" si="15"/>
        <v>1.913726306352459E-2</v>
      </c>
    </row>
    <row r="95" spans="1:49" x14ac:dyDescent="0.25">
      <c r="A95" t="s">
        <v>38</v>
      </c>
      <c r="B95" t="s">
        <v>96</v>
      </c>
      <c r="C95">
        <v>244837</v>
      </c>
      <c r="D95">
        <v>2013</v>
      </c>
      <c r="E95" t="s">
        <v>146</v>
      </c>
      <c r="F95" t="s">
        <v>334</v>
      </c>
      <c r="I95">
        <v>4</v>
      </c>
      <c r="J95" t="s">
        <v>135</v>
      </c>
      <c r="K95">
        <v>4</v>
      </c>
      <c r="L95" t="s">
        <v>44</v>
      </c>
      <c r="M95">
        <v>2.5</v>
      </c>
      <c r="N95" t="s">
        <v>45</v>
      </c>
      <c r="O95" t="s">
        <v>46</v>
      </c>
      <c r="Q95" t="s">
        <v>47</v>
      </c>
      <c r="R95" t="s">
        <v>123</v>
      </c>
      <c r="S95" t="s">
        <v>49</v>
      </c>
      <c r="U95" t="s">
        <v>50</v>
      </c>
      <c r="X95" t="s">
        <v>125</v>
      </c>
      <c r="Y95" t="s">
        <v>78</v>
      </c>
      <c r="AA95">
        <v>0</v>
      </c>
      <c r="AB95" t="s">
        <v>79</v>
      </c>
      <c r="AC95" t="s">
        <v>127</v>
      </c>
      <c r="AD95">
        <v>36</v>
      </c>
      <c r="AE95">
        <v>9</v>
      </c>
      <c r="AF95">
        <v>3</v>
      </c>
      <c r="AG95">
        <v>2025</v>
      </c>
      <c r="AH95" s="2">
        <v>700</v>
      </c>
      <c r="AI95" s="2">
        <v>1136.265258789062</v>
      </c>
      <c r="AJ95" s="2">
        <f t="shared" si="8"/>
        <v>436.26525878906205</v>
      </c>
      <c r="AK95" s="6">
        <f t="shared" si="9"/>
        <v>0.62323608398437436</v>
      </c>
      <c r="AL95" s="12">
        <v>700</v>
      </c>
      <c r="AM95" s="12">
        <v>1192.306273100914</v>
      </c>
      <c r="AN95" s="12">
        <f t="shared" si="10"/>
        <v>492.30627310091404</v>
      </c>
      <c r="AO95" s="13">
        <f t="shared" si="11"/>
        <v>0.70329467585844863</v>
      </c>
      <c r="AP95" s="16">
        <v>700</v>
      </c>
      <c r="AQ95" s="16">
        <v>1025.0733922932909</v>
      </c>
      <c r="AR95" s="16">
        <f t="shared" si="12"/>
        <v>325.07339229329091</v>
      </c>
      <c r="AS95" s="17">
        <f t="shared" si="13"/>
        <v>0.46439056041898702</v>
      </c>
      <c r="AT95" s="20">
        <v>700</v>
      </c>
      <c r="AU95" s="20">
        <v>1119.1328125</v>
      </c>
      <c r="AV95" s="20">
        <f t="shared" si="14"/>
        <v>419.1328125</v>
      </c>
      <c r="AW95" s="21">
        <f t="shared" si="15"/>
        <v>0.59876116071428576</v>
      </c>
    </row>
    <row r="96" spans="1:49" x14ac:dyDescent="0.25">
      <c r="A96" t="s">
        <v>128</v>
      </c>
      <c r="B96" t="s">
        <v>309</v>
      </c>
      <c r="C96">
        <v>212506</v>
      </c>
      <c r="D96">
        <v>2015</v>
      </c>
      <c r="E96" t="s">
        <v>142</v>
      </c>
      <c r="F96" t="s">
        <v>335</v>
      </c>
      <c r="G96" t="s">
        <v>336</v>
      </c>
      <c r="I96">
        <v>4</v>
      </c>
      <c r="J96" t="s">
        <v>106</v>
      </c>
      <c r="K96">
        <v>4</v>
      </c>
      <c r="L96" t="s">
        <v>44</v>
      </c>
      <c r="M96">
        <v>2.4</v>
      </c>
      <c r="N96" t="s">
        <v>91</v>
      </c>
      <c r="O96" t="s">
        <v>46</v>
      </c>
      <c r="P96">
        <v>1</v>
      </c>
      <c r="Q96" t="s">
        <v>62</v>
      </c>
      <c r="R96" t="s">
        <v>63</v>
      </c>
      <c r="S96" t="s">
        <v>93</v>
      </c>
      <c r="U96" t="s">
        <v>50</v>
      </c>
      <c r="X96" t="s">
        <v>65</v>
      </c>
      <c r="Y96" t="s">
        <v>78</v>
      </c>
      <c r="AA96">
        <v>0</v>
      </c>
      <c r="AB96" t="s">
        <v>79</v>
      </c>
      <c r="AC96" t="s">
        <v>87</v>
      </c>
      <c r="AD96">
        <v>36</v>
      </c>
      <c r="AE96">
        <v>9</v>
      </c>
      <c r="AF96">
        <v>3</v>
      </c>
      <c r="AG96">
        <v>2025</v>
      </c>
      <c r="AH96" s="2">
        <v>1500</v>
      </c>
      <c r="AI96" s="2">
        <v>1192.732055664062</v>
      </c>
      <c r="AJ96" s="2">
        <f t="shared" si="8"/>
        <v>307.26794433593795</v>
      </c>
      <c r="AK96" s="6">
        <f t="shared" si="9"/>
        <v>0.20484529622395864</v>
      </c>
      <c r="AL96" s="12">
        <v>1500</v>
      </c>
      <c r="AM96" s="12">
        <v>1315.413564891137</v>
      </c>
      <c r="AN96" s="12">
        <f t="shared" si="10"/>
        <v>184.58643510886304</v>
      </c>
      <c r="AO96" s="13">
        <f t="shared" si="11"/>
        <v>0.1230576234059087</v>
      </c>
      <c r="AP96" s="16">
        <v>1500</v>
      </c>
      <c r="AQ96" s="16">
        <v>959.30310891748422</v>
      </c>
      <c r="AR96" s="16">
        <f t="shared" si="12"/>
        <v>540.69689108251578</v>
      </c>
      <c r="AS96" s="17">
        <f t="shared" si="13"/>
        <v>0.36046459405501052</v>
      </c>
      <c r="AT96" s="20">
        <v>1500</v>
      </c>
      <c r="AU96" s="20">
        <v>1197.496704101562</v>
      </c>
      <c r="AV96" s="20">
        <f t="shared" si="14"/>
        <v>302.50329589843795</v>
      </c>
      <c r="AW96" s="21">
        <f t="shared" si="15"/>
        <v>0.20166886393229197</v>
      </c>
    </row>
    <row r="97" spans="1:49" x14ac:dyDescent="0.25">
      <c r="A97" t="s">
        <v>38</v>
      </c>
      <c r="B97" t="s">
        <v>96</v>
      </c>
      <c r="C97">
        <v>184984</v>
      </c>
      <c r="D97">
        <v>2018</v>
      </c>
      <c r="E97" t="s">
        <v>119</v>
      </c>
      <c r="F97" t="s">
        <v>120</v>
      </c>
      <c r="G97" t="s">
        <v>190</v>
      </c>
      <c r="I97">
        <v>4</v>
      </c>
      <c r="J97" t="s">
        <v>135</v>
      </c>
      <c r="K97">
        <v>4</v>
      </c>
      <c r="L97" t="s">
        <v>44</v>
      </c>
      <c r="M97">
        <v>1.4</v>
      </c>
      <c r="N97" t="s">
        <v>45</v>
      </c>
      <c r="O97" t="s">
        <v>46</v>
      </c>
      <c r="Q97" t="s">
        <v>47</v>
      </c>
      <c r="R97" t="s">
        <v>123</v>
      </c>
      <c r="S97" t="s">
        <v>101</v>
      </c>
      <c r="T97">
        <v>150</v>
      </c>
      <c r="U97" t="s">
        <v>50</v>
      </c>
      <c r="W97" t="s">
        <v>337</v>
      </c>
      <c r="X97" t="s">
        <v>125</v>
      </c>
      <c r="Y97" t="s">
        <v>126</v>
      </c>
      <c r="Z97">
        <v>18645</v>
      </c>
      <c r="AA97">
        <v>0</v>
      </c>
      <c r="AB97" t="s">
        <v>79</v>
      </c>
      <c r="AC97" t="s">
        <v>127</v>
      </c>
      <c r="AD97">
        <v>36</v>
      </c>
      <c r="AE97">
        <v>9</v>
      </c>
      <c r="AF97">
        <v>3</v>
      </c>
      <c r="AG97">
        <v>2025</v>
      </c>
      <c r="AH97" s="2">
        <v>3200</v>
      </c>
      <c r="AI97" s="2">
        <v>1965.2890625</v>
      </c>
      <c r="AJ97" s="2">
        <f t="shared" si="8"/>
        <v>1234.7109375</v>
      </c>
      <c r="AK97" s="6">
        <f t="shared" si="9"/>
        <v>0.38584716796875002</v>
      </c>
      <c r="AL97" s="12">
        <v>3200</v>
      </c>
      <c r="AM97" s="12">
        <v>2182.4443037242982</v>
      </c>
      <c r="AN97" s="12">
        <f t="shared" si="10"/>
        <v>1017.5556962757018</v>
      </c>
      <c r="AO97" s="13">
        <f t="shared" si="11"/>
        <v>0.31798615508615685</v>
      </c>
      <c r="AP97" s="16">
        <v>3200</v>
      </c>
      <c r="AQ97" s="16">
        <v>2455.7566346298659</v>
      </c>
      <c r="AR97" s="16">
        <f t="shared" si="12"/>
        <v>744.24336537013414</v>
      </c>
      <c r="AS97" s="17">
        <f t="shared" si="13"/>
        <v>0.23257605167816692</v>
      </c>
      <c r="AT97" s="20">
        <v>3200</v>
      </c>
      <c r="AU97" s="20">
        <v>1959.10595703125</v>
      </c>
      <c r="AV97" s="20">
        <f t="shared" si="14"/>
        <v>1240.89404296875</v>
      </c>
      <c r="AW97" s="21">
        <f t="shared" si="15"/>
        <v>0.38777938842773435</v>
      </c>
    </row>
    <row r="98" spans="1:49" x14ac:dyDescent="0.25">
      <c r="A98" t="s">
        <v>38</v>
      </c>
      <c r="B98" t="s">
        <v>96</v>
      </c>
      <c r="C98">
        <v>156469</v>
      </c>
      <c r="D98">
        <v>2014</v>
      </c>
      <c r="E98" t="s">
        <v>40</v>
      </c>
      <c r="F98" t="s">
        <v>201</v>
      </c>
      <c r="G98" t="s">
        <v>202</v>
      </c>
      <c r="H98" t="s">
        <v>203</v>
      </c>
      <c r="I98">
        <v>4</v>
      </c>
      <c r="J98" t="s">
        <v>106</v>
      </c>
      <c r="K98">
        <v>4</v>
      </c>
      <c r="L98" t="s">
        <v>44</v>
      </c>
      <c r="M98">
        <v>1.8</v>
      </c>
      <c r="N98" t="s">
        <v>45</v>
      </c>
      <c r="O98" t="s">
        <v>46</v>
      </c>
      <c r="P98">
        <v>2</v>
      </c>
      <c r="Q98" t="s">
        <v>47</v>
      </c>
      <c r="R98" t="s">
        <v>123</v>
      </c>
      <c r="S98" t="s">
        <v>49</v>
      </c>
      <c r="T98">
        <v>132</v>
      </c>
      <c r="U98" t="s">
        <v>50</v>
      </c>
      <c r="V98" t="s">
        <v>51</v>
      </c>
      <c r="W98" t="s">
        <v>204</v>
      </c>
      <c r="X98" t="s">
        <v>125</v>
      </c>
      <c r="Y98" t="s">
        <v>103</v>
      </c>
      <c r="AA98">
        <v>0</v>
      </c>
      <c r="AB98" t="s">
        <v>79</v>
      </c>
      <c r="AC98" t="s">
        <v>127</v>
      </c>
      <c r="AD98">
        <v>36</v>
      </c>
      <c r="AE98">
        <v>9</v>
      </c>
      <c r="AF98">
        <v>3</v>
      </c>
      <c r="AG98">
        <v>2025</v>
      </c>
      <c r="AH98" s="2">
        <v>4400</v>
      </c>
      <c r="AI98" s="2">
        <v>3245.326904296875</v>
      </c>
      <c r="AJ98" s="2">
        <f t="shared" si="8"/>
        <v>1154.673095703125</v>
      </c>
      <c r="AK98" s="6">
        <f t="shared" si="9"/>
        <v>0.26242570356889205</v>
      </c>
      <c r="AL98" s="12">
        <v>4400</v>
      </c>
      <c r="AM98" s="12">
        <v>2702.095097253216</v>
      </c>
      <c r="AN98" s="12">
        <f t="shared" si="10"/>
        <v>1697.904902746784</v>
      </c>
      <c r="AO98" s="13">
        <f t="shared" si="11"/>
        <v>0.3858874778969964</v>
      </c>
      <c r="AP98" s="16">
        <v>4400</v>
      </c>
      <c r="AQ98" s="16">
        <v>2348.2252512493742</v>
      </c>
      <c r="AR98" s="16">
        <f t="shared" si="12"/>
        <v>2051.7747487506258</v>
      </c>
      <c r="AS98" s="17">
        <f t="shared" si="13"/>
        <v>0.46631244289786949</v>
      </c>
      <c r="AT98" s="20">
        <v>4400</v>
      </c>
      <c r="AU98" s="20">
        <v>3220.09765625</v>
      </c>
      <c r="AV98" s="20">
        <f t="shared" si="14"/>
        <v>1179.90234375</v>
      </c>
      <c r="AW98" s="21">
        <f t="shared" si="15"/>
        <v>0.26815962357954548</v>
      </c>
    </row>
    <row r="99" spans="1:49" x14ac:dyDescent="0.25">
      <c r="A99" t="s">
        <v>38</v>
      </c>
      <c r="B99" t="s">
        <v>68</v>
      </c>
      <c r="C99">
        <v>96597</v>
      </c>
      <c r="D99">
        <v>2021</v>
      </c>
      <c r="E99" t="s">
        <v>97</v>
      </c>
      <c r="F99" t="s">
        <v>159</v>
      </c>
      <c r="G99" t="s">
        <v>338</v>
      </c>
      <c r="H99" t="s">
        <v>89</v>
      </c>
      <c r="I99">
        <v>8</v>
      </c>
      <c r="J99" t="s">
        <v>61</v>
      </c>
      <c r="K99">
        <v>4</v>
      </c>
      <c r="L99" t="s">
        <v>44</v>
      </c>
      <c r="M99">
        <v>5.3</v>
      </c>
      <c r="N99" t="s">
        <v>91</v>
      </c>
      <c r="O99" t="s">
        <v>46</v>
      </c>
      <c r="Q99" t="s">
        <v>74</v>
      </c>
      <c r="R99" t="s">
        <v>92</v>
      </c>
      <c r="S99" t="s">
        <v>93</v>
      </c>
      <c r="U99" t="s">
        <v>50</v>
      </c>
      <c r="W99" t="s">
        <v>339</v>
      </c>
      <c r="X99" t="s">
        <v>108</v>
      </c>
      <c r="Y99" t="s">
        <v>126</v>
      </c>
      <c r="AA99">
        <v>0</v>
      </c>
      <c r="AB99" t="s">
        <v>79</v>
      </c>
      <c r="AC99" t="s">
        <v>95</v>
      </c>
      <c r="AD99">
        <v>36</v>
      </c>
      <c r="AE99">
        <v>9</v>
      </c>
      <c r="AF99">
        <v>3</v>
      </c>
      <c r="AG99">
        <v>2025</v>
      </c>
      <c r="AH99" s="2">
        <v>25400</v>
      </c>
      <c r="AI99" s="2">
        <v>33318.703125</v>
      </c>
      <c r="AJ99" s="2">
        <f t="shared" si="8"/>
        <v>7918.703125</v>
      </c>
      <c r="AK99" s="6">
        <f t="shared" si="9"/>
        <v>0.31175996555118113</v>
      </c>
      <c r="AL99" s="12">
        <v>25400</v>
      </c>
      <c r="AM99" s="12">
        <v>31585.289779607519</v>
      </c>
      <c r="AN99" s="12">
        <f t="shared" si="10"/>
        <v>6185.2897796075194</v>
      </c>
      <c r="AO99" s="13">
        <f t="shared" si="11"/>
        <v>0.24351534565383934</v>
      </c>
      <c r="AP99" s="16">
        <v>25400</v>
      </c>
      <c r="AQ99" s="16">
        <v>30650.056627777059</v>
      </c>
      <c r="AR99" s="16">
        <f t="shared" si="12"/>
        <v>5250.0566277770595</v>
      </c>
      <c r="AS99" s="17">
        <f t="shared" si="13"/>
        <v>0.20669514282586848</v>
      </c>
      <c r="AT99" s="20">
        <v>25400</v>
      </c>
      <c r="AU99" s="20">
        <v>33116.6484375</v>
      </c>
      <c r="AV99" s="20">
        <f t="shared" si="14"/>
        <v>7716.6484375</v>
      </c>
      <c r="AW99" s="21">
        <f t="shared" si="15"/>
        <v>0.3038050565944882</v>
      </c>
    </row>
    <row r="100" spans="1:49" x14ac:dyDescent="0.25">
      <c r="A100" t="s">
        <v>38</v>
      </c>
      <c r="B100" t="s">
        <v>96</v>
      </c>
      <c r="C100">
        <v>100524</v>
      </c>
      <c r="D100">
        <v>2021</v>
      </c>
      <c r="E100" t="s">
        <v>116</v>
      </c>
      <c r="F100" t="s">
        <v>117</v>
      </c>
      <c r="G100" t="s">
        <v>195</v>
      </c>
      <c r="I100">
        <v>8</v>
      </c>
      <c r="J100" t="s">
        <v>72</v>
      </c>
      <c r="K100">
        <v>4</v>
      </c>
      <c r="L100" t="s">
        <v>44</v>
      </c>
      <c r="M100">
        <v>5.7</v>
      </c>
      <c r="N100" t="s">
        <v>73</v>
      </c>
      <c r="O100" t="s">
        <v>46</v>
      </c>
      <c r="P100">
        <v>3</v>
      </c>
      <c r="Q100" t="s">
        <v>62</v>
      </c>
      <c r="R100" t="s">
        <v>63</v>
      </c>
      <c r="S100" t="s">
        <v>49</v>
      </c>
      <c r="T100">
        <v>360</v>
      </c>
      <c r="U100" t="s">
        <v>50</v>
      </c>
      <c r="V100" t="s">
        <v>76</v>
      </c>
      <c r="X100" t="s">
        <v>108</v>
      </c>
      <c r="Y100" t="s">
        <v>78</v>
      </c>
      <c r="AA100">
        <v>0</v>
      </c>
      <c r="AB100" t="s">
        <v>79</v>
      </c>
      <c r="AC100" t="s">
        <v>87</v>
      </c>
      <c r="AD100">
        <v>36</v>
      </c>
      <c r="AE100">
        <v>9</v>
      </c>
      <c r="AF100">
        <v>3</v>
      </c>
      <c r="AG100">
        <v>2025</v>
      </c>
      <c r="AH100" s="2">
        <v>21750</v>
      </c>
      <c r="AI100" s="2">
        <v>19527.478515625</v>
      </c>
      <c r="AJ100" s="2">
        <f t="shared" si="8"/>
        <v>2222.521484375</v>
      </c>
      <c r="AK100" s="6">
        <f t="shared" si="9"/>
        <v>0.10218489583333333</v>
      </c>
      <c r="AL100" s="12">
        <v>21750</v>
      </c>
      <c r="AM100" s="12">
        <v>24163.57792048113</v>
      </c>
      <c r="AN100" s="12">
        <f t="shared" si="10"/>
        <v>2413.5779204811297</v>
      </c>
      <c r="AO100" s="13">
        <f t="shared" si="11"/>
        <v>0.11096909979223585</v>
      </c>
      <c r="AP100" s="16">
        <v>21750</v>
      </c>
      <c r="AQ100" s="16">
        <v>17989.364164881499</v>
      </c>
      <c r="AR100" s="16">
        <f t="shared" si="12"/>
        <v>3760.6358351185008</v>
      </c>
      <c r="AS100" s="17">
        <f t="shared" si="13"/>
        <v>0.17290279701694256</v>
      </c>
      <c r="AT100" s="20">
        <v>21750</v>
      </c>
      <c r="AU100" s="20">
        <v>20051.302734375</v>
      </c>
      <c r="AV100" s="20">
        <f t="shared" si="14"/>
        <v>1698.697265625</v>
      </c>
      <c r="AW100" s="21">
        <f t="shared" si="15"/>
        <v>7.8101023706896547E-2</v>
      </c>
    </row>
    <row r="101" spans="1:49" x14ac:dyDescent="0.25">
      <c r="A101" t="s">
        <v>114</v>
      </c>
      <c r="B101" t="s">
        <v>340</v>
      </c>
      <c r="C101">
        <v>121361</v>
      </c>
      <c r="D101">
        <v>2013</v>
      </c>
      <c r="E101" t="s">
        <v>341</v>
      </c>
      <c r="F101" t="s">
        <v>342</v>
      </c>
      <c r="I101">
        <v>4</v>
      </c>
      <c r="J101" t="s">
        <v>135</v>
      </c>
      <c r="K101">
        <v>4</v>
      </c>
      <c r="L101" t="s">
        <v>44</v>
      </c>
      <c r="M101">
        <v>2.4</v>
      </c>
      <c r="N101" t="s">
        <v>45</v>
      </c>
      <c r="O101" t="s">
        <v>46</v>
      </c>
      <c r="P101">
        <v>3</v>
      </c>
      <c r="Q101" t="s">
        <v>47</v>
      </c>
      <c r="R101" t="s">
        <v>123</v>
      </c>
      <c r="U101" t="s">
        <v>50</v>
      </c>
      <c r="W101" t="s">
        <v>343</v>
      </c>
      <c r="X101" t="s">
        <v>125</v>
      </c>
      <c r="Y101" t="s">
        <v>78</v>
      </c>
      <c r="AA101">
        <v>0</v>
      </c>
      <c r="AB101" t="s">
        <v>79</v>
      </c>
      <c r="AC101" t="s">
        <v>127</v>
      </c>
      <c r="AD101">
        <v>36</v>
      </c>
      <c r="AE101">
        <v>9</v>
      </c>
      <c r="AF101">
        <v>3</v>
      </c>
      <c r="AG101">
        <v>2025</v>
      </c>
      <c r="AH101" s="2">
        <v>2200</v>
      </c>
      <c r="AI101" s="2">
        <v>2390.954833984375</v>
      </c>
      <c r="AJ101" s="2">
        <f t="shared" si="8"/>
        <v>190.954833984375</v>
      </c>
      <c r="AK101" s="6">
        <f t="shared" si="9"/>
        <v>8.679765181107954E-2</v>
      </c>
      <c r="AL101" s="12">
        <v>2200</v>
      </c>
      <c r="AM101" s="12">
        <v>2528.609993951291</v>
      </c>
      <c r="AN101" s="12">
        <f t="shared" si="10"/>
        <v>328.60999395129102</v>
      </c>
      <c r="AO101" s="13">
        <f t="shared" si="11"/>
        <v>0.14936817906876865</v>
      </c>
      <c r="AP101" s="16">
        <v>2200</v>
      </c>
      <c r="AQ101" s="16">
        <v>2038.3156349767571</v>
      </c>
      <c r="AR101" s="16">
        <f t="shared" si="12"/>
        <v>161.68436502324289</v>
      </c>
      <c r="AS101" s="17">
        <f t="shared" si="13"/>
        <v>7.3492893192383127E-2</v>
      </c>
      <c r="AT101" s="20">
        <v>2200</v>
      </c>
      <c r="AU101" s="20">
        <v>2407.92724609375</v>
      </c>
      <c r="AV101" s="20">
        <f t="shared" si="14"/>
        <v>207.92724609375</v>
      </c>
      <c r="AW101" s="21">
        <f t="shared" si="15"/>
        <v>9.4512384588068182E-2</v>
      </c>
    </row>
    <row r="102" spans="1:49" x14ac:dyDescent="0.25">
      <c r="A102" t="s">
        <v>38</v>
      </c>
      <c r="B102" t="s">
        <v>96</v>
      </c>
      <c r="C102">
        <v>126795</v>
      </c>
      <c r="D102">
        <v>2007</v>
      </c>
      <c r="E102" t="s">
        <v>213</v>
      </c>
      <c r="F102" t="s">
        <v>344</v>
      </c>
      <c r="I102">
        <v>6</v>
      </c>
      <c r="J102" t="s">
        <v>43</v>
      </c>
      <c r="K102">
        <v>4</v>
      </c>
      <c r="L102" t="s">
        <v>44</v>
      </c>
      <c r="M102">
        <v>3.5</v>
      </c>
      <c r="N102" t="s">
        <v>44</v>
      </c>
      <c r="O102" t="s">
        <v>46</v>
      </c>
      <c r="Q102" t="s">
        <v>62</v>
      </c>
      <c r="R102" t="s">
        <v>63</v>
      </c>
      <c r="S102" t="s">
        <v>93</v>
      </c>
      <c r="U102" t="s">
        <v>50</v>
      </c>
      <c r="X102" t="s">
        <v>141</v>
      </c>
      <c r="Y102" t="s">
        <v>54</v>
      </c>
      <c r="AA102">
        <v>0</v>
      </c>
      <c r="AB102" t="s">
        <v>79</v>
      </c>
      <c r="AC102" t="s">
        <v>87</v>
      </c>
      <c r="AD102">
        <v>36</v>
      </c>
      <c r="AE102">
        <v>9</v>
      </c>
      <c r="AF102">
        <v>3</v>
      </c>
      <c r="AG102">
        <v>2025</v>
      </c>
      <c r="AH102" s="2">
        <v>3000</v>
      </c>
      <c r="AI102" s="2">
        <v>2304.0078125</v>
      </c>
      <c r="AJ102" s="2">
        <f t="shared" si="8"/>
        <v>695.9921875</v>
      </c>
      <c r="AK102" s="6">
        <f t="shared" si="9"/>
        <v>0.23199739583333334</v>
      </c>
      <c r="AL102" s="12">
        <v>3000</v>
      </c>
      <c r="AM102" s="12">
        <v>2215.9289484754809</v>
      </c>
      <c r="AN102" s="12">
        <f t="shared" si="10"/>
        <v>784.07105152451913</v>
      </c>
      <c r="AO102" s="13">
        <f t="shared" si="11"/>
        <v>0.26135701717483972</v>
      </c>
      <c r="AP102" s="16">
        <v>3000</v>
      </c>
      <c r="AQ102" s="16">
        <v>2452.3497782525701</v>
      </c>
      <c r="AR102" s="16">
        <f t="shared" si="12"/>
        <v>547.6502217474299</v>
      </c>
      <c r="AS102" s="17">
        <f t="shared" si="13"/>
        <v>0.18255007391580996</v>
      </c>
      <c r="AT102" s="20">
        <v>3000</v>
      </c>
      <c r="AU102" s="20">
        <v>2326.43359375</v>
      </c>
      <c r="AV102" s="20">
        <f t="shared" si="14"/>
        <v>673.56640625</v>
      </c>
      <c r="AW102" s="21">
        <f t="shared" si="15"/>
        <v>0.22452213541666666</v>
      </c>
    </row>
    <row r="103" spans="1:49" x14ac:dyDescent="0.25">
      <c r="A103" t="s">
        <v>38</v>
      </c>
      <c r="B103" t="s">
        <v>96</v>
      </c>
      <c r="C103">
        <v>120643</v>
      </c>
      <c r="D103">
        <v>2014</v>
      </c>
      <c r="E103" t="s">
        <v>345</v>
      </c>
      <c r="F103" t="s">
        <v>346</v>
      </c>
      <c r="G103" t="s">
        <v>347</v>
      </c>
      <c r="H103" t="s">
        <v>348</v>
      </c>
      <c r="I103">
        <v>6</v>
      </c>
      <c r="J103" t="s">
        <v>72</v>
      </c>
      <c r="K103">
        <v>4</v>
      </c>
      <c r="L103" t="s">
        <v>44</v>
      </c>
      <c r="M103">
        <v>3</v>
      </c>
      <c r="N103" t="s">
        <v>73</v>
      </c>
      <c r="O103" t="s">
        <v>46</v>
      </c>
      <c r="P103">
        <v>3</v>
      </c>
      <c r="Q103" t="s">
        <v>47</v>
      </c>
      <c r="R103" t="s">
        <v>123</v>
      </c>
      <c r="T103">
        <v>315</v>
      </c>
      <c r="U103" t="s">
        <v>50</v>
      </c>
      <c r="X103" t="s">
        <v>125</v>
      </c>
      <c r="Y103" t="s">
        <v>137</v>
      </c>
      <c r="AA103">
        <v>0</v>
      </c>
      <c r="AB103" t="s">
        <v>79</v>
      </c>
      <c r="AC103" t="s">
        <v>127</v>
      </c>
      <c r="AD103">
        <v>36</v>
      </c>
      <c r="AE103">
        <v>9</v>
      </c>
      <c r="AF103">
        <v>3</v>
      </c>
      <c r="AG103">
        <v>2025</v>
      </c>
      <c r="AH103" s="2">
        <v>7000</v>
      </c>
      <c r="AI103" s="2">
        <v>5392.953125</v>
      </c>
      <c r="AJ103" s="2">
        <f t="shared" si="8"/>
        <v>1607.046875</v>
      </c>
      <c r="AK103" s="6">
        <f t="shared" si="9"/>
        <v>0.22957812499999999</v>
      </c>
      <c r="AL103" s="12">
        <v>7000</v>
      </c>
      <c r="AM103" s="12">
        <v>5819.7266705519232</v>
      </c>
      <c r="AN103" s="12">
        <f t="shared" si="10"/>
        <v>1180.2733294480768</v>
      </c>
      <c r="AO103" s="13">
        <f t="shared" si="11"/>
        <v>0.16861047563543954</v>
      </c>
      <c r="AP103" s="16">
        <v>7000</v>
      </c>
      <c r="AQ103" s="16">
        <v>6622.9924601931907</v>
      </c>
      <c r="AR103" s="16">
        <f t="shared" si="12"/>
        <v>377.00753980680929</v>
      </c>
      <c r="AS103" s="17">
        <f t="shared" si="13"/>
        <v>5.3858219972401325E-2</v>
      </c>
      <c r="AT103" s="20">
        <v>7000</v>
      </c>
      <c r="AU103" s="20">
        <v>5496.30810546875</v>
      </c>
      <c r="AV103" s="20">
        <f t="shared" si="14"/>
        <v>1503.69189453125</v>
      </c>
      <c r="AW103" s="21">
        <f t="shared" si="15"/>
        <v>0.21481312779017858</v>
      </c>
    </row>
    <row r="104" spans="1:49" x14ac:dyDescent="0.25">
      <c r="A104" t="s">
        <v>114</v>
      </c>
      <c r="B104" t="s">
        <v>349</v>
      </c>
      <c r="C104">
        <v>199693</v>
      </c>
      <c r="D104">
        <v>2015</v>
      </c>
      <c r="E104" t="s">
        <v>69</v>
      </c>
      <c r="F104" t="s">
        <v>70</v>
      </c>
      <c r="G104" t="s">
        <v>350</v>
      </c>
      <c r="H104" t="s">
        <v>351</v>
      </c>
      <c r="I104">
        <v>6</v>
      </c>
      <c r="J104" t="s">
        <v>72</v>
      </c>
      <c r="K104">
        <v>3</v>
      </c>
      <c r="L104" t="s">
        <v>44</v>
      </c>
      <c r="M104">
        <v>3.7</v>
      </c>
      <c r="N104" t="s">
        <v>73</v>
      </c>
      <c r="O104" t="s">
        <v>100</v>
      </c>
      <c r="Q104" t="s">
        <v>74</v>
      </c>
      <c r="R104" t="s">
        <v>75</v>
      </c>
      <c r="T104">
        <v>275</v>
      </c>
      <c r="U104" t="s">
        <v>50</v>
      </c>
      <c r="V104" t="s">
        <v>76</v>
      </c>
      <c r="X104" t="s">
        <v>77</v>
      </c>
      <c r="Y104" t="s">
        <v>78</v>
      </c>
      <c r="AA104">
        <v>0</v>
      </c>
      <c r="AB104" t="s">
        <v>79</v>
      </c>
      <c r="AC104" t="s">
        <v>80</v>
      </c>
      <c r="AD104">
        <v>36</v>
      </c>
      <c r="AE104">
        <v>9</v>
      </c>
      <c r="AF104">
        <v>3</v>
      </c>
      <c r="AG104">
        <v>2025</v>
      </c>
      <c r="AH104" s="2">
        <v>1000</v>
      </c>
      <c r="AI104" s="2">
        <v>1652.876586914062</v>
      </c>
      <c r="AJ104" s="2">
        <f t="shared" si="8"/>
        <v>652.87658691406205</v>
      </c>
      <c r="AK104" s="6">
        <f t="shared" si="9"/>
        <v>0.65287658691406203</v>
      </c>
      <c r="AL104" s="12">
        <v>1000</v>
      </c>
      <c r="AM104" s="12">
        <v>2007.1807357104281</v>
      </c>
      <c r="AN104" s="12">
        <f t="shared" si="10"/>
        <v>1007.1807357104281</v>
      </c>
      <c r="AO104" s="13">
        <f t="shared" si="11"/>
        <v>1.0071807357104281</v>
      </c>
      <c r="AP104" s="16">
        <v>1000</v>
      </c>
      <c r="AQ104" s="16">
        <v>1830.3600119400651</v>
      </c>
      <c r="AR104" s="16">
        <f t="shared" si="12"/>
        <v>830.36001194006508</v>
      </c>
      <c r="AS104" s="17">
        <f t="shared" si="13"/>
        <v>0.83036001194006503</v>
      </c>
      <c r="AT104" s="20">
        <v>1000</v>
      </c>
      <c r="AU104" s="20">
        <v>1670.147216796875</v>
      </c>
      <c r="AV104" s="20">
        <f t="shared" si="14"/>
        <v>670.147216796875</v>
      </c>
      <c r="AW104" s="21">
        <f t="shared" si="15"/>
        <v>0.67014721679687494</v>
      </c>
    </row>
    <row r="105" spans="1:49" x14ac:dyDescent="0.25">
      <c r="A105" t="s">
        <v>38</v>
      </c>
      <c r="B105" t="s">
        <v>96</v>
      </c>
      <c r="C105">
        <v>72754</v>
      </c>
      <c r="D105">
        <v>2021</v>
      </c>
      <c r="E105" t="s">
        <v>146</v>
      </c>
      <c r="F105" t="s">
        <v>279</v>
      </c>
      <c r="G105" t="s">
        <v>352</v>
      </c>
      <c r="I105">
        <v>4</v>
      </c>
      <c r="J105" t="s">
        <v>135</v>
      </c>
      <c r="K105">
        <v>4</v>
      </c>
      <c r="L105" t="s">
        <v>44</v>
      </c>
      <c r="M105">
        <v>2</v>
      </c>
      <c r="N105" t="s">
        <v>45</v>
      </c>
      <c r="O105" t="s">
        <v>46</v>
      </c>
      <c r="P105">
        <v>3</v>
      </c>
      <c r="Q105" t="s">
        <v>47</v>
      </c>
      <c r="R105" t="s">
        <v>123</v>
      </c>
      <c r="S105" t="s">
        <v>49</v>
      </c>
      <c r="U105" t="s">
        <v>50</v>
      </c>
      <c r="X105" t="s">
        <v>125</v>
      </c>
      <c r="Y105" t="s">
        <v>126</v>
      </c>
      <c r="AA105">
        <v>0</v>
      </c>
      <c r="AB105" t="s">
        <v>79</v>
      </c>
      <c r="AC105" t="s">
        <v>127</v>
      </c>
      <c r="AD105">
        <v>36</v>
      </c>
      <c r="AE105">
        <v>9</v>
      </c>
      <c r="AF105">
        <v>3</v>
      </c>
      <c r="AG105">
        <v>2025</v>
      </c>
      <c r="AH105" s="2">
        <v>12750</v>
      </c>
      <c r="AI105" s="2">
        <v>10797.337890625</v>
      </c>
      <c r="AJ105" s="2">
        <f t="shared" si="8"/>
        <v>1952.662109375</v>
      </c>
      <c r="AK105" s="6">
        <f t="shared" si="9"/>
        <v>0.15314996936274511</v>
      </c>
      <c r="AL105" s="12">
        <v>12750</v>
      </c>
      <c r="AM105" s="12">
        <v>9230.1613456290106</v>
      </c>
      <c r="AN105" s="12">
        <f t="shared" si="10"/>
        <v>3519.8386543709894</v>
      </c>
      <c r="AO105" s="13">
        <f t="shared" si="11"/>
        <v>0.27606577681341093</v>
      </c>
      <c r="AP105" s="16">
        <v>12750</v>
      </c>
      <c r="AQ105" s="16">
        <v>9016.1132685692628</v>
      </c>
      <c r="AR105" s="16">
        <f t="shared" si="12"/>
        <v>3733.8867314307372</v>
      </c>
      <c r="AS105" s="17">
        <f t="shared" si="13"/>
        <v>0.29285386128868529</v>
      </c>
      <c r="AT105" s="20">
        <v>12750</v>
      </c>
      <c r="AU105" s="20">
        <v>10640.9921875</v>
      </c>
      <c r="AV105" s="20">
        <f t="shared" si="14"/>
        <v>2109.0078125</v>
      </c>
      <c r="AW105" s="21">
        <f t="shared" si="15"/>
        <v>0.16541237745098039</v>
      </c>
    </row>
    <row r="106" spans="1:49" x14ac:dyDescent="0.25">
      <c r="A106" t="s">
        <v>38</v>
      </c>
      <c r="B106" t="s">
        <v>110</v>
      </c>
      <c r="C106">
        <v>155609</v>
      </c>
      <c r="D106">
        <v>2014</v>
      </c>
      <c r="E106" t="s">
        <v>69</v>
      </c>
      <c r="F106" t="s">
        <v>231</v>
      </c>
      <c r="I106">
        <v>6</v>
      </c>
      <c r="J106" t="s">
        <v>61</v>
      </c>
      <c r="K106">
        <v>4</v>
      </c>
      <c r="L106" t="s">
        <v>44</v>
      </c>
      <c r="M106">
        <v>3.5</v>
      </c>
      <c r="N106" t="s">
        <v>91</v>
      </c>
      <c r="Q106" t="s">
        <v>74</v>
      </c>
      <c r="R106" t="s">
        <v>92</v>
      </c>
      <c r="S106" t="s">
        <v>93</v>
      </c>
      <c r="T106">
        <v>365</v>
      </c>
      <c r="U106" t="s">
        <v>50</v>
      </c>
      <c r="V106" t="s">
        <v>76</v>
      </c>
      <c r="X106" t="s">
        <v>108</v>
      </c>
      <c r="Y106" t="s">
        <v>78</v>
      </c>
      <c r="AA106">
        <v>0</v>
      </c>
      <c r="AB106" t="s">
        <v>79</v>
      </c>
      <c r="AC106" t="s">
        <v>95</v>
      </c>
      <c r="AD106">
        <v>36</v>
      </c>
      <c r="AE106">
        <v>9</v>
      </c>
      <c r="AF106">
        <v>3</v>
      </c>
      <c r="AG106">
        <v>2025</v>
      </c>
      <c r="AH106" s="2">
        <v>11000</v>
      </c>
      <c r="AI106" s="2">
        <v>8297.4716796875</v>
      </c>
      <c r="AJ106" s="2">
        <f t="shared" si="8"/>
        <v>2702.5283203125</v>
      </c>
      <c r="AK106" s="6">
        <f t="shared" si="9"/>
        <v>0.24568439275568182</v>
      </c>
      <c r="AL106" s="12">
        <v>11000</v>
      </c>
      <c r="AM106" s="12">
        <v>8005.9510373243102</v>
      </c>
      <c r="AN106" s="12">
        <f t="shared" si="10"/>
        <v>2994.0489626756898</v>
      </c>
      <c r="AO106" s="13">
        <f t="shared" si="11"/>
        <v>0.27218626933415363</v>
      </c>
      <c r="AP106" s="16">
        <v>11000</v>
      </c>
      <c r="AQ106" s="16">
        <v>7726.6265752768268</v>
      </c>
      <c r="AR106" s="16">
        <f t="shared" si="12"/>
        <v>3273.3734247231732</v>
      </c>
      <c r="AS106" s="17">
        <f t="shared" si="13"/>
        <v>0.29757940224756119</v>
      </c>
      <c r="AT106" s="20">
        <v>11000</v>
      </c>
      <c r="AU106" s="20">
        <v>8260.7763671875</v>
      </c>
      <c r="AV106" s="20">
        <f t="shared" si="14"/>
        <v>2739.2236328125</v>
      </c>
      <c r="AW106" s="21">
        <f t="shared" si="15"/>
        <v>0.24902033025568182</v>
      </c>
    </row>
    <row r="107" spans="1:49" x14ac:dyDescent="0.25">
      <c r="A107" t="s">
        <v>38</v>
      </c>
      <c r="B107" t="s">
        <v>96</v>
      </c>
      <c r="C107">
        <v>36998</v>
      </c>
      <c r="D107">
        <v>2024</v>
      </c>
      <c r="E107" t="s">
        <v>40</v>
      </c>
      <c r="F107" t="s">
        <v>201</v>
      </c>
      <c r="G107" t="s">
        <v>224</v>
      </c>
      <c r="H107" t="s">
        <v>353</v>
      </c>
      <c r="I107">
        <v>4</v>
      </c>
      <c r="J107" t="s">
        <v>61</v>
      </c>
      <c r="K107">
        <v>4</v>
      </c>
      <c r="L107" t="s">
        <v>44</v>
      </c>
      <c r="M107">
        <v>2</v>
      </c>
      <c r="N107" t="s">
        <v>45</v>
      </c>
      <c r="O107" t="s">
        <v>46</v>
      </c>
      <c r="P107">
        <v>5</v>
      </c>
      <c r="Q107" t="s">
        <v>47</v>
      </c>
      <c r="R107" t="s">
        <v>123</v>
      </c>
      <c r="S107" t="s">
        <v>49</v>
      </c>
      <c r="T107">
        <v>169</v>
      </c>
      <c r="U107" t="s">
        <v>50</v>
      </c>
      <c r="V107" t="s">
        <v>51</v>
      </c>
      <c r="W107" t="s">
        <v>354</v>
      </c>
      <c r="X107" t="s">
        <v>125</v>
      </c>
      <c r="Y107" t="s">
        <v>78</v>
      </c>
      <c r="AA107">
        <v>0</v>
      </c>
      <c r="AB107" t="s">
        <v>79</v>
      </c>
      <c r="AC107" t="s">
        <v>127</v>
      </c>
      <c r="AD107">
        <v>36</v>
      </c>
      <c r="AE107">
        <v>9</v>
      </c>
      <c r="AF107">
        <v>3</v>
      </c>
      <c r="AG107">
        <v>2025</v>
      </c>
      <c r="AH107" s="2">
        <v>20800</v>
      </c>
      <c r="AI107" s="2">
        <v>16151.2333984375</v>
      </c>
      <c r="AJ107" s="2">
        <f t="shared" si="8"/>
        <v>4648.7666015625</v>
      </c>
      <c r="AK107" s="6">
        <f t="shared" si="9"/>
        <v>0.22349839430588941</v>
      </c>
      <c r="AL107" s="12">
        <v>20800</v>
      </c>
      <c r="AM107" s="12">
        <v>17304.714674115341</v>
      </c>
      <c r="AN107" s="12">
        <f t="shared" si="10"/>
        <v>3495.285325884659</v>
      </c>
      <c r="AO107" s="13">
        <f t="shared" si="11"/>
        <v>0.16804256374445475</v>
      </c>
      <c r="AP107" s="16">
        <v>20800</v>
      </c>
      <c r="AQ107" s="16">
        <v>18846.425385394639</v>
      </c>
      <c r="AR107" s="16">
        <f t="shared" si="12"/>
        <v>1953.5746146053607</v>
      </c>
      <c r="AS107" s="17">
        <f t="shared" si="13"/>
        <v>9.3921856471411574E-2</v>
      </c>
      <c r="AT107" s="20">
        <v>20800</v>
      </c>
      <c r="AU107" s="20">
        <v>16307.814453125</v>
      </c>
      <c r="AV107" s="20">
        <f t="shared" si="14"/>
        <v>4492.185546875</v>
      </c>
      <c r="AW107" s="21">
        <f t="shared" si="15"/>
        <v>0.215970458984375</v>
      </c>
    </row>
    <row r="108" spans="1:49" x14ac:dyDescent="0.25">
      <c r="A108" t="s">
        <v>38</v>
      </c>
      <c r="B108" t="s">
        <v>39</v>
      </c>
      <c r="C108">
        <v>74543</v>
      </c>
      <c r="D108">
        <v>2015</v>
      </c>
      <c r="E108" t="s">
        <v>355</v>
      </c>
      <c r="F108" t="s">
        <v>356</v>
      </c>
      <c r="G108" t="s">
        <v>357</v>
      </c>
      <c r="I108">
        <v>4</v>
      </c>
      <c r="J108" t="s">
        <v>43</v>
      </c>
      <c r="K108">
        <v>2</v>
      </c>
      <c r="L108" t="s">
        <v>358</v>
      </c>
      <c r="M108">
        <v>1.4</v>
      </c>
      <c r="N108" t="s">
        <v>45</v>
      </c>
      <c r="O108" t="s">
        <v>46</v>
      </c>
      <c r="Q108" t="s">
        <v>47</v>
      </c>
      <c r="R108" t="s">
        <v>48</v>
      </c>
      <c r="S108" t="s">
        <v>101</v>
      </c>
      <c r="U108" t="s">
        <v>50</v>
      </c>
      <c r="X108" t="s">
        <v>125</v>
      </c>
      <c r="Y108" t="s">
        <v>126</v>
      </c>
      <c r="AA108">
        <v>0</v>
      </c>
      <c r="AB108" t="s">
        <v>79</v>
      </c>
      <c r="AC108" t="s">
        <v>359</v>
      </c>
      <c r="AD108">
        <v>36</v>
      </c>
      <c r="AE108">
        <v>9</v>
      </c>
      <c r="AF108">
        <v>3</v>
      </c>
      <c r="AG108">
        <v>2025</v>
      </c>
      <c r="AH108" s="2">
        <v>2600</v>
      </c>
      <c r="AI108" s="2">
        <v>2798.556396484375</v>
      </c>
      <c r="AJ108" s="2">
        <f t="shared" si="8"/>
        <v>198.556396484375</v>
      </c>
      <c r="AK108" s="6">
        <f t="shared" si="9"/>
        <v>7.6367844801682697E-2</v>
      </c>
      <c r="AL108" s="12">
        <v>2600</v>
      </c>
      <c r="AM108" s="12">
        <v>3953.7001730042089</v>
      </c>
      <c r="AN108" s="12">
        <f t="shared" si="10"/>
        <v>1353.7001730042089</v>
      </c>
      <c r="AO108" s="13">
        <f t="shared" si="11"/>
        <v>0.52065391269392647</v>
      </c>
      <c r="AP108" s="16">
        <v>2600</v>
      </c>
      <c r="AQ108" s="16">
        <v>2470.5828246479168</v>
      </c>
      <c r="AR108" s="16">
        <f t="shared" si="12"/>
        <v>129.41717535208318</v>
      </c>
      <c r="AS108" s="17">
        <f t="shared" si="13"/>
        <v>4.9775836673878145E-2</v>
      </c>
      <c r="AT108" s="20">
        <v>2600</v>
      </c>
      <c r="AU108" s="20">
        <v>2873.51904296875</v>
      </c>
      <c r="AV108" s="20">
        <f t="shared" si="14"/>
        <v>273.51904296875</v>
      </c>
      <c r="AW108" s="21">
        <f t="shared" si="15"/>
        <v>0.10519963191105769</v>
      </c>
    </row>
    <row r="109" spans="1:49" x14ac:dyDescent="0.25">
      <c r="A109" t="s">
        <v>38</v>
      </c>
      <c r="B109" t="s">
        <v>110</v>
      </c>
      <c r="C109">
        <v>56919</v>
      </c>
      <c r="D109">
        <v>2014</v>
      </c>
      <c r="E109" t="s">
        <v>162</v>
      </c>
      <c r="F109" t="s">
        <v>163</v>
      </c>
      <c r="G109" t="s">
        <v>192</v>
      </c>
      <c r="I109">
        <v>4</v>
      </c>
      <c r="J109" t="s">
        <v>106</v>
      </c>
      <c r="K109">
        <v>4</v>
      </c>
      <c r="L109" t="s">
        <v>44</v>
      </c>
      <c r="M109">
        <v>2.4</v>
      </c>
      <c r="N109" t="s">
        <v>45</v>
      </c>
      <c r="O109" t="s">
        <v>46</v>
      </c>
      <c r="Q109" t="s">
        <v>47</v>
      </c>
      <c r="R109" t="s">
        <v>123</v>
      </c>
      <c r="U109" t="s">
        <v>50</v>
      </c>
      <c r="W109" t="s">
        <v>360</v>
      </c>
      <c r="X109" t="s">
        <v>125</v>
      </c>
      <c r="Y109" t="s">
        <v>78</v>
      </c>
      <c r="AA109">
        <v>0</v>
      </c>
      <c r="AB109" t="s">
        <v>79</v>
      </c>
      <c r="AC109" t="s">
        <v>127</v>
      </c>
      <c r="AD109">
        <v>36</v>
      </c>
      <c r="AE109">
        <v>9</v>
      </c>
      <c r="AF109">
        <v>3</v>
      </c>
      <c r="AG109">
        <v>2025</v>
      </c>
      <c r="AH109" s="2">
        <v>4000</v>
      </c>
      <c r="AI109" s="2">
        <v>5783.3564453125</v>
      </c>
      <c r="AJ109" s="2">
        <f t="shared" si="8"/>
        <v>1783.3564453125</v>
      </c>
      <c r="AK109" s="6">
        <f t="shared" si="9"/>
        <v>0.44583911132812498</v>
      </c>
      <c r="AL109" s="12">
        <v>4000</v>
      </c>
      <c r="AM109" s="12">
        <v>5690.3185450942201</v>
      </c>
      <c r="AN109" s="12">
        <f t="shared" si="10"/>
        <v>1690.3185450942201</v>
      </c>
      <c r="AO109" s="13">
        <f t="shared" si="11"/>
        <v>0.42257963627355505</v>
      </c>
      <c r="AP109" s="16">
        <v>4000</v>
      </c>
      <c r="AQ109" s="16">
        <v>4481.6035562247662</v>
      </c>
      <c r="AR109" s="16">
        <f t="shared" si="12"/>
        <v>481.60355622476618</v>
      </c>
      <c r="AS109" s="17">
        <f t="shared" si="13"/>
        <v>0.12040088905619155</v>
      </c>
      <c r="AT109" s="20">
        <v>4000</v>
      </c>
      <c r="AU109" s="20">
        <v>5851.373046875</v>
      </c>
      <c r="AV109" s="20">
        <f t="shared" si="14"/>
        <v>1851.373046875</v>
      </c>
      <c r="AW109" s="21">
        <f t="shared" si="15"/>
        <v>0.46284326171875001</v>
      </c>
    </row>
    <row r="110" spans="1:49" x14ac:dyDescent="0.25">
      <c r="A110" t="s">
        <v>128</v>
      </c>
      <c r="B110" t="s">
        <v>129</v>
      </c>
      <c r="C110">
        <v>145920</v>
      </c>
      <c r="D110">
        <v>2015</v>
      </c>
      <c r="E110" t="s">
        <v>146</v>
      </c>
      <c r="F110" t="s">
        <v>302</v>
      </c>
      <c r="I110">
        <v>6</v>
      </c>
      <c r="J110" t="s">
        <v>72</v>
      </c>
      <c r="K110">
        <v>4</v>
      </c>
      <c r="L110" t="s">
        <v>44</v>
      </c>
      <c r="M110">
        <v>3.5</v>
      </c>
      <c r="N110" t="s">
        <v>45</v>
      </c>
      <c r="Q110" t="s">
        <v>62</v>
      </c>
      <c r="R110" t="s">
        <v>148</v>
      </c>
      <c r="S110" t="s">
        <v>49</v>
      </c>
      <c r="U110" t="s">
        <v>50</v>
      </c>
      <c r="X110" t="s">
        <v>141</v>
      </c>
      <c r="Y110" t="s">
        <v>78</v>
      </c>
      <c r="AA110">
        <v>0</v>
      </c>
      <c r="AB110" t="s">
        <v>79</v>
      </c>
      <c r="AC110" t="s">
        <v>87</v>
      </c>
      <c r="AD110">
        <v>36</v>
      </c>
      <c r="AE110">
        <v>9</v>
      </c>
      <c r="AF110">
        <v>3</v>
      </c>
      <c r="AG110">
        <v>2025</v>
      </c>
      <c r="AH110" s="2">
        <v>2100</v>
      </c>
      <c r="AI110" s="2">
        <v>2533.82568359375</v>
      </c>
      <c r="AJ110" s="2">
        <f t="shared" si="8"/>
        <v>433.82568359375</v>
      </c>
      <c r="AK110" s="6">
        <f t="shared" si="9"/>
        <v>0.20658365885416666</v>
      </c>
      <c r="AL110" s="12">
        <v>2100</v>
      </c>
      <c r="AM110" s="12">
        <v>3002.8998591880991</v>
      </c>
      <c r="AN110" s="12">
        <f t="shared" si="10"/>
        <v>902.89985918809907</v>
      </c>
      <c r="AO110" s="13">
        <f t="shared" si="11"/>
        <v>0.42995231389909477</v>
      </c>
      <c r="AP110" s="16">
        <v>2100</v>
      </c>
      <c r="AQ110" s="16">
        <v>2772.4820820711461</v>
      </c>
      <c r="AR110" s="16">
        <f t="shared" si="12"/>
        <v>672.48208207114612</v>
      </c>
      <c r="AS110" s="17">
        <f t="shared" si="13"/>
        <v>0.32022956289102195</v>
      </c>
      <c r="AT110" s="20">
        <v>2100</v>
      </c>
      <c r="AU110" s="20">
        <v>2543.750244140625</v>
      </c>
      <c r="AV110" s="20">
        <f t="shared" si="14"/>
        <v>443.750244140625</v>
      </c>
      <c r="AW110" s="21">
        <f t="shared" si="15"/>
        <v>0.21130964006696429</v>
      </c>
    </row>
    <row r="111" spans="1:49" x14ac:dyDescent="0.25">
      <c r="A111" t="s">
        <v>38</v>
      </c>
      <c r="B111" t="s">
        <v>39</v>
      </c>
      <c r="C111">
        <v>104230</v>
      </c>
      <c r="D111">
        <v>2014</v>
      </c>
      <c r="E111" t="s">
        <v>132</v>
      </c>
      <c r="F111" t="s">
        <v>361</v>
      </c>
      <c r="H111" t="s">
        <v>362</v>
      </c>
      <c r="I111">
        <v>4</v>
      </c>
      <c r="J111" t="s">
        <v>61</v>
      </c>
      <c r="K111">
        <v>4</v>
      </c>
      <c r="L111" t="s">
        <v>44</v>
      </c>
      <c r="M111">
        <v>1.8</v>
      </c>
      <c r="N111" t="s">
        <v>73</v>
      </c>
      <c r="O111" t="s">
        <v>46</v>
      </c>
      <c r="Q111" t="s">
        <v>47</v>
      </c>
      <c r="R111" t="s">
        <v>123</v>
      </c>
      <c r="U111" t="s">
        <v>50</v>
      </c>
      <c r="V111" t="s">
        <v>51</v>
      </c>
      <c r="X111" t="s">
        <v>125</v>
      </c>
      <c r="Y111" t="s">
        <v>137</v>
      </c>
      <c r="AA111">
        <v>0</v>
      </c>
      <c r="AB111" t="s">
        <v>79</v>
      </c>
      <c r="AC111" t="s">
        <v>127</v>
      </c>
      <c r="AD111">
        <v>36</v>
      </c>
      <c r="AE111">
        <v>9</v>
      </c>
      <c r="AF111">
        <v>3</v>
      </c>
      <c r="AG111">
        <v>2025</v>
      </c>
      <c r="AH111" s="2">
        <v>2400</v>
      </c>
      <c r="AI111" s="2">
        <v>4170.70703125</v>
      </c>
      <c r="AJ111" s="2">
        <f t="shared" si="8"/>
        <v>1770.70703125</v>
      </c>
      <c r="AK111" s="6">
        <f t="shared" si="9"/>
        <v>0.73779459635416667</v>
      </c>
      <c r="AL111" s="12">
        <v>2400</v>
      </c>
      <c r="AM111" s="12">
        <v>4762.890272983158</v>
      </c>
      <c r="AN111" s="12">
        <f t="shared" si="10"/>
        <v>2362.890272983158</v>
      </c>
      <c r="AO111" s="13">
        <f t="shared" si="11"/>
        <v>0.98453761374298243</v>
      </c>
      <c r="AP111" s="16">
        <v>2400</v>
      </c>
      <c r="AQ111" s="16">
        <v>4221.3425991099484</v>
      </c>
      <c r="AR111" s="16">
        <f t="shared" si="12"/>
        <v>1821.3425991099484</v>
      </c>
      <c r="AS111" s="17">
        <f t="shared" si="13"/>
        <v>0.75889274962914521</v>
      </c>
      <c r="AT111" s="20">
        <v>2400</v>
      </c>
      <c r="AU111" s="20">
        <v>4263.64892578125</v>
      </c>
      <c r="AV111" s="20">
        <f t="shared" si="14"/>
        <v>1863.64892578125</v>
      </c>
      <c r="AW111" s="21">
        <f t="shared" si="15"/>
        <v>0.77652038574218751</v>
      </c>
    </row>
    <row r="112" spans="1:49" x14ac:dyDescent="0.25">
      <c r="A112" t="s">
        <v>38</v>
      </c>
      <c r="B112" t="s">
        <v>96</v>
      </c>
      <c r="C112">
        <v>98752</v>
      </c>
      <c r="D112">
        <v>2018</v>
      </c>
      <c r="E112" t="s">
        <v>97</v>
      </c>
      <c r="F112" t="s">
        <v>363</v>
      </c>
      <c r="G112" t="s">
        <v>364</v>
      </c>
      <c r="I112">
        <v>4</v>
      </c>
      <c r="J112" t="s">
        <v>61</v>
      </c>
      <c r="K112">
        <v>4</v>
      </c>
      <c r="L112" t="s">
        <v>44</v>
      </c>
      <c r="M112">
        <v>1.4</v>
      </c>
      <c r="N112" t="s">
        <v>45</v>
      </c>
      <c r="O112" t="s">
        <v>100</v>
      </c>
      <c r="P112">
        <v>2</v>
      </c>
      <c r="Q112" t="s">
        <v>62</v>
      </c>
      <c r="R112" t="s">
        <v>63</v>
      </c>
      <c r="S112" t="s">
        <v>101</v>
      </c>
      <c r="U112" t="s">
        <v>50</v>
      </c>
      <c r="W112" t="s">
        <v>365</v>
      </c>
      <c r="X112" t="s">
        <v>65</v>
      </c>
      <c r="Y112" t="s">
        <v>126</v>
      </c>
      <c r="Z112">
        <v>27300</v>
      </c>
      <c r="AA112">
        <v>0</v>
      </c>
      <c r="AB112" t="s">
        <v>79</v>
      </c>
      <c r="AC112" t="s">
        <v>87</v>
      </c>
      <c r="AD112">
        <v>36</v>
      </c>
      <c r="AE112">
        <v>9</v>
      </c>
      <c r="AF112">
        <v>3</v>
      </c>
      <c r="AG112">
        <v>2025</v>
      </c>
      <c r="AH112" s="2">
        <v>3900</v>
      </c>
      <c r="AI112" s="2">
        <v>3136.602294921875</v>
      </c>
      <c r="AJ112" s="2">
        <f t="shared" si="8"/>
        <v>763.397705078125</v>
      </c>
      <c r="AK112" s="6">
        <f t="shared" si="9"/>
        <v>0.19574300130208333</v>
      </c>
      <c r="AL112" s="12">
        <v>3900</v>
      </c>
      <c r="AM112" s="12">
        <v>3354.884168666214</v>
      </c>
      <c r="AN112" s="12">
        <f t="shared" si="10"/>
        <v>545.11583133378599</v>
      </c>
      <c r="AO112" s="13">
        <f t="shared" si="11"/>
        <v>0.13977329008558614</v>
      </c>
      <c r="AP112" s="16">
        <v>3900</v>
      </c>
      <c r="AQ112" s="16">
        <v>3055.1085280728212</v>
      </c>
      <c r="AR112" s="16">
        <f t="shared" si="12"/>
        <v>844.89147192717883</v>
      </c>
      <c r="AS112" s="17">
        <f t="shared" si="13"/>
        <v>0.21663883895568689</v>
      </c>
      <c r="AT112" s="20">
        <v>3900</v>
      </c>
      <c r="AU112" s="20">
        <v>3176.295166015625</v>
      </c>
      <c r="AV112" s="20">
        <f t="shared" si="14"/>
        <v>723.704833984375</v>
      </c>
      <c r="AW112" s="21">
        <f t="shared" si="15"/>
        <v>0.18556534204727565</v>
      </c>
    </row>
    <row r="113" spans="1:49" x14ac:dyDescent="0.25">
      <c r="A113" t="s">
        <v>38</v>
      </c>
      <c r="B113" t="s">
        <v>68</v>
      </c>
      <c r="C113">
        <v>79942</v>
      </c>
      <c r="D113">
        <v>2014</v>
      </c>
      <c r="E113" t="s">
        <v>366</v>
      </c>
      <c r="F113" t="s">
        <v>367</v>
      </c>
      <c r="I113">
        <v>6</v>
      </c>
      <c r="J113" t="s">
        <v>122</v>
      </c>
      <c r="K113">
        <v>2</v>
      </c>
      <c r="L113" t="s">
        <v>44</v>
      </c>
      <c r="M113">
        <v>2.7</v>
      </c>
      <c r="N113" t="s">
        <v>73</v>
      </c>
      <c r="O113" t="s">
        <v>46</v>
      </c>
      <c r="Q113" t="s">
        <v>47</v>
      </c>
      <c r="R113" t="s">
        <v>197</v>
      </c>
      <c r="T113">
        <v>275</v>
      </c>
      <c r="U113" t="s">
        <v>50</v>
      </c>
      <c r="X113" t="s">
        <v>53</v>
      </c>
      <c r="Y113" t="s">
        <v>137</v>
      </c>
      <c r="AA113">
        <v>0</v>
      </c>
      <c r="AB113" t="s">
        <v>79</v>
      </c>
      <c r="AC113" t="s">
        <v>197</v>
      </c>
      <c r="AD113">
        <v>36</v>
      </c>
      <c r="AE113">
        <v>9</v>
      </c>
      <c r="AF113">
        <v>3</v>
      </c>
      <c r="AG113">
        <v>2025</v>
      </c>
      <c r="AH113" s="2">
        <v>19000</v>
      </c>
      <c r="AI113" s="2">
        <v>15770.2373046875</v>
      </c>
      <c r="AJ113" s="2">
        <f t="shared" si="8"/>
        <v>3229.7626953125</v>
      </c>
      <c r="AK113" s="6">
        <f t="shared" si="9"/>
        <v>0.16998751027960526</v>
      </c>
      <c r="AL113" s="12">
        <v>19000</v>
      </c>
      <c r="AM113" s="12">
        <v>14081.627140543549</v>
      </c>
      <c r="AN113" s="12">
        <f t="shared" si="10"/>
        <v>4918.3728594564509</v>
      </c>
      <c r="AO113" s="13">
        <f t="shared" si="11"/>
        <v>0.25886172944507635</v>
      </c>
      <c r="AP113" s="16">
        <v>19000</v>
      </c>
      <c r="AQ113" s="16">
        <v>12528.509505909091</v>
      </c>
      <c r="AR113" s="16">
        <f t="shared" si="12"/>
        <v>6471.4904940909091</v>
      </c>
      <c r="AS113" s="17">
        <f t="shared" si="13"/>
        <v>0.34060476284688995</v>
      </c>
      <c r="AT113" s="20">
        <v>19000</v>
      </c>
      <c r="AU113" s="20">
        <v>15395.0712890625</v>
      </c>
      <c r="AV113" s="20">
        <f t="shared" si="14"/>
        <v>3604.9287109375</v>
      </c>
      <c r="AW113" s="21">
        <f t="shared" si="15"/>
        <v>0.18973309004934211</v>
      </c>
    </row>
    <row r="114" spans="1:49" x14ac:dyDescent="0.25">
      <c r="A114" t="s">
        <v>114</v>
      </c>
      <c r="B114" t="s">
        <v>340</v>
      </c>
      <c r="C114">
        <v>151698</v>
      </c>
      <c r="D114">
        <v>2008</v>
      </c>
      <c r="E114" t="s">
        <v>40</v>
      </c>
      <c r="F114" t="s">
        <v>297</v>
      </c>
      <c r="H114" t="s">
        <v>368</v>
      </c>
      <c r="I114">
        <v>4</v>
      </c>
      <c r="J114" t="s">
        <v>135</v>
      </c>
      <c r="K114">
        <v>4</v>
      </c>
      <c r="L114" t="s">
        <v>44</v>
      </c>
      <c r="M114">
        <v>2.4</v>
      </c>
      <c r="N114" t="s">
        <v>45</v>
      </c>
      <c r="O114" t="s">
        <v>46</v>
      </c>
      <c r="P114">
        <v>3</v>
      </c>
      <c r="Q114" t="s">
        <v>47</v>
      </c>
      <c r="R114" t="s">
        <v>123</v>
      </c>
      <c r="S114" t="s">
        <v>49</v>
      </c>
      <c r="T114">
        <v>158</v>
      </c>
      <c r="U114" t="s">
        <v>50</v>
      </c>
      <c r="V114" t="s">
        <v>51</v>
      </c>
      <c r="W114" t="s">
        <v>369</v>
      </c>
      <c r="X114" t="s">
        <v>125</v>
      </c>
      <c r="Y114" t="s">
        <v>78</v>
      </c>
      <c r="AA114">
        <v>0</v>
      </c>
      <c r="AB114" t="s">
        <v>79</v>
      </c>
      <c r="AC114" t="s">
        <v>127</v>
      </c>
      <c r="AD114">
        <v>36</v>
      </c>
      <c r="AE114">
        <v>9</v>
      </c>
      <c r="AF114">
        <v>3</v>
      </c>
      <c r="AG114">
        <v>2025</v>
      </c>
      <c r="AH114" s="2">
        <v>1700</v>
      </c>
      <c r="AI114" s="2">
        <v>1782.510864257812</v>
      </c>
      <c r="AJ114" s="2">
        <f t="shared" si="8"/>
        <v>82.510864257812045</v>
      </c>
      <c r="AK114" s="6">
        <f t="shared" si="9"/>
        <v>4.853580250459532E-2</v>
      </c>
      <c r="AL114" s="12">
        <v>1700</v>
      </c>
      <c r="AM114" s="12">
        <v>1611.4156587187081</v>
      </c>
      <c r="AN114" s="12">
        <f t="shared" si="10"/>
        <v>88.584341281291927</v>
      </c>
      <c r="AO114" s="13">
        <f t="shared" si="11"/>
        <v>5.2108436047818778E-2</v>
      </c>
      <c r="AP114" s="16">
        <v>1700</v>
      </c>
      <c r="AQ114" s="16">
        <v>1270.4315715857349</v>
      </c>
      <c r="AR114" s="16">
        <f t="shared" si="12"/>
        <v>429.5684284142651</v>
      </c>
      <c r="AS114" s="17">
        <f t="shared" si="13"/>
        <v>0.25268731083192064</v>
      </c>
      <c r="AT114" s="20">
        <v>1700</v>
      </c>
      <c r="AU114" s="20">
        <v>1752.962158203125</v>
      </c>
      <c r="AV114" s="20">
        <f t="shared" si="14"/>
        <v>52.962158203125</v>
      </c>
      <c r="AW114" s="21">
        <f t="shared" si="15"/>
        <v>3.1154210707720589E-2</v>
      </c>
    </row>
    <row r="115" spans="1:49" x14ac:dyDescent="0.25">
      <c r="A115" t="s">
        <v>38</v>
      </c>
      <c r="B115" t="s">
        <v>370</v>
      </c>
      <c r="C115">
        <v>54416</v>
      </c>
      <c r="D115">
        <v>2023</v>
      </c>
      <c r="E115" t="s">
        <v>97</v>
      </c>
      <c r="F115" t="s">
        <v>198</v>
      </c>
      <c r="G115" t="s">
        <v>364</v>
      </c>
      <c r="I115">
        <v>6</v>
      </c>
      <c r="K115">
        <v>4</v>
      </c>
      <c r="L115" t="s">
        <v>371</v>
      </c>
      <c r="M115">
        <v>3.6</v>
      </c>
      <c r="N115" t="s">
        <v>45</v>
      </c>
      <c r="O115" t="s">
        <v>46</v>
      </c>
      <c r="Q115" t="s">
        <v>62</v>
      </c>
      <c r="R115" t="s">
        <v>63</v>
      </c>
      <c r="S115" t="s">
        <v>101</v>
      </c>
      <c r="U115" t="s">
        <v>50</v>
      </c>
      <c r="V115" t="s">
        <v>76</v>
      </c>
      <c r="W115" t="s">
        <v>372</v>
      </c>
      <c r="X115" t="s">
        <v>94</v>
      </c>
      <c r="Y115" t="s">
        <v>78</v>
      </c>
      <c r="AA115">
        <v>0</v>
      </c>
      <c r="AB115" t="s">
        <v>79</v>
      </c>
      <c r="AC115" t="s">
        <v>87</v>
      </c>
      <c r="AD115">
        <v>36</v>
      </c>
      <c r="AE115">
        <v>9</v>
      </c>
      <c r="AF115">
        <v>3</v>
      </c>
      <c r="AG115">
        <v>2025</v>
      </c>
      <c r="AH115" s="2">
        <v>34400</v>
      </c>
      <c r="AI115" s="2">
        <v>28884.232421875</v>
      </c>
      <c r="AJ115" s="2">
        <f t="shared" si="8"/>
        <v>5515.767578125</v>
      </c>
      <c r="AK115" s="6">
        <f t="shared" si="9"/>
        <v>0.16034208075944767</v>
      </c>
      <c r="AL115" s="12">
        <v>34400</v>
      </c>
      <c r="AM115" s="12">
        <v>26189.70918855735</v>
      </c>
      <c r="AN115" s="12">
        <f t="shared" si="10"/>
        <v>8210.29081144265</v>
      </c>
      <c r="AO115" s="13">
        <f t="shared" si="11"/>
        <v>0.23867124451868169</v>
      </c>
      <c r="AP115" s="16">
        <v>34400</v>
      </c>
      <c r="AQ115" s="16">
        <v>25559.96522808418</v>
      </c>
      <c r="AR115" s="16">
        <f t="shared" si="12"/>
        <v>8840.0347719158199</v>
      </c>
      <c r="AS115" s="17">
        <f t="shared" si="13"/>
        <v>0.25697775499755288</v>
      </c>
      <c r="AT115" s="20">
        <v>34400</v>
      </c>
      <c r="AU115" s="20">
        <v>28263.125</v>
      </c>
      <c r="AV115" s="20">
        <f t="shared" si="14"/>
        <v>6136.875</v>
      </c>
      <c r="AW115" s="21">
        <f t="shared" si="15"/>
        <v>0.17839752906976744</v>
      </c>
    </row>
    <row r="116" spans="1:49" x14ac:dyDescent="0.25">
      <c r="A116" t="s">
        <v>128</v>
      </c>
      <c r="B116" t="s">
        <v>210</v>
      </c>
      <c r="C116">
        <v>170099</v>
      </c>
      <c r="D116">
        <v>2008</v>
      </c>
      <c r="E116" t="s">
        <v>142</v>
      </c>
      <c r="F116" t="s">
        <v>373</v>
      </c>
      <c r="G116" t="s">
        <v>374</v>
      </c>
      <c r="H116" t="s">
        <v>375</v>
      </c>
      <c r="I116">
        <v>6</v>
      </c>
      <c r="J116" t="s">
        <v>135</v>
      </c>
      <c r="K116">
        <v>4</v>
      </c>
      <c r="L116" t="s">
        <v>44</v>
      </c>
      <c r="M116">
        <v>3.7</v>
      </c>
      <c r="N116" t="s">
        <v>73</v>
      </c>
      <c r="O116" t="s">
        <v>46</v>
      </c>
      <c r="Q116" t="s">
        <v>62</v>
      </c>
      <c r="R116" t="s">
        <v>63</v>
      </c>
      <c r="S116" t="s">
        <v>49</v>
      </c>
      <c r="U116" t="s">
        <v>50</v>
      </c>
      <c r="V116" t="s">
        <v>76</v>
      </c>
      <c r="X116" t="s">
        <v>141</v>
      </c>
      <c r="Y116" t="s">
        <v>78</v>
      </c>
      <c r="AA116">
        <v>0</v>
      </c>
      <c r="AB116" t="s">
        <v>79</v>
      </c>
      <c r="AC116" t="s">
        <v>87</v>
      </c>
      <c r="AD116">
        <v>36</v>
      </c>
      <c r="AE116">
        <v>9</v>
      </c>
      <c r="AF116">
        <v>3</v>
      </c>
      <c r="AG116">
        <v>2025</v>
      </c>
      <c r="AH116" s="2">
        <v>950</v>
      </c>
      <c r="AI116" s="2">
        <v>1328.353637695312</v>
      </c>
      <c r="AJ116" s="2">
        <f t="shared" si="8"/>
        <v>378.35363769531205</v>
      </c>
      <c r="AK116" s="6">
        <f t="shared" si="9"/>
        <v>0.39826698704769686</v>
      </c>
      <c r="AL116" s="12">
        <v>950</v>
      </c>
      <c r="AM116" s="12">
        <v>1511.6791089792271</v>
      </c>
      <c r="AN116" s="12">
        <f t="shared" si="10"/>
        <v>561.67910897922707</v>
      </c>
      <c r="AO116" s="13">
        <f t="shared" si="11"/>
        <v>0.59124116734655485</v>
      </c>
      <c r="AP116" s="16">
        <v>950</v>
      </c>
      <c r="AQ116" s="16">
        <v>1100.028261637457</v>
      </c>
      <c r="AR116" s="16">
        <f t="shared" si="12"/>
        <v>150.02826163745704</v>
      </c>
      <c r="AS116" s="17">
        <f t="shared" si="13"/>
        <v>0.1579244859341653</v>
      </c>
      <c r="AT116" s="20">
        <v>950</v>
      </c>
      <c r="AU116" s="20">
        <v>1299.368530273438</v>
      </c>
      <c r="AV116" s="20">
        <f t="shared" si="14"/>
        <v>349.36853027343795</v>
      </c>
      <c r="AW116" s="21">
        <f t="shared" si="15"/>
        <v>0.36775634765625048</v>
      </c>
    </row>
    <row r="117" spans="1:49" x14ac:dyDescent="0.25">
      <c r="A117" t="s">
        <v>81</v>
      </c>
      <c r="B117" t="s">
        <v>82</v>
      </c>
      <c r="C117">
        <v>118060</v>
      </c>
      <c r="D117">
        <v>2004</v>
      </c>
      <c r="E117" t="s">
        <v>40</v>
      </c>
      <c r="F117" t="s">
        <v>201</v>
      </c>
      <c r="H117" t="s">
        <v>376</v>
      </c>
      <c r="I117">
        <v>4</v>
      </c>
      <c r="J117" t="s">
        <v>206</v>
      </c>
      <c r="K117">
        <v>4</v>
      </c>
      <c r="L117" t="s">
        <v>44</v>
      </c>
      <c r="M117">
        <v>1.8</v>
      </c>
      <c r="N117" t="s">
        <v>45</v>
      </c>
      <c r="O117" t="s">
        <v>46</v>
      </c>
      <c r="Q117" t="s">
        <v>47</v>
      </c>
      <c r="R117" t="s">
        <v>123</v>
      </c>
      <c r="S117" t="s">
        <v>49</v>
      </c>
      <c r="U117" t="s">
        <v>50</v>
      </c>
      <c r="V117" t="s">
        <v>51</v>
      </c>
      <c r="W117" t="s">
        <v>377</v>
      </c>
      <c r="X117" t="s">
        <v>125</v>
      </c>
      <c r="Y117" t="s">
        <v>103</v>
      </c>
      <c r="AA117">
        <v>0</v>
      </c>
      <c r="AB117" t="s">
        <v>79</v>
      </c>
      <c r="AC117" t="s">
        <v>127</v>
      </c>
      <c r="AD117">
        <v>36</v>
      </c>
      <c r="AE117">
        <v>9</v>
      </c>
      <c r="AF117">
        <v>3</v>
      </c>
      <c r="AG117">
        <v>2025</v>
      </c>
      <c r="AH117" s="2">
        <v>2000</v>
      </c>
      <c r="AI117" s="2">
        <v>1329.472900390625</v>
      </c>
      <c r="AJ117" s="2">
        <f t="shared" si="8"/>
        <v>670.527099609375</v>
      </c>
      <c r="AK117" s="6">
        <f t="shared" si="9"/>
        <v>0.33526354980468748</v>
      </c>
      <c r="AL117" s="12">
        <v>2000</v>
      </c>
      <c r="AM117" s="12">
        <v>1304.479883600658</v>
      </c>
      <c r="AN117" s="12">
        <f t="shared" si="10"/>
        <v>695.52011639934199</v>
      </c>
      <c r="AO117" s="13">
        <f t="shared" si="11"/>
        <v>0.34776005819967098</v>
      </c>
      <c r="AP117" s="16">
        <v>2000</v>
      </c>
      <c r="AQ117" s="16">
        <v>923.45043409044843</v>
      </c>
      <c r="AR117" s="16">
        <f t="shared" si="12"/>
        <v>1076.5495659095516</v>
      </c>
      <c r="AS117" s="17">
        <f t="shared" si="13"/>
        <v>0.53827478295477582</v>
      </c>
      <c r="AT117" s="20">
        <v>2000</v>
      </c>
      <c r="AU117" s="20">
        <v>1276.1552734375</v>
      </c>
      <c r="AV117" s="20">
        <f t="shared" si="14"/>
        <v>723.8447265625</v>
      </c>
      <c r="AW117" s="21">
        <f t="shared" si="15"/>
        <v>0.36192236328124999</v>
      </c>
    </row>
    <row r="118" spans="1:49" x14ac:dyDescent="0.25">
      <c r="A118" t="s">
        <v>38</v>
      </c>
      <c r="B118" t="s">
        <v>96</v>
      </c>
      <c r="C118">
        <v>134423</v>
      </c>
      <c r="D118">
        <v>2019</v>
      </c>
      <c r="E118" t="s">
        <v>97</v>
      </c>
      <c r="F118" t="s">
        <v>363</v>
      </c>
      <c r="G118" t="s">
        <v>130</v>
      </c>
      <c r="I118">
        <v>4</v>
      </c>
      <c r="J118" t="s">
        <v>43</v>
      </c>
      <c r="K118">
        <v>4</v>
      </c>
      <c r="L118" t="s">
        <v>44</v>
      </c>
      <c r="M118">
        <v>1.4</v>
      </c>
      <c r="N118" t="s">
        <v>45</v>
      </c>
      <c r="O118" t="s">
        <v>46</v>
      </c>
      <c r="P118">
        <v>2</v>
      </c>
      <c r="Q118" t="s">
        <v>62</v>
      </c>
      <c r="R118" t="s">
        <v>63</v>
      </c>
      <c r="S118" t="s">
        <v>101</v>
      </c>
      <c r="U118" t="s">
        <v>50</v>
      </c>
      <c r="W118" t="s">
        <v>365</v>
      </c>
      <c r="X118" t="s">
        <v>65</v>
      </c>
      <c r="Y118" t="s">
        <v>126</v>
      </c>
      <c r="Z118">
        <v>24195</v>
      </c>
      <c r="AA118">
        <v>0</v>
      </c>
      <c r="AB118" t="s">
        <v>79</v>
      </c>
      <c r="AC118" t="s">
        <v>87</v>
      </c>
      <c r="AD118">
        <v>36</v>
      </c>
      <c r="AE118">
        <v>9</v>
      </c>
      <c r="AF118">
        <v>3</v>
      </c>
      <c r="AG118">
        <v>2025</v>
      </c>
      <c r="AH118" s="2">
        <v>3600</v>
      </c>
      <c r="AI118" s="2">
        <v>4181.5703125</v>
      </c>
      <c r="AJ118" s="2">
        <f t="shared" si="8"/>
        <v>581.5703125</v>
      </c>
      <c r="AK118" s="6">
        <f t="shared" si="9"/>
        <v>0.16154730902777778</v>
      </c>
      <c r="AL118" s="12">
        <v>3600</v>
      </c>
      <c r="AM118" s="12">
        <v>4282.5436123068976</v>
      </c>
      <c r="AN118" s="12">
        <f t="shared" si="10"/>
        <v>682.54361230689756</v>
      </c>
      <c r="AO118" s="13">
        <f t="shared" si="11"/>
        <v>0.18959544786302709</v>
      </c>
      <c r="AP118" s="16">
        <v>3600</v>
      </c>
      <c r="AQ118" s="16">
        <v>3309.112204493832</v>
      </c>
      <c r="AR118" s="16">
        <f t="shared" si="12"/>
        <v>290.887795506168</v>
      </c>
      <c r="AS118" s="17">
        <f t="shared" si="13"/>
        <v>8.0802165418380006E-2</v>
      </c>
      <c r="AT118" s="20">
        <v>3600</v>
      </c>
      <c r="AU118" s="20">
        <v>4259.59619140625</v>
      </c>
      <c r="AV118" s="20">
        <f t="shared" si="14"/>
        <v>659.59619140625</v>
      </c>
      <c r="AW118" s="21">
        <f t="shared" si="15"/>
        <v>0.18322116427951388</v>
      </c>
    </row>
    <row r="119" spans="1:49" x14ac:dyDescent="0.25">
      <c r="A119" t="s">
        <v>38</v>
      </c>
      <c r="B119" t="s">
        <v>96</v>
      </c>
      <c r="C119">
        <v>103637</v>
      </c>
      <c r="D119">
        <v>2013</v>
      </c>
      <c r="E119" t="s">
        <v>69</v>
      </c>
      <c r="F119" t="s">
        <v>231</v>
      </c>
      <c r="I119">
        <v>8</v>
      </c>
      <c r="J119" t="s">
        <v>72</v>
      </c>
      <c r="K119">
        <v>4</v>
      </c>
      <c r="L119" t="s">
        <v>44</v>
      </c>
      <c r="M119">
        <v>5</v>
      </c>
      <c r="N119" t="s">
        <v>73</v>
      </c>
      <c r="O119" t="s">
        <v>46</v>
      </c>
      <c r="P119">
        <v>2</v>
      </c>
      <c r="Q119" t="s">
        <v>74</v>
      </c>
      <c r="R119" t="s">
        <v>92</v>
      </c>
      <c r="S119" t="s">
        <v>49</v>
      </c>
      <c r="T119">
        <v>360</v>
      </c>
      <c r="U119" t="s">
        <v>50</v>
      </c>
      <c r="V119" t="s">
        <v>76</v>
      </c>
      <c r="X119" t="s">
        <v>108</v>
      </c>
      <c r="Y119" t="s">
        <v>78</v>
      </c>
      <c r="AA119">
        <v>0</v>
      </c>
      <c r="AB119" t="s">
        <v>79</v>
      </c>
      <c r="AC119" t="s">
        <v>95</v>
      </c>
      <c r="AD119">
        <v>36</v>
      </c>
      <c r="AE119">
        <v>9</v>
      </c>
      <c r="AF119">
        <v>3</v>
      </c>
      <c r="AG119">
        <v>2025</v>
      </c>
      <c r="AH119" s="2">
        <v>9000</v>
      </c>
      <c r="AI119" s="2">
        <v>6468.1953125</v>
      </c>
      <c r="AJ119" s="2">
        <f t="shared" si="8"/>
        <v>2531.8046875</v>
      </c>
      <c r="AK119" s="6">
        <f t="shared" si="9"/>
        <v>0.28131163194444442</v>
      </c>
      <c r="AL119" s="12">
        <v>9000</v>
      </c>
      <c r="AM119" s="12">
        <v>7291.0819822823296</v>
      </c>
      <c r="AN119" s="12">
        <f t="shared" si="10"/>
        <v>1708.9180177176704</v>
      </c>
      <c r="AO119" s="13">
        <f t="shared" si="11"/>
        <v>0.18987977974640782</v>
      </c>
      <c r="AP119" s="16">
        <v>9000</v>
      </c>
      <c r="AQ119" s="16">
        <v>6525.5605894550199</v>
      </c>
      <c r="AR119" s="16">
        <f t="shared" si="12"/>
        <v>2474.4394105449801</v>
      </c>
      <c r="AS119" s="17">
        <f t="shared" si="13"/>
        <v>0.27493771228277558</v>
      </c>
      <c r="AT119" s="20">
        <v>9000</v>
      </c>
      <c r="AU119" s="20">
        <v>6636.78271484375</v>
      </c>
      <c r="AV119" s="20">
        <f t="shared" si="14"/>
        <v>2363.21728515625</v>
      </c>
      <c r="AW119" s="21">
        <f t="shared" si="15"/>
        <v>0.26257969835069445</v>
      </c>
    </row>
    <row r="120" spans="1:49" x14ac:dyDescent="0.25">
      <c r="A120" t="s">
        <v>38</v>
      </c>
      <c r="B120" t="s">
        <v>39</v>
      </c>
      <c r="C120">
        <v>174023</v>
      </c>
      <c r="D120">
        <v>2012</v>
      </c>
      <c r="E120" t="s">
        <v>69</v>
      </c>
      <c r="F120" t="s">
        <v>231</v>
      </c>
      <c r="I120">
        <v>6</v>
      </c>
      <c r="J120" t="s">
        <v>61</v>
      </c>
      <c r="K120">
        <v>4</v>
      </c>
      <c r="L120" t="s">
        <v>44</v>
      </c>
      <c r="M120">
        <v>3.5</v>
      </c>
      <c r="N120" t="s">
        <v>73</v>
      </c>
      <c r="O120" t="s">
        <v>46</v>
      </c>
      <c r="Q120" t="s">
        <v>74</v>
      </c>
      <c r="R120" t="s">
        <v>92</v>
      </c>
      <c r="S120" t="s">
        <v>49</v>
      </c>
      <c r="T120">
        <v>365</v>
      </c>
      <c r="U120" t="s">
        <v>50</v>
      </c>
      <c r="V120" t="s">
        <v>76</v>
      </c>
      <c r="X120" t="s">
        <v>108</v>
      </c>
      <c r="Y120" t="s">
        <v>78</v>
      </c>
      <c r="AA120">
        <v>0</v>
      </c>
      <c r="AB120" t="s">
        <v>79</v>
      </c>
      <c r="AC120" t="s">
        <v>95</v>
      </c>
      <c r="AD120">
        <v>36</v>
      </c>
      <c r="AE120">
        <v>9</v>
      </c>
      <c r="AF120">
        <v>3</v>
      </c>
      <c r="AG120">
        <v>2025</v>
      </c>
      <c r="AH120" s="2">
        <v>6000</v>
      </c>
      <c r="AI120" s="2">
        <v>5798.53515625</v>
      </c>
      <c r="AJ120" s="2">
        <f t="shared" si="8"/>
        <v>201.46484375</v>
      </c>
      <c r="AK120" s="6">
        <f t="shared" si="9"/>
        <v>3.3577473958333333E-2</v>
      </c>
      <c r="AL120" s="12">
        <v>6000</v>
      </c>
      <c r="AM120" s="12">
        <v>4923.6610813550587</v>
      </c>
      <c r="AN120" s="12">
        <f t="shared" si="10"/>
        <v>1076.3389186449413</v>
      </c>
      <c r="AO120" s="13">
        <f t="shared" si="11"/>
        <v>0.17938981977415688</v>
      </c>
      <c r="AP120" s="16">
        <v>6000</v>
      </c>
      <c r="AQ120" s="16">
        <v>5373.2576224553977</v>
      </c>
      <c r="AR120" s="16">
        <f t="shared" si="12"/>
        <v>626.74237754460228</v>
      </c>
      <c r="AS120" s="17">
        <f t="shared" si="13"/>
        <v>0.10445706292410038</v>
      </c>
      <c r="AT120" s="20">
        <v>6000</v>
      </c>
      <c r="AU120" s="20">
        <v>5786.0654296875</v>
      </c>
      <c r="AV120" s="20">
        <f t="shared" si="14"/>
        <v>213.9345703125</v>
      </c>
      <c r="AW120" s="21">
        <f t="shared" si="15"/>
        <v>3.5655761718749998E-2</v>
      </c>
    </row>
    <row r="121" spans="1:49" x14ac:dyDescent="0.25">
      <c r="A121" t="s">
        <v>128</v>
      </c>
      <c r="B121" t="s">
        <v>129</v>
      </c>
      <c r="C121">
        <v>163688</v>
      </c>
      <c r="D121">
        <v>2019</v>
      </c>
      <c r="E121" t="s">
        <v>58</v>
      </c>
      <c r="F121" t="s">
        <v>220</v>
      </c>
      <c r="G121" t="s">
        <v>378</v>
      </c>
      <c r="I121">
        <v>4</v>
      </c>
      <c r="J121" t="s">
        <v>61</v>
      </c>
      <c r="K121">
        <v>4</v>
      </c>
      <c r="L121" t="s">
        <v>44</v>
      </c>
      <c r="M121">
        <v>2.4</v>
      </c>
      <c r="N121" t="s">
        <v>45</v>
      </c>
      <c r="O121" t="s">
        <v>46</v>
      </c>
      <c r="P121">
        <v>1</v>
      </c>
      <c r="Q121" t="s">
        <v>62</v>
      </c>
      <c r="R121" t="s">
        <v>63</v>
      </c>
      <c r="S121" t="s">
        <v>49</v>
      </c>
      <c r="T121">
        <v>185</v>
      </c>
      <c r="U121" t="s">
        <v>50</v>
      </c>
      <c r="W121" t="s">
        <v>300</v>
      </c>
      <c r="X121" t="s">
        <v>141</v>
      </c>
      <c r="Y121" t="s">
        <v>78</v>
      </c>
      <c r="AA121">
        <v>0</v>
      </c>
      <c r="AB121" t="s">
        <v>79</v>
      </c>
      <c r="AC121" t="s">
        <v>87</v>
      </c>
      <c r="AD121">
        <v>36</v>
      </c>
      <c r="AE121">
        <v>9</v>
      </c>
      <c r="AF121">
        <v>3</v>
      </c>
      <c r="AG121">
        <v>2025</v>
      </c>
      <c r="AH121" s="2">
        <v>2000</v>
      </c>
      <c r="AI121" s="2">
        <v>2363.469970703125</v>
      </c>
      <c r="AJ121" s="2">
        <f t="shared" si="8"/>
        <v>363.469970703125</v>
      </c>
      <c r="AK121" s="6">
        <f t="shared" si="9"/>
        <v>0.18173498535156249</v>
      </c>
      <c r="AL121" s="12">
        <v>2000</v>
      </c>
      <c r="AM121" s="12">
        <v>2930.9836189313301</v>
      </c>
      <c r="AN121" s="12">
        <f t="shared" si="10"/>
        <v>930.98361893133006</v>
      </c>
      <c r="AO121" s="13">
        <f t="shared" si="11"/>
        <v>0.46549180946566504</v>
      </c>
      <c r="AP121" s="16">
        <v>2000</v>
      </c>
      <c r="AQ121" s="16">
        <v>2615.6730969561781</v>
      </c>
      <c r="AR121" s="16">
        <f t="shared" si="12"/>
        <v>615.67309695617814</v>
      </c>
      <c r="AS121" s="17">
        <f t="shared" si="13"/>
        <v>0.30783654847808906</v>
      </c>
      <c r="AT121" s="20">
        <v>2000</v>
      </c>
      <c r="AU121" s="20">
        <v>2418.4384765625</v>
      </c>
      <c r="AV121" s="20">
        <f t="shared" si="14"/>
        <v>418.4384765625</v>
      </c>
      <c r="AW121" s="21">
        <f t="shared" si="15"/>
        <v>0.20921923828125</v>
      </c>
    </row>
    <row r="122" spans="1:49" x14ac:dyDescent="0.25">
      <c r="A122" t="s">
        <v>128</v>
      </c>
      <c r="B122" t="s">
        <v>129</v>
      </c>
      <c r="C122">
        <v>320697</v>
      </c>
      <c r="D122">
        <v>2011</v>
      </c>
      <c r="E122" t="s">
        <v>69</v>
      </c>
      <c r="F122" t="s">
        <v>258</v>
      </c>
      <c r="H122" t="s">
        <v>259</v>
      </c>
      <c r="I122">
        <v>8</v>
      </c>
      <c r="J122" t="s">
        <v>72</v>
      </c>
      <c r="K122">
        <v>4</v>
      </c>
      <c r="L122" t="s">
        <v>44</v>
      </c>
      <c r="M122">
        <v>6.7</v>
      </c>
      <c r="N122" t="s">
        <v>91</v>
      </c>
      <c r="Q122" t="s">
        <v>74</v>
      </c>
      <c r="R122" t="s">
        <v>92</v>
      </c>
      <c r="S122" t="s">
        <v>93</v>
      </c>
      <c r="T122">
        <v>400</v>
      </c>
      <c r="U122" t="s">
        <v>229</v>
      </c>
      <c r="V122" t="s">
        <v>76</v>
      </c>
      <c r="X122" t="s">
        <v>260</v>
      </c>
      <c r="Y122" t="s">
        <v>78</v>
      </c>
      <c r="AA122">
        <v>0</v>
      </c>
      <c r="AB122" t="s">
        <v>79</v>
      </c>
      <c r="AC122" t="s">
        <v>261</v>
      </c>
      <c r="AD122">
        <v>36</v>
      </c>
      <c r="AE122">
        <v>9</v>
      </c>
      <c r="AF122">
        <v>3</v>
      </c>
      <c r="AG122">
        <v>2025</v>
      </c>
      <c r="AH122" s="2">
        <v>3600</v>
      </c>
      <c r="AI122" s="2">
        <v>4973.99365234375</v>
      </c>
      <c r="AJ122" s="2">
        <f t="shared" si="8"/>
        <v>1373.99365234375</v>
      </c>
      <c r="AK122" s="6">
        <f t="shared" si="9"/>
        <v>0.38166490342881942</v>
      </c>
      <c r="AL122" s="12">
        <v>3600</v>
      </c>
      <c r="AM122" s="12">
        <v>5505.431240899602</v>
      </c>
      <c r="AN122" s="12">
        <f t="shared" si="10"/>
        <v>1905.431240899602</v>
      </c>
      <c r="AO122" s="13">
        <f t="shared" si="11"/>
        <v>0.52928645580544498</v>
      </c>
      <c r="AP122" s="16">
        <v>3600</v>
      </c>
      <c r="AQ122" s="16">
        <v>5403.8049373890744</v>
      </c>
      <c r="AR122" s="16">
        <f t="shared" si="12"/>
        <v>1803.8049373890744</v>
      </c>
      <c r="AS122" s="17">
        <f t="shared" si="13"/>
        <v>0.5010569270525207</v>
      </c>
      <c r="AT122" s="20">
        <v>3600</v>
      </c>
      <c r="AU122" s="20">
        <v>5012.76416015625</v>
      </c>
      <c r="AV122" s="20">
        <f t="shared" si="14"/>
        <v>1412.76416015625</v>
      </c>
      <c r="AW122" s="21">
        <f t="shared" si="15"/>
        <v>0.39243448893229166</v>
      </c>
    </row>
    <row r="123" spans="1:49" x14ac:dyDescent="0.25">
      <c r="A123" t="s">
        <v>128</v>
      </c>
      <c r="B123" t="s">
        <v>210</v>
      </c>
      <c r="C123">
        <v>196327</v>
      </c>
      <c r="D123">
        <v>2013</v>
      </c>
      <c r="E123" t="s">
        <v>97</v>
      </c>
      <c r="F123" t="s">
        <v>379</v>
      </c>
      <c r="G123" t="s">
        <v>380</v>
      </c>
      <c r="I123">
        <v>4</v>
      </c>
      <c r="J123" t="s">
        <v>178</v>
      </c>
      <c r="K123">
        <v>4</v>
      </c>
      <c r="L123" t="s">
        <v>44</v>
      </c>
      <c r="M123">
        <v>1.4</v>
      </c>
      <c r="N123" t="s">
        <v>45</v>
      </c>
      <c r="O123" t="s">
        <v>46</v>
      </c>
      <c r="Q123" t="s">
        <v>47</v>
      </c>
      <c r="R123" t="s">
        <v>123</v>
      </c>
      <c r="U123" t="s">
        <v>50</v>
      </c>
      <c r="V123" t="s">
        <v>51</v>
      </c>
      <c r="W123" t="s">
        <v>381</v>
      </c>
      <c r="X123" t="s">
        <v>125</v>
      </c>
      <c r="Y123" t="s">
        <v>78</v>
      </c>
      <c r="AA123">
        <v>0</v>
      </c>
      <c r="AB123" t="s">
        <v>79</v>
      </c>
      <c r="AC123" t="s">
        <v>127</v>
      </c>
      <c r="AD123">
        <v>36</v>
      </c>
      <c r="AE123">
        <v>9</v>
      </c>
      <c r="AF123">
        <v>3</v>
      </c>
      <c r="AG123">
        <v>2025</v>
      </c>
      <c r="AH123" s="2">
        <v>850</v>
      </c>
      <c r="AI123" s="2">
        <v>1072.460083007812</v>
      </c>
      <c r="AJ123" s="2">
        <f t="shared" si="8"/>
        <v>222.46008300781205</v>
      </c>
      <c r="AK123" s="6">
        <f t="shared" si="9"/>
        <v>0.26171774471507298</v>
      </c>
      <c r="AL123" s="12">
        <v>850</v>
      </c>
      <c r="AM123" s="12">
        <v>1423.3862540080499</v>
      </c>
      <c r="AN123" s="12">
        <f t="shared" si="10"/>
        <v>573.38625400804995</v>
      </c>
      <c r="AO123" s="13">
        <f t="shared" si="11"/>
        <v>0.67457206353888233</v>
      </c>
      <c r="AP123" s="16">
        <v>850</v>
      </c>
      <c r="AQ123" s="16">
        <v>1124.0108054934869</v>
      </c>
      <c r="AR123" s="16">
        <f t="shared" si="12"/>
        <v>274.01080549348694</v>
      </c>
      <c r="AS123" s="17">
        <f t="shared" si="13"/>
        <v>0.32236565352174934</v>
      </c>
      <c r="AT123" s="20">
        <v>850</v>
      </c>
      <c r="AU123" s="20">
        <v>1055.925048828125</v>
      </c>
      <c r="AV123" s="20">
        <f t="shared" si="14"/>
        <v>205.925048828125</v>
      </c>
      <c r="AW123" s="21">
        <f t="shared" si="15"/>
        <v>0.2422647633272059</v>
      </c>
    </row>
    <row r="124" spans="1:49" x14ac:dyDescent="0.25">
      <c r="A124" t="s">
        <v>38</v>
      </c>
      <c r="B124" t="s">
        <v>57</v>
      </c>
      <c r="C124">
        <v>89976</v>
      </c>
      <c r="D124">
        <v>2020</v>
      </c>
      <c r="E124" t="s">
        <v>58</v>
      </c>
      <c r="F124" t="s">
        <v>382</v>
      </c>
      <c r="G124" t="s">
        <v>383</v>
      </c>
      <c r="I124">
        <v>6</v>
      </c>
      <c r="J124" t="s">
        <v>72</v>
      </c>
      <c r="K124">
        <v>4</v>
      </c>
      <c r="L124" t="s">
        <v>44</v>
      </c>
      <c r="M124">
        <v>3.8</v>
      </c>
      <c r="N124" t="s">
        <v>45</v>
      </c>
      <c r="O124" t="s">
        <v>46</v>
      </c>
      <c r="P124">
        <v>5</v>
      </c>
      <c r="Q124" t="s">
        <v>62</v>
      </c>
      <c r="R124" t="s">
        <v>63</v>
      </c>
      <c r="S124" t="s">
        <v>49</v>
      </c>
      <c r="T124">
        <v>291</v>
      </c>
      <c r="U124" t="s">
        <v>50</v>
      </c>
      <c r="V124" t="s">
        <v>76</v>
      </c>
      <c r="W124" t="s">
        <v>384</v>
      </c>
      <c r="X124" t="s">
        <v>141</v>
      </c>
      <c r="Y124" t="s">
        <v>78</v>
      </c>
      <c r="Z124">
        <v>41490</v>
      </c>
      <c r="AA124">
        <v>0</v>
      </c>
      <c r="AB124" t="s">
        <v>79</v>
      </c>
      <c r="AC124" t="s">
        <v>109</v>
      </c>
      <c r="AD124">
        <v>36</v>
      </c>
      <c r="AE124">
        <v>9</v>
      </c>
      <c r="AF124">
        <v>3</v>
      </c>
      <c r="AG124">
        <v>2025</v>
      </c>
      <c r="AH124" s="2">
        <v>20200</v>
      </c>
      <c r="AI124" s="2">
        <v>22058.490234375</v>
      </c>
      <c r="AJ124" s="2">
        <f t="shared" si="8"/>
        <v>1858.490234375</v>
      </c>
      <c r="AK124" s="6">
        <f t="shared" si="9"/>
        <v>9.2004467048267327E-2</v>
      </c>
      <c r="AL124" s="12">
        <v>20200</v>
      </c>
      <c r="AM124" s="12">
        <v>18243.872345383621</v>
      </c>
      <c r="AN124" s="12">
        <f t="shared" si="10"/>
        <v>1956.127654616379</v>
      </c>
      <c r="AO124" s="13">
        <f t="shared" si="11"/>
        <v>9.6838002703781137E-2</v>
      </c>
      <c r="AP124" s="16">
        <v>20200</v>
      </c>
      <c r="AQ124" s="16">
        <v>17923.455894098821</v>
      </c>
      <c r="AR124" s="16">
        <f t="shared" si="12"/>
        <v>2276.5441059011791</v>
      </c>
      <c r="AS124" s="17">
        <f t="shared" si="13"/>
        <v>0.11270020326243461</v>
      </c>
      <c r="AT124" s="20">
        <v>20200</v>
      </c>
      <c r="AU124" s="20">
        <v>21367.8671875</v>
      </c>
      <c r="AV124" s="20">
        <f t="shared" si="14"/>
        <v>1167.8671875</v>
      </c>
      <c r="AW124" s="21">
        <f t="shared" si="15"/>
        <v>5.7815207301980198E-2</v>
      </c>
    </row>
    <row r="125" spans="1:49" x14ac:dyDescent="0.25">
      <c r="A125" t="s">
        <v>38</v>
      </c>
      <c r="B125" t="s">
        <v>385</v>
      </c>
      <c r="C125">
        <v>212851</v>
      </c>
      <c r="D125">
        <v>2017</v>
      </c>
      <c r="E125" t="s">
        <v>69</v>
      </c>
      <c r="F125" t="s">
        <v>231</v>
      </c>
      <c r="G125" t="s">
        <v>386</v>
      </c>
      <c r="I125">
        <v>8</v>
      </c>
      <c r="J125" t="s">
        <v>72</v>
      </c>
      <c r="K125">
        <v>4</v>
      </c>
      <c r="L125" t="s">
        <v>44</v>
      </c>
      <c r="M125">
        <v>5</v>
      </c>
      <c r="N125" t="s">
        <v>91</v>
      </c>
      <c r="O125" t="s">
        <v>46</v>
      </c>
      <c r="P125">
        <v>2</v>
      </c>
      <c r="Q125" t="s">
        <v>74</v>
      </c>
      <c r="R125" t="s">
        <v>92</v>
      </c>
      <c r="S125" t="s">
        <v>93</v>
      </c>
      <c r="T125">
        <v>386</v>
      </c>
      <c r="U125" t="s">
        <v>50</v>
      </c>
      <c r="V125" t="s">
        <v>76</v>
      </c>
      <c r="W125" t="s">
        <v>387</v>
      </c>
      <c r="X125" t="s">
        <v>108</v>
      </c>
      <c r="Y125" t="s">
        <v>78</v>
      </c>
      <c r="Z125">
        <v>31195</v>
      </c>
      <c r="AA125">
        <v>0</v>
      </c>
      <c r="AB125" t="s">
        <v>79</v>
      </c>
      <c r="AC125" t="s">
        <v>95</v>
      </c>
      <c r="AD125">
        <v>36</v>
      </c>
      <c r="AE125">
        <v>9</v>
      </c>
      <c r="AF125">
        <v>3</v>
      </c>
      <c r="AG125">
        <v>2025</v>
      </c>
      <c r="AH125" s="2">
        <v>4900</v>
      </c>
      <c r="AI125" s="2">
        <v>5848.96826171875</v>
      </c>
      <c r="AJ125" s="2">
        <f t="shared" si="8"/>
        <v>948.96826171875</v>
      </c>
      <c r="AK125" s="6">
        <f t="shared" si="9"/>
        <v>0.1936669921875</v>
      </c>
      <c r="AL125" s="12">
        <v>4900</v>
      </c>
      <c r="AM125" s="12">
        <v>6795.8359935705512</v>
      </c>
      <c r="AN125" s="12">
        <f t="shared" si="10"/>
        <v>1895.8359935705512</v>
      </c>
      <c r="AO125" s="13">
        <f t="shared" si="11"/>
        <v>0.38690530481031654</v>
      </c>
      <c r="AP125" s="16">
        <v>4900</v>
      </c>
      <c r="AQ125" s="16">
        <v>5739.5597145980964</v>
      </c>
      <c r="AR125" s="16">
        <f t="shared" si="12"/>
        <v>839.55971459809643</v>
      </c>
      <c r="AS125" s="17">
        <f t="shared" si="13"/>
        <v>0.17133871726491764</v>
      </c>
      <c r="AT125" s="20">
        <v>4900</v>
      </c>
      <c r="AU125" s="20">
        <v>6053.11328125</v>
      </c>
      <c r="AV125" s="20">
        <f t="shared" si="14"/>
        <v>1153.11328125</v>
      </c>
      <c r="AW125" s="21">
        <f t="shared" si="15"/>
        <v>0.23532924107142858</v>
      </c>
    </row>
    <row r="126" spans="1:49" x14ac:dyDescent="0.25">
      <c r="A126" t="s">
        <v>38</v>
      </c>
      <c r="B126" t="s">
        <v>96</v>
      </c>
      <c r="C126">
        <v>47355</v>
      </c>
      <c r="D126">
        <v>2024</v>
      </c>
      <c r="E126" t="s">
        <v>388</v>
      </c>
      <c r="F126" t="s">
        <v>389</v>
      </c>
      <c r="G126" t="s">
        <v>390</v>
      </c>
      <c r="I126">
        <v>4</v>
      </c>
      <c r="J126" t="s">
        <v>61</v>
      </c>
      <c r="K126">
        <v>4</v>
      </c>
      <c r="L126" t="s">
        <v>44</v>
      </c>
      <c r="M126">
        <v>2.5</v>
      </c>
      <c r="N126" t="s">
        <v>45</v>
      </c>
      <c r="O126" t="s">
        <v>46</v>
      </c>
      <c r="P126">
        <v>4</v>
      </c>
      <c r="Q126" t="s">
        <v>62</v>
      </c>
      <c r="R126" t="s">
        <v>63</v>
      </c>
      <c r="S126" t="s">
        <v>49</v>
      </c>
      <c r="U126" t="s">
        <v>50</v>
      </c>
      <c r="V126" t="s">
        <v>51</v>
      </c>
      <c r="X126" t="s">
        <v>141</v>
      </c>
      <c r="Y126" t="s">
        <v>54</v>
      </c>
      <c r="AA126">
        <v>0</v>
      </c>
      <c r="AB126" t="s">
        <v>79</v>
      </c>
      <c r="AC126" t="s">
        <v>109</v>
      </c>
      <c r="AD126">
        <v>36</v>
      </c>
      <c r="AE126">
        <v>9</v>
      </c>
      <c r="AF126">
        <v>3</v>
      </c>
      <c r="AG126">
        <v>2025</v>
      </c>
      <c r="AH126" s="2">
        <v>18600</v>
      </c>
      <c r="AI126" s="2">
        <v>20066.033203125</v>
      </c>
      <c r="AJ126" s="2">
        <f t="shared" si="8"/>
        <v>1466.033203125</v>
      </c>
      <c r="AK126" s="6">
        <f t="shared" si="9"/>
        <v>7.8818989415322574E-2</v>
      </c>
      <c r="AL126" s="12">
        <v>18600</v>
      </c>
      <c r="AM126" s="12">
        <v>18570.867985128771</v>
      </c>
      <c r="AN126" s="12">
        <f t="shared" si="10"/>
        <v>29.13201487122933</v>
      </c>
      <c r="AO126" s="13">
        <f t="shared" si="11"/>
        <v>1.5662373586682436E-3</v>
      </c>
      <c r="AP126" s="16">
        <v>18600</v>
      </c>
      <c r="AQ126" s="16">
        <v>20381.439130465369</v>
      </c>
      <c r="AR126" s="16">
        <f t="shared" si="12"/>
        <v>1781.4391304653691</v>
      </c>
      <c r="AS126" s="17">
        <f t="shared" si="13"/>
        <v>9.5776297336847796E-2</v>
      </c>
      <c r="AT126" s="20">
        <v>18600</v>
      </c>
      <c r="AU126" s="20">
        <v>19520.869140625</v>
      </c>
      <c r="AV126" s="20">
        <f t="shared" si="14"/>
        <v>920.869140625</v>
      </c>
      <c r="AW126" s="21">
        <f t="shared" si="15"/>
        <v>4.9509093581989246E-2</v>
      </c>
    </row>
    <row r="127" spans="1:49" x14ac:dyDescent="0.25">
      <c r="A127" t="s">
        <v>38</v>
      </c>
      <c r="B127" t="s">
        <v>39</v>
      </c>
      <c r="C127">
        <v>129330</v>
      </c>
      <c r="D127">
        <v>2011</v>
      </c>
      <c r="E127" t="s">
        <v>58</v>
      </c>
      <c r="F127" t="s">
        <v>391</v>
      </c>
      <c r="G127" t="s">
        <v>221</v>
      </c>
      <c r="I127">
        <v>4</v>
      </c>
      <c r="J127" t="s">
        <v>72</v>
      </c>
      <c r="K127">
        <v>4</v>
      </c>
      <c r="L127" t="s">
        <v>44</v>
      </c>
      <c r="M127">
        <v>2.4</v>
      </c>
      <c r="N127" t="s">
        <v>45</v>
      </c>
      <c r="O127" t="s">
        <v>46</v>
      </c>
      <c r="Q127" t="s">
        <v>47</v>
      </c>
      <c r="R127" t="s">
        <v>123</v>
      </c>
      <c r="U127" t="s">
        <v>50</v>
      </c>
      <c r="W127" t="s">
        <v>392</v>
      </c>
      <c r="X127" t="s">
        <v>125</v>
      </c>
      <c r="Y127" t="s">
        <v>66</v>
      </c>
      <c r="AA127">
        <v>1</v>
      </c>
      <c r="AB127" t="s">
        <v>55</v>
      </c>
      <c r="AC127" t="s">
        <v>393</v>
      </c>
      <c r="AD127">
        <v>36</v>
      </c>
      <c r="AE127">
        <v>9</v>
      </c>
      <c r="AF127">
        <v>3</v>
      </c>
      <c r="AG127">
        <v>2025</v>
      </c>
      <c r="AH127" s="2">
        <v>1000</v>
      </c>
      <c r="AI127" s="2">
        <v>2005.17041015625</v>
      </c>
      <c r="AJ127" s="2">
        <f t="shared" si="8"/>
        <v>1005.17041015625</v>
      </c>
      <c r="AK127" s="6">
        <f t="shared" si="9"/>
        <v>1.00517041015625</v>
      </c>
      <c r="AL127" s="12">
        <v>1000</v>
      </c>
      <c r="AM127" s="12">
        <v>1727.967111511909</v>
      </c>
      <c r="AN127" s="12">
        <f t="shared" si="10"/>
        <v>727.96711151190902</v>
      </c>
      <c r="AO127" s="13">
        <f t="shared" si="11"/>
        <v>0.72796711151190907</v>
      </c>
      <c r="AP127" s="16">
        <v>1000</v>
      </c>
      <c r="AQ127" s="16">
        <v>1736.9150442193079</v>
      </c>
      <c r="AR127" s="16">
        <f t="shared" si="12"/>
        <v>736.9150442193079</v>
      </c>
      <c r="AS127" s="17">
        <f t="shared" si="13"/>
        <v>0.73691504421930787</v>
      </c>
      <c r="AT127" s="20">
        <v>1000</v>
      </c>
      <c r="AU127" s="20">
        <v>1955.71044921875</v>
      </c>
      <c r="AV127" s="20">
        <f t="shared" si="14"/>
        <v>955.71044921875</v>
      </c>
      <c r="AW127" s="21">
        <f t="shared" si="15"/>
        <v>0.95571044921875004</v>
      </c>
    </row>
    <row r="128" spans="1:49" x14ac:dyDescent="0.25">
      <c r="A128" t="s">
        <v>38</v>
      </c>
      <c r="B128" t="s">
        <v>110</v>
      </c>
      <c r="C128">
        <v>137542</v>
      </c>
      <c r="D128">
        <v>2019</v>
      </c>
      <c r="E128" t="s">
        <v>69</v>
      </c>
      <c r="F128" t="s">
        <v>394</v>
      </c>
      <c r="H128" t="s">
        <v>190</v>
      </c>
      <c r="I128">
        <v>4</v>
      </c>
      <c r="J128" t="s">
        <v>61</v>
      </c>
      <c r="K128">
        <v>4</v>
      </c>
      <c r="L128" t="s">
        <v>44</v>
      </c>
      <c r="M128">
        <v>2.5</v>
      </c>
      <c r="N128" t="s">
        <v>45</v>
      </c>
      <c r="Q128" t="s">
        <v>47</v>
      </c>
      <c r="R128" t="s">
        <v>123</v>
      </c>
      <c r="T128">
        <v>175</v>
      </c>
      <c r="U128" t="s">
        <v>50</v>
      </c>
      <c r="V128" t="s">
        <v>51</v>
      </c>
      <c r="X128" t="s">
        <v>125</v>
      </c>
      <c r="Y128" t="s">
        <v>126</v>
      </c>
      <c r="Z128">
        <v>22840</v>
      </c>
      <c r="AA128">
        <v>0</v>
      </c>
      <c r="AB128" t="s">
        <v>79</v>
      </c>
      <c r="AC128" t="s">
        <v>127</v>
      </c>
      <c r="AD128">
        <v>36</v>
      </c>
      <c r="AE128">
        <v>9</v>
      </c>
      <c r="AF128">
        <v>3</v>
      </c>
      <c r="AG128">
        <v>2025</v>
      </c>
      <c r="AH128" s="2">
        <v>900</v>
      </c>
      <c r="AI128" s="2">
        <v>3817.88232421875</v>
      </c>
      <c r="AJ128" s="2">
        <f t="shared" si="8"/>
        <v>2917.88232421875</v>
      </c>
      <c r="AK128" s="6">
        <f t="shared" si="9"/>
        <v>3.2420914713541666</v>
      </c>
      <c r="AL128" s="12">
        <v>900</v>
      </c>
      <c r="AM128" s="12">
        <v>4528.6077233054311</v>
      </c>
      <c r="AN128" s="12">
        <f t="shared" si="10"/>
        <v>3628.6077233054311</v>
      </c>
      <c r="AO128" s="13">
        <f t="shared" si="11"/>
        <v>4.0317863592282572</v>
      </c>
      <c r="AP128" s="16">
        <v>900</v>
      </c>
      <c r="AQ128" s="16">
        <v>3200.6412059471272</v>
      </c>
      <c r="AR128" s="16">
        <f t="shared" si="12"/>
        <v>2300.6412059471272</v>
      </c>
      <c r="AS128" s="17">
        <f t="shared" si="13"/>
        <v>2.5562680066079193</v>
      </c>
      <c r="AT128" s="20">
        <v>900</v>
      </c>
      <c r="AU128" s="20">
        <v>3867.134521484375</v>
      </c>
      <c r="AV128" s="20">
        <f t="shared" si="14"/>
        <v>2967.134521484375</v>
      </c>
      <c r="AW128" s="21">
        <f t="shared" si="15"/>
        <v>3.296816134982639</v>
      </c>
    </row>
    <row r="129" spans="1:49" x14ac:dyDescent="0.25">
      <c r="A129" t="s">
        <v>38</v>
      </c>
      <c r="B129" t="s">
        <v>96</v>
      </c>
      <c r="C129">
        <v>227863</v>
      </c>
      <c r="D129">
        <v>2008</v>
      </c>
      <c r="E129" t="s">
        <v>213</v>
      </c>
      <c r="F129" t="s">
        <v>395</v>
      </c>
      <c r="I129">
        <v>6</v>
      </c>
      <c r="J129" t="s">
        <v>106</v>
      </c>
      <c r="K129">
        <v>4</v>
      </c>
      <c r="L129" t="s">
        <v>44</v>
      </c>
      <c r="M129">
        <v>3.5</v>
      </c>
      <c r="N129" t="s">
        <v>73</v>
      </c>
      <c r="O129" t="s">
        <v>100</v>
      </c>
      <c r="Q129" t="s">
        <v>47</v>
      </c>
      <c r="R129" t="s">
        <v>123</v>
      </c>
      <c r="S129" t="s">
        <v>49</v>
      </c>
      <c r="U129" t="s">
        <v>50</v>
      </c>
      <c r="X129" t="s">
        <v>125</v>
      </c>
      <c r="Y129" t="s">
        <v>54</v>
      </c>
      <c r="AA129">
        <v>0</v>
      </c>
      <c r="AB129" t="s">
        <v>79</v>
      </c>
      <c r="AC129" t="s">
        <v>127</v>
      </c>
      <c r="AD129">
        <v>36</v>
      </c>
      <c r="AE129">
        <v>9</v>
      </c>
      <c r="AF129">
        <v>3</v>
      </c>
      <c r="AG129">
        <v>2025</v>
      </c>
      <c r="AH129" s="2">
        <v>200</v>
      </c>
      <c r="AI129" s="2">
        <v>468.9012451171875</v>
      </c>
      <c r="AJ129" s="2">
        <f t="shared" si="8"/>
        <v>268.9012451171875</v>
      </c>
      <c r="AK129" s="6">
        <f t="shared" si="9"/>
        <v>1.3445062255859375</v>
      </c>
      <c r="AL129" s="12">
        <v>200</v>
      </c>
      <c r="AM129" s="12">
        <v>532.85726695693154</v>
      </c>
      <c r="AN129" s="12">
        <f t="shared" si="10"/>
        <v>332.85726695693154</v>
      </c>
      <c r="AO129" s="13">
        <f t="shared" si="11"/>
        <v>1.6642863347846577</v>
      </c>
      <c r="AP129" s="16">
        <v>200</v>
      </c>
      <c r="AQ129" s="16">
        <v>431.22361880800202</v>
      </c>
      <c r="AR129" s="16">
        <f t="shared" si="12"/>
        <v>231.22361880800202</v>
      </c>
      <c r="AS129" s="17">
        <f t="shared" si="13"/>
        <v>1.15611809404001</v>
      </c>
      <c r="AT129" s="20">
        <v>200</v>
      </c>
      <c r="AU129" s="20">
        <v>460.00308227539063</v>
      </c>
      <c r="AV129" s="20">
        <f t="shared" si="14"/>
        <v>260.00308227539063</v>
      </c>
      <c r="AW129" s="21">
        <f t="shared" si="15"/>
        <v>1.3000154113769531</v>
      </c>
    </row>
    <row r="130" spans="1:49" x14ac:dyDescent="0.25">
      <c r="A130" t="s">
        <v>38</v>
      </c>
      <c r="B130" t="s">
        <v>110</v>
      </c>
      <c r="C130">
        <v>128068</v>
      </c>
      <c r="D130">
        <v>2017</v>
      </c>
      <c r="E130" t="s">
        <v>116</v>
      </c>
      <c r="F130" t="s">
        <v>194</v>
      </c>
      <c r="G130" t="s">
        <v>396</v>
      </c>
      <c r="H130" t="s">
        <v>397</v>
      </c>
      <c r="I130">
        <v>6</v>
      </c>
      <c r="J130" t="s">
        <v>135</v>
      </c>
      <c r="K130">
        <v>2</v>
      </c>
      <c r="L130" t="s">
        <v>44</v>
      </c>
      <c r="M130">
        <v>3.6</v>
      </c>
      <c r="N130" t="s">
        <v>73</v>
      </c>
      <c r="O130" t="s">
        <v>46</v>
      </c>
      <c r="P130">
        <v>3</v>
      </c>
      <c r="Q130" t="s">
        <v>47</v>
      </c>
      <c r="R130" t="s">
        <v>197</v>
      </c>
      <c r="S130" t="s">
        <v>179</v>
      </c>
      <c r="T130">
        <v>305</v>
      </c>
      <c r="U130" t="s">
        <v>50</v>
      </c>
      <c r="V130" t="s">
        <v>76</v>
      </c>
      <c r="X130" t="s">
        <v>125</v>
      </c>
      <c r="Y130" t="s">
        <v>103</v>
      </c>
      <c r="Z130">
        <v>26995</v>
      </c>
      <c r="AA130">
        <v>0</v>
      </c>
      <c r="AB130" t="s">
        <v>79</v>
      </c>
      <c r="AC130" t="s">
        <v>197</v>
      </c>
      <c r="AD130">
        <v>36</v>
      </c>
      <c r="AE130">
        <v>9</v>
      </c>
      <c r="AF130">
        <v>3</v>
      </c>
      <c r="AG130">
        <v>2025</v>
      </c>
      <c r="AH130" s="2">
        <v>7000</v>
      </c>
      <c r="AI130" s="2">
        <v>7045.47607421875</v>
      </c>
      <c r="AJ130" s="2">
        <f t="shared" si="8"/>
        <v>45.47607421875</v>
      </c>
      <c r="AK130" s="6">
        <f t="shared" si="9"/>
        <v>6.4965820312499999E-3</v>
      </c>
      <c r="AL130" s="12">
        <v>7000</v>
      </c>
      <c r="AM130" s="12">
        <v>7213.0399372701368</v>
      </c>
      <c r="AN130" s="12">
        <f t="shared" si="10"/>
        <v>213.03993727013676</v>
      </c>
      <c r="AO130" s="13">
        <f t="shared" si="11"/>
        <v>3.0434276752876681E-2</v>
      </c>
      <c r="AP130" s="16">
        <v>7000</v>
      </c>
      <c r="AQ130" s="16">
        <v>6653.1400126267881</v>
      </c>
      <c r="AR130" s="16">
        <f t="shared" si="12"/>
        <v>346.85998737321188</v>
      </c>
      <c r="AS130" s="17">
        <f t="shared" si="13"/>
        <v>4.95514267676017E-2</v>
      </c>
      <c r="AT130" s="20">
        <v>7000</v>
      </c>
      <c r="AU130" s="20">
        <v>7195.56494140625</v>
      </c>
      <c r="AV130" s="20">
        <f t="shared" si="14"/>
        <v>195.56494140625</v>
      </c>
      <c r="AW130" s="21">
        <f t="shared" si="15"/>
        <v>2.793784877232143E-2</v>
      </c>
    </row>
    <row r="131" spans="1:49" x14ac:dyDescent="0.25">
      <c r="A131" t="s">
        <v>38</v>
      </c>
      <c r="B131" t="s">
        <v>96</v>
      </c>
      <c r="C131">
        <v>140567</v>
      </c>
      <c r="D131">
        <v>2012</v>
      </c>
      <c r="E131" t="s">
        <v>146</v>
      </c>
      <c r="F131" t="s">
        <v>147</v>
      </c>
      <c r="I131">
        <v>4</v>
      </c>
      <c r="J131" t="s">
        <v>122</v>
      </c>
      <c r="K131">
        <v>4</v>
      </c>
      <c r="L131" t="s">
        <v>44</v>
      </c>
      <c r="M131">
        <v>2.5</v>
      </c>
      <c r="N131" t="s">
        <v>45</v>
      </c>
      <c r="O131" t="s">
        <v>46</v>
      </c>
      <c r="Q131" t="s">
        <v>62</v>
      </c>
      <c r="R131" t="s">
        <v>148</v>
      </c>
      <c r="S131" t="s">
        <v>49</v>
      </c>
      <c r="U131" t="s">
        <v>50</v>
      </c>
      <c r="X131" t="s">
        <v>65</v>
      </c>
      <c r="Y131" t="s">
        <v>54</v>
      </c>
      <c r="AA131">
        <v>0</v>
      </c>
      <c r="AB131" t="s">
        <v>79</v>
      </c>
      <c r="AC131" t="s">
        <v>87</v>
      </c>
      <c r="AD131">
        <v>36</v>
      </c>
      <c r="AE131">
        <v>9</v>
      </c>
      <c r="AF131">
        <v>3</v>
      </c>
      <c r="AG131">
        <v>2025</v>
      </c>
      <c r="AH131" s="2">
        <v>2900</v>
      </c>
      <c r="AI131" s="2">
        <v>1897.960205078125</v>
      </c>
      <c r="AJ131" s="2">
        <f t="shared" ref="AJ131:AJ194" si="16">ABS(AH131-AI131)</f>
        <v>1002.039794921875</v>
      </c>
      <c r="AK131" s="6">
        <f t="shared" ref="AK131:AK194" si="17">ABS($AH131-AI131)/$AH131</f>
        <v>0.34553096376616377</v>
      </c>
      <c r="AL131" s="12">
        <v>2900</v>
      </c>
      <c r="AM131" s="12">
        <v>2128.8009276066418</v>
      </c>
      <c r="AN131" s="12">
        <f t="shared" ref="AN131:AN194" si="18">ABS(AL131-AM131)</f>
        <v>771.19907239335816</v>
      </c>
      <c r="AO131" s="13">
        <f t="shared" ref="AO131:AO194" si="19">ABS($AH131-AM131)/$AH131</f>
        <v>0.26593071461839934</v>
      </c>
      <c r="AP131" s="16">
        <v>2900</v>
      </c>
      <c r="AQ131" s="16">
        <v>1893.4523623266391</v>
      </c>
      <c r="AR131" s="16">
        <f t="shared" ref="AR131:AR194" si="20">ABS(AP131-AQ131)</f>
        <v>1006.5476376733609</v>
      </c>
      <c r="AS131" s="17">
        <f t="shared" ref="AS131:AS194" si="21">ABS($AH131-AQ131)/$AH131</f>
        <v>0.34708539230115892</v>
      </c>
      <c r="AT131" s="20">
        <v>2900</v>
      </c>
      <c r="AU131" s="20">
        <v>1908.531372070312</v>
      </c>
      <c r="AV131" s="20">
        <f t="shared" ref="AV131:AV194" si="22">ABS(AT131-AU131)</f>
        <v>991.46862792968795</v>
      </c>
      <c r="AW131" s="21">
        <f t="shared" ref="AW131:AW194" si="23">ABS($AH131-AU131)/$AH131</f>
        <v>0.34188573376885789</v>
      </c>
    </row>
    <row r="132" spans="1:49" x14ac:dyDescent="0.25">
      <c r="A132" t="s">
        <v>38</v>
      </c>
      <c r="B132" t="s">
        <v>110</v>
      </c>
      <c r="C132">
        <v>124674</v>
      </c>
      <c r="D132">
        <v>2020</v>
      </c>
      <c r="E132" t="s">
        <v>142</v>
      </c>
      <c r="F132" t="s">
        <v>373</v>
      </c>
      <c r="H132" t="s">
        <v>398</v>
      </c>
      <c r="I132">
        <v>6</v>
      </c>
      <c r="J132" t="s">
        <v>72</v>
      </c>
      <c r="K132">
        <v>4</v>
      </c>
      <c r="L132" t="s">
        <v>44</v>
      </c>
      <c r="M132">
        <v>3.6</v>
      </c>
      <c r="N132" t="s">
        <v>73</v>
      </c>
      <c r="O132" t="s">
        <v>46</v>
      </c>
      <c r="P132">
        <v>3</v>
      </c>
      <c r="Q132" t="s">
        <v>62</v>
      </c>
      <c r="R132" t="s">
        <v>63</v>
      </c>
      <c r="S132" t="s">
        <v>49</v>
      </c>
      <c r="T132">
        <v>295</v>
      </c>
      <c r="U132" t="s">
        <v>50</v>
      </c>
      <c r="V132" t="s">
        <v>76</v>
      </c>
      <c r="X132" t="s">
        <v>94</v>
      </c>
      <c r="Y132" t="s">
        <v>78</v>
      </c>
      <c r="AA132">
        <v>0</v>
      </c>
      <c r="AB132" t="s">
        <v>79</v>
      </c>
      <c r="AC132" t="s">
        <v>87</v>
      </c>
      <c r="AD132">
        <v>36</v>
      </c>
      <c r="AE132">
        <v>9</v>
      </c>
      <c r="AF132">
        <v>3</v>
      </c>
      <c r="AG132">
        <v>2025</v>
      </c>
      <c r="AH132" s="2">
        <v>9000</v>
      </c>
      <c r="AI132" s="2">
        <v>10129.4970703125</v>
      </c>
      <c r="AJ132" s="2">
        <f t="shared" si="16"/>
        <v>1129.4970703125</v>
      </c>
      <c r="AK132" s="6">
        <f t="shared" si="17"/>
        <v>0.12549967447916666</v>
      </c>
      <c r="AL132" s="12">
        <v>9000</v>
      </c>
      <c r="AM132" s="12">
        <v>12323.34754609403</v>
      </c>
      <c r="AN132" s="12">
        <f t="shared" si="18"/>
        <v>3323.3475460940299</v>
      </c>
      <c r="AO132" s="13">
        <f t="shared" si="19"/>
        <v>0.36926083845489222</v>
      </c>
      <c r="AP132" s="16">
        <v>9000</v>
      </c>
      <c r="AQ132" s="16">
        <v>9790.1057861770732</v>
      </c>
      <c r="AR132" s="16">
        <f t="shared" si="20"/>
        <v>790.10578617707324</v>
      </c>
      <c r="AS132" s="17">
        <f t="shared" si="21"/>
        <v>8.778953179745258E-2</v>
      </c>
      <c r="AT132" s="20">
        <v>9000</v>
      </c>
      <c r="AU132" s="20">
        <v>10701.38671875</v>
      </c>
      <c r="AV132" s="20">
        <f t="shared" si="22"/>
        <v>1701.38671875</v>
      </c>
      <c r="AW132" s="21">
        <f t="shared" si="23"/>
        <v>0.18904296875000001</v>
      </c>
    </row>
    <row r="133" spans="1:49" x14ac:dyDescent="0.25">
      <c r="A133" t="s">
        <v>128</v>
      </c>
      <c r="B133" t="s">
        <v>309</v>
      </c>
      <c r="C133">
        <v>75753</v>
      </c>
      <c r="D133">
        <v>2014</v>
      </c>
      <c r="E133" t="s">
        <v>399</v>
      </c>
      <c r="F133" t="s">
        <v>400</v>
      </c>
      <c r="G133" t="s">
        <v>401</v>
      </c>
      <c r="I133">
        <v>4</v>
      </c>
      <c r="J133" t="s">
        <v>43</v>
      </c>
      <c r="K133">
        <v>4</v>
      </c>
      <c r="L133" t="s">
        <v>402</v>
      </c>
      <c r="M133">
        <v>2.5</v>
      </c>
      <c r="N133" t="s">
        <v>44</v>
      </c>
      <c r="O133" t="s">
        <v>100</v>
      </c>
      <c r="P133">
        <v>1</v>
      </c>
      <c r="Q133" t="s">
        <v>47</v>
      </c>
      <c r="R133" t="s">
        <v>123</v>
      </c>
      <c r="S133" t="s">
        <v>85</v>
      </c>
      <c r="X133" t="s">
        <v>125</v>
      </c>
      <c r="Y133" t="s">
        <v>54</v>
      </c>
      <c r="AA133">
        <v>0</v>
      </c>
      <c r="AB133" t="s">
        <v>79</v>
      </c>
      <c r="AC133" t="s">
        <v>127</v>
      </c>
      <c r="AD133">
        <v>36</v>
      </c>
      <c r="AE133">
        <v>9</v>
      </c>
      <c r="AF133">
        <v>3</v>
      </c>
      <c r="AG133">
        <v>2025</v>
      </c>
      <c r="AH133" s="2">
        <v>6000</v>
      </c>
      <c r="AI133" s="2">
        <v>2726.326171875</v>
      </c>
      <c r="AJ133" s="2">
        <f t="shared" si="16"/>
        <v>3273.673828125</v>
      </c>
      <c r="AK133" s="6">
        <f t="shared" si="17"/>
        <v>0.54561230468749999</v>
      </c>
      <c r="AL133" s="12">
        <v>6000</v>
      </c>
      <c r="AM133" s="12">
        <v>1874.247205616362</v>
      </c>
      <c r="AN133" s="12">
        <f t="shared" si="18"/>
        <v>4125.7527943836376</v>
      </c>
      <c r="AO133" s="13">
        <f t="shared" si="19"/>
        <v>0.68762546573060623</v>
      </c>
      <c r="AP133" s="16">
        <v>6000</v>
      </c>
      <c r="AQ133" s="16">
        <v>2231.6848216027088</v>
      </c>
      <c r="AR133" s="16">
        <f t="shared" si="20"/>
        <v>3768.3151783972912</v>
      </c>
      <c r="AS133" s="17">
        <f t="shared" si="21"/>
        <v>0.62805252973288184</v>
      </c>
      <c r="AT133" s="20">
        <v>6000</v>
      </c>
      <c r="AU133" s="20">
        <v>2614.10498046875</v>
      </c>
      <c r="AV133" s="20">
        <f t="shared" si="22"/>
        <v>3385.89501953125</v>
      </c>
      <c r="AW133" s="21">
        <f t="shared" si="23"/>
        <v>0.56431583658854167</v>
      </c>
    </row>
    <row r="134" spans="1:49" x14ac:dyDescent="0.25">
      <c r="A134" t="s">
        <v>128</v>
      </c>
      <c r="B134" t="s">
        <v>129</v>
      </c>
      <c r="C134">
        <v>165758</v>
      </c>
      <c r="D134">
        <v>2014</v>
      </c>
      <c r="E134" t="s">
        <v>403</v>
      </c>
      <c r="F134" t="s">
        <v>404</v>
      </c>
      <c r="G134" t="s">
        <v>405</v>
      </c>
      <c r="I134">
        <v>6</v>
      </c>
      <c r="J134" t="s">
        <v>122</v>
      </c>
      <c r="K134">
        <v>4</v>
      </c>
      <c r="L134" t="s">
        <v>44</v>
      </c>
      <c r="M134">
        <v>3.6</v>
      </c>
      <c r="N134" t="s">
        <v>73</v>
      </c>
      <c r="O134" t="s">
        <v>46</v>
      </c>
      <c r="Q134" t="s">
        <v>47</v>
      </c>
      <c r="R134" t="s">
        <v>123</v>
      </c>
      <c r="S134" t="s">
        <v>179</v>
      </c>
      <c r="U134" t="s">
        <v>50</v>
      </c>
      <c r="W134" t="s">
        <v>406</v>
      </c>
      <c r="X134" t="s">
        <v>125</v>
      </c>
      <c r="Y134" t="s">
        <v>78</v>
      </c>
      <c r="AA134">
        <v>0</v>
      </c>
      <c r="AB134" t="s">
        <v>79</v>
      </c>
      <c r="AC134" t="s">
        <v>127</v>
      </c>
      <c r="AD134">
        <v>36</v>
      </c>
      <c r="AE134">
        <v>9</v>
      </c>
      <c r="AF134">
        <v>3</v>
      </c>
      <c r="AG134">
        <v>2025</v>
      </c>
      <c r="AH134" s="2">
        <v>1000</v>
      </c>
      <c r="AI134" s="2">
        <v>2353.82373046875</v>
      </c>
      <c r="AJ134" s="2">
        <f t="shared" si="16"/>
        <v>1353.82373046875</v>
      </c>
      <c r="AK134" s="6">
        <f t="shared" si="17"/>
        <v>1.3538237304687499</v>
      </c>
      <c r="AL134" s="12">
        <v>1000</v>
      </c>
      <c r="AM134" s="12">
        <v>3119.4560133903292</v>
      </c>
      <c r="AN134" s="12">
        <f t="shared" si="18"/>
        <v>2119.4560133903292</v>
      </c>
      <c r="AO134" s="13">
        <f t="shared" si="19"/>
        <v>2.1194560133903293</v>
      </c>
      <c r="AP134" s="16">
        <v>1000</v>
      </c>
      <c r="AQ134" s="16">
        <v>2760.3971875713091</v>
      </c>
      <c r="AR134" s="16">
        <f t="shared" si="20"/>
        <v>1760.3971875713091</v>
      </c>
      <c r="AS134" s="17">
        <f t="shared" si="21"/>
        <v>1.7603971875713091</v>
      </c>
      <c r="AT134" s="20">
        <v>1000</v>
      </c>
      <c r="AU134" s="20">
        <v>2393.048583984375</v>
      </c>
      <c r="AV134" s="20">
        <f t="shared" si="22"/>
        <v>1393.048583984375</v>
      </c>
      <c r="AW134" s="21">
        <f t="shared" si="23"/>
        <v>1.3930485839843749</v>
      </c>
    </row>
    <row r="135" spans="1:49" x14ac:dyDescent="0.25">
      <c r="A135" t="s">
        <v>128</v>
      </c>
      <c r="B135" t="s">
        <v>210</v>
      </c>
      <c r="C135">
        <v>129443</v>
      </c>
      <c r="D135">
        <v>2009</v>
      </c>
      <c r="E135" t="s">
        <v>162</v>
      </c>
      <c r="F135" t="s">
        <v>407</v>
      </c>
      <c r="G135" t="s">
        <v>408</v>
      </c>
      <c r="I135">
        <v>6</v>
      </c>
      <c r="J135" t="s">
        <v>72</v>
      </c>
      <c r="K135">
        <v>4</v>
      </c>
      <c r="L135" t="s">
        <v>44</v>
      </c>
      <c r="M135">
        <v>3.8</v>
      </c>
      <c r="N135" t="s">
        <v>73</v>
      </c>
      <c r="O135" t="s">
        <v>46</v>
      </c>
      <c r="Q135" t="s">
        <v>47</v>
      </c>
      <c r="R135" t="s">
        <v>123</v>
      </c>
      <c r="U135" t="s">
        <v>50</v>
      </c>
      <c r="X135" t="s">
        <v>125</v>
      </c>
      <c r="Y135" t="s">
        <v>66</v>
      </c>
      <c r="AA135">
        <v>0</v>
      </c>
      <c r="AB135" t="s">
        <v>79</v>
      </c>
      <c r="AC135" t="s">
        <v>127</v>
      </c>
      <c r="AD135">
        <v>36</v>
      </c>
      <c r="AE135">
        <v>9</v>
      </c>
      <c r="AF135">
        <v>3</v>
      </c>
      <c r="AG135">
        <v>2025</v>
      </c>
      <c r="AH135" s="2">
        <v>600</v>
      </c>
      <c r="AI135" s="2">
        <v>1787.849365234375</v>
      </c>
      <c r="AJ135" s="2">
        <f t="shared" si="16"/>
        <v>1187.849365234375</v>
      </c>
      <c r="AK135" s="6">
        <f t="shared" si="17"/>
        <v>1.9797489420572916</v>
      </c>
      <c r="AL135" s="12">
        <v>600</v>
      </c>
      <c r="AM135" s="12">
        <v>1718.7060655849371</v>
      </c>
      <c r="AN135" s="12">
        <f t="shared" si="18"/>
        <v>1118.7060655849371</v>
      </c>
      <c r="AO135" s="13">
        <f t="shared" si="19"/>
        <v>1.8645101093082284</v>
      </c>
      <c r="AP135" s="16">
        <v>600</v>
      </c>
      <c r="AQ135" s="16">
        <v>1598.618490039667</v>
      </c>
      <c r="AR135" s="16">
        <f t="shared" si="20"/>
        <v>998.61849003966699</v>
      </c>
      <c r="AS135" s="17">
        <f t="shared" si="21"/>
        <v>1.6643641500661117</v>
      </c>
      <c r="AT135" s="20">
        <v>600</v>
      </c>
      <c r="AU135" s="20">
        <v>1773.532470703125</v>
      </c>
      <c r="AV135" s="20">
        <f t="shared" si="22"/>
        <v>1173.532470703125</v>
      </c>
      <c r="AW135" s="21">
        <f t="shared" si="23"/>
        <v>1.9558874511718749</v>
      </c>
    </row>
    <row r="136" spans="1:49" x14ac:dyDescent="0.25">
      <c r="A136" t="s">
        <v>81</v>
      </c>
      <c r="B136" t="s">
        <v>186</v>
      </c>
      <c r="C136">
        <v>4530</v>
      </c>
      <c r="D136">
        <v>2024</v>
      </c>
      <c r="E136" t="s">
        <v>366</v>
      </c>
      <c r="F136" t="s">
        <v>409</v>
      </c>
      <c r="G136" t="s">
        <v>190</v>
      </c>
      <c r="H136" t="s">
        <v>410</v>
      </c>
      <c r="I136">
        <v>6</v>
      </c>
      <c r="J136" t="s">
        <v>43</v>
      </c>
      <c r="K136">
        <v>4</v>
      </c>
      <c r="L136" t="s">
        <v>44</v>
      </c>
      <c r="M136">
        <v>2.9</v>
      </c>
      <c r="N136" t="s">
        <v>44</v>
      </c>
      <c r="O136" t="s">
        <v>46</v>
      </c>
      <c r="Q136" t="s">
        <v>62</v>
      </c>
      <c r="R136" t="s">
        <v>63</v>
      </c>
      <c r="S136" t="s">
        <v>85</v>
      </c>
      <c r="T136">
        <v>375</v>
      </c>
      <c r="U136" t="s">
        <v>50</v>
      </c>
      <c r="X136" t="s">
        <v>141</v>
      </c>
      <c r="Y136" t="s">
        <v>137</v>
      </c>
      <c r="AA136">
        <v>0</v>
      </c>
      <c r="AB136" t="s">
        <v>79</v>
      </c>
      <c r="AC136" t="s">
        <v>87</v>
      </c>
      <c r="AD136">
        <v>36</v>
      </c>
      <c r="AE136">
        <v>9</v>
      </c>
      <c r="AF136">
        <v>3</v>
      </c>
      <c r="AG136">
        <v>2025</v>
      </c>
      <c r="AH136" s="2">
        <v>68300</v>
      </c>
      <c r="AI136" s="2">
        <v>64999.515625</v>
      </c>
      <c r="AJ136" s="2">
        <f t="shared" si="16"/>
        <v>3300.484375</v>
      </c>
      <c r="AK136" s="6">
        <f t="shared" si="17"/>
        <v>4.8323343704245972E-2</v>
      </c>
      <c r="AL136" s="12">
        <v>68300</v>
      </c>
      <c r="AM136" s="12">
        <v>63566.541500839361</v>
      </c>
      <c r="AN136" s="12">
        <f t="shared" si="18"/>
        <v>4733.4584991606389</v>
      </c>
      <c r="AO136" s="13">
        <f t="shared" si="19"/>
        <v>6.9303931173655034E-2</v>
      </c>
      <c r="AP136" s="16">
        <v>68300</v>
      </c>
      <c r="AQ136" s="16">
        <v>49567.06329861351</v>
      </c>
      <c r="AR136" s="16">
        <f t="shared" si="20"/>
        <v>18732.93670138649</v>
      </c>
      <c r="AS136" s="17">
        <f t="shared" si="21"/>
        <v>0.27427432944928976</v>
      </c>
      <c r="AT136" s="20">
        <v>68300</v>
      </c>
      <c r="AU136" s="20">
        <v>61287.46484375</v>
      </c>
      <c r="AV136" s="20">
        <f t="shared" si="22"/>
        <v>7012.53515625</v>
      </c>
      <c r="AW136" s="21">
        <f t="shared" si="23"/>
        <v>0.10267254987188873</v>
      </c>
    </row>
    <row r="137" spans="1:49" x14ac:dyDescent="0.25">
      <c r="A137" t="s">
        <v>38</v>
      </c>
      <c r="B137" t="s">
        <v>110</v>
      </c>
      <c r="C137">
        <v>135661</v>
      </c>
      <c r="D137">
        <v>2012</v>
      </c>
      <c r="E137" t="s">
        <v>116</v>
      </c>
      <c r="F137" t="s">
        <v>237</v>
      </c>
      <c r="G137" t="s">
        <v>224</v>
      </c>
      <c r="I137">
        <v>6</v>
      </c>
      <c r="J137" t="s">
        <v>135</v>
      </c>
      <c r="K137">
        <v>4</v>
      </c>
      <c r="L137" t="s">
        <v>44</v>
      </c>
      <c r="M137">
        <v>3.6</v>
      </c>
      <c r="N137" t="s">
        <v>73</v>
      </c>
      <c r="Q137" t="s">
        <v>47</v>
      </c>
      <c r="R137" t="s">
        <v>123</v>
      </c>
      <c r="S137" t="s">
        <v>179</v>
      </c>
      <c r="T137">
        <v>292</v>
      </c>
      <c r="U137" t="s">
        <v>50</v>
      </c>
      <c r="V137" t="s">
        <v>76</v>
      </c>
      <c r="X137" t="s">
        <v>125</v>
      </c>
      <c r="Y137" t="s">
        <v>103</v>
      </c>
      <c r="AA137">
        <v>0</v>
      </c>
      <c r="AB137" t="s">
        <v>79</v>
      </c>
      <c r="AC137" t="s">
        <v>127</v>
      </c>
      <c r="AD137">
        <v>36</v>
      </c>
      <c r="AE137">
        <v>9</v>
      </c>
      <c r="AF137">
        <v>3</v>
      </c>
      <c r="AG137">
        <v>2025</v>
      </c>
      <c r="AH137" s="2">
        <v>800</v>
      </c>
      <c r="AI137" s="2">
        <v>2745.890380859375</v>
      </c>
      <c r="AJ137" s="2">
        <f t="shared" si="16"/>
        <v>1945.890380859375</v>
      </c>
      <c r="AK137" s="6">
        <f t="shared" si="17"/>
        <v>2.4323629760742187</v>
      </c>
      <c r="AL137" s="12">
        <v>800</v>
      </c>
      <c r="AM137" s="12">
        <v>2941.389990440704</v>
      </c>
      <c r="AN137" s="12">
        <f t="shared" si="18"/>
        <v>2141.389990440704</v>
      </c>
      <c r="AO137" s="13">
        <f t="shared" si="19"/>
        <v>2.6767374880508799</v>
      </c>
      <c r="AP137" s="16">
        <v>800</v>
      </c>
      <c r="AQ137" s="16">
        <v>2804.1934912993661</v>
      </c>
      <c r="AR137" s="16">
        <f t="shared" si="20"/>
        <v>2004.1934912993661</v>
      </c>
      <c r="AS137" s="17">
        <f t="shared" si="21"/>
        <v>2.5052418641242076</v>
      </c>
      <c r="AT137" s="20">
        <v>800</v>
      </c>
      <c r="AU137" s="20">
        <v>2779.89111328125</v>
      </c>
      <c r="AV137" s="20">
        <f t="shared" si="22"/>
        <v>1979.89111328125</v>
      </c>
      <c r="AW137" s="21">
        <f t="shared" si="23"/>
        <v>2.4748638916015624</v>
      </c>
    </row>
    <row r="138" spans="1:49" x14ac:dyDescent="0.25">
      <c r="A138" t="s">
        <v>38</v>
      </c>
      <c r="B138" t="s">
        <v>39</v>
      </c>
      <c r="C138">
        <v>106670</v>
      </c>
      <c r="D138">
        <v>2017</v>
      </c>
      <c r="E138" t="s">
        <v>166</v>
      </c>
      <c r="F138" t="s">
        <v>167</v>
      </c>
      <c r="G138" t="s">
        <v>411</v>
      </c>
      <c r="I138">
        <v>6</v>
      </c>
      <c r="J138" t="s">
        <v>135</v>
      </c>
      <c r="K138">
        <v>4</v>
      </c>
      <c r="L138" t="s">
        <v>44</v>
      </c>
      <c r="M138">
        <v>3.5</v>
      </c>
      <c r="N138" t="s">
        <v>45</v>
      </c>
      <c r="O138" t="s">
        <v>46</v>
      </c>
      <c r="Q138" t="s">
        <v>62</v>
      </c>
      <c r="R138" t="s">
        <v>63</v>
      </c>
      <c r="S138" t="s">
        <v>49</v>
      </c>
      <c r="T138">
        <v>280</v>
      </c>
      <c r="U138" t="s">
        <v>50</v>
      </c>
      <c r="V138" t="s">
        <v>76</v>
      </c>
      <c r="W138" t="s">
        <v>412</v>
      </c>
      <c r="X138" t="s">
        <v>141</v>
      </c>
      <c r="Y138" t="s">
        <v>78</v>
      </c>
      <c r="Z138">
        <v>36455</v>
      </c>
      <c r="AA138">
        <v>0</v>
      </c>
      <c r="AB138" t="s">
        <v>79</v>
      </c>
      <c r="AC138" t="s">
        <v>109</v>
      </c>
      <c r="AD138">
        <v>36</v>
      </c>
      <c r="AE138">
        <v>9</v>
      </c>
      <c r="AF138">
        <v>3</v>
      </c>
      <c r="AG138">
        <v>2025</v>
      </c>
      <c r="AH138" s="2">
        <v>7500</v>
      </c>
      <c r="AI138" s="2">
        <v>14064.3798828125</v>
      </c>
      <c r="AJ138" s="2">
        <f t="shared" si="16"/>
        <v>6564.3798828125</v>
      </c>
      <c r="AK138" s="6">
        <f t="shared" si="17"/>
        <v>0.87525065104166666</v>
      </c>
      <c r="AL138" s="12">
        <v>7500</v>
      </c>
      <c r="AM138" s="12">
        <v>12804.650877714739</v>
      </c>
      <c r="AN138" s="12">
        <f t="shared" si="18"/>
        <v>5304.6508777147392</v>
      </c>
      <c r="AO138" s="13">
        <f t="shared" si="19"/>
        <v>0.70728678369529852</v>
      </c>
      <c r="AP138" s="16">
        <v>7500</v>
      </c>
      <c r="AQ138" s="16">
        <v>10350.330477907801</v>
      </c>
      <c r="AR138" s="16">
        <f t="shared" si="20"/>
        <v>2850.3304779078007</v>
      </c>
      <c r="AS138" s="17">
        <f t="shared" si="21"/>
        <v>0.3800440637210401</v>
      </c>
      <c r="AT138" s="20">
        <v>7500</v>
      </c>
      <c r="AU138" s="20">
        <v>13791.1201171875</v>
      </c>
      <c r="AV138" s="20">
        <f t="shared" si="22"/>
        <v>6291.1201171875</v>
      </c>
      <c r="AW138" s="21">
        <f t="shared" si="23"/>
        <v>0.83881601562499997</v>
      </c>
    </row>
    <row r="139" spans="1:49" x14ac:dyDescent="0.25">
      <c r="A139" t="s">
        <v>38</v>
      </c>
      <c r="B139" t="s">
        <v>110</v>
      </c>
      <c r="C139">
        <v>142302</v>
      </c>
      <c r="D139">
        <v>2010</v>
      </c>
      <c r="E139" t="s">
        <v>413</v>
      </c>
      <c r="F139" t="s">
        <v>414</v>
      </c>
      <c r="G139" t="s">
        <v>415</v>
      </c>
      <c r="I139">
        <v>4</v>
      </c>
      <c r="J139" t="s">
        <v>135</v>
      </c>
      <c r="K139">
        <v>4</v>
      </c>
      <c r="L139" t="s">
        <v>44</v>
      </c>
      <c r="M139">
        <v>2</v>
      </c>
      <c r="N139" t="s">
        <v>45</v>
      </c>
      <c r="Q139" t="s">
        <v>47</v>
      </c>
      <c r="R139" t="s">
        <v>48</v>
      </c>
      <c r="S139" t="s">
        <v>101</v>
      </c>
      <c r="X139" t="s">
        <v>125</v>
      </c>
      <c r="Y139" t="s">
        <v>54</v>
      </c>
      <c r="AA139">
        <v>0</v>
      </c>
      <c r="AB139" t="s">
        <v>79</v>
      </c>
      <c r="AC139" t="s">
        <v>359</v>
      </c>
      <c r="AD139">
        <v>36</v>
      </c>
      <c r="AE139">
        <v>9</v>
      </c>
      <c r="AF139">
        <v>3</v>
      </c>
      <c r="AG139">
        <v>2025</v>
      </c>
      <c r="AH139" s="2">
        <v>1000</v>
      </c>
      <c r="AI139" s="2">
        <v>1045.128784179688</v>
      </c>
      <c r="AJ139" s="2">
        <f t="shared" si="16"/>
        <v>45.128784179687955</v>
      </c>
      <c r="AK139" s="6">
        <f t="shared" si="17"/>
        <v>4.5128784179687957E-2</v>
      </c>
      <c r="AL139" s="12">
        <v>1000</v>
      </c>
      <c r="AM139" s="12">
        <v>899.93925079106361</v>
      </c>
      <c r="AN139" s="12">
        <f t="shared" si="18"/>
        <v>100.06074920893639</v>
      </c>
      <c r="AO139" s="13">
        <f t="shared" si="19"/>
        <v>0.10006074920893639</v>
      </c>
      <c r="AP139" s="16">
        <v>1000</v>
      </c>
      <c r="AQ139" s="16">
        <v>996.36918539883095</v>
      </c>
      <c r="AR139" s="16">
        <f t="shared" si="20"/>
        <v>3.6308146011690496</v>
      </c>
      <c r="AS139" s="17">
        <f t="shared" si="21"/>
        <v>3.6308146011690494E-3</v>
      </c>
      <c r="AT139" s="20">
        <v>1000</v>
      </c>
      <c r="AU139" s="20">
        <v>977.69866943359375</v>
      </c>
      <c r="AV139" s="20">
        <f t="shared" si="22"/>
        <v>22.30133056640625</v>
      </c>
      <c r="AW139" s="21">
        <f t="shared" si="23"/>
        <v>2.2301330566406249E-2</v>
      </c>
    </row>
    <row r="140" spans="1:49" x14ac:dyDescent="0.25">
      <c r="A140" t="s">
        <v>38</v>
      </c>
      <c r="B140" t="s">
        <v>68</v>
      </c>
      <c r="C140">
        <v>99288</v>
      </c>
      <c r="D140">
        <v>2018</v>
      </c>
      <c r="E140" t="s">
        <v>69</v>
      </c>
      <c r="F140" t="s">
        <v>416</v>
      </c>
      <c r="H140" t="s">
        <v>118</v>
      </c>
      <c r="I140">
        <v>6</v>
      </c>
      <c r="J140" t="s">
        <v>72</v>
      </c>
      <c r="K140">
        <v>4</v>
      </c>
      <c r="L140" t="s">
        <v>44</v>
      </c>
      <c r="M140">
        <v>3.5</v>
      </c>
      <c r="N140" t="s">
        <v>73</v>
      </c>
      <c r="O140" t="s">
        <v>46</v>
      </c>
      <c r="Q140" t="s">
        <v>62</v>
      </c>
      <c r="R140" t="s">
        <v>63</v>
      </c>
      <c r="S140" t="s">
        <v>49</v>
      </c>
      <c r="T140">
        <v>310</v>
      </c>
      <c r="U140" t="s">
        <v>50</v>
      </c>
      <c r="V140" t="s">
        <v>76</v>
      </c>
      <c r="W140" t="s">
        <v>107</v>
      </c>
      <c r="X140" t="s">
        <v>108</v>
      </c>
      <c r="Y140" t="s">
        <v>78</v>
      </c>
      <c r="Z140">
        <v>65365</v>
      </c>
      <c r="AA140">
        <v>0</v>
      </c>
      <c r="AB140" t="s">
        <v>79</v>
      </c>
      <c r="AC140" t="s">
        <v>109</v>
      </c>
      <c r="AD140">
        <v>36</v>
      </c>
      <c r="AE140">
        <v>9</v>
      </c>
      <c r="AF140">
        <v>3</v>
      </c>
      <c r="AG140">
        <v>2025</v>
      </c>
      <c r="AH140" s="2">
        <v>14250</v>
      </c>
      <c r="AI140" s="2">
        <v>15598.54296875</v>
      </c>
      <c r="AJ140" s="2">
        <f t="shared" si="16"/>
        <v>1348.54296875</v>
      </c>
      <c r="AK140" s="6">
        <f t="shared" si="17"/>
        <v>9.4634594298245611E-2</v>
      </c>
      <c r="AL140" s="12">
        <v>14250</v>
      </c>
      <c r="AM140" s="12">
        <v>17863.534820719549</v>
      </c>
      <c r="AN140" s="12">
        <f t="shared" si="18"/>
        <v>3613.5348207195493</v>
      </c>
      <c r="AO140" s="13">
        <f t="shared" si="19"/>
        <v>0.25358139092768767</v>
      </c>
      <c r="AP140" s="16">
        <v>14250</v>
      </c>
      <c r="AQ140" s="16">
        <v>17155.177821068592</v>
      </c>
      <c r="AR140" s="16">
        <f t="shared" si="20"/>
        <v>2905.1778210685916</v>
      </c>
      <c r="AS140" s="17">
        <f t="shared" si="21"/>
        <v>0.20387212779428712</v>
      </c>
      <c r="AT140" s="20">
        <v>14250</v>
      </c>
      <c r="AU140" s="20">
        <v>15891.2958984375</v>
      </c>
      <c r="AV140" s="20">
        <f t="shared" si="22"/>
        <v>1641.2958984375</v>
      </c>
      <c r="AW140" s="21">
        <f t="shared" si="23"/>
        <v>0.11517865953947369</v>
      </c>
    </row>
    <row r="141" spans="1:49" x14ac:dyDescent="0.25">
      <c r="A141" t="s">
        <v>38</v>
      </c>
      <c r="B141" t="s">
        <v>110</v>
      </c>
      <c r="C141">
        <v>132898</v>
      </c>
      <c r="D141">
        <v>2016</v>
      </c>
      <c r="E141" t="s">
        <v>69</v>
      </c>
      <c r="F141" t="s">
        <v>310</v>
      </c>
      <c r="H141" t="s">
        <v>417</v>
      </c>
      <c r="I141">
        <v>6</v>
      </c>
      <c r="J141" t="s">
        <v>122</v>
      </c>
      <c r="K141">
        <v>2</v>
      </c>
      <c r="L141" t="s">
        <v>44</v>
      </c>
      <c r="M141">
        <v>3.7</v>
      </c>
      <c r="N141" t="s">
        <v>73</v>
      </c>
      <c r="O141" t="s">
        <v>46</v>
      </c>
      <c r="P141">
        <v>3</v>
      </c>
      <c r="Q141" t="s">
        <v>47</v>
      </c>
      <c r="R141" t="s">
        <v>197</v>
      </c>
      <c r="T141">
        <v>300</v>
      </c>
      <c r="U141" t="s">
        <v>50</v>
      </c>
      <c r="V141" t="s">
        <v>76</v>
      </c>
      <c r="X141" t="s">
        <v>125</v>
      </c>
      <c r="Y141" t="s">
        <v>78</v>
      </c>
      <c r="AA141">
        <v>0</v>
      </c>
      <c r="AB141" t="s">
        <v>79</v>
      </c>
      <c r="AC141" t="s">
        <v>197</v>
      </c>
      <c r="AD141">
        <v>36</v>
      </c>
      <c r="AE141">
        <v>9</v>
      </c>
      <c r="AF141">
        <v>3</v>
      </c>
      <c r="AG141">
        <v>2025</v>
      </c>
      <c r="AH141" s="2">
        <v>9250</v>
      </c>
      <c r="AI141" s="2">
        <v>5679.0771484375</v>
      </c>
      <c r="AJ141" s="2">
        <f t="shared" si="16"/>
        <v>3570.9228515625</v>
      </c>
      <c r="AK141" s="6">
        <f t="shared" si="17"/>
        <v>0.38604571368243246</v>
      </c>
      <c r="AL141" s="12">
        <v>9250</v>
      </c>
      <c r="AM141" s="12">
        <v>6723.3321759771634</v>
      </c>
      <c r="AN141" s="12">
        <f t="shared" si="18"/>
        <v>2526.6678240228366</v>
      </c>
      <c r="AO141" s="13">
        <f t="shared" si="19"/>
        <v>0.27315327827273911</v>
      </c>
      <c r="AP141" s="16">
        <v>9250</v>
      </c>
      <c r="AQ141" s="16">
        <v>5871.8309561628548</v>
      </c>
      <c r="AR141" s="16">
        <f t="shared" si="20"/>
        <v>3378.1690438371452</v>
      </c>
      <c r="AS141" s="17">
        <f t="shared" si="21"/>
        <v>0.36520746419861028</v>
      </c>
      <c r="AT141" s="20">
        <v>9250</v>
      </c>
      <c r="AU141" s="20">
        <v>5879.76123046875</v>
      </c>
      <c r="AV141" s="20">
        <f t="shared" si="22"/>
        <v>3370.23876953125</v>
      </c>
      <c r="AW141" s="21">
        <f t="shared" si="23"/>
        <v>0.36435013724662163</v>
      </c>
    </row>
    <row r="142" spans="1:49" x14ac:dyDescent="0.25">
      <c r="A142" t="s">
        <v>38</v>
      </c>
      <c r="B142" t="s">
        <v>110</v>
      </c>
      <c r="C142">
        <v>180585</v>
      </c>
      <c r="D142">
        <v>2017</v>
      </c>
      <c r="E142" t="s">
        <v>58</v>
      </c>
      <c r="F142" t="s">
        <v>220</v>
      </c>
      <c r="G142" t="s">
        <v>418</v>
      </c>
      <c r="I142">
        <v>6</v>
      </c>
      <c r="J142" t="s">
        <v>135</v>
      </c>
      <c r="K142">
        <v>4</v>
      </c>
      <c r="L142" t="s">
        <v>44</v>
      </c>
      <c r="M142">
        <v>3.3</v>
      </c>
      <c r="N142" t="s">
        <v>45</v>
      </c>
      <c r="Q142" t="s">
        <v>62</v>
      </c>
      <c r="R142" t="s">
        <v>63</v>
      </c>
      <c r="S142" t="s">
        <v>49</v>
      </c>
      <c r="T142">
        <v>290</v>
      </c>
      <c r="U142" t="s">
        <v>50</v>
      </c>
      <c r="X142" t="s">
        <v>141</v>
      </c>
      <c r="Y142" t="s">
        <v>78</v>
      </c>
      <c r="Z142">
        <v>29200</v>
      </c>
      <c r="AA142">
        <v>0</v>
      </c>
      <c r="AB142" t="s">
        <v>79</v>
      </c>
      <c r="AC142" t="s">
        <v>109</v>
      </c>
      <c r="AD142">
        <v>36</v>
      </c>
      <c r="AE142">
        <v>9</v>
      </c>
      <c r="AF142">
        <v>3</v>
      </c>
      <c r="AG142">
        <v>2025</v>
      </c>
      <c r="AH142" s="2">
        <v>3200</v>
      </c>
      <c r="AI142" s="2">
        <v>3431.265869140625</v>
      </c>
      <c r="AJ142" s="2">
        <f t="shared" si="16"/>
        <v>231.265869140625</v>
      </c>
      <c r="AK142" s="6">
        <f t="shared" si="17"/>
        <v>7.227058410644531E-2</v>
      </c>
      <c r="AL142" s="12">
        <v>3200</v>
      </c>
      <c r="AM142" s="12">
        <v>3506.3264630510962</v>
      </c>
      <c r="AN142" s="12">
        <f t="shared" si="18"/>
        <v>306.3264630510962</v>
      </c>
      <c r="AO142" s="13">
        <f t="shared" si="19"/>
        <v>9.5727019703467559E-2</v>
      </c>
      <c r="AP142" s="16">
        <v>3200</v>
      </c>
      <c r="AQ142" s="16">
        <v>2735.7395407704821</v>
      </c>
      <c r="AR142" s="16">
        <f t="shared" si="20"/>
        <v>464.26045922951789</v>
      </c>
      <c r="AS142" s="17">
        <f t="shared" si="21"/>
        <v>0.14508139350922433</v>
      </c>
      <c r="AT142" s="20">
        <v>3200</v>
      </c>
      <c r="AU142" s="20">
        <v>3485.426025390625</v>
      </c>
      <c r="AV142" s="20">
        <f t="shared" si="22"/>
        <v>285.426025390625</v>
      </c>
      <c r="AW142" s="21">
        <f t="shared" si="23"/>
        <v>8.9195632934570307E-2</v>
      </c>
    </row>
    <row r="143" spans="1:49" x14ac:dyDescent="0.25">
      <c r="A143" t="s">
        <v>128</v>
      </c>
      <c r="B143" t="s">
        <v>271</v>
      </c>
      <c r="C143">
        <v>11573</v>
      </c>
      <c r="D143">
        <v>2025</v>
      </c>
      <c r="E143" t="s">
        <v>142</v>
      </c>
      <c r="F143" t="s">
        <v>335</v>
      </c>
      <c r="G143" t="s">
        <v>118</v>
      </c>
      <c r="I143">
        <v>4</v>
      </c>
      <c r="J143" t="s">
        <v>72</v>
      </c>
      <c r="K143">
        <v>4</v>
      </c>
      <c r="L143" t="s">
        <v>44</v>
      </c>
      <c r="M143">
        <v>2</v>
      </c>
      <c r="N143" t="s">
        <v>91</v>
      </c>
      <c r="Q143" t="s">
        <v>62</v>
      </c>
      <c r="R143" t="s">
        <v>63</v>
      </c>
      <c r="S143" t="s">
        <v>93</v>
      </c>
      <c r="T143">
        <v>200</v>
      </c>
      <c r="U143" t="s">
        <v>50</v>
      </c>
      <c r="V143" t="s">
        <v>51</v>
      </c>
      <c r="X143" t="s">
        <v>65</v>
      </c>
      <c r="Y143" t="s">
        <v>126</v>
      </c>
      <c r="AA143">
        <v>0</v>
      </c>
      <c r="AB143" t="s">
        <v>79</v>
      </c>
      <c r="AC143" t="s">
        <v>87</v>
      </c>
      <c r="AD143">
        <v>36</v>
      </c>
      <c r="AE143">
        <v>9</v>
      </c>
      <c r="AF143">
        <v>3</v>
      </c>
      <c r="AG143">
        <v>2025</v>
      </c>
      <c r="AH143" s="2">
        <v>26500</v>
      </c>
      <c r="AI143" s="2">
        <v>23342.79296875</v>
      </c>
      <c r="AJ143" s="2">
        <f t="shared" si="16"/>
        <v>3157.20703125</v>
      </c>
      <c r="AK143" s="6">
        <f t="shared" si="17"/>
        <v>0.11913988797169811</v>
      </c>
      <c r="AL143" s="12">
        <v>26500</v>
      </c>
      <c r="AM143" s="12">
        <v>25192.005766148719</v>
      </c>
      <c r="AN143" s="12">
        <f t="shared" si="18"/>
        <v>1307.994233851281</v>
      </c>
      <c r="AO143" s="13">
        <f t="shared" si="19"/>
        <v>4.9358272975520041E-2</v>
      </c>
      <c r="AP143" s="16">
        <v>26500</v>
      </c>
      <c r="AQ143" s="16">
        <v>21468.609364253411</v>
      </c>
      <c r="AR143" s="16">
        <f t="shared" si="20"/>
        <v>5031.3906357465894</v>
      </c>
      <c r="AS143" s="17">
        <f t="shared" si="21"/>
        <v>0.189863797575343</v>
      </c>
      <c r="AT143" s="20">
        <v>26500</v>
      </c>
      <c r="AU143" s="20">
        <v>23632.15625</v>
      </c>
      <c r="AV143" s="20">
        <f t="shared" si="22"/>
        <v>2867.84375</v>
      </c>
      <c r="AW143" s="21">
        <f t="shared" si="23"/>
        <v>0.10822051886792453</v>
      </c>
    </row>
    <row r="144" spans="1:49" x14ac:dyDescent="0.25">
      <c r="A144" t="s">
        <v>38</v>
      </c>
      <c r="B144" t="s">
        <v>68</v>
      </c>
      <c r="C144">
        <v>142067</v>
      </c>
      <c r="D144">
        <v>2011</v>
      </c>
      <c r="E144" t="s">
        <v>97</v>
      </c>
      <c r="F144" t="s">
        <v>419</v>
      </c>
      <c r="G144" t="s">
        <v>199</v>
      </c>
      <c r="H144" t="s">
        <v>420</v>
      </c>
      <c r="I144">
        <v>8</v>
      </c>
      <c r="J144" t="s">
        <v>178</v>
      </c>
      <c r="K144">
        <v>4</v>
      </c>
      <c r="L144" t="s">
        <v>44</v>
      </c>
      <c r="M144">
        <v>5.3</v>
      </c>
      <c r="N144" t="s">
        <v>73</v>
      </c>
      <c r="O144" t="s">
        <v>46</v>
      </c>
      <c r="P144">
        <v>4</v>
      </c>
      <c r="Q144" t="s">
        <v>62</v>
      </c>
      <c r="R144" t="s">
        <v>63</v>
      </c>
      <c r="S144" t="s">
        <v>179</v>
      </c>
      <c r="U144" t="s">
        <v>180</v>
      </c>
      <c r="V144" t="s">
        <v>76</v>
      </c>
      <c r="W144" t="s">
        <v>421</v>
      </c>
      <c r="X144" t="s">
        <v>108</v>
      </c>
      <c r="Y144" t="s">
        <v>78</v>
      </c>
      <c r="AA144">
        <v>0</v>
      </c>
      <c r="AB144" t="s">
        <v>79</v>
      </c>
      <c r="AC144" t="s">
        <v>87</v>
      </c>
      <c r="AD144">
        <v>36</v>
      </c>
      <c r="AE144">
        <v>9</v>
      </c>
      <c r="AF144">
        <v>3</v>
      </c>
      <c r="AG144">
        <v>2025</v>
      </c>
      <c r="AH144" s="2">
        <v>7500</v>
      </c>
      <c r="AI144" s="2">
        <v>7320.85986328125</v>
      </c>
      <c r="AJ144" s="2">
        <f t="shared" si="16"/>
        <v>179.14013671875</v>
      </c>
      <c r="AK144" s="6">
        <f t="shared" si="17"/>
        <v>2.3885351562500001E-2</v>
      </c>
      <c r="AL144" s="12">
        <v>7500</v>
      </c>
      <c r="AM144" s="12">
        <v>6531.747583335833</v>
      </c>
      <c r="AN144" s="12">
        <f t="shared" si="18"/>
        <v>968.25241666416696</v>
      </c>
      <c r="AO144" s="13">
        <f t="shared" si="19"/>
        <v>0.12910032222188894</v>
      </c>
      <c r="AP144" s="16">
        <v>7500</v>
      </c>
      <c r="AQ144" s="16">
        <v>5779.0258168490673</v>
      </c>
      <c r="AR144" s="16">
        <f t="shared" si="20"/>
        <v>1720.9741831509327</v>
      </c>
      <c r="AS144" s="17">
        <f t="shared" si="21"/>
        <v>0.22946322442012437</v>
      </c>
      <c r="AT144" s="20">
        <v>7500</v>
      </c>
      <c r="AU144" s="20">
        <v>7314.8779296875</v>
      </c>
      <c r="AV144" s="20">
        <f t="shared" si="22"/>
        <v>185.1220703125</v>
      </c>
      <c r="AW144" s="21">
        <f t="shared" si="23"/>
        <v>2.4682942708333332E-2</v>
      </c>
    </row>
    <row r="145" spans="1:49" x14ac:dyDescent="0.25">
      <c r="A145" t="s">
        <v>81</v>
      </c>
      <c r="B145" t="s">
        <v>186</v>
      </c>
      <c r="C145">
        <v>48602</v>
      </c>
      <c r="D145">
        <v>2022</v>
      </c>
      <c r="E145" t="s">
        <v>88</v>
      </c>
      <c r="F145" t="s">
        <v>89</v>
      </c>
      <c r="G145" t="s">
        <v>262</v>
      </c>
      <c r="H145" t="s">
        <v>118</v>
      </c>
      <c r="I145">
        <v>8</v>
      </c>
      <c r="J145" t="s">
        <v>122</v>
      </c>
      <c r="K145">
        <v>4</v>
      </c>
      <c r="L145" t="s">
        <v>44</v>
      </c>
      <c r="M145">
        <v>5.7</v>
      </c>
      <c r="N145" t="s">
        <v>91</v>
      </c>
      <c r="O145" t="s">
        <v>46</v>
      </c>
      <c r="Q145" t="s">
        <v>74</v>
      </c>
      <c r="R145" t="s">
        <v>92</v>
      </c>
      <c r="S145" t="s">
        <v>93</v>
      </c>
      <c r="T145">
        <v>395</v>
      </c>
      <c r="U145" t="s">
        <v>50</v>
      </c>
      <c r="V145" t="s">
        <v>76</v>
      </c>
      <c r="X145" t="s">
        <v>108</v>
      </c>
      <c r="Y145" t="s">
        <v>78</v>
      </c>
      <c r="AA145">
        <v>0</v>
      </c>
      <c r="AB145" t="s">
        <v>79</v>
      </c>
      <c r="AC145" t="s">
        <v>95</v>
      </c>
      <c r="AD145">
        <v>36</v>
      </c>
      <c r="AE145">
        <v>9</v>
      </c>
      <c r="AF145">
        <v>3</v>
      </c>
      <c r="AG145">
        <v>2025</v>
      </c>
      <c r="AH145" s="2">
        <v>41800</v>
      </c>
      <c r="AI145" s="2">
        <v>39429.03125</v>
      </c>
      <c r="AJ145" s="2">
        <f t="shared" si="16"/>
        <v>2370.96875</v>
      </c>
      <c r="AK145" s="6">
        <f t="shared" si="17"/>
        <v>5.672174043062201E-2</v>
      </c>
      <c r="AL145" s="12">
        <v>41800</v>
      </c>
      <c r="AM145" s="12">
        <v>34794.365062518191</v>
      </c>
      <c r="AN145" s="12">
        <f t="shared" si="18"/>
        <v>7005.6349374818092</v>
      </c>
      <c r="AO145" s="13">
        <f t="shared" si="19"/>
        <v>0.16759892194932557</v>
      </c>
      <c r="AP145" s="16">
        <v>41800</v>
      </c>
      <c r="AQ145" s="16">
        <v>38127.370019411283</v>
      </c>
      <c r="AR145" s="16">
        <f t="shared" si="20"/>
        <v>3672.6299805887174</v>
      </c>
      <c r="AS145" s="17">
        <f t="shared" si="21"/>
        <v>8.7861961258103291E-2</v>
      </c>
      <c r="AT145" s="20">
        <v>41800</v>
      </c>
      <c r="AU145" s="20">
        <v>38878.078125</v>
      </c>
      <c r="AV145" s="20">
        <f t="shared" si="22"/>
        <v>2921.921875</v>
      </c>
      <c r="AW145" s="21">
        <f t="shared" si="23"/>
        <v>6.9902437200956943E-2</v>
      </c>
    </row>
    <row r="146" spans="1:49" x14ac:dyDescent="0.25">
      <c r="A146" t="s">
        <v>128</v>
      </c>
      <c r="B146" t="s">
        <v>129</v>
      </c>
      <c r="C146">
        <v>122988</v>
      </c>
      <c r="D146">
        <v>2011</v>
      </c>
      <c r="E146" t="s">
        <v>97</v>
      </c>
      <c r="F146" t="s">
        <v>98</v>
      </c>
      <c r="G146" t="s">
        <v>422</v>
      </c>
      <c r="I146">
        <v>4</v>
      </c>
      <c r="J146" t="s">
        <v>72</v>
      </c>
      <c r="K146">
        <v>4</v>
      </c>
      <c r="L146" t="s">
        <v>44</v>
      </c>
      <c r="M146">
        <v>2.4</v>
      </c>
      <c r="N146" t="s">
        <v>44</v>
      </c>
      <c r="O146" t="s">
        <v>46</v>
      </c>
      <c r="P146">
        <v>1</v>
      </c>
      <c r="Q146" t="s">
        <v>62</v>
      </c>
      <c r="R146" t="s">
        <v>63</v>
      </c>
      <c r="S146" t="s">
        <v>85</v>
      </c>
      <c r="U146" t="s">
        <v>50</v>
      </c>
      <c r="W146" t="s">
        <v>102</v>
      </c>
      <c r="X146" t="s">
        <v>141</v>
      </c>
      <c r="Y146" t="s">
        <v>103</v>
      </c>
      <c r="AA146">
        <v>0</v>
      </c>
      <c r="AB146" t="s">
        <v>79</v>
      </c>
      <c r="AC146" t="s">
        <v>87</v>
      </c>
      <c r="AD146">
        <v>36</v>
      </c>
      <c r="AE146">
        <v>9</v>
      </c>
      <c r="AF146">
        <v>3</v>
      </c>
      <c r="AG146">
        <v>2025</v>
      </c>
      <c r="AH146" s="2">
        <v>700</v>
      </c>
      <c r="AI146" s="2">
        <v>1121.489135742188</v>
      </c>
      <c r="AJ146" s="2">
        <f t="shared" si="16"/>
        <v>421.48913574218795</v>
      </c>
      <c r="AK146" s="6">
        <f t="shared" si="17"/>
        <v>0.60212733677455421</v>
      </c>
      <c r="AL146" s="12">
        <v>700</v>
      </c>
      <c r="AM146" s="12">
        <v>1475.4098783294301</v>
      </c>
      <c r="AN146" s="12">
        <f t="shared" si="18"/>
        <v>775.40987832943006</v>
      </c>
      <c r="AO146" s="13">
        <f t="shared" si="19"/>
        <v>1.1077283976134715</v>
      </c>
      <c r="AP146" s="16">
        <v>700</v>
      </c>
      <c r="AQ146" s="16">
        <v>1055.954173751157</v>
      </c>
      <c r="AR146" s="16">
        <f t="shared" si="20"/>
        <v>355.95417375115699</v>
      </c>
      <c r="AS146" s="17">
        <f t="shared" si="21"/>
        <v>0.50850596250165281</v>
      </c>
      <c r="AT146" s="20">
        <v>700</v>
      </c>
      <c r="AU146" s="20">
        <v>1134.120849609375</v>
      </c>
      <c r="AV146" s="20">
        <f t="shared" si="22"/>
        <v>434.120849609375</v>
      </c>
      <c r="AW146" s="21">
        <f t="shared" si="23"/>
        <v>0.62017264229910718</v>
      </c>
    </row>
    <row r="147" spans="1:49" x14ac:dyDescent="0.25">
      <c r="A147" t="s">
        <v>38</v>
      </c>
      <c r="B147" t="s">
        <v>110</v>
      </c>
      <c r="C147">
        <v>120412</v>
      </c>
      <c r="D147">
        <v>2017</v>
      </c>
      <c r="E147" t="s">
        <v>97</v>
      </c>
      <c r="F147" t="s">
        <v>379</v>
      </c>
      <c r="G147" t="s">
        <v>155</v>
      </c>
      <c r="I147">
        <v>4</v>
      </c>
      <c r="J147" t="s">
        <v>72</v>
      </c>
      <c r="K147">
        <v>4</v>
      </c>
      <c r="L147" t="s">
        <v>44</v>
      </c>
      <c r="M147">
        <v>1.4</v>
      </c>
      <c r="N147" t="s">
        <v>45</v>
      </c>
      <c r="Q147" t="s">
        <v>47</v>
      </c>
      <c r="R147" t="s">
        <v>123</v>
      </c>
      <c r="U147" t="s">
        <v>50</v>
      </c>
      <c r="V147" t="s">
        <v>51</v>
      </c>
      <c r="W147" t="s">
        <v>423</v>
      </c>
      <c r="X147" t="s">
        <v>125</v>
      </c>
      <c r="Y147" t="s">
        <v>78</v>
      </c>
      <c r="Z147">
        <v>20150</v>
      </c>
      <c r="AA147">
        <v>0</v>
      </c>
      <c r="AB147" t="s">
        <v>79</v>
      </c>
      <c r="AC147" t="s">
        <v>127</v>
      </c>
      <c r="AD147">
        <v>36</v>
      </c>
      <c r="AE147">
        <v>9</v>
      </c>
      <c r="AF147">
        <v>3</v>
      </c>
      <c r="AG147">
        <v>2025</v>
      </c>
      <c r="AH147" s="2">
        <v>5800</v>
      </c>
      <c r="AI147" s="2">
        <v>3958.487060546875</v>
      </c>
      <c r="AJ147" s="2">
        <f t="shared" si="16"/>
        <v>1841.512939453125</v>
      </c>
      <c r="AK147" s="6">
        <f t="shared" si="17"/>
        <v>0.31750223094019397</v>
      </c>
      <c r="AL147" s="12">
        <v>5800</v>
      </c>
      <c r="AM147" s="12">
        <v>3599.369501387569</v>
      </c>
      <c r="AN147" s="12">
        <f t="shared" si="18"/>
        <v>2200.630498612431</v>
      </c>
      <c r="AO147" s="13">
        <f t="shared" si="19"/>
        <v>0.3794190514849019</v>
      </c>
      <c r="AP147" s="16">
        <v>5800</v>
      </c>
      <c r="AQ147" s="16">
        <v>2906.248614350453</v>
      </c>
      <c r="AR147" s="16">
        <f t="shared" si="20"/>
        <v>2893.751385649547</v>
      </c>
      <c r="AS147" s="17">
        <f t="shared" si="21"/>
        <v>0.49892265269819774</v>
      </c>
      <c r="AT147" s="20">
        <v>5800</v>
      </c>
      <c r="AU147" s="20">
        <v>3959.820068359375</v>
      </c>
      <c r="AV147" s="20">
        <f t="shared" si="22"/>
        <v>1840.179931640625</v>
      </c>
      <c r="AW147" s="21">
        <f t="shared" si="23"/>
        <v>0.31727240200700429</v>
      </c>
    </row>
    <row r="148" spans="1:49" x14ac:dyDescent="0.25">
      <c r="A148" t="s">
        <v>38</v>
      </c>
      <c r="B148" t="s">
        <v>39</v>
      </c>
      <c r="C148">
        <v>163712</v>
      </c>
      <c r="D148">
        <v>2017</v>
      </c>
      <c r="E148" t="s">
        <v>97</v>
      </c>
      <c r="F148" t="s">
        <v>419</v>
      </c>
      <c r="G148" t="s">
        <v>199</v>
      </c>
      <c r="I148">
        <v>8</v>
      </c>
      <c r="J148" t="s">
        <v>122</v>
      </c>
      <c r="K148">
        <v>4</v>
      </c>
      <c r="L148" t="s">
        <v>44</v>
      </c>
      <c r="M148">
        <v>5.3</v>
      </c>
      <c r="N148" t="s">
        <v>73</v>
      </c>
      <c r="O148" t="s">
        <v>46</v>
      </c>
      <c r="Q148" t="s">
        <v>62</v>
      </c>
      <c r="R148" t="s">
        <v>63</v>
      </c>
      <c r="S148" t="s">
        <v>49</v>
      </c>
      <c r="U148" t="s">
        <v>50</v>
      </c>
      <c r="W148" t="s">
        <v>424</v>
      </c>
      <c r="X148" t="s">
        <v>108</v>
      </c>
      <c r="Y148" t="s">
        <v>78</v>
      </c>
      <c r="Z148">
        <v>47215</v>
      </c>
      <c r="AA148">
        <v>0</v>
      </c>
      <c r="AB148" t="s">
        <v>79</v>
      </c>
      <c r="AC148" t="s">
        <v>109</v>
      </c>
      <c r="AD148">
        <v>36</v>
      </c>
      <c r="AE148">
        <v>9</v>
      </c>
      <c r="AF148">
        <v>3</v>
      </c>
      <c r="AG148">
        <v>2025</v>
      </c>
      <c r="AH148" s="2">
        <v>12250</v>
      </c>
      <c r="AI148" s="2">
        <v>11204.3994140625</v>
      </c>
      <c r="AJ148" s="2">
        <f t="shared" si="16"/>
        <v>1045.6005859375</v>
      </c>
      <c r="AK148" s="6">
        <f t="shared" si="17"/>
        <v>8.5355149872448979E-2</v>
      </c>
      <c r="AL148" s="12">
        <v>12250</v>
      </c>
      <c r="AM148" s="12">
        <v>11936.165740097889</v>
      </c>
      <c r="AN148" s="12">
        <f t="shared" si="18"/>
        <v>313.83425990211072</v>
      </c>
      <c r="AO148" s="13">
        <f t="shared" si="19"/>
        <v>2.5619123257315159E-2</v>
      </c>
      <c r="AP148" s="16">
        <v>12250</v>
      </c>
      <c r="AQ148" s="16">
        <v>9436.5442474655374</v>
      </c>
      <c r="AR148" s="16">
        <f t="shared" si="20"/>
        <v>2813.4557525344626</v>
      </c>
      <c r="AS148" s="17">
        <f t="shared" si="21"/>
        <v>0.22966985734975204</v>
      </c>
      <c r="AT148" s="20">
        <v>12250</v>
      </c>
      <c r="AU148" s="20">
        <v>11444.306640625</v>
      </c>
      <c r="AV148" s="20">
        <f t="shared" si="22"/>
        <v>805.693359375</v>
      </c>
      <c r="AW148" s="21">
        <f t="shared" si="23"/>
        <v>6.5770886479591839E-2</v>
      </c>
    </row>
    <row r="149" spans="1:49" x14ac:dyDescent="0.25">
      <c r="A149" t="s">
        <v>38</v>
      </c>
      <c r="B149" t="s">
        <v>39</v>
      </c>
      <c r="C149">
        <v>71845</v>
      </c>
      <c r="D149">
        <v>2009</v>
      </c>
      <c r="E149" t="s">
        <v>425</v>
      </c>
      <c r="F149" t="s">
        <v>426</v>
      </c>
      <c r="H149" t="s">
        <v>426</v>
      </c>
      <c r="I149">
        <v>4</v>
      </c>
      <c r="J149" t="s">
        <v>61</v>
      </c>
      <c r="K149">
        <v>2</v>
      </c>
      <c r="L149" t="s">
        <v>44</v>
      </c>
      <c r="M149">
        <v>1.6</v>
      </c>
      <c r="N149" t="s">
        <v>45</v>
      </c>
      <c r="O149" t="s">
        <v>46</v>
      </c>
      <c r="Q149" t="s">
        <v>47</v>
      </c>
      <c r="R149" t="s">
        <v>48</v>
      </c>
      <c r="T149">
        <v>120</v>
      </c>
      <c r="U149" t="s">
        <v>50</v>
      </c>
      <c r="X149" t="s">
        <v>125</v>
      </c>
      <c r="Y149" t="s">
        <v>427</v>
      </c>
      <c r="AA149">
        <v>0</v>
      </c>
      <c r="AB149" t="s">
        <v>79</v>
      </c>
      <c r="AC149" t="s">
        <v>359</v>
      </c>
      <c r="AD149">
        <v>36</v>
      </c>
      <c r="AE149">
        <v>9</v>
      </c>
      <c r="AF149">
        <v>3</v>
      </c>
      <c r="AG149">
        <v>2025</v>
      </c>
      <c r="AH149" s="2">
        <v>3900</v>
      </c>
      <c r="AI149" s="2">
        <v>1726.206787109375</v>
      </c>
      <c r="AJ149" s="2">
        <f t="shared" si="16"/>
        <v>2173.793212890625</v>
      </c>
      <c r="AK149" s="6">
        <f t="shared" si="17"/>
        <v>0.55738287510016027</v>
      </c>
      <c r="AL149" s="12">
        <v>3900</v>
      </c>
      <c r="AM149" s="12">
        <v>2209.9758796229021</v>
      </c>
      <c r="AN149" s="12">
        <f t="shared" si="18"/>
        <v>1690.0241203770979</v>
      </c>
      <c r="AO149" s="13">
        <f t="shared" si="19"/>
        <v>0.43333951804540971</v>
      </c>
      <c r="AP149" s="16">
        <v>3900</v>
      </c>
      <c r="AQ149" s="16">
        <v>1818.6652655046771</v>
      </c>
      <c r="AR149" s="16">
        <f t="shared" si="20"/>
        <v>2081.3347344953227</v>
      </c>
      <c r="AS149" s="17">
        <f t="shared" si="21"/>
        <v>0.53367557294751866</v>
      </c>
      <c r="AT149" s="20">
        <v>3900</v>
      </c>
      <c r="AU149" s="20">
        <v>1723.528930664062</v>
      </c>
      <c r="AV149" s="20">
        <f t="shared" si="22"/>
        <v>2176.471069335938</v>
      </c>
      <c r="AW149" s="21">
        <f t="shared" si="23"/>
        <v>0.55806950495793284</v>
      </c>
    </row>
    <row r="150" spans="1:49" x14ac:dyDescent="0.25">
      <c r="A150" t="s">
        <v>81</v>
      </c>
      <c r="B150" t="s">
        <v>186</v>
      </c>
      <c r="C150">
        <v>37549</v>
      </c>
      <c r="D150">
        <v>2024</v>
      </c>
      <c r="E150" t="s">
        <v>69</v>
      </c>
      <c r="F150" t="s">
        <v>250</v>
      </c>
      <c r="G150" t="s">
        <v>428</v>
      </c>
      <c r="I150">
        <v>3</v>
      </c>
      <c r="J150" t="s">
        <v>61</v>
      </c>
      <c r="K150">
        <v>4</v>
      </c>
      <c r="L150" t="s">
        <v>44</v>
      </c>
      <c r="M150">
        <v>1.5</v>
      </c>
      <c r="N150" t="s">
        <v>44</v>
      </c>
      <c r="O150" t="s">
        <v>46</v>
      </c>
      <c r="P150">
        <v>4</v>
      </c>
      <c r="Q150" t="s">
        <v>62</v>
      </c>
      <c r="R150" t="s">
        <v>63</v>
      </c>
      <c r="S150" t="s">
        <v>93</v>
      </c>
      <c r="U150" t="s">
        <v>50</v>
      </c>
      <c r="W150" t="s">
        <v>429</v>
      </c>
      <c r="X150" t="s">
        <v>65</v>
      </c>
      <c r="Y150" t="s">
        <v>78</v>
      </c>
      <c r="AA150">
        <v>0</v>
      </c>
      <c r="AB150" t="s">
        <v>79</v>
      </c>
      <c r="AC150" t="s">
        <v>87</v>
      </c>
      <c r="AD150">
        <v>36</v>
      </c>
      <c r="AE150">
        <v>9</v>
      </c>
      <c r="AF150">
        <v>3</v>
      </c>
      <c r="AG150">
        <v>2025</v>
      </c>
      <c r="AH150" s="2">
        <v>18400</v>
      </c>
      <c r="AI150" s="2">
        <v>20047.193359375</v>
      </c>
      <c r="AJ150" s="2">
        <f t="shared" si="16"/>
        <v>1647.193359375</v>
      </c>
      <c r="AK150" s="6">
        <f t="shared" si="17"/>
        <v>8.9521378226902176E-2</v>
      </c>
      <c r="AL150" s="12">
        <v>18400</v>
      </c>
      <c r="AM150" s="12">
        <v>20565.01456978326</v>
      </c>
      <c r="AN150" s="12">
        <f t="shared" si="18"/>
        <v>2165.0145697832595</v>
      </c>
      <c r="AO150" s="13">
        <f t="shared" si="19"/>
        <v>0.11766383531430759</v>
      </c>
      <c r="AP150" s="16">
        <v>18400</v>
      </c>
      <c r="AQ150" s="16">
        <v>20500.64773823406</v>
      </c>
      <c r="AR150" s="16">
        <f t="shared" si="20"/>
        <v>2100.6477382340599</v>
      </c>
      <c r="AS150" s="17">
        <f t="shared" si="21"/>
        <v>0.11416563794750326</v>
      </c>
      <c r="AT150" s="20">
        <v>18400</v>
      </c>
      <c r="AU150" s="20">
        <v>19977.6796875</v>
      </c>
      <c r="AV150" s="20">
        <f t="shared" si="22"/>
        <v>1577.6796875</v>
      </c>
      <c r="AW150" s="21">
        <f t="shared" si="23"/>
        <v>8.5743461277173916E-2</v>
      </c>
    </row>
    <row r="151" spans="1:49" x14ac:dyDescent="0.25">
      <c r="A151" t="s">
        <v>38</v>
      </c>
      <c r="B151" t="s">
        <v>68</v>
      </c>
      <c r="C151">
        <v>204904</v>
      </c>
      <c r="D151">
        <v>2008</v>
      </c>
      <c r="E151" t="s">
        <v>69</v>
      </c>
      <c r="F151" t="s">
        <v>157</v>
      </c>
      <c r="G151" t="s">
        <v>430</v>
      </c>
      <c r="I151">
        <v>8</v>
      </c>
      <c r="J151" t="s">
        <v>106</v>
      </c>
      <c r="K151">
        <v>4</v>
      </c>
      <c r="L151" t="s">
        <v>44</v>
      </c>
      <c r="M151">
        <v>4.5999999999999996</v>
      </c>
      <c r="N151" t="s">
        <v>91</v>
      </c>
      <c r="O151" t="s">
        <v>46</v>
      </c>
      <c r="Q151" t="s">
        <v>62</v>
      </c>
      <c r="R151" t="s">
        <v>63</v>
      </c>
      <c r="S151" t="s">
        <v>93</v>
      </c>
      <c r="T151">
        <v>292</v>
      </c>
      <c r="U151" t="s">
        <v>50</v>
      </c>
      <c r="V151" t="s">
        <v>76</v>
      </c>
      <c r="X151" t="s">
        <v>94</v>
      </c>
      <c r="Y151" t="s">
        <v>78</v>
      </c>
      <c r="AA151">
        <v>0</v>
      </c>
      <c r="AB151" t="s">
        <v>79</v>
      </c>
      <c r="AC151" t="s">
        <v>87</v>
      </c>
      <c r="AD151">
        <v>36</v>
      </c>
      <c r="AE151">
        <v>9</v>
      </c>
      <c r="AF151">
        <v>3</v>
      </c>
      <c r="AG151">
        <v>2025</v>
      </c>
      <c r="AH151" s="2">
        <v>1600</v>
      </c>
      <c r="AI151" s="2">
        <v>1539.41845703125</v>
      </c>
      <c r="AJ151" s="2">
        <f t="shared" si="16"/>
        <v>60.58154296875</v>
      </c>
      <c r="AK151" s="6">
        <f t="shared" si="17"/>
        <v>3.7863464355468751E-2</v>
      </c>
      <c r="AL151" s="12">
        <v>1600</v>
      </c>
      <c r="AM151" s="12">
        <v>1577.4884289459219</v>
      </c>
      <c r="AN151" s="12">
        <f t="shared" si="18"/>
        <v>22.511571054078104</v>
      </c>
      <c r="AO151" s="13">
        <f t="shared" si="19"/>
        <v>1.4069731908798814E-2</v>
      </c>
      <c r="AP151" s="16">
        <v>1600</v>
      </c>
      <c r="AQ151" s="16">
        <v>1111.459080256529</v>
      </c>
      <c r="AR151" s="16">
        <f t="shared" si="20"/>
        <v>488.54091974347102</v>
      </c>
      <c r="AS151" s="17">
        <f t="shared" si="21"/>
        <v>0.3053380748396694</v>
      </c>
      <c r="AT151" s="20">
        <v>1600</v>
      </c>
      <c r="AU151" s="20">
        <v>1524.376586914062</v>
      </c>
      <c r="AV151" s="20">
        <f t="shared" si="22"/>
        <v>75.623413085937955</v>
      </c>
      <c r="AW151" s="21">
        <f t="shared" si="23"/>
        <v>4.726463317871122E-2</v>
      </c>
    </row>
    <row r="152" spans="1:49" x14ac:dyDescent="0.25">
      <c r="A152" t="s">
        <v>38</v>
      </c>
      <c r="B152" t="s">
        <v>96</v>
      </c>
      <c r="C152">
        <v>45298</v>
      </c>
      <c r="D152">
        <v>2022</v>
      </c>
      <c r="E152" t="s">
        <v>116</v>
      </c>
      <c r="F152" t="s">
        <v>194</v>
      </c>
      <c r="H152" t="s">
        <v>238</v>
      </c>
      <c r="I152">
        <v>6</v>
      </c>
      <c r="J152" t="s">
        <v>72</v>
      </c>
      <c r="K152">
        <v>2</v>
      </c>
      <c r="L152" t="s">
        <v>44</v>
      </c>
      <c r="M152">
        <v>3.6</v>
      </c>
      <c r="N152" t="s">
        <v>73</v>
      </c>
      <c r="O152" t="s">
        <v>46</v>
      </c>
      <c r="P152">
        <v>5</v>
      </c>
      <c r="Q152" t="s">
        <v>47</v>
      </c>
      <c r="R152" t="s">
        <v>123</v>
      </c>
      <c r="S152" t="s">
        <v>179</v>
      </c>
      <c r="T152">
        <v>303</v>
      </c>
      <c r="U152" t="s">
        <v>50</v>
      </c>
      <c r="V152" t="s">
        <v>76</v>
      </c>
      <c r="X152" t="s">
        <v>125</v>
      </c>
      <c r="Y152" t="s">
        <v>103</v>
      </c>
      <c r="AA152">
        <v>0</v>
      </c>
      <c r="AB152" t="s">
        <v>79</v>
      </c>
      <c r="AC152" t="s">
        <v>127</v>
      </c>
      <c r="AD152">
        <v>36</v>
      </c>
      <c r="AE152">
        <v>9</v>
      </c>
      <c r="AF152">
        <v>3</v>
      </c>
      <c r="AG152">
        <v>2025</v>
      </c>
      <c r="AH152" s="2">
        <v>22750</v>
      </c>
      <c r="AI152" s="2">
        <v>21033.724609375</v>
      </c>
      <c r="AJ152" s="2">
        <f t="shared" si="16"/>
        <v>1716.275390625</v>
      </c>
      <c r="AK152" s="6">
        <f t="shared" si="17"/>
        <v>7.5440676510989013E-2</v>
      </c>
      <c r="AL152" s="12">
        <v>22750</v>
      </c>
      <c r="AM152" s="12">
        <v>25756.43353344563</v>
      </c>
      <c r="AN152" s="12">
        <f t="shared" si="18"/>
        <v>3006.43353344563</v>
      </c>
      <c r="AO152" s="13">
        <f t="shared" si="19"/>
        <v>0.13215092454706065</v>
      </c>
      <c r="AP152" s="16">
        <v>22750</v>
      </c>
      <c r="AQ152" s="16">
        <v>21978.969053774639</v>
      </c>
      <c r="AR152" s="16">
        <f t="shared" si="20"/>
        <v>771.03094622536082</v>
      </c>
      <c r="AS152" s="17">
        <f t="shared" si="21"/>
        <v>3.3891470163752123E-2</v>
      </c>
      <c r="AT152" s="20">
        <v>22750</v>
      </c>
      <c r="AU152" s="20">
        <v>21448.576171875</v>
      </c>
      <c r="AV152" s="20">
        <f t="shared" si="22"/>
        <v>1301.423828125</v>
      </c>
      <c r="AW152" s="21">
        <f t="shared" si="23"/>
        <v>5.7205442994505494E-2</v>
      </c>
    </row>
    <row r="153" spans="1:49" x14ac:dyDescent="0.25">
      <c r="A153" t="s">
        <v>38</v>
      </c>
      <c r="B153" t="s">
        <v>110</v>
      </c>
      <c r="C153">
        <v>4610</v>
      </c>
      <c r="D153">
        <v>2025</v>
      </c>
      <c r="E153" t="s">
        <v>97</v>
      </c>
      <c r="F153" t="s">
        <v>159</v>
      </c>
      <c r="G153" t="s">
        <v>338</v>
      </c>
      <c r="H153" t="s">
        <v>89</v>
      </c>
      <c r="I153">
        <v>8</v>
      </c>
      <c r="J153" t="s">
        <v>72</v>
      </c>
      <c r="K153">
        <v>4</v>
      </c>
      <c r="L153" t="s">
        <v>44</v>
      </c>
      <c r="M153">
        <v>5.3</v>
      </c>
      <c r="N153" t="s">
        <v>91</v>
      </c>
      <c r="Q153" t="s">
        <v>74</v>
      </c>
      <c r="R153" t="s">
        <v>92</v>
      </c>
      <c r="S153" t="s">
        <v>93</v>
      </c>
      <c r="U153" t="s">
        <v>50</v>
      </c>
      <c r="W153" t="s">
        <v>161</v>
      </c>
      <c r="X153" t="s">
        <v>108</v>
      </c>
      <c r="Y153" t="s">
        <v>103</v>
      </c>
      <c r="AA153">
        <v>0</v>
      </c>
      <c r="AB153" t="s">
        <v>79</v>
      </c>
      <c r="AC153" t="s">
        <v>95</v>
      </c>
      <c r="AD153">
        <v>36</v>
      </c>
      <c r="AE153">
        <v>9</v>
      </c>
      <c r="AF153">
        <v>3</v>
      </c>
      <c r="AG153">
        <v>2025</v>
      </c>
      <c r="AH153" s="2">
        <v>52000</v>
      </c>
      <c r="AI153" s="2">
        <v>64111.2578125</v>
      </c>
      <c r="AJ153" s="2">
        <f t="shared" si="16"/>
        <v>12111.2578125</v>
      </c>
      <c r="AK153" s="6">
        <f t="shared" si="17"/>
        <v>0.23290880408653847</v>
      </c>
      <c r="AL153" s="12">
        <v>52000</v>
      </c>
      <c r="AM153" s="12">
        <v>51284.859966524593</v>
      </c>
      <c r="AN153" s="12">
        <f t="shared" si="18"/>
        <v>715.14003347540711</v>
      </c>
      <c r="AO153" s="13">
        <f t="shared" si="19"/>
        <v>1.3752692951450136E-2</v>
      </c>
      <c r="AP153" s="16">
        <v>52000</v>
      </c>
      <c r="AQ153" s="16">
        <v>47670.230592830783</v>
      </c>
      <c r="AR153" s="16">
        <f t="shared" si="20"/>
        <v>4329.7694071692167</v>
      </c>
      <c r="AS153" s="17">
        <f t="shared" si="21"/>
        <v>8.3264796291715709E-2</v>
      </c>
      <c r="AT153" s="20">
        <v>52000</v>
      </c>
      <c r="AU153" s="20">
        <v>60039.70703125</v>
      </c>
      <c r="AV153" s="20">
        <f t="shared" si="22"/>
        <v>8039.70703125</v>
      </c>
      <c r="AW153" s="21">
        <f t="shared" si="23"/>
        <v>0.15460975060096155</v>
      </c>
    </row>
    <row r="154" spans="1:49" x14ac:dyDescent="0.25">
      <c r="A154" t="s">
        <v>128</v>
      </c>
      <c r="B154" t="s">
        <v>129</v>
      </c>
      <c r="C154">
        <v>132636</v>
      </c>
      <c r="D154">
        <v>2016</v>
      </c>
      <c r="E154" t="s">
        <v>40</v>
      </c>
      <c r="F154" t="s">
        <v>297</v>
      </c>
      <c r="H154" t="s">
        <v>298</v>
      </c>
      <c r="I154">
        <v>4</v>
      </c>
      <c r="J154" t="s">
        <v>61</v>
      </c>
      <c r="K154">
        <v>4</v>
      </c>
      <c r="L154" t="s">
        <v>44</v>
      </c>
      <c r="M154">
        <v>2.5</v>
      </c>
      <c r="N154" t="s">
        <v>45</v>
      </c>
      <c r="Q154" t="s">
        <v>47</v>
      </c>
      <c r="R154" t="s">
        <v>123</v>
      </c>
      <c r="S154" t="s">
        <v>49</v>
      </c>
      <c r="T154">
        <v>268</v>
      </c>
      <c r="U154" t="s">
        <v>50</v>
      </c>
      <c r="V154" t="s">
        <v>51</v>
      </c>
      <c r="W154" t="s">
        <v>236</v>
      </c>
      <c r="X154" t="s">
        <v>125</v>
      </c>
      <c r="Y154" t="s">
        <v>78</v>
      </c>
      <c r="AA154">
        <v>0</v>
      </c>
      <c r="AB154" t="s">
        <v>79</v>
      </c>
      <c r="AC154" t="s">
        <v>127</v>
      </c>
      <c r="AD154">
        <v>36</v>
      </c>
      <c r="AE154">
        <v>9</v>
      </c>
      <c r="AF154">
        <v>3</v>
      </c>
      <c r="AG154">
        <v>2025</v>
      </c>
      <c r="AH154" s="2">
        <v>9700</v>
      </c>
      <c r="AI154" s="2">
        <v>5570.3779296875</v>
      </c>
      <c r="AJ154" s="2">
        <f t="shared" si="16"/>
        <v>4129.6220703125</v>
      </c>
      <c r="AK154" s="6">
        <f t="shared" si="17"/>
        <v>0.42573423405283506</v>
      </c>
      <c r="AL154" s="12">
        <v>9700</v>
      </c>
      <c r="AM154" s="12">
        <v>5953.0040353502154</v>
      </c>
      <c r="AN154" s="12">
        <f t="shared" si="18"/>
        <v>3746.9959646497846</v>
      </c>
      <c r="AO154" s="13">
        <f t="shared" si="19"/>
        <v>0.38628824377832832</v>
      </c>
      <c r="AP154" s="16">
        <v>9700</v>
      </c>
      <c r="AQ154" s="16">
        <v>4747.8643421384922</v>
      </c>
      <c r="AR154" s="16">
        <f t="shared" si="20"/>
        <v>4952.1356578615078</v>
      </c>
      <c r="AS154" s="17">
        <f t="shared" si="21"/>
        <v>0.51052944926407295</v>
      </c>
      <c r="AT154" s="20">
        <v>9700</v>
      </c>
      <c r="AU154" s="20">
        <v>5681.49365234375</v>
      </c>
      <c r="AV154" s="20">
        <f t="shared" si="22"/>
        <v>4018.50634765625</v>
      </c>
      <c r="AW154" s="21">
        <f t="shared" si="23"/>
        <v>0.41427900491301545</v>
      </c>
    </row>
    <row r="155" spans="1:49" x14ac:dyDescent="0.25">
      <c r="A155" t="s">
        <v>38</v>
      </c>
      <c r="B155" t="s">
        <v>68</v>
      </c>
      <c r="C155">
        <v>167743</v>
      </c>
      <c r="D155">
        <v>2013</v>
      </c>
      <c r="E155" t="s">
        <v>69</v>
      </c>
      <c r="F155" t="s">
        <v>157</v>
      </c>
      <c r="G155" t="s">
        <v>105</v>
      </c>
      <c r="I155">
        <v>6</v>
      </c>
      <c r="J155" t="s">
        <v>106</v>
      </c>
      <c r="K155">
        <v>4</v>
      </c>
      <c r="L155" t="s">
        <v>44</v>
      </c>
      <c r="M155">
        <v>3.5</v>
      </c>
      <c r="N155" t="s">
        <v>45</v>
      </c>
      <c r="O155" t="s">
        <v>46</v>
      </c>
      <c r="Q155" t="s">
        <v>62</v>
      </c>
      <c r="R155" t="s">
        <v>63</v>
      </c>
      <c r="T155">
        <v>290</v>
      </c>
      <c r="U155" t="s">
        <v>50</v>
      </c>
      <c r="V155" t="s">
        <v>76</v>
      </c>
      <c r="X155" t="s">
        <v>94</v>
      </c>
      <c r="Y155" t="s">
        <v>78</v>
      </c>
      <c r="AA155">
        <v>0</v>
      </c>
      <c r="AB155" t="s">
        <v>79</v>
      </c>
      <c r="AC155" t="s">
        <v>87</v>
      </c>
      <c r="AD155">
        <v>36</v>
      </c>
      <c r="AE155">
        <v>9</v>
      </c>
      <c r="AF155">
        <v>3</v>
      </c>
      <c r="AG155">
        <v>2025</v>
      </c>
      <c r="AH155" s="2">
        <v>3200</v>
      </c>
      <c r="AI155" s="2">
        <v>3417.741455078125</v>
      </c>
      <c r="AJ155" s="2">
        <f t="shared" si="16"/>
        <v>217.741455078125</v>
      </c>
      <c r="AK155" s="6">
        <f t="shared" si="17"/>
        <v>6.8044204711914066E-2</v>
      </c>
      <c r="AL155" s="12">
        <v>3200</v>
      </c>
      <c r="AM155" s="12">
        <v>3056.9644679188218</v>
      </c>
      <c r="AN155" s="12">
        <f t="shared" si="18"/>
        <v>143.03553208117819</v>
      </c>
      <c r="AO155" s="13">
        <f t="shared" si="19"/>
        <v>4.4698603775368183E-2</v>
      </c>
      <c r="AP155" s="16">
        <v>3200</v>
      </c>
      <c r="AQ155" s="16">
        <v>3375.5456979323299</v>
      </c>
      <c r="AR155" s="16">
        <f t="shared" si="20"/>
        <v>175.54569793232986</v>
      </c>
      <c r="AS155" s="17">
        <f t="shared" si="21"/>
        <v>5.4858030603853081E-2</v>
      </c>
      <c r="AT155" s="20">
        <v>3200</v>
      </c>
      <c r="AU155" s="20">
        <v>3382.503662109375</v>
      </c>
      <c r="AV155" s="20">
        <f t="shared" si="22"/>
        <v>182.503662109375</v>
      </c>
      <c r="AW155" s="21">
        <f t="shared" si="23"/>
        <v>5.703239440917969E-2</v>
      </c>
    </row>
    <row r="156" spans="1:49" x14ac:dyDescent="0.25">
      <c r="A156" t="s">
        <v>128</v>
      </c>
      <c r="B156" t="s">
        <v>129</v>
      </c>
      <c r="C156">
        <v>293557</v>
      </c>
      <c r="D156">
        <v>2010</v>
      </c>
      <c r="E156" t="s">
        <v>146</v>
      </c>
      <c r="F156" t="s">
        <v>431</v>
      </c>
      <c r="I156">
        <v>4</v>
      </c>
      <c r="J156" t="s">
        <v>72</v>
      </c>
      <c r="K156">
        <v>4</v>
      </c>
      <c r="L156" t="s">
        <v>44</v>
      </c>
      <c r="M156">
        <v>1.8</v>
      </c>
      <c r="N156" t="s">
        <v>45</v>
      </c>
      <c r="Q156" t="s">
        <v>62</v>
      </c>
      <c r="R156" t="s">
        <v>63</v>
      </c>
      <c r="S156" t="s">
        <v>49</v>
      </c>
      <c r="U156" t="s">
        <v>50</v>
      </c>
      <c r="X156" t="s">
        <v>53</v>
      </c>
      <c r="Y156" t="s">
        <v>54</v>
      </c>
      <c r="AA156">
        <v>0</v>
      </c>
      <c r="AB156" t="s">
        <v>79</v>
      </c>
      <c r="AC156" t="s">
        <v>87</v>
      </c>
      <c r="AD156">
        <v>36</v>
      </c>
      <c r="AE156">
        <v>9</v>
      </c>
      <c r="AF156">
        <v>3</v>
      </c>
      <c r="AG156">
        <v>2025</v>
      </c>
      <c r="AH156" s="2">
        <v>600</v>
      </c>
      <c r="AI156" s="2">
        <v>579.0992431640625</v>
      </c>
      <c r="AJ156" s="2">
        <f t="shared" si="16"/>
        <v>20.9007568359375</v>
      </c>
      <c r="AK156" s="6">
        <f t="shared" si="17"/>
        <v>3.4834594726562501E-2</v>
      </c>
      <c r="AL156" s="12">
        <v>600</v>
      </c>
      <c r="AM156" s="12">
        <v>775.49316821807088</v>
      </c>
      <c r="AN156" s="12">
        <f t="shared" si="18"/>
        <v>175.49316821807088</v>
      </c>
      <c r="AO156" s="13">
        <f t="shared" si="19"/>
        <v>0.2924886136967848</v>
      </c>
      <c r="AP156" s="16">
        <v>600</v>
      </c>
      <c r="AQ156" s="16">
        <v>625.53770295921913</v>
      </c>
      <c r="AR156" s="16">
        <f t="shared" si="20"/>
        <v>25.537702959219132</v>
      </c>
      <c r="AS156" s="17">
        <f t="shared" si="21"/>
        <v>4.2562838265365222E-2</v>
      </c>
      <c r="AT156" s="20">
        <v>600</v>
      </c>
      <c r="AU156" s="20">
        <v>620.4835205078125</v>
      </c>
      <c r="AV156" s="20">
        <f t="shared" si="22"/>
        <v>20.4835205078125</v>
      </c>
      <c r="AW156" s="21">
        <f t="shared" si="23"/>
        <v>3.4139200846354169E-2</v>
      </c>
    </row>
    <row r="157" spans="1:49" x14ac:dyDescent="0.25">
      <c r="A157" t="s">
        <v>38</v>
      </c>
      <c r="B157" t="s">
        <v>68</v>
      </c>
      <c r="C157">
        <v>102507</v>
      </c>
      <c r="D157">
        <v>2018</v>
      </c>
      <c r="E157" t="s">
        <v>146</v>
      </c>
      <c r="F157" t="s">
        <v>147</v>
      </c>
      <c r="I157">
        <v>4</v>
      </c>
      <c r="J157" t="s">
        <v>106</v>
      </c>
      <c r="K157">
        <v>4</v>
      </c>
      <c r="L157" t="s">
        <v>44</v>
      </c>
      <c r="M157">
        <v>2.5</v>
      </c>
      <c r="N157" t="s">
        <v>45</v>
      </c>
      <c r="O157" t="s">
        <v>46</v>
      </c>
      <c r="P157">
        <v>4</v>
      </c>
      <c r="Q157" t="s">
        <v>62</v>
      </c>
      <c r="R157" t="s">
        <v>148</v>
      </c>
      <c r="S157" t="s">
        <v>49</v>
      </c>
      <c r="T157">
        <v>170</v>
      </c>
      <c r="U157" t="s">
        <v>50</v>
      </c>
      <c r="X157" t="s">
        <v>65</v>
      </c>
      <c r="Y157" t="s">
        <v>78</v>
      </c>
      <c r="Z157">
        <v>24800</v>
      </c>
      <c r="AA157">
        <v>0</v>
      </c>
      <c r="AB157" t="s">
        <v>79</v>
      </c>
      <c r="AC157" t="s">
        <v>87</v>
      </c>
      <c r="AD157">
        <v>36</v>
      </c>
      <c r="AE157">
        <v>9</v>
      </c>
      <c r="AF157">
        <v>3</v>
      </c>
      <c r="AG157">
        <v>2025</v>
      </c>
      <c r="AH157" s="2">
        <v>8600</v>
      </c>
      <c r="AI157" s="2">
        <v>7915.130859375</v>
      </c>
      <c r="AJ157" s="2">
        <f t="shared" si="16"/>
        <v>684.869140625</v>
      </c>
      <c r="AK157" s="6">
        <f t="shared" si="17"/>
        <v>7.9635946584302328E-2</v>
      </c>
      <c r="AL157" s="12">
        <v>8600</v>
      </c>
      <c r="AM157" s="12">
        <v>7473.1971024300647</v>
      </c>
      <c r="AN157" s="12">
        <f t="shared" si="18"/>
        <v>1126.8028975699353</v>
      </c>
      <c r="AO157" s="13">
        <f t="shared" si="19"/>
        <v>0.13102359274069014</v>
      </c>
      <c r="AP157" s="16">
        <v>8600</v>
      </c>
      <c r="AQ157" s="16">
        <v>7257.3701233847851</v>
      </c>
      <c r="AR157" s="16">
        <f t="shared" si="20"/>
        <v>1342.6298766152149</v>
      </c>
      <c r="AS157" s="17">
        <f t="shared" si="21"/>
        <v>0.15611975309479242</v>
      </c>
      <c r="AT157" s="20">
        <v>8600</v>
      </c>
      <c r="AU157" s="20">
        <v>7897.876953125</v>
      </c>
      <c r="AV157" s="20">
        <f t="shared" si="22"/>
        <v>702.123046875</v>
      </c>
      <c r="AW157" s="21">
        <f t="shared" si="23"/>
        <v>8.1642214752906977E-2</v>
      </c>
    </row>
    <row r="158" spans="1:49" x14ac:dyDescent="0.25">
      <c r="A158" t="s">
        <v>38</v>
      </c>
      <c r="B158" t="s">
        <v>39</v>
      </c>
      <c r="C158">
        <v>106905</v>
      </c>
      <c r="D158">
        <v>2018</v>
      </c>
      <c r="E158" t="s">
        <v>97</v>
      </c>
      <c r="F158" t="s">
        <v>159</v>
      </c>
      <c r="G158" t="s">
        <v>432</v>
      </c>
      <c r="H158" t="s">
        <v>89</v>
      </c>
      <c r="I158">
        <v>8</v>
      </c>
      <c r="J158" t="s">
        <v>135</v>
      </c>
      <c r="K158">
        <v>4</v>
      </c>
      <c r="L158" t="s">
        <v>44</v>
      </c>
      <c r="M158">
        <v>5.3</v>
      </c>
      <c r="N158" t="s">
        <v>91</v>
      </c>
      <c r="O158" t="s">
        <v>46</v>
      </c>
      <c r="Q158" t="s">
        <v>74</v>
      </c>
      <c r="R158" t="s">
        <v>92</v>
      </c>
      <c r="S158" t="s">
        <v>93</v>
      </c>
      <c r="U158" t="s">
        <v>50</v>
      </c>
      <c r="W158" t="s">
        <v>424</v>
      </c>
      <c r="X158" t="s">
        <v>108</v>
      </c>
      <c r="Y158" t="s">
        <v>126</v>
      </c>
      <c r="AA158">
        <v>0</v>
      </c>
      <c r="AB158" t="s">
        <v>79</v>
      </c>
      <c r="AC158" t="s">
        <v>95</v>
      </c>
      <c r="AD158">
        <v>36</v>
      </c>
      <c r="AE158">
        <v>9</v>
      </c>
      <c r="AF158">
        <v>3</v>
      </c>
      <c r="AG158">
        <v>2025</v>
      </c>
      <c r="AH158" s="2">
        <v>25000</v>
      </c>
      <c r="AI158" s="2">
        <v>23988.6484375</v>
      </c>
      <c r="AJ158" s="2">
        <f t="shared" si="16"/>
        <v>1011.3515625</v>
      </c>
      <c r="AK158" s="6">
        <f t="shared" si="17"/>
        <v>4.0454062499999999E-2</v>
      </c>
      <c r="AL158" s="12">
        <v>25000</v>
      </c>
      <c r="AM158" s="12">
        <v>21297.433139738161</v>
      </c>
      <c r="AN158" s="12">
        <f t="shared" si="18"/>
        <v>3702.5668602618389</v>
      </c>
      <c r="AO158" s="13">
        <f t="shared" si="19"/>
        <v>0.14810267441047356</v>
      </c>
      <c r="AP158" s="16">
        <v>25000</v>
      </c>
      <c r="AQ158" s="16">
        <v>20445.41858858729</v>
      </c>
      <c r="AR158" s="16">
        <f t="shared" si="20"/>
        <v>4554.5814114127097</v>
      </c>
      <c r="AS158" s="17">
        <f t="shared" si="21"/>
        <v>0.1821832564565084</v>
      </c>
      <c r="AT158" s="20">
        <v>25000</v>
      </c>
      <c r="AU158" s="20">
        <v>23406.23828125</v>
      </c>
      <c r="AV158" s="20">
        <f t="shared" si="22"/>
        <v>1593.76171875</v>
      </c>
      <c r="AW158" s="21">
        <f t="shared" si="23"/>
        <v>6.3750468749999997E-2</v>
      </c>
    </row>
    <row r="159" spans="1:49" x14ac:dyDescent="0.25">
      <c r="A159" t="s">
        <v>38</v>
      </c>
      <c r="B159" t="s">
        <v>110</v>
      </c>
      <c r="C159">
        <v>516449</v>
      </c>
      <c r="D159">
        <v>2008</v>
      </c>
      <c r="E159" t="s">
        <v>162</v>
      </c>
      <c r="F159" t="s">
        <v>163</v>
      </c>
      <c r="G159" t="s">
        <v>433</v>
      </c>
      <c r="I159">
        <v>6</v>
      </c>
      <c r="J159" t="s">
        <v>61</v>
      </c>
      <c r="K159">
        <v>4</v>
      </c>
      <c r="L159" t="s">
        <v>44</v>
      </c>
      <c r="M159">
        <v>3.3</v>
      </c>
      <c r="N159" t="s">
        <v>45</v>
      </c>
      <c r="Q159" t="s">
        <v>47</v>
      </c>
      <c r="R159" t="s">
        <v>123</v>
      </c>
      <c r="S159" t="s">
        <v>101</v>
      </c>
      <c r="T159">
        <v>234</v>
      </c>
      <c r="U159" t="s">
        <v>50</v>
      </c>
      <c r="V159" t="s">
        <v>76</v>
      </c>
      <c r="X159" t="s">
        <v>125</v>
      </c>
      <c r="Y159" t="s">
        <v>78</v>
      </c>
      <c r="AA159">
        <v>0</v>
      </c>
      <c r="AB159" t="s">
        <v>79</v>
      </c>
      <c r="AC159" t="s">
        <v>127</v>
      </c>
      <c r="AD159">
        <v>36</v>
      </c>
      <c r="AE159">
        <v>9</v>
      </c>
      <c r="AF159">
        <v>3</v>
      </c>
      <c r="AG159">
        <v>2025</v>
      </c>
      <c r="AH159" s="2">
        <v>1600</v>
      </c>
      <c r="AI159" s="2">
        <v>656.9984130859375</v>
      </c>
      <c r="AJ159" s="2">
        <f t="shared" si="16"/>
        <v>943.0015869140625</v>
      </c>
      <c r="AK159" s="6">
        <f t="shared" si="17"/>
        <v>0.58937599182128908</v>
      </c>
      <c r="AL159" s="12">
        <v>1600</v>
      </c>
      <c r="AM159" s="12">
        <v>539.7807975479418</v>
      </c>
      <c r="AN159" s="12">
        <f t="shared" si="18"/>
        <v>1060.2192024520582</v>
      </c>
      <c r="AO159" s="13">
        <f t="shared" si="19"/>
        <v>0.66263700153253635</v>
      </c>
      <c r="AP159" s="16">
        <v>1600</v>
      </c>
      <c r="AQ159" s="16">
        <v>507.76780391847342</v>
      </c>
      <c r="AR159" s="16">
        <f t="shared" si="20"/>
        <v>1092.2321960815266</v>
      </c>
      <c r="AS159" s="17">
        <f t="shared" si="21"/>
        <v>0.68264512255095411</v>
      </c>
      <c r="AT159" s="20">
        <v>1600</v>
      </c>
      <c r="AU159" s="20">
        <v>599.62322998046875</v>
      </c>
      <c r="AV159" s="20">
        <f t="shared" si="22"/>
        <v>1000.3767700195313</v>
      </c>
      <c r="AW159" s="21">
        <f t="shared" si="23"/>
        <v>0.62523548126220707</v>
      </c>
    </row>
    <row r="160" spans="1:49" x14ac:dyDescent="0.25">
      <c r="A160" t="s">
        <v>114</v>
      </c>
      <c r="B160" t="s">
        <v>115</v>
      </c>
      <c r="C160">
        <v>172858</v>
      </c>
      <c r="D160">
        <v>2015</v>
      </c>
      <c r="E160" t="s">
        <v>97</v>
      </c>
      <c r="F160" t="s">
        <v>98</v>
      </c>
      <c r="G160" t="s">
        <v>130</v>
      </c>
      <c r="I160">
        <v>4</v>
      </c>
      <c r="J160" t="s">
        <v>135</v>
      </c>
      <c r="K160">
        <v>4</v>
      </c>
      <c r="L160" t="s">
        <v>44</v>
      </c>
      <c r="M160">
        <v>2.4</v>
      </c>
      <c r="N160" t="s">
        <v>45</v>
      </c>
      <c r="O160" t="s">
        <v>46</v>
      </c>
      <c r="Q160" t="s">
        <v>62</v>
      </c>
      <c r="R160" t="s">
        <v>63</v>
      </c>
      <c r="S160" t="s">
        <v>101</v>
      </c>
      <c r="U160" t="s">
        <v>50</v>
      </c>
      <c r="W160" t="s">
        <v>131</v>
      </c>
      <c r="X160" t="s">
        <v>65</v>
      </c>
      <c r="Y160" t="s">
        <v>103</v>
      </c>
      <c r="AA160">
        <v>0</v>
      </c>
      <c r="AB160" t="s">
        <v>79</v>
      </c>
      <c r="AC160" t="s">
        <v>87</v>
      </c>
      <c r="AD160">
        <v>36</v>
      </c>
      <c r="AE160">
        <v>9</v>
      </c>
      <c r="AF160">
        <v>3</v>
      </c>
      <c r="AG160">
        <v>2025</v>
      </c>
      <c r="AH160" s="2">
        <v>1500</v>
      </c>
      <c r="AI160" s="2">
        <v>2227.705078125</v>
      </c>
      <c r="AJ160" s="2">
        <f t="shared" si="16"/>
        <v>727.705078125</v>
      </c>
      <c r="AK160" s="6">
        <f t="shared" si="17"/>
        <v>0.48513671874999997</v>
      </c>
      <c r="AL160" s="12">
        <v>1500</v>
      </c>
      <c r="AM160" s="12">
        <v>2381.9618611953861</v>
      </c>
      <c r="AN160" s="12">
        <f t="shared" si="18"/>
        <v>881.96186119538606</v>
      </c>
      <c r="AO160" s="13">
        <f t="shared" si="19"/>
        <v>0.58797457413025733</v>
      </c>
      <c r="AP160" s="16">
        <v>1500</v>
      </c>
      <c r="AQ160" s="16">
        <v>1532.4632884439141</v>
      </c>
      <c r="AR160" s="16">
        <f t="shared" si="20"/>
        <v>32.463288443914053</v>
      </c>
      <c r="AS160" s="17">
        <f t="shared" si="21"/>
        <v>2.1642192295942702E-2</v>
      </c>
      <c r="AT160" s="20">
        <v>1500</v>
      </c>
      <c r="AU160" s="20">
        <v>2244.515869140625</v>
      </c>
      <c r="AV160" s="20">
        <f t="shared" si="22"/>
        <v>744.515869140625</v>
      </c>
      <c r="AW160" s="21">
        <f t="shared" si="23"/>
        <v>0.49634391276041667</v>
      </c>
    </row>
    <row r="161" spans="1:49" x14ac:dyDescent="0.25">
      <c r="A161" t="s">
        <v>38</v>
      </c>
      <c r="B161" t="s">
        <v>68</v>
      </c>
      <c r="C161">
        <v>85365</v>
      </c>
      <c r="D161">
        <v>2019</v>
      </c>
      <c r="E161" t="s">
        <v>40</v>
      </c>
      <c r="F161" t="s">
        <v>149</v>
      </c>
      <c r="G161" t="s">
        <v>150</v>
      </c>
      <c r="H161" t="s">
        <v>434</v>
      </c>
      <c r="I161">
        <v>4</v>
      </c>
      <c r="J161" t="s">
        <v>106</v>
      </c>
      <c r="K161">
        <v>4</v>
      </c>
      <c r="L161" t="s">
        <v>44</v>
      </c>
      <c r="M161">
        <v>2.7</v>
      </c>
      <c r="N161" t="s">
        <v>73</v>
      </c>
      <c r="O161" t="s">
        <v>46</v>
      </c>
      <c r="P161">
        <v>4</v>
      </c>
      <c r="Q161" t="s">
        <v>74</v>
      </c>
      <c r="R161" t="s">
        <v>92</v>
      </c>
      <c r="S161" t="s">
        <v>49</v>
      </c>
      <c r="T161">
        <v>159</v>
      </c>
      <c r="U161" t="s">
        <v>50</v>
      </c>
      <c r="V161" t="s">
        <v>51</v>
      </c>
      <c r="W161" t="s">
        <v>435</v>
      </c>
      <c r="X161" t="s">
        <v>141</v>
      </c>
      <c r="Y161" t="s">
        <v>78</v>
      </c>
      <c r="Z161">
        <v>27625</v>
      </c>
      <c r="AA161">
        <v>0</v>
      </c>
      <c r="AB161" t="s">
        <v>79</v>
      </c>
      <c r="AC161" t="s">
        <v>95</v>
      </c>
      <c r="AD161">
        <v>36</v>
      </c>
      <c r="AE161">
        <v>9</v>
      </c>
      <c r="AF161">
        <v>3</v>
      </c>
      <c r="AG161">
        <v>2025</v>
      </c>
      <c r="AH161" s="2">
        <v>20000</v>
      </c>
      <c r="AI161" s="2">
        <v>15788.5224609375</v>
      </c>
      <c r="AJ161" s="2">
        <f t="shared" si="16"/>
        <v>4211.4775390625</v>
      </c>
      <c r="AK161" s="6">
        <f t="shared" si="17"/>
        <v>0.21057387695312499</v>
      </c>
      <c r="AL161" s="12">
        <v>20000</v>
      </c>
      <c r="AM161" s="12">
        <v>15326.470069376561</v>
      </c>
      <c r="AN161" s="12">
        <f t="shared" si="18"/>
        <v>4673.5299306234392</v>
      </c>
      <c r="AO161" s="13">
        <f t="shared" si="19"/>
        <v>0.23367649653117195</v>
      </c>
      <c r="AP161" s="16">
        <v>20000</v>
      </c>
      <c r="AQ161" s="16">
        <v>14210.80487375709</v>
      </c>
      <c r="AR161" s="16">
        <f t="shared" si="20"/>
        <v>5789.1951262429102</v>
      </c>
      <c r="AS161" s="17">
        <f t="shared" si="21"/>
        <v>0.28945975631214549</v>
      </c>
      <c r="AT161" s="20">
        <v>20000</v>
      </c>
      <c r="AU161" s="20">
        <v>15533.84375</v>
      </c>
      <c r="AV161" s="20">
        <f t="shared" si="22"/>
        <v>4466.15625</v>
      </c>
      <c r="AW161" s="21">
        <f t="shared" si="23"/>
        <v>0.22330781250000001</v>
      </c>
    </row>
    <row r="162" spans="1:49" x14ac:dyDescent="0.25">
      <c r="A162" t="s">
        <v>128</v>
      </c>
      <c r="B162" t="s">
        <v>210</v>
      </c>
      <c r="C162">
        <v>95010</v>
      </c>
      <c r="D162">
        <v>2021</v>
      </c>
      <c r="E162" t="s">
        <v>388</v>
      </c>
      <c r="F162" t="s">
        <v>436</v>
      </c>
      <c r="H162" t="s">
        <v>437</v>
      </c>
      <c r="I162">
        <v>3</v>
      </c>
      <c r="J162" t="s">
        <v>122</v>
      </c>
      <c r="K162">
        <v>4</v>
      </c>
      <c r="L162" t="s">
        <v>44</v>
      </c>
      <c r="M162">
        <v>1.2</v>
      </c>
      <c r="N162" t="s">
        <v>45</v>
      </c>
      <c r="O162" t="s">
        <v>46</v>
      </c>
      <c r="Q162" t="s">
        <v>47</v>
      </c>
      <c r="R162" t="s">
        <v>48</v>
      </c>
      <c r="S162" t="s">
        <v>101</v>
      </c>
      <c r="T162">
        <v>78</v>
      </c>
      <c r="U162" t="s">
        <v>50</v>
      </c>
      <c r="V162" t="s">
        <v>51</v>
      </c>
      <c r="W162" t="s">
        <v>438</v>
      </c>
      <c r="X162" t="s">
        <v>125</v>
      </c>
      <c r="Y162" t="s">
        <v>439</v>
      </c>
      <c r="Z162">
        <v>14295</v>
      </c>
      <c r="AA162">
        <v>0</v>
      </c>
      <c r="AB162" t="s">
        <v>79</v>
      </c>
      <c r="AC162" t="s">
        <v>359</v>
      </c>
      <c r="AD162">
        <v>36</v>
      </c>
      <c r="AE162">
        <v>9</v>
      </c>
      <c r="AF162">
        <v>3</v>
      </c>
      <c r="AG162">
        <v>2025</v>
      </c>
      <c r="AH162" s="2">
        <v>4300</v>
      </c>
      <c r="AI162" s="2">
        <v>4007.83544921875</v>
      </c>
      <c r="AJ162" s="2">
        <f t="shared" si="16"/>
        <v>292.16455078125</v>
      </c>
      <c r="AK162" s="6">
        <f t="shared" si="17"/>
        <v>6.7945244367732555E-2</v>
      </c>
      <c r="AL162" s="12">
        <v>4300</v>
      </c>
      <c r="AM162" s="12">
        <v>5576.7604629680964</v>
      </c>
      <c r="AN162" s="12">
        <f t="shared" si="18"/>
        <v>1276.7604629680964</v>
      </c>
      <c r="AO162" s="13">
        <f t="shared" si="19"/>
        <v>0.29692103789955732</v>
      </c>
      <c r="AP162" s="16">
        <v>4300</v>
      </c>
      <c r="AQ162" s="16">
        <v>4986.4441404027484</v>
      </c>
      <c r="AR162" s="16">
        <f t="shared" si="20"/>
        <v>686.44414040274842</v>
      </c>
      <c r="AS162" s="17">
        <f t="shared" si="21"/>
        <v>0.15963817218668569</v>
      </c>
      <c r="AT162" s="20">
        <v>4300</v>
      </c>
      <c r="AU162" s="20">
        <v>4184.5546875</v>
      </c>
      <c r="AV162" s="20">
        <f t="shared" si="22"/>
        <v>115.4453125</v>
      </c>
      <c r="AW162" s="21">
        <f t="shared" si="23"/>
        <v>2.6847747093023257E-2</v>
      </c>
    </row>
    <row r="163" spans="1:49" x14ac:dyDescent="0.25">
      <c r="A163" t="s">
        <v>128</v>
      </c>
      <c r="B163" t="s">
        <v>129</v>
      </c>
      <c r="C163">
        <v>69682</v>
      </c>
      <c r="D163">
        <v>2019</v>
      </c>
      <c r="E163" t="s">
        <v>162</v>
      </c>
      <c r="F163" t="s">
        <v>163</v>
      </c>
      <c r="G163" t="s">
        <v>440</v>
      </c>
      <c r="I163">
        <v>4</v>
      </c>
      <c r="J163" t="s">
        <v>122</v>
      </c>
      <c r="K163">
        <v>4</v>
      </c>
      <c r="L163" t="s">
        <v>44</v>
      </c>
      <c r="M163">
        <v>2.4</v>
      </c>
      <c r="N163" t="s">
        <v>45</v>
      </c>
      <c r="O163" t="s">
        <v>46</v>
      </c>
      <c r="P163">
        <v>3</v>
      </c>
      <c r="Q163" t="s">
        <v>47</v>
      </c>
      <c r="R163" t="s">
        <v>123</v>
      </c>
      <c r="T163">
        <v>187</v>
      </c>
      <c r="U163" t="s">
        <v>50</v>
      </c>
      <c r="W163" t="s">
        <v>300</v>
      </c>
      <c r="X163" t="s">
        <v>125</v>
      </c>
      <c r="Y163" t="s">
        <v>78</v>
      </c>
      <c r="Z163">
        <v>24150</v>
      </c>
      <c r="AA163">
        <v>0</v>
      </c>
      <c r="AB163" t="s">
        <v>79</v>
      </c>
      <c r="AC163" t="s">
        <v>127</v>
      </c>
      <c r="AD163">
        <v>36</v>
      </c>
      <c r="AE163">
        <v>9</v>
      </c>
      <c r="AF163">
        <v>3</v>
      </c>
      <c r="AG163">
        <v>2025</v>
      </c>
      <c r="AH163" s="2">
        <v>8000</v>
      </c>
      <c r="AI163" s="2">
        <v>9332.203125</v>
      </c>
      <c r="AJ163" s="2">
        <f t="shared" si="16"/>
        <v>1332.203125</v>
      </c>
      <c r="AK163" s="6">
        <f t="shared" si="17"/>
        <v>0.16652539062499999</v>
      </c>
      <c r="AL163" s="12">
        <v>8000</v>
      </c>
      <c r="AM163" s="12">
        <v>9209.8469176221824</v>
      </c>
      <c r="AN163" s="12">
        <f t="shared" si="18"/>
        <v>1209.8469176221824</v>
      </c>
      <c r="AO163" s="13">
        <f t="shared" si="19"/>
        <v>0.1512308647027728</v>
      </c>
      <c r="AP163" s="16">
        <v>8000</v>
      </c>
      <c r="AQ163" s="16">
        <v>8391.6216454736532</v>
      </c>
      <c r="AR163" s="16">
        <f t="shared" si="20"/>
        <v>391.62164547365319</v>
      </c>
      <c r="AS163" s="17">
        <f t="shared" si="21"/>
        <v>4.8952705684206649E-2</v>
      </c>
      <c r="AT163" s="20">
        <v>8000</v>
      </c>
      <c r="AU163" s="20">
        <v>9421.6640625</v>
      </c>
      <c r="AV163" s="20">
        <f t="shared" si="22"/>
        <v>1421.6640625</v>
      </c>
      <c r="AW163" s="21">
        <f t="shared" si="23"/>
        <v>0.17770800781250001</v>
      </c>
    </row>
    <row r="164" spans="1:49" x14ac:dyDescent="0.25">
      <c r="A164" t="s">
        <v>38</v>
      </c>
      <c r="B164" t="s">
        <v>96</v>
      </c>
      <c r="C164">
        <v>160847</v>
      </c>
      <c r="D164">
        <v>2017</v>
      </c>
      <c r="E164" t="s">
        <v>146</v>
      </c>
      <c r="F164" t="s">
        <v>441</v>
      </c>
      <c r="I164">
        <v>8</v>
      </c>
      <c r="J164" t="s">
        <v>72</v>
      </c>
      <c r="K164">
        <v>4</v>
      </c>
      <c r="L164" t="s">
        <v>44</v>
      </c>
      <c r="M164">
        <v>5.6</v>
      </c>
      <c r="N164" t="s">
        <v>73</v>
      </c>
      <c r="O164" t="s">
        <v>46</v>
      </c>
      <c r="P164">
        <v>1</v>
      </c>
      <c r="Q164" t="s">
        <v>62</v>
      </c>
      <c r="R164" t="s">
        <v>63</v>
      </c>
      <c r="S164" t="s">
        <v>49</v>
      </c>
      <c r="U164" t="s">
        <v>50</v>
      </c>
      <c r="X164" t="s">
        <v>108</v>
      </c>
      <c r="Y164" t="s">
        <v>54</v>
      </c>
      <c r="AA164">
        <v>0</v>
      </c>
      <c r="AB164" t="s">
        <v>79</v>
      </c>
      <c r="AC164" t="s">
        <v>109</v>
      </c>
      <c r="AD164">
        <v>36</v>
      </c>
      <c r="AE164">
        <v>9</v>
      </c>
      <c r="AF164">
        <v>3</v>
      </c>
      <c r="AG164">
        <v>2025</v>
      </c>
      <c r="AH164" s="2">
        <v>4600</v>
      </c>
      <c r="AI164" s="2">
        <v>4463.0107421875</v>
      </c>
      <c r="AJ164" s="2">
        <f t="shared" si="16"/>
        <v>136.9892578125</v>
      </c>
      <c r="AK164" s="6">
        <f t="shared" si="17"/>
        <v>2.9780273437500001E-2</v>
      </c>
      <c r="AL164" s="12">
        <v>4600</v>
      </c>
      <c r="AM164" s="12">
        <v>5034.3552958212986</v>
      </c>
      <c r="AN164" s="12">
        <f t="shared" si="18"/>
        <v>434.35529582129857</v>
      </c>
      <c r="AO164" s="13">
        <f t="shared" si="19"/>
        <v>9.4425064308977943E-2</v>
      </c>
      <c r="AP164" s="16">
        <v>4600</v>
      </c>
      <c r="AQ164" s="16">
        <v>5035.019094592235</v>
      </c>
      <c r="AR164" s="16">
        <f t="shared" si="20"/>
        <v>435.01909459223498</v>
      </c>
      <c r="AS164" s="17">
        <f t="shared" si="21"/>
        <v>9.4569368389616298E-2</v>
      </c>
      <c r="AT164" s="20">
        <v>4600</v>
      </c>
      <c r="AU164" s="20">
        <v>4504.2392578125</v>
      </c>
      <c r="AV164" s="20">
        <f t="shared" si="22"/>
        <v>95.7607421875</v>
      </c>
      <c r="AW164" s="21">
        <f t="shared" si="23"/>
        <v>2.0817552649456523E-2</v>
      </c>
    </row>
    <row r="165" spans="1:49" x14ac:dyDescent="0.25">
      <c r="A165" t="s">
        <v>38</v>
      </c>
      <c r="B165" t="s">
        <v>39</v>
      </c>
      <c r="C165">
        <v>107516</v>
      </c>
      <c r="D165">
        <v>2020</v>
      </c>
      <c r="E165" t="s">
        <v>88</v>
      </c>
      <c r="F165" t="s">
        <v>89</v>
      </c>
      <c r="G165" t="s">
        <v>442</v>
      </c>
      <c r="H165" t="s">
        <v>443</v>
      </c>
      <c r="I165">
        <v>6</v>
      </c>
      <c r="J165" t="s">
        <v>106</v>
      </c>
      <c r="K165">
        <v>4</v>
      </c>
      <c r="L165" t="s">
        <v>44</v>
      </c>
      <c r="M165">
        <v>3.6</v>
      </c>
      <c r="N165" t="s">
        <v>73</v>
      </c>
      <c r="O165" t="s">
        <v>46</v>
      </c>
      <c r="P165">
        <v>4</v>
      </c>
      <c r="Q165" t="s">
        <v>74</v>
      </c>
      <c r="R165" t="s">
        <v>92</v>
      </c>
      <c r="S165" t="s">
        <v>49</v>
      </c>
      <c r="T165">
        <v>305</v>
      </c>
      <c r="U165" t="s">
        <v>50</v>
      </c>
      <c r="V165" t="s">
        <v>76</v>
      </c>
      <c r="X165" t="s">
        <v>94</v>
      </c>
      <c r="Y165" t="s">
        <v>78</v>
      </c>
      <c r="AA165">
        <v>0</v>
      </c>
      <c r="AB165" t="s">
        <v>79</v>
      </c>
      <c r="AC165" t="s">
        <v>95</v>
      </c>
      <c r="AD165">
        <v>36</v>
      </c>
      <c r="AE165">
        <v>9</v>
      </c>
      <c r="AF165">
        <v>3</v>
      </c>
      <c r="AG165">
        <v>2025</v>
      </c>
      <c r="AH165" s="2">
        <v>10400</v>
      </c>
      <c r="AI165" s="2">
        <v>13602.412109375</v>
      </c>
      <c r="AJ165" s="2">
        <f t="shared" si="16"/>
        <v>3202.412109375</v>
      </c>
      <c r="AK165" s="6">
        <f t="shared" si="17"/>
        <v>0.30792424128605766</v>
      </c>
      <c r="AL165" s="12">
        <v>10400</v>
      </c>
      <c r="AM165" s="12">
        <v>14011.086000095031</v>
      </c>
      <c r="AN165" s="12">
        <f t="shared" si="18"/>
        <v>3611.0860000950306</v>
      </c>
      <c r="AO165" s="13">
        <f t="shared" si="19"/>
        <v>0.34721980770144523</v>
      </c>
      <c r="AP165" s="16">
        <v>10400</v>
      </c>
      <c r="AQ165" s="16">
        <v>15892.96323862285</v>
      </c>
      <c r="AR165" s="16">
        <f t="shared" si="20"/>
        <v>5492.9632386228495</v>
      </c>
      <c r="AS165" s="17">
        <f t="shared" si="21"/>
        <v>0.52816954217527401</v>
      </c>
      <c r="AT165" s="20">
        <v>10400</v>
      </c>
      <c r="AU165" s="20">
        <v>13624.6533203125</v>
      </c>
      <c r="AV165" s="20">
        <f t="shared" si="22"/>
        <v>3224.6533203125</v>
      </c>
      <c r="AW165" s="21">
        <f t="shared" si="23"/>
        <v>0.3100628192608173</v>
      </c>
    </row>
    <row r="166" spans="1:49" x14ac:dyDescent="0.25">
      <c r="A166" t="s">
        <v>38</v>
      </c>
      <c r="B166" t="s">
        <v>110</v>
      </c>
      <c r="C166">
        <v>113530</v>
      </c>
      <c r="D166">
        <v>2018</v>
      </c>
      <c r="E166" t="s">
        <v>97</v>
      </c>
      <c r="F166" t="s">
        <v>159</v>
      </c>
      <c r="G166" t="s">
        <v>155</v>
      </c>
      <c r="H166" t="s">
        <v>89</v>
      </c>
      <c r="I166">
        <v>8</v>
      </c>
      <c r="J166" t="s">
        <v>43</v>
      </c>
      <c r="K166">
        <v>4</v>
      </c>
      <c r="L166" t="s">
        <v>44</v>
      </c>
      <c r="M166">
        <v>5.3</v>
      </c>
      <c r="N166" t="s">
        <v>91</v>
      </c>
      <c r="O166" t="s">
        <v>46</v>
      </c>
      <c r="P166">
        <v>2</v>
      </c>
      <c r="Q166" t="s">
        <v>74</v>
      </c>
      <c r="R166" t="s">
        <v>92</v>
      </c>
      <c r="S166" t="s">
        <v>93</v>
      </c>
      <c r="U166" t="s">
        <v>50</v>
      </c>
      <c r="W166" t="s">
        <v>424</v>
      </c>
      <c r="X166" t="s">
        <v>108</v>
      </c>
      <c r="Y166" t="s">
        <v>126</v>
      </c>
      <c r="AA166">
        <v>0</v>
      </c>
      <c r="AB166" t="s">
        <v>79</v>
      </c>
      <c r="AC166" t="s">
        <v>95</v>
      </c>
      <c r="AD166">
        <v>36</v>
      </c>
      <c r="AE166">
        <v>9</v>
      </c>
      <c r="AF166">
        <v>3</v>
      </c>
      <c r="AG166">
        <v>2025</v>
      </c>
      <c r="AH166" s="2">
        <v>18000</v>
      </c>
      <c r="AI166" s="2">
        <v>15750.8916015625</v>
      </c>
      <c r="AJ166" s="2">
        <f t="shared" si="16"/>
        <v>2249.1083984375</v>
      </c>
      <c r="AK166" s="6">
        <f t="shared" si="17"/>
        <v>0.12495046657986111</v>
      </c>
      <c r="AL166" s="12">
        <v>18000</v>
      </c>
      <c r="AM166" s="12">
        <v>15138.252626093241</v>
      </c>
      <c r="AN166" s="12">
        <f t="shared" si="18"/>
        <v>2861.7473739067591</v>
      </c>
      <c r="AO166" s="13">
        <f t="shared" si="19"/>
        <v>0.15898596521704217</v>
      </c>
      <c r="AP166" s="16">
        <v>18000</v>
      </c>
      <c r="AQ166" s="16">
        <v>13143.335024968421</v>
      </c>
      <c r="AR166" s="16">
        <f t="shared" si="20"/>
        <v>4856.6649750315792</v>
      </c>
      <c r="AS166" s="17">
        <f t="shared" si="21"/>
        <v>0.26981472083508773</v>
      </c>
      <c r="AT166" s="20">
        <v>18000</v>
      </c>
      <c r="AU166" s="20">
        <v>15533.84375</v>
      </c>
      <c r="AV166" s="20">
        <f t="shared" si="22"/>
        <v>2466.15625</v>
      </c>
      <c r="AW166" s="21">
        <f t="shared" si="23"/>
        <v>0.13700868055555557</v>
      </c>
    </row>
    <row r="167" spans="1:49" x14ac:dyDescent="0.25">
      <c r="A167" t="s">
        <v>38</v>
      </c>
      <c r="B167" t="s">
        <v>96</v>
      </c>
      <c r="C167">
        <v>94948</v>
      </c>
      <c r="D167">
        <v>2018</v>
      </c>
      <c r="E167" t="s">
        <v>97</v>
      </c>
      <c r="F167" t="s">
        <v>444</v>
      </c>
      <c r="G167" t="s">
        <v>445</v>
      </c>
      <c r="I167">
        <v>8</v>
      </c>
      <c r="J167" t="s">
        <v>43</v>
      </c>
      <c r="K167">
        <v>2</v>
      </c>
      <c r="L167" t="s">
        <v>44</v>
      </c>
      <c r="M167">
        <v>6.2</v>
      </c>
      <c r="N167" t="s">
        <v>73</v>
      </c>
      <c r="O167" t="s">
        <v>46</v>
      </c>
      <c r="P167">
        <v>1</v>
      </c>
      <c r="Q167" t="s">
        <v>47</v>
      </c>
      <c r="R167" t="s">
        <v>197</v>
      </c>
      <c r="S167" t="s">
        <v>179</v>
      </c>
      <c r="U167" t="s">
        <v>50</v>
      </c>
      <c r="W167" t="s">
        <v>446</v>
      </c>
      <c r="X167" t="s">
        <v>125</v>
      </c>
      <c r="Y167" t="s">
        <v>78</v>
      </c>
      <c r="Z167">
        <v>42000</v>
      </c>
      <c r="AA167">
        <v>0</v>
      </c>
      <c r="AB167" t="s">
        <v>79</v>
      </c>
      <c r="AC167" t="s">
        <v>197</v>
      </c>
      <c r="AD167">
        <v>36</v>
      </c>
      <c r="AE167">
        <v>9</v>
      </c>
      <c r="AF167">
        <v>3</v>
      </c>
      <c r="AG167">
        <v>2025</v>
      </c>
      <c r="AH167" s="2">
        <v>16500</v>
      </c>
      <c r="AI167" s="2">
        <v>12002.3896484375</v>
      </c>
      <c r="AJ167" s="2">
        <f t="shared" si="16"/>
        <v>4497.6103515625</v>
      </c>
      <c r="AK167" s="6">
        <f t="shared" si="17"/>
        <v>0.27258244554924244</v>
      </c>
      <c r="AL167" s="12">
        <v>16500</v>
      </c>
      <c r="AM167" s="12">
        <v>14008.600429444479</v>
      </c>
      <c r="AN167" s="12">
        <f t="shared" si="18"/>
        <v>2491.3995705555208</v>
      </c>
      <c r="AO167" s="13">
        <f t="shared" si="19"/>
        <v>0.15099391336700127</v>
      </c>
      <c r="AP167" s="16">
        <v>16500</v>
      </c>
      <c r="AQ167" s="16">
        <v>11436.8494950472</v>
      </c>
      <c r="AR167" s="16">
        <f t="shared" si="20"/>
        <v>5063.1505049528005</v>
      </c>
      <c r="AS167" s="17">
        <f t="shared" si="21"/>
        <v>0.3068576063607758</v>
      </c>
      <c r="AT167" s="20">
        <v>16500</v>
      </c>
      <c r="AU167" s="20">
        <v>12494.6630859375</v>
      </c>
      <c r="AV167" s="20">
        <f t="shared" si="22"/>
        <v>4005.3369140625</v>
      </c>
      <c r="AW167" s="21">
        <f t="shared" si="23"/>
        <v>0.24274769176136363</v>
      </c>
    </row>
    <row r="168" spans="1:49" x14ac:dyDescent="0.25">
      <c r="A168" t="s">
        <v>128</v>
      </c>
      <c r="B168" t="s">
        <v>129</v>
      </c>
      <c r="C168">
        <v>122919</v>
      </c>
      <c r="D168">
        <v>2016</v>
      </c>
      <c r="E168" t="s">
        <v>69</v>
      </c>
      <c r="F168" t="s">
        <v>250</v>
      </c>
      <c r="H168" t="s">
        <v>447</v>
      </c>
      <c r="I168">
        <v>4</v>
      </c>
      <c r="J168" t="s">
        <v>135</v>
      </c>
      <c r="K168">
        <v>4</v>
      </c>
      <c r="L168" t="s">
        <v>44</v>
      </c>
      <c r="M168">
        <v>2</v>
      </c>
      <c r="N168" t="s">
        <v>45</v>
      </c>
      <c r="O168" t="s">
        <v>46</v>
      </c>
      <c r="Q168" t="s">
        <v>62</v>
      </c>
      <c r="R168" t="s">
        <v>63</v>
      </c>
      <c r="S168" t="s">
        <v>49</v>
      </c>
      <c r="T168">
        <v>240</v>
      </c>
      <c r="U168" t="s">
        <v>50</v>
      </c>
      <c r="V168" t="s">
        <v>51</v>
      </c>
      <c r="X168" t="s">
        <v>65</v>
      </c>
      <c r="Y168" t="s">
        <v>78</v>
      </c>
      <c r="AA168">
        <v>0</v>
      </c>
      <c r="AB168" t="s">
        <v>79</v>
      </c>
      <c r="AC168" t="s">
        <v>87</v>
      </c>
      <c r="AD168">
        <v>36</v>
      </c>
      <c r="AE168">
        <v>9</v>
      </c>
      <c r="AF168">
        <v>3</v>
      </c>
      <c r="AG168">
        <v>2025</v>
      </c>
      <c r="AH168" s="2">
        <v>2400</v>
      </c>
      <c r="AI168" s="2">
        <v>4262.78271484375</v>
      </c>
      <c r="AJ168" s="2">
        <f t="shared" si="16"/>
        <v>1862.78271484375</v>
      </c>
      <c r="AK168" s="6">
        <f t="shared" si="17"/>
        <v>0.77615946451822915</v>
      </c>
      <c r="AL168" s="12">
        <v>2400</v>
      </c>
      <c r="AM168" s="12">
        <v>4132.1993754615914</v>
      </c>
      <c r="AN168" s="12">
        <f t="shared" si="18"/>
        <v>1732.1993754615914</v>
      </c>
      <c r="AO168" s="13">
        <f t="shared" si="19"/>
        <v>0.72174973977566315</v>
      </c>
      <c r="AP168" s="16">
        <v>2400</v>
      </c>
      <c r="AQ168" s="16">
        <v>3468.9692258018431</v>
      </c>
      <c r="AR168" s="16">
        <f t="shared" si="20"/>
        <v>1068.9692258018431</v>
      </c>
      <c r="AS168" s="17">
        <f t="shared" si="21"/>
        <v>0.44540384408410127</v>
      </c>
      <c r="AT168" s="20">
        <v>2400</v>
      </c>
      <c r="AU168" s="20">
        <v>4336.23095703125</v>
      </c>
      <c r="AV168" s="20">
        <f t="shared" si="22"/>
        <v>1936.23095703125</v>
      </c>
      <c r="AW168" s="21">
        <f t="shared" si="23"/>
        <v>0.80676289876302087</v>
      </c>
    </row>
    <row r="169" spans="1:49" x14ac:dyDescent="0.25">
      <c r="A169" t="s">
        <v>38</v>
      </c>
      <c r="B169" t="s">
        <v>68</v>
      </c>
      <c r="C169">
        <v>74278</v>
      </c>
      <c r="D169">
        <v>2020</v>
      </c>
      <c r="E169" t="s">
        <v>40</v>
      </c>
      <c r="F169" t="s">
        <v>297</v>
      </c>
      <c r="H169" t="s">
        <v>448</v>
      </c>
      <c r="I169">
        <v>4</v>
      </c>
      <c r="J169" t="s">
        <v>106</v>
      </c>
      <c r="K169">
        <v>4</v>
      </c>
      <c r="L169" t="s">
        <v>44</v>
      </c>
      <c r="M169">
        <v>2.5</v>
      </c>
      <c r="N169" t="s">
        <v>45</v>
      </c>
      <c r="O169" t="s">
        <v>46</v>
      </c>
      <c r="Q169" t="s">
        <v>47</v>
      </c>
      <c r="R169" t="s">
        <v>123</v>
      </c>
      <c r="S169" t="s">
        <v>49</v>
      </c>
      <c r="T169">
        <v>203</v>
      </c>
      <c r="U169" t="s">
        <v>50</v>
      </c>
      <c r="V169" t="s">
        <v>51</v>
      </c>
      <c r="W169" t="s">
        <v>449</v>
      </c>
      <c r="X169" t="s">
        <v>125</v>
      </c>
      <c r="Y169" t="s">
        <v>78</v>
      </c>
      <c r="AA169">
        <v>0</v>
      </c>
      <c r="AB169" t="s">
        <v>79</v>
      </c>
      <c r="AC169" t="s">
        <v>127</v>
      </c>
      <c r="AD169">
        <v>36</v>
      </c>
      <c r="AE169">
        <v>9</v>
      </c>
      <c r="AF169">
        <v>3</v>
      </c>
      <c r="AG169">
        <v>2025</v>
      </c>
      <c r="AH169" s="2">
        <v>12250</v>
      </c>
      <c r="AI169" s="2">
        <v>12756.0498046875</v>
      </c>
      <c r="AJ169" s="2">
        <f t="shared" si="16"/>
        <v>506.0498046875</v>
      </c>
      <c r="AK169" s="6">
        <f t="shared" si="17"/>
        <v>4.1310188137755104E-2</v>
      </c>
      <c r="AL169" s="12">
        <v>12250</v>
      </c>
      <c r="AM169" s="12">
        <v>13090.42364834547</v>
      </c>
      <c r="AN169" s="12">
        <f t="shared" si="18"/>
        <v>840.4236483454697</v>
      </c>
      <c r="AO169" s="13">
        <f t="shared" si="19"/>
        <v>6.8606012109834261E-2</v>
      </c>
      <c r="AP169" s="16">
        <v>12250</v>
      </c>
      <c r="AQ169" s="16">
        <v>13661.044264031831</v>
      </c>
      <c r="AR169" s="16">
        <f t="shared" si="20"/>
        <v>1411.0442640318306</v>
      </c>
      <c r="AS169" s="17">
        <f t="shared" si="21"/>
        <v>0.11518728685974128</v>
      </c>
      <c r="AT169" s="20">
        <v>12250</v>
      </c>
      <c r="AU169" s="20">
        <v>12854.7802734375</v>
      </c>
      <c r="AV169" s="20">
        <f t="shared" si="22"/>
        <v>604.7802734375</v>
      </c>
      <c r="AW169" s="21">
        <f t="shared" si="23"/>
        <v>4.9369818239795915E-2</v>
      </c>
    </row>
    <row r="170" spans="1:49" x14ac:dyDescent="0.25">
      <c r="A170" t="s">
        <v>38</v>
      </c>
      <c r="B170" t="s">
        <v>96</v>
      </c>
      <c r="C170">
        <v>154903</v>
      </c>
      <c r="D170">
        <v>2016</v>
      </c>
      <c r="E170" t="s">
        <v>116</v>
      </c>
      <c r="F170" t="s">
        <v>117</v>
      </c>
      <c r="G170" t="s">
        <v>195</v>
      </c>
      <c r="I170">
        <v>8</v>
      </c>
      <c r="J170" t="s">
        <v>61</v>
      </c>
      <c r="K170">
        <v>4</v>
      </c>
      <c r="L170" t="s">
        <v>44</v>
      </c>
      <c r="M170">
        <v>5.7</v>
      </c>
      <c r="N170" t="s">
        <v>73</v>
      </c>
      <c r="O170" t="s">
        <v>190</v>
      </c>
      <c r="P170">
        <v>3</v>
      </c>
      <c r="Q170" t="s">
        <v>62</v>
      </c>
      <c r="R170" t="s">
        <v>63</v>
      </c>
      <c r="S170" t="s">
        <v>49</v>
      </c>
      <c r="T170">
        <v>360</v>
      </c>
      <c r="U170" t="s">
        <v>50</v>
      </c>
      <c r="V170" t="s">
        <v>76</v>
      </c>
      <c r="X170" t="s">
        <v>108</v>
      </c>
      <c r="Y170" t="s">
        <v>78</v>
      </c>
      <c r="AA170">
        <v>0</v>
      </c>
      <c r="AB170" t="s">
        <v>79</v>
      </c>
      <c r="AC170" t="s">
        <v>87</v>
      </c>
      <c r="AD170">
        <v>36</v>
      </c>
      <c r="AE170">
        <v>9</v>
      </c>
      <c r="AF170">
        <v>3</v>
      </c>
      <c r="AG170">
        <v>2025</v>
      </c>
      <c r="AH170" s="2">
        <v>4400</v>
      </c>
      <c r="AI170" s="2">
        <v>4271.505859375</v>
      </c>
      <c r="AJ170" s="2">
        <f t="shared" si="16"/>
        <v>128.494140625</v>
      </c>
      <c r="AK170" s="6">
        <f t="shared" si="17"/>
        <v>2.9203213778409089E-2</v>
      </c>
      <c r="AL170" s="12">
        <v>4400</v>
      </c>
      <c r="AM170" s="12">
        <v>3933.2815827043269</v>
      </c>
      <c r="AN170" s="12">
        <f t="shared" si="18"/>
        <v>466.71841729567313</v>
      </c>
      <c r="AO170" s="13">
        <f t="shared" si="19"/>
        <v>0.10607236756719844</v>
      </c>
      <c r="AP170" s="16">
        <v>4400</v>
      </c>
      <c r="AQ170" s="16">
        <v>4278.4472570383778</v>
      </c>
      <c r="AR170" s="16">
        <f t="shared" si="20"/>
        <v>121.55274296162224</v>
      </c>
      <c r="AS170" s="17">
        <f t="shared" si="21"/>
        <v>2.7625623400368692E-2</v>
      </c>
      <c r="AT170" s="20">
        <v>4400</v>
      </c>
      <c r="AU170" s="20">
        <v>4304.32958984375</v>
      </c>
      <c r="AV170" s="20">
        <f t="shared" si="22"/>
        <v>95.67041015625</v>
      </c>
      <c r="AW170" s="21">
        <f t="shared" si="23"/>
        <v>2.1743275035511364E-2</v>
      </c>
    </row>
    <row r="171" spans="1:49" x14ac:dyDescent="0.25">
      <c r="A171" t="s">
        <v>38</v>
      </c>
      <c r="B171" t="s">
        <v>110</v>
      </c>
      <c r="C171">
        <v>149837</v>
      </c>
      <c r="D171">
        <v>2016</v>
      </c>
      <c r="E171" t="s">
        <v>97</v>
      </c>
      <c r="F171" t="s">
        <v>244</v>
      </c>
      <c r="G171" t="s">
        <v>155</v>
      </c>
      <c r="I171">
        <v>8</v>
      </c>
      <c r="J171" t="s">
        <v>61</v>
      </c>
      <c r="K171">
        <v>4</v>
      </c>
      <c r="L171" t="s">
        <v>44</v>
      </c>
      <c r="M171">
        <v>5.3</v>
      </c>
      <c r="N171" t="s">
        <v>73</v>
      </c>
      <c r="O171" t="s">
        <v>46</v>
      </c>
      <c r="P171">
        <v>3</v>
      </c>
      <c r="Q171" t="s">
        <v>62</v>
      </c>
      <c r="R171" t="s">
        <v>63</v>
      </c>
      <c r="S171" t="s">
        <v>49</v>
      </c>
      <c r="U171" t="s">
        <v>50</v>
      </c>
      <c r="W171" t="s">
        <v>450</v>
      </c>
      <c r="X171" t="s">
        <v>108</v>
      </c>
      <c r="Y171" t="s">
        <v>78</v>
      </c>
      <c r="AA171">
        <v>0</v>
      </c>
      <c r="AB171" t="s">
        <v>79</v>
      </c>
      <c r="AC171" t="s">
        <v>87</v>
      </c>
      <c r="AD171">
        <v>36</v>
      </c>
      <c r="AE171">
        <v>9</v>
      </c>
      <c r="AF171">
        <v>3</v>
      </c>
      <c r="AG171">
        <v>2025</v>
      </c>
      <c r="AH171" s="2">
        <v>13500</v>
      </c>
      <c r="AI171" s="2">
        <v>8378.6845703125</v>
      </c>
      <c r="AJ171" s="2">
        <f t="shared" si="16"/>
        <v>5121.3154296875</v>
      </c>
      <c r="AK171" s="6">
        <f t="shared" si="17"/>
        <v>0.37935669849537035</v>
      </c>
      <c r="AL171" s="12">
        <v>13500</v>
      </c>
      <c r="AM171" s="12">
        <v>10592.970729047031</v>
      </c>
      <c r="AN171" s="12">
        <f t="shared" si="18"/>
        <v>2907.0292709529695</v>
      </c>
      <c r="AO171" s="13">
        <f t="shared" si="19"/>
        <v>0.21533550155207182</v>
      </c>
      <c r="AP171" s="16">
        <v>13500</v>
      </c>
      <c r="AQ171" s="16">
        <v>8310.7504814467156</v>
      </c>
      <c r="AR171" s="16">
        <f t="shared" si="20"/>
        <v>5189.2495185532844</v>
      </c>
      <c r="AS171" s="17">
        <f t="shared" si="21"/>
        <v>0.38438885322616922</v>
      </c>
      <c r="AT171" s="20">
        <v>13500</v>
      </c>
      <c r="AU171" s="20">
        <v>8849.87109375</v>
      </c>
      <c r="AV171" s="20">
        <f t="shared" si="22"/>
        <v>4650.12890625</v>
      </c>
      <c r="AW171" s="21">
        <f t="shared" si="23"/>
        <v>0.34445399305555557</v>
      </c>
    </row>
    <row r="172" spans="1:49" x14ac:dyDescent="0.25">
      <c r="A172" t="s">
        <v>38</v>
      </c>
      <c r="B172" t="s">
        <v>110</v>
      </c>
      <c r="C172">
        <v>110667</v>
      </c>
      <c r="D172">
        <v>2019</v>
      </c>
      <c r="E172" t="s">
        <v>146</v>
      </c>
      <c r="F172" t="s">
        <v>451</v>
      </c>
      <c r="I172">
        <v>4</v>
      </c>
      <c r="J172" t="s">
        <v>43</v>
      </c>
      <c r="K172">
        <v>4</v>
      </c>
      <c r="L172" t="s">
        <v>44</v>
      </c>
      <c r="M172">
        <v>1.6</v>
      </c>
      <c r="N172" t="s">
        <v>45</v>
      </c>
      <c r="Q172" t="s">
        <v>47</v>
      </c>
      <c r="R172" t="s">
        <v>123</v>
      </c>
      <c r="S172" t="s">
        <v>49</v>
      </c>
      <c r="U172" t="s">
        <v>50</v>
      </c>
      <c r="X172" t="s">
        <v>125</v>
      </c>
      <c r="Y172" t="s">
        <v>126</v>
      </c>
      <c r="AA172">
        <v>0</v>
      </c>
      <c r="AB172" t="s">
        <v>79</v>
      </c>
      <c r="AC172" t="s">
        <v>127</v>
      </c>
      <c r="AD172">
        <v>36</v>
      </c>
      <c r="AE172">
        <v>9</v>
      </c>
      <c r="AF172">
        <v>3</v>
      </c>
      <c r="AG172">
        <v>2025</v>
      </c>
      <c r="AH172" s="2">
        <v>3200</v>
      </c>
      <c r="AI172" s="2">
        <v>2571.424072265625</v>
      </c>
      <c r="AJ172" s="2">
        <f t="shared" si="16"/>
        <v>628.575927734375</v>
      </c>
      <c r="AK172" s="6">
        <f t="shared" si="17"/>
        <v>0.1964299774169922</v>
      </c>
      <c r="AL172" s="12">
        <v>3200</v>
      </c>
      <c r="AM172" s="12">
        <v>3872.4109004729989</v>
      </c>
      <c r="AN172" s="12">
        <f t="shared" si="18"/>
        <v>672.41090047299895</v>
      </c>
      <c r="AO172" s="13">
        <f t="shared" si="19"/>
        <v>0.21012840639781216</v>
      </c>
      <c r="AP172" s="16">
        <v>3200</v>
      </c>
      <c r="AQ172" s="16">
        <v>2521.9926725340979</v>
      </c>
      <c r="AR172" s="16">
        <f t="shared" si="20"/>
        <v>678.00732746590211</v>
      </c>
      <c r="AS172" s="17">
        <f t="shared" si="21"/>
        <v>0.2118772898330944</v>
      </c>
      <c r="AT172" s="20">
        <v>3200</v>
      </c>
      <c r="AU172" s="20">
        <v>2613.62744140625</v>
      </c>
      <c r="AV172" s="20">
        <f t="shared" si="22"/>
        <v>586.37255859375</v>
      </c>
      <c r="AW172" s="21">
        <f t="shared" si="23"/>
        <v>0.18324142456054687</v>
      </c>
    </row>
    <row r="173" spans="1:49" x14ac:dyDescent="0.25">
      <c r="A173" t="s">
        <v>38</v>
      </c>
      <c r="B173" t="s">
        <v>110</v>
      </c>
      <c r="C173">
        <v>168176</v>
      </c>
      <c r="D173">
        <v>2018</v>
      </c>
      <c r="E173" t="s">
        <v>40</v>
      </c>
      <c r="F173" t="s">
        <v>233</v>
      </c>
      <c r="G173" t="s">
        <v>452</v>
      </c>
      <c r="H173" t="s">
        <v>453</v>
      </c>
      <c r="I173">
        <v>4</v>
      </c>
      <c r="J173" t="s">
        <v>106</v>
      </c>
      <c r="K173">
        <v>4</v>
      </c>
      <c r="L173" t="s">
        <v>44</v>
      </c>
      <c r="M173">
        <v>2.5</v>
      </c>
      <c r="N173" t="s">
        <v>45</v>
      </c>
      <c r="O173" t="s">
        <v>46</v>
      </c>
      <c r="P173">
        <v>2</v>
      </c>
      <c r="Q173" t="s">
        <v>62</v>
      </c>
      <c r="R173" t="s">
        <v>63</v>
      </c>
      <c r="S173" t="s">
        <v>49</v>
      </c>
      <c r="T173">
        <v>176</v>
      </c>
      <c r="U173" t="s">
        <v>50</v>
      </c>
      <c r="V173" t="s">
        <v>51</v>
      </c>
      <c r="W173" t="s">
        <v>236</v>
      </c>
      <c r="X173" t="s">
        <v>65</v>
      </c>
      <c r="Y173" t="s">
        <v>103</v>
      </c>
      <c r="Z173">
        <v>25750</v>
      </c>
      <c r="AA173">
        <v>0</v>
      </c>
      <c r="AB173" t="s">
        <v>79</v>
      </c>
      <c r="AC173" t="s">
        <v>87</v>
      </c>
      <c r="AD173">
        <v>36</v>
      </c>
      <c r="AE173">
        <v>9</v>
      </c>
      <c r="AF173">
        <v>3</v>
      </c>
      <c r="AG173">
        <v>2025</v>
      </c>
      <c r="AH173" s="2">
        <v>5700</v>
      </c>
      <c r="AI173" s="2">
        <v>5838.65625</v>
      </c>
      <c r="AJ173" s="2">
        <f t="shared" si="16"/>
        <v>138.65625</v>
      </c>
      <c r="AK173" s="6">
        <f t="shared" si="17"/>
        <v>2.4325657894736841E-2</v>
      </c>
      <c r="AL173" s="12">
        <v>5700</v>
      </c>
      <c r="AM173" s="12">
        <v>4936.8331327704946</v>
      </c>
      <c r="AN173" s="12">
        <f t="shared" si="18"/>
        <v>763.16686722950544</v>
      </c>
      <c r="AO173" s="13">
        <f t="shared" si="19"/>
        <v>0.13388892407535183</v>
      </c>
      <c r="AP173" s="16">
        <v>5700</v>
      </c>
      <c r="AQ173" s="16">
        <v>4437.02016778287</v>
      </c>
      <c r="AR173" s="16">
        <f t="shared" si="20"/>
        <v>1262.97983221713</v>
      </c>
      <c r="AS173" s="17">
        <f t="shared" si="21"/>
        <v>0.22157540916090002</v>
      </c>
      <c r="AT173" s="20">
        <v>5700</v>
      </c>
      <c r="AU173" s="20">
        <v>5848.1923828125</v>
      </c>
      <c r="AV173" s="20">
        <f t="shared" si="22"/>
        <v>148.1923828125</v>
      </c>
      <c r="AW173" s="21">
        <f t="shared" si="23"/>
        <v>2.5998663651315788E-2</v>
      </c>
    </row>
    <row r="174" spans="1:49" x14ac:dyDescent="0.25">
      <c r="A174" t="s">
        <v>114</v>
      </c>
      <c r="B174" t="s">
        <v>340</v>
      </c>
      <c r="C174">
        <v>170422</v>
      </c>
      <c r="D174">
        <v>1998</v>
      </c>
      <c r="E174" t="s">
        <v>97</v>
      </c>
      <c r="F174" t="s">
        <v>454</v>
      </c>
      <c r="H174" t="s">
        <v>455</v>
      </c>
      <c r="I174">
        <v>8</v>
      </c>
      <c r="J174" t="s">
        <v>61</v>
      </c>
      <c r="K174">
        <v>2</v>
      </c>
      <c r="L174" t="s">
        <v>44</v>
      </c>
      <c r="M174">
        <v>5</v>
      </c>
      <c r="N174" t="s">
        <v>73</v>
      </c>
      <c r="O174" t="s">
        <v>46</v>
      </c>
      <c r="P174">
        <v>2</v>
      </c>
      <c r="Q174" t="s">
        <v>74</v>
      </c>
      <c r="R174" t="s">
        <v>92</v>
      </c>
      <c r="S174" t="s">
        <v>49</v>
      </c>
      <c r="V174" t="s">
        <v>76</v>
      </c>
      <c r="X174" t="s">
        <v>94</v>
      </c>
      <c r="Y174" t="s">
        <v>78</v>
      </c>
      <c r="AA174">
        <v>0</v>
      </c>
      <c r="AB174" t="s">
        <v>79</v>
      </c>
      <c r="AC174" t="s">
        <v>95</v>
      </c>
      <c r="AD174">
        <v>36</v>
      </c>
      <c r="AE174">
        <v>9</v>
      </c>
      <c r="AF174">
        <v>3</v>
      </c>
      <c r="AG174">
        <v>2025</v>
      </c>
      <c r="AH174" s="2">
        <v>1700</v>
      </c>
      <c r="AI174" s="2">
        <v>691.82977294921875</v>
      </c>
      <c r="AJ174" s="2">
        <f t="shared" si="16"/>
        <v>1008.1702270507813</v>
      </c>
      <c r="AK174" s="6">
        <f t="shared" si="17"/>
        <v>0.59304131002987137</v>
      </c>
      <c r="AL174" s="12">
        <v>1700</v>
      </c>
      <c r="AM174" s="12">
        <v>935.88444135424209</v>
      </c>
      <c r="AN174" s="12">
        <f t="shared" si="18"/>
        <v>764.11555864575791</v>
      </c>
      <c r="AO174" s="13">
        <f t="shared" si="19"/>
        <v>0.44947974037985761</v>
      </c>
      <c r="AP174" s="16">
        <v>1700</v>
      </c>
      <c r="AQ174" s="16">
        <v>795.26612531936485</v>
      </c>
      <c r="AR174" s="16">
        <f t="shared" si="20"/>
        <v>904.73387468063515</v>
      </c>
      <c r="AS174" s="17">
        <f t="shared" si="21"/>
        <v>0.53219639687096187</v>
      </c>
      <c r="AT174" s="20">
        <v>1700</v>
      </c>
      <c r="AU174" s="20">
        <v>703.66607666015625</v>
      </c>
      <c r="AV174" s="20">
        <f t="shared" si="22"/>
        <v>996.33392333984375</v>
      </c>
      <c r="AW174" s="21">
        <f t="shared" si="23"/>
        <v>0.58607877843520217</v>
      </c>
    </row>
    <row r="175" spans="1:49" x14ac:dyDescent="0.25">
      <c r="A175" t="s">
        <v>38</v>
      </c>
      <c r="B175" t="s">
        <v>68</v>
      </c>
      <c r="C175">
        <v>19731</v>
      </c>
      <c r="D175">
        <v>2021</v>
      </c>
      <c r="E175" t="s">
        <v>403</v>
      </c>
      <c r="F175" t="s">
        <v>456</v>
      </c>
      <c r="G175" t="s">
        <v>457</v>
      </c>
      <c r="I175">
        <v>4</v>
      </c>
      <c r="J175" t="s">
        <v>61</v>
      </c>
      <c r="K175">
        <v>4</v>
      </c>
      <c r="L175" t="s">
        <v>44</v>
      </c>
      <c r="M175">
        <v>2</v>
      </c>
      <c r="N175" t="s">
        <v>73</v>
      </c>
      <c r="O175" t="s">
        <v>46</v>
      </c>
      <c r="Q175" t="s">
        <v>47</v>
      </c>
      <c r="R175" t="s">
        <v>123</v>
      </c>
      <c r="S175" t="s">
        <v>179</v>
      </c>
      <c r="U175" t="s">
        <v>50</v>
      </c>
      <c r="V175" t="s">
        <v>51</v>
      </c>
      <c r="W175" t="s">
        <v>458</v>
      </c>
      <c r="X175" t="s">
        <v>125</v>
      </c>
      <c r="Y175" t="s">
        <v>78</v>
      </c>
      <c r="AA175">
        <v>0</v>
      </c>
      <c r="AB175" t="s">
        <v>79</v>
      </c>
      <c r="AC175" t="s">
        <v>127</v>
      </c>
      <c r="AD175">
        <v>36</v>
      </c>
      <c r="AE175">
        <v>9</v>
      </c>
      <c r="AF175">
        <v>3</v>
      </c>
      <c r="AG175">
        <v>2025</v>
      </c>
      <c r="AH175" s="2">
        <v>26300</v>
      </c>
      <c r="AI175" s="2">
        <v>27512.265625</v>
      </c>
      <c r="AJ175" s="2">
        <f t="shared" si="16"/>
        <v>1212.265625</v>
      </c>
      <c r="AK175" s="6">
        <f t="shared" si="17"/>
        <v>4.6093750000000003E-2</v>
      </c>
      <c r="AL175" s="12">
        <v>26300</v>
      </c>
      <c r="AM175" s="12">
        <v>22858.770559212149</v>
      </c>
      <c r="AN175" s="12">
        <f t="shared" si="18"/>
        <v>3441.2294407878508</v>
      </c>
      <c r="AO175" s="13">
        <f t="shared" si="19"/>
        <v>0.13084522588546962</v>
      </c>
      <c r="AP175" s="16">
        <v>26300</v>
      </c>
      <c r="AQ175" s="16">
        <v>27079.375652231611</v>
      </c>
      <c r="AR175" s="16">
        <f t="shared" si="20"/>
        <v>779.37565223161073</v>
      </c>
      <c r="AS175" s="17">
        <f t="shared" si="21"/>
        <v>2.9634055217931967E-2</v>
      </c>
      <c r="AT175" s="20">
        <v>26300</v>
      </c>
      <c r="AU175" s="20">
        <v>26793.333984375</v>
      </c>
      <c r="AV175" s="20">
        <f t="shared" si="22"/>
        <v>493.333984375</v>
      </c>
      <c r="AW175" s="21">
        <f t="shared" si="23"/>
        <v>1.8757946173954373E-2</v>
      </c>
    </row>
    <row r="176" spans="1:49" x14ac:dyDescent="0.25">
      <c r="A176" t="s">
        <v>38</v>
      </c>
      <c r="B176" t="s">
        <v>68</v>
      </c>
      <c r="C176">
        <v>69380</v>
      </c>
      <c r="D176">
        <v>2018</v>
      </c>
      <c r="E176" t="s">
        <v>174</v>
      </c>
      <c r="F176" t="s">
        <v>314</v>
      </c>
      <c r="G176" t="s">
        <v>176</v>
      </c>
      <c r="H176" t="s">
        <v>89</v>
      </c>
      <c r="I176">
        <v>8</v>
      </c>
      <c r="J176" t="s">
        <v>61</v>
      </c>
      <c r="K176">
        <v>4</v>
      </c>
      <c r="L176" t="s">
        <v>44</v>
      </c>
      <c r="M176">
        <v>5.3</v>
      </c>
      <c r="N176" t="s">
        <v>91</v>
      </c>
      <c r="O176" t="s">
        <v>46</v>
      </c>
      <c r="P176">
        <v>4</v>
      </c>
      <c r="Q176" t="s">
        <v>74</v>
      </c>
      <c r="R176" t="s">
        <v>92</v>
      </c>
      <c r="S176" t="s">
        <v>93</v>
      </c>
      <c r="U176" t="s">
        <v>50</v>
      </c>
      <c r="W176" t="s">
        <v>459</v>
      </c>
      <c r="X176" t="s">
        <v>108</v>
      </c>
      <c r="Y176" t="s">
        <v>126</v>
      </c>
      <c r="AA176">
        <v>0</v>
      </c>
      <c r="AB176" t="s">
        <v>79</v>
      </c>
      <c r="AC176" t="s">
        <v>95</v>
      </c>
      <c r="AD176">
        <v>36</v>
      </c>
      <c r="AE176">
        <v>9</v>
      </c>
      <c r="AF176">
        <v>3</v>
      </c>
      <c r="AG176">
        <v>2025</v>
      </c>
      <c r="AH176" s="2">
        <v>27000</v>
      </c>
      <c r="AI176" s="2">
        <v>30545.412109375</v>
      </c>
      <c r="AJ176" s="2">
        <f t="shared" si="16"/>
        <v>3545.412109375</v>
      </c>
      <c r="AK176" s="6">
        <f t="shared" si="17"/>
        <v>0.13131155960648147</v>
      </c>
      <c r="AL176" s="12">
        <v>27000</v>
      </c>
      <c r="AM176" s="12">
        <v>28736.82386179491</v>
      </c>
      <c r="AN176" s="12">
        <f t="shared" si="18"/>
        <v>1736.82386179491</v>
      </c>
      <c r="AO176" s="13">
        <f t="shared" si="19"/>
        <v>6.4326809696107781E-2</v>
      </c>
      <c r="AP176" s="16">
        <v>27000</v>
      </c>
      <c r="AQ176" s="16">
        <v>28031.111882710051</v>
      </c>
      <c r="AR176" s="16">
        <f t="shared" si="20"/>
        <v>1031.1118827100508</v>
      </c>
      <c r="AS176" s="17">
        <f t="shared" si="21"/>
        <v>3.818932898926114E-2</v>
      </c>
      <c r="AT176" s="20">
        <v>27000</v>
      </c>
      <c r="AU176" s="20">
        <v>30084.62890625</v>
      </c>
      <c r="AV176" s="20">
        <f t="shared" si="22"/>
        <v>3084.62890625</v>
      </c>
      <c r="AW176" s="21">
        <f t="shared" si="23"/>
        <v>0.11424551504629629</v>
      </c>
    </row>
    <row r="177" spans="1:49" x14ac:dyDescent="0.25">
      <c r="A177" t="s">
        <v>38</v>
      </c>
      <c r="B177" t="s">
        <v>39</v>
      </c>
      <c r="C177">
        <v>111782</v>
      </c>
      <c r="D177">
        <v>2020</v>
      </c>
      <c r="E177" t="s">
        <v>69</v>
      </c>
      <c r="F177" t="s">
        <v>104</v>
      </c>
      <c r="H177" t="s">
        <v>105</v>
      </c>
      <c r="I177">
        <v>6</v>
      </c>
      <c r="J177" t="s">
        <v>61</v>
      </c>
      <c r="K177">
        <v>4</v>
      </c>
      <c r="L177" t="s">
        <v>44</v>
      </c>
      <c r="M177">
        <v>3.5</v>
      </c>
      <c r="N177" t="s">
        <v>73</v>
      </c>
      <c r="O177" t="s">
        <v>46</v>
      </c>
      <c r="Q177" t="s">
        <v>62</v>
      </c>
      <c r="R177" t="s">
        <v>63</v>
      </c>
      <c r="S177" t="s">
        <v>49</v>
      </c>
      <c r="T177">
        <v>310</v>
      </c>
      <c r="U177" t="s">
        <v>50</v>
      </c>
      <c r="V177" t="s">
        <v>76</v>
      </c>
      <c r="W177" t="s">
        <v>107</v>
      </c>
      <c r="X177" t="s">
        <v>108</v>
      </c>
      <c r="Y177" t="s">
        <v>78</v>
      </c>
      <c r="AA177">
        <v>0</v>
      </c>
      <c r="AB177" t="s">
        <v>79</v>
      </c>
      <c r="AC177" t="s">
        <v>109</v>
      </c>
      <c r="AD177">
        <v>36</v>
      </c>
      <c r="AE177">
        <v>9</v>
      </c>
      <c r="AF177">
        <v>3</v>
      </c>
      <c r="AG177">
        <v>2025</v>
      </c>
      <c r="AH177" s="2">
        <v>15000</v>
      </c>
      <c r="AI177" s="2">
        <v>17370.986328125</v>
      </c>
      <c r="AJ177" s="2">
        <f t="shared" si="16"/>
        <v>2370.986328125</v>
      </c>
      <c r="AK177" s="6">
        <f t="shared" si="17"/>
        <v>0.15806575520833333</v>
      </c>
      <c r="AL177" s="12">
        <v>15000</v>
      </c>
      <c r="AM177" s="12">
        <v>18018.181057462141</v>
      </c>
      <c r="AN177" s="12">
        <f t="shared" si="18"/>
        <v>3018.1810574621413</v>
      </c>
      <c r="AO177" s="13">
        <f t="shared" si="19"/>
        <v>0.20121207049747608</v>
      </c>
      <c r="AP177" s="16">
        <v>15000</v>
      </c>
      <c r="AQ177" s="16">
        <v>16686.460633809071</v>
      </c>
      <c r="AR177" s="16">
        <f t="shared" si="20"/>
        <v>1686.4606338090707</v>
      </c>
      <c r="AS177" s="17">
        <f t="shared" si="21"/>
        <v>0.11243070892060471</v>
      </c>
      <c r="AT177" s="20">
        <v>15000</v>
      </c>
      <c r="AU177" s="20">
        <v>17425.412109375</v>
      </c>
      <c r="AV177" s="20">
        <f t="shared" si="22"/>
        <v>2425.412109375</v>
      </c>
      <c r="AW177" s="21">
        <f t="shared" si="23"/>
        <v>0.16169414062500001</v>
      </c>
    </row>
    <row r="178" spans="1:49" x14ac:dyDescent="0.25">
      <c r="A178" t="s">
        <v>128</v>
      </c>
      <c r="B178" t="s">
        <v>309</v>
      </c>
      <c r="C178">
        <v>63498</v>
      </c>
      <c r="D178">
        <v>2018</v>
      </c>
      <c r="E178" t="s">
        <v>162</v>
      </c>
      <c r="F178" t="s">
        <v>163</v>
      </c>
      <c r="G178" t="s">
        <v>460</v>
      </c>
      <c r="I178">
        <v>4</v>
      </c>
      <c r="J178" t="s">
        <v>61</v>
      </c>
      <c r="K178">
        <v>4</v>
      </c>
      <c r="L178" t="s">
        <v>44</v>
      </c>
      <c r="M178">
        <v>2.4</v>
      </c>
      <c r="N178" t="s">
        <v>45</v>
      </c>
      <c r="O178" t="s">
        <v>46</v>
      </c>
      <c r="P178">
        <v>1</v>
      </c>
      <c r="Q178" t="s">
        <v>47</v>
      </c>
      <c r="R178" t="s">
        <v>123</v>
      </c>
      <c r="S178" t="s">
        <v>101</v>
      </c>
      <c r="T178">
        <v>187</v>
      </c>
      <c r="U178" t="s">
        <v>50</v>
      </c>
      <c r="W178" t="s">
        <v>300</v>
      </c>
      <c r="X178" t="s">
        <v>125</v>
      </c>
      <c r="Y178" t="s">
        <v>78</v>
      </c>
      <c r="Z178">
        <v>23700</v>
      </c>
      <c r="AA178">
        <v>0</v>
      </c>
      <c r="AB178" t="s">
        <v>79</v>
      </c>
      <c r="AC178" t="s">
        <v>127</v>
      </c>
      <c r="AD178">
        <v>36</v>
      </c>
      <c r="AE178">
        <v>9</v>
      </c>
      <c r="AF178">
        <v>3</v>
      </c>
      <c r="AG178">
        <v>2025</v>
      </c>
      <c r="AH178" s="2">
        <v>8700</v>
      </c>
      <c r="AI178" s="2">
        <v>6155.2587890625</v>
      </c>
      <c r="AJ178" s="2">
        <f t="shared" si="16"/>
        <v>2544.7412109375</v>
      </c>
      <c r="AK178" s="6">
        <f t="shared" si="17"/>
        <v>0.29249898976293104</v>
      </c>
      <c r="AL178" s="12">
        <v>8700</v>
      </c>
      <c r="AM178" s="12">
        <v>5828.6791045563396</v>
      </c>
      <c r="AN178" s="12">
        <f t="shared" si="18"/>
        <v>2871.3208954436604</v>
      </c>
      <c r="AO178" s="13">
        <f t="shared" si="19"/>
        <v>0.33003688453375407</v>
      </c>
      <c r="AP178" s="16">
        <v>8700</v>
      </c>
      <c r="AQ178" s="16">
        <v>6123.0149881154648</v>
      </c>
      <c r="AR178" s="16">
        <f t="shared" si="20"/>
        <v>2576.9850118845352</v>
      </c>
      <c r="AS178" s="17">
        <f t="shared" si="21"/>
        <v>0.29620517377983163</v>
      </c>
      <c r="AT178" s="20">
        <v>8700</v>
      </c>
      <c r="AU178" s="20">
        <v>6139.6669921875</v>
      </c>
      <c r="AV178" s="20">
        <f t="shared" si="22"/>
        <v>2560.3330078125</v>
      </c>
      <c r="AW178" s="21">
        <f t="shared" si="23"/>
        <v>0.29429115032327585</v>
      </c>
    </row>
    <row r="179" spans="1:49" x14ac:dyDescent="0.25">
      <c r="A179" t="s">
        <v>38</v>
      </c>
      <c r="B179" t="s">
        <v>57</v>
      </c>
      <c r="C179">
        <v>74873</v>
      </c>
      <c r="D179">
        <v>2017</v>
      </c>
      <c r="E179" t="s">
        <v>97</v>
      </c>
      <c r="F179" t="s">
        <v>154</v>
      </c>
      <c r="G179" t="s">
        <v>160</v>
      </c>
      <c r="I179">
        <v>6</v>
      </c>
      <c r="J179" t="s">
        <v>135</v>
      </c>
      <c r="K179">
        <v>4</v>
      </c>
      <c r="L179" t="s">
        <v>44</v>
      </c>
      <c r="M179">
        <v>3.6</v>
      </c>
      <c r="N179" t="s">
        <v>73</v>
      </c>
      <c r="O179" t="s">
        <v>46</v>
      </c>
      <c r="P179">
        <v>4</v>
      </c>
      <c r="Q179" t="s">
        <v>74</v>
      </c>
      <c r="R179" t="s">
        <v>92</v>
      </c>
      <c r="S179" t="s">
        <v>49</v>
      </c>
      <c r="U179" t="s">
        <v>50</v>
      </c>
      <c r="V179" t="s">
        <v>76</v>
      </c>
      <c r="W179" t="s">
        <v>461</v>
      </c>
      <c r="X179" t="s">
        <v>141</v>
      </c>
      <c r="Y179" t="s">
        <v>78</v>
      </c>
      <c r="Z179">
        <v>25785</v>
      </c>
      <c r="AA179">
        <v>0</v>
      </c>
      <c r="AB179" t="s">
        <v>79</v>
      </c>
      <c r="AC179" t="s">
        <v>95</v>
      </c>
      <c r="AD179">
        <v>36</v>
      </c>
      <c r="AE179">
        <v>9</v>
      </c>
      <c r="AF179">
        <v>3</v>
      </c>
      <c r="AG179">
        <v>2025</v>
      </c>
      <c r="AH179" s="2">
        <v>15300</v>
      </c>
      <c r="AI179" s="2">
        <v>13524.9111328125</v>
      </c>
      <c r="AJ179" s="2">
        <f t="shared" si="16"/>
        <v>1775.0888671875</v>
      </c>
      <c r="AK179" s="6">
        <f t="shared" si="17"/>
        <v>0.11601888020833333</v>
      </c>
      <c r="AL179" s="12">
        <v>15300</v>
      </c>
      <c r="AM179" s="12">
        <v>13678.44746829114</v>
      </c>
      <c r="AN179" s="12">
        <f t="shared" si="18"/>
        <v>1621.5525317088595</v>
      </c>
      <c r="AO179" s="13">
        <f t="shared" si="19"/>
        <v>0.10598382560188624</v>
      </c>
      <c r="AP179" s="16">
        <v>15300</v>
      </c>
      <c r="AQ179" s="16">
        <v>13739.433461182991</v>
      </c>
      <c r="AR179" s="16">
        <f t="shared" si="20"/>
        <v>1560.5665388170091</v>
      </c>
      <c r="AS179" s="17">
        <f t="shared" si="21"/>
        <v>0.10199781299457576</v>
      </c>
      <c r="AT179" s="20">
        <v>15300</v>
      </c>
      <c r="AU179" s="20">
        <v>13586.0888671875</v>
      </c>
      <c r="AV179" s="20">
        <f t="shared" si="22"/>
        <v>1713.9111328125</v>
      </c>
      <c r="AW179" s="21">
        <f t="shared" si="23"/>
        <v>0.11202033547794117</v>
      </c>
    </row>
    <row r="180" spans="1:49" x14ac:dyDescent="0.25">
      <c r="A180" t="s">
        <v>128</v>
      </c>
      <c r="B180" t="s">
        <v>309</v>
      </c>
      <c r="C180">
        <v>135560</v>
      </c>
      <c r="D180">
        <v>2016</v>
      </c>
      <c r="E180" t="s">
        <v>58</v>
      </c>
      <c r="F180" t="s">
        <v>243</v>
      </c>
      <c r="G180" t="s">
        <v>462</v>
      </c>
      <c r="I180">
        <v>4</v>
      </c>
      <c r="J180" t="s">
        <v>135</v>
      </c>
      <c r="K180">
        <v>4</v>
      </c>
      <c r="L180" t="s">
        <v>402</v>
      </c>
      <c r="M180">
        <v>1.8</v>
      </c>
      <c r="N180" t="s">
        <v>45</v>
      </c>
      <c r="O180" t="s">
        <v>46</v>
      </c>
      <c r="P180">
        <v>1</v>
      </c>
      <c r="Q180" t="s">
        <v>47</v>
      </c>
      <c r="R180" t="s">
        <v>123</v>
      </c>
      <c r="U180" t="s">
        <v>50</v>
      </c>
      <c r="V180" t="s">
        <v>51</v>
      </c>
      <c r="W180" t="s">
        <v>463</v>
      </c>
      <c r="X180" t="s">
        <v>125</v>
      </c>
      <c r="Y180" t="s">
        <v>66</v>
      </c>
      <c r="AA180">
        <v>0</v>
      </c>
      <c r="AB180" t="s">
        <v>79</v>
      </c>
      <c r="AC180" t="s">
        <v>127</v>
      </c>
      <c r="AD180">
        <v>36</v>
      </c>
      <c r="AE180">
        <v>9</v>
      </c>
      <c r="AF180">
        <v>3</v>
      </c>
      <c r="AG180">
        <v>2025</v>
      </c>
      <c r="AH180" s="2">
        <v>1400</v>
      </c>
      <c r="AI180" s="2">
        <v>1933.750732421875</v>
      </c>
      <c r="AJ180" s="2">
        <f t="shared" si="16"/>
        <v>533.750732421875</v>
      </c>
      <c r="AK180" s="6">
        <f t="shared" si="17"/>
        <v>0.38125052315848212</v>
      </c>
      <c r="AL180" s="12">
        <v>1400</v>
      </c>
      <c r="AM180" s="12">
        <v>1848.971620096519</v>
      </c>
      <c r="AN180" s="12">
        <f t="shared" si="18"/>
        <v>448.97162009651902</v>
      </c>
      <c r="AO180" s="13">
        <f t="shared" si="19"/>
        <v>0.32069401435465644</v>
      </c>
      <c r="AP180" s="16">
        <v>1400</v>
      </c>
      <c r="AQ180" s="16">
        <v>1414.905845446865</v>
      </c>
      <c r="AR180" s="16">
        <f t="shared" si="20"/>
        <v>14.905845446864987</v>
      </c>
      <c r="AS180" s="17">
        <f t="shared" si="21"/>
        <v>1.0647032462046419E-2</v>
      </c>
      <c r="AT180" s="20">
        <v>1400</v>
      </c>
      <c r="AU180" s="20">
        <v>1915.847778320312</v>
      </c>
      <c r="AV180" s="20">
        <f t="shared" si="22"/>
        <v>515.84777832031205</v>
      </c>
      <c r="AW180" s="21">
        <f t="shared" si="23"/>
        <v>0.36846269880022287</v>
      </c>
    </row>
    <row r="181" spans="1:49" x14ac:dyDescent="0.25">
      <c r="A181" t="s">
        <v>128</v>
      </c>
      <c r="B181" t="s">
        <v>309</v>
      </c>
      <c r="C181">
        <v>129558</v>
      </c>
      <c r="D181">
        <v>2014</v>
      </c>
      <c r="E181" t="s">
        <v>464</v>
      </c>
      <c r="F181" t="s">
        <v>465</v>
      </c>
      <c r="G181" t="s">
        <v>466</v>
      </c>
      <c r="I181">
        <v>4</v>
      </c>
      <c r="J181" t="s">
        <v>122</v>
      </c>
      <c r="K181">
        <v>4</v>
      </c>
      <c r="L181" t="s">
        <v>44</v>
      </c>
      <c r="M181">
        <v>2</v>
      </c>
      <c r="N181" t="s">
        <v>91</v>
      </c>
      <c r="O181" t="s">
        <v>100</v>
      </c>
      <c r="P181">
        <v>2</v>
      </c>
      <c r="Q181" t="s">
        <v>62</v>
      </c>
      <c r="R181" t="s">
        <v>63</v>
      </c>
      <c r="U181" t="s">
        <v>50</v>
      </c>
      <c r="V181" t="s">
        <v>51</v>
      </c>
      <c r="X181" t="s">
        <v>141</v>
      </c>
      <c r="Y181" t="s">
        <v>467</v>
      </c>
      <c r="AA181">
        <v>0</v>
      </c>
      <c r="AB181" t="s">
        <v>79</v>
      </c>
      <c r="AC181" t="s">
        <v>87</v>
      </c>
      <c r="AD181">
        <v>36</v>
      </c>
      <c r="AE181">
        <v>9</v>
      </c>
      <c r="AF181">
        <v>3</v>
      </c>
      <c r="AG181">
        <v>2025</v>
      </c>
      <c r="AH181" s="2">
        <v>3500</v>
      </c>
      <c r="AI181" s="2">
        <v>1513.367919921875</v>
      </c>
      <c r="AJ181" s="2">
        <f t="shared" si="16"/>
        <v>1986.632080078125</v>
      </c>
      <c r="AK181" s="6">
        <f t="shared" si="17"/>
        <v>0.56760916573660714</v>
      </c>
      <c r="AL181" s="12">
        <v>3500</v>
      </c>
      <c r="AM181" s="12">
        <v>1474.384235066625</v>
      </c>
      <c r="AN181" s="12">
        <f t="shared" si="18"/>
        <v>2025.615764933375</v>
      </c>
      <c r="AO181" s="13">
        <f t="shared" si="19"/>
        <v>0.57874736140953575</v>
      </c>
      <c r="AP181" s="16">
        <v>3500</v>
      </c>
      <c r="AQ181" s="16">
        <v>1687.453542434055</v>
      </c>
      <c r="AR181" s="16">
        <f t="shared" si="20"/>
        <v>1812.546457565945</v>
      </c>
      <c r="AS181" s="17">
        <f t="shared" si="21"/>
        <v>0.51787041644741283</v>
      </c>
      <c r="AT181" s="20">
        <v>3500</v>
      </c>
      <c r="AU181" s="20">
        <v>1509.437622070312</v>
      </c>
      <c r="AV181" s="20">
        <f t="shared" si="22"/>
        <v>1990.562377929688</v>
      </c>
      <c r="AW181" s="21">
        <f t="shared" si="23"/>
        <v>0.56873210797991081</v>
      </c>
    </row>
    <row r="182" spans="1:49" x14ac:dyDescent="0.25">
      <c r="A182" t="s">
        <v>38</v>
      </c>
      <c r="B182" t="s">
        <v>96</v>
      </c>
      <c r="C182">
        <v>139806</v>
      </c>
      <c r="D182">
        <v>2012</v>
      </c>
      <c r="E182" t="s">
        <v>97</v>
      </c>
      <c r="F182" t="s">
        <v>98</v>
      </c>
      <c r="G182" t="s">
        <v>468</v>
      </c>
      <c r="I182">
        <v>6</v>
      </c>
      <c r="J182" t="s">
        <v>106</v>
      </c>
      <c r="K182">
        <v>4</v>
      </c>
      <c r="L182" t="s">
        <v>44</v>
      </c>
      <c r="M182">
        <v>3</v>
      </c>
      <c r="N182" t="s">
        <v>45</v>
      </c>
      <c r="O182" t="s">
        <v>46</v>
      </c>
      <c r="Q182" t="s">
        <v>62</v>
      </c>
      <c r="R182" t="s">
        <v>63</v>
      </c>
      <c r="S182" t="s">
        <v>101</v>
      </c>
      <c r="U182" t="s">
        <v>50</v>
      </c>
      <c r="W182" t="s">
        <v>469</v>
      </c>
      <c r="X182" t="s">
        <v>141</v>
      </c>
      <c r="Y182" t="s">
        <v>103</v>
      </c>
      <c r="AA182">
        <v>0</v>
      </c>
      <c r="AB182" t="s">
        <v>79</v>
      </c>
      <c r="AC182" t="s">
        <v>87</v>
      </c>
      <c r="AD182">
        <v>36</v>
      </c>
      <c r="AE182">
        <v>9</v>
      </c>
      <c r="AF182">
        <v>3</v>
      </c>
      <c r="AG182">
        <v>2025</v>
      </c>
      <c r="AH182" s="2">
        <v>2300</v>
      </c>
      <c r="AI182" s="2">
        <v>2742.46875</v>
      </c>
      <c r="AJ182" s="2">
        <f t="shared" si="16"/>
        <v>442.46875</v>
      </c>
      <c r="AK182" s="6">
        <f t="shared" si="17"/>
        <v>0.19237771739130435</v>
      </c>
      <c r="AL182" s="12">
        <v>2300</v>
      </c>
      <c r="AM182" s="12">
        <v>2844.6601003588589</v>
      </c>
      <c r="AN182" s="12">
        <f t="shared" si="18"/>
        <v>544.66010035885893</v>
      </c>
      <c r="AO182" s="13">
        <f t="shared" si="19"/>
        <v>0.2368087392864604</v>
      </c>
      <c r="AP182" s="16">
        <v>2300</v>
      </c>
      <c r="AQ182" s="16">
        <v>2187.1290782819729</v>
      </c>
      <c r="AR182" s="16">
        <f t="shared" si="20"/>
        <v>112.87092171802715</v>
      </c>
      <c r="AS182" s="17">
        <f t="shared" si="21"/>
        <v>4.9074313790446585E-2</v>
      </c>
      <c r="AT182" s="20">
        <v>2300</v>
      </c>
      <c r="AU182" s="20">
        <v>2779.89111328125</v>
      </c>
      <c r="AV182" s="20">
        <f t="shared" si="22"/>
        <v>479.89111328125</v>
      </c>
      <c r="AW182" s="21">
        <f t="shared" si="23"/>
        <v>0.2086483101222826</v>
      </c>
    </row>
    <row r="183" spans="1:49" x14ac:dyDescent="0.25">
      <c r="A183" t="s">
        <v>38</v>
      </c>
      <c r="B183" t="s">
        <v>110</v>
      </c>
      <c r="C183">
        <v>157995</v>
      </c>
      <c r="D183">
        <v>2017</v>
      </c>
      <c r="E183" t="s">
        <v>97</v>
      </c>
      <c r="F183" t="s">
        <v>470</v>
      </c>
      <c r="G183" t="s">
        <v>471</v>
      </c>
      <c r="I183">
        <v>4</v>
      </c>
      <c r="J183" t="s">
        <v>106</v>
      </c>
      <c r="K183">
        <v>4</v>
      </c>
      <c r="L183" t="s">
        <v>44</v>
      </c>
      <c r="M183">
        <v>1.5</v>
      </c>
      <c r="N183" t="s">
        <v>45</v>
      </c>
      <c r="O183" t="s">
        <v>46</v>
      </c>
      <c r="P183">
        <v>2</v>
      </c>
      <c r="Q183" t="s">
        <v>47</v>
      </c>
      <c r="R183" t="s">
        <v>123</v>
      </c>
      <c r="U183" t="s">
        <v>50</v>
      </c>
      <c r="V183" t="s">
        <v>51</v>
      </c>
      <c r="W183" t="s">
        <v>472</v>
      </c>
      <c r="X183" t="s">
        <v>125</v>
      </c>
      <c r="Y183" t="s">
        <v>78</v>
      </c>
      <c r="Z183">
        <v>23225</v>
      </c>
      <c r="AA183">
        <v>0</v>
      </c>
      <c r="AB183" t="s">
        <v>79</v>
      </c>
      <c r="AC183" t="s">
        <v>127</v>
      </c>
      <c r="AD183">
        <v>36</v>
      </c>
      <c r="AE183">
        <v>9</v>
      </c>
      <c r="AF183">
        <v>3</v>
      </c>
      <c r="AG183">
        <v>2025</v>
      </c>
      <c r="AH183" s="2">
        <v>3400</v>
      </c>
      <c r="AI183" s="2">
        <v>2448.283203125</v>
      </c>
      <c r="AJ183" s="2">
        <f t="shared" si="16"/>
        <v>951.716796875</v>
      </c>
      <c r="AK183" s="6">
        <f t="shared" si="17"/>
        <v>0.27991670496323529</v>
      </c>
      <c r="AL183" s="12">
        <v>3400</v>
      </c>
      <c r="AM183" s="12">
        <v>2419.4037595416512</v>
      </c>
      <c r="AN183" s="12">
        <f t="shared" si="18"/>
        <v>980.5962404583488</v>
      </c>
      <c r="AO183" s="13">
        <f t="shared" si="19"/>
        <v>0.2884106589583379</v>
      </c>
      <c r="AP183" s="16">
        <v>3400</v>
      </c>
      <c r="AQ183" s="16">
        <v>2051.7328169363441</v>
      </c>
      <c r="AR183" s="16">
        <f t="shared" si="20"/>
        <v>1348.2671830636559</v>
      </c>
      <c r="AS183" s="17">
        <f t="shared" si="21"/>
        <v>0.39654917148931057</v>
      </c>
      <c r="AT183" s="20">
        <v>3400</v>
      </c>
      <c r="AU183" s="20">
        <v>2466.126953125</v>
      </c>
      <c r="AV183" s="20">
        <f t="shared" si="22"/>
        <v>933.873046875</v>
      </c>
      <c r="AW183" s="21">
        <f t="shared" si="23"/>
        <v>0.2746685431985294</v>
      </c>
    </row>
    <row r="184" spans="1:49" x14ac:dyDescent="0.25">
      <c r="A184" t="s">
        <v>38</v>
      </c>
      <c r="B184" t="s">
        <v>39</v>
      </c>
      <c r="C184">
        <v>175761</v>
      </c>
      <c r="D184">
        <v>2015</v>
      </c>
      <c r="E184" t="s">
        <v>97</v>
      </c>
      <c r="F184" t="s">
        <v>419</v>
      </c>
      <c r="G184" t="s">
        <v>155</v>
      </c>
      <c r="H184" t="s">
        <v>177</v>
      </c>
      <c r="I184">
        <v>8</v>
      </c>
      <c r="J184" t="s">
        <v>178</v>
      </c>
      <c r="K184">
        <v>4</v>
      </c>
      <c r="L184" t="s">
        <v>44</v>
      </c>
      <c r="M184">
        <v>5.3</v>
      </c>
      <c r="N184" t="s">
        <v>73</v>
      </c>
      <c r="O184" t="s">
        <v>46</v>
      </c>
      <c r="Q184" t="s">
        <v>62</v>
      </c>
      <c r="R184" t="s">
        <v>63</v>
      </c>
      <c r="U184" t="s">
        <v>50</v>
      </c>
      <c r="W184" t="s">
        <v>473</v>
      </c>
      <c r="X184" t="s">
        <v>108</v>
      </c>
      <c r="Y184" t="s">
        <v>78</v>
      </c>
      <c r="AA184">
        <v>0</v>
      </c>
      <c r="AB184" t="s">
        <v>79</v>
      </c>
      <c r="AC184" t="s">
        <v>87</v>
      </c>
      <c r="AD184">
        <v>36</v>
      </c>
      <c r="AE184">
        <v>9</v>
      </c>
      <c r="AF184">
        <v>3</v>
      </c>
      <c r="AG184">
        <v>2025</v>
      </c>
      <c r="AH184" s="2">
        <v>12000</v>
      </c>
      <c r="AI184" s="2">
        <v>8957.8837890625</v>
      </c>
      <c r="AJ184" s="2">
        <f t="shared" si="16"/>
        <v>3042.1162109375</v>
      </c>
      <c r="AK184" s="6">
        <f t="shared" si="17"/>
        <v>0.25350968424479164</v>
      </c>
      <c r="AL184" s="12">
        <v>12000</v>
      </c>
      <c r="AM184" s="12">
        <v>8911.3407366619194</v>
      </c>
      <c r="AN184" s="12">
        <f t="shared" si="18"/>
        <v>3088.6592633380806</v>
      </c>
      <c r="AO184" s="13">
        <f t="shared" si="19"/>
        <v>0.25738827194484004</v>
      </c>
      <c r="AP184" s="16">
        <v>12000</v>
      </c>
      <c r="AQ184" s="16">
        <v>8546.4178118956206</v>
      </c>
      <c r="AR184" s="16">
        <f t="shared" si="20"/>
        <v>3453.5821881043794</v>
      </c>
      <c r="AS184" s="17">
        <f t="shared" si="21"/>
        <v>0.28779851567536496</v>
      </c>
      <c r="AT184" s="20">
        <v>12000</v>
      </c>
      <c r="AU184" s="20">
        <v>9071.48828125</v>
      </c>
      <c r="AV184" s="20">
        <f t="shared" si="22"/>
        <v>2928.51171875</v>
      </c>
      <c r="AW184" s="21">
        <f t="shared" si="23"/>
        <v>0.24404264322916666</v>
      </c>
    </row>
    <row r="185" spans="1:49" x14ac:dyDescent="0.25">
      <c r="A185" t="s">
        <v>128</v>
      </c>
      <c r="B185" t="s">
        <v>210</v>
      </c>
      <c r="C185">
        <v>98556</v>
      </c>
      <c r="D185">
        <v>2015</v>
      </c>
      <c r="E185" t="s">
        <v>40</v>
      </c>
      <c r="F185" t="s">
        <v>201</v>
      </c>
      <c r="G185" t="s">
        <v>202</v>
      </c>
      <c r="H185" t="s">
        <v>203</v>
      </c>
      <c r="I185">
        <v>4</v>
      </c>
      <c r="J185" t="s">
        <v>135</v>
      </c>
      <c r="K185">
        <v>4</v>
      </c>
      <c r="L185" t="s">
        <v>44</v>
      </c>
      <c r="M185">
        <v>1.8</v>
      </c>
      <c r="N185" t="s">
        <v>45</v>
      </c>
      <c r="O185" t="s">
        <v>46</v>
      </c>
      <c r="Q185" t="s">
        <v>47</v>
      </c>
      <c r="R185" t="s">
        <v>123</v>
      </c>
      <c r="S185" t="s">
        <v>49</v>
      </c>
      <c r="T185">
        <v>132</v>
      </c>
      <c r="U185" t="s">
        <v>50</v>
      </c>
      <c r="V185" t="s">
        <v>51</v>
      </c>
      <c r="W185" t="s">
        <v>204</v>
      </c>
      <c r="X185" t="s">
        <v>125</v>
      </c>
      <c r="Y185" t="s">
        <v>103</v>
      </c>
      <c r="AA185">
        <v>0</v>
      </c>
      <c r="AB185" t="s">
        <v>79</v>
      </c>
      <c r="AC185" t="s">
        <v>127</v>
      </c>
      <c r="AD185">
        <v>36</v>
      </c>
      <c r="AE185">
        <v>9</v>
      </c>
      <c r="AF185">
        <v>3</v>
      </c>
      <c r="AG185">
        <v>2025</v>
      </c>
      <c r="AH185" s="2">
        <v>6000</v>
      </c>
      <c r="AI185" s="2">
        <v>4517.47509765625</v>
      </c>
      <c r="AJ185" s="2">
        <f t="shared" si="16"/>
        <v>1482.52490234375</v>
      </c>
      <c r="AK185" s="6">
        <f t="shared" si="17"/>
        <v>0.24708748372395833</v>
      </c>
      <c r="AL185" s="12">
        <v>6000</v>
      </c>
      <c r="AM185" s="12">
        <v>6219.8666169125472</v>
      </c>
      <c r="AN185" s="12">
        <f t="shared" si="18"/>
        <v>219.86661691254722</v>
      </c>
      <c r="AO185" s="13">
        <f t="shared" si="19"/>
        <v>3.6644436152091203E-2</v>
      </c>
      <c r="AP185" s="16">
        <v>6000</v>
      </c>
      <c r="AQ185" s="16">
        <v>5598.6569770062879</v>
      </c>
      <c r="AR185" s="16">
        <f t="shared" si="20"/>
        <v>401.34302299371211</v>
      </c>
      <c r="AS185" s="17">
        <f t="shared" si="21"/>
        <v>6.6890503832285356E-2</v>
      </c>
      <c r="AT185" s="20">
        <v>6000</v>
      </c>
      <c r="AU185" s="20">
        <v>4690.90185546875</v>
      </c>
      <c r="AV185" s="20">
        <f t="shared" si="22"/>
        <v>1309.09814453125</v>
      </c>
      <c r="AW185" s="21">
        <f t="shared" si="23"/>
        <v>0.21818302408854168</v>
      </c>
    </row>
    <row r="186" spans="1:49" x14ac:dyDescent="0.25">
      <c r="A186" t="s">
        <v>38</v>
      </c>
      <c r="B186" t="s">
        <v>474</v>
      </c>
      <c r="C186">
        <v>58681</v>
      </c>
      <c r="D186">
        <v>2022</v>
      </c>
      <c r="E186" t="s">
        <v>69</v>
      </c>
      <c r="F186" t="s">
        <v>475</v>
      </c>
      <c r="H186" t="s">
        <v>476</v>
      </c>
      <c r="I186">
        <v>8</v>
      </c>
      <c r="J186" t="s">
        <v>72</v>
      </c>
      <c r="K186">
        <v>4</v>
      </c>
      <c r="L186" t="s">
        <v>44</v>
      </c>
      <c r="M186">
        <v>6.2</v>
      </c>
      <c r="N186" t="s">
        <v>73</v>
      </c>
      <c r="O186" t="s">
        <v>46</v>
      </c>
      <c r="P186">
        <v>3</v>
      </c>
      <c r="Q186" t="s">
        <v>477</v>
      </c>
      <c r="R186" t="s">
        <v>92</v>
      </c>
      <c r="S186" t="s">
        <v>49</v>
      </c>
      <c r="T186">
        <v>385</v>
      </c>
      <c r="U186" t="s">
        <v>50</v>
      </c>
      <c r="V186" t="s">
        <v>76</v>
      </c>
      <c r="X186" t="s">
        <v>230</v>
      </c>
      <c r="Y186" t="s">
        <v>78</v>
      </c>
      <c r="AA186">
        <v>0</v>
      </c>
      <c r="AB186" t="s">
        <v>79</v>
      </c>
      <c r="AC186" t="s">
        <v>95</v>
      </c>
      <c r="AD186">
        <v>36</v>
      </c>
      <c r="AE186">
        <v>9</v>
      </c>
      <c r="AF186">
        <v>3</v>
      </c>
      <c r="AG186">
        <v>2025</v>
      </c>
      <c r="AH186" s="2">
        <v>30250</v>
      </c>
      <c r="AI186" s="2">
        <v>24483.671875</v>
      </c>
      <c r="AJ186" s="2">
        <f t="shared" si="16"/>
        <v>5766.328125</v>
      </c>
      <c r="AK186" s="6">
        <f t="shared" si="17"/>
        <v>0.19062241735537189</v>
      </c>
      <c r="AL186" s="12">
        <v>30250</v>
      </c>
      <c r="AM186" s="12">
        <v>31232.899156719261</v>
      </c>
      <c r="AN186" s="12">
        <f t="shared" si="18"/>
        <v>982.89915671926065</v>
      </c>
      <c r="AO186" s="13">
        <f t="shared" si="19"/>
        <v>3.249253410642184E-2</v>
      </c>
      <c r="AP186" s="16">
        <v>30250</v>
      </c>
      <c r="AQ186" s="16">
        <v>22701.618758709221</v>
      </c>
      <c r="AR186" s="16">
        <f t="shared" si="20"/>
        <v>7548.3812412907791</v>
      </c>
      <c r="AS186" s="17">
        <f t="shared" si="21"/>
        <v>0.24953326417490179</v>
      </c>
      <c r="AT186" s="20">
        <v>30250</v>
      </c>
      <c r="AU186" s="20">
        <v>25539.98828125</v>
      </c>
      <c r="AV186" s="20">
        <f t="shared" si="22"/>
        <v>4710.01171875</v>
      </c>
      <c r="AW186" s="21">
        <f t="shared" si="23"/>
        <v>0.15570286673553718</v>
      </c>
    </row>
    <row r="187" spans="1:49" x14ac:dyDescent="0.25">
      <c r="A187" t="s">
        <v>38</v>
      </c>
      <c r="B187" t="s">
        <v>39</v>
      </c>
      <c r="C187">
        <v>159187</v>
      </c>
      <c r="D187">
        <v>2010</v>
      </c>
      <c r="E187" t="s">
        <v>97</v>
      </c>
      <c r="F187" t="s">
        <v>470</v>
      </c>
      <c r="G187" t="s">
        <v>130</v>
      </c>
      <c r="I187">
        <v>4</v>
      </c>
      <c r="J187" t="s">
        <v>72</v>
      </c>
      <c r="K187">
        <v>4</v>
      </c>
      <c r="L187" t="s">
        <v>44</v>
      </c>
      <c r="M187">
        <v>2.4</v>
      </c>
      <c r="N187" t="s">
        <v>45</v>
      </c>
      <c r="O187" t="s">
        <v>46</v>
      </c>
      <c r="Q187" t="s">
        <v>47</v>
      </c>
      <c r="R187" t="s">
        <v>123</v>
      </c>
      <c r="U187" t="s">
        <v>50</v>
      </c>
      <c r="V187" t="s">
        <v>51</v>
      </c>
      <c r="W187" t="s">
        <v>478</v>
      </c>
      <c r="X187" t="s">
        <v>125</v>
      </c>
      <c r="Y187" t="s">
        <v>78</v>
      </c>
      <c r="AA187">
        <v>0</v>
      </c>
      <c r="AB187" t="s">
        <v>79</v>
      </c>
      <c r="AC187" t="s">
        <v>127</v>
      </c>
      <c r="AD187">
        <v>36</v>
      </c>
      <c r="AE187">
        <v>9</v>
      </c>
      <c r="AF187">
        <v>3</v>
      </c>
      <c r="AG187">
        <v>2025</v>
      </c>
      <c r="AH187" s="2">
        <v>2000</v>
      </c>
      <c r="AI187" s="2">
        <v>1431.601318359375</v>
      </c>
      <c r="AJ187" s="2">
        <f t="shared" si="16"/>
        <v>568.398681640625</v>
      </c>
      <c r="AK187" s="6">
        <f t="shared" si="17"/>
        <v>0.28419934082031251</v>
      </c>
      <c r="AL187" s="12">
        <v>2000</v>
      </c>
      <c r="AM187" s="12">
        <v>1419.0814516642729</v>
      </c>
      <c r="AN187" s="12">
        <f t="shared" si="18"/>
        <v>580.91854833572711</v>
      </c>
      <c r="AO187" s="13">
        <f t="shared" si="19"/>
        <v>0.29045927416786355</v>
      </c>
      <c r="AP187" s="16">
        <v>2000</v>
      </c>
      <c r="AQ187" s="16">
        <v>1321.1093831288449</v>
      </c>
      <c r="AR187" s="16">
        <f t="shared" si="20"/>
        <v>678.89061687115509</v>
      </c>
      <c r="AS187" s="17">
        <f t="shared" si="21"/>
        <v>0.33944530843557752</v>
      </c>
      <c r="AT187" s="20">
        <v>2000</v>
      </c>
      <c r="AU187" s="20">
        <v>1405.118774414062</v>
      </c>
      <c r="AV187" s="20">
        <f t="shared" si="22"/>
        <v>594.88122558593795</v>
      </c>
      <c r="AW187" s="21">
        <f t="shared" si="23"/>
        <v>0.29744061279296896</v>
      </c>
    </row>
    <row r="188" spans="1:49" x14ac:dyDescent="0.25">
      <c r="A188" t="s">
        <v>38</v>
      </c>
      <c r="B188" t="s">
        <v>96</v>
      </c>
      <c r="C188">
        <v>168505</v>
      </c>
      <c r="D188">
        <v>2013</v>
      </c>
      <c r="E188" t="s">
        <v>97</v>
      </c>
      <c r="F188" t="s">
        <v>98</v>
      </c>
      <c r="G188" t="s">
        <v>130</v>
      </c>
      <c r="I188">
        <v>4</v>
      </c>
      <c r="J188" t="s">
        <v>43</v>
      </c>
      <c r="K188">
        <v>4</v>
      </c>
      <c r="L188" t="s">
        <v>44</v>
      </c>
      <c r="M188">
        <v>2.4</v>
      </c>
      <c r="N188" t="s">
        <v>45</v>
      </c>
      <c r="O188" t="s">
        <v>46</v>
      </c>
      <c r="Q188" t="s">
        <v>62</v>
      </c>
      <c r="R188" t="s">
        <v>63</v>
      </c>
      <c r="S188" t="s">
        <v>101</v>
      </c>
      <c r="U188" t="s">
        <v>50</v>
      </c>
      <c r="W188" t="s">
        <v>479</v>
      </c>
      <c r="X188" t="s">
        <v>65</v>
      </c>
      <c r="Y188" t="s">
        <v>103</v>
      </c>
      <c r="AA188">
        <v>0</v>
      </c>
      <c r="AB188" t="s">
        <v>79</v>
      </c>
      <c r="AC188" t="s">
        <v>87</v>
      </c>
      <c r="AD188">
        <v>36</v>
      </c>
      <c r="AE188">
        <v>9</v>
      </c>
      <c r="AF188">
        <v>3</v>
      </c>
      <c r="AG188">
        <v>2025</v>
      </c>
      <c r="AH188" s="2">
        <v>1800</v>
      </c>
      <c r="AI188" s="2">
        <v>2025.660766601562</v>
      </c>
      <c r="AJ188" s="2">
        <f t="shared" si="16"/>
        <v>225.66076660156205</v>
      </c>
      <c r="AK188" s="6">
        <f t="shared" si="17"/>
        <v>0.12536709255642337</v>
      </c>
      <c r="AL188" s="12">
        <v>1800</v>
      </c>
      <c r="AM188" s="12">
        <v>2155.5513787845912</v>
      </c>
      <c r="AN188" s="12">
        <f t="shared" si="18"/>
        <v>355.55137878459118</v>
      </c>
      <c r="AO188" s="13">
        <f t="shared" si="19"/>
        <v>0.19752854376921733</v>
      </c>
      <c r="AP188" s="16">
        <v>1800</v>
      </c>
      <c r="AQ188" s="16">
        <v>1827.0483150652431</v>
      </c>
      <c r="AR188" s="16">
        <f t="shared" si="20"/>
        <v>27.04831506524306</v>
      </c>
      <c r="AS188" s="17">
        <f t="shared" si="21"/>
        <v>1.502684170291281E-2</v>
      </c>
      <c r="AT188" s="20">
        <v>1800</v>
      </c>
      <c r="AU188" s="20">
        <v>2045.441040039062</v>
      </c>
      <c r="AV188" s="20">
        <f t="shared" si="22"/>
        <v>245.44104003906205</v>
      </c>
      <c r="AW188" s="21">
        <f t="shared" si="23"/>
        <v>0.13635613335503446</v>
      </c>
    </row>
    <row r="189" spans="1:49" x14ac:dyDescent="0.25">
      <c r="A189" t="s">
        <v>81</v>
      </c>
      <c r="B189" t="s">
        <v>82</v>
      </c>
      <c r="C189">
        <v>131821</v>
      </c>
      <c r="D189">
        <v>2013</v>
      </c>
      <c r="E189" t="s">
        <v>162</v>
      </c>
      <c r="F189" t="s">
        <v>163</v>
      </c>
      <c r="G189" t="s">
        <v>480</v>
      </c>
      <c r="I189">
        <v>4</v>
      </c>
      <c r="J189" t="s">
        <v>43</v>
      </c>
      <c r="K189">
        <v>4</v>
      </c>
      <c r="L189" t="s">
        <v>44</v>
      </c>
      <c r="M189">
        <v>2.4</v>
      </c>
      <c r="N189" t="s">
        <v>45</v>
      </c>
      <c r="O189" t="s">
        <v>46</v>
      </c>
      <c r="Q189" t="s">
        <v>47</v>
      </c>
      <c r="R189" t="s">
        <v>123</v>
      </c>
      <c r="U189" t="s">
        <v>50</v>
      </c>
      <c r="X189" t="s">
        <v>125</v>
      </c>
      <c r="Y189" t="s">
        <v>66</v>
      </c>
      <c r="AA189">
        <v>1</v>
      </c>
      <c r="AB189" t="s">
        <v>55</v>
      </c>
      <c r="AC189" t="s">
        <v>393</v>
      </c>
      <c r="AD189">
        <v>36</v>
      </c>
      <c r="AE189">
        <v>9</v>
      </c>
      <c r="AF189">
        <v>3</v>
      </c>
      <c r="AG189">
        <v>2025</v>
      </c>
      <c r="AH189" s="2">
        <v>1900</v>
      </c>
      <c r="AI189" s="2">
        <v>1755.070190429688</v>
      </c>
      <c r="AJ189" s="2">
        <f t="shared" si="16"/>
        <v>144.92980957031205</v>
      </c>
      <c r="AK189" s="6">
        <f t="shared" si="17"/>
        <v>7.6278847142269499E-2</v>
      </c>
      <c r="AL189" s="12">
        <v>1900</v>
      </c>
      <c r="AM189" s="12">
        <v>1683.9884251952769</v>
      </c>
      <c r="AN189" s="12">
        <f t="shared" si="18"/>
        <v>216.01157480472307</v>
      </c>
      <c r="AO189" s="13">
        <f t="shared" si="19"/>
        <v>0.11369030252880162</v>
      </c>
      <c r="AP189" s="16">
        <v>1900</v>
      </c>
      <c r="AQ189" s="16">
        <v>1480.259199401778</v>
      </c>
      <c r="AR189" s="16">
        <f t="shared" si="20"/>
        <v>419.74080059822199</v>
      </c>
      <c r="AS189" s="17">
        <f t="shared" si="21"/>
        <v>0.22091621084116947</v>
      </c>
      <c r="AT189" s="20">
        <v>1900</v>
      </c>
      <c r="AU189" s="20">
        <v>1759.436645507812</v>
      </c>
      <c r="AV189" s="20">
        <f t="shared" si="22"/>
        <v>140.56335449218795</v>
      </c>
      <c r="AW189" s="21">
        <f t="shared" si="23"/>
        <v>7.3980712890625244E-2</v>
      </c>
    </row>
    <row r="190" spans="1:49" x14ac:dyDescent="0.25">
      <c r="A190" t="s">
        <v>81</v>
      </c>
      <c r="B190" t="s">
        <v>82</v>
      </c>
      <c r="C190">
        <v>84045</v>
      </c>
      <c r="D190">
        <v>2008</v>
      </c>
      <c r="E190" t="s">
        <v>481</v>
      </c>
      <c r="F190" t="s">
        <v>482</v>
      </c>
      <c r="H190" t="s">
        <v>483</v>
      </c>
      <c r="I190">
        <v>6</v>
      </c>
      <c r="J190" t="s">
        <v>106</v>
      </c>
      <c r="K190">
        <v>4</v>
      </c>
      <c r="L190" t="s">
        <v>44</v>
      </c>
      <c r="M190">
        <v>3.5</v>
      </c>
      <c r="N190" t="s">
        <v>45</v>
      </c>
      <c r="O190" t="s">
        <v>46</v>
      </c>
      <c r="Q190" t="s">
        <v>47</v>
      </c>
      <c r="R190" t="s">
        <v>123</v>
      </c>
      <c r="S190" t="s">
        <v>101</v>
      </c>
      <c r="T190">
        <v>263</v>
      </c>
      <c r="U190" t="s">
        <v>50</v>
      </c>
      <c r="V190" t="s">
        <v>76</v>
      </c>
      <c r="X190" t="s">
        <v>125</v>
      </c>
      <c r="Y190" t="s">
        <v>78</v>
      </c>
      <c r="AA190">
        <v>0</v>
      </c>
      <c r="AB190" t="s">
        <v>79</v>
      </c>
      <c r="AC190" t="s">
        <v>127</v>
      </c>
      <c r="AD190">
        <v>36</v>
      </c>
      <c r="AE190">
        <v>9</v>
      </c>
      <c r="AF190">
        <v>3</v>
      </c>
      <c r="AG190">
        <v>2025</v>
      </c>
      <c r="AH190" s="2">
        <v>600</v>
      </c>
      <c r="AI190" s="2">
        <v>1615.986450195312</v>
      </c>
      <c r="AJ190" s="2">
        <f t="shared" si="16"/>
        <v>1015.986450195312</v>
      </c>
      <c r="AK190" s="6">
        <f t="shared" si="17"/>
        <v>1.69331075032552</v>
      </c>
      <c r="AL190" s="12">
        <v>600</v>
      </c>
      <c r="AM190" s="12">
        <v>1925.3852058938239</v>
      </c>
      <c r="AN190" s="12">
        <f t="shared" si="18"/>
        <v>1325.3852058938239</v>
      </c>
      <c r="AO190" s="13">
        <f t="shared" si="19"/>
        <v>2.2089753431563732</v>
      </c>
      <c r="AP190" s="16">
        <v>600</v>
      </c>
      <c r="AQ190" s="16">
        <v>1222.304141146692</v>
      </c>
      <c r="AR190" s="16">
        <f t="shared" si="20"/>
        <v>622.30414114669202</v>
      </c>
      <c r="AS190" s="17">
        <f t="shared" si="21"/>
        <v>1.0371735685778201</v>
      </c>
      <c r="AT190" s="20">
        <v>600</v>
      </c>
      <c r="AU190" s="20">
        <v>1638.917846679688</v>
      </c>
      <c r="AV190" s="20">
        <f t="shared" si="22"/>
        <v>1038.917846679688</v>
      </c>
      <c r="AW190" s="21">
        <f t="shared" si="23"/>
        <v>1.7315297444661466</v>
      </c>
    </row>
    <row r="191" spans="1:49" x14ac:dyDescent="0.25">
      <c r="A191" t="s">
        <v>128</v>
      </c>
      <c r="B191" t="s">
        <v>484</v>
      </c>
      <c r="C191">
        <v>30126</v>
      </c>
      <c r="D191">
        <v>2024</v>
      </c>
      <c r="E191" t="s">
        <v>40</v>
      </c>
      <c r="F191" t="s">
        <v>485</v>
      </c>
      <c r="H191" t="s">
        <v>486</v>
      </c>
      <c r="I191">
        <v>4</v>
      </c>
      <c r="J191" t="s">
        <v>72</v>
      </c>
      <c r="K191">
        <v>4</v>
      </c>
      <c r="L191" t="s">
        <v>44</v>
      </c>
      <c r="M191">
        <v>2.5</v>
      </c>
      <c r="N191" t="s">
        <v>44</v>
      </c>
      <c r="O191" t="s">
        <v>46</v>
      </c>
      <c r="P191">
        <v>5</v>
      </c>
      <c r="Q191" t="s">
        <v>62</v>
      </c>
      <c r="R191" t="s">
        <v>63</v>
      </c>
      <c r="S191" t="s">
        <v>93</v>
      </c>
      <c r="T191">
        <v>187</v>
      </c>
      <c r="U191" t="s">
        <v>50</v>
      </c>
      <c r="V191" t="s">
        <v>51</v>
      </c>
      <c r="W191" t="s">
        <v>487</v>
      </c>
      <c r="X191" t="s">
        <v>94</v>
      </c>
      <c r="Y191" t="s">
        <v>78</v>
      </c>
      <c r="AA191">
        <v>1</v>
      </c>
      <c r="AB191" t="s">
        <v>55</v>
      </c>
      <c r="AC191" t="s">
        <v>488</v>
      </c>
      <c r="AD191">
        <v>36</v>
      </c>
      <c r="AE191">
        <v>9</v>
      </c>
      <c r="AF191">
        <v>3</v>
      </c>
      <c r="AG191">
        <v>2025</v>
      </c>
      <c r="AH191" s="2">
        <v>45900</v>
      </c>
      <c r="AI191" s="2">
        <v>34563.0078125</v>
      </c>
      <c r="AJ191" s="2">
        <f t="shared" si="16"/>
        <v>11336.9921875</v>
      </c>
      <c r="AK191" s="6">
        <f t="shared" si="17"/>
        <v>0.2469932938453159</v>
      </c>
      <c r="AL191" s="12">
        <v>45900</v>
      </c>
      <c r="AM191" s="12">
        <v>33867.118154757161</v>
      </c>
      <c r="AN191" s="12">
        <f t="shared" si="18"/>
        <v>12032.881845242839</v>
      </c>
      <c r="AO191" s="13">
        <f t="shared" si="19"/>
        <v>0.2621542885673821</v>
      </c>
      <c r="AP191" s="16">
        <v>45900</v>
      </c>
      <c r="AQ191" s="16">
        <v>35956.620886667202</v>
      </c>
      <c r="AR191" s="16">
        <f t="shared" si="20"/>
        <v>9943.3791133327977</v>
      </c>
      <c r="AS191" s="17">
        <f t="shared" si="21"/>
        <v>0.21663135323165136</v>
      </c>
      <c r="AT191" s="20">
        <v>45900</v>
      </c>
      <c r="AU191" s="20">
        <v>34316.50390625</v>
      </c>
      <c r="AV191" s="20">
        <f t="shared" si="22"/>
        <v>11583.49609375</v>
      </c>
      <c r="AW191" s="21">
        <f t="shared" si="23"/>
        <v>0.2523637493191721</v>
      </c>
    </row>
    <row r="192" spans="1:49" x14ac:dyDescent="0.25">
      <c r="A192" t="s">
        <v>38</v>
      </c>
      <c r="B192" t="s">
        <v>110</v>
      </c>
      <c r="C192">
        <v>146637</v>
      </c>
      <c r="D192">
        <v>2014</v>
      </c>
      <c r="E192" t="s">
        <v>116</v>
      </c>
      <c r="F192" t="s">
        <v>251</v>
      </c>
      <c r="G192" t="s">
        <v>224</v>
      </c>
      <c r="I192">
        <v>4</v>
      </c>
      <c r="J192" t="s">
        <v>253</v>
      </c>
      <c r="K192">
        <v>4</v>
      </c>
      <c r="L192" t="s">
        <v>44</v>
      </c>
      <c r="M192">
        <v>2.4</v>
      </c>
      <c r="N192" t="s">
        <v>45</v>
      </c>
      <c r="Q192" t="s">
        <v>62</v>
      </c>
      <c r="R192" t="s">
        <v>63</v>
      </c>
      <c r="S192" t="s">
        <v>101</v>
      </c>
      <c r="U192" t="s">
        <v>50</v>
      </c>
      <c r="X192" t="s">
        <v>141</v>
      </c>
      <c r="Y192" t="s">
        <v>126</v>
      </c>
      <c r="AA192">
        <v>0</v>
      </c>
      <c r="AB192" t="s">
        <v>79</v>
      </c>
      <c r="AC192" t="s">
        <v>87</v>
      </c>
      <c r="AD192">
        <v>36</v>
      </c>
      <c r="AE192">
        <v>9</v>
      </c>
      <c r="AF192">
        <v>3</v>
      </c>
      <c r="AG192">
        <v>2025</v>
      </c>
      <c r="AH192" s="2">
        <v>1300</v>
      </c>
      <c r="AI192" s="2">
        <v>1536.794799804688</v>
      </c>
      <c r="AJ192" s="2">
        <f t="shared" si="16"/>
        <v>236.79479980468795</v>
      </c>
      <c r="AK192" s="6">
        <f t="shared" si="17"/>
        <v>0.18214984600360612</v>
      </c>
      <c r="AL192" s="12">
        <v>1300</v>
      </c>
      <c r="AM192" s="12">
        <v>1899.935363638454</v>
      </c>
      <c r="AN192" s="12">
        <f t="shared" si="18"/>
        <v>599.93536363845396</v>
      </c>
      <c r="AO192" s="13">
        <f t="shared" si="19"/>
        <v>0.46148874126034922</v>
      </c>
      <c r="AP192" s="16">
        <v>1300</v>
      </c>
      <c r="AQ192" s="16">
        <v>1525.731320614784</v>
      </c>
      <c r="AR192" s="16">
        <f t="shared" si="20"/>
        <v>225.73132061478395</v>
      </c>
      <c r="AS192" s="17">
        <f t="shared" si="21"/>
        <v>0.17363947739598765</v>
      </c>
      <c r="AT192" s="20">
        <v>1300</v>
      </c>
      <c r="AU192" s="20">
        <v>1533.56884765625</v>
      </c>
      <c r="AV192" s="20">
        <f t="shared" si="22"/>
        <v>233.56884765625</v>
      </c>
      <c r="AW192" s="21">
        <f t="shared" si="23"/>
        <v>0.17966834435096155</v>
      </c>
    </row>
    <row r="193" spans="1:49" x14ac:dyDescent="0.25">
      <c r="A193" t="s">
        <v>38</v>
      </c>
      <c r="B193" t="s">
        <v>68</v>
      </c>
      <c r="C193">
        <v>190876</v>
      </c>
      <c r="D193">
        <v>2018</v>
      </c>
      <c r="E193" t="s">
        <v>97</v>
      </c>
      <c r="F193" t="s">
        <v>159</v>
      </c>
      <c r="G193" t="s">
        <v>489</v>
      </c>
      <c r="H193" t="s">
        <v>312</v>
      </c>
      <c r="I193">
        <v>8</v>
      </c>
      <c r="J193" t="s">
        <v>72</v>
      </c>
      <c r="K193">
        <v>4</v>
      </c>
      <c r="L193" t="s">
        <v>44</v>
      </c>
      <c r="M193">
        <v>6</v>
      </c>
      <c r="N193" t="s">
        <v>91</v>
      </c>
      <c r="O193" t="s">
        <v>46</v>
      </c>
      <c r="P193">
        <v>1</v>
      </c>
      <c r="Q193" t="s">
        <v>74</v>
      </c>
      <c r="R193" t="s">
        <v>92</v>
      </c>
      <c r="S193" t="s">
        <v>93</v>
      </c>
      <c r="U193" t="s">
        <v>50</v>
      </c>
      <c r="W193" t="s">
        <v>490</v>
      </c>
      <c r="X193" t="s">
        <v>230</v>
      </c>
      <c r="Y193" t="s">
        <v>78</v>
      </c>
      <c r="AA193">
        <v>0</v>
      </c>
      <c r="AB193" t="s">
        <v>79</v>
      </c>
      <c r="AC193" t="s">
        <v>95</v>
      </c>
      <c r="AD193">
        <v>36</v>
      </c>
      <c r="AE193">
        <v>9</v>
      </c>
      <c r="AF193">
        <v>3</v>
      </c>
      <c r="AG193">
        <v>2025</v>
      </c>
      <c r="AH193" s="2">
        <v>6600</v>
      </c>
      <c r="AI193" s="2">
        <v>6045.65283203125</v>
      </c>
      <c r="AJ193" s="2">
        <f t="shared" si="16"/>
        <v>554.34716796875</v>
      </c>
      <c r="AK193" s="6">
        <f t="shared" si="17"/>
        <v>8.3991995146780296E-2</v>
      </c>
      <c r="AL193" s="12">
        <v>6600</v>
      </c>
      <c r="AM193" s="12">
        <v>8038.7323237616047</v>
      </c>
      <c r="AN193" s="12">
        <f t="shared" si="18"/>
        <v>1438.7323237616047</v>
      </c>
      <c r="AO193" s="13">
        <f t="shared" si="19"/>
        <v>0.21798974602448556</v>
      </c>
      <c r="AP193" s="16">
        <v>6600</v>
      </c>
      <c r="AQ193" s="16">
        <v>6738.9974666718708</v>
      </c>
      <c r="AR193" s="16">
        <f t="shared" si="20"/>
        <v>138.99746667187082</v>
      </c>
      <c r="AS193" s="17">
        <f t="shared" si="21"/>
        <v>2.1060222223010731E-2</v>
      </c>
      <c r="AT193" s="20">
        <v>6600</v>
      </c>
      <c r="AU193" s="20">
        <v>6224.6552734375</v>
      </c>
      <c r="AV193" s="20">
        <f t="shared" si="22"/>
        <v>375.3447265625</v>
      </c>
      <c r="AW193" s="21">
        <f t="shared" si="23"/>
        <v>5.6870413115530302E-2</v>
      </c>
    </row>
    <row r="194" spans="1:49" x14ac:dyDescent="0.25">
      <c r="A194" t="s">
        <v>38</v>
      </c>
      <c r="B194" t="s">
        <v>39</v>
      </c>
      <c r="C194">
        <v>145845</v>
      </c>
      <c r="D194">
        <v>2014</v>
      </c>
      <c r="E194" t="s">
        <v>40</v>
      </c>
      <c r="F194" t="s">
        <v>297</v>
      </c>
      <c r="H194" t="s">
        <v>298</v>
      </c>
      <c r="I194">
        <v>4</v>
      </c>
      <c r="J194" t="s">
        <v>72</v>
      </c>
      <c r="K194">
        <v>4</v>
      </c>
      <c r="L194" t="s">
        <v>44</v>
      </c>
      <c r="M194">
        <v>2.5</v>
      </c>
      <c r="N194" t="s">
        <v>45</v>
      </c>
      <c r="O194" t="s">
        <v>46</v>
      </c>
      <c r="P194">
        <v>2</v>
      </c>
      <c r="Q194" t="s">
        <v>47</v>
      </c>
      <c r="R194" t="s">
        <v>123</v>
      </c>
      <c r="S194" t="s">
        <v>49</v>
      </c>
      <c r="T194">
        <v>268</v>
      </c>
      <c r="U194" t="s">
        <v>50</v>
      </c>
      <c r="V194" t="s">
        <v>51</v>
      </c>
      <c r="W194" t="s">
        <v>236</v>
      </c>
      <c r="X194" t="s">
        <v>125</v>
      </c>
      <c r="Y194" t="s">
        <v>78</v>
      </c>
      <c r="AA194">
        <v>0</v>
      </c>
      <c r="AB194" t="s">
        <v>79</v>
      </c>
      <c r="AC194" t="s">
        <v>127</v>
      </c>
      <c r="AD194">
        <v>36</v>
      </c>
      <c r="AE194">
        <v>9</v>
      </c>
      <c r="AF194">
        <v>3</v>
      </c>
      <c r="AG194">
        <v>2025</v>
      </c>
      <c r="AH194" s="2">
        <v>5000</v>
      </c>
      <c r="AI194" s="2">
        <v>3237.596435546875</v>
      </c>
      <c r="AJ194" s="2">
        <f t="shared" si="16"/>
        <v>1762.403564453125</v>
      </c>
      <c r="AK194" s="6">
        <f t="shared" si="17"/>
        <v>0.35248071289062499</v>
      </c>
      <c r="AL194" s="12">
        <v>5000</v>
      </c>
      <c r="AM194" s="12">
        <v>3657.7463416608989</v>
      </c>
      <c r="AN194" s="12">
        <f t="shared" si="18"/>
        <v>1342.2536583391011</v>
      </c>
      <c r="AO194" s="13">
        <f t="shared" si="19"/>
        <v>0.26845073166782024</v>
      </c>
      <c r="AP194" s="16">
        <v>5000</v>
      </c>
      <c r="AQ194" s="16">
        <v>2853.1886310274499</v>
      </c>
      <c r="AR194" s="16">
        <f t="shared" si="20"/>
        <v>2146.8113689725501</v>
      </c>
      <c r="AS194" s="17">
        <f t="shared" si="21"/>
        <v>0.42936227379451003</v>
      </c>
      <c r="AT194" s="20">
        <v>5000</v>
      </c>
      <c r="AU194" s="20">
        <v>3258.4306640625</v>
      </c>
      <c r="AV194" s="20">
        <f t="shared" si="22"/>
        <v>1741.5693359375</v>
      </c>
      <c r="AW194" s="21">
        <f t="shared" si="23"/>
        <v>0.34831386718750001</v>
      </c>
    </row>
    <row r="195" spans="1:49" x14ac:dyDescent="0.25">
      <c r="A195" t="s">
        <v>38</v>
      </c>
      <c r="B195" t="s">
        <v>110</v>
      </c>
      <c r="C195">
        <v>75248</v>
      </c>
      <c r="D195">
        <v>2018</v>
      </c>
      <c r="E195" t="s">
        <v>69</v>
      </c>
      <c r="F195" t="s">
        <v>70</v>
      </c>
      <c r="H195" t="s">
        <v>351</v>
      </c>
      <c r="I195">
        <v>6</v>
      </c>
      <c r="J195" t="s">
        <v>72</v>
      </c>
      <c r="K195">
        <v>3</v>
      </c>
      <c r="L195" t="s">
        <v>44</v>
      </c>
      <c r="M195">
        <v>3.7</v>
      </c>
      <c r="N195" t="s">
        <v>73</v>
      </c>
      <c r="O195" t="s">
        <v>46</v>
      </c>
      <c r="P195">
        <v>2</v>
      </c>
      <c r="Q195" t="s">
        <v>477</v>
      </c>
      <c r="R195" t="s">
        <v>80</v>
      </c>
      <c r="T195">
        <v>275</v>
      </c>
      <c r="U195" t="s">
        <v>50</v>
      </c>
      <c r="V195" t="s">
        <v>76</v>
      </c>
      <c r="X195" t="s">
        <v>77</v>
      </c>
      <c r="Y195" t="s">
        <v>78</v>
      </c>
      <c r="AA195">
        <v>0</v>
      </c>
      <c r="AB195" t="s">
        <v>79</v>
      </c>
      <c r="AC195" t="s">
        <v>80</v>
      </c>
      <c r="AD195">
        <v>36</v>
      </c>
      <c r="AE195">
        <v>9</v>
      </c>
      <c r="AF195">
        <v>3</v>
      </c>
      <c r="AG195">
        <v>2025</v>
      </c>
      <c r="AH195" s="2">
        <v>15250</v>
      </c>
      <c r="AI195" s="2">
        <v>13022.853515625</v>
      </c>
      <c r="AJ195" s="2">
        <f t="shared" ref="AJ195:AJ258" si="24">ABS(AH195-AI195)</f>
        <v>2227.146484375</v>
      </c>
      <c r="AK195" s="6">
        <f t="shared" ref="AK195:AK258" si="25">ABS($AH195-AI195)/$AH195</f>
        <v>0.1460423924180328</v>
      </c>
      <c r="AL195" s="12">
        <v>15250</v>
      </c>
      <c r="AM195" s="12">
        <v>11675.989265166099</v>
      </c>
      <c r="AN195" s="12">
        <f t="shared" ref="AN195:AN258" si="26">ABS(AL195-AM195)</f>
        <v>3574.0107348339006</v>
      </c>
      <c r="AO195" s="13">
        <f t="shared" ref="AO195:AO258" si="27">ABS($AH195-AM195)/$AH195</f>
        <v>0.23436135966123939</v>
      </c>
      <c r="AP195" s="16">
        <v>15250</v>
      </c>
      <c r="AQ195" s="16">
        <v>13808.31839280285</v>
      </c>
      <c r="AR195" s="16">
        <f t="shared" ref="AR195:AR258" si="28">ABS(AP195-AQ195)</f>
        <v>1441.6816071971498</v>
      </c>
      <c r="AS195" s="17">
        <f t="shared" ref="AS195:AS258" si="29">ABS($AH195-AQ195)/$AH195</f>
        <v>9.4536498832599986E-2</v>
      </c>
      <c r="AT195" s="20">
        <v>15250</v>
      </c>
      <c r="AU195" s="20">
        <v>12784.5498046875</v>
      </c>
      <c r="AV195" s="20">
        <f t="shared" ref="AV195:AV258" si="30">ABS(AT195-AU195)</f>
        <v>2465.4501953125</v>
      </c>
      <c r="AW195" s="21">
        <f t="shared" ref="AW195:AW258" si="31">ABS($AH195-AU195)/$AH195</f>
        <v>0.16166886526639343</v>
      </c>
    </row>
    <row r="196" spans="1:49" x14ac:dyDescent="0.25">
      <c r="A196" t="s">
        <v>114</v>
      </c>
      <c r="B196" t="s">
        <v>491</v>
      </c>
      <c r="C196">
        <v>9779</v>
      </c>
      <c r="D196">
        <v>2024</v>
      </c>
      <c r="E196" t="s">
        <v>399</v>
      </c>
      <c r="F196" t="s">
        <v>492</v>
      </c>
      <c r="G196" t="s">
        <v>118</v>
      </c>
      <c r="I196">
        <v>4</v>
      </c>
      <c r="J196" t="s">
        <v>72</v>
      </c>
      <c r="K196">
        <v>4</v>
      </c>
      <c r="L196" t="s">
        <v>44</v>
      </c>
      <c r="M196">
        <v>2.5</v>
      </c>
      <c r="N196" t="s">
        <v>44</v>
      </c>
      <c r="O196" t="s">
        <v>46</v>
      </c>
      <c r="P196">
        <v>5</v>
      </c>
      <c r="Q196" t="s">
        <v>62</v>
      </c>
      <c r="R196" t="s">
        <v>63</v>
      </c>
      <c r="S196" t="s">
        <v>85</v>
      </c>
      <c r="T196">
        <v>182</v>
      </c>
      <c r="U196" t="s">
        <v>50</v>
      </c>
      <c r="W196" t="s">
        <v>493</v>
      </c>
      <c r="X196" t="s">
        <v>65</v>
      </c>
      <c r="Y196" t="s">
        <v>54</v>
      </c>
      <c r="AA196">
        <v>0</v>
      </c>
      <c r="AB196" t="s">
        <v>79</v>
      </c>
      <c r="AC196" t="s">
        <v>87</v>
      </c>
      <c r="AD196">
        <v>36</v>
      </c>
      <c r="AE196">
        <v>9</v>
      </c>
      <c r="AF196">
        <v>3</v>
      </c>
      <c r="AG196">
        <v>2025</v>
      </c>
      <c r="AH196" s="2">
        <v>31700</v>
      </c>
      <c r="AI196" s="2">
        <v>26222.36328125</v>
      </c>
      <c r="AJ196" s="2">
        <f t="shared" si="24"/>
        <v>5477.63671875</v>
      </c>
      <c r="AK196" s="6">
        <f t="shared" si="25"/>
        <v>0.1727961110015773</v>
      </c>
      <c r="AL196" s="12">
        <v>31700</v>
      </c>
      <c r="AM196" s="12">
        <v>26117.885711852799</v>
      </c>
      <c r="AN196" s="12">
        <f t="shared" si="26"/>
        <v>5582.1142881472006</v>
      </c>
      <c r="AO196" s="13">
        <f t="shared" si="27"/>
        <v>0.17609193338003787</v>
      </c>
      <c r="AP196" s="16">
        <v>31700</v>
      </c>
      <c r="AQ196" s="16">
        <v>28766.45415776749</v>
      </c>
      <c r="AR196" s="16">
        <f t="shared" si="28"/>
        <v>2933.54584223251</v>
      </c>
      <c r="AS196" s="17">
        <f t="shared" si="29"/>
        <v>9.2540878303864677E-2</v>
      </c>
      <c r="AT196" s="20">
        <v>31700</v>
      </c>
      <c r="AU196" s="20">
        <v>26123.09375</v>
      </c>
      <c r="AV196" s="20">
        <f t="shared" si="30"/>
        <v>5576.90625</v>
      </c>
      <c r="AW196" s="21">
        <f t="shared" si="31"/>
        <v>0.17592764195583596</v>
      </c>
    </row>
    <row r="197" spans="1:49" x14ac:dyDescent="0.25">
      <c r="A197" t="s">
        <v>38</v>
      </c>
      <c r="B197" t="s">
        <v>110</v>
      </c>
      <c r="C197">
        <v>113108</v>
      </c>
      <c r="D197">
        <v>2019</v>
      </c>
      <c r="E197" t="s">
        <v>142</v>
      </c>
      <c r="F197" t="s">
        <v>143</v>
      </c>
      <c r="H197" t="s">
        <v>494</v>
      </c>
      <c r="I197">
        <v>6</v>
      </c>
      <c r="J197" t="s">
        <v>122</v>
      </c>
      <c r="K197">
        <v>4</v>
      </c>
      <c r="L197" t="s">
        <v>44</v>
      </c>
      <c r="M197">
        <v>3.2</v>
      </c>
      <c r="N197" t="s">
        <v>91</v>
      </c>
      <c r="O197" t="s">
        <v>46</v>
      </c>
      <c r="P197">
        <v>3</v>
      </c>
      <c r="Q197" t="s">
        <v>62</v>
      </c>
      <c r="R197" t="s">
        <v>63</v>
      </c>
      <c r="S197" t="s">
        <v>93</v>
      </c>
      <c r="T197">
        <v>271</v>
      </c>
      <c r="U197" t="s">
        <v>50</v>
      </c>
      <c r="V197" t="s">
        <v>76</v>
      </c>
      <c r="X197" t="s">
        <v>141</v>
      </c>
      <c r="Y197" t="s">
        <v>78</v>
      </c>
      <c r="Z197">
        <v>34195</v>
      </c>
      <c r="AA197">
        <v>0</v>
      </c>
      <c r="AB197" t="s">
        <v>79</v>
      </c>
      <c r="AC197" t="s">
        <v>87</v>
      </c>
      <c r="AD197">
        <v>36</v>
      </c>
      <c r="AE197">
        <v>9</v>
      </c>
      <c r="AF197">
        <v>3</v>
      </c>
      <c r="AG197">
        <v>2025</v>
      </c>
      <c r="AH197" s="2">
        <v>6500</v>
      </c>
      <c r="AI197" s="2">
        <v>8684.931640625</v>
      </c>
      <c r="AJ197" s="2">
        <f t="shared" si="24"/>
        <v>2184.931640625</v>
      </c>
      <c r="AK197" s="6">
        <f t="shared" si="25"/>
        <v>0.33614332932692309</v>
      </c>
      <c r="AL197" s="12">
        <v>6500</v>
      </c>
      <c r="AM197" s="12">
        <v>11571.919281839249</v>
      </c>
      <c r="AN197" s="12">
        <f t="shared" si="26"/>
        <v>5071.9192818392494</v>
      </c>
      <c r="AO197" s="13">
        <f t="shared" si="27"/>
        <v>0.78029527412911526</v>
      </c>
      <c r="AP197" s="16">
        <v>6500</v>
      </c>
      <c r="AQ197" s="16">
        <v>8948.7409324450437</v>
      </c>
      <c r="AR197" s="16">
        <f t="shared" si="28"/>
        <v>2448.7409324450437</v>
      </c>
      <c r="AS197" s="17">
        <f t="shared" si="29"/>
        <v>0.37672937422231439</v>
      </c>
      <c r="AT197" s="20">
        <v>6500</v>
      </c>
      <c r="AU197" s="20">
        <v>9276.66796875</v>
      </c>
      <c r="AV197" s="20">
        <f t="shared" si="30"/>
        <v>2776.66796875</v>
      </c>
      <c r="AW197" s="21">
        <f t="shared" si="31"/>
        <v>0.42717968750000002</v>
      </c>
    </row>
    <row r="198" spans="1:49" x14ac:dyDescent="0.25">
      <c r="A198" t="s">
        <v>38</v>
      </c>
      <c r="B198" t="s">
        <v>96</v>
      </c>
      <c r="C198">
        <v>63118</v>
      </c>
      <c r="D198">
        <v>2023</v>
      </c>
      <c r="E198" t="s">
        <v>146</v>
      </c>
      <c r="F198" t="s">
        <v>334</v>
      </c>
      <c r="G198" t="s">
        <v>495</v>
      </c>
      <c r="I198">
        <v>4</v>
      </c>
      <c r="J198" t="s">
        <v>106</v>
      </c>
      <c r="K198">
        <v>4</v>
      </c>
      <c r="L198" t="s">
        <v>44</v>
      </c>
      <c r="M198">
        <v>2.5</v>
      </c>
      <c r="N198" t="s">
        <v>45</v>
      </c>
      <c r="O198" t="s">
        <v>46</v>
      </c>
      <c r="P198">
        <v>4</v>
      </c>
      <c r="Q198" t="s">
        <v>47</v>
      </c>
      <c r="R198" t="s">
        <v>123</v>
      </c>
      <c r="S198" t="s">
        <v>49</v>
      </c>
      <c r="U198" t="s">
        <v>50</v>
      </c>
      <c r="V198" t="s">
        <v>51</v>
      </c>
      <c r="X198" t="s">
        <v>65</v>
      </c>
      <c r="Y198" t="s">
        <v>78</v>
      </c>
      <c r="AA198">
        <v>0</v>
      </c>
      <c r="AB198" t="s">
        <v>79</v>
      </c>
      <c r="AC198" t="s">
        <v>127</v>
      </c>
      <c r="AD198">
        <v>36</v>
      </c>
      <c r="AE198">
        <v>9</v>
      </c>
      <c r="AF198">
        <v>3</v>
      </c>
      <c r="AG198">
        <v>2025</v>
      </c>
      <c r="AH198" s="2">
        <v>17500</v>
      </c>
      <c r="AI198" s="2">
        <v>16333.357421875</v>
      </c>
      <c r="AJ198" s="2">
        <f t="shared" si="24"/>
        <v>1166.642578125</v>
      </c>
      <c r="AK198" s="6">
        <f t="shared" si="25"/>
        <v>6.6665290178571424E-2</v>
      </c>
      <c r="AL198" s="12">
        <v>17500</v>
      </c>
      <c r="AM198" s="12">
        <v>18307.821258331121</v>
      </c>
      <c r="AN198" s="12">
        <f t="shared" si="26"/>
        <v>807.8212583311215</v>
      </c>
      <c r="AO198" s="13">
        <f t="shared" si="27"/>
        <v>4.6161214761778369E-2</v>
      </c>
      <c r="AP198" s="16">
        <v>17500</v>
      </c>
      <c r="AQ198" s="16">
        <v>16530.470329486889</v>
      </c>
      <c r="AR198" s="16">
        <f t="shared" si="28"/>
        <v>969.52967051311134</v>
      </c>
      <c r="AS198" s="17">
        <f t="shared" si="29"/>
        <v>5.5401695457892079E-2</v>
      </c>
      <c r="AT198" s="20">
        <v>17500</v>
      </c>
      <c r="AU198" s="20">
        <v>16684.634765625</v>
      </c>
      <c r="AV198" s="20">
        <f t="shared" si="30"/>
        <v>815.365234375</v>
      </c>
      <c r="AW198" s="21">
        <f t="shared" si="31"/>
        <v>4.6592299107142854E-2</v>
      </c>
    </row>
    <row r="199" spans="1:49" x14ac:dyDescent="0.25">
      <c r="A199" t="s">
        <v>38</v>
      </c>
      <c r="B199" t="s">
        <v>68</v>
      </c>
      <c r="C199">
        <v>157694</v>
      </c>
      <c r="D199">
        <v>2015</v>
      </c>
      <c r="E199" t="s">
        <v>69</v>
      </c>
      <c r="F199" t="s">
        <v>231</v>
      </c>
      <c r="I199">
        <v>6</v>
      </c>
      <c r="J199" t="s">
        <v>43</v>
      </c>
      <c r="K199">
        <v>4</v>
      </c>
      <c r="L199" t="s">
        <v>44</v>
      </c>
      <c r="M199">
        <v>2.7</v>
      </c>
      <c r="N199" t="s">
        <v>73</v>
      </c>
      <c r="O199" t="s">
        <v>46</v>
      </c>
      <c r="P199">
        <v>4</v>
      </c>
      <c r="Q199" t="s">
        <v>74</v>
      </c>
      <c r="R199" t="s">
        <v>92</v>
      </c>
      <c r="S199" t="s">
        <v>49</v>
      </c>
      <c r="U199" t="s">
        <v>50</v>
      </c>
      <c r="V199" t="s">
        <v>76</v>
      </c>
      <c r="X199" t="s">
        <v>94</v>
      </c>
      <c r="Y199" t="s">
        <v>78</v>
      </c>
      <c r="AA199">
        <v>0</v>
      </c>
      <c r="AB199" t="s">
        <v>79</v>
      </c>
      <c r="AC199" t="s">
        <v>95</v>
      </c>
      <c r="AD199">
        <v>36</v>
      </c>
      <c r="AE199">
        <v>9</v>
      </c>
      <c r="AF199">
        <v>3</v>
      </c>
      <c r="AG199">
        <v>2025</v>
      </c>
      <c r="AH199" s="2">
        <v>10000</v>
      </c>
      <c r="AI199" s="2">
        <v>9200.2470703125</v>
      </c>
      <c r="AJ199" s="2">
        <f t="shared" si="24"/>
        <v>799.7529296875</v>
      </c>
      <c r="AK199" s="6">
        <f t="shared" si="25"/>
        <v>7.997529296875E-2</v>
      </c>
      <c r="AL199" s="12">
        <v>10000</v>
      </c>
      <c r="AM199" s="12">
        <v>8604.4248356188727</v>
      </c>
      <c r="AN199" s="12">
        <f t="shared" si="26"/>
        <v>1395.5751643811273</v>
      </c>
      <c r="AO199" s="13">
        <f t="shared" si="27"/>
        <v>0.13955751643811273</v>
      </c>
      <c r="AP199" s="16">
        <v>10000</v>
      </c>
      <c r="AQ199" s="16">
        <v>9118.3504428951728</v>
      </c>
      <c r="AR199" s="16">
        <f t="shared" si="28"/>
        <v>881.64955710482718</v>
      </c>
      <c r="AS199" s="17">
        <f t="shared" si="29"/>
        <v>8.8164955710482718E-2</v>
      </c>
      <c r="AT199" s="20">
        <v>10000</v>
      </c>
      <c r="AU199" s="20">
        <v>9134.921875</v>
      </c>
      <c r="AV199" s="20">
        <f t="shared" si="30"/>
        <v>865.078125</v>
      </c>
      <c r="AW199" s="21">
        <f t="shared" si="31"/>
        <v>8.6507812500000003E-2</v>
      </c>
    </row>
    <row r="200" spans="1:49" x14ac:dyDescent="0.25">
      <c r="A200" t="s">
        <v>38</v>
      </c>
      <c r="B200" t="s">
        <v>96</v>
      </c>
      <c r="C200">
        <v>140389</v>
      </c>
      <c r="D200">
        <v>2018</v>
      </c>
      <c r="E200" t="s">
        <v>174</v>
      </c>
      <c r="F200" t="s">
        <v>314</v>
      </c>
      <c r="G200" t="s">
        <v>176</v>
      </c>
      <c r="H200" t="s">
        <v>89</v>
      </c>
      <c r="I200">
        <v>8</v>
      </c>
      <c r="J200" t="s">
        <v>122</v>
      </c>
      <c r="K200">
        <v>4</v>
      </c>
      <c r="L200" t="s">
        <v>44</v>
      </c>
      <c r="M200">
        <v>5.3</v>
      </c>
      <c r="N200" t="s">
        <v>73</v>
      </c>
      <c r="O200" t="s">
        <v>46</v>
      </c>
      <c r="P200">
        <v>2</v>
      </c>
      <c r="Q200" t="s">
        <v>74</v>
      </c>
      <c r="R200" t="s">
        <v>92</v>
      </c>
      <c r="S200" t="s">
        <v>49</v>
      </c>
      <c r="U200" t="s">
        <v>50</v>
      </c>
      <c r="W200" t="s">
        <v>459</v>
      </c>
      <c r="X200" t="s">
        <v>94</v>
      </c>
      <c r="Y200" t="s">
        <v>126</v>
      </c>
      <c r="AA200">
        <v>0</v>
      </c>
      <c r="AB200" t="s">
        <v>79</v>
      </c>
      <c r="AC200" t="s">
        <v>95</v>
      </c>
      <c r="AD200">
        <v>36</v>
      </c>
      <c r="AE200">
        <v>9</v>
      </c>
      <c r="AF200">
        <v>3</v>
      </c>
      <c r="AG200">
        <v>2025</v>
      </c>
      <c r="AH200" s="2">
        <v>12250</v>
      </c>
      <c r="AI200" s="2">
        <v>12322.5771484375</v>
      </c>
      <c r="AJ200" s="2">
        <f t="shared" si="24"/>
        <v>72.5771484375</v>
      </c>
      <c r="AK200" s="6">
        <f t="shared" si="25"/>
        <v>5.9246651785714284E-3</v>
      </c>
      <c r="AL200" s="12">
        <v>12250</v>
      </c>
      <c r="AM200" s="12">
        <v>12354.25260065508</v>
      </c>
      <c r="AN200" s="12">
        <f t="shared" si="26"/>
        <v>104.25260065507973</v>
      </c>
      <c r="AO200" s="13">
        <f t="shared" si="27"/>
        <v>8.5104163800065087E-3</v>
      </c>
      <c r="AP200" s="16">
        <v>12250</v>
      </c>
      <c r="AQ200" s="16">
        <v>11897.98961317035</v>
      </c>
      <c r="AR200" s="16">
        <f t="shared" si="28"/>
        <v>352.01038682965009</v>
      </c>
      <c r="AS200" s="17">
        <f t="shared" si="29"/>
        <v>2.8735541782012253E-2</v>
      </c>
      <c r="AT200" s="20">
        <v>12250</v>
      </c>
      <c r="AU200" s="20">
        <v>12374.48046875</v>
      </c>
      <c r="AV200" s="20">
        <f t="shared" si="30"/>
        <v>124.48046875</v>
      </c>
      <c r="AW200" s="21">
        <f t="shared" si="31"/>
        <v>1.0161670918367347E-2</v>
      </c>
    </row>
    <row r="201" spans="1:49" x14ac:dyDescent="0.25">
      <c r="A201" t="s">
        <v>128</v>
      </c>
      <c r="B201" t="s">
        <v>210</v>
      </c>
      <c r="C201">
        <v>142792</v>
      </c>
      <c r="D201">
        <v>2012</v>
      </c>
      <c r="E201" t="s">
        <v>40</v>
      </c>
      <c r="F201" t="s">
        <v>201</v>
      </c>
      <c r="H201" t="s">
        <v>496</v>
      </c>
      <c r="I201">
        <v>4</v>
      </c>
      <c r="J201" t="s">
        <v>61</v>
      </c>
      <c r="K201">
        <v>4</v>
      </c>
      <c r="L201" t="s">
        <v>44</v>
      </c>
      <c r="M201">
        <v>1.8</v>
      </c>
      <c r="N201" t="s">
        <v>45</v>
      </c>
      <c r="O201" t="s">
        <v>46</v>
      </c>
      <c r="Q201" t="s">
        <v>47</v>
      </c>
      <c r="R201" t="s">
        <v>123</v>
      </c>
      <c r="S201" t="s">
        <v>49</v>
      </c>
      <c r="T201">
        <v>132</v>
      </c>
      <c r="U201" t="s">
        <v>50</v>
      </c>
      <c r="V201" t="s">
        <v>51</v>
      </c>
      <c r="W201" t="s">
        <v>204</v>
      </c>
      <c r="X201" t="s">
        <v>125</v>
      </c>
      <c r="Y201" t="s">
        <v>78</v>
      </c>
      <c r="AA201">
        <v>0</v>
      </c>
      <c r="AB201" t="s">
        <v>79</v>
      </c>
      <c r="AC201" t="s">
        <v>127</v>
      </c>
      <c r="AD201">
        <v>36</v>
      </c>
      <c r="AE201">
        <v>9</v>
      </c>
      <c r="AF201">
        <v>3</v>
      </c>
      <c r="AG201">
        <v>2025</v>
      </c>
      <c r="AH201" s="2">
        <v>2600</v>
      </c>
      <c r="AI201" s="2">
        <v>2890.790771484375</v>
      </c>
      <c r="AJ201" s="2">
        <f t="shared" si="24"/>
        <v>290.790771484375</v>
      </c>
      <c r="AK201" s="6">
        <f t="shared" si="25"/>
        <v>0.11184260441706731</v>
      </c>
      <c r="AL201" s="12">
        <v>2600</v>
      </c>
      <c r="AM201" s="12">
        <v>2915.349485661367</v>
      </c>
      <c r="AN201" s="12">
        <f t="shared" si="26"/>
        <v>315.349485661367</v>
      </c>
      <c r="AO201" s="13">
        <f t="shared" si="27"/>
        <v>0.12128826371591038</v>
      </c>
      <c r="AP201" s="16">
        <v>2600</v>
      </c>
      <c r="AQ201" s="16">
        <v>2484.7055874683838</v>
      </c>
      <c r="AR201" s="16">
        <f t="shared" si="28"/>
        <v>115.29441253161622</v>
      </c>
      <c r="AS201" s="17">
        <f t="shared" si="29"/>
        <v>4.4344004819852394E-2</v>
      </c>
      <c r="AT201" s="20">
        <v>2600</v>
      </c>
      <c r="AU201" s="20">
        <v>2888.6513671875</v>
      </c>
      <c r="AV201" s="20">
        <f t="shared" si="30"/>
        <v>288.6513671875</v>
      </c>
      <c r="AW201" s="21">
        <f t="shared" si="31"/>
        <v>0.11101975661057692</v>
      </c>
    </row>
    <row r="202" spans="1:49" x14ac:dyDescent="0.25">
      <c r="A202" t="s">
        <v>128</v>
      </c>
      <c r="B202" t="s">
        <v>210</v>
      </c>
      <c r="C202">
        <v>77981</v>
      </c>
      <c r="D202">
        <v>2021</v>
      </c>
      <c r="E202" t="s">
        <v>40</v>
      </c>
      <c r="F202" t="s">
        <v>201</v>
      </c>
      <c r="G202" t="s">
        <v>497</v>
      </c>
      <c r="H202" t="s">
        <v>498</v>
      </c>
      <c r="I202">
        <v>4</v>
      </c>
      <c r="J202" t="s">
        <v>72</v>
      </c>
      <c r="K202">
        <v>4</v>
      </c>
      <c r="L202" t="s">
        <v>44</v>
      </c>
      <c r="M202">
        <v>2</v>
      </c>
      <c r="N202" t="s">
        <v>45</v>
      </c>
      <c r="O202" t="s">
        <v>46</v>
      </c>
      <c r="Q202" t="s">
        <v>47</v>
      </c>
      <c r="R202" t="s">
        <v>123</v>
      </c>
      <c r="S202" t="s">
        <v>49</v>
      </c>
      <c r="T202">
        <v>169</v>
      </c>
      <c r="U202" t="s">
        <v>50</v>
      </c>
      <c r="V202" t="s">
        <v>51</v>
      </c>
      <c r="W202" t="s">
        <v>499</v>
      </c>
      <c r="X202" t="s">
        <v>125</v>
      </c>
      <c r="Y202" t="s">
        <v>78</v>
      </c>
      <c r="AA202">
        <v>0</v>
      </c>
      <c r="AB202" t="s">
        <v>79</v>
      </c>
      <c r="AC202" t="s">
        <v>127</v>
      </c>
      <c r="AD202">
        <v>36</v>
      </c>
      <c r="AE202">
        <v>9</v>
      </c>
      <c r="AF202">
        <v>3</v>
      </c>
      <c r="AG202">
        <v>2025</v>
      </c>
      <c r="AH202" s="2">
        <v>10500</v>
      </c>
      <c r="AI202" s="2">
        <v>12623.427734375</v>
      </c>
      <c r="AJ202" s="2">
        <f t="shared" si="24"/>
        <v>2123.427734375</v>
      </c>
      <c r="AK202" s="6">
        <f t="shared" si="25"/>
        <v>0.20223121279761905</v>
      </c>
      <c r="AL202" s="12">
        <v>10500</v>
      </c>
      <c r="AM202" s="12">
        <v>12625.194179221049</v>
      </c>
      <c r="AN202" s="12">
        <f t="shared" si="26"/>
        <v>2125.1941792210491</v>
      </c>
      <c r="AO202" s="13">
        <f t="shared" si="27"/>
        <v>0.20239944564009993</v>
      </c>
      <c r="AP202" s="16">
        <v>10500</v>
      </c>
      <c r="AQ202" s="16">
        <v>13740.24392214265</v>
      </c>
      <c r="AR202" s="16">
        <f t="shared" si="28"/>
        <v>3240.2439221426503</v>
      </c>
      <c r="AS202" s="17">
        <f t="shared" si="29"/>
        <v>0.308594659251681</v>
      </c>
      <c r="AT202" s="20">
        <v>10500</v>
      </c>
      <c r="AU202" s="20">
        <v>12614.42578125</v>
      </c>
      <c r="AV202" s="20">
        <f t="shared" si="30"/>
        <v>2114.42578125</v>
      </c>
      <c r="AW202" s="21">
        <f t="shared" si="31"/>
        <v>0.20137388392857142</v>
      </c>
    </row>
    <row r="203" spans="1:49" x14ac:dyDescent="0.25">
      <c r="A203" t="s">
        <v>38</v>
      </c>
      <c r="B203" t="s">
        <v>96</v>
      </c>
      <c r="C203">
        <v>53202</v>
      </c>
      <c r="D203">
        <v>2019</v>
      </c>
      <c r="E203" t="s">
        <v>97</v>
      </c>
      <c r="F203" t="s">
        <v>444</v>
      </c>
      <c r="G203" t="s">
        <v>500</v>
      </c>
      <c r="I203">
        <v>8</v>
      </c>
      <c r="J203" t="s">
        <v>135</v>
      </c>
      <c r="K203">
        <v>2</v>
      </c>
      <c r="L203" t="s">
        <v>402</v>
      </c>
      <c r="M203">
        <v>6.2</v>
      </c>
      <c r="N203" t="s">
        <v>73</v>
      </c>
      <c r="O203" t="s">
        <v>46</v>
      </c>
      <c r="Q203" t="s">
        <v>47</v>
      </c>
      <c r="R203" t="s">
        <v>197</v>
      </c>
      <c r="U203" t="s">
        <v>50</v>
      </c>
      <c r="W203" t="s">
        <v>446</v>
      </c>
      <c r="X203" t="s">
        <v>125</v>
      </c>
      <c r="Y203" t="s">
        <v>78</v>
      </c>
      <c r="Z203">
        <v>37995</v>
      </c>
      <c r="AA203">
        <v>0</v>
      </c>
      <c r="AB203" t="s">
        <v>79</v>
      </c>
      <c r="AC203" t="s">
        <v>197</v>
      </c>
      <c r="AD203">
        <v>36</v>
      </c>
      <c r="AE203">
        <v>9</v>
      </c>
      <c r="AF203">
        <v>3</v>
      </c>
      <c r="AG203">
        <v>2025</v>
      </c>
      <c r="AH203" s="2">
        <v>26000</v>
      </c>
      <c r="AI203" s="2">
        <v>27419.720703125</v>
      </c>
      <c r="AJ203" s="2">
        <f t="shared" si="24"/>
        <v>1419.720703125</v>
      </c>
      <c r="AK203" s="6">
        <f t="shared" si="25"/>
        <v>5.4604642427884618E-2</v>
      </c>
      <c r="AL203" s="12">
        <v>26000</v>
      </c>
      <c r="AM203" s="12">
        <v>34441.568108505788</v>
      </c>
      <c r="AN203" s="12">
        <f t="shared" si="26"/>
        <v>8441.5681085057877</v>
      </c>
      <c r="AO203" s="13">
        <f t="shared" si="27"/>
        <v>0.32467569648099182</v>
      </c>
      <c r="AP203" s="16">
        <v>26000</v>
      </c>
      <c r="AQ203" s="16">
        <v>27222.72907342311</v>
      </c>
      <c r="AR203" s="16">
        <f t="shared" si="28"/>
        <v>1222.7290734231101</v>
      </c>
      <c r="AS203" s="17">
        <f t="shared" si="29"/>
        <v>4.7028041285504231E-2</v>
      </c>
      <c r="AT203" s="20">
        <v>26000</v>
      </c>
      <c r="AU203" s="20">
        <v>28428.029296875</v>
      </c>
      <c r="AV203" s="20">
        <f t="shared" si="30"/>
        <v>2428.029296875</v>
      </c>
      <c r="AW203" s="21">
        <f t="shared" si="31"/>
        <v>9.3385742187499995E-2</v>
      </c>
    </row>
    <row r="204" spans="1:49" x14ac:dyDescent="0.25">
      <c r="A204" t="s">
        <v>38</v>
      </c>
      <c r="B204" t="s">
        <v>39</v>
      </c>
      <c r="C204">
        <v>83932</v>
      </c>
      <c r="D204">
        <v>2010</v>
      </c>
      <c r="E204" t="s">
        <v>40</v>
      </c>
      <c r="F204" t="s">
        <v>201</v>
      </c>
      <c r="H204" t="s">
        <v>496</v>
      </c>
      <c r="I204">
        <v>4</v>
      </c>
      <c r="J204" t="s">
        <v>106</v>
      </c>
      <c r="K204">
        <v>4</v>
      </c>
      <c r="L204" t="s">
        <v>44</v>
      </c>
      <c r="M204">
        <v>1.8</v>
      </c>
      <c r="N204" t="s">
        <v>45</v>
      </c>
      <c r="O204" t="s">
        <v>46</v>
      </c>
      <c r="Q204" t="s">
        <v>47</v>
      </c>
      <c r="R204" t="s">
        <v>123</v>
      </c>
      <c r="S204" t="s">
        <v>49</v>
      </c>
      <c r="T204">
        <v>132</v>
      </c>
      <c r="U204" t="s">
        <v>50</v>
      </c>
      <c r="V204" t="s">
        <v>51</v>
      </c>
      <c r="W204" t="s">
        <v>204</v>
      </c>
      <c r="X204" t="s">
        <v>125</v>
      </c>
      <c r="Y204" t="s">
        <v>103</v>
      </c>
      <c r="AA204">
        <v>0</v>
      </c>
      <c r="AB204" t="s">
        <v>79</v>
      </c>
      <c r="AC204" t="s">
        <v>127</v>
      </c>
      <c r="AD204">
        <v>36</v>
      </c>
      <c r="AE204">
        <v>9</v>
      </c>
      <c r="AF204">
        <v>3</v>
      </c>
      <c r="AG204">
        <v>2025</v>
      </c>
      <c r="AH204" s="2">
        <v>5250</v>
      </c>
      <c r="AI204" s="2">
        <v>3949.009033203125</v>
      </c>
      <c r="AJ204" s="2">
        <f t="shared" si="24"/>
        <v>1300.990966796875</v>
      </c>
      <c r="AK204" s="6">
        <f t="shared" si="25"/>
        <v>0.24780780319940476</v>
      </c>
      <c r="AL204" s="12">
        <v>5250</v>
      </c>
      <c r="AM204" s="12">
        <v>3805.130662378976</v>
      </c>
      <c r="AN204" s="12">
        <f t="shared" si="26"/>
        <v>1444.869337621024</v>
      </c>
      <c r="AO204" s="13">
        <f t="shared" si="27"/>
        <v>0.27521320716590936</v>
      </c>
      <c r="AP204" s="16">
        <v>5250</v>
      </c>
      <c r="AQ204" s="16">
        <v>3701.372429086236</v>
      </c>
      <c r="AR204" s="16">
        <f t="shared" si="28"/>
        <v>1548.627570913764</v>
      </c>
      <c r="AS204" s="17">
        <f t="shared" si="29"/>
        <v>0.29497668017405027</v>
      </c>
      <c r="AT204" s="20">
        <v>5250</v>
      </c>
      <c r="AU204" s="20">
        <v>3959.820068359375</v>
      </c>
      <c r="AV204" s="20">
        <f t="shared" si="30"/>
        <v>1290.179931640625</v>
      </c>
      <c r="AW204" s="21">
        <f t="shared" si="31"/>
        <v>0.2457485584077381</v>
      </c>
    </row>
    <row r="205" spans="1:49" x14ac:dyDescent="0.25">
      <c r="A205" t="s">
        <v>81</v>
      </c>
      <c r="B205" t="s">
        <v>501</v>
      </c>
      <c r="C205">
        <v>20021</v>
      </c>
      <c r="D205">
        <v>2023</v>
      </c>
      <c r="E205" t="s">
        <v>345</v>
      </c>
      <c r="F205" t="s">
        <v>502</v>
      </c>
      <c r="G205" t="s">
        <v>503</v>
      </c>
      <c r="I205">
        <v>6</v>
      </c>
      <c r="J205" t="s">
        <v>72</v>
      </c>
      <c r="K205">
        <v>4</v>
      </c>
      <c r="L205" t="s">
        <v>44</v>
      </c>
      <c r="M205">
        <v>3</v>
      </c>
      <c r="N205" t="s">
        <v>44</v>
      </c>
      <c r="Q205" t="s">
        <v>62</v>
      </c>
      <c r="R205" t="s">
        <v>63</v>
      </c>
      <c r="S205" t="s">
        <v>85</v>
      </c>
      <c r="T205">
        <v>335</v>
      </c>
      <c r="U205" t="s">
        <v>50</v>
      </c>
      <c r="X205" t="s">
        <v>94</v>
      </c>
      <c r="Y205" t="s">
        <v>78</v>
      </c>
      <c r="AA205">
        <v>0</v>
      </c>
      <c r="AB205" t="s">
        <v>79</v>
      </c>
      <c r="AC205" t="s">
        <v>87</v>
      </c>
      <c r="AD205">
        <v>36</v>
      </c>
      <c r="AE205">
        <v>9</v>
      </c>
      <c r="AF205">
        <v>3</v>
      </c>
      <c r="AG205">
        <v>2025</v>
      </c>
      <c r="AH205" s="2">
        <v>49945</v>
      </c>
      <c r="AI205" s="2">
        <v>52451.70703125</v>
      </c>
      <c r="AJ205" s="2">
        <f t="shared" si="24"/>
        <v>2506.70703125</v>
      </c>
      <c r="AK205" s="6">
        <f t="shared" si="25"/>
        <v>5.0189348908799683E-2</v>
      </c>
      <c r="AL205" s="12">
        <v>49945</v>
      </c>
      <c r="AM205" s="12">
        <v>43080.975236432263</v>
      </c>
      <c r="AN205" s="12">
        <f t="shared" si="26"/>
        <v>6864.024763567737</v>
      </c>
      <c r="AO205" s="13">
        <f t="shared" si="27"/>
        <v>0.13743167010847407</v>
      </c>
      <c r="AP205" s="16">
        <v>49945</v>
      </c>
      <c r="AQ205" s="16">
        <v>45479.517003753128</v>
      </c>
      <c r="AR205" s="16">
        <f t="shared" si="28"/>
        <v>4465.4829962468721</v>
      </c>
      <c r="AS205" s="17">
        <f t="shared" si="29"/>
        <v>8.9408008734545436E-2</v>
      </c>
      <c r="AT205" s="20">
        <v>49945</v>
      </c>
      <c r="AU205" s="20">
        <v>53401.07421875</v>
      </c>
      <c r="AV205" s="20">
        <f t="shared" si="30"/>
        <v>3456.07421875</v>
      </c>
      <c r="AW205" s="21">
        <f t="shared" si="31"/>
        <v>6.9197601736910599E-2</v>
      </c>
    </row>
    <row r="206" spans="1:49" x14ac:dyDescent="0.25">
      <c r="A206" t="s">
        <v>81</v>
      </c>
      <c r="B206" t="s">
        <v>304</v>
      </c>
      <c r="C206">
        <v>17471</v>
      </c>
      <c r="D206">
        <v>2024</v>
      </c>
      <c r="E206" t="s">
        <v>132</v>
      </c>
      <c r="F206" t="s">
        <v>504</v>
      </c>
      <c r="H206" t="s">
        <v>505</v>
      </c>
      <c r="I206">
        <v>8</v>
      </c>
      <c r="J206" t="s">
        <v>135</v>
      </c>
      <c r="K206">
        <v>4</v>
      </c>
      <c r="L206" t="s">
        <v>44</v>
      </c>
      <c r="M206">
        <v>4</v>
      </c>
      <c r="N206" t="s">
        <v>44</v>
      </c>
      <c r="O206" t="s">
        <v>46</v>
      </c>
      <c r="Q206" t="s">
        <v>62</v>
      </c>
      <c r="R206" t="s">
        <v>63</v>
      </c>
      <c r="T206">
        <v>577</v>
      </c>
      <c r="U206" t="s">
        <v>50</v>
      </c>
      <c r="V206" t="s">
        <v>76</v>
      </c>
      <c r="W206" t="s">
        <v>506</v>
      </c>
      <c r="X206" t="s">
        <v>108</v>
      </c>
      <c r="Y206" t="s">
        <v>507</v>
      </c>
      <c r="AA206">
        <v>0</v>
      </c>
      <c r="AB206" t="s">
        <v>79</v>
      </c>
      <c r="AC206" t="s">
        <v>87</v>
      </c>
      <c r="AD206">
        <v>36</v>
      </c>
      <c r="AE206">
        <v>9</v>
      </c>
      <c r="AF206">
        <v>3</v>
      </c>
      <c r="AG206">
        <v>2025</v>
      </c>
      <c r="AH206" s="2">
        <v>184100</v>
      </c>
      <c r="AI206" s="2">
        <v>211462.453125</v>
      </c>
      <c r="AJ206" s="2">
        <f t="shared" si="24"/>
        <v>27362.453125</v>
      </c>
      <c r="AK206" s="6">
        <f t="shared" si="25"/>
        <v>0.14862820817490494</v>
      </c>
      <c r="AL206" s="12">
        <v>184100</v>
      </c>
      <c r="AM206" s="12">
        <v>143949.85390352001</v>
      </c>
      <c r="AN206" s="12">
        <f t="shared" si="26"/>
        <v>40150.146096479992</v>
      </c>
      <c r="AO206" s="13">
        <f t="shared" si="27"/>
        <v>0.21808878922585548</v>
      </c>
      <c r="AP206" s="16">
        <v>184100</v>
      </c>
      <c r="AQ206" s="16">
        <v>161896.29243781231</v>
      </c>
      <c r="AR206" s="16">
        <f t="shared" si="28"/>
        <v>22203.707562187687</v>
      </c>
      <c r="AS206" s="17">
        <f t="shared" si="29"/>
        <v>0.12060677654637526</v>
      </c>
      <c r="AT206" s="20">
        <v>184100</v>
      </c>
      <c r="AU206" s="20">
        <v>88943.4453125</v>
      </c>
      <c r="AV206" s="20">
        <f t="shared" si="30"/>
        <v>95156.5546875</v>
      </c>
      <c r="AW206" s="21">
        <f t="shared" si="31"/>
        <v>0.51687427858500812</v>
      </c>
    </row>
    <row r="207" spans="1:49" x14ac:dyDescent="0.25">
      <c r="A207" t="s">
        <v>38</v>
      </c>
      <c r="B207" t="s">
        <v>39</v>
      </c>
      <c r="C207">
        <v>119934</v>
      </c>
      <c r="D207">
        <v>2006</v>
      </c>
      <c r="E207" t="s">
        <v>69</v>
      </c>
      <c r="F207" t="s">
        <v>394</v>
      </c>
      <c r="H207" t="s">
        <v>285</v>
      </c>
      <c r="I207">
        <v>6</v>
      </c>
      <c r="J207" t="s">
        <v>106</v>
      </c>
      <c r="K207">
        <v>4</v>
      </c>
      <c r="L207" t="s">
        <v>44</v>
      </c>
      <c r="M207">
        <v>3</v>
      </c>
      <c r="N207" t="s">
        <v>45</v>
      </c>
      <c r="Q207" t="s">
        <v>47</v>
      </c>
      <c r="R207" t="s">
        <v>123</v>
      </c>
      <c r="T207">
        <v>210</v>
      </c>
      <c r="U207" t="s">
        <v>50</v>
      </c>
      <c r="V207" t="s">
        <v>76</v>
      </c>
      <c r="X207" t="s">
        <v>125</v>
      </c>
      <c r="Y207" t="s">
        <v>126</v>
      </c>
      <c r="AA207">
        <v>0</v>
      </c>
      <c r="AB207" t="s">
        <v>79</v>
      </c>
      <c r="AC207" t="s">
        <v>127</v>
      </c>
      <c r="AD207">
        <v>36</v>
      </c>
      <c r="AE207">
        <v>9</v>
      </c>
      <c r="AF207">
        <v>3</v>
      </c>
      <c r="AG207">
        <v>2025</v>
      </c>
      <c r="AH207" s="2">
        <v>3600</v>
      </c>
      <c r="AI207" s="2">
        <v>1231.259521484375</v>
      </c>
      <c r="AJ207" s="2">
        <f t="shared" si="24"/>
        <v>2368.740478515625</v>
      </c>
      <c r="AK207" s="6">
        <f t="shared" si="25"/>
        <v>0.65798346625434023</v>
      </c>
      <c r="AL207" s="12">
        <v>3600</v>
      </c>
      <c r="AM207" s="12">
        <v>1184.310891829391</v>
      </c>
      <c r="AN207" s="12">
        <f t="shared" si="26"/>
        <v>2415.689108170609</v>
      </c>
      <c r="AO207" s="13">
        <f t="shared" si="27"/>
        <v>0.67102475226961356</v>
      </c>
      <c r="AP207" s="16">
        <v>3600</v>
      </c>
      <c r="AQ207" s="16">
        <v>1215.547375972837</v>
      </c>
      <c r="AR207" s="16">
        <f t="shared" si="28"/>
        <v>2384.452624027163</v>
      </c>
      <c r="AS207" s="17">
        <f t="shared" si="29"/>
        <v>0.66234795111865641</v>
      </c>
      <c r="AT207" s="20">
        <v>3600</v>
      </c>
      <c r="AU207" s="20">
        <v>1218.570068359375</v>
      </c>
      <c r="AV207" s="20">
        <f t="shared" si="30"/>
        <v>2381.429931640625</v>
      </c>
      <c r="AW207" s="21">
        <f t="shared" si="31"/>
        <v>0.6615083143446181</v>
      </c>
    </row>
    <row r="208" spans="1:49" x14ac:dyDescent="0.25">
      <c r="A208" t="s">
        <v>38</v>
      </c>
      <c r="B208" t="s">
        <v>96</v>
      </c>
      <c r="C208">
        <v>108998</v>
      </c>
      <c r="D208">
        <v>2016</v>
      </c>
      <c r="E208" t="s">
        <v>40</v>
      </c>
      <c r="F208" t="s">
        <v>508</v>
      </c>
      <c r="H208" t="s">
        <v>509</v>
      </c>
      <c r="I208">
        <v>4</v>
      </c>
      <c r="J208" t="s">
        <v>72</v>
      </c>
      <c r="K208">
        <v>2</v>
      </c>
      <c r="L208" t="s">
        <v>44</v>
      </c>
      <c r="M208">
        <v>2.5</v>
      </c>
      <c r="N208" t="s">
        <v>45</v>
      </c>
      <c r="O208" t="s">
        <v>46</v>
      </c>
      <c r="P208">
        <v>3</v>
      </c>
      <c r="Q208" t="s">
        <v>47</v>
      </c>
      <c r="R208" t="s">
        <v>48</v>
      </c>
      <c r="S208" t="s">
        <v>49</v>
      </c>
      <c r="U208" t="s">
        <v>50</v>
      </c>
      <c r="V208" t="s">
        <v>51</v>
      </c>
      <c r="W208" t="s">
        <v>236</v>
      </c>
      <c r="X208" t="s">
        <v>125</v>
      </c>
      <c r="Y208" t="s">
        <v>54</v>
      </c>
      <c r="AA208">
        <v>0</v>
      </c>
      <c r="AB208" t="s">
        <v>79</v>
      </c>
      <c r="AC208" t="s">
        <v>359</v>
      </c>
      <c r="AD208">
        <v>36</v>
      </c>
      <c r="AE208">
        <v>9</v>
      </c>
      <c r="AF208">
        <v>3</v>
      </c>
      <c r="AG208">
        <v>2025</v>
      </c>
      <c r="AH208" s="2">
        <v>4000</v>
      </c>
      <c r="AI208" s="2">
        <v>4082.86962890625</v>
      </c>
      <c r="AJ208" s="2">
        <f t="shared" si="24"/>
        <v>82.86962890625</v>
      </c>
      <c r="AK208" s="6">
        <f t="shared" si="25"/>
        <v>2.0717407226562502E-2</v>
      </c>
      <c r="AL208" s="12">
        <v>4000</v>
      </c>
      <c r="AM208" s="12">
        <v>5645.3042348881891</v>
      </c>
      <c r="AN208" s="12">
        <f t="shared" si="26"/>
        <v>1645.3042348881891</v>
      </c>
      <c r="AO208" s="13">
        <f t="shared" si="27"/>
        <v>0.41132605872204725</v>
      </c>
      <c r="AP208" s="16">
        <v>4000</v>
      </c>
      <c r="AQ208" s="16">
        <v>4030.3297559175812</v>
      </c>
      <c r="AR208" s="16">
        <f t="shared" si="28"/>
        <v>30.329755917581224</v>
      </c>
      <c r="AS208" s="17">
        <f t="shared" si="29"/>
        <v>7.5824389793953057E-3</v>
      </c>
      <c r="AT208" s="20">
        <v>4000</v>
      </c>
      <c r="AU208" s="20">
        <v>4183.56884765625</v>
      </c>
      <c r="AV208" s="20">
        <f t="shared" si="30"/>
        <v>183.56884765625</v>
      </c>
      <c r="AW208" s="21">
        <f t="shared" si="31"/>
        <v>4.5892211914062501E-2</v>
      </c>
    </row>
    <row r="209" spans="1:49" x14ac:dyDescent="0.25">
      <c r="A209" t="s">
        <v>128</v>
      </c>
      <c r="B209" t="s">
        <v>129</v>
      </c>
      <c r="C209">
        <v>95435</v>
      </c>
      <c r="D209">
        <v>2016</v>
      </c>
      <c r="E209" t="s">
        <v>58</v>
      </c>
      <c r="F209" t="s">
        <v>220</v>
      </c>
      <c r="G209" t="s">
        <v>510</v>
      </c>
      <c r="I209">
        <v>4</v>
      </c>
      <c r="J209" t="s">
        <v>72</v>
      </c>
      <c r="K209">
        <v>4</v>
      </c>
      <c r="L209" t="s">
        <v>44</v>
      </c>
      <c r="M209">
        <v>2.4</v>
      </c>
      <c r="N209" t="s">
        <v>45</v>
      </c>
      <c r="O209" t="s">
        <v>46</v>
      </c>
      <c r="Q209" t="s">
        <v>62</v>
      </c>
      <c r="R209" t="s">
        <v>63</v>
      </c>
      <c r="S209" t="s">
        <v>49</v>
      </c>
      <c r="U209" t="s">
        <v>50</v>
      </c>
      <c r="W209" t="s">
        <v>511</v>
      </c>
      <c r="X209" t="s">
        <v>141</v>
      </c>
      <c r="Y209" t="s">
        <v>78</v>
      </c>
      <c r="AA209">
        <v>0</v>
      </c>
      <c r="AB209" t="s">
        <v>79</v>
      </c>
      <c r="AC209" t="s">
        <v>87</v>
      </c>
      <c r="AD209">
        <v>36</v>
      </c>
      <c r="AE209">
        <v>9</v>
      </c>
      <c r="AF209">
        <v>3</v>
      </c>
      <c r="AG209">
        <v>2025</v>
      </c>
      <c r="AH209" s="2">
        <v>8500</v>
      </c>
      <c r="AI209" s="2">
        <v>5434.53271484375</v>
      </c>
      <c r="AJ209" s="2">
        <f t="shared" si="24"/>
        <v>3065.46728515625</v>
      </c>
      <c r="AK209" s="6">
        <f t="shared" si="25"/>
        <v>0.36064321001838234</v>
      </c>
      <c r="AL209" s="12">
        <v>8500</v>
      </c>
      <c r="AM209" s="12">
        <v>6379.4534948001856</v>
      </c>
      <c r="AN209" s="12">
        <f t="shared" si="26"/>
        <v>2120.5465051998144</v>
      </c>
      <c r="AO209" s="13">
        <f t="shared" si="27"/>
        <v>0.24947605943527229</v>
      </c>
      <c r="AP209" s="16">
        <v>8500</v>
      </c>
      <c r="AQ209" s="16">
        <v>5178.3002309451731</v>
      </c>
      <c r="AR209" s="16">
        <f t="shared" si="28"/>
        <v>3321.6997690548269</v>
      </c>
      <c r="AS209" s="17">
        <f t="shared" si="29"/>
        <v>0.39078820812409726</v>
      </c>
      <c r="AT209" s="20">
        <v>8500</v>
      </c>
      <c r="AU209" s="20">
        <v>5557.18994140625</v>
      </c>
      <c r="AV209" s="20">
        <f t="shared" si="30"/>
        <v>2942.81005859375</v>
      </c>
      <c r="AW209" s="21">
        <f t="shared" si="31"/>
        <v>0.34621294806985292</v>
      </c>
    </row>
    <row r="210" spans="1:49" x14ac:dyDescent="0.25">
      <c r="A210" t="s">
        <v>38</v>
      </c>
      <c r="B210" t="s">
        <v>39</v>
      </c>
      <c r="C210">
        <v>118341</v>
      </c>
      <c r="D210">
        <v>2019</v>
      </c>
      <c r="E210" t="s">
        <v>69</v>
      </c>
      <c r="F210" t="s">
        <v>231</v>
      </c>
      <c r="I210">
        <v>6</v>
      </c>
      <c r="J210" t="s">
        <v>135</v>
      </c>
      <c r="K210">
        <v>4</v>
      </c>
      <c r="L210" t="s">
        <v>44</v>
      </c>
      <c r="M210">
        <v>2.7</v>
      </c>
      <c r="N210" t="s">
        <v>73</v>
      </c>
      <c r="O210" t="s">
        <v>46</v>
      </c>
      <c r="Q210" t="s">
        <v>74</v>
      </c>
      <c r="R210" t="s">
        <v>92</v>
      </c>
      <c r="S210" t="s">
        <v>49</v>
      </c>
      <c r="T210">
        <v>325</v>
      </c>
      <c r="U210" t="s">
        <v>50</v>
      </c>
      <c r="V210" t="s">
        <v>76</v>
      </c>
      <c r="W210" t="s">
        <v>512</v>
      </c>
      <c r="X210" t="s">
        <v>94</v>
      </c>
      <c r="Y210" t="s">
        <v>78</v>
      </c>
      <c r="AA210">
        <v>0</v>
      </c>
      <c r="AB210" t="s">
        <v>79</v>
      </c>
      <c r="AC210" t="s">
        <v>95</v>
      </c>
      <c r="AD210">
        <v>36</v>
      </c>
      <c r="AE210">
        <v>9</v>
      </c>
      <c r="AF210">
        <v>3</v>
      </c>
      <c r="AG210">
        <v>2025</v>
      </c>
      <c r="AH210" s="2">
        <v>13750</v>
      </c>
      <c r="AI210" s="2">
        <v>12742.0908203125</v>
      </c>
      <c r="AJ210" s="2">
        <f t="shared" si="24"/>
        <v>1007.9091796875</v>
      </c>
      <c r="AK210" s="6">
        <f t="shared" si="25"/>
        <v>7.330248579545455E-2</v>
      </c>
      <c r="AL210" s="12">
        <v>13750</v>
      </c>
      <c r="AM210" s="12">
        <v>14179.912728802899</v>
      </c>
      <c r="AN210" s="12">
        <f t="shared" si="26"/>
        <v>429.91272880289944</v>
      </c>
      <c r="AO210" s="13">
        <f t="shared" si="27"/>
        <v>3.1266380276574503E-2</v>
      </c>
      <c r="AP210" s="16">
        <v>13750</v>
      </c>
      <c r="AQ210" s="16">
        <v>13672.84171247326</v>
      </c>
      <c r="AR210" s="16">
        <f t="shared" si="28"/>
        <v>77.158287526739514</v>
      </c>
      <c r="AS210" s="17">
        <f t="shared" si="29"/>
        <v>5.6115118201265097E-3</v>
      </c>
      <c r="AT210" s="20">
        <v>13750</v>
      </c>
      <c r="AU210" s="20">
        <v>13151.9921875</v>
      </c>
      <c r="AV210" s="20">
        <f t="shared" si="30"/>
        <v>598.0078125</v>
      </c>
      <c r="AW210" s="21">
        <f t="shared" si="31"/>
        <v>4.3491477272727272E-2</v>
      </c>
    </row>
    <row r="211" spans="1:49" x14ac:dyDescent="0.25">
      <c r="A211" t="s">
        <v>38</v>
      </c>
      <c r="B211" t="s">
        <v>110</v>
      </c>
      <c r="C211">
        <v>124334</v>
      </c>
      <c r="D211">
        <v>2021</v>
      </c>
      <c r="E211" t="s">
        <v>97</v>
      </c>
      <c r="F211" t="s">
        <v>470</v>
      </c>
      <c r="G211" t="s">
        <v>513</v>
      </c>
      <c r="I211">
        <v>4</v>
      </c>
      <c r="J211" t="s">
        <v>135</v>
      </c>
      <c r="K211">
        <v>4</v>
      </c>
      <c r="L211" t="s">
        <v>44</v>
      </c>
      <c r="M211">
        <v>1.5</v>
      </c>
      <c r="N211" t="s">
        <v>45</v>
      </c>
      <c r="O211" t="s">
        <v>100</v>
      </c>
      <c r="Q211" t="s">
        <v>47</v>
      </c>
      <c r="R211" t="s">
        <v>123</v>
      </c>
      <c r="S211" t="s">
        <v>101</v>
      </c>
      <c r="U211" t="s">
        <v>50</v>
      </c>
      <c r="V211" t="s">
        <v>51</v>
      </c>
      <c r="W211" t="s">
        <v>514</v>
      </c>
      <c r="X211" t="s">
        <v>125</v>
      </c>
      <c r="Y211" t="s">
        <v>78</v>
      </c>
      <c r="AA211">
        <v>0</v>
      </c>
      <c r="AB211" t="s">
        <v>79</v>
      </c>
      <c r="AC211" t="s">
        <v>127</v>
      </c>
      <c r="AD211">
        <v>36</v>
      </c>
      <c r="AE211">
        <v>9</v>
      </c>
      <c r="AF211">
        <v>3</v>
      </c>
      <c r="AG211">
        <v>2025</v>
      </c>
      <c r="AH211" s="2">
        <v>4200</v>
      </c>
      <c r="AI211" s="2">
        <v>2932.44287109375</v>
      </c>
      <c r="AJ211" s="2">
        <f t="shared" si="24"/>
        <v>1267.55712890625</v>
      </c>
      <c r="AK211" s="6">
        <f t="shared" si="25"/>
        <v>0.30179931640625002</v>
      </c>
      <c r="AL211" s="12">
        <v>4200</v>
      </c>
      <c r="AM211" s="12">
        <v>3489.2853205452529</v>
      </c>
      <c r="AN211" s="12">
        <f t="shared" si="26"/>
        <v>710.71467945474706</v>
      </c>
      <c r="AO211" s="13">
        <f t="shared" si="27"/>
        <v>0.16921778082255881</v>
      </c>
      <c r="AP211" s="16">
        <v>4200</v>
      </c>
      <c r="AQ211" s="16">
        <v>3640.1088715585479</v>
      </c>
      <c r="AR211" s="16">
        <f t="shared" si="28"/>
        <v>559.89112844145211</v>
      </c>
      <c r="AS211" s="17">
        <f t="shared" si="29"/>
        <v>0.13330741153367909</v>
      </c>
      <c r="AT211" s="20">
        <v>4200</v>
      </c>
      <c r="AU211" s="20">
        <v>2971.53076171875</v>
      </c>
      <c r="AV211" s="20">
        <f t="shared" si="30"/>
        <v>1228.46923828125</v>
      </c>
      <c r="AW211" s="21">
        <f t="shared" si="31"/>
        <v>0.29249267578124999</v>
      </c>
    </row>
    <row r="212" spans="1:49" x14ac:dyDescent="0.25">
      <c r="A212" t="s">
        <v>81</v>
      </c>
      <c r="B212" t="s">
        <v>82</v>
      </c>
      <c r="C212">
        <v>107960</v>
      </c>
      <c r="D212">
        <v>2015</v>
      </c>
      <c r="E212" t="s">
        <v>40</v>
      </c>
      <c r="F212" t="s">
        <v>297</v>
      </c>
      <c r="H212" t="s">
        <v>298</v>
      </c>
      <c r="I212">
        <v>4</v>
      </c>
      <c r="J212" t="s">
        <v>61</v>
      </c>
      <c r="K212">
        <v>4</v>
      </c>
      <c r="L212" t="s">
        <v>44</v>
      </c>
      <c r="M212">
        <v>2.5</v>
      </c>
      <c r="N212" t="s">
        <v>45</v>
      </c>
      <c r="O212" t="s">
        <v>46</v>
      </c>
      <c r="Q212" t="s">
        <v>47</v>
      </c>
      <c r="R212" t="s">
        <v>123</v>
      </c>
      <c r="S212" t="s">
        <v>49</v>
      </c>
      <c r="T212">
        <v>268</v>
      </c>
      <c r="U212" t="s">
        <v>50</v>
      </c>
      <c r="V212" t="s">
        <v>51</v>
      </c>
      <c r="W212" t="s">
        <v>236</v>
      </c>
      <c r="X212" t="s">
        <v>125</v>
      </c>
      <c r="Y212" t="s">
        <v>78</v>
      </c>
      <c r="AA212">
        <v>0</v>
      </c>
      <c r="AB212" t="s">
        <v>79</v>
      </c>
      <c r="AC212" t="s">
        <v>127</v>
      </c>
      <c r="AD212">
        <v>36</v>
      </c>
      <c r="AE212">
        <v>9</v>
      </c>
      <c r="AF212">
        <v>3</v>
      </c>
      <c r="AG212">
        <v>2025</v>
      </c>
      <c r="AH212" s="2">
        <v>1900</v>
      </c>
      <c r="AI212" s="2">
        <v>4732.2578125</v>
      </c>
      <c r="AJ212" s="2">
        <f t="shared" si="24"/>
        <v>2832.2578125</v>
      </c>
      <c r="AK212" s="6">
        <f t="shared" si="25"/>
        <v>1.4906620065789473</v>
      </c>
      <c r="AL212" s="12">
        <v>1900</v>
      </c>
      <c r="AM212" s="12">
        <v>6422.8838286096889</v>
      </c>
      <c r="AN212" s="12">
        <f t="shared" si="26"/>
        <v>4522.8838286096889</v>
      </c>
      <c r="AO212" s="13">
        <f t="shared" si="27"/>
        <v>2.380465172952468</v>
      </c>
      <c r="AP212" s="16">
        <v>1900</v>
      </c>
      <c r="AQ212" s="16">
        <v>4592.4844528320264</v>
      </c>
      <c r="AR212" s="16">
        <f t="shared" si="28"/>
        <v>2692.4844528320264</v>
      </c>
      <c r="AS212" s="17">
        <f t="shared" si="29"/>
        <v>1.4170970804379086</v>
      </c>
      <c r="AT212" s="20">
        <v>1900</v>
      </c>
      <c r="AU212" s="20">
        <v>4890.70654296875</v>
      </c>
      <c r="AV212" s="20">
        <f t="shared" si="30"/>
        <v>2990.70654296875</v>
      </c>
      <c r="AW212" s="21">
        <f t="shared" si="31"/>
        <v>1.5740560752467105</v>
      </c>
    </row>
    <row r="213" spans="1:49" x14ac:dyDescent="0.25">
      <c r="A213" t="s">
        <v>81</v>
      </c>
      <c r="B213" t="s">
        <v>246</v>
      </c>
      <c r="C213">
        <v>59931</v>
      </c>
      <c r="D213">
        <v>2019</v>
      </c>
      <c r="E213" t="s">
        <v>515</v>
      </c>
      <c r="F213" t="s">
        <v>516</v>
      </c>
      <c r="G213" t="s">
        <v>517</v>
      </c>
      <c r="I213">
        <v>4</v>
      </c>
      <c r="J213" t="s">
        <v>43</v>
      </c>
      <c r="K213">
        <v>4</v>
      </c>
      <c r="L213" t="s">
        <v>44</v>
      </c>
      <c r="M213">
        <v>2</v>
      </c>
      <c r="N213" t="s">
        <v>44</v>
      </c>
      <c r="O213" t="s">
        <v>46</v>
      </c>
      <c r="P213">
        <v>5</v>
      </c>
      <c r="Q213" t="s">
        <v>62</v>
      </c>
      <c r="R213" t="s">
        <v>63</v>
      </c>
      <c r="S213" t="s">
        <v>85</v>
      </c>
      <c r="T213">
        <v>248</v>
      </c>
      <c r="U213" t="s">
        <v>50</v>
      </c>
      <c r="V213" t="s">
        <v>51</v>
      </c>
      <c r="X213" t="s">
        <v>141</v>
      </c>
      <c r="Y213" t="s">
        <v>126</v>
      </c>
      <c r="AA213">
        <v>0</v>
      </c>
      <c r="AB213" t="s">
        <v>79</v>
      </c>
      <c r="AC213" t="s">
        <v>87</v>
      </c>
      <c r="AD213">
        <v>36</v>
      </c>
      <c r="AE213">
        <v>9</v>
      </c>
      <c r="AF213">
        <v>3</v>
      </c>
      <c r="AG213">
        <v>2025</v>
      </c>
      <c r="AH213" s="2">
        <v>18000</v>
      </c>
      <c r="AI213" s="2">
        <v>19349.4140625</v>
      </c>
      <c r="AJ213" s="2">
        <f t="shared" si="24"/>
        <v>1349.4140625</v>
      </c>
      <c r="AK213" s="6">
        <f t="shared" si="25"/>
        <v>7.4967447916666666E-2</v>
      </c>
      <c r="AL213" s="12">
        <v>18000</v>
      </c>
      <c r="AM213" s="12">
        <v>17538.340881642569</v>
      </c>
      <c r="AN213" s="12">
        <f t="shared" si="26"/>
        <v>461.659118357431</v>
      </c>
      <c r="AO213" s="13">
        <f t="shared" si="27"/>
        <v>2.5647728797635057E-2</v>
      </c>
      <c r="AP213" s="16">
        <v>18000</v>
      </c>
      <c r="AQ213" s="16">
        <v>17327.390892949239</v>
      </c>
      <c r="AR213" s="16">
        <f t="shared" si="28"/>
        <v>672.60910705076094</v>
      </c>
      <c r="AS213" s="17">
        <f t="shared" si="29"/>
        <v>3.736717261393116E-2</v>
      </c>
      <c r="AT213" s="20">
        <v>18000</v>
      </c>
      <c r="AU213" s="20">
        <v>18772.890625</v>
      </c>
      <c r="AV213" s="20">
        <f t="shared" si="30"/>
        <v>772.890625</v>
      </c>
      <c r="AW213" s="21">
        <f t="shared" si="31"/>
        <v>4.2938368055555558E-2</v>
      </c>
    </row>
    <row r="214" spans="1:49" x14ac:dyDescent="0.25">
      <c r="A214" t="s">
        <v>38</v>
      </c>
      <c r="B214" t="s">
        <v>474</v>
      </c>
      <c r="C214">
        <v>38292</v>
      </c>
      <c r="D214">
        <v>2020</v>
      </c>
      <c r="E214" t="s">
        <v>119</v>
      </c>
      <c r="F214" t="s">
        <v>518</v>
      </c>
      <c r="H214" t="s">
        <v>519</v>
      </c>
      <c r="I214">
        <v>4</v>
      </c>
      <c r="J214" t="s">
        <v>61</v>
      </c>
      <c r="K214">
        <v>4</v>
      </c>
      <c r="L214" t="s">
        <v>44</v>
      </c>
      <c r="M214">
        <v>2</v>
      </c>
      <c r="N214" t="s">
        <v>45</v>
      </c>
      <c r="O214" t="s">
        <v>46</v>
      </c>
      <c r="Q214" t="s">
        <v>47</v>
      </c>
      <c r="R214" t="s">
        <v>48</v>
      </c>
      <c r="S214" t="s">
        <v>85</v>
      </c>
      <c r="T214">
        <v>268</v>
      </c>
      <c r="U214" t="s">
        <v>50</v>
      </c>
      <c r="X214" t="s">
        <v>125</v>
      </c>
      <c r="Y214" t="s">
        <v>137</v>
      </c>
      <c r="AA214">
        <v>0</v>
      </c>
      <c r="AB214" t="s">
        <v>79</v>
      </c>
      <c r="AC214" t="s">
        <v>359</v>
      </c>
      <c r="AD214">
        <v>36</v>
      </c>
      <c r="AE214">
        <v>9</v>
      </c>
      <c r="AF214">
        <v>3</v>
      </c>
      <c r="AG214">
        <v>2025</v>
      </c>
      <c r="AH214" s="2">
        <v>16900</v>
      </c>
      <c r="AI214" s="2">
        <v>16903.166015625</v>
      </c>
      <c r="AJ214" s="2">
        <f t="shared" si="24"/>
        <v>3.166015625</v>
      </c>
      <c r="AK214" s="6">
        <f t="shared" si="25"/>
        <v>1.8733820266272189E-4</v>
      </c>
      <c r="AL214" s="12">
        <v>16900</v>
      </c>
      <c r="AM214" s="12">
        <v>15277.386771707939</v>
      </c>
      <c r="AN214" s="12">
        <f t="shared" si="26"/>
        <v>1622.6132282920607</v>
      </c>
      <c r="AO214" s="13">
        <f t="shared" si="27"/>
        <v>9.6012617058701816E-2</v>
      </c>
      <c r="AP214" s="16">
        <v>16900</v>
      </c>
      <c r="AQ214" s="16">
        <v>16743.155881905968</v>
      </c>
      <c r="AR214" s="16">
        <f t="shared" si="28"/>
        <v>156.84411809403173</v>
      </c>
      <c r="AS214" s="17">
        <f t="shared" si="29"/>
        <v>9.2807170469841258E-3</v>
      </c>
      <c r="AT214" s="20">
        <v>16900</v>
      </c>
      <c r="AU214" s="20">
        <v>16602.6796875</v>
      </c>
      <c r="AV214" s="20">
        <f t="shared" si="30"/>
        <v>297.3203125</v>
      </c>
      <c r="AW214" s="21">
        <f t="shared" si="31"/>
        <v>1.7592917899408284E-2</v>
      </c>
    </row>
    <row r="215" spans="1:49" x14ac:dyDescent="0.25">
      <c r="A215" t="s">
        <v>81</v>
      </c>
      <c r="B215" t="s">
        <v>170</v>
      </c>
      <c r="C215">
        <v>6582</v>
      </c>
      <c r="D215">
        <v>2022</v>
      </c>
      <c r="E215" t="s">
        <v>116</v>
      </c>
      <c r="F215" t="s">
        <v>194</v>
      </c>
      <c r="H215" t="s">
        <v>520</v>
      </c>
      <c r="I215">
        <v>8</v>
      </c>
      <c r="J215" t="s">
        <v>61</v>
      </c>
      <c r="K215">
        <v>2</v>
      </c>
      <c r="L215" t="s">
        <v>44</v>
      </c>
      <c r="M215">
        <v>6.4</v>
      </c>
      <c r="N215" t="s">
        <v>73</v>
      </c>
      <c r="O215" t="s">
        <v>46</v>
      </c>
      <c r="Q215" t="s">
        <v>47</v>
      </c>
      <c r="R215" t="s">
        <v>123</v>
      </c>
      <c r="S215" t="s">
        <v>179</v>
      </c>
      <c r="T215">
        <v>485</v>
      </c>
      <c r="U215" t="s">
        <v>50</v>
      </c>
      <c r="V215" t="s">
        <v>76</v>
      </c>
      <c r="X215" t="s">
        <v>125</v>
      </c>
      <c r="Y215" t="s">
        <v>103</v>
      </c>
      <c r="AA215">
        <v>0</v>
      </c>
      <c r="AB215" t="s">
        <v>79</v>
      </c>
      <c r="AC215" t="s">
        <v>127</v>
      </c>
      <c r="AD215">
        <v>36</v>
      </c>
      <c r="AE215">
        <v>9</v>
      </c>
      <c r="AF215">
        <v>3</v>
      </c>
      <c r="AG215">
        <v>2025</v>
      </c>
      <c r="AH215" s="2">
        <v>42000</v>
      </c>
      <c r="AI215" s="2">
        <v>58149.23046875</v>
      </c>
      <c r="AJ215" s="2">
        <f t="shared" si="24"/>
        <v>16149.23046875</v>
      </c>
      <c r="AK215" s="6">
        <f t="shared" si="25"/>
        <v>0.3845054873511905</v>
      </c>
      <c r="AL215" s="12">
        <v>42000</v>
      </c>
      <c r="AM215" s="12">
        <v>51004.672156817331</v>
      </c>
      <c r="AN215" s="12">
        <f t="shared" si="26"/>
        <v>9004.6721568173307</v>
      </c>
      <c r="AO215" s="13">
        <f t="shared" si="27"/>
        <v>0.21439695611469836</v>
      </c>
      <c r="AP215" s="16">
        <v>42000</v>
      </c>
      <c r="AQ215" s="16">
        <v>46030.55320868492</v>
      </c>
      <c r="AR215" s="16">
        <f t="shared" si="28"/>
        <v>4030.5532086849198</v>
      </c>
      <c r="AS215" s="17">
        <f t="shared" si="29"/>
        <v>9.5965552587736189E-2</v>
      </c>
      <c r="AT215" s="20">
        <v>42000</v>
      </c>
      <c r="AU215" s="20">
        <v>60039.70703125</v>
      </c>
      <c r="AV215" s="20">
        <f t="shared" si="30"/>
        <v>18039.70703125</v>
      </c>
      <c r="AW215" s="21">
        <f t="shared" si="31"/>
        <v>0.42951683407738095</v>
      </c>
    </row>
    <row r="216" spans="1:49" x14ac:dyDescent="0.25">
      <c r="A216" t="s">
        <v>38</v>
      </c>
      <c r="B216" t="s">
        <v>39</v>
      </c>
      <c r="C216">
        <v>74560</v>
      </c>
      <c r="D216">
        <v>2007</v>
      </c>
      <c r="E216" t="s">
        <v>341</v>
      </c>
      <c r="F216" t="s">
        <v>521</v>
      </c>
      <c r="H216" t="s">
        <v>522</v>
      </c>
      <c r="I216">
        <v>6</v>
      </c>
      <c r="J216" t="s">
        <v>106</v>
      </c>
      <c r="K216">
        <v>4</v>
      </c>
      <c r="L216" t="s">
        <v>44</v>
      </c>
      <c r="M216">
        <v>3.8</v>
      </c>
      <c r="N216" t="s">
        <v>45</v>
      </c>
      <c r="O216" t="s">
        <v>46</v>
      </c>
      <c r="Q216" t="s">
        <v>47</v>
      </c>
      <c r="R216" t="s">
        <v>123</v>
      </c>
      <c r="U216" t="s">
        <v>50</v>
      </c>
      <c r="V216" t="s">
        <v>76</v>
      </c>
      <c r="W216" t="s">
        <v>523</v>
      </c>
      <c r="X216" t="s">
        <v>125</v>
      </c>
      <c r="Y216" t="s">
        <v>103</v>
      </c>
      <c r="AA216">
        <v>0</v>
      </c>
      <c r="AB216" t="s">
        <v>79</v>
      </c>
      <c r="AC216" t="s">
        <v>127</v>
      </c>
      <c r="AD216">
        <v>36</v>
      </c>
      <c r="AE216">
        <v>9</v>
      </c>
      <c r="AF216">
        <v>3</v>
      </c>
      <c r="AG216">
        <v>2025</v>
      </c>
      <c r="AH216" s="2">
        <v>6100</v>
      </c>
      <c r="AI216" s="2">
        <v>2946.72119140625</v>
      </c>
      <c r="AJ216" s="2">
        <f t="shared" si="24"/>
        <v>3153.27880859375</v>
      </c>
      <c r="AK216" s="6">
        <f t="shared" si="25"/>
        <v>0.51693095222848362</v>
      </c>
      <c r="AL216" s="12">
        <v>6100</v>
      </c>
      <c r="AM216" s="12">
        <v>2406.853691502934</v>
      </c>
      <c r="AN216" s="12">
        <f t="shared" si="26"/>
        <v>3693.146308497066</v>
      </c>
      <c r="AO216" s="13">
        <f t="shared" si="27"/>
        <v>0.6054338210650928</v>
      </c>
      <c r="AP216" s="16">
        <v>6100</v>
      </c>
      <c r="AQ216" s="16">
        <v>2521.2165597216072</v>
      </c>
      <c r="AR216" s="16">
        <f t="shared" si="28"/>
        <v>3578.7834402783928</v>
      </c>
      <c r="AS216" s="17">
        <f t="shared" si="29"/>
        <v>0.58668580988170371</v>
      </c>
      <c r="AT216" s="20">
        <v>6100</v>
      </c>
      <c r="AU216" s="20">
        <v>2955.10888671875</v>
      </c>
      <c r="AV216" s="20">
        <f t="shared" si="30"/>
        <v>3144.89111328125</v>
      </c>
      <c r="AW216" s="21">
        <f t="shared" si="31"/>
        <v>0.51555592021004093</v>
      </c>
    </row>
    <row r="217" spans="1:49" x14ac:dyDescent="0.25">
      <c r="A217" t="s">
        <v>114</v>
      </c>
      <c r="B217" t="s">
        <v>340</v>
      </c>
      <c r="C217">
        <v>196808</v>
      </c>
      <c r="D217">
        <v>1999</v>
      </c>
      <c r="E217" t="s">
        <v>40</v>
      </c>
      <c r="F217" t="s">
        <v>524</v>
      </c>
      <c r="H217" t="s">
        <v>525</v>
      </c>
      <c r="I217">
        <v>6</v>
      </c>
      <c r="J217" t="s">
        <v>217</v>
      </c>
      <c r="K217">
        <v>4</v>
      </c>
      <c r="L217" t="s">
        <v>44</v>
      </c>
      <c r="M217">
        <v>3</v>
      </c>
      <c r="N217" t="s">
        <v>45</v>
      </c>
      <c r="O217" t="s">
        <v>46</v>
      </c>
      <c r="P217">
        <v>3</v>
      </c>
      <c r="Q217" t="s">
        <v>47</v>
      </c>
      <c r="R217" t="s">
        <v>123</v>
      </c>
      <c r="S217" t="s">
        <v>49</v>
      </c>
      <c r="T217">
        <v>184</v>
      </c>
      <c r="U217" t="s">
        <v>50</v>
      </c>
      <c r="V217" t="s">
        <v>76</v>
      </c>
      <c r="W217" t="s">
        <v>526</v>
      </c>
      <c r="X217" t="s">
        <v>125</v>
      </c>
      <c r="Y217" t="s">
        <v>78</v>
      </c>
      <c r="AA217">
        <v>0</v>
      </c>
      <c r="AB217" t="s">
        <v>79</v>
      </c>
      <c r="AC217" t="s">
        <v>127</v>
      </c>
      <c r="AD217">
        <v>36</v>
      </c>
      <c r="AE217">
        <v>9</v>
      </c>
      <c r="AF217">
        <v>3</v>
      </c>
      <c r="AG217">
        <v>2025</v>
      </c>
      <c r="AH217" s="2">
        <v>800</v>
      </c>
      <c r="AI217" s="2">
        <v>592.7650146484375</v>
      </c>
      <c r="AJ217" s="2">
        <f t="shared" si="24"/>
        <v>207.2349853515625</v>
      </c>
      <c r="AK217" s="6">
        <f t="shared" si="25"/>
        <v>0.25904373168945311</v>
      </c>
      <c r="AL217" s="12">
        <v>800</v>
      </c>
      <c r="AM217" s="12">
        <v>675.71453111637641</v>
      </c>
      <c r="AN217" s="12">
        <f t="shared" si="26"/>
        <v>124.28546888362359</v>
      </c>
      <c r="AO217" s="13">
        <f t="shared" si="27"/>
        <v>0.15535683610452949</v>
      </c>
      <c r="AP217" s="16">
        <v>800</v>
      </c>
      <c r="AQ217" s="16">
        <v>562.81496129233255</v>
      </c>
      <c r="AR217" s="16">
        <f t="shared" si="28"/>
        <v>237.18503870766745</v>
      </c>
      <c r="AS217" s="17">
        <f t="shared" si="29"/>
        <v>0.29648129838458431</v>
      </c>
      <c r="AT217" s="20">
        <v>800</v>
      </c>
      <c r="AU217" s="20">
        <v>590.930908203125</v>
      </c>
      <c r="AV217" s="20">
        <f t="shared" si="30"/>
        <v>209.069091796875</v>
      </c>
      <c r="AW217" s="21">
        <f t="shared" si="31"/>
        <v>0.26133636474609373</v>
      </c>
    </row>
    <row r="218" spans="1:49" x14ac:dyDescent="0.25">
      <c r="A218" t="s">
        <v>128</v>
      </c>
      <c r="B218" t="s">
        <v>210</v>
      </c>
      <c r="C218">
        <v>68625</v>
      </c>
      <c r="D218">
        <v>2018</v>
      </c>
      <c r="E218" t="s">
        <v>213</v>
      </c>
      <c r="F218" t="s">
        <v>527</v>
      </c>
      <c r="I218">
        <v>6</v>
      </c>
      <c r="J218" t="s">
        <v>72</v>
      </c>
      <c r="K218">
        <v>4</v>
      </c>
      <c r="L218" t="s">
        <v>44</v>
      </c>
      <c r="M218">
        <v>3</v>
      </c>
      <c r="N218" t="s">
        <v>73</v>
      </c>
      <c r="O218" t="s">
        <v>46</v>
      </c>
      <c r="Q218" t="s">
        <v>47</v>
      </c>
      <c r="R218" t="s">
        <v>123</v>
      </c>
      <c r="S218" t="s">
        <v>49</v>
      </c>
      <c r="T218">
        <v>400</v>
      </c>
      <c r="U218" t="s">
        <v>50</v>
      </c>
      <c r="V218" t="s">
        <v>76</v>
      </c>
      <c r="X218" t="s">
        <v>125</v>
      </c>
      <c r="Y218" t="s">
        <v>54</v>
      </c>
      <c r="AA218">
        <v>0</v>
      </c>
      <c r="AB218" t="s">
        <v>79</v>
      </c>
      <c r="AC218" t="s">
        <v>127</v>
      </c>
      <c r="AD218">
        <v>36</v>
      </c>
      <c r="AE218">
        <v>9</v>
      </c>
      <c r="AF218">
        <v>3</v>
      </c>
      <c r="AG218">
        <v>2025</v>
      </c>
      <c r="AH218" s="2">
        <v>23500</v>
      </c>
      <c r="AI218" s="2">
        <v>15809.0146484375</v>
      </c>
      <c r="AJ218" s="2">
        <f t="shared" si="24"/>
        <v>7690.9853515625</v>
      </c>
      <c r="AK218" s="6">
        <f t="shared" si="25"/>
        <v>0.32727597240691492</v>
      </c>
      <c r="AL218" s="12">
        <v>23500</v>
      </c>
      <c r="AM218" s="12">
        <v>15596.260789186321</v>
      </c>
      <c r="AN218" s="12">
        <f t="shared" si="26"/>
        <v>7903.7392108136792</v>
      </c>
      <c r="AO218" s="13">
        <f t="shared" si="27"/>
        <v>0.33632932811973104</v>
      </c>
      <c r="AP218" s="16">
        <v>23500</v>
      </c>
      <c r="AQ218" s="16">
        <v>15406.335037713599</v>
      </c>
      <c r="AR218" s="16">
        <f t="shared" si="28"/>
        <v>8093.6649622864006</v>
      </c>
      <c r="AS218" s="17">
        <f t="shared" si="29"/>
        <v>0.34441127499091068</v>
      </c>
      <c r="AT218" s="20">
        <v>23500</v>
      </c>
      <c r="AU218" s="20">
        <v>15629.234375</v>
      </c>
      <c r="AV218" s="20">
        <f t="shared" si="30"/>
        <v>7870.765625</v>
      </c>
      <c r="AW218" s="21">
        <f t="shared" si="31"/>
        <v>0.33492619680851066</v>
      </c>
    </row>
    <row r="219" spans="1:49" x14ac:dyDescent="0.25">
      <c r="A219" t="s">
        <v>38</v>
      </c>
      <c r="B219" t="s">
        <v>110</v>
      </c>
      <c r="C219">
        <v>230192</v>
      </c>
      <c r="D219">
        <v>2006</v>
      </c>
      <c r="E219" t="s">
        <v>69</v>
      </c>
      <c r="F219" t="s">
        <v>104</v>
      </c>
      <c r="H219" t="s">
        <v>430</v>
      </c>
      <c r="I219">
        <v>8</v>
      </c>
      <c r="J219" t="s">
        <v>43</v>
      </c>
      <c r="K219">
        <v>4</v>
      </c>
      <c r="L219" t="s">
        <v>44</v>
      </c>
      <c r="M219">
        <v>5.4</v>
      </c>
      <c r="N219" t="s">
        <v>73</v>
      </c>
      <c r="Q219" t="s">
        <v>62</v>
      </c>
      <c r="R219" t="s">
        <v>63</v>
      </c>
      <c r="S219" t="s">
        <v>49</v>
      </c>
      <c r="T219">
        <v>300</v>
      </c>
      <c r="U219" t="s">
        <v>50</v>
      </c>
      <c r="V219" t="s">
        <v>76</v>
      </c>
      <c r="X219" t="s">
        <v>108</v>
      </c>
      <c r="Y219" t="s">
        <v>78</v>
      </c>
      <c r="AA219">
        <v>0</v>
      </c>
      <c r="AB219" t="s">
        <v>79</v>
      </c>
      <c r="AC219" t="s">
        <v>87</v>
      </c>
      <c r="AD219">
        <v>36</v>
      </c>
      <c r="AE219">
        <v>9</v>
      </c>
      <c r="AF219">
        <v>3</v>
      </c>
      <c r="AG219">
        <v>2025</v>
      </c>
      <c r="AH219" s="2">
        <v>1000</v>
      </c>
      <c r="AI219" s="2">
        <v>898.4676513671875</v>
      </c>
      <c r="AJ219" s="2">
        <f t="shared" si="24"/>
        <v>101.5323486328125</v>
      </c>
      <c r="AK219" s="6">
        <f t="shared" si="25"/>
        <v>0.10153234863281251</v>
      </c>
      <c r="AL219" s="12">
        <v>1000</v>
      </c>
      <c r="AM219" s="12">
        <v>1064.0562201935429</v>
      </c>
      <c r="AN219" s="12">
        <f t="shared" si="26"/>
        <v>64.056220193542913</v>
      </c>
      <c r="AO219" s="13">
        <f t="shared" si="27"/>
        <v>6.4056220193542915E-2</v>
      </c>
      <c r="AP219" s="16">
        <v>1000</v>
      </c>
      <c r="AQ219" s="16">
        <v>905.75171420713104</v>
      </c>
      <c r="AR219" s="16">
        <f t="shared" si="28"/>
        <v>94.248285792868955</v>
      </c>
      <c r="AS219" s="17">
        <f t="shared" si="29"/>
        <v>9.4248285792868952E-2</v>
      </c>
      <c r="AT219" s="20">
        <v>1000</v>
      </c>
      <c r="AU219" s="20">
        <v>871.989501953125</v>
      </c>
      <c r="AV219" s="20">
        <f t="shared" si="30"/>
        <v>128.010498046875</v>
      </c>
      <c r="AW219" s="21">
        <f t="shared" si="31"/>
        <v>0.128010498046875</v>
      </c>
    </row>
    <row r="220" spans="1:49" x14ac:dyDescent="0.25">
      <c r="A220" t="s">
        <v>128</v>
      </c>
      <c r="B220" t="s">
        <v>210</v>
      </c>
      <c r="C220">
        <v>92738</v>
      </c>
      <c r="D220">
        <v>2014</v>
      </c>
      <c r="E220" t="s">
        <v>116</v>
      </c>
      <c r="F220" t="s">
        <v>117</v>
      </c>
      <c r="G220" t="s">
        <v>396</v>
      </c>
      <c r="I220">
        <v>6</v>
      </c>
      <c r="J220" t="s">
        <v>61</v>
      </c>
      <c r="K220">
        <v>4</v>
      </c>
      <c r="L220" t="s">
        <v>44</v>
      </c>
      <c r="M220">
        <v>3.6</v>
      </c>
      <c r="N220" t="s">
        <v>73</v>
      </c>
      <c r="O220" t="s">
        <v>46</v>
      </c>
      <c r="Q220" t="s">
        <v>62</v>
      </c>
      <c r="R220" t="s">
        <v>63</v>
      </c>
      <c r="S220" t="s">
        <v>49</v>
      </c>
      <c r="T220">
        <v>295</v>
      </c>
      <c r="U220" t="s">
        <v>50</v>
      </c>
      <c r="V220" t="s">
        <v>76</v>
      </c>
      <c r="X220" t="s">
        <v>94</v>
      </c>
      <c r="Y220" t="s">
        <v>78</v>
      </c>
      <c r="AA220">
        <v>0</v>
      </c>
      <c r="AB220" t="s">
        <v>79</v>
      </c>
      <c r="AC220" t="s">
        <v>87</v>
      </c>
      <c r="AD220">
        <v>36</v>
      </c>
      <c r="AE220">
        <v>9</v>
      </c>
      <c r="AF220">
        <v>3</v>
      </c>
      <c r="AG220">
        <v>2025</v>
      </c>
      <c r="AH220" s="2">
        <v>6800</v>
      </c>
      <c r="AI220" s="2">
        <v>7860.7138671875</v>
      </c>
      <c r="AJ220" s="2">
        <f t="shared" si="24"/>
        <v>1060.7138671875</v>
      </c>
      <c r="AK220" s="6">
        <f t="shared" si="25"/>
        <v>0.15598733340992646</v>
      </c>
      <c r="AL220" s="12">
        <v>6800</v>
      </c>
      <c r="AM220" s="12">
        <v>8855.7212671160851</v>
      </c>
      <c r="AN220" s="12">
        <f t="shared" si="26"/>
        <v>2055.7212671160851</v>
      </c>
      <c r="AO220" s="13">
        <f t="shared" si="27"/>
        <v>0.30231195104648312</v>
      </c>
      <c r="AP220" s="16">
        <v>6800</v>
      </c>
      <c r="AQ220" s="16">
        <v>7443.7952368883571</v>
      </c>
      <c r="AR220" s="16">
        <f t="shared" si="28"/>
        <v>643.79523688835707</v>
      </c>
      <c r="AS220" s="17">
        <f t="shared" si="29"/>
        <v>9.4675770130640741E-2</v>
      </c>
      <c r="AT220" s="20">
        <v>6800</v>
      </c>
      <c r="AU220" s="20">
        <v>8160.1015625</v>
      </c>
      <c r="AV220" s="20">
        <f t="shared" si="30"/>
        <v>1360.1015625</v>
      </c>
      <c r="AW220" s="21">
        <f t="shared" si="31"/>
        <v>0.2000149356617647</v>
      </c>
    </row>
    <row r="221" spans="1:49" x14ac:dyDescent="0.25">
      <c r="A221" t="s">
        <v>114</v>
      </c>
      <c r="B221" t="s">
        <v>340</v>
      </c>
      <c r="C221">
        <v>187890</v>
      </c>
      <c r="D221">
        <v>2013</v>
      </c>
      <c r="E221" t="s">
        <v>69</v>
      </c>
      <c r="F221" t="s">
        <v>157</v>
      </c>
      <c r="G221" t="s">
        <v>118</v>
      </c>
      <c r="I221">
        <v>6</v>
      </c>
      <c r="J221" t="s">
        <v>122</v>
      </c>
      <c r="K221">
        <v>4</v>
      </c>
      <c r="L221" t="s">
        <v>44</v>
      </c>
      <c r="M221">
        <v>3.5</v>
      </c>
      <c r="N221" t="s">
        <v>91</v>
      </c>
      <c r="O221" t="s">
        <v>46</v>
      </c>
      <c r="P221">
        <v>1</v>
      </c>
      <c r="Q221" t="s">
        <v>62</v>
      </c>
      <c r="R221" t="s">
        <v>63</v>
      </c>
      <c r="T221">
        <v>290</v>
      </c>
      <c r="U221" t="s">
        <v>50</v>
      </c>
      <c r="V221" t="s">
        <v>76</v>
      </c>
      <c r="X221" t="s">
        <v>94</v>
      </c>
      <c r="Y221" t="s">
        <v>78</v>
      </c>
      <c r="AA221">
        <v>0</v>
      </c>
      <c r="AB221" t="s">
        <v>79</v>
      </c>
      <c r="AC221" t="s">
        <v>87</v>
      </c>
      <c r="AD221">
        <v>36</v>
      </c>
      <c r="AE221">
        <v>9</v>
      </c>
      <c r="AF221">
        <v>3</v>
      </c>
      <c r="AG221">
        <v>2025</v>
      </c>
      <c r="AH221" s="2">
        <v>2000</v>
      </c>
      <c r="AI221" s="2">
        <v>2160.76318359375</v>
      </c>
      <c r="AJ221" s="2">
        <f t="shared" si="24"/>
        <v>160.76318359375</v>
      </c>
      <c r="AK221" s="6">
        <f t="shared" si="25"/>
        <v>8.0381591796874999E-2</v>
      </c>
      <c r="AL221" s="12">
        <v>2000</v>
      </c>
      <c r="AM221" s="12">
        <v>1725.0578594288179</v>
      </c>
      <c r="AN221" s="12">
        <f t="shared" si="26"/>
        <v>274.94214057118211</v>
      </c>
      <c r="AO221" s="13">
        <f t="shared" si="27"/>
        <v>0.13747107028559105</v>
      </c>
      <c r="AP221" s="16">
        <v>2000</v>
      </c>
      <c r="AQ221" s="16">
        <v>1739.383381221234</v>
      </c>
      <c r="AR221" s="16">
        <f t="shared" si="28"/>
        <v>260.616618778766</v>
      </c>
      <c r="AS221" s="17">
        <f t="shared" si="29"/>
        <v>0.13030830938938301</v>
      </c>
      <c r="AT221" s="20">
        <v>2000</v>
      </c>
      <c r="AU221" s="20">
        <v>2141.603515625</v>
      </c>
      <c r="AV221" s="20">
        <f t="shared" si="30"/>
        <v>141.603515625</v>
      </c>
      <c r="AW221" s="21">
        <f t="shared" si="31"/>
        <v>7.0801757812500005E-2</v>
      </c>
    </row>
    <row r="222" spans="1:49" x14ac:dyDescent="0.25">
      <c r="A222" t="s">
        <v>38</v>
      </c>
      <c r="B222" t="s">
        <v>96</v>
      </c>
      <c r="C222">
        <v>67817</v>
      </c>
      <c r="D222">
        <v>2024</v>
      </c>
      <c r="E222" t="s">
        <v>97</v>
      </c>
      <c r="F222" t="s">
        <v>98</v>
      </c>
      <c r="G222" t="s">
        <v>513</v>
      </c>
      <c r="I222">
        <v>4</v>
      </c>
      <c r="J222" t="s">
        <v>61</v>
      </c>
      <c r="K222">
        <v>4</v>
      </c>
      <c r="L222" t="s">
        <v>44</v>
      </c>
      <c r="M222">
        <v>1.5</v>
      </c>
      <c r="N222" t="s">
        <v>45</v>
      </c>
      <c r="O222" t="s">
        <v>100</v>
      </c>
      <c r="P222">
        <v>2</v>
      </c>
      <c r="Q222" t="s">
        <v>62</v>
      </c>
      <c r="R222" t="s">
        <v>63</v>
      </c>
      <c r="S222" t="s">
        <v>101</v>
      </c>
      <c r="U222" t="s">
        <v>50</v>
      </c>
      <c r="V222" t="s">
        <v>51</v>
      </c>
      <c r="W222" t="s">
        <v>283</v>
      </c>
      <c r="X222" t="s">
        <v>65</v>
      </c>
      <c r="Y222" t="s">
        <v>126</v>
      </c>
      <c r="AA222">
        <v>0</v>
      </c>
      <c r="AB222" t="s">
        <v>79</v>
      </c>
      <c r="AC222" t="s">
        <v>87</v>
      </c>
      <c r="AD222">
        <v>36</v>
      </c>
      <c r="AE222">
        <v>9</v>
      </c>
      <c r="AF222">
        <v>3</v>
      </c>
      <c r="AG222">
        <v>2025</v>
      </c>
      <c r="AH222" s="2">
        <v>11500</v>
      </c>
      <c r="AI222" s="2">
        <v>9525.5654296875</v>
      </c>
      <c r="AJ222" s="2">
        <f t="shared" si="24"/>
        <v>1974.4345703125</v>
      </c>
      <c r="AK222" s="6">
        <f t="shared" si="25"/>
        <v>0.17168996263586955</v>
      </c>
      <c r="AL222" s="12">
        <v>11500</v>
      </c>
      <c r="AM222" s="12">
        <v>8455.188089553918</v>
      </c>
      <c r="AN222" s="12">
        <f t="shared" si="26"/>
        <v>3044.811910446082</v>
      </c>
      <c r="AO222" s="13">
        <f t="shared" si="27"/>
        <v>0.26476625308226798</v>
      </c>
      <c r="AP222" s="16">
        <v>11500</v>
      </c>
      <c r="AQ222" s="16">
        <v>7493.9688577073548</v>
      </c>
      <c r="AR222" s="16">
        <f t="shared" si="28"/>
        <v>4006.0311422926452</v>
      </c>
      <c r="AS222" s="17">
        <f t="shared" si="29"/>
        <v>0.34835053411240391</v>
      </c>
      <c r="AT222" s="20">
        <v>11500</v>
      </c>
      <c r="AU222" s="20">
        <v>9349.3447265625</v>
      </c>
      <c r="AV222" s="20">
        <f t="shared" si="30"/>
        <v>2150.6552734375</v>
      </c>
      <c r="AW222" s="21">
        <f t="shared" si="31"/>
        <v>0.18701350203804348</v>
      </c>
    </row>
    <row r="223" spans="1:49" x14ac:dyDescent="0.25">
      <c r="A223" t="s">
        <v>81</v>
      </c>
      <c r="B223" t="s">
        <v>304</v>
      </c>
      <c r="C223">
        <v>3630</v>
      </c>
      <c r="D223">
        <v>2025</v>
      </c>
      <c r="E223" t="s">
        <v>366</v>
      </c>
      <c r="F223" t="s">
        <v>528</v>
      </c>
      <c r="G223" t="s">
        <v>529</v>
      </c>
      <c r="I223">
        <v>6</v>
      </c>
      <c r="J223" t="s">
        <v>135</v>
      </c>
      <c r="K223">
        <v>2</v>
      </c>
      <c r="L223" t="s">
        <v>44</v>
      </c>
      <c r="M223">
        <v>3</v>
      </c>
      <c r="N223" t="s">
        <v>73</v>
      </c>
      <c r="O223" t="s">
        <v>46</v>
      </c>
      <c r="Q223" t="s">
        <v>47</v>
      </c>
      <c r="R223" t="s">
        <v>530</v>
      </c>
      <c r="S223" t="s">
        <v>179</v>
      </c>
      <c r="T223">
        <v>388</v>
      </c>
      <c r="U223" t="s">
        <v>50</v>
      </c>
      <c r="X223" t="s">
        <v>65</v>
      </c>
      <c r="Y223" t="s">
        <v>137</v>
      </c>
      <c r="AA223">
        <v>0</v>
      </c>
      <c r="AB223" t="s">
        <v>79</v>
      </c>
      <c r="AC223" t="s">
        <v>531</v>
      </c>
      <c r="AD223">
        <v>36</v>
      </c>
      <c r="AE223">
        <v>9</v>
      </c>
      <c r="AF223">
        <v>3</v>
      </c>
      <c r="AG223">
        <v>2025</v>
      </c>
      <c r="AH223" s="2">
        <v>153400</v>
      </c>
      <c r="AI223" s="2">
        <v>118845.484375</v>
      </c>
      <c r="AJ223" s="2">
        <f t="shared" si="24"/>
        <v>34554.515625</v>
      </c>
      <c r="AK223" s="6">
        <f t="shared" si="25"/>
        <v>0.22525759859843547</v>
      </c>
      <c r="AL223" s="12">
        <v>153400</v>
      </c>
      <c r="AM223" s="12">
        <v>104100.61468619631</v>
      </c>
      <c r="AN223" s="12">
        <f t="shared" si="26"/>
        <v>49299.385313803694</v>
      </c>
      <c r="AO223" s="13">
        <f t="shared" si="27"/>
        <v>0.32137800074187545</v>
      </c>
      <c r="AP223" s="16">
        <v>153400</v>
      </c>
      <c r="AQ223" s="16">
        <v>71802.970855623149</v>
      </c>
      <c r="AR223" s="16">
        <f t="shared" si="28"/>
        <v>81597.029144376851</v>
      </c>
      <c r="AS223" s="17">
        <f t="shared" si="29"/>
        <v>0.53192326691249581</v>
      </c>
      <c r="AT223" s="20">
        <v>153400</v>
      </c>
      <c r="AU223" s="20">
        <v>88943.4453125</v>
      </c>
      <c r="AV223" s="20">
        <f t="shared" si="30"/>
        <v>64456.5546875</v>
      </c>
      <c r="AW223" s="21">
        <f t="shared" si="31"/>
        <v>0.42018614529009124</v>
      </c>
    </row>
    <row r="224" spans="1:49" x14ac:dyDescent="0.25">
      <c r="A224" t="s">
        <v>38</v>
      </c>
      <c r="B224" t="s">
        <v>96</v>
      </c>
      <c r="C224">
        <v>159309</v>
      </c>
      <c r="D224">
        <v>2018</v>
      </c>
      <c r="E224" t="s">
        <v>162</v>
      </c>
      <c r="F224" t="s">
        <v>532</v>
      </c>
      <c r="G224" t="s">
        <v>533</v>
      </c>
      <c r="I224">
        <v>6</v>
      </c>
      <c r="J224" t="s">
        <v>122</v>
      </c>
      <c r="K224">
        <v>4</v>
      </c>
      <c r="L224" t="s">
        <v>44</v>
      </c>
      <c r="M224">
        <v>3.3</v>
      </c>
      <c r="N224" t="s">
        <v>45</v>
      </c>
      <c r="O224" t="s">
        <v>46</v>
      </c>
      <c r="P224">
        <v>1</v>
      </c>
      <c r="Q224" t="s">
        <v>62</v>
      </c>
      <c r="R224" t="s">
        <v>63</v>
      </c>
      <c r="S224" t="s">
        <v>49</v>
      </c>
      <c r="T224">
        <v>290</v>
      </c>
      <c r="U224" t="s">
        <v>50</v>
      </c>
      <c r="V224" t="s">
        <v>76</v>
      </c>
      <c r="W224" t="s">
        <v>534</v>
      </c>
      <c r="X224" t="s">
        <v>141</v>
      </c>
      <c r="Y224" t="s">
        <v>66</v>
      </c>
      <c r="AA224">
        <v>0</v>
      </c>
      <c r="AB224" t="s">
        <v>79</v>
      </c>
      <c r="AC224" t="s">
        <v>87</v>
      </c>
      <c r="AD224">
        <v>36</v>
      </c>
      <c r="AE224">
        <v>9</v>
      </c>
      <c r="AF224">
        <v>3</v>
      </c>
      <c r="AG224">
        <v>2025</v>
      </c>
      <c r="AH224" s="2">
        <v>3100</v>
      </c>
      <c r="AI224" s="2">
        <v>3143.6689453125</v>
      </c>
      <c r="AJ224" s="2">
        <f t="shared" si="24"/>
        <v>43.6689453125</v>
      </c>
      <c r="AK224" s="6">
        <f t="shared" si="25"/>
        <v>1.4086756552419356E-2</v>
      </c>
      <c r="AL224" s="12">
        <v>3100</v>
      </c>
      <c r="AM224" s="12">
        <v>3572.744911267112</v>
      </c>
      <c r="AN224" s="12">
        <f t="shared" si="26"/>
        <v>472.744911267112</v>
      </c>
      <c r="AO224" s="13">
        <f t="shared" si="27"/>
        <v>0.15249835847326193</v>
      </c>
      <c r="AP224" s="16">
        <v>3100</v>
      </c>
      <c r="AQ224" s="16">
        <v>2935.1080429864992</v>
      </c>
      <c r="AR224" s="16">
        <f t="shared" si="28"/>
        <v>164.89195701350081</v>
      </c>
      <c r="AS224" s="17">
        <f t="shared" si="29"/>
        <v>5.3190953875322841E-2</v>
      </c>
      <c r="AT224" s="20">
        <v>3100</v>
      </c>
      <c r="AU224" s="20">
        <v>3179.056884765625</v>
      </c>
      <c r="AV224" s="20">
        <f t="shared" si="30"/>
        <v>79.056884765625</v>
      </c>
      <c r="AW224" s="21">
        <f t="shared" si="31"/>
        <v>2.5502220892137096E-2</v>
      </c>
    </row>
    <row r="225" spans="1:49" x14ac:dyDescent="0.25">
      <c r="A225" t="s">
        <v>38</v>
      </c>
      <c r="B225" t="s">
        <v>110</v>
      </c>
      <c r="C225">
        <v>147247</v>
      </c>
      <c r="D225">
        <v>2015</v>
      </c>
      <c r="E225" t="s">
        <v>403</v>
      </c>
      <c r="F225" t="s">
        <v>535</v>
      </c>
      <c r="G225" t="s">
        <v>536</v>
      </c>
      <c r="I225">
        <v>4</v>
      </c>
      <c r="J225" t="s">
        <v>61</v>
      </c>
      <c r="K225">
        <v>2</v>
      </c>
      <c r="L225" t="s">
        <v>44</v>
      </c>
      <c r="M225">
        <v>2</v>
      </c>
      <c r="N225" t="s">
        <v>73</v>
      </c>
      <c r="Q225" t="s">
        <v>47</v>
      </c>
      <c r="R225" t="s">
        <v>197</v>
      </c>
      <c r="S225" t="s">
        <v>179</v>
      </c>
      <c r="U225" t="s">
        <v>50</v>
      </c>
      <c r="V225" t="s">
        <v>51</v>
      </c>
      <c r="W225" t="s">
        <v>537</v>
      </c>
      <c r="X225" t="s">
        <v>125</v>
      </c>
      <c r="Y225" t="s">
        <v>78</v>
      </c>
      <c r="AA225">
        <v>0</v>
      </c>
      <c r="AB225" t="s">
        <v>79</v>
      </c>
      <c r="AC225" t="s">
        <v>197</v>
      </c>
      <c r="AD225">
        <v>36</v>
      </c>
      <c r="AE225">
        <v>9</v>
      </c>
      <c r="AF225">
        <v>3</v>
      </c>
      <c r="AG225">
        <v>2025</v>
      </c>
      <c r="AH225" s="2">
        <v>1000</v>
      </c>
      <c r="AI225" s="2">
        <v>3547.489501953125</v>
      </c>
      <c r="AJ225" s="2">
        <f t="shared" si="24"/>
        <v>2547.489501953125</v>
      </c>
      <c r="AK225" s="6">
        <f t="shared" si="25"/>
        <v>2.547489501953125</v>
      </c>
      <c r="AL225" s="12">
        <v>1000</v>
      </c>
      <c r="AM225" s="12">
        <v>4172.403222437707</v>
      </c>
      <c r="AN225" s="12">
        <f t="shared" si="26"/>
        <v>3172.403222437707</v>
      </c>
      <c r="AO225" s="13">
        <f t="shared" si="27"/>
        <v>3.172403222437707</v>
      </c>
      <c r="AP225" s="16">
        <v>1000</v>
      </c>
      <c r="AQ225" s="16">
        <v>3270.5247902601018</v>
      </c>
      <c r="AR225" s="16">
        <f t="shared" si="28"/>
        <v>2270.5247902601018</v>
      </c>
      <c r="AS225" s="17">
        <f t="shared" si="29"/>
        <v>2.2705247902601018</v>
      </c>
      <c r="AT225" s="20">
        <v>1000</v>
      </c>
      <c r="AU225" s="20">
        <v>3616.9423828125</v>
      </c>
      <c r="AV225" s="20">
        <f t="shared" si="30"/>
        <v>2616.9423828125</v>
      </c>
      <c r="AW225" s="21">
        <f t="shared" si="31"/>
        <v>2.6169423828124998</v>
      </c>
    </row>
    <row r="226" spans="1:49" x14ac:dyDescent="0.25">
      <c r="A226" t="s">
        <v>38</v>
      </c>
      <c r="B226" t="s">
        <v>68</v>
      </c>
      <c r="C226">
        <v>117614</v>
      </c>
      <c r="D226">
        <v>2020</v>
      </c>
      <c r="E226" t="s">
        <v>146</v>
      </c>
      <c r="F226" t="s">
        <v>334</v>
      </c>
      <c r="G226" t="s">
        <v>303</v>
      </c>
      <c r="I226">
        <v>4</v>
      </c>
      <c r="J226" t="s">
        <v>72</v>
      </c>
      <c r="K226">
        <v>4</v>
      </c>
      <c r="L226" t="s">
        <v>44</v>
      </c>
      <c r="M226">
        <v>2.5</v>
      </c>
      <c r="N226" t="s">
        <v>45</v>
      </c>
      <c r="O226" t="s">
        <v>46</v>
      </c>
      <c r="P226">
        <v>4</v>
      </c>
      <c r="Q226" t="s">
        <v>47</v>
      </c>
      <c r="R226" t="s">
        <v>123</v>
      </c>
      <c r="S226" t="s">
        <v>49</v>
      </c>
      <c r="U226" t="s">
        <v>50</v>
      </c>
      <c r="X226" t="s">
        <v>125</v>
      </c>
      <c r="Y226" t="s">
        <v>78</v>
      </c>
      <c r="Z226">
        <v>243000</v>
      </c>
      <c r="AA226">
        <v>0</v>
      </c>
      <c r="AB226" t="s">
        <v>79</v>
      </c>
      <c r="AC226" t="s">
        <v>127</v>
      </c>
      <c r="AD226">
        <v>36</v>
      </c>
      <c r="AE226">
        <v>9</v>
      </c>
      <c r="AF226">
        <v>3</v>
      </c>
      <c r="AG226">
        <v>2025</v>
      </c>
      <c r="AH226" s="2">
        <v>6750</v>
      </c>
      <c r="AI226" s="2">
        <v>9292.45703125</v>
      </c>
      <c r="AJ226" s="2">
        <f t="shared" si="24"/>
        <v>2542.45703125</v>
      </c>
      <c r="AK226" s="6">
        <f t="shared" si="25"/>
        <v>0.37666030092592595</v>
      </c>
      <c r="AL226" s="12">
        <v>6750</v>
      </c>
      <c r="AM226" s="12">
        <v>7920.5509450086374</v>
      </c>
      <c r="AN226" s="12">
        <f t="shared" si="26"/>
        <v>1170.5509450086374</v>
      </c>
      <c r="AO226" s="13">
        <f t="shared" si="27"/>
        <v>0.17341495481609442</v>
      </c>
      <c r="AP226" s="16">
        <v>6750</v>
      </c>
      <c r="AQ226" s="16">
        <v>8043.1538631950971</v>
      </c>
      <c r="AR226" s="16">
        <f t="shared" si="28"/>
        <v>1293.1538631950971</v>
      </c>
      <c r="AS226" s="17">
        <f t="shared" si="29"/>
        <v>0.19157835010297736</v>
      </c>
      <c r="AT226" s="20">
        <v>6750</v>
      </c>
      <c r="AU226" s="20">
        <v>9087.4912109375</v>
      </c>
      <c r="AV226" s="20">
        <f t="shared" si="30"/>
        <v>2337.4912109375</v>
      </c>
      <c r="AW226" s="21">
        <f t="shared" si="31"/>
        <v>0.34629499421296295</v>
      </c>
    </row>
    <row r="227" spans="1:49" x14ac:dyDescent="0.25">
      <c r="A227" t="s">
        <v>38</v>
      </c>
      <c r="B227" t="s">
        <v>538</v>
      </c>
      <c r="C227">
        <v>77314</v>
      </c>
      <c r="D227">
        <v>2022</v>
      </c>
      <c r="E227" t="s">
        <v>166</v>
      </c>
      <c r="F227" t="s">
        <v>539</v>
      </c>
      <c r="G227" t="s">
        <v>248</v>
      </c>
      <c r="I227">
        <v>4</v>
      </c>
      <c r="J227" t="s">
        <v>61</v>
      </c>
      <c r="K227">
        <v>4</v>
      </c>
      <c r="L227" t="s">
        <v>44</v>
      </c>
      <c r="M227">
        <v>1.8</v>
      </c>
      <c r="N227" t="s">
        <v>45</v>
      </c>
      <c r="O227" t="s">
        <v>46</v>
      </c>
      <c r="P227">
        <v>4</v>
      </c>
      <c r="Q227" t="s">
        <v>62</v>
      </c>
      <c r="R227" t="s">
        <v>63</v>
      </c>
      <c r="S227" t="s">
        <v>49</v>
      </c>
      <c r="T227">
        <v>141</v>
      </c>
      <c r="U227" t="s">
        <v>50</v>
      </c>
      <c r="V227" t="s">
        <v>51</v>
      </c>
      <c r="W227" t="s">
        <v>540</v>
      </c>
      <c r="X227" t="s">
        <v>65</v>
      </c>
      <c r="Y227" t="s">
        <v>126</v>
      </c>
      <c r="AA227">
        <v>0</v>
      </c>
      <c r="AB227" t="s">
        <v>79</v>
      </c>
      <c r="AC227" t="s">
        <v>87</v>
      </c>
      <c r="AD227">
        <v>36</v>
      </c>
      <c r="AE227">
        <v>9</v>
      </c>
      <c r="AF227">
        <v>3</v>
      </c>
      <c r="AG227">
        <v>2025</v>
      </c>
      <c r="AH227" s="2">
        <v>14700</v>
      </c>
      <c r="AI227" s="2">
        <v>16108.2060546875</v>
      </c>
      <c r="AJ227" s="2">
        <f t="shared" si="24"/>
        <v>1408.2060546875</v>
      </c>
      <c r="AK227" s="6">
        <f t="shared" si="25"/>
        <v>9.5796330250850339E-2</v>
      </c>
      <c r="AL227" s="12">
        <v>14700</v>
      </c>
      <c r="AM227" s="12">
        <v>17049.240013023711</v>
      </c>
      <c r="AN227" s="12">
        <f t="shared" si="26"/>
        <v>2349.2400130237111</v>
      </c>
      <c r="AO227" s="13">
        <f t="shared" si="27"/>
        <v>0.15981224578392592</v>
      </c>
      <c r="AP227" s="16">
        <v>14700</v>
      </c>
      <c r="AQ227" s="16">
        <v>13584.876512335881</v>
      </c>
      <c r="AR227" s="16">
        <f t="shared" si="28"/>
        <v>1115.1234876641192</v>
      </c>
      <c r="AS227" s="17">
        <f t="shared" si="29"/>
        <v>7.5858740657423082E-2</v>
      </c>
      <c r="AT227" s="20">
        <v>14700</v>
      </c>
      <c r="AU227" s="20">
        <v>16204.7275390625</v>
      </c>
      <c r="AV227" s="20">
        <f t="shared" si="30"/>
        <v>1504.7275390625</v>
      </c>
      <c r="AW227" s="21">
        <f t="shared" si="31"/>
        <v>0.10236241762329933</v>
      </c>
    </row>
    <row r="228" spans="1:49" x14ac:dyDescent="0.25">
      <c r="A228" t="s">
        <v>38</v>
      </c>
      <c r="B228" t="s">
        <v>96</v>
      </c>
      <c r="C228">
        <v>100098</v>
      </c>
      <c r="D228">
        <v>2017</v>
      </c>
      <c r="E228" t="s">
        <v>341</v>
      </c>
      <c r="F228" t="s">
        <v>521</v>
      </c>
      <c r="G228" t="s">
        <v>541</v>
      </c>
      <c r="I228">
        <v>6</v>
      </c>
      <c r="J228" t="s">
        <v>61</v>
      </c>
      <c r="K228">
        <v>4</v>
      </c>
      <c r="L228" t="s">
        <v>44</v>
      </c>
      <c r="M228">
        <v>3.6</v>
      </c>
      <c r="N228" t="s">
        <v>45</v>
      </c>
      <c r="O228" t="s">
        <v>46</v>
      </c>
      <c r="P228">
        <v>2</v>
      </c>
      <c r="Q228" t="s">
        <v>47</v>
      </c>
      <c r="R228" t="s">
        <v>123</v>
      </c>
      <c r="U228" t="s">
        <v>50</v>
      </c>
      <c r="V228" t="s">
        <v>76</v>
      </c>
      <c r="W228" t="s">
        <v>542</v>
      </c>
      <c r="X228" t="s">
        <v>125</v>
      </c>
      <c r="Y228" t="s">
        <v>78</v>
      </c>
      <c r="Z228">
        <v>41065</v>
      </c>
      <c r="AA228">
        <v>0</v>
      </c>
      <c r="AB228" t="s">
        <v>79</v>
      </c>
      <c r="AC228" t="s">
        <v>127</v>
      </c>
      <c r="AD228">
        <v>36</v>
      </c>
      <c r="AE228">
        <v>9</v>
      </c>
      <c r="AF228">
        <v>3</v>
      </c>
      <c r="AG228">
        <v>2025</v>
      </c>
      <c r="AH228" s="2">
        <v>8000</v>
      </c>
      <c r="AI228" s="2">
        <v>6143.93798828125</v>
      </c>
      <c r="AJ228" s="2">
        <f t="shared" si="24"/>
        <v>1856.06201171875</v>
      </c>
      <c r="AK228" s="6">
        <f t="shared" si="25"/>
        <v>0.23200775146484376</v>
      </c>
      <c r="AL228" s="12">
        <v>8000</v>
      </c>
      <c r="AM228" s="12">
        <v>5982.4183368578988</v>
      </c>
      <c r="AN228" s="12">
        <f t="shared" si="26"/>
        <v>2017.5816631421012</v>
      </c>
      <c r="AO228" s="13">
        <f t="shared" si="27"/>
        <v>0.25219770789276263</v>
      </c>
      <c r="AP228" s="16">
        <v>8000</v>
      </c>
      <c r="AQ228" s="16">
        <v>6056.8705052019304</v>
      </c>
      <c r="AR228" s="16">
        <f t="shared" si="28"/>
        <v>1943.1294947980696</v>
      </c>
      <c r="AS228" s="17">
        <f t="shared" si="29"/>
        <v>0.24289118684975869</v>
      </c>
      <c r="AT228" s="20">
        <v>8000</v>
      </c>
      <c r="AU228" s="20">
        <v>6165.52978515625</v>
      </c>
      <c r="AV228" s="20">
        <f t="shared" si="30"/>
        <v>1834.47021484375</v>
      </c>
      <c r="AW228" s="21">
        <f t="shared" si="31"/>
        <v>0.22930877685546874</v>
      </c>
    </row>
    <row r="229" spans="1:49" x14ac:dyDescent="0.25">
      <c r="A229" t="s">
        <v>38</v>
      </c>
      <c r="B229" t="s">
        <v>110</v>
      </c>
      <c r="C229">
        <v>162390</v>
      </c>
      <c r="D229">
        <v>2016</v>
      </c>
      <c r="E229" t="s">
        <v>166</v>
      </c>
      <c r="F229" t="s">
        <v>167</v>
      </c>
      <c r="G229" t="s">
        <v>411</v>
      </c>
      <c r="I229">
        <v>6</v>
      </c>
      <c r="J229" t="s">
        <v>61</v>
      </c>
      <c r="K229">
        <v>4</v>
      </c>
      <c r="L229" t="s">
        <v>44</v>
      </c>
      <c r="M229">
        <v>3.5</v>
      </c>
      <c r="N229" t="s">
        <v>44</v>
      </c>
      <c r="Q229" t="s">
        <v>62</v>
      </c>
      <c r="R229" t="s">
        <v>63</v>
      </c>
      <c r="S229" t="s">
        <v>93</v>
      </c>
      <c r="T229">
        <v>280</v>
      </c>
      <c r="U229" t="s">
        <v>50</v>
      </c>
      <c r="V229" t="s">
        <v>76</v>
      </c>
      <c r="W229" t="s">
        <v>412</v>
      </c>
      <c r="X229" t="s">
        <v>141</v>
      </c>
      <c r="Y229" t="s">
        <v>78</v>
      </c>
      <c r="AA229">
        <v>0</v>
      </c>
      <c r="AB229" t="s">
        <v>79</v>
      </c>
      <c r="AC229" t="s">
        <v>87</v>
      </c>
      <c r="AD229">
        <v>36</v>
      </c>
      <c r="AE229">
        <v>9</v>
      </c>
      <c r="AF229">
        <v>3</v>
      </c>
      <c r="AG229">
        <v>2025</v>
      </c>
      <c r="AH229" s="2">
        <v>6750</v>
      </c>
      <c r="AI229" s="2">
        <v>6367.0126953125</v>
      </c>
      <c r="AJ229" s="2">
        <f t="shared" si="24"/>
        <v>382.9873046875</v>
      </c>
      <c r="AK229" s="6">
        <f t="shared" si="25"/>
        <v>5.6738859953703702E-2</v>
      </c>
      <c r="AL229" s="12">
        <v>6750</v>
      </c>
      <c r="AM229" s="12">
        <v>7750.4323040577037</v>
      </c>
      <c r="AN229" s="12">
        <f t="shared" si="26"/>
        <v>1000.4323040577037</v>
      </c>
      <c r="AO229" s="13">
        <f t="shared" si="27"/>
        <v>0.14821219319373388</v>
      </c>
      <c r="AP229" s="16">
        <v>6750</v>
      </c>
      <c r="AQ229" s="16">
        <v>5824.7898928647437</v>
      </c>
      <c r="AR229" s="16">
        <f t="shared" si="28"/>
        <v>925.21010713525629</v>
      </c>
      <c r="AS229" s="17">
        <f t="shared" si="29"/>
        <v>0.13706816402003796</v>
      </c>
      <c r="AT229" s="20">
        <v>6750</v>
      </c>
      <c r="AU229" s="20">
        <v>6632.23291015625</v>
      </c>
      <c r="AV229" s="20">
        <f t="shared" si="30"/>
        <v>117.76708984375</v>
      </c>
      <c r="AW229" s="21">
        <f t="shared" si="31"/>
        <v>1.7446976273148149E-2</v>
      </c>
    </row>
    <row r="230" spans="1:49" x14ac:dyDescent="0.25">
      <c r="A230" t="s">
        <v>81</v>
      </c>
      <c r="B230" t="s">
        <v>82</v>
      </c>
      <c r="C230">
        <v>221690</v>
      </c>
      <c r="D230">
        <v>2011</v>
      </c>
      <c r="E230" t="s">
        <v>119</v>
      </c>
      <c r="F230" t="s">
        <v>543</v>
      </c>
      <c r="G230" t="s">
        <v>457</v>
      </c>
      <c r="I230">
        <v>4</v>
      </c>
      <c r="J230" t="s">
        <v>61</v>
      </c>
      <c r="K230">
        <v>4</v>
      </c>
      <c r="L230" t="s">
        <v>44</v>
      </c>
      <c r="M230">
        <v>2</v>
      </c>
      <c r="N230" t="s">
        <v>45</v>
      </c>
      <c r="O230" t="s">
        <v>46</v>
      </c>
      <c r="Q230" t="s">
        <v>47</v>
      </c>
      <c r="R230" t="s">
        <v>123</v>
      </c>
      <c r="T230">
        <v>200</v>
      </c>
      <c r="U230" t="s">
        <v>50</v>
      </c>
      <c r="X230" t="s">
        <v>125</v>
      </c>
      <c r="Y230" t="s">
        <v>137</v>
      </c>
      <c r="AA230">
        <v>0</v>
      </c>
      <c r="AB230" t="s">
        <v>79</v>
      </c>
      <c r="AC230" t="s">
        <v>127</v>
      </c>
      <c r="AD230">
        <v>36</v>
      </c>
      <c r="AE230">
        <v>9</v>
      </c>
      <c r="AF230">
        <v>3</v>
      </c>
      <c r="AG230">
        <v>2025</v>
      </c>
      <c r="AH230" s="2">
        <v>400</v>
      </c>
      <c r="AI230" s="2">
        <v>596.57421875</v>
      </c>
      <c r="AJ230" s="2">
        <f t="shared" si="24"/>
        <v>196.57421875</v>
      </c>
      <c r="AK230" s="6">
        <f t="shared" si="25"/>
        <v>0.49143554687500002</v>
      </c>
      <c r="AL230" s="12">
        <v>400</v>
      </c>
      <c r="AM230" s="12">
        <v>723.16884521070085</v>
      </c>
      <c r="AN230" s="12">
        <f t="shared" si="26"/>
        <v>323.16884521070085</v>
      </c>
      <c r="AO230" s="13">
        <f t="shared" si="27"/>
        <v>0.8079221130267521</v>
      </c>
      <c r="AP230" s="16">
        <v>400</v>
      </c>
      <c r="AQ230" s="16">
        <v>678.27853779352097</v>
      </c>
      <c r="AR230" s="16">
        <f t="shared" si="28"/>
        <v>278.27853779352097</v>
      </c>
      <c r="AS230" s="17">
        <f t="shared" si="29"/>
        <v>0.69569634448380246</v>
      </c>
      <c r="AT230" s="20">
        <v>400</v>
      </c>
      <c r="AU230" s="20">
        <v>616.9681396484375</v>
      </c>
      <c r="AV230" s="20">
        <f t="shared" si="30"/>
        <v>216.9681396484375</v>
      </c>
      <c r="AW230" s="21">
        <f t="shared" si="31"/>
        <v>0.54242034912109371</v>
      </c>
    </row>
    <row r="231" spans="1:49" x14ac:dyDescent="0.25">
      <c r="A231" t="s">
        <v>38</v>
      </c>
      <c r="B231" t="s">
        <v>110</v>
      </c>
      <c r="C231">
        <v>175461</v>
      </c>
      <c r="D231">
        <v>2019</v>
      </c>
      <c r="E231" t="s">
        <v>58</v>
      </c>
      <c r="F231" t="s">
        <v>239</v>
      </c>
      <c r="G231" t="s">
        <v>240</v>
      </c>
      <c r="I231">
        <v>4</v>
      </c>
      <c r="J231" t="s">
        <v>72</v>
      </c>
      <c r="K231">
        <v>4</v>
      </c>
      <c r="L231" t="s">
        <v>44</v>
      </c>
      <c r="M231">
        <v>2.4</v>
      </c>
      <c r="N231" t="s">
        <v>44</v>
      </c>
      <c r="Q231" t="s">
        <v>62</v>
      </c>
      <c r="R231" t="s">
        <v>63</v>
      </c>
      <c r="S231" t="s">
        <v>93</v>
      </c>
      <c r="T231">
        <v>181</v>
      </c>
      <c r="U231" t="s">
        <v>50</v>
      </c>
      <c r="V231" t="s">
        <v>51</v>
      </c>
      <c r="W231" t="s">
        <v>242</v>
      </c>
      <c r="X231" t="s">
        <v>65</v>
      </c>
      <c r="Y231" t="s">
        <v>66</v>
      </c>
      <c r="Z231">
        <v>23750</v>
      </c>
      <c r="AA231">
        <v>0</v>
      </c>
      <c r="AB231" t="s">
        <v>79</v>
      </c>
      <c r="AC231" t="s">
        <v>87</v>
      </c>
      <c r="AD231">
        <v>36</v>
      </c>
      <c r="AE231">
        <v>9</v>
      </c>
      <c r="AF231">
        <v>3</v>
      </c>
      <c r="AG231">
        <v>2025</v>
      </c>
      <c r="AH231" s="2">
        <v>3800</v>
      </c>
      <c r="AI231" s="2">
        <v>4390.4423828125</v>
      </c>
      <c r="AJ231" s="2">
        <f t="shared" si="24"/>
        <v>590.4423828125</v>
      </c>
      <c r="AK231" s="6">
        <f t="shared" si="25"/>
        <v>0.15537957442434211</v>
      </c>
      <c r="AL231" s="12">
        <v>3800</v>
      </c>
      <c r="AM231" s="12">
        <v>4769.7395266720914</v>
      </c>
      <c r="AN231" s="12">
        <f t="shared" si="26"/>
        <v>969.73952667209142</v>
      </c>
      <c r="AO231" s="13">
        <f t="shared" si="27"/>
        <v>0.25519461228212931</v>
      </c>
      <c r="AP231" s="16">
        <v>3800</v>
      </c>
      <c r="AQ231" s="16">
        <v>3811.147699093633</v>
      </c>
      <c r="AR231" s="16">
        <f t="shared" si="28"/>
        <v>11.147699093633037</v>
      </c>
      <c r="AS231" s="17">
        <f t="shared" si="29"/>
        <v>2.9336050246402726E-3</v>
      </c>
      <c r="AT231" s="20">
        <v>3800</v>
      </c>
      <c r="AU231" s="20">
        <v>4465.740234375</v>
      </c>
      <c r="AV231" s="20">
        <f t="shared" si="30"/>
        <v>665.740234375</v>
      </c>
      <c r="AW231" s="21">
        <f t="shared" si="31"/>
        <v>0.17519479851973685</v>
      </c>
    </row>
    <row r="232" spans="1:49" x14ac:dyDescent="0.25">
      <c r="A232" t="s">
        <v>81</v>
      </c>
      <c r="B232" t="s">
        <v>82</v>
      </c>
      <c r="C232">
        <v>155777</v>
      </c>
      <c r="D232">
        <v>2007</v>
      </c>
      <c r="E232" t="s">
        <v>341</v>
      </c>
      <c r="F232" t="s">
        <v>544</v>
      </c>
      <c r="G232" t="s">
        <v>545</v>
      </c>
      <c r="H232" t="s">
        <v>546</v>
      </c>
      <c r="I232">
        <v>6</v>
      </c>
      <c r="J232" t="s">
        <v>43</v>
      </c>
      <c r="K232">
        <v>4</v>
      </c>
      <c r="L232" t="s">
        <v>44</v>
      </c>
      <c r="M232">
        <v>3.9</v>
      </c>
      <c r="N232" t="s">
        <v>45</v>
      </c>
      <c r="O232" t="s">
        <v>46</v>
      </c>
      <c r="Q232" t="s">
        <v>477</v>
      </c>
      <c r="R232" t="s">
        <v>225</v>
      </c>
      <c r="S232" t="s">
        <v>85</v>
      </c>
      <c r="U232" t="s">
        <v>180</v>
      </c>
      <c r="V232" t="s">
        <v>76</v>
      </c>
      <c r="W232" t="s">
        <v>547</v>
      </c>
      <c r="X232" t="s">
        <v>141</v>
      </c>
      <c r="Y232" t="s">
        <v>78</v>
      </c>
      <c r="AA232">
        <v>0</v>
      </c>
      <c r="AB232" t="s">
        <v>79</v>
      </c>
      <c r="AC232" t="s">
        <v>225</v>
      </c>
      <c r="AD232">
        <v>36</v>
      </c>
      <c r="AE232">
        <v>9</v>
      </c>
      <c r="AF232">
        <v>3</v>
      </c>
      <c r="AG232">
        <v>2025</v>
      </c>
      <c r="AH232" s="2">
        <v>850</v>
      </c>
      <c r="AI232" s="2">
        <v>921.6456298828125</v>
      </c>
      <c r="AJ232" s="2">
        <f t="shared" si="24"/>
        <v>71.6456298828125</v>
      </c>
      <c r="AK232" s="6">
        <f t="shared" si="25"/>
        <v>8.4288976332720589E-2</v>
      </c>
      <c r="AL232" s="12">
        <v>850</v>
      </c>
      <c r="AM232" s="12">
        <v>1139.8924252526169</v>
      </c>
      <c r="AN232" s="12">
        <f t="shared" si="26"/>
        <v>289.89242525261693</v>
      </c>
      <c r="AO232" s="13">
        <f t="shared" si="27"/>
        <v>0.34104991206190227</v>
      </c>
      <c r="AP232" s="16">
        <v>850</v>
      </c>
      <c r="AQ232" s="16">
        <v>870.10767830902262</v>
      </c>
      <c r="AR232" s="16">
        <f t="shared" si="28"/>
        <v>20.107678309022617</v>
      </c>
      <c r="AS232" s="17">
        <f t="shared" si="29"/>
        <v>2.3656092128261901E-2</v>
      </c>
      <c r="AT232" s="20">
        <v>850</v>
      </c>
      <c r="AU232" s="20">
        <v>930.0880126953125</v>
      </c>
      <c r="AV232" s="20">
        <f t="shared" si="30"/>
        <v>80.0880126953125</v>
      </c>
      <c r="AW232" s="21">
        <f t="shared" si="31"/>
        <v>9.4221191406250002E-2</v>
      </c>
    </row>
    <row r="233" spans="1:49" x14ac:dyDescent="0.25">
      <c r="A233" t="s">
        <v>128</v>
      </c>
      <c r="B233" t="s">
        <v>129</v>
      </c>
      <c r="C233">
        <v>156608</v>
      </c>
      <c r="D233">
        <v>2017</v>
      </c>
      <c r="E233" t="s">
        <v>174</v>
      </c>
      <c r="F233" t="s">
        <v>314</v>
      </c>
      <c r="G233" t="s">
        <v>548</v>
      </c>
      <c r="H233" t="s">
        <v>312</v>
      </c>
      <c r="I233">
        <v>8</v>
      </c>
      <c r="J233" t="s">
        <v>72</v>
      </c>
      <c r="K233">
        <v>4</v>
      </c>
      <c r="L233" t="s">
        <v>44</v>
      </c>
      <c r="M233">
        <v>6.6</v>
      </c>
      <c r="N233" t="s">
        <v>91</v>
      </c>
      <c r="O233" t="s">
        <v>46</v>
      </c>
      <c r="Q233" t="s">
        <v>74</v>
      </c>
      <c r="R233" t="s">
        <v>92</v>
      </c>
      <c r="S233" t="s">
        <v>93</v>
      </c>
      <c r="U233" t="s">
        <v>229</v>
      </c>
      <c r="V233" t="s">
        <v>76</v>
      </c>
      <c r="W233" t="s">
        <v>549</v>
      </c>
      <c r="X233" t="s">
        <v>230</v>
      </c>
      <c r="Y233" t="s">
        <v>78</v>
      </c>
      <c r="Z233">
        <v>55395</v>
      </c>
      <c r="AA233">
        <v>0</v>
      </c>
      <c r="AB233" t="s">
        <v>79</v>
      </c>
      <c r="AC233" t="s">
        <v>95</v>
      </c>
      <c r="AD233">
        <v>36</v>
      </c>
      <c r="AE233">
        <v>9</v>
      </c>
      <c r="AF233">
        <v>3</v>
      </c>
      <c r="AG233">
        <v>2025</v>
      </c>
      <c r="AH233" s="2">
        <v>28000</v>
      </c>
      <c r="AI233" s="2">
        <v>26640.70703125</v>
      </c>
      <c r="AJ233" s="2">
        <f t="shared" si="24"/>
        <v>1359.29296875</v>
      </c>
      <c r="AK233" s="6">
        <f t="shared" si="25"/>
        <v>4.8546177455357144E-2</v>
      </c>
      <c r="AL233" s="12">
        <v>28000</v>
      </c>
      <c r="AM233" s="12">
        <v>19242.65817678261</v>
      </c>
      <c r="AN233" s="12">
        <f t="shared" si="26"/>
        <v>8757.3418232173899</v>
      </c>
      <c r="AO233" s="13">
        <f t="shared" si="27"/>
        <v>0.31276220797204962</v>
      </c>
      <c r="AP233" s="16">
        <v>28000</v>
      </c>
      <c r="AQ233" s="16">
        <v>22327.757038146709</v>
      </c>
      <c r="AR233" s="16">
        <f t="shared" si="28"/>
        <v>5672.2429618532915</v>
      </c>
      <c r="AS233" s="17">
        <f t="shared" si="29"/>
        <v>0.2025801057804747</v>
      </c>
      <c r="AT233" s="20">
        <v>28000</v>
      </c>
      <c r="AU233" s="20">
        <v>25716.310546875</v>
      </c>
      <c r="AV233" s="20">
        <f t="shared" si="30"/>
        <v>2283.689453125</v>
      </c>
      <c r="AW233" s="21">
        <f t="shared" si="31"/>
        <v>8.1560337611607137E-2</v>
      </c>
    </row>
    <row r="234" spans="1:49" x14ac:dyDescent="0.25">
      <c r="A234" t="s">
        <v>128</v>
      </c>
      <c r="B234" t="s">
        <v>129</v>
      </c>
      <c r="C234">
        <v>214417</v>
      </c>
      <c r="D234">
        <v>2010</v>
      </c>
      <c r="E234" t="s">
        <v>40</v>
      </c>
      <c r="F234" t="s">
        <v>550</v>
      </c>
      <c r="G234" t="s">
        <v>118</v>
      </c>
      <c r="H234" t="s">
        <v>551</v>
      </c>
      <c r="I234">
        <v>6</v>
      </c>
      <c r="J234" t="s">
        <v>72</v>
      </c>
      <c r="K234">
        <v>4</v>
      </c>
      <c r="L234" t="s">
        <v>44</v>
      </c>
      <c r="M234">
        <v>3.5</v>
      </c>
      <c r="N234" t="s">
        <v>45</v>
      </c>
      <c r="O234" t="s">
        <v>46</v>
      </c>
      <c r="P234">
        <v>2</v>
      </c>
      <c r="Q234" t="s">
        <v>62</v>
      </c>
      <c r="R234" t="s">
        <v>63</v>
      </c>
      <c r="S234" t="s">
        <v>49</v>
      </c>
      <c r="T234">
        <v>209</v>
      </c>
      <c r="U234" t="s">
        <v>50</v>
      </c>
      <c r="V234" t="s">
        <v>76</v>
      </c>
      <c r="W234" t="s">
        <v>290</v>
      </c>
      <c r="X234" t="s">
        <v>141</v>
      </c>
      <c r="Y234" t="s">
        <v>78</v>
      </c>
      <c r="AA234">
        <v>0</v>
      </c>
      <c r="AB234" t="s">
        <v>79</v>
      </c>
      <c r="AC234" t="s">
        <v>87</v>
      </c>
      <c r="AD234">
        <v>36</v>
      </c>
      <c r="AE234">
        <v>9</v>
      </c>
      <c r="AF234">
        <v>3</v>
      </c>
      <c r="AG234">
        <v>2025</v>
      </c>
      <c r="AH234" s="2">
        <v>2800</v>
      </c>
      <c r="AI234" s="2">
        <v>2116.7109375</v>
      </c>
      <c r="AJ234" s="2">
        <f t="shared" si="24"/>
        <v>683.2890625</v>
      </c>
      <c r="AK234" s="6">
        <f t="shared" si="25"/>
        <v>0.24403180803571428</v>
      </c>
      <c r="AL234" s="12">
        <v>2800</v>
      </c>
      <c r="AM234" s="12">
        <v>1547.257205736827</v>
      </c>
      <c r="AN234" s="12">
        <f t="shared" si="26"/>
        <v>1252.742794263173</v>
      </c>
      <c r="AO234" s="13">
        <f t="shared" si="27"/>
        <v>0.44740814080827607</v>
      </c>
      <c r="AP234" s="16">
        <v>2800</v>
      </c>
      <c r="AQ234" s="16">
        <v>1591.823320217964</v>
      </c>
      <c r="AR234" s="16">
        <f t="shared" si="28"/>
        <v>1208.176679782036</v>
      </c>
      <c r="AS234" s="17">
        <f t="shared" si="29"/>
        <v>0.43149167135072714</v>
      </c>
      <c r="AT234" s="20">
        <v>2800</v>
      </c>
      <c r="AU234" s="20">
        <v>2095.509033203125</v>
      </c>
      <c r="AV234" s="20">
        <f t="shared" si="30"/>
        <v>704.490966796875</v>
      </c>
      <c r="AW234" s="21">
        <f t="shared" si="31"/>
        <v>0.25160391671316962</v>
      </c>
    </row>
    <row r="235" spans="1:49" x14ac:dyDescent="0.25">
      <c r="A235" t="s">
        <v>114</v>
      </c>
      <c r="B235" t="s">
        <v>340</v>
      </c>
      <c r="C235">
        <v>95263</v>
      </c>
      <c r="D235">
        <v>2006</v>
      </c>
      <c r="E235" t="s">
        <v>213</v>
      </c>
      <c r="F235" t="s">
        <v>552</v>
      </c>
      <c r="I235">
        <v>6</v>
      </c>
      <c r="J235" t="s">
        <v>61</v>
      </c>
      <c r="K235">
        <v>4</v>
      </c>
      <c r="L235" t="s">
        <v>44</v>
      </c>
      <c r="M235">
        <v>3.5</v>
      </c>
      <c r="N235" t="s">
        <v>44</v>
      </c>
      <c r="O235" t="s">
        <v>46</v>
      </c>
      <c r="P235">
        <v>3</v>
      </c>
      <c r="Q235" t="s">
        <v>47</v>
      </c>
      <c r="R235" t="s">
        <v>123</v>
      </c>
      <c r="S235" t="s">
        <v>93</v>
      </c>
      <c r="U235" t="s">
        <v>50</v>
      </c>
      <c r="V235" t="s">
        <v>76</v>
      </c>
      <c r="W235" t="s">
        <v>553</v>
      </c>
      <c r="X235" t="s">
        <v>125</v>
      </c>
      <c r="Y235" t="s">
        <v>54</v>
      </c>
      <c r="AA235">
        <v>0</v>
      </c>
      <c r="AB235" t="s">
        <v>79</v>
      </c>
      <c r="AC235" t="s">
        <v>127</v>
      </c>
      <c r="AD235">
        <v>36</v>
      </c>
      <c r="AE235">
        <v>9</v>
      </c>
      <c r="AF235">
        <v>3</v>
      </c>
      <c r="AG235">
        <v>2025</v>
      </c>
      <c r="AH235" s="2">
        <v>1100</v>
      </c>
      <c r="AI235" s="2">
        <v>1389.818237304688</v>
      </c>
      <c r="AJ235" s="2">
        <f t="shared" si="24"/>
        <v>289.81823730468795</v>
      </c>
      <c r="AK235" s="6">
        <f t="shared" si="25"/>
        <v>0.26347112482244361</v>
      </c>
      <c r="AL235" s="12">
        <v>1100</v>
      </c>
      <c r="AM235" s="12">
        <v>1936.0813375932571</v>
      </c>
      <c r="AN235" s="12">
        <f t="shared" si="26"/>
        <v>836.0813375932571</v>
      </c>
      <c r="AO235" s="13">
        <f t="shared" si="27"/>
        <v>0.76007394326659738</v>
      </c>
      <c r="AP235" s="16">
        <v>1100</v>
      </c>
      <c r="AQ235" s="16">
        <v>1722.037692611648</v>
      </c>
      <c r="AR235" s="16">
        <f t="shared" si="28"/>
        <v>622.03769261164803</v>
      </c>
      <c r="AS235" s="17">
        <f t="shared" si="29"/>
        <v>0.56548881146513452</v>
      </c>
      <c r="AT235" s="20">
        <v>1100</v>
      </c>
      <c r="AU235" s="20">
        <v>1374.040161132812</v>
      </c>
      <c r="AV235" s="20">
        <f t="shared" si="30"/>
        <v>274.04016113281205</v>
      </c>
      <c r="AW235" s="21">
        <f t="shared" si="31"/>
        <v>0.24912741921164733</v>
      </c>
    </row>
    <row r="236" spans="1:49" x14ac:dyDescent="0.25">
      <c r="A236" t="s">
        <v>128</v>
      </c>
      <c r="B236" t="s">
        <v>210</v>
      </c>
      <c r="C236">
        <v>39890</v>
      </c>
      <c r="D236">
        <v>2021</v>
      </c>
      <c r="E236" t="s">
        <v>146</v>
      </c>
      <c r="F236" t="s">
        <v>451</v>
      </c>
      <c r="G236" t="s">
        <v>280</v>
      </c>
      <c r="I236">
        <v>4</v>
      </c>
      <c r="J236" t="s">
        <v>43</v>
      </c>
      <c r="K236">
        <v>4</v>
      </c>
      <c r="L236" t="s">
        <v>44</v>
      </c>
      <c r="M236">
        <v>1.6</v>
      </c>
      <c r="N236" t="s">
        <v>45</v>
      </c>
      <c r="O236" t="s">
        <v>46</v>
      </c>
      <c r="Q236" t="s">
        <v>47</v>
      </c>
      <c r="R236" t="s">
        <v>123</v>
      </c>
      <c r="S236" t="s">
        <v>49</v>
      </c>
      <c r="U236" t="s">
        <v>50</v>
      </c>
      <c r="X236" t="s">
        <v>125</v>
      </c>
      <c r="Y236" t="s">
        <v>126</v>
      </c>
      <c r="AA236">
        <v>0</v>
      </c>
      <c r="AB236" t="s">
        <v>79</v>
      </c>
      <c r="AC236" t="s">
        <v>127</v>
      </c>
      <c r="AD236">
        <v>36</v>
      </c>
      <c r="AE236">
        <v>9</v>
      </c>
      <c r="AF236">
        <v>3</v>
      </c>
      <c r="AG236">
        <v>2025</v>
      </c>
      <c r="AH236" s="2">
        <v>5000</v>
      </c>
      <c r="AI236" s="2">
        <v>13554.49609375</v>
      </c>
      <c r="AJ236" s="2">
        <f t="shared" si="24"/>
        <v>8554.49609375</v>
      </c>
      <c r="AK236" s="6">
        <f t="shared" si="25"/>
        <v>1.7108992187500001</v>
      </c>
      <c r="AL236" s="12">
        <v>5000</v>
      </c>
      <c r="AM236" s="12">
        <v>10730.05882558851</v>
      </c>
      <c r="AN236" s="12">
        <f t="shared" si="26"/>
        <v>5730.0588255885104</v>
      </c>
      <c r="AO236" s="13">
        <f t="shared" si="27"/>
        <v>1.1460117651177022</v>
      </c>
      <c r="AP236" s="16">
        <v>5000</v>
      </c>
      <c r="AQ236" s="16">
        <v>10188.53314666579</v>
      </c>
      <c r="AR236" s="16">
        <f t="shared" si="28"/>
        <v>5188.5331466657899</v>
      </c>
      <c r="AS236" s="17">
        <f t="shared" si="29"/>
        <v>1.037706629333158</v>
      </c>
      <c r="AT236" s="20">
        <v>5000</v>
      </c>
      <c r="AU236" s="20">
        <v>13097.6904296875</v>
      </c>
      <c r="AV236" s="20">
        <f t="shared" si="30"/>
        <v>8097.6904296875</v>
      </c>
      <c r="AW236" s="21">
        <f t="shared" si="31"/>
        <v>1.6195380859374999</v>
      </c>
    </row>
    <row r="237" spans="1:49" x14ac:dyDescent="0.25">
      <c r="A237" t="s">
        <v>38</v>
      </c>
      <c r="B237" t="s">
        <v>68</v>
      </c>
      <c r="C237">
        <v>138311</v>
      </c>
      <c r="D237">
        <v>2016</v>
      </c>
      <c r="E237" t="s">
        <v>403</v>
      </c>
      <c r="F237" t="s">
        <v>554</v>
      </c>
      <c r="G237" t="s">
        <v>555</v>
      </c>
      <c r="I237">
        <v>8</v>
      </c>
      <c r="J237" t="s">
        <v>72</v>
      </c>
      <c r="K237">
        <v>4</v>
      </c>
      <c r="L237" t="s">
        <v>44</v>
      </c>
      <c r="M237">
        <v>6.2</v>
      </c>
      <c r="N237" t="s">
        <v>73</v>
      </c>
      <c r="O237" t="s">
        <v>46</v>
      </c>
      <c r="P237">
        <v>4</v>
      </c>
      <c r="Q237" t="s">
        <v>62</v>
      </c>
      <c r="R237" t="s">
        <v>63</v>
      </c>
      <c r="S237" t="s">
        <v>49</v>
      </c>
      <c r="U237" t="s">
        <v>50</v>
      </c>
      <c r="W237" t="s">
        <v>556</v>
      </c>
      <c r="X237" t="s">
        <v>108</v>
      </c>
      <c r="Y237" t="s">
        <v>78</v>
      </c>
      <c r="AA237">
        <v>0</v>
      </c>
      <c r="AB237" t="s">
        <v>79</v>
      </c>
      <c r="AC237" t="s">
        <v>87</v>
      </c>
      <c r="AD237">
        <v>36</v>
      </c>
      <c r="AE237">
        <v>9</v>
      </c>
      <c r="AF237">
        <v>3</v>
      </c>
      <c r="AG237">
        <v>2025</v>
      </c>
      <c r="AH237" s="2">
        <v>20500</v>
      </c>
      <c r="AI237" s="2">
        <v>14841.689453125</v>
      </c>
      <c r="AJ237" s="2">
        <f t="shared" si="24"/>
        <v>5658.310546875</v>
      </c>
      <c r="AK237" s="6">
        <f t="shared" si="25"/>
        <v>0.27601514862804877</v>
      </c>
      <c r="AL237" s="12">
        <v>20500</v>
      </c>
      <c r="AM237" s="12">
        <v>14776.884004137341</v>
      </c>
      <c r="AN237" s="12">
        <f t="shared" si="26"/>
        <v>5723.1159958626595</v>
      </c>
      <c r="AO237" s="13">
        <f t="shared" si="27"/>
        <v>0.27917639004208095</v>
      </c>
      <c r="AP237" s="16">
        <v>20500</v>
      </c>
      <c r="AQ237" s="16">
        <v>14823.721775018301</v>
      </c>
      <c r="AR237" s="16">
        <f t="shared" si="28"/>
        <v>5676.2782249816992</v>
      </c>
      <c r="AS237" s="17">
        <f t="shared" si="29"/>
        <v>0.27689162073081458</v>
      </c>
      <c r="AT237" s="20">
        <v>20500</v>
      </c>
      <c r="AU237" s="20">
        <v>14804.2822265625</v>
      </c>
      <c r="AV237" s="20">
        <f t="shared" si="30"/>
        <v>5695.7177734375</v>
      </c>
      <c r="AW237" s="21">
        <f t="shared" si="31"/>
        <v>0.27783989138719511</v>
      </c>
    </row>
    <row r="238" spans="1:49" x14ac:dyDescent="0.25">
      <c r="A238" t="s">
        <v>114</v>
      </c>
      <c r="B238" t="s">
        <v>115</v>
      </c>
      <c r="C238">
        <v>189138</v>
      </c>
      <c r="D238">
        <v>2011</v>
      </c>
      <c r="E238" t="s">
        <v>557</v>
      </c>
      <c r="F238" t="s">
        <v>558</v>
      </c>
      <c r="G238" t="s">
        <v>559</v>
      </c>
      <c r="H238" t="s">
        <v>560</v>
      </c>
      <c r="I238">
        <v>6</v>
      </c>
      <c r="J238" t="s">
        <v>61</v>
      </c>
      <c r="K238">
        <v>4</v>
      </c>
      <c r="L238" t="s">
        <v>44</v>
      </c>
      <c r="M238">
        <v>3.6</v>
      </c>
      <c r="N238" t="s">
        <v>45</v>
      </c>
      <c r="O238" t="s">
        <v>46</v>
      </c>
      <c r="Q238" t="s">
        <v>47</v>
      </c>
      <c r="R238" t="s">
        <v>123</v>
      </c>
      <c r="S238" t="s">
        <v>101</v>
      </c>
      <c r="U238" t="s">
        <v>50</v>
      </c>
      <c r="W238" t="s">
        <v>561</v>
      </c>
      <c r="X238" t="s">
        <v>125</v>
      </c>
      <c r="Y238" t="s">
        <v>78</v>
      </c>
      <c r="AA238">
        <v>0</v>
      </c>
      <c r="AB238" t="s">
        <v>79</v>
      </c>
      <c r="AC238" t="s">
        <v>127</v>
      </c>
      <c r="AD238">
        <v>36</v>
      </c>
      <c r="AE238">
        <v>9</v>
      </c>
      <c r="AF238">
        <v>3</v>
      </c>
      <c r="AG238">
        <v>2025</v>
      </c>
      <c r="AH238" s="2">
        <v>1300</v>
      </c>
      <c r="AI238" s="2">
        <v>960.6177978515625</v>
      </c>
      <c r="AJ238" s="2">
        <f t="shared" si="24"/>
        <v>339.3822021484375</v>
      </c>
      <c r="AK238" s="6">
        <f t="shared" si="25"/>
        <v>0.26106323242187501</v>
      </c>
      <c r="AL238" s="12">
        <v>1300</v>
      </c>
      <c r="AM238" s="12">
        <v>1221.6859736864851</v>
      </c>
      <c r="AN238" s="12">
        <f t="shared" si="26"/>
        <v>78.314026313514887</v>
      </c>
      <c r="AO238" s="13">
        <f t="shared" si="27"/>
        <v>6.0241558702703757E-2</v>
      </c>
      <c r="AP238" s="16">
        <v>1300</v>
      </c>
      <c r="AQ238" s="16">
        <v>814.46118086917522</v>
      </c>
      <c r="AR238" s="16">
        <f t="shared" si="28"/>
        <v>485.53881913082478</v>
      </c>
      <c r="AS238" s="17">
        <f t="shared" si="29"/>
        <v>0.37349139933140368</v>
      </c>
      <c r="AT238" s="20">
        <v>1300</v>
      </c>
      <c r="AU238" s="20">
        <v>964.4090576171875</v>
      </c>
      <c r="AV238" s="20">
        <f t="shared" si="30"/>
        <v>335.5909423828125</v>
      </c>
      <c r="AW238" s="21">
        <f t="shared" si="31"/>
        <v>0.25814687875600961</v>
      </c>
    </row>
    <row r="239" spans="1:49" x14ac:dyDescent="0.25">
      <c r="A239" t="s">
        <v>81</v>
      </c>
      <c r="B239" t="s">
        <v>82</v>
      </c>
      <c r="C239">
        <v>149616</v>
      </c>
      <c r="D239">
        <v>2011</v>
      </c>
      <c r="E239" t="s">
        <v>146</v>
      </c>
      <c r="F239" t="s">
        <v>153</v>
      </c>
      <c r="I239">
        <v>6</v>
      </c>
      <c r="J239" t="s">
        <v>43</v>
      </c>
      <c r="K239">
        <v>4</v>
      </c>
      <c r="L239" t="s">
        <v>44</v>
      </c>
      <c r="M239">
        <v>3.5</v>
      </c>
      <c r="N239" t="s">
        <v>45</v>
      </c>
      <c r="O239" t="s">
        <v>46</v>
      </c>
      <c r="Q239" t="s">
        <v>47</v>
      </c>
      <c r="R239" t="s">
        <v>123</v>
      </c>
      <c r="S239" t="s">
        <v>49</v>
      </c>
      <c r="U239" t="s">
        <v>50</v>
      </c>
      <c r="X239" t="s">
        <v>125</v>
      </c>
      <c r="Y239" t="s">
        <v>78</v>
      </c>
      <c r="AA239">
        <v>0</v>
      </c>
      <c r="AB239" t="s">
        <v>79</v>
      </c>
      <c r="AC239" t="s">
        <v>127</v>
      </c>
      <c r="AD239">
        <v>36</v>
      </c>
      <c r="AE239">
        <v>9</v>
      </c>
      <c r="AF239">
        <v>3</v>
      </c>
      <c r="AG239">
        <v>2025</v>
      </c>
      <c r="AH239" s="2">
        <v>800</v>
      </c>
      <c r="AI239" s="2">
        <v>1082.11767578125</v>
      </c>
      <c r="AJ239" s="2">
        <f t="shared" si="24"/>
        <v>282.11767578125</v>
      </c>
      <c r="AK239" s="6">
        <f t="shared" si="25"/>
        <v>0.35264709472656253</v>
      </c>
      <c r="AL239" s="12">
        <v>800</v>
      </c>
      <c r="AM239" s="12">
        <v>1411.8845870334731</v>
      </c>
      <c r="AN239" s="12">
        <f t="shared" si="26"/>
        <v>611.88458703347305</v>
      </c>
      <c r="AO239" s="13">
        <f t="shared" si="27"/>
        <v>0.76485573379184135</v>
      </c>
      <c r="AP239" s="16">
        <v>800</v>
      </c>
      <c r="AQ239" s="16">
        <v>1207.693210025674</v>
      </c>
      <c r="AR239" s="16">
        <f t="shared" si="28"/>
        <v>407.69321002567403</v>
      </c>
      <c r="AS239" s="17">
        <f t="shared" si="29"/>
        <v>0.5096165125320925</v>
      </c>
      <c r="AT239" s="20">
        <v>800</v>
      </c>
      <c r="AU239" s="20">
        <v>1096.478515625</v>
      </c>
      <c r="AV239" s="20">
        <f t="shared" si="30"/>
        <v>296.478515625</v>
      </c>
      <c r="AW239" s="21">
        <f t="shared" si="31"/>
        <v>0.37059814453125001</v>
      </c>
    </row>
    <row r="240" spans="1:49" x14ac:dyDescent="0.25">
      <c r="A240" t="s">
        <v>38</v>
      </c>
      <c r="B240" t="s">
        <v>96</v>
      </c>
      <c r="C240">
        <v>196532</v>
      </c>
      <c r="D240">
        <v>2020</v>
      </c>
      <c r="E240" t="s">
        <v>166</v>
      </c>
      <c r="F240" t="s">
        <v>562</v>
      </c>
      <c r="G240" t="s">
        <v>240</v>
      </c>
      <c r="I240">
        <v>4</v>
      </c>
      <c r="J240" t="s">
        <v>43</v>
      </c>
      <c r="K240">
        <v>4</v>
      </c>
      <c r="L240" t="s">
        <v>44</v>
      </c>
      <c r="M240">
        <v>1.5</v>
      </c>
      <c r="N240" t="s">
        <v>45</v>
      </c>
      <c r="O240" t="s">
        <v>46</v>
      </c>
      <c r="P240">
        <v>2</v>
      </c>
      <c r="Q240" t="s">
        <v>47</v>
      </c>
      <c r="R240" t="s">
        <v>123</v>
      </c>
      <c r="S240" t="s">
        <v>49</v>
      </c>
      <c r="T240">
        <v>192</v>
      </c>
      <c r="U240" t="s">
        <v>50</v>
      </c>
      <c r="V240" t="s">
        <v>51</v>
      </c>
      <c r="W240" t="s">
        <v>249</v>
      </c>
      <c r="X240" t="s">
        <v>65</v>
      </c>
      <c r="Y240" t="s">
        <v>78</v>
      </c>
      <c r="AA240">
        <v>0</v>
      </c>
      <c r="AB240" t="s">
        <v>79</v>
      </c>
      <c r="AC240" t="s">
        <v>127</v>
      </c>
      <c r="AD240">
        <v>36</v>
      </c>
      <c r="AE240">
        <v>9</v>
      </c>
      <c r="AF240">
        <v>3</v>
      </c>
      <c r="AG240">
        <v>2025</v>
      </c>
      <c r="AH240" s="2">
        <v>6200</v>
      </c>
      <c r="AI240" s="2">
        <v>7883.32177734375</v>
      </c>
      <c r="AJ240" s="2">
        <f t="shared" si="24"/>
        <v>1683.32177734375</v>
      </c>
      <c r="AK240" s="6">
        <f t="shared" si="25"/>
        <v>0.27150351247479837</v>
      </c>
      <c r="AL240" s="12">
        <v>6200</v>
      </c>
      <c r="AM240" s="12">
        <v>6508.4603333283703</v>
      </c>
      <c r="AN240" s="12">
        <f t="shared" si="26"/>
        <v>308.46033332837033</v>
      </c>
      <c r="AO240" s="13">
        <f t="shared" si="27"/>
        <v>4.9751666665866182E-2</v>
      </c>
      <c r="AP240" s="16">
        <v>6200</v>
      </c>
      <c r="AQ240" s="16">
        <v>5187.2088388529019</v>
      </c>
      <c r="AR240" s="16">
        <f t="shared" si="28"/>
        <v>1012.7911611470981</v>
      </c>
      <c r="AS240" s="17">
        <f t="shared" si="29"/>
        <v>0.16335341308824164</v>
      </c>
      <c r="AT240" s="20">
        <v>6200</v>
      </c>
      <c r="AU240" s="20">
        <v>7741.49462890625</v>
      </c>
      <c r="AV240" s="20">
        <f t="shared" si="30"/>
        <v>1541.49462890625</v>
      </c>
      <c r="AW240" s="21">
        <f t="shared" si="31"/>
        <v>0.24862816595262097</v>
      </c>
    </row>
    <row r="241" spans="1:49" x14ac:dyDescent="0.25">
      <c r="A241" t="s">
        <v>128</v>
      </c>
      <c r="B241" t="s">
        <v>309</v>
      </c>
      <c r="C241">
        <v>113214</v>
      </c>
      <c r="D241">
        <v>2019</v>
      </c>
      <c r="E241" t="s">
        <v>146</v>
      </c>
      <c r="F241" t="s">
        <v>279</v>
      </c>
      <c r="I241">
        <v>4</v>
      </c>
      <c r="J241" t="s">
        <v>61</v>
      </c>
      <c r="K241">
        <v>4</v>
      </c>
      <c r="L241" t="s">
        <v>44</v>
      </c>
      <c r="M241">
        <v>1.8</v>
      </c>
      <c r="N241" t="s">
        <v>45</v>
      </c>
      <c r="O241" t="s">
        <v>46</v>
      </c>
      <c r="P241">
        <v>1</v>
      </c>
      <c r="Q241" t="s">
        <v>47</v>
      </c>
      <c r="R241" t="s">
        <v>123</v>
      </c>
      <c r="S241" t="s">
        <v>49</v>
      </c>
      <c r="U241" t="s">
        <v>50</v>
      </c>
      <c r="X241" t="s">
        <v>125</v>
      </c>
      <c r="Y241" t="s">
        <v>126</v>
      </c>
      <c r="AA241">
        <v>0</v>
      </c>
      <c r="AB241" t="s">
        <v>79</v>
      </c>
      <c r="AC241" t="s">
        <v>127</v>
      </c>
      <c r="AD241">
        <v>36</v>
      </c>
      <c r="AE241">
        <v>9</v>
      </c>
      <c r="AF241">
        <v>3</v>
      </c>
      <c r="AG241">
        <v>2025</v>
      </c>
      <c r="AH241" s="2">
        <v>2100</v>
      </c>
      <c r="AI241" s="2">
        <v>2769.367919921875</v>
      </c>
      <c r="AJ241" s="2">
        <f t="shared" si="24"/>
        <v>669.367919921875</v>
      </c>
      <c r="AK241" s="6">
        <f t="shared" si="25"/>
        <v>0.3187466285342262</v>
      </c>
      <c r="AL241" s="12">
        <v>2100</v>
      </c>
      <c r="AM241" s="12">
        <v>3344.7293018758041</v>
      </c>
      <c r="AN241" s="12">
        <f t="shared" si="26"/>
        <v>1244.7293018758041</v>
      </c>
      <c r="AO241" s="13">
        <f t="shared" si="27"/>
        <v>0.59272823898847815</v>
      </c>
      <c r="AP241" s="16">
        <v>2100</v>
      </c>
      <c r="AQ241" s="16">
        <v>2564.8229589018911</v>
      </c>
      <c r="AR241" s="16">
        <f t="shared" si="28"/>
        <v>464.82295890189107</v>
      </c>
      <c r="AS241" s="17">
        <f t="shared" si="29"/>
        <v>0.22134426614375766</v>
      </c>
      <c r="AT241" s="20">
        <v>2100</v>
      </c>
      <c r="AU241" s="20">
        <v>2789.00390625</v>
      </c>
      <c r="AV241" s="20">
        <f t="shared" si="30"/>
        <v>689.00390625</v>
      </c>
      <c r="AW241" s="21">
        <f t="shared" si="31"/>
        <v>0.32809709821428573</v>
      </c>
    </row>
    <row r="242" spans="1:49" x14ac:dyDescent="0.25">
      <c r="A242" t="s">
        <v>38</v>
      </c>
      <c r="B242" t="s">
        <v>96</v>
      </c>
      <c r="C242">
        <v>50268</v>
      </c>
      <c r="D242">
        <v>2016</v>
      </c>
      <c r="E242" t="s">
        <v>69</v>
      </c>
      <c r="F242" t="s">
        <v>310</v>
      </c>
      <c r="H242" t="s">
        <v>311</v>
      </c>
      <c r="I242">
        <v>8</v>
      </c>
      <c r="J242" t="s">
        <v>122</v>
      </c>
      <c r="K242">
        <v>2</v>
      </c>
      <c r="L242" t="s">
        <v>402</v>
      </c>
      <c r="M242">
        <v>5</v>
      </c>
      <c r="N242" t="s">
        <v>73</v>
      </c>
      <c r="O242" t="s">
        <v>46</v>
      </c>
      <c r="P242">
        <v>2</v>
      </c>
      <c r="Q242" t="s">
        <v>47</v>
      </c>
      <c r="R242" t="s">
        <v>197</v>
      </c>
      <c r="T242">
        <v>435</v>
      </c>
      <c r="U242" t="s">
        <v>50</v>
      </c>
      <c r="V242" t="s">
        <v>76</v>
      </c>
      <c r="X242" t="s">
        <v>125</v>
      </c>
      <c r="Y242" t="s">
        <v>78</v>
      </c>
      <c r="AA242">
        <v>0</v>
      </c>
      <c r="AB242" t="s">
        <v>79</v>
      </c>
      <c r="AC242" t="s">
        <v>197</v>
      </c>
      <c r="AD242">
        <v>36</v>
      </c>
      <c r="AE242">
        <v>9</v>
      </c>
      <c r="AF242">
        <v>3</v>
      </c>
      <c r="AG242">
        <v>2025</v>
      </c>
      <c r="AH242" s="2">
        <v>19800</v>
      </c>
      <c r="AI242" s="2">
        <v>16487.724609375</v>
      </c>
      <c r="AJ242" s="2">
        <f t="shared" si="24"/>
        <v>3312.275390625</v>
      </c>
      <c r="AK242" s="6">
        <f t="shared" si="25"/>
        <v>0.16728663589015152</v>
      </c>
      <c r="AL242" s="12">
        <v>19800</v>
      </c>
      <c r="AM242" s="12">
        <v>16708.461322073359</v>
      </c>
      <c r="AN242" s="12">
        <f t="shared" si="26"/>
        <v>3091.538677926641</v>
      </c>
      <c r="AO242" s="13">
        <f t="shared" si="27"/>
        <v>0.15613831706700207</v>
      </c>
      <c r="AP242" s="16">
        <v>19800</v>
      </c>
      <c r="AQ242" s="16">
        <v>16188.00130329782</v>
      </c>
      <c r="AR242" s="16">
        <f t="shared" si="28"/>
        <v>3611.9986967021796</v>
      </c>
      <c r="AS242" s="17">
        <f t="shared" si="29"/>
        <v>0.18242417660112017</v>
      </c>
      <c r="AT242" s="20">
        <v>19800</v>
      </c>
      <c r="AU242" s="20">
        <v>16540.044921875</v>
      </c>
      <c r="AV242" s="20">
        <f t="shared" si="30"/>
        <v>3259.955078125</v>
      </c>
      <c r="AW242" s="21">
        <f t="shared" si="31"/>
        <v>0.16464419586489898</v>
      </c>
    </row>
    <row r="243" spans="1:49" x14ac:dyDescent="0.25">
      <c r="A243" t="s">
        <v>128</v>
      </c>
      <c r="B243" t="s">
        <v>129</v>
      </c>
      <c r="C243">
        <v>93278</v>
      </c>
      <c r="D243">
        <v>2016</v>
      </c>
      <c r="E243" t="s">
        <v>58</v>
      </c>
      <c r="F243" t="s">
        <v>220</v>
      </c>
      <c r="G243" t="s">
        <v>510</v>
      </c>
      <c r="I243">
        <v>4</v>
      </c>
      <c r="J243" t="s">
        <v>43</v>
      </c>
      <c r="K243">
        <v>4</v>
      </c>
      <c r="L243" t="s">
        <v>44</v>
      </c>
      <c r="M243">
        <v>2.4</v>
      </c>
      <c r="N243" t="s">
        <v>44</v>
      </c>
      <c r="Q243" t="s">
        <v>62</v>
      </c>
      <c r="R243" t="s">
        <v>63</v>
      </c>
      <c r="S243" t="s">
        <v>93</v>
      </c>
      <c r="U243" t="s">
        <v>50</v>
      </c>
      <c r="W243" t="s">
        <v>511</v>
      </c>
      <c r="X243" t="s">
        <v>141</v>
      </c>
      <c r="Y243" t="s">
        <v>78</v>
      </c>
      <c r="AA243">
        <v>0</v>
      </c>
      <c r="AB243" t="s">
        <v>79</v>
      </c>
      <c r="AC243" t="s">
        <v>87</v>
      </c>
      <c r="AD243">
        <v>36</v>
      </c>
      <c r="AE243">
        <v>9</v>
      </c>
      <c r="AF243">
        <v>3</v>
      </c>
      <c r="AG243">
        <v>2025</v>
      </c>
      <c r="AH243" s="2">
        <v>8600</v>
      </c>
      <c r="AI243" s="2">
        <v>6277.28466796875</v>
      </c>
      <c r="AJ243" s="2">
        <f t="shared" si="24"/>
        <v>2322.71533203125</v>
      </c>
      <c r="AK243" s="6">
        <f t="shared" si="25"/>
        <v>0.27008317814316862</v>
      </c>
      <c r="AL243" s="12">
        <v>8600</v>
      </c>
      <c r="AM243" s="12">
        <v>7199.2877008030528</v>
      </c>
      <c r="AN243" s="12">
        <f t="shared" si="26"/>
        <v>1400.7122991969472</v>
      </c>
      <c r="AO243" s="13">
        <f t="shared" si="27"/>
        <v>0.16287352316243572</v>
      </c>
      <c r="AP243" s="16">
        <v>8600</v>
      </c>
      <c r="AQ243" s="16">
        <v>5597.5852022342624</v>
      </c>
      <c r="AR243" s="16">
        <f t="shared" si="28"/>
        <v>3002.4147977657376</v>
      </c>
      <c r="AS243" s="17">
        <f t="shared" si="29"/>
        <v>0.34911799974020202</v>
      </c>
      <c r="AT243" s="20">
        <v>8600</v>
      </c>
      <c r="AU243" s="20">
        <v>6480.66357421875</v>
      </c>
      <c r="AV243" s="20">
        <f t="shared" si="30"/>
        <v>2119.33642578125</v>
      </c>
      <c r="AW243" s="21">
        <f t="shared" si="31"/>
        <v>0.24643446811409883</v>
      </c>
    </row>
    <row r="244" spans="1:49" x14ac:dyDescent="0.25">
      <c r="A244" t="s">
        <v>38</v>
      </c>
      <c r="B244" t="s">
        <v>110</v>
      </c>
      <c r="C244">
        <v>197204</v>
      </c>
      <c r="D244">
        <v>2016</v>
      </c>
      <c r="E244" t="s">
        <v>146</v>
      </c>
      <c r="F244" t="s">
        <v>153</v>
      </c>
      <c r="I244">
        <v>6</v>
      </c>
      <c r="J244" t="s">
        <v>72</v>
      </c>
      <c r="K244">
        <v>4</v>
      </c>
      <c r="L244" t="s">
        <v>44</v>
      </c>
      <c r="M244">
        <v>3.5</v>
      </c>
      <c r="N244" t="s">
        <v>45</v>
      </c>
      <c r="O244" t="s">
        <v>190</v>
      </c>
      <c r="Q244" t="s">
        <v>47</v>
      </c>
      <c r="R244" t="s">
        <v>123</v>
      </c>
      <c r="S244" t="s">
        <v>49</v>
      </c>
      <c r="U244" t="s">
        <v>50</v>
      </c>
      <c r="X244" t="s">
        <v>125</v>
      </c>
      <c r="Y244" t="s">
        <v>78</v>
      </c>
      <c r="AA244">
        <v>0</v>
      </c>
      <c r="AB244" t="s">
        <v>79</v>
      </c>
      <c r="AC244" t="s">
        <v>127</v>
      </c>
      <c r="AD244">
        <v>36</v>
      </c>
      <c r="AE244">
        <v>9</v>
      </c>
      <c r="AF244">
        <v>3</v>
      </c>
      <c r="AG244">
        <v>2025</v>
      </c>
      <c r="AH244" s="2">
        <v>1600</v>
      </c>
      <c r="AI244" s="2">
        <v>733.2315673828125</v>
      </c>
      <c r="AJ244" s="2">
        <f t="shared" si="24"/>
        <v>866.7684326171875</v>
      </c>
      <c r="AK244" s="6">
        <f t="shared" si="25"/>
        <v>0.54173027038574217</v>
      </c>
      <c r="AL244" s="12">
        <v>1600</v>
      </c>
      <c r="AM244" s="12">
        <v>934.05722298873968</v>
      </c>
      <c r="AN244" s="12">
        <f t="shared" si="26"/>
        <v>665.94277701126032</v>
      </c>
      <c r="AO244" s="13">
        <f t="shared" si="27"/>
        <v>0.41621423563203769</v>
      </c>
      <c r="AP244" s="16">
        <v>1600</v>
      </c>
      <c r="AQ244" s="16">
        <v>798.97610377417038</v>
      </c>
      <c r="AR244" s="16">
        <f t="shared" si="28"/>
        <v>801.02389622582962</v>
      </c>
      <c r="AS244" s="17">
        <f t="shared" si="29"/>
        <v>0.50063993514114347</v>
      </c>
      <c r="AT244" s="20">
        <v>1600</v>
      </c>
      <c r="AU244" s="20">
        <v>761.035400390625</v>
      </c>
      <c r="AV244" s="20">
        <f t="shared" si="30"/>
        <v>838.964599609375</v>
      </c>
      <c r="AW244" s="21">
        <f t="shared" si="31"/>
        <v>0.52435287475585934</v>
      </c>
    </row>
    <row r="245" spans="1:49" x14ac:dyDescent="0.25">
      <c r="A245" t="s">
        <v>38</v>
      </c>
      <c r="B245" t="s">
        <v>110</v>
      </c>
      <c r="C245">
        <v>104852</v>
      </c>
      <c r="D245">
        <v>2020</v>
      </c>
      <c r="E245" t="s">
        <v>69</v>
      </c>
      <c r="F245" t="s">
        <v>157</v>
      </c>
      <c r="G245" t="s">
        <v>105</v>
      </c>
      <c r="I245">
        <v>4</v>
      </c>
      <c r="J245" t="s">
        <v>43</v>
      </c>
      <c r="K245">
        <v>4</v>
      </c>
      <c r="L245" t="s">
        <v>44</v>
      </c>
      <c r="M245">
        <v>2.2999999999999998</v>
      </c>
      <c r="N245" t="s">
        <v>73</v>
      </c>
      <c r="O245" t="s">
        <v>46</v>
      </c>
      <c r="P245">
        <v>3</v>
      </c>
      <c r="Q245" t="s">
        <v>62</v>
      </c>
      <c r="R245" t="s">
        <v>63</v>
      </c>
      <c r="S245" t="s">
        <v>179</v>
      </c>
      <c r="T245">
        <v>270</v>
      </c>
      <c r="U245" t="s">
        <v>50</v>
      </c>
      <c r="V245" t="s">
        <v>51</v>
      </c>
      <c r="X245" t="s">
        <v>141</v>
      </c>
      <c r="Y245" t="s">
        <v>78</v>
      </c>
      <c r="AA245">
        <v>0</v>
      </c>
      <c r="AB245" t="s">
        <v>79</v>
      </c>
      <c r="AC245" t="s">
        <v>109</v>
      </c>
      <c r="AD245">
        <v>36</v>
      </c>
      <c r="AE245">
        <v>9</v>
      </c>
      <c r="AF245">
        <v>3</v>
      </c>
      <c r="AG245">
        <v>2025</v>
      </c>
      <c r="AH245" s="2">
        <v>14250</v>
      </c>
      <c r="AI245" s="2">
        <v>11287.3955078125</v>
      </c>
      <c r="AJ245" s="2">
        <f t="shared" si="24"/>
        <v>2962.6044921875</v>
      </c>
      <c r="AK245" s="6">
        <f t="shared" si="25"/>
        <v>0.20790206962719299</v>
      </c>
      <c r="AL245" s="12">
        <v>14250</v>
      </c>
      <c r="AM245" s="12">
        <v>12155.106638805961</v>
      </c>
      <c r="AN245" s="12">
        <f t="shared" si="26"/>
        <v>2094.8933611940392</v>
      </c>
      <c r="AO245" s="13">
        <f t="shared" si="27"/>
        <v>0.14701006043466941</v>
      </c>
      <c r="AP245" s="16">
        <v>14250</v>
      </c>
      <c r="AQ245" s="16">
        <v>10745.67909154237</v>
      </c>
      <c r="AR245" s="16">
        <f t="shared" si="28"/>
        <v>3504.3209084576301</v>
      </c>
      <c r="AS245" s="17">
        <f t="shared" si="29"/>
        <v>0.24591725673386877</v>
      </c>
      <c r="AT245" s="20">
        <v>14250</v>
      </c>
      <c r="AU245" s="20">
        <v>11608.11328125</v>
      </c>
      <c r="AV245" s="20">
        <f t="shared" si="30"/>
        <v>2641.88671875</v>
      </c>
      <c r="AW245" s="21">
        <f t="shared" si="31"/>
        <v>0.18539555921052631</v>
      </c>
    </row>
    <row r="246" spans="1:49" x14ac:dyDescent="0.25">
      <c r="A246" t="s">
        <v>38</v>
      </c>
      <c r="B246" t="s">
        <v>110</v>
      </c>
      <c r="C246">
        <v>152728</v>
      </c>
      <c r="D246">
        <v>2014</v>
      </c>
      <c r="E246" t="s">
        <v>263</v>
      </c>
      <c r="F246" t="s">
        <v>563</v>
      </c>
      <c r="G246" t="s">
        <v>564</v>
      </c>
      <c r="I246">
        <v>4</v>
      </c>
      <c r="J246" t="s">
        <v>72</v>
      </c>
      <c r="K246">
        <v>4</v>
      </c>
      <c r="L246" t="s">
        <v>44</v>
      </c>
      <c r="M246">
        <v>2.5</v>
      </c>
      <c r="N246" t="s">
        <v>45</v>
      </c>
      <c r="Q246" t="s">
        <v>47</v>
      </c>
      <c r="R246" t="s">
        <v>123</v>
      </c>
      <c r="S246" t="s">
        <v>49</v>
      </c>
      <c r="U246" t="s">
        <v>50</v>
      </c>
      <c r="V246" t="s">
        <v>51</v>
      </c>
      <c r="W246" t="s">
        <v>266</v>
      </c>
      <c r="X246" t="s">
        <v>125</v>
      </c>
      <c r="Y246" t="s">
        <v>54</v>
      </c>
      <c r="AA246">
        <v>0</v>
      </c>
      <c r="AB246" t="s">
        <v>79</v>
      </c>
      <c r="AC246" t="s">
        <v>127</v>
      </c>
      <c r="AD246">
        <v>36</v>
      </c>
      <c r="AE246">
        <v>9</v>
      </c>
      <c r="AF246">
        <v>3</v>
      </c>
      <c r="AG246">
        <v>2025</v>
      </c>
      <c r="AH246" s="2">
        <v>2000</v>
      </c>
      <c r="AI246" s="2">
        <v>2367.692626953125</v>
      </c>
      <c r="AJ246" s="2">
        <f t="shared" si="24"/>
        <v>367.692626953125</v>
      </c>
      <c r="AK246" s="6">
        <f t="shared" si="25"/>
        <v>0.1838463134765625</v>
      </c>
      <c r="AL246" s="12">
        <v>2000</v>
      </c>
      <c r="AM246" s="12">
        <v>2218.5994553007781</v>
      </c>
      <c r="AN246" s="12">
        <f t="shared" si="26"/>
        <v>218.59945530077812</v>
      </c>
      <c r="AO246" s="13">
        <f t="shared" si="27"/>
        <v>0.10929972765038906</v>
      </c>
      <c r="AP246" s="16">
        <v>2000</v>
      </c>
      <c r="AQ246" s="16">
        <v>2270.3505853800771</v>
      </c>
      <c r="AR246" s="16">
        <f t="shared" si="28"/>
        <v>270.35058538007706</v>
      </c>
      <c r="AS246" s="17">
        <f t="shared" si="29"/>
        <v>0.13517529269003853</v>
      </c>
      <c r="AT246" s="20">
        <v>2000</v>
      </c>
      <c r="AU246" s="20">
        <v>2383.99365234375</v>
      </c>
      <c r="AV246" s="20">
        <f t="shared" si="30"/>
        <v>383.99365234375</v>
      </c>
      <c r="AW246" s="21">
        <f t="shared" si="31"/>
        <v>0.191996826171875</v>
      </c>
    </row>
    <row r="247" spans="1:49" x14ac:dyDescent="0.25">
      <c r="A247" t="s">
        <v>128</v>
      </c>
      <c r="B247" t="s">
        <v>210</v>
      </c>
      <c r="C247">
        <v>110461</v>
      </c>
      <c r="D247">
        <v>2010</v>
      </c>
      <c r="E247" t="s">
        <v>40</v>
      </c>
      <c r="F247" t="s">
        <v>201</v>
      </c>
      <c r="H247" t="s">
        <v>496</v>
      </c>
      <c r="I247">
        <v>4</v>
      </c>
      <c r="J247" t="s">
        <v>43</v>
      </c>
      <c r="K247">
        <v>4</v>
      </c>
      <c r="L247" t="s">
        <v>44</v>
      </c>
      <c r="M247">
        <v>1.8</v>
      </c>
      <c r="N247" t="s">
        <v>45</v>
      </c>
      <c r="O247" t="s">
        <v>46</v>
      </c>
      <c r="Q247" t="s">
        <v>47</v>
      </c>
      <c r="R247" t="s">
        <v>123</v>
      </c>
      <c r="S247" t="s">
        <v>49</v>
      </c>
      <c r="T247">
        <v>132</v>
      </c>
      <c r="U247" t="s">
        <v>50</v>
      </c>
      <c r="V247" t="s">
        <v>51</v>
      </c>
      <c r="W247" t="s">
        <v>204</v>
      </c>
      <c r="X247" t="s">
        <v>125</v>
      </c>
      <c r="Y247" t="s">
        <v>78</v>
      </c>
      <c r="AA247">
        <v>0</v>
      </c>
      <c r="AB247" t="s">
        <v>79</v>
      </c>
      <c r="AC247" t="s">
        <v>127</v>
      </c>
      <c r="AD247">
        <v>36</v>
      </c>
      <c r="AE247">
        <v>9</v>
      </c>
      <c r="AF247">
        <v>3</v>
      </c>
      <c r="AG247">
        <v>2025</v>
      </c>
      <c r="AH247" s="2">
        <v>2500</v>
      </c>
      <c r="AI247" s="2">
        <v>3098.212158203125</v>
      </c>
      <c r="AJ247" s="2">
        <f t="shared" si="24"/>
        <v>598.212158203125</v>
      </c>
      <c r="AK247" s="6">
        <f t="shared" si="25"/>
        <v>0.23928486328125001</v>
      </c>
      <c r="AL247" s="12">
        <v>2500</v>
      </c>
      <c r="AM247" s="12">
        <v>3283.5588142090792</v>
      </c>
      <c r="AN247" s="12">
        <f t="shared" si="26"/>
        <v>783.55881420907917</v>
      </c>
      <c r="AO247" s="13">
        <f t="shared" si="27"/>
        <v>0.31342352568363169</v>
      </c>
      <c r="AP247" s="16">
        <v>2500</v>
      </c>
      <c r="AQ247" s="16">
        <v>2691.469050881265</v>
      </c>
      <c r="AR247" s="16">
        <f t="shared" si="28"/>
        <v>191.46905088126505</v>
      </c>
      <c r="AS247" s="17">
        <f t="shared" si="29"/>
        <v>7.658762035250602E-2</v>
      </c>
      <c r="AT247" s="20">
        <v>2500</v>
      </c>
      <c r="AU247" s="20">
        <v>3131.8095703125</v>
      </c>
      <c r="AV247" s="20">
        <f t="shared" si="30"/>
        <v>631.8095703125</v>
      </c>
      <c r="AW247" s="21">
        <f t="shared" si="31"/>
        <v>0.25272382812499999</v>
      </c>
    </row>
    <row r="248" spans="1:49" x14ac:dyDescent="0.25">
      <c r="A248" t="s">
        <v>128</v>
      </c>
      <c r="B248" t="s">
        <v>129</v>
      </c>
      <c r="C248">
        <v>188728</v>
      </c>
      <c r="D248">
        <v>2010</v>
      </c>
      <c r="E248" t="s">
        <v>146</v>
      </c>
      <c r="F248" t="s">
        <v>565</v>
      </c>
      <c r="I248">
        <v>8</v>
      </c>
      <c r="J248" t="s">
        <v>61</v>
      </c>
      <c r="K248">
        <v>4</v>
      </c>
      <c r="L248" t="s">
        <v>44</v>
      </c>
      <c r="M248">
        <v>5.6</v>
      </c>
      <c r="N248" t="s">
        <v>91</v>
      </c>
      <c r="O248" t="s">
        <v>46</v>
      </c>
      <c r="P248">
        <v>1</v>
      </c>
      <c r="Q248" t="s">
        <v>74</v>
      </c>
      <c r="R248" t="s">
        <v>92</v>
      </c>
      <c r="S248" t="s">
        <v>93</v>
      </c>
      <c r="U248" t="s">
        <v>180</v>
      </c>
      <c r="X248" t="s">
        <v>108</v>
      </c>
      <c r="Y248" t="s">
        <v>78</v>
      </c>
      <c r="AA248">
        <v>0</v>
      </c>
      <c r="AB248" t="s">
        <v>79</v>
      </c>
      <c r="AC248" t="s">
        <v>95</v>
      </c>
      <c r="AD248">
        <v>36</v>
      </c>
      <c r="AE248">
        <v>9</v>
      </c>
      <c r="AF248">
        <v>3</v>
      </c>
      <c r="AG248">
        <v>2025</v>
      </c>
      <c r="AH248" s="2">
        <v>1000</v>
      </c>
      <c r="AI248" s="2">
        <v>1836.90869140625</v>
      </c>
      <c r="AJ248" s="2">
        <f t="shared" si="24"/>
        <v>836.90869140625</v>
      </c>
      <c r="AK248" s="6">
        <f t="shared" si="25"/>
        <v>0.83690869140625002</v>
      </c>
      <c r="AL248" s="12">
        <v>1000</v>
      </c>
      <c r="AM248" s="12">
        <v>2069.3717852281802</v>
      </c>
      <c r="AN248" s="12">
        <f t="shared" si="26"/>
        <v>1069.3717852281802</v>
      </c>
      <c r="AO248" s="13">
        <f t="shared" si="27"/>
        <v>1.0693717852281801</v>
      </c>
      <c r="AP248" s="16">
        <v>1000</v>
      </c>
      <c r="AQ248" s="16">
        <v>2355.1899014748578</v>
      </c>
      <c r="AR248" s="16">
        <f t="shared" si="28"/>
        <v>1355.1899014748578</v>
      </c>
      <c r="AS248" s="17">
        <f t="shared" si="29"/>
        <v>1.3551899014748578</v>
      </c>
      <c r="AT248" s="20">
        <v>1000</v>
      </c>
      <c r="AU248" s="20">
        <v>1849.65234375</v>
      </c>
      <c r="AV248" s="20">
        <f t="shared" si="30"/>
        <v>849.65234375</v>
      </c>
      <c r="AW248" s="21">
        <f t="shared" si="31"/>
        <v>0.84965234374999998</v>
      </c>
    </row>
    <row r="249" spans="1:49" x14ac:dyDescent="0.25">
      <c r="A249" t="s">
        <v>81</v>
      </c>
      <c r="B249" t="s">
        <v>501</v>
      </c>
      <c r="C249">
        <v>21000</v>
      </c>
      <c r="D249">
        <v>2023</v>
      </c>
      <c r="E249" t="s">
        <v>69</v>
      </c>
      <c r="F249" t="s">
        <v>566</v>
      </c>
      <c r="H249" t="s">
        <v>567</v>
      </c>
      <c r="I249">
        <v>6</v>
      </c>
      <c r="J249" t="s">
        <v>43</v>
      </c>
      <c r="K249">
        <v>4</v>
      </c>
      <c r="L249" t="s">
        <v>44</v>
      </c>
      <c r="M249">
        <v>2.7</v>
      </c>
      <c r="N249" t="s">
        <v>91</v>
      </c>
      <c r="Q249" t="s">
        <v>62</v>
      </c>
      <c r="R249" t="s">
        <v>63</v>
      </c>
      <c r="S249" t="s">
        <v>85</v>
      </c>
      <c r="U249" t="s">
        <v>50</v>
      </c>
      <c r="V249" t="s">
        <v>76</v>
      </c>
      <c r="W249" t="s">
        <v>568</v>
      </c>
      <c r="X249" t="s">
        <v>94</v>
      </c>
      <c r="Y249" t="s">
        <v>78</v>
      </c>
      <c r="AA249">
        <v>0</v>
      </c>
      <c r="AB249" t="s">
        <v>79</v>
      </c>
      <c r="AC249" t="s">
        <v>87</v>
      </c>
      <c r="AD249">
        <v>36</v>
      </c>
      <c r="AE249">
        <v>9</v>
      </c>
      <c r="AF249">
        <v>3</v>
      </c>
      <c r="AG249">
        <v>2025</v>
      </c>
      <c r="AH249" s="2">
        <v>46000</v>
      </c>
      <c r="AI249" s="2">
        <v>43767.0703125</v>
      </c>
      <c r="AJ249" s="2">
        <f t="shared" si="24"/>
        <v>2232.9296875</v>
      </c>
      <c r="AK249" s="6">
        <f t="shared" si="25"/>
        <v>4.8541949728260869E-2</v>
      </c>
      <c r="AL249" s="12">
        <v>46000</v>
      </c>
      <c r="AM249" s="12">
        <v>41875.781825486541</v>
      </c>
      <c r="AN249" s="12">
        <f t="shared" si="26"/>
        <v>4124.2181745134585</v>
      </c>
      <c r="AO249" s="13">
        <f t="shared" si="27"/>
        <v>8.9656916837249093E-2</v>
      </c>
      <c r="AP249" s="16">
        <v>46000</v>
      </c>
      <c r="AQ249" s="16">
        <v>45627.641913403553</v>
      </c>
      <c r="AR249" s="16">
        <f t="shared" si="28"/>
        <v>372.35808659644681</v>
      </c>
      <c r="AS249" s="17">
        <f t="shared" si="29"/>
        <v>8.0947410129662348E-3</v>
      </c>
      <c r="AT249" s="20">
        <v>46000</v>
      </c>
      <c r="AU249" s="20">
        <v>42989.5859375</v>
      </c>
      <c r="AV249" s="20">
        <f t="shared" si="30"/>
        <v>3010.4140625</v>
      </c>
      <c r="AW249" s="21">
        <f t="shared" si="31"/>
        <v>6.5443783967391297E-2</v>
      </c>
    </row>
    <row r="250" spans="1:49" x14ac:dyDescent="0.25">
      <c r="A250" t="s">
        <v>128</v>
      </c>
      <c r="B250" t="s">
        <v>129</v>
      </c>
      <c r="C250">
        <v>213702</v>
      </c>
      <c r="D250">
        <v>2003</v>
      </c>
      <c r="E250" t="s">
        <v>40</v>
      </c>
      <c r="F250" t="s">
        <v>569</v>
      </c>
      <c r="G250" t="s">
        <v>150</v>
      </c>
      <c r="H250" t="s">
        <v>570</v>
      </c>
      <c r="I250">
        <v>8</v>
      </c>
      <c r="J250" t="s">
        <v>106</v>
      </c>
      <c r="K250">
        <v>4</v>
      </c>
      <c r="L250" t="s">
        <v>44</v>
      </c>
      <c r="M250">
        <v>4.7</v>
      </c>
      <c r="N250" t="s">
        <v>73</v>
      </c>
      <c r="Q250" t="s">
        <v>62</v>
      </c>
      <c r="R250" t="s">
        <v>63</v>
      </c>
      <c r="S250" t="s">
        <v>49</v>
      </c>
      <c r="T250">
        <v>273</v>
      </c>
      <c r="U250" t="s">
        <v>50</v>
      </c>
      <c r="V250" t="s">
        <v>76</v>
      </c>
      <c r="W250" t="s">
        <v>294</v>
      </c>
      <c r="X250" t="s">
        <v>94</v>
      </c>
      <c r="Y250" t="s">
        <v>78</v>
      </c>
      <c r="AA250">
        <v>0</v>
      </c>
      <c r="AB250" t="s">
        <v>79</v>
      </c>
      <c r="AC250" t="s">
        <v>87</v>
      </c>
      <c r="AD250">
        <v>36</v>
      </c>
      <c r="AE250">
        <v>9</v>
      </c>
      <c r="AF250">
        <v>3</v>
      </c>
      <c r="AG250">
        <v>2025</v>
      </c>
      <c r="AH250" s="2">
        <v>2300</v>
      </c>
      <c r="AI250" s="2">
        <v>1675.174194335938</v>
      </c>
      <c r="AJ250" s="2">
        <f t="shared" si="24"/>
        <v>624.82580566406205</v>
      </c>
      <c r="AK250" s="6">
        <f t="shared" si="25"/>
        <v>0.27166339376698351</v>
      </c>
      <c r="AL250" s="12">
        <v>2300</v>
      </c>
      <c r="AM250" s="12">
        <v>1630.772868815458</v>
      </c>
      <c r="AN250" s="12">
        <f t="shared" si="26"/>
        <v>669.22713118454203</v>
      </c>
      <c r="AO250" s="13">
        <f t="shared" si="27"/>
        <v>0.2909683179063226</v>
      </c>
      <c r="AP250" s="16">
        <v>2300</v>
      </c>
      <c r="AQ250" s="16">
        <v>1097.2726214517911</v>
      </c>
      <c r="AR250" s="16">
        <f t="shared" si="28"/>
        <v>1202.7273785482089</v>
      </c>
      <c r="AS250" s="17">
        <f t="shared" si="29"/>
        <v>0.52292494719487348</v>
      </c>
      <c r="AT250" s="20">
        <v>2300</v>
      </c>
      <c r="AU250" s="20">
        <v>1662.750366210938</v>
      </c>
      <c r="AV250" s="20">
        <f t="shared" si="30"/>
        <v>637.24963378906205</v>
      </c>
      <c r="AW250" s="21">
        <f t="shared" si="31"/>
        <v>0.27706505816915739</v>
      </c>
    </row>
    <row r="251" spans="1:49" x14ac:dyDescent="0.25">
      <c r="A251" t="s">
        <v>38</v>
      </c>
      <c r="B251" t="s">
        <v>68</v>
      </c>
      <c r="C251">
        <v>39204</v>
      </c>
      <c r="D251">
        <v>2023</v>
      </c>
      <c r="E251" t="s">
        <v>40</v>
      </c>
      <c r="F251" t="s">
        <v>571</v>
      </c>
      <c r="G251" t="s">
        <v>572</v>
      </c>
      <c r="H251" t="s">
        <v>573</v>
      </c>
      <c r="I251">
        <v>4</v>
      </c>
      <c r="J251" t="s">
        <v>135</v>
      </c>
      <c r="K251">
        <v>4</v>
      </c>
      <c r="L251" t="s">
        <v>44</v>
      </c>
      <c r="M251">
        <v>2</v>
      </c>
      <c r="N251" t="s">
        <v>44</v>
      </c>
      <c r="O251" t="s">
        <v>46</v>
      </c>
      <c r="P251">
        <v>4</v>
      </c>
      <c r="Q251" t="s">
        <v>62</v>
      </c>
      <c r="R251" t="s">
        <v>63</v>
      </c>
      <c r="S251" t="s">
        <v>93</v>
      </c>
      <c r="T251">
        <v>169</v>
      </c>
      <c r="U251" t="s">
        <v>50</v>
      </c>
      <c r="V251" t="s">
        <v>51</v>
      </c>
      <c r="W251" t="s">
        <v>354</v>
      </c>
      <c r="X251" t="s">
        <v>65</v>
      </c>
      <c r="Y251" t="s">
        <v>78</v>
      </c>
      <c r="AA251">
        <v>0</v>
      </c>
      <c r="AB251" t="s">
        <v>79</v>
      </c>
      <c r="AC251" t="s">
        <v>87</v>
      </c>
      <c r="AD251">
        <v>36</v>
      </c>
      <c r="AE251">
        <v>9</v>
      </c>
      <c r="AF251">
        <v>3</v>
      </c>
      <c r="AG251">
        <v>2025</v>
      </c>
      <c r="AH251" s="2">
        <v>21000</v>
      </c>
      <c r="AI251" s="2">
        <v>17741.0078125</v>
      </c>
      <c r="AJ251" s="2">
        <f t="shared" si="24"/>
        <v>3258.9921875</v>
      </c>
      <c r="AK251" s="6">
        <f t="shared" si="25"/>
        <v>0.15519010416666668</v>
      </c>
      <c r="AL251" s="12">
        <v>21000</v>
      </c>
      <c r="AM251" s="12">
        <v>21475.639927422621</v>
      </c>
      <c r="AN251" s="12">
        <f t="shared" si="26"/>
        <v>475.63992742262053</v>
      </c>
      <c r="AO251" s="13">
        <f t="shared" si="27"/>
        <v>2.264952035345812E-2</v>
      </c>
      <c r="AP251" s="16">
        <v>21000</v>
      </c>
      <c r="AQ251" s="16">
        <v>22148.618147722471</v>
      </c>
      <c r="AR251" s="16">
        <f t="shared" si="28"/>
        <v>1148.6181477224709</v>
      </c>
      <c r="AS251" s="17">
        <f t="shared" si="29"/>
        <v>5.4696102272498617E-2</v>
      </c>
      <c r="AT251" s="20">
        <v>21000</v>
      </c>
      <c r="AU251" s="20">
        <v>18135.091796875</v>
      </c>
      <c r="AV251" s="20">
        <f t="shared" si="30"/>
        <v>2864.908203125</v>
      </c>
      <c r="AW251" s="21">
        <f t="shared" si="31"/>
        <v>0.13642420014880952</v>
      </c>
    </row>
    <row r="252" spans="1:49" x14ac:dyDescent="0.25">
      <c r="A252" t="s">
        <v>38</v>
      </c>
      <c r="B252" t="s">
        <v>110</v>
      </c>
      <c r="C252">
        <v>120812</v>
      </c>
      <c r="D252">
        <v>2022</v>
      </c>
      <c r="E252" t="s">
        <v>341</v>
      </c>
      <c r="F252" t="s">
        <v>574</v>
      </c>
      <c r="G252" t="s">
        <v>575</v>
      </c>
      <c r="I252">
        <v>6</v>
      </c>
      <c r="J252" t="s">
        <v>72</v>
      </c>
      <c r="K252">
        <v>4</v>
      </c>
      <c r="L252" t="s">
        <v>44</v>
      </c>
      <c r="M252">
        <v>3.6</v>
      </c>
      <c r="N252" t="s">
        <v>45</v>
      </c>
      <c r="O252" t="s">
        <v>46</v>
      </c>
      <c r="Q252" t="s">
        <v>62</v>
      </c>
      <c r="R252" t="s">
        <v>63</v>
      </c>
      <c r="S252" t="s">
        <v>101</v>
      </c>
      <c r="U252" t="s">
        <v>50</v>
      </c>
      <c r="V252" t="s">
        <v>76</v>
      </c>
      <c r="W252" t="s">
        <v>576</v>
      </c>
      <c r="X252" t="s">
        <v>94</v>
      </c>
      <c r="Y252" t="s">
        <v>78</v>
      </c>
      <c r="AA252">
        <v>0</v>
      </c>
      <c r="AB252" t="s">
        <v>79</v>
      </c>
      <c r="AC252" t="s">
        <v>109</v>
      </c>
      <c r="AD252">
        <v>36</v>
      </c>
      <c r="AE252">
        <v>9</v>
      </c>
      <c r="AF252">
        <v>3</v>
      </c>
      <c r="AG252">
        <v>2025</v>
      </c>
      <c r="AH252" s="2">
        <v>14000</v>
      </c>
      <c r="AI252" s="2">
        <v>15827.7216796875</v>
      </c>
      <c r="AJ252" s="2">
        <f t="shared" si="24"/>
        <v>1827.7216796875</v>
      </c>
      <c r="AK252" s="6">
        <f t="shared" si="25"/>
        <v>0.13055154854910714</v>
      </c>
      <c r="AL252" s="12">
        <v>14000</v>
      </c>
      <c r="AM252" s="12">
        <v>13334.82247871779</v>
      </c>
      <c r="AN252" s="12">
        <f t="shared" si="26"/>
        <v>665.17752128221036</v>
      </c>
      <c r="AO252" s="13">
        <f t="shared" si="27"/>
        <v>4.7512680091586455E-2</v>
      </c>
      <c r="AP252" s="16">
        <v>14000</v>
      </c>
      <c r="AQ252" s="16">
        <v>16180.500837675259</v>
      </c>
      <c r="AR252" s="16">
        <f t="shared" si="28"/>
        <v>2180.5008376752594</v>
      </c>
      <c r="AS252" s="17">
        <f t="shared" si="29"/>
        <v>0.1557500598339471</v>
      </c>
      <c r="AT252" s="20">
        <v>14000</v>
      </c>
      <c r="AU252" s="20">
        <v>15187.3720703125</v>
      </c>
      <c r="AV252" s="20">
        <f t="shared" si="30"/>
        <v>1187.3720703125</v>
      </c>
      <c r="AW252" s="21">
        <f t="shared" si="31"/>
        <v>8.4812290736607149E-2</v>
      </c>
    </row>
    <row r="253" spans="1:49" x14ac:dyDescent="0.25">
      <c r="A253" t="s">
        <v>38</v>
      </c>
      <c r="B253" t="s">
        <v>68</v>
      </c>
      <c r="C253">
        <v>98374</v>
      </c>
      <c r="D253">
        <v>2020</v>
      </c>
      <c r="E253" t="s">
        <v>97</v>
      </c>
      <c r="F253" t="s">
        <v>159</v>
      </c>
      <c r="G253" t="s">
        <v>380</v>
      </c>
      <c r="H253" t="s">
        <v>89</v>
      </c>
      <c r="I253">
        <v>8</v>
      </c>
      <c r="J253" t="s">
        <v>72</v>
      </c>
      <c r="K253">
        <v>4</v>
      </c>
      <c r="L253" t="s">
        <v>44</v>
      </c>
      <c r="M253">
        <v>5.3</v>
      </c>
      <c r="N253" t="s">
        <v>91</v>
      </c>
      <c r="O253" t="s">
        <v>46</v>
      </c>
      <c r="P253">
        <v>5</v>
      </c>
      <c r="Q253" t="s">
        <v>74</v>
      </c>
      <c r="R253" t="s">
        <v>92</v>
      </c>
      <c r="S253" t="s">
        <v>93</v>
      </c>
      <c r="U253" t="s">
        <v>50</v>
      </c>
      <c r="W253" t="s">
        <v>577</v>
      </c>
      <c r="X253" t="s">
        <v>108</v>
      </c>
      <c r="Y253" t="s">
        <v>78</v>
      </c>
      <c r="AA253">
        <v>0</v>
      </c>
      <c r="AB253" t="s">
        <v>79</v>
      </c>
      <c r="AC253" t="s">
        <v>95</v>
      </c>
      <c r="AD253">
        <v>36</v>
      </c>
      <c r="AE253">
        <v>9</v>
      </c>
      <c r="AF253">
        <v>3</v>
      </c>
      <c r="AG253">
        <v>2025</v>
      </c>
      <c r="AH253" s="2">
        <v>27250</v>
      </c>
      <c r="AI253" s="2">
        <v>32326.998046875</v>
      </c>
      <c r="AJ253" s="2">
        <f t="shared" si="24"/>
        <v>5076.998046875</v>
      </c>
      <c r="AK253" s="6">
        <f t="shared" si="25"/>
        <v>0.18631185493119265</v>
      </c>
      <c r="AL253" s="12">
        <v>27250</v>
      </c>
      <c r="AM253" s="12">
        <v>30344.40896176585</v>
      </c>
      <c r="AN253" s="12">
        <f t="shared" si="26"/>
        <v>3094.4089617658501</v>
      </c>
      <c r="AO253" s="13">
        <f t="shared" si="27"/>
        <v>0.11355629217489359</v>
      </c>
      <c r="AP253" s="16">
        <v>27250</v>
      </c>
      <c r="AQ253" s="16">
        <v>25847.36966394684</v>
      </c>
      <c r="AR253" s="16">
        <f t="shared" si="28"/>
        <v>1402.6303360531601</v>
      </c>
      <c r="AS253" s="17">
        <f t="shared" si="29"/>
        <v>5.1472672882684777E-2</v>
      </c>
      <c r="AT253" s="20">
        <v>27250</v>
      </c>
      <c r="AU253" s="20">
        <v>31606.5625</v>
      </c>
      <c r="AV253" s="20">
        <f t="shared" si="30"/>
        <v>4356.5625</v>
      </c>
      <c r="AW253" s="21">
        <f t="shared" si="31"/>
        <v>0.15987385321100916</v>
      </c>
    </row>
    <row r="254" spans="1:49" x14ac:dyDescent="0.25">
      <c r="A254" t="s">
        <v>128</v>
      </c>
      <c r="B254" t="s">
        <v>129</v>
      </c>
      <c r="C254">
        <v>150413</v>
      </c>
      <c r="D254">
        <v>2011</v>
      </c>
      <c r="E254" t="s">
        <v>116</v>
      </c>
      <c r="F254" t="s">
        <v>251</v>
      </c>
      <c r="G254" t="s">
        <v>195</v>
      </c>
      <c r="H254" t="s">
        <v>578</v>
      </c>
      <c r="I254">
        <v>6</v>
      </c>
      <c r="J254" t="s">
        <v>106</v>
      </c>
      <c r="K254">
        <v>4</v>
      </c>
      <c r="L254" t="s">
        <v>44</v>
      </c>
      <c r="M254">
        <v>3.6</v>
      </c>
      <c r="N254" t="s">
        <v>45</v>
      </c>
      <c r="Q254" t="s">
        <v>62</v>
      </c>
      <c r="R254" t="s">
        <v>63</v>
      </c>
      <c r="S254" t="s">
        <v>101</v>
      </c>
      <c r="U254" t="s">
        <v>50</v>
      </c>
      <c r="W254" t="s">
        <v>561</v>
      </c>
      <c r="X254" t="s">
        <v>141</v>
      </c>
      <c r="Y254" t="s">
        <v>126</v>
      </c>
      <c r="AA254">
        <v>0</v>
      </c>
      <c r="AB254" t="s">
        <v>79</v>
      </c>
      <c r="AC254" t="s">
        <v>87</v>
      </c>
      <c r="AD254">
        <v>36</v>
      </c>
      <c r="AE254">
        <v>9</v>
      </c>
      <c r="AF254">
        <v>3</v>
      </c>
      <c r="AG254">
        <v>2025</v>
      </c>
      <c r="AH254" s="2">
        <v>1800</v>
      </c>
      <c r="AI254" s="2">
        <v>1238.90771484375</v>
      </c>
      <c r="AJ254" s="2">
        <f t="shared" si="24"/>
        <v>561.09228515625</v>
      </c>
      <c r="AK254" s="6">
        <f t="shared" si="25"/>
        <v>0.31171793619791666</v>
      </c>
      <c r="AL254" s="12">
        <v>1800</v>
      </c>
      <c r="AM254" s="12">
        <v>1627.145133212206</v>
      </c>
      <c r="AN254" s="12">
        <f t="shared" si="26"/>
        <v>172.85486678779398</v>
      </c>
      <c r="AO254" s="13">
        <f t="shared" si="27"/>
        <v>9.603048154877443E-2</v>
      </c>
      <c r="AP254" s="16">
        <v>1800</v>
      </c>
      <c r="AQ254" s="16">
        <v>1396.141305145914</v>
      </c>
      <c r="AR254" s="16">
        <f t="shared" si="28"/>
        <v>403.85869485408602</v>
      </c>
      <c r="AS254" s="17">
        <f t="shared" si="29"/>
        <v>0.22436594158560336</v>
      </c>
      <c r="AT254" s="20">
        <v>1800</v>
      </c>
      <c r="AU254" s="20">
        <v>1234.309936523438</v>
      </c>
      <c r="AV254" s="20">
        <f t="shared" si="30"/>
        <v>565.69006347656205</v>
      </c>
      <c r="AW254" s="21">
        <f t="shared" si="31"/>
        <v>0.3142722574869789</v>
      </c>
    </row>
    <row r="255" spans="1:49" x14ac:dyDescent="0.25">
      <c r="A255" t="s">
        <v>38</v>
      </c>
      <c r="B255" t="s">
        <v>96</v>
      </c>
      <c r="C255">
        <v>25692</v>
      </c>
      <c r="D255">
        <v>2024</v>
      </c>
      <c r="E255" t="s">
        <v>97</v>
      </c>
      <c r="F255" t="s">
        <v>159</v>
      </c>
      <c r="G255" t="s">
        <v>579</v>
      </c>
      <c r="H255" t="s">
        <v>89</v>
      </c>
      <c r="I255">
        <v>4</v>
      </c>
      <c r="J255" t="s">
        <v>135</v>
      </c>
      <c r="K255">
        <v>4</v>
      </c>
      <c r="L255" t="s">
        <v>44</v>
      </c>
      <c r="M255">
        <v>2.7</v>
      </c>
      <c r="N255" t="s">
        <v>91</v>
      </c>
      <c r="O255" t="s">
        <v>46</v>
      </c>
      <c r="P255">
        <v>3</v>
      </c>
      <c r="Q255" t="s">
        <v>74</v>
      </c>
      <c r="R255" t="s">
        <v>92</v>
      </c>
      <c r="S255" t="s">
        <v>93</v>
      </c>
      <c r="U255" t="s">
        <v>50</v>
      </c>
      <c r="V255" t="s">
        <v>51</v>
      </c>
      <c r="W255" t="s">
        <v>580</v>
      </c>
      <c r="X255" t="s">
        <v>94</v>
      </c>
      <c r="Y255" t="s">
        <v>78</v>
      </c>
      <c r="AA255">
        <v>0</v>
      </c>
      <c r="AB255" t="s">
        <v>79</v>
      </c>
      <c r="AC255" t="s">
        <v>95</v>
      </c>
      <c r="AD255">
        <v>36</v>
      </c>
      <c r="AE255">
        <v>9</v>
      </c>
      <c r="AF255">
        <v>3</v>
      </c>
      <c r="AG255">
        <v>2025</v>
      </c>
      <c r="AH255" s="2">
        <v>33200</v>
      </c>
      <c r="AI255" s="2">
        <v>32293.009765625</v>
      </c>
      <c r="AJ255" s="2">
        <f t="shared" si="24"/>
        <v>906.990234375</v>
      </c>
      <c r="AK255" s="6">
        <f t="shared" si="25"/>
        <v>2.7318982963102409E-2</v>
      </c>
      <c r="AL255" s="12">
        <v>33200</v>
      </c>
      <c r="AM255" s="12">
        <v>34876.398630085147</v>
      </c>
      <c r="AN255" s="12">
        <f t="shared" si="26"/>
        <v>1676.3986300851466</v>
      </c>
      <c r="AO255" s="13">
        <f t="shared" si="27"/>
        <v>5.0493934641118871E-2</v>
      </c>
      <c r="AP255" s="16">
        <v>33200</v>
      </c>
      <c r="AQ255" s="16">
        <v>28964.34071020105</v>
      </c>
      <c r="AR255" s="16">
        <f t="shared" si="28"/>
        <v>4235.6592897989503</v>
      </c>
      <c r="AS255" s="17">
        <f t="shared" si="29"/>
        <v>0.12758009909032983</v>
      </c>
      <c r="AT255" s="20">
        <v>33200</v>
      </c>
      <c r="AU255" s="20">
        <v>32084.4453125</v>
      </c>
      <c r="AV255" s="20">
        <f t="shared" si="30"/>
        <v>1115.5546875</v>
      </c>
      <c r="AW255" s="21">
        <f t="shared" si="31"/>
        <v>3.360104480421687E-2</v>
      </c>
    </row>
    <row r="256" spans="1:49" x14ac:dyDescent="0.25">
      <c r="A256" t="s">
        <v>128</v>
      </c>
      <c r="B256" t="s">
        <v>210</v>
      </c>
      <c r="C256">
        <v>107969</v>
      </c>
      <c r="D256">
        <v>2010</v>
      </c>
      <c r="E256" t="s">
        <v>166</v>
      </c>
      <c r="F256" t="s">
        <v>562</v>
      </c>
      <c r="G256" t="s">
        <v>581</v>
      </c>
      <c r="I256">
        <v>6</v>
      </c>
      <c r="J256" t="s">
        <v>122</v>
      </c>
      <c r="K256">
        <v>2</v>
      </c>
      <c r="L256" t="s">
        <v>44</v>
      </c>
      <c r="M256">
        <v>3.5</v>
      </c>
      <c r="N256" t="s">
        <v>45</v>
      </c>
      <c r="O256" t="s">
        <v>46</v>
      </c>
      <c r="Q256" t="s">
        <v>47</v>
      </c>
      <c r="R256" t="s">
        <v>197</v>
      </c>
      <c r="T256">
        <v>271</v>
      </c>
      <c r="U256" t="s">
        <v>50</v>
      </c>
      <c r="V256" t="s">
        <v>76</v>
      </c>
      <c r="W256" t="s">
        <v>86</v>
      </c>
      <c r="X256" t="s">
        <v>65</v>
      </c>
      <c r="Y256" t="s">
        <v>78</v>
      </c>
      <c r="AA256">
        <v>0</v>
      </c>
      <c r="AB256" t="s">
        <v>79</v>
      </c>
      <c r="AC256" t="s">
        <v>197</v>
      </c>
      <c r="AD256">
        <v>36</v>
      </c>
      <c r="AE256">
        <v>9</v>
      </c>
      <c r="AF256">
        <v>3</v>
      </c>
      <c r="AG256">
        <v>2025</v>
      </c>
      <c r="AH256" s="2">
        <v>3100</v>
      </c>
      <c r="AI256" s="2">
        <v>5044.85986328125</v>
      </c>
      <c r="AJ256" s="2">
        <f t="shared" si="24"/>
        <v>1944.85986328125</v>
      </c>
      <c r="AK256" s="6">
        <f t="shared" si="25"/>
        <v>0.62737414944556447</v>
      </c>
      <c r="AL256" s="12">
        <v>3100</v>
      </c>
      <c r="AM256" s="12">
        <v>5666.8742265058463</v>
      </c>
      <c r="AN256" s="12">
        <f t="shared" si="26"/>
        <v>2566.8742265058463</v>
      </c>
      <c r="AO256" s="13">
        <f t="shared" si="27"/>
        <v>0.82802394403414392</v>
      </c>
      <c r="AP256" s="16">
        <v>3100</v>
      </c>
      <c r="AQ256" s="16">
        <v>3977.466096804887</v>
      </c>
      <c r="AR256" s="16">
        <f t="shared" si="28"/>
        <v>877.466096804887</v>
      </c>
      <c r="AS256" s="17">
        <f t="shared" si="29"/>
        <v>0.28305357961447969</v>
      </c>
      <c r="AT256" s="20">
        <v>3100</v>
      </c>
      <c r="AU256" s="20">
        <v>5124.3544921875</v>
      </c>
      <c r="AV256" s="20">
        <f t="shared" si="30"/>
        <v>2024.3544921875</v>
      </c>
      <c r="AW256" s="21">
        <f t="shared" si="31"/>
        <v>0.65301757812500005</v>
      </c>
    </row>
    <row r="257" spans="1:49" x14ac:dyDescent="0.25">
      <c r="A257" t="s">
        <v>81</v>
      </c>
      <c r="B257" t="s">
        <v>82</v>
      </c>
      <c r="C257">
        <v>168600</v>
      </c>
      <c r="D257">
        <v>2011</v>
      </c>
      <c r="E257" t="s">
        <v>166</v>
      </c>
      <c r="F257" t="s">
        <v>247</v>
      </c>
      <c r="G257" t="s">
        <v>581</v>
      </c>
      <c r="I257">
        <v>4</v>
      </c>
      <c r="J257" t="s">
        <v>135</v>
      </c>
      <c r="K257">
        <v>4</v>
      </c>
      <c r="L257" t="s">
        <v>44</v>
      </c>
      <c r="M257">
        <v>2.4</v>
      </c>
      <c r="N257" t="s">
        <v>45</v>
      </c>
      <c r="O257" t="s">
        <v>46</v>
      </c>
      <c r="Q257" t="s">
        <v>62</v>
      </c>
      <c r="R257" t="s">
        <v>63</v>
      </c>
      <c r="S257" t="s">
        <v>49</v>
      </c>
      <c r="T257">
        <v>180</v>
      </c>
      <c r="U257" t="s">
        <v>50</v>
      </c>
      <c r="V257" t="s">
        <v>51</v>
      </c>
      <c r="W257" t="s">
        <v>582</v>
      </c>
      <c r="X257" t="s">
        <v>65</v>
      </c>
      <c r="Y257" t="s">
        <v>78</v>
      </c>
      <c r="AA257">
        <v>0</v>
      </c>
      <c r="AB257" t="s">
        <v>79</v>
      </c>
      <c r="AC257" t="s">
        <v>87</v>
      </c>
      <c r="AD257">
        <v>36</v>
      </c>
      <c r="AE257">
        <v>9</v>
      </c>
      <c r="AF257">
        <v>3</v>
      </c>
      <c r="AG257">
        <v>2025</v>
      </c>
      <c r="AH257" s="2">
        <v>3700</v>
      </c>
      <c r="AI257" s="2">
        <v>3041.344970703125</v>
      </c>
      <c r="AJ257" s="2">
        <f t="shared" si="24"/>
        <v>658.655029296875</v>
      </c>
      <c r="AK257" s="6">
        <f t="shared" si="25"/>
        <v>0.17801487278293918</v>
      </c>
      <c r="AL257" s="12">
        <v>3700</v>
      </c>
      <c r="AM257" s="12">
        <v>2854.5667429260561</v>
      </c>
      <c r="AN257" s="12">
        <f t="shared" si="26"/>
        <v>845.43325707394388</v>
      </c>
      <c r="AO257" s="13">
        <f t="shared" si="27"/>
        <v>0.2284954748848497</v>
      </c>
      <c r="AP257" s="16">
        <v>3700</v>
      </c>
      <c r="AQ257" s="16">
        <v>2234.448292545886</v>
      </c>
      <c r="AR257" s="16">
        <f t="shared" si="28"/>
        <v>1465.551707454114</v>
      </c>
      <c r="AS257" s="17">
        <f t="shared" si="29"/>
        <v>0.39609505606867945</v>
      </c>
      <c r="AT257" s="20">
        <v>3700</v>
      </c>
      <c r="AU257" s="20">
        <v>3077.306884765625</v>
      </c>
      <c r="AV257" s="20">
        <f t="shared" si="30"/>
        <v>622.693115234375</v>
      </c>
      <c r="AW257" s="21">
        <f t="shared" si="31"/>
        <v>0.16829543654983109</v>
      </c>
    </row>
    <row r="258" spans="1:49" x14ac:dyDescent="0.25">
      <c r="A258" t="s">
        <v>38</v>
      </c>
      <c r="B258" t="s">
        <v>96</v>
      </c>
      <c r="C258">
        <v>83087</v>
      </c>
      <c r="D258">
        <v>2017</v>
      </c>
      <c r="E258" t="s">
        <v>345</v>
      </c>
      <c r="F258" t="s">
        <v>583</v>
      </c>
      <c r="G258" t="s">
        <v>584</v>
      </c>
      <c r="I258">
        <v>4</v>
      </c>
      <c r="J258" t="s">
        <v>72</v>
      </c>
      <c r="K258">
        <v>4</v>
      </c>
      <c r="L258" t="s">
        <v>44</v>
      </c>
      <c r="M258">
        <v>2</v>
      </c>
      <c r="N258" t="s">
        <v>73</v>
      </c>
      <c r="O258" t="s">
        <v>46</v>
      </c>
      <c r="P258">
        <v>4</v>
      </c>
      <c r="Q258" t="s">
        <v>62</v>
      </c>
      <c r="R258" t="s">
        <v>63</v>
      </c>
      <c r="S258" t="s">
        <v>49</v>
      </c>
      <c r="T258">
        <v>241</v>
      </c>
      <c r="U258" t="s">
        <v>50</v>
      </c>
      <c r="X258" t="s">
        <v>65</v>
      </c>
      <c r="Y258" t="s">
        <v>78</v>
      </c>
      <c r="AA258">
        <v>0</v>
      </c>
      <c r="AB258" t="s">
        <v>79</v>
      </c>
      <c r="AC258" t="s">
        <v>87</v>
      </c>
      <c r="AD258">
        <v>36</v>
      </c>
      <c r="AE258">
        <v>9</v>
      </c>
      <c r="AF258">
        <v>3</v>
      </c>
      <c r="AG258">
        <v>2025</v>
      </c>
      <c r="AH258" s="2">
        <v>7600</v>
      </c>
      <c r="AI258" s="2">
        <v>10070.802734375</v>
      </c>
      <c r="AJ258" s="2">
        <f t="shared" si="24"/>
        <v>2470.802734375</v>
      </c>
      <c r="AK258" s="6">
        <f t="shared" si="25"/>
        <v>0.32510562294407896</v>
      </c>
      <c r="AL258" s="12">
        <v>7600</v>
      </c>
      <c r="AM258" s="12">
        <v>10405.482690160061</v>
      </c>
      <c r="AN258" s="12">
        <f t="shared" si="26"/>
        <v>2805.4826901600609</v>
      </c>
      <c r="AO258" s="13">
        <f t="shared" si="27"/>
        <v>0.36914245923158695</v>
      </c>
      <c r="AP258" s="16">
        <v>7600</v>
      </c>
      <c r="AQ258" s="16">
        <v>10398.921772866721</v>
      </c>
      <c r="AR258" s="16">
        <f t="shared" si="28"/>
        <v>2798.9217728667209</v>
      </c>
      <c r="AS258" s="17">
        <f t="shared" si="29"/>
        <v>0.36827918064035803</v>
      </c>
      <c r="AT258" s="20">
        <v>7600</v>
      </c>
      <c r="AU258" s="20">
        <v>10262.05859375</v>
      </c>
      <c r="AV258" s="20">
        <f t="shared" si="30"/>
        <v>2662.05859375</v>
      </c>
      <c r="AW258" s="21">
        <f t="shared" si="31"/>
        <v>0.3502708675986842</v>
      </c>
    </row>
    <row r="259" spans="1:49" x14ac:dyDescent="0.25">
      <c r="A259" t="s">
        <v>128</v>
      </c>
      <c r="B259" t="s">
        <v>129</v>
      </c>
      <c r="C259">
        <v>130507</v>
      </c>
      <c r="D259">
        <v>2012</v>
      </c>
      <c r="E259" t="s">
        <v>345</v>
      </c>
      <c r="F259" t="s">
        <v>585</v>
      </c>
      <c r="G259" t="s">
        <v>586</v>
      </c>
      <c r="H259" t="s">
        <v>587</v>
      </c>
      <c r="I259">
        <v>4</v>
      </c>
      <c r="J259" t="s">
        <v>61</v>
      </c>
      <c r="K259">
        <v>4</v>
      </c>
      <c r="L259" t="s">
        <v>44</v>
      </c>
      <c r="M259">
        <v>2</v>
      </c>
      <c r="N259" t="s">
        <v>73</v>
      </c>
      <c r="Q259" t="s">
        <v>47</v>
      </c>
      <c r="R259" t="s">
        <v>123</v>
      </c>
      <c r="T259">
        <v>241</v>
      </c>
      <c r="U259" t="s">
        <v>50</v>
      </c>
      <c r="X259" t="s">
        <v>125</v>
      </c>
      <c r="Y259" t="s">
        <v>588</v>
      </c>
      <c r="AA259">
        <v>0</v>
      </c>
      <c r="AB259" t="s">
        <v>79</v>
      </c>
      <c r="AC259" t="s">
        <v>127</v>
      </c>
      <c r="AD259">
        <v>36</v>
      </c>
      <c r="AE259">
        <v>9</v>
      </c>
      <c r="AF259">
        <v>3</v>
      </c>
      <c r="AG259">
        <v>2025</v>
      </c>
      <c r="AH259" s="2">
        <v>600</v>
      </c>
      <c r="AI259" s="2">
        <v>2342.05322265625</v>
      </c>
      <c r="AJ259" s="2">
        <f t="shared" ref="AJ259:AJ322" si="32">ABS(AH259-AI259)</f>
        <v>1742.05322265625</v>
      </c>
      <c r="AK259" s="6">
        <f t="shared" ref="AK259:AK322" si="33">ABS($AH259-AI259)/$AH259</f>
        <v>2.9034220377604165</v>
      </c>
      <c r="AL259" s="12">
        <v>600</v>
      </c>
      <c r="AM259" s="12">
        <v>2472.2797377487468</v>
      </c>
      <c r="AN259" s="12">
        <f t="shared" ref="AN259:AN322" si="34">ABS(AL259-AM259)</f>
        <v>1872.2797377487468</v>
      </c>
      <c r="AO259" s="13">
        <f t="shared" ref="AO259:AO322" si="35">ABS($AH259-AM259)/$AH259</f>
        <v>3.1204662295812446</v>
      </c>
      <c r="AP259" s="16">
        <v>600</v>
      </c>
      <c r="AQ259" s="16">
        <v>2186.465227542802</v>
      </c>
      <c r="AR259" s="16">
        <f t="shared" ref="AR259:AR322" si="36">ABS(AP259-AQ259)</f>
        <v>1586.465227542802</v>
      </c>
      <c r="AS259" s="17">
        <f t="shared" ref="AS259:AS322" si="37">ABS($AH259-AQ259)/$AH259</f>
        <v>2.6441087125713367</v>
      </c>
      <c r="AT259" s="20">
        <v>600</v>
      </c>
      <c r="AU259" s="20">
        <v>2373.1826171875</v>
      </c>
      <c r="AV259" s="20">
        <f t="shared" ref="AV259:AV322" si="38">ABS(AT259-AU259)</f>
        <v>1773.1826171875</v>
      </c>
      <c r="AW259" s="21">
        <f t="shared" ref="AW259:AW322" si="39">ABS($AH259-AU259)/$AH259</f>
        <v>2.9553043619791666</v>
      </c>
    </row>
    <row r="260" spans="1:49" x14ac:dyDescent="0.25">
      <c r="A260" t="s">
        <v>128</v>
      </c>
      <c r="B260" t="s">
        <v>129</v>
      </c>
      <c r="C260">
        <v>155300</v>
      </c>
      <c r="D260">
        <v>2011</v>
      </c>
      <c r="E260" t="s">
        <v>40</v>
      </c>
      <c r="F260" t="s">
        <v>297</v>
      </c>
      <c r="H260" t="s">
        <v>589</v>
      </c>
      <c r="I260">
        <v>4</v>
      </c>
      <c r="J260" t="s">
        <v>43</v>
      </c>
      <c r="K260">
        <v>4</v>
      </c>
      <c r="L260" t="s">
        <v>44</v>
      </c>
      <c r="M260">
        <v>2.5</v>
      </c>
      <c r="N260" t="s">
        <v>45</v>
      </c>
      <c r="O260" t="s">
        <v>46</v>
      </c>
      <c r="Q260" t="s">
        <v>47</v>
      </c>
      <c r="R260" t="s">
        <v>123</v>
      </c>
      <c r="S260" t="s">
        <v>49</v>
      </c>
      <c r="T260">
        <v>169</v>
      </c>
      <c r="U260" t="s">
        <v>50</v>
      </c>
      <c r="V260" t="s">
        <v>51</v>
      </c>
      <c r="W260" t="s">
        <v>236</v>
      </c>
      <c r="X260" t="s">
        <v>125</v>
      </c>
      <c r="Y260" t="s">
        <v>78</v>
      </c>
      <c r="AA260">
        <v>0</v>
      </c>
      <c r="AB260" t="s">
        <v>79</v>
      </c>
      <c r="AC260" t="s">
        <v>127</v>
      </c>
      <c r="AD260">
        <v>36</v>
      </c>
      <c r="AE260">
        <v>9</v>
      </c>
      <c r="AF260">
        <v>3</v>
      </c>
      <c r="AG260">
        <v>2025</v>
      </c>
      <c r="AH260" s="2">
        <v>3800</v>
      </c>
      <c r="AI260" s="2">
        <v>2375.5205078125</v>
      </c>
      <c r="AJ260" s="2">
        <f t="shared" si="32"/>
        <v>1424.4794921875</v>
      </c>
      <c r="AK260" s="6">
        <f t="shared" si="33"/>
        <v>0.37486302425986839</v>
      </c>
      <c r="AL260" s="12">
        <v>3800</v>
      </c>
      <c r="AM260" s="12">
        <v>2424.8014869086769</v>
      </c>
      <c r="AN260" s="12">
        <f t="shared" si="34"/>
        <v>1375.1985130913231</v>
      </c>
      <c r="AO260" s="13">
        <f t="shared" si="35"/>
        <v>0.36189434555034816</v>
      </c>
      <c r="AP260" s="16">
        <v>3800</v>
      </c>
      <c r="AQ260" s="16">
        <v>2080.5203315913541</v>
      </c>
      <c r="AR260" s="16">
        <f t="shared" si="36"/>
        <v>1719.4796684086459</v>
      </c>
      <c r="AS260" s="17">
        <f t="shared" si="37"/>
        <v>0.4524946495812226</v>
      </c>
      <c r="AT260" s="20">
        <v>3800</v>
      </c>
      <c r="AU260" s="20">
        <v>2407.92724609375</v>
      </c>
      <c r="AV260" s="20">
        <f t="shared" si="38"/>
        <v>1392.07275390625</v>
      </c>
      <c r="AW260" s="21">
        <f t="shared" si="39"/>
        <v>0.36633493523848687</v>
      </c>
    </row>
    <row r="261" spans="1:49" x14ac:dyDescent="0.25">
      <c r="A261" t="s">
        <v>38</v>
      </c>
      <c r="B261" t="s">
        <v>57</v>
      </c>
      <c r="C261">
        <v>165160</v>
      </c>
      <c r="D261">
        <v>2016</v>
      </c>
      <c r="E261" t="s">
        <v>97</v>
      </c>
      <c r="F261" t="s">
        <v>198</v>
      </c>
      <c r="G261" t="s">
        <v>590</v>
      </c>
      <c r="I261">
        <v>6</v>
      </c>
      <c r="J261" t="s">
        <v>106</v>
      </c>
      <c r="K261">
        <v>4</v>
      </c>
      <c r="L261" t="s">
        <v>44</v>
      </c>
      <c r="M261">
        <v>3.6</v>
      </c>
      <c r="N261" t="s">
        <v>45</v>
      </c>
      <c r="O261" t="s">
        <v>46</v>
      </c>
      <c r="P261">
        <v>4</v>
      </c>
      <c r="Q261" t="s">
        <v>62</v>
      </c>
      <c r="R261" t="s">
        <v>63</v>
      </c>
      <c r="S261" t="s">
        <v>101</v>
      </c>
      <c r="U261" t="s">
        <v>50</v>
      </c>
      <c r="V261" t="s">
        <v>76</v>
      </c>
      <c r="W261" t="s">
        <v>591</v>
      </c>
      <c r="X261" t="s">
        <v>94</v>
      </c>
      <c r="Y261" t="s">
        <v>78</v>
      </c>
      <c r="AA261">
        <v>0</v>
      </c>
      <c r="AB261" t="s">
        <v>79</v>
      </c>
      <c r="AC261" t="s">
        <v>87</v>
      </c>
      <c r="AD261">
        <v>36</v>
      </c>
      <c r="AE261">
        <v>9</v>
      </c>
      <c r="AF261">
        <v>3</v>
      </c>
      <c r="AG261">
        <v>2025</v>
      </c>
      <c r="AH261" s="2">
        <v>2500</v>
      </c>
      <c r="AI261" s="2">
        <v>4304.740234375</v>
      </c>
      <c r="AJ261" s="2">
        <f t="shared" si="32"/>
        <v>1804.740234375</v>
      </c>
      <c r="AK261" s="6">
        <f t="shared" si="33"/>
        <v>0.72189609374999997</v>
      </c>
      <c r="AL261" s="12">
        <v>2500</v>
      </c>
      <c r="AM261" s="12">
        <v>4247.3933509975368</v>
      </c>
      <c r="AN261" s="12">
        <f t="shared" si="34"/>
        <v>1747.3933509975368</v>
      </c>
      <c r="AO261" s="13">
        <f t="shared" si="35"/>
        <v>0.69895734039901469</v>
      </c>
      <c r="AP261" s="16">
        <v>2500</v>
      </c>
      <c r="AQ261" s="16">
        <v>3250.888970244604</v>
      </c>
      <c r="AR261" s="16">
        <f t="shared" si="36"/>
        <v>750.88897024460402</v>
      </c>
      <c r="AS261" s="17">
        <f t="shared" si="37"/>
        <v>0.30035558809784163</v>
      </c>
      <c r="AT261" s="20">
        <v>2500</v>
      </c>
      <c r="AU261" s="20">
        <v>4347.861328125</v>
      </c>
      <c r="AV261" s="20">
        <f t="shared" si="38"/>
        <v>1847.861328125</v>
      </c>
      <c r="AW261" s="21">
        <f t="shared" si="39"/>
        <v>0.73914453125000001</v>
      </c>
    </row>
    <row r="262" spans="1:49" x14ac:dyDescent="0.25">
      <c r="A262" t="s">
        <v>38</v>
      </c>
      <c r="B262" t="s">
        <v>110</v>
      </c>
      <c r="C262">
        <v>71538</v>
      </c>
      <c r="D262">
        <v>2019</v>
      </c>
      <c r="E262" t="s">
        <v>341</v>
      </c>
      <c r="F262" t="s">
        <v>592</v>
      </c>
      <c r="G262" t="s">
        <v>575</v>
      </c>
      <c r="I262">
        <v>4</v>
      </c>
      <c r="J262" t="s">
        <v>61</v>
      </c>
      <c r="K262">
        <v>4</v>
      </c>
      <c r="L262" t="s">
        <v>44</v>
      </c>
      <c r="M262">
        <v>1.4</v>
      </c>
      <c r="N262" t="s">
        <v>45</v>
      </c>
      <c r="O262" t="s">
        <v>46</v>
      </c>
      <c r="P262">
        <v>3</v>
      </c>
      <c r="Q262" t="s">
        <v>62</v>
      </c>
      <c r="R262" t="s">
        <v>63</v>
      </c>
      <c r="S262" t="s">
        <v>101</v>
      </c>
      <c r="U262" t="s">
        <v>50</v>
      </c>
      <c r="V262" t="s">
        <v>51</v>
      </c>
      <c r="W262" t="s">
        <v>593</v>
      </c>
      <c r="X262" t="s">
        <v>65</v>
      </c>
      <c r="Y262" t="s">
        <v>66</v>
      </c>
      <c r="Z262">
        <v>23200</v>
      </c>
      <c r="AA262">
        <v>0</v>
      </c>
      <c r="AB262" t="s">
        <v>79</v>
      </c>
      <c r="AC262" t="s">
        <v>87</v>
      </c>
      <c r="AD262">
        <v>36</v>
      </c>
      <c r="AE262">
        <v>9</v>
      </c>
      <c r="AF262">
        <v>3</v>
      </c>
      <c r="AG262">
        <v>2025</v>
      </c>
      <c r="AH262" s="2">
        <v>10500</v>
      </c>
      <c r="AI262" s="2">
        <v>8606.84765625</v>
      </c>
      <c r="AJ262" s="2">
        <f t="shared" si="32"/>
        <v>1893.15234375</v>
      </c>
      <c r="AK262" s="6">
        <f t="shared" si="33"/>
        <v>0.18030022321428571</v>
      </c>
      <c r="AL262" s="12">
        <v>10500</v>
      </c>
      <c r="AM262" s="12">
        <v>9479.9103427486207</v>
      </c>
      <c r="AN262" s="12">
        <f t="shared" si="34"/>
        <v>1020.0896572513793</v>
      </c>
      <c r="AO262" s="13">
        <f t="shared" si="35"/>
        <v>9.7151395928702797E-2</v>
      </c>
      <c r="AP262" s="16">
        <v>10500</v>
      </c>
      <c r="AQ262" s="16">
        <v>8801.5200756974191</v>
      </c>
      <c r="AR262" s="16">
        <f t="shared" si="36"/>
        <v>1698.4799243025809</v>
      </c>
      <c r="AS262" s="17">
        <f t="shared" si="37"/>
        <v>0.16175999279072198</v>
      </c>
      <c r="AT262" s="20">
        <v>10500</v>
      </c>
      <c r="AU262" s="20">
        <v>8903.896484375</v>
      </c>
      <c r="AV262" s="20">
        <f t="shared" si="38"/>
        <v>1596.103515625</v>
      </c>
      <c r="AW262" s="21">
        <f t="shared" si="39"/>
        <v>0.15200985863095237</v>
      </c>
    </row>
    <row r="263" spans="1:49" x14ac:dyDescent="0.25">
      <c r="A263" t="s">
        <v>38</v>
      </c>
      <c r="B263" t="s">
        <v>110</v>
      </c>
      <c r="C263">
        <v>144894</v>
      </c>
      <c r="D263">
        <v>2015</v>
      </c>
      <c r="E263" t="s">
        <v>58</v>
      </c>
      <c r="F263" t="s">
        <v>239</v>
      </c>
      <c r="G263" t="s">
        <v>594</v>
      </c>
      <c r="I263">
        <v>4</v>
      </c>
      <c r="J263" t="s">
        <v>106</v>
      </c>
      <c r="K263">
        <v>4</v>
      </c>
      <c r="L263" t="s">
        <v>44</v>
      </c>
      <c r="M263">
        <v>2.4</v>
      </c>
      <c r="N263" t="s">
        <v>45</v>
      </c>
      <c r="O263" t="s">
        <v>46</v>
      </c>
      <c r="P263">
        <v>2</v>
      </c>
      <c r="Q263" t="s">
        <v>62</v>
      </c>
      <c r="R263" t="s">
        <v>63</v>
      </c>
      <c r="U263" t="s">
        <v>50</v>
      </c>
      <c r="W263" t="s">
        <v>595</v>
      </c>
      <c r="X263" t="s">
        <v>65</v>
      </c>
      <c r="Y263" t="s">
        <v>66</v>
      </c>
      <c r="AA263">
        <v>0</v>
      </c>
      <c r="AB263" t="s">
        <v>79</v>
      </c>
      <c r="AC263" t="s">
        <v>87</v>
      </c>
      <c r="AD263">
        <v>36</v>
      </c>
      <c r="AE263">
        <v>9</v>
      </c>
      <c r="AF263">
        <v>3</v>
      </c>
      <c r="AG263">
        <v>2025</v>
      </c>
      <c r="AH263" s="2">
        <v>1700</v>
      </c>
      <c r="AI263" s="2">
        <v>1874.412475585938</v>
      </c>
      <c r="AJ263" s="2">
        <f t="shared" si="32"/>
        <v>174.41247558593795</v>
      </c>
      <c r="AK263" s="6">
        <f t="shared" si="33"/>
        <v>0.10259557387408115</v>
      </c>
      <c r="AL263" s="12">
        <v>1700</v>
      </c>
      <c r="AM263" s="12">
        <v>2022.914528351957</v>
      </c>
      <c r="AN263" s="12">
        <f t="shared" si="34"/>
        <v>322.91452835195696</v>
      </c>
      <c r="AO263" s="13">
        <f t="shared" si="35"/>
        <v>0.18994972255997469</v>
      </c>
      <c r="AP263" s="16">
        <v>1700</v>
      </c>
      <c r="AQ263" s="16">
        <v>1843.5257851685949</v>
      </c>
      <c r="AR263" s="16">
        <f t="shared" si="36"/>
        <v>143.52578516859489</v>
      </c>
      <c r="AS263" s="17">
        <f t="shared" si="37"/>
        <v>8.4426932452114647E-2</v>
      </c>
      <c r="AT263" s="20">
        <v>1700</v>
      </c>
      <c r="AU263" s="20">
        <v>1871.328857421875</v>
      </c>
      <c r="AV263" s="20">
        <f t="shared" si="38"/>
        <v>171.328857421875</v>
      </c>
      <c r="AW263" s="21">
        <f t="shared" si="39"/>
        <v>0.10078168083639706</v>
      </c>
    </row>
    <row r="264" spans="1:49" x14ac:dyDescent="0.25">
      <c r="A264" t="s">
        <v>114</v>
      </c>
      <c r="B264" t="s">
        <v>596</v>
      </c>
      <c r="C264">
        <v>20753</v>
      </c>
      <c r="D264">
        <v>2022</v>
      </c>
      <c r="E264" t="s">
        <v>97</v>
      </c>
      <c r="F264" t="s">
        <v>597</v>
      </c>
      <c r="G264" t="s">
        <v>590</v>
      </c>
      <c r="I264">
        <v>4</v>
      </c>
      <c r="J264" t="s">
        <v>72</v>
      </c>
      <c r="K264">
        <v>4</v>
      </c>
      <c r="L264" t="s">
        <v>44</v>
      </c>
      <c r="M264">
        <v>2</v>
      </c>
      <c r="N264" t="s">
        <v>45</v>
      </c>
      <c r="O264" t="s">
        <v>46</v>
      </c>
      <c r="P264">
        <v>4</v>
      </c>
      <c r="Q264" t="s">
        <v>62</v>
      </c>
      <c r="R264" t="s">
        <v>63</v>
      </c>
      <c r="S264" t="s">
        <v>101</v>
      </c>
      <c r="U264" t="s">
        <v>50</v>
      </c>
      <c r="V264" t="s">
        <v>51</v>
      </c>
      <c r="W264" t="s">
        <v>458</v>
      </c>
      <c r="X264" t="s">
        <v>94</v>
      </c>
      <c r="Y264" t="s">
        <v>126</v>
      </c>
      <c r="AA264">
        <v>0</v>
      </c>
      <c r="AB264" t="s">
        <v>79</v>
      </c>
      <c r="AC264" t="s">
        <v>87</v>
      </c>
      <c r="AD264">
        <v>36</v>
      </c>
      <c r="AE264">
        <v>9</v>
      </c>
      <c r="AF264">
        <v>3</v>
      </c>
      <c r="AG264">
        <v>2025</v>
      </c>
      <c r="AH264" s="2">
        <v>21800</v>
      </c>
      <c r="AI264" s="2">
        <v>23650.69140625</v>
      </c>
      <c r="AJ264" s="2">
        <f t="shared" si="32"/>
        <v>1850.69140625</v>
      </c>
      <c r="AK264" s="6">
        <f t="shared" si="33"/>
        <v>8.4894101204128436E-2</v>
      </c>
      <c r="AL264" s="12">
        <v>21800</v>
      </c>
      <c r="AM264" s="12">
        <v>24394.866777248139</v>
      </c>
      <c r="AN264" s="12">
        <f t="shared" si="34"/>
        <v>2594.8667772481385</v>
      </c>
      <c r="AO264" s="13">
        <f t="shared" si="35"/>
        <v>0.11903058611229993</v>
      </c>
      <c r="AP264" s="16">
        <v>21800</v>
      </c>
      <c r="AQ264" s="16">
        <v>22169.998960650672</v>
      </c>
      <c r="AR264" s="16">
        <f t="shared" si="36"/>
        <v>369.99896065067151</v>
      </c>
      <c r="AS264" s="17">
        <f t="shared" si="37"/>
        <v>1.6972429387645482E-2</v>
      </c>
      <c r="AT264" s="20">
        <v>21800</v>
      </c>
      <c r="AU264" s="20">
        <v>23756.625</v>
      </c>
      <c r="AV264" s="20">
        <f t="shared" si="38"/>
        <v>1956.625</v>
      </c>
      <c r="AW264" s="21">
        <f t="shared" si="39"/>
        <v>8.9753440366972484E-2</v>
      </c>
    </row>
    <row r="265" spans="1:49" x14ac:dyDescent="0.25">
      <c r="A265" t="s">
        <v>38</v>
      </c>
      <c r="B265" t="s">
        <v>96</v>
      </c>
      <c r="C265">
        <v>95742</v>
      </c>
      <c r="D265">
        <v>2018</v>
      </c>
      <c r="E265" t="s">
        <v>69</v>
      </c>
      <c r="F265" t="s">
        <v>250</v>
      </c>
      <c r="H265" t="s">
        <v>224</v>
      </c>
      <c r="I265">
        <v>4</v>
      </c>
      <c r="J265" t="s">
        <v>106</v>
      </c>
      <c r="K265">
        <v>4</v>
      </c>
      <c r="L265" t="s">
        <v>44</v>
      </c>
      <c r="M265">
        <v>1.5</v>
      </c>
      <c r="N265" t="s">
        <v>45</v>
      </c>
      <c r="O265" t="s">
        <v>46</v>
      </c>
      <c r="P265">
        <v>2</v>
      </c>
      <c r="Q265" t="s">
        <v>62</v>
      </c>
      <c r="R265" t="s">
        <v>63</v>
      </c>
      <c r="S265" t="s">
        <v>49</v>
      </c>
      <c r="T265">
        <v>170</v>
      </c>
      <c r="U265" t="s">
        <v>50</v>
      </c>
      <c r="V265" t="s">
        <v>51</v>
      </c>
      <c r="W265" t="s">
        <v>598</v>
      </c>
      <c r="X265" t="s">
        <v>65</v>
      </c>
      <c r="Y265" t="s">
        <v>78</v>
      </c>
      <c r="Z265">
        <v>25700</v>
      </c>
      <c r="AA265">
        <v>0</v>
      </c>
      <c r="AB265" t="s">
        <v>79</v>
      </c>
      <c r="AC265" t="s">
        <v>87</v>
      </c>
      <c r="AD265">
        <v>36</v>
      </c>
      <c r="AE265">
        <v>9</v>
      </c>
      <c r="AF265">
        <v>3</v>
      </c>
      <c r="AG265">
        <v>2025</v>
      </c>
      <c r="AH265" s="2">
        <v>3600</v>
      </c>
      <c r="AI265" s="2">
        <v>4656.47607421875</v>
      </c>
      <c r="AJ265" s="2">
        <f t="shared" si="32"/>
        <v>1056.47607421875</v>
      </c>
      <c r="AK265" s="6">
        <f t="shared" si="33"/>
        <v>0.29346557617187502</v>
      </c>
      <c r="AL265" s="12">
        <v>3600</v>
      </c>
      <c r="AM265" s="12">
        <v>5260.5780079729939</v>
      </c>
      <c r="AN265" s="12">
        <f t="shared" si="34"/>
        <v>1660.5780079729939</v>
      </c>
      <c r="AO265" s="13">
        <f t="shared" si="35"/>
        <v>0.46127166888138721</v>
      </c>
      <c r="AP265" s="16">
        <v>3600</v>
      </c>
      <c r="AQ265" s="16">
        <v>4196.2716478933007</v>
      </c>
      <c r="AR265" s="16">
        <f t="shared" si="36"/>
        <v>596.27164789330072</v>
      </c>
      <c r="AS265" s="17">
        <f t="shared" si="37"/>
        <v>0.16563101330369465</v>
      </c>
      <c r="AT265" s="20">
        <v>3600</v>
      </c>
      <c r="AU265" s="20">
        <v>4726.59619140625</v>
      </c>
      <c r="AV265" s="20">
        <f t="shared" si="38"/>
        <v>1126.59619140625</v>
      </c>
      <c r="AW265" s="21">
        <f t="shared" si="39"/>
        <v>0.31294338650173609</v>
      </c>
    </row>
    <row r="266" spans="1:49" x14ac:dyDescent="0.25">
      <c r="A266" t="s">
        <v>128</v>
      </c>
      <c r="B266" t="s">
        <v>129</v>
      </c>
      <c r="C266">
        <v>224270</v>
      </c>
      <c r="D266">
        <v>2011</v>
      </c>
      <c r="E266" t="s">
        <v>166</v>
      </c>
      <c r="F266" t="s">
        <v>167</v>
      </c>
      <c r="G266" t="s">
        <v>248</v>
      </c>
      <c r="I266">
        <v>6</v>
      </c>
      <c r="J266" t="s">
        <v>599</v>
      </c>
      <c r="K266">
        <v>4</v>
      </c>
      <c r="L266" t="s">
        <v>44</v>
      </c>
      <c r="M266">
        <v>3.5</v>
      </c>
      <c r="N266" t="s">
        <v>45</v>
      </c>
      <c r="O266" t="s">
        <v>46</v>
      </c>
      <c r="Q266" t="s">
        <v>62</v>
      </c>
      <c r="R266" t="s">
        <v>63</v>
      </c>
      <c r="S266" t="s">
        <v>49</v>
      </c>
      <c r="T266">
        <v>250</v>
      </c>
      <c r="U266" t="s">
        <v>50</v>
      </c>
      <c r="V266" t="s">
        <v>76</v>
      </c>
      <c r="W266" t="s">
        <v>169</v>
      </c>
      <c r="X266" t="s">
        <v>141</v>
      </c>
      <c r="Y266" t="s">
        <v>78</v>
      </c>
      <c r="AA266">
        <v>0</v>
      </c>
      <c r="AB266" t="s">
        <v>79</v>
      </c>
      <c r="AC266" t="s">
        <v>87</v>
      </c>
      <c r="AD266">
        <v>36</v>
      </c>
      <c r="AE266">
        <v>9</v>
      </c>
      <c r="AF266">
        <v>3</v>
      </c>
      <c r="AG266">
        <v>2025</v>
      </c>
      <c r="AH266" s="2">
        <v>600</v>
      </c>
      <c r="AI266" s="2">
        <v>1628.6982421875</v>
      </c>
      <c r="AJ266" s="2">
        <f t="shared" si="32"/>
        <v>1028.6982421875</v>
      </c>
      <c r="AK266" s="6">
        <f t="shared" si="33"/>
        <v>1.7144970703125</v>
      </c>
      <c r="AL266" s="12">
        <v>600</v>
      </c>
      <c r="AM266" s="12">
        <v>2135.2527439961291</v>
      </c>
      <c r="AN266" s="12">
        <f t="shared" si="34"/>
        <v>1535.2527439961291</v>
      </c>
      <c r="AO266" s="13">
        <f t="shared" si="35"/>
        <v>2.5587545733268819</v>
      </c>
      <c r="AP266" s="16">
        <v>600</v>
      </c>
      <c r="AQ266" s="16">
        <v>1795.3952393986201</v>
      </c>
      <c r="AR266" s="16">
        <f t="shared" si="36"/>
        <v>1195.3952393986201</v>
      </c>
      <c r="AS266" s="17">
        <f t="shared" si="37"/>
        <v>1.9923253989977001</v>
      </c>
      <c r="AT266" s="20">
        <v>600</v>
      </c>
      <c r="AU266" s="20">
        <v>1641.26708984375</v>
      </c>
      <c r="AV266" s="20">
        <f t="shared" si="38"/>
        <v>1041.26708984375</v>
      </c>
      <c r="AW266" s="21">
        <f t="shared" si="39"/>
        <v>1.7354451497395833</v>
      </c>
    </row>
    <row r="267" spans="1:49" x14ac:dyDescent="0.25">
      <c r="A267" t="s">
        <v>38</v>
      </c>
      <c r="B267" t="s">
        <v>538</v>
      </c>
      <c r="C267">
        <v>9797</v>
      </c>
      <c r="D267">
        <v>2023</v>
      </c>
      <c r="E267" t="s">
        <v>40</v>
      </c>
      <c r="F267" t="s">
        <v>600</v>
      </c>
      <c r="H267" t="s">
        <v>486</v>
      </c>
      <c r="J267" t="s">
        <v>61</v>
      </c>
      <c r="K267">
        <v>4</v>
      </c>
      <c r="L267" t="s">
        <v>44</v>
      </c>
      <c r="N267" t="s">
        <v>44</v>
      </c>
      <c r="Q267" t="s">
        <v>62</v>
      </c>
      <c r="R267" t="s">
        <v>63</v>
      </c>
      <c r="S267" t="s">
        <v>93</v>
      </c>
      <c r="U267" t="s">
        <v>601</v>
      </c>
      <c r="W267" t="s">
        <v>602</v>
      </c>
      <c r="X267" t="s">
        <v>141</v>
      </c>
      <c r="Y267" t="s">
        <v>54</v>
      </c>
      <c r="AA267">
        <v>1</v>
      </c>
      <c r="AB267" t="s">
        <v>603</v>
      </c>
      <c r="AC267" t="s">
        <v>67</v>
      </c>
      <c r="AD267">
        <v>36</v>
      </c>
      <c r="AE267">
        <v>9</v>
      </c>
      <c r="AF267">
        <v>3</v>
      </c>
      <c r="AG267">
        <v>2025</v>
      </c>
      <c r="AH267" s="2">
        <v>25400</v>
      </c>
      <c r="AI267" s="2">
        <v>40323.83984375</v>
      </c>
      <c r="AJ267" s="2">
        <f t="shared" si="32"/>
        <v>14923.83984375</v>
      </c>
      <c r="AK267" s="6">
        <f t="shared" si="33"/>
        <v>0.58755274975393701</v>
      </c>
      <c r="AL267" s="12">
        <v>25400</v>
      </c>
      <c r="AM267" s="12">
        <v>35524.937556266967</v>
      </c>
      <c r="AN267" s="12">
        <f t="shared" si="34"/>
        <v>10124.937556266967</v>
      </c>
      <c r="AO267" s="13">
        <f t="shared" si="35"/>
        <v>0.39861958882940812</v>
      </c>
      <c r="AP267" s="16">
        <v>25400</v>
      </c>
      <c r="AQ267" s="16">
        <v>36267.22975798398</v>
      </c>
      <c r="AR267" s="16">
        <f t="shared" si="36"/>
        <v>10867.22975798398</v>
      </c>
      <c r="AS267" s="17">
        <f t="shared" si="37"/>
        <v>0.42784369125921179</v>
      </c>
      <c r="AT267" s="20">
        <v>25400</v>
      </c>
      <c r="AU267" s="20">
        <v>38878.078125</v>
      </c>
      <c r="AV267" s="20">
        <f t="shared" si="38"/>
        <v>13478.078125</v>
      </c>
      <c r="AW267" s="21">
        <f t="shared" si="39"/>
        <v>0.53063299704724409</v>
      </c>
    </row>
    <row r="268" spans="1:49" x14ac:dyDescent="0.25">
      <c r="A268" t="s">
        <v>38</v>
      </c>
      <c r="B268" t="s">
        <v>39</v>
      </c>
      <c r="C268">
        <v>76627</v>
      </c>
      <c r="D268">
        <v>2017</v>
      </c>
      <c r="E268" t="s">
        <v>604</v>
      </c>
      <c r="F268" t="s">
        <v>605</v>
      </c>
      <c r="G268" t="s">
        <v>606</v>
      </c>
      <c r="I268">
        <v>8</v>
      </c>
      <c r="J268" t="s">
        <v>135</v>
      </c>
      <c r="K268">
        <v>4</v>
      </c>
      <c r="L268" t="s">
        <v>44</v>
      </c>
      <c r="M268">
        <v>5</v>
      </c>
      <c r="N268" t="s">
        <v>73</v>
      </c>
      <c r="O268" t="s">
        <v>46</v>
      </c>
      <c r="Q268" t="s">
        <v>47</v>
      </c>
      <c r="R268" t="s">
        <v>123</v>
      </c>
      <c r="T268">
        <v>420</v>
      </c>
      <c r="U268" t="s">
        <v>50</v>
      </c>
      <c r="X268" t="s">
        <v>125</v>
      </c>
      <c r="Y268" t="s">
        <v>66</v>
      </c>
      <c r="AA268">
        <v>0</v>
      </c>
      <c r="AB268" t="s">
        <v>79</v>
      </c>
      <c r="AC268" t="s">
        <v>127</v>
      </c>
      <c r="AD268">
        <v>36</v>
      </c>
      <c r="AE268">
        <v>9</v>
      </c>
      <c r="AF268">
        <v>3</v>
      </c>
      <c r="AG268">
        <v>2025</v>
      </c>
      <c r="AH268" s="2">
        <v>14250</v>
      </c>
      <c r="AI268" s="2">
        <v>14461.318359375</v>
      </c>
      <c r="AJ268" s="2">
        <f t="shared" si="32"/>
        <v>211.318359375</v>
      </c>
      <c r="AK268" s="6">
        <f t="shared" si="33"/>
        <v>1.4829358552631578E-2</v>
      </c>
      <c r="AL268" s="12">
        <v>14250</v>
      </c>
      <c r="AM268" s="12">
        <v>14357.457373919469</v>
      </c>
      <c r="AN268" s="12">
        <f t="shared" si="34"/>
        <v>107.45737391946932</v>
      </c>
      <c r="AO268" s="13">
        <f t="shared" si="35"/>
        <v>7.5408683452259173E-3</v>
      </c>
      <c r="AP268" s="16">
        <v>14250</v>
      </c>
      <c r="AQ268" s="16">
        <v>16905.134888565139</v>
      </c>
      <c r="AR268" s="16">
        <f t="shared" si="36"/>
        <v>2655.1348885651387</v>
      </c>
      <c r="AS268" s="17">
        <f t="shared" si="37"/>
        <v>0.18632525533790448</v>
      </c>
      <c r="AT268" s="20">
        <v>14250</v>
      </c>
      <c r="AU268" s="20">
        <v>14313.931640625</v>
      </c>
      <c r="AV268" s="20">
        <f t="shared" si="38"/>
        <v>63.931640625</v>
      </c>
      <c r="AW268" s="21">
        <f t="shared" si="39"/>
        <v>4.4864309210526313E-3</v>
      </c>
    </row>
    <row r="269" spans="1:49" x14ac:dyDescent="0.25">
      <c r="A269" t="s">
        <v>38</v>
      </c>
      <c r="B269" t="s">
        <v>68</v>
      </c>
      <c r="C269">
        <v>137767</v>
      </c>
      <c r="D269">
        <v>2018</v>
      </c>
      <c r="E269" t="s">
        <v>69</v>
      </c>
      <c r="F269" t="s">
        <v>607</v>
      </c>
      <c r="H269" t="s">
        <v>608</v>
      </c>
      <c r="I269">
        <v>6</v>
      </c>
      <c r="J269" t="s">
        <v>61</v>
      </c>
      <c r="K269">
        <v>4</v>
      </c>
      <c r="L269" t="s">
        <v>44</v>
      </c>
      <c r="M269">
        <v>3.5</v>
      </c>
      <c r="N269" t="s">
        <v>45</v>
      </c>
      <c r="O269" t="s">
        <v>46</v>
      </c>
      <c r="Q269" t="s">
        <v>47</v>
      </c>
      <c r="R269" t="s">
        <v>123</v>
      </c>
      <c r="S269" t="s">
        <v>101</v>
      </c>
      <c r="T269">
        <v>288</v>
      </c>
      <c r="U269" t="s">
        <v>50</v>
      </c>
      <c r="V269" t="s">
        <v>76</v>
      </c>
      <c r="W269" t="s">
        <v>609</v>
      </c>
      <c r="X269" t="s">
        <v>125</v>
      </c>
      <c r="Y269" t="s">
        <v>78</v>
      </c>
      <c r="Z269">
        <v>30120</v>
      </c>
      <c r="AA269">
        <v>0</v>
      </c>
      <c r="AB269" t="s">
        <v>79</v>
      </c>
      <c r="AC269" t="s">
        <v>127</v>
      </c>
      <c r="AD269">
        <v>36</v>
      </c>
      <c r="AE269">
        <v>9</v>
      </c>
      <c r="AF269">
        <v>3</v>
      </c>
      <c r="AG269">
        <v>2025</v>
      </c>
      <c r="AH269" s="2">
        <v>4200</v>
      </c>
      <c r="AI269" s="2">
        <v>6643.95263671875</v>
      </c>
      <c r="AJ269" s="2">
        <f t="shared" si="32"/>
        <v>2443.95263671875</v>
      </c>
      <c r="AK269" s="6">
        <f t="shared" si="33"/>
        <v>0.58189348493303572</v>
      </c>
      <c r="AL269" s="12">
        <v>4200</v>
      </c>
      <c r="AM269" s="12">
        <v>6324.2720335582644</v>
      </c>
      <c r="AN269" s="12">
        <f t="shared" si="34"/>
        <v>2124.2720335582644</v>
      </c>
      <c r="AO269" s="13">
        <f t="shared" si="35"/>
        <v>0.50577905560911063</v>
      </c>
      <c r="AP269" s="16">
        <v>4200</v>
      </c>
      <c r="AQ269" s="16">
        <v>4760.2519302797064</v>
      </c>
      <c r="AR269" s="16">
        <f t="shared" si="36"/>
        <v>560.25193027970636</v>
      </c>
      <c r="AS269" s="17">
        <f t="shared" si="37"/>
        <v>0.13339331673326341</v>
      </c>
      <c r="AT269" s="20">
        <v>4200</v>
      </c>
      <c r="AU269" s="20">
        <v>6671.919921875</v>
      </c>
      <c r="AV269" s="20">
        <f t="shared" si="38"/>
        <v>2471.919921875</v>
      </c>
      <c r="AW269" s="21">
        <f t="shared" si="39"/>
        <v>0.58855236235119046</v>
      </c>
    </row>
    <row r="270" spans="1:49" x14ac:dyDescent="0.25">
      <c r="A270" t="s">
        <v>38</v>
      </c>
      <c r="B270" t="s">
        <v>110</v>
      </c>
      <c r="C270">
        <v>149454</v>
      </c>
      <c r="D270">
        <v>2018</v>
      </c>
      <c r="E270" t="s">
        <v>142</v>
      </c>
      <c r="F270" t="s">
        <v>335</v>
      </c>
      <c r="G270" t="s">
        <v>610</v>
      </c>
      <c r="I270">
        <v>4</v>
      </c>
      <c r="J270" t="s">
        <v>135</v>
      </c>
      <c r="K270">
        <v>4</v>
      </c>
      <c r="L270" t="s">
        <v>44</v>
      </c>
      <c r="M270">
        <v>2.4</v>
      </c>
      <c r="N270" t="s">
        <v>45</v>
      </c>
      <c r="O270" t="s">
        <v>46</v>
      </c>
      <c r="P270">
        <v>2</v>
      </c>
      <c r="Q270" t="s">
        <v>62</v>
      </c>
      <c r="R270" t="s">
        <v>63</v>
      </c>
      <c r="S270" t="s">
        <v>101</v>
      </c>
      <c r="T270">
        <v>180</v>
      </c>
      <c r="U270" t="s">
        <v>50</v>
      </c>
      <c r="V270" t="s">
        <v>51</v>
      </c>
      <c r="X270" t="s">
        <v>65</v>
      </c>
      <c r="Y270" t="s">
        <v>126</v>
      </c>
      <c r="Z270">
        <v>24395</v>
      </c>
      <c r="AA270">
        <v>0</v>
      </c>
      <c r="AB270" t="s">
        <v>79</v>
      </c>
      <c r="AC270" t="s">
        <v>87</v>
      </c>
      <c r="AD270">
        <v>36</v>
      </c>
      <c r="AE270">
        <v>9</v>
      </c>
      <c r="AF270">
        <v>3</v>
      </c>
      <c r="AG270">
        <v>2025</v>
      </c>
      <c r="AH270" s="2">
        <v>3300</v>
      </c>
      <c r="AI270" s="2">
        <v>3520.687744140625</v>
      </c>
      <c r="AJ270" s="2">
        <f t="shared" si="32"/>
        <v>220.687744140625</v>
      </c>
      <c r="AK270" s="6">
        <f t="shared" si="33"/>
        <v>6.687507398200758E-2</v>
      </c>
      <c r="AL270" s="12">
        <v>3300</v>
      </c>
      <c r="AM270" s="12">
        <v>2931.5085614245372</v>
      </c>
      <c r="AN270" s="12">
        <f t="shared" si="34"/>
        <v>368.49143857546278</v>
      </c>
      <c r="AO270" s="13">
        <f t="shared" si="35"/>
        <v>0.11166407229559479</v>
      </c>
      <c r="AP270" s="16">
        <v>3300</v>
      </c>
      <c r="AQ270" s="16">
        <v>3057.1965317124718</v>
      </c>
      <c r="AR270" s="16">
        <f t="shared" si="36"/>
        <v>242.80346828752818</v>
      </c>
      <c r="AS270" s="17">
        <f t="shared" si="37"/>
        <v>7.3576808571978236E-2</v>
      </c>
      <c r="AT270" s="20">
        <v>3300</v>
      </c>
      <c r="AU270" s="20">
        <v>3549.405517578125</v>
      </c>
      <c r="AV270" s="20">
        <f t="shared" si="38"/>
        <v>249.405517578125</v>
      </c>
      <c r="AW270" s="21">
        <f t="shared" si="39"/>
        <v>7.5577429569128787E-2</v>
      </c>
    </row>
    <row r="271" spans="1:49" x14ac:dyDescent="0.25">
      <c r="A271" t="s">
        <v>38</v>
      </c>
      <c r="B271" t="s">
        <v>39</v>
      </c>
      <c r="C271">
        <v>86233</v>
      </c>
      <c r="D271">
        <v>2010</v>
      </c>
      <c r="E271" t="s">
        <v>263</v>
      </c>
      <c r="F271" t="s">
        <v>611</v>
      </c>
      <c r="H271" t="s">
        <v>359</v>
      </c>
      <c r="I271">
        <v>4</v>
      </c>
      <c r="J271" t="s">
        <v>106</v>
      </c>
      <c r="K271">
        <v>4</v>
      </c>
      <c r="L271" t="s">
        <v>402</v>
      </c>
      <c r="M271">
        <v>2.2999999999999998</v>
      </c>
      <c r="N271" t="s">
        <v>45</v>
      </c>
      <c r="O271" t="s">
        <v>46</v>
      </c>
      <c r="Q271" t="s">
        <v>47</v>
      </c>
      <c r="R271" t="s">
        <v>48</v>
      </c>
      <c r="U271" t="s">
        <v>50</v>
      </c>
      <c r="W271" t="s">
        <v>612</v>
      </c>
      <c r="X271" t="s">
        <v>125</v>
      </c>
      <c r="Y271" t="s">
        <v>54</v>
      </c>
      <c r="AA271">
        <v>0</v>
      </c>
      <c r="AB271" t="s">
        <v>79</v>
      </c>
      <c r="AC271" t="s">
        <v>359</v>
      </c>
      <c r="AD271">
        <v>36</v>
      </c>
      <c r="AE271">
        <v>9</v>
      </c>
      <c r="AF271">
        <v>3</v>
      </c>
      <c r="AG271">
        <v>2025</v>
      </c>
      <c r="AH271" s="2">
        <v>5000</v>
      </c>
      <c r="AI271" s="2">
        <v>2674.885009765625</v>
      </c>
      <c r="AJ271" s="2">
        <f t="shared" si="32"/>
        <v>2325.114990234375</v>
      </c>
      <c r="AK271" s="6">
        <f t="shared" si="33"/>
        <v>0.46502299804687502</v>
      </c>
      <c r="AL271" s="12">
        <v>5000</v>
      </c>
      <c r="AM271" s="12">
        <v>2849.583165635629</v>
      </c>
      <c r="AN271" s="12">
        <f t="shared" si="34"/>
        <v>2150.416834364371</v>
      </c>
      <c r="AO271" s="13">
        <f t="shared" si="35"/>
        <v>0.43008336687287418</v>
      </c>
      <c r="AP271" s="16">
        <v>5000</v>
      </c>
      <c r="AQ271" s="16">
        <v>2625.3151384633952</v>
      </c>
      <c r="AR271" s="16">
        <f t="shared" si="36"/>
        <v>2374.6848615366048</v>
      </c>
      <c r="AS271" s="17">
        <f t="shared" si="37"/>
        <v>0.47493697230732096</v>
      </c>
      <c r="AT271" s="20">
        <v>5000</v>
      </c>
      <c r="AU271" s="20">
        <v>2723.605712890625</v>
      </c>
      <c r="AV271" s="20">
        <f t="shared" si="38"/>
        <v>2276.394287109375</v>
      </c>
      <c r="AW271" s="21">
        <f t="shared" si="39"/>
        <v>0.45527885742187502</v>
      </c>
    </row>
    <row r="272" spans="1:49" x14ac:dyDescent="0.25">
      <c r="A272" t="s">
        <v>128</v>
      </c>
      <c r="B272" t="s">
        <v>129</v>
      </c>
      <c r="C272">
        <v>139698</v>
      </c>
      <c r="D272">
        <v>2013</v>
      </c>
      <c r="E272" t="s">
        <v>166</v>
      </c>
      <c r="F272" t="s">
        <v>562</v>
      </c>
      <c r="G272" t="s">
        <v>613</v>
      </c>
      <c r="I272">
        <v>4</v>
      </c>
      <c r="J272" t="s">
        <v>72</v>
      </c>
      <c r="K272">
        <v>4</v>
      </c>
      <c r="L272" t="s">
        <v>44</v>
      </c>
      <c r="M272">
        <v>2.4</v>
      </c>
      <c r="N272" t="s">
        <v>45</v>
      </c>
      <c r="Q272" t="s">
        <v>47</v>
      </c>
      <c r="R272" t="s">
        <v>123</v>
      </c>
      <c r="T272">
        <v>185</v>
      </c>
      <c r="U272" t="s">
        <v>50</v>
      </c>
      <c r="V272" t="s">
        <v>51</v>
      </c>
      <c r="W272" t="s">
        <v>614</v>
      </c>
      <c r="X272" t="s">
        <v>65</v>
      </c>
      <c r="Y272" t="s">
        <v>78</v>
      </c>
      <c r="AA272">
        <v>0</v>
      </c>
      <c r="AB272" t="s">
        <v>79</v>
      </c>
      <c r="AC272" t="s">
        <v>127</v>
      </c>
      <c r="AD272">
        <v>36</v>
      </c>
      <c r="AE272">
        <v>9</v>
      </c>
      <c r="AF272">
        <v>3</v>
      </c>
      <c r="AG272">
        <v>2025</v>
      </c>
      <c r="AH272" s="2">
        <v>8800</v>
      </c>
      <c r="AI272" s="2">
        <v>5035.4462890625</v>
      </c>
      <c r="AJ272" s="2">
        <f t="shared" si="32"/>
        <v>3764.5537109375</v>
      </c>
      <c r="AK272" s="6">
        <f t="shared" si="33"/>
        <v>0.42779019442471589</v>
      </c>
      <c r="AL272" s="12">
        <v>8800</v>
      </c>
      <c r="AM272" s="12">
        <v>4610.4039041422566</v>
      </c>
      <c r="AN272" s="12">
        <f t="shared" si="34"/>
        <v>4189.5960958577434</v>
      </c>
      <c r="AO272" s="13">
        <f t="shared" si="35"/>
        <v>0.47609046543837996</v>
      </c>
      <c r="AP272" s="16">
        <v>8800</v>
      </c>
      <c r="AQ272" s="16">
        <v>4266.1306739984038</v>
      </c>
      <c r="AR272" s="16">
        <f t="shared" si="36"/>
        <v>4533.8693260015962</v>
      </c>
      <c r="AS272" s="17">
        <f t="shared" si="37"/>
        <v>0.51521242340927231</v>
      </c>
      <c r="AT272" s="20">
        <v>8800</v>
      </c>
      <c r="AU272" s="20">
        <v>5045.64892578125</v>
      </c>
      <c r="AV272" s="20">
        <f t="shared" si="38"/>
        <v>3754.35107421875</v>
      </c>
      <c r="AW272" s="21">
        <f t="shared" si="39"/>
        <v>0.42663080388849434</v>
      </c>
    </row>
    <row r="273" spans="1:49" x14ac:dyDescent="0.25">
      <c r="A273" t="s">
        <v>128</v>
      </c>
      <c r="B273" t="s">
        <v>210</v>
      </c>
      <c r="C273">
        <v>106630</v>
      </c>
      <c r="D273">
        <v>2016</v>
      </c>
      <c r="E273" t="s">
        <v>146</v>
      </c>
      <c r="F273" t="s">
        <v>279</v>
      </c>
      <c r="I273">
        <v>4</v>
      </c>
      <c r="J273" t="s">
        <v>43</v>
      </c>
      <c r="K273">
        <v>4</v>
      </c>
      <c r="L273" t="s">
        <v>44</v>
      </c>
      <c r="M273">
        <v>1.8</v>
      </c>
      <c r="N273" t="s">
        <v>45</v>
      </c>
      <c r="O273" t="s">
        <v>46</v>
      </c>
      <c r="Q273" t="s">
        <v>47</v>
      </c>
      <c r="R273" t="s">
        <v>123</v>
      </c>
      <c r="S273" t="s">
        <v>49</v>
      </c>
      <c r="U273" t="s">
        <v>50</v>
      </c>
      <c r="X273" t="s">
        <v>125</v>
      </c>
      <c r="Y273" t="s">
        <v>126</v>
      </c>
      <c r="AA273">
        <v>0</v>
      </c>
      <c r="AB273" t="s">
        <v>79</v>
      </c>
      <c r="AC273" t="s">
        <v>127</v>
      </c>
      <c r="AD273">
        <v>36</v>
      </c>
      <c r="AE273">
        <v>9</v>
      </c>
      <c r="AF273">
        <v>3</v>
      </c>
      <c r="AG273">
        <v>2025</v>
      </c>
      <c r="AH273" s="2">
        <v>1700</v>
      </c>
      <c r="AI273" s="2">
        <v>2447.32470703125</v>
      </c>
      <c r="AJ273" s="2">
        <f t="shared" si="32"/>
        <v>747.32470703125</v>
      </c>
      <c r="AK273" s="6">
        <f t="shared" si="33"/>
        <v>0.43960276884191174</v>
      </c>
      <c r="AL273" s="12">
        <v>1700</v>
      </c>
      <c r="AM273" s="12">
        <v>3555.5800109344541</v>
      </c>
      <c r="AN273" s="12">
        <f t="shared" si="34"/>
        <v>1855.5800109344541</v>
      </c>
      <c r="AO273" s="13">
        <f t="shared" si="35"/>
        <v>1.0915176534908553</v>
      </c>
      <c r="AP273" s="16">
        <v>1700</v>
      </c>
      <c r="AQ273" s="16">
        <v>2735.8409119111402</v>
      </c>
      <c r="AR273" s="16">
        <f t="shared" si="36"/>
        <v>1035.8409119111402</v>
      </c>
      <c r="AS273" s="17">
        <f t="shared" si="37"/>
        <v>0.60931818347714128</v>
      </c>
      <c r="AT273" s="20">
        <v>1700</v>
      </c>
      <c r="AU273" s="20">
        <v>2509.688720703125</v>
      </c>
      <c r="AV273" s="20">
        <f t="shared" si="38"/>
        <v>809.688720703125</v>
      </c>
      <c r="AW273" s="21">
        <f t="shared" si="39"/>
        <v>0.47628748276654409</v>
      </c>
    </row>
    <row r="274" spans="1:49" x14ac:dyDescent="0.25">
      <c r="A274" t="s">
        <v>38</v>
      </c>
      <c r="B274" t="s">
        <v>110</v>
      </c>
      <c r="C274">
        <v>25721</v>
      </c>
      <c r="D274">
        <v>2024</v>
      </c>
      <c r="E274" t="s">
        <v>286</v>
      </c>
      <c r="F274" t="s">
        <v>615</v>
      </c>
      <c r="G274" t="s">
        <v>288</v>
      </c>
      <c r="H274" t="s">
        <v>616</v>
      </c>
      <c r="I274">
        <v>4</v>
      </c>
      <c r="J274" t="s">
        <v>72</v>
      </c>
      <c r="K274">
        <v>4</v>
      </c>
      <c r="L274" t="s">
        <v>44</v>
      </c>
      <c r="M274">
        <v>2.4</v>
      </c>
      <c r="N274" t="s">
        <v>73</v>
      </c>
      <c r="Q274" t="s">
        <v>62</v>
      </c>
      <c r="R274" t="s">
        <v>63</v>
      </c>
      <c r="S274" t="s">
        <v>49</v>
      </c>
      <c r="T274">
        <v>275</v>
      </c>
      <c r="U274" t="s">
        <v>50</v>
      </c>
      <c r="V274" t="s">
        <v>51</v>
      </c>
      <c r="W274" t="s">
        <v>617</v>
      </c>
      <c r="X274" t="s">
        <v>94</v>
      </c>
      <c r="Y274" t="s">
        <v>78</v>
      </c>
      <c r="AA274">
        <v>0</v>
      </c>
      <c r="AB274" t="s">
        <v>79</v>
      </c>
      <c r="AC274" t="s">
        <v>87</v>
      </c>
      <c r="AD274">
        <v>36</v>
      </c>
      <c r="AE274">
        <v>9</v>
      </c>
      <c r="AF274">
        <v>3</v>
      </c>
      <c r="AG274">
        <v>2025</v>
      </c>
      <c r="AH274" s="2">
        <v>50500</v>
      </c>
      <c r="AI274" s="2">
        <v>53025.734375</v>
      </c>
      <c r="AJ274" s="2">
        <f t="shared" si="32"/>
        <v>2525.734375</v>
      </c>
      <c r="AK274" s="6">
        <f t="shared" si="33"/>
        <v>5.001454207920792E-2</v>
      </c>
      <c r="AL274" s="12">
        <v>50500</v>
      </c>
      <c r="AM274" s="12">
        <v>45563.908356350417</v>
      </c>
      <c r="AN274" s="12">
        <f t="shared" si="34"/>
        <v>4936.0916436495827</v>
      </c>
      <c r="AO274" s="13">
        <f t="shared" si="35"/>
        <v>9.7744388983160055E-2</v>
      </c>
      <c r="AP274" s="16">
        <v>50500</v>
      </c>
      <c r="AQ274" s="16">
        <v>43177.945955831092</v>
      </c>
      <c r="AR274" s="16">
        <f t="shared" si="36"/>
        <v>7322.0540441689081</v>
      </c>
      <c r="AS274" s="17">
        <f t="shared" si="37"/>
        <v>0.14499116919146351</v>
      </c>
      <c r="AT274" s="20">
        <v>50500</v>
      </c>
      <c r="AU274" s="20">
        <v>52849.28515625</v>
      </c>
      <c r="AV274" s="20">
        <f t="shared" si="38"/>
        <v>2349.28515625</v>
      </c>
      <c r="AW274" s="21">
        <f t="shared" si="39"/>
        <v>4.6520498143564355E-2</v>
      </c>
    </row>
    <row r="275" spans="1:49" x14ac:dyDescent="0.25">
      <c r="A275" t="s">
        <v>38</v>
      </c>
      <c r="B275" t="s">
        <v>96</v>
      </c>
      <c r="C275">
        <v>78593</v>
      </c>
      <c r="D275">
        <v>2016</v>
      </c>
      <c r="E275" t="s">
        <v>69</v>
      </c>
      <c r="F275" t="s">
        <v>250</v>
      </c>
      <c r="H275" t="s">
        <v>447</v>
      </c>
      <c r="I275">
        <v>4</v>
      </c>
      <c r="J275" t="s">
        <v>43</v>
      </c>
      <c r="K275">
        <v>4</v>
      </c>
      <c r="L275" t="s">
        <v>44</v>
      </c>
      <c r="M275">
        <v>2</v>
      </c>
      <c r="N275" t="s">
        <v>45</v>
      </c>
      <c r="O275" t="s">
        <v>100</v>
      </c>
      <c r="P275">
        <v>2</v>
      </c>
      <c r="Q275" t="s">
        <v>62</v>
      </c>
      <c r="R275" t="s">
        <v>63</v>
      </c>
      <c r="S275" t="s">
        <v>49</v>
      </c>
      <c r="T275">
        <v>240</v>
      </c>
      <c r="U275" t="s">
        <v>50</v>
      </c>
      <c r="V275" t="s">
        <v>51</v>
      </c>
      <c r="X275" t="s">
        <v>65</v>
      </c>
      <c r="Y275" t="s">
        <v>78</v>
      </c>
      <c r="AA275">
        <v>0</v>
      </c>
      <c r="AB275" t="s">
        <v>79</v>
      </c>
      <c r="AC275" t="s">
        <v>87</v>
      </c>
      <c r="AD275">
        <v>36</v>
      </c>
      <c r="AE275">
        <v>9</v>
      </c>
      <c r="AF275">
        <v>3</v>
      </c>
      <c r="AG275">
        <v>2025</v>
      </c>
      <c r="AH275" s="2">
        <v>2100</v>
      </c>
      <c r="AI275" s="2">
        <v>2785.46484375</v>
      </c>
      <c r="AJ275" s="2">
        <f t="shared" si="32"/>
        <v>685.46484375</v>
      </c>
      <c r="AK275" s="6">
        <f t="shared" si="33"/>
        <v>0.32641183035714288</v>
      </c>
      <c r="AL275" s="12">
        <v>2100</v>
      </c>
      <c r="AM275" s="12">
        <v>3204.8634300125909</v>
      </c>
      <c r="AN275" s="12">
        <f t="shared" si="34"/>
        <v>1104.8634300125909</v>
      </c>
      <c r="AO275" s="13">
        <f t="shared" si="35"/>
        <v>0.52612544286313856</v>
      </c>
      <c r="AP275" s="16">
        <v>2100</v>
      </c>
      <c r="AQ275" s="16">
        <v>2648.1900654870219</v>
      </c>
      <c r="AR275" s="16">
        <f t="shared" si="36"/>
        <v>548.19006548702191</v>
      </c>
      <c r="AS275" s="17">
        <f t="shared" si="37"/>
        <v>0.26104288832715328</v>
      </c>
      <c r="AT275" s="20">
        <v>2100</v>
      </c>
      <c r="AU275" s="20">
        <v>2838.12451171875</v>
      </c>
      <c r="AV275" s="20">
        <f t="shared" si="38"/>
        <v>738.12451171875</v>
      </c>
      <c r="AW275" s="21">
        <f t="shared" si="39"/>
        <v>0.35148786272321431</v>
      </c>
    </row>
    <row r="276" spans="1:49" x14ac:dyDescent="0.25">
      <c r="A276" t="s">
        <v>38</v>
      </c>
      <c r="B276" t="s">
        <v>39</v>
      </c>
      <c r="C276">
        <v>203253</v>
      </c>
      <c r="D276">
        <v>2004</v>
      </c>
      <c r="E276" t="s">
        <v>618</v>
      </c>
      <c r="F276" t="s">
        <v>619</v>
      </c>
      <c r="H276" t="s">
        <v>620</v>
      </c>
      <c r="I276">
        <v>6</v>
      </c>
      <c r="J276" t="s">
        <v>277</v>
      </c>
      <c r="K276">
        <v>4</v>
      </c>
      <c r="L276" t="s">
        <v>44</v>
      </c>
      <c r="M276">
        <v>3.4</v>
      </c>
      <c r="N276" t="s">
        <v>45</v>
      </c>
      <c r="O276" t="s">
        <v>46</v>
      </c>
      <c r="Q276" t="s">
        <v>47</v>
      </c>
      <c r="R276" t="s">
        <v>123</v>
      </c>
      <c r="U276" t="s">
        <v>50</v>
      </c>
      <c r="V276" t="s">
        <v>76</v>
      </c>
      <c r="W276" t="s">
        <v>621</v>
      </c>
      <c r="X276" t="s">
        <v>125</v>
      </c>
      <c r="Y276" t="s">
        <v>78</v>
      </c>
      <c r="AA276">
        <v>0</v>
      </c>
      <c r="AB276" t="s">
        <v>79</v>
      </c>
      <c r="AC276" t="s">
        <v>127</v>
      </c>
      <c r="AD276">
        <v>36</v>
      </c>
      <c r="AE276">
        <v>9</v>
      </c>
      <c r="AF276">
        <v>3</v>
      </c>
      <c r="AG276">
        <v>2025</v>
      </c>
      <c r="AH276" s="2">
        <v>500</v>
      </c>
      <c r="AI276" s="2">
        <v>600.93609619140625</v>
      </c>
      <c r="AJ276" s="2">
        <f t="shared" si="32"/>
        <v>100.93609619140625</v>
      </c>
      <c r="AK276" s="6">
        <f t="shared" si="33"/>
        <v>0.20187219238281251</v>
      </c>
      <c r="AL276" s="12">
        <v>500</v>
      </c>
      <c r="AM276" s="12">
        <v>604.77145348901479</v>
      </c>
      <c r="AN276" s="12">
        <f t="shared" si="34"/>
        <v>104.77145348901479</v>
      </c>
      <c r="AO276" s="13">
        <f t="shared" si="35"/>
        <v>0.20954290697802957</v>
      </c>
      <c r="AP276" s="16">
        <v>500</v>
      </c>
      <c r="AQ276" s="16">
        <v>572.10312328020348</v>
      </c>
      <c r="AR276" s="16">
        <f t="shared" si="36"/>
        <v>72.103123280203476</v>
      </c>
      <c r="AS276" s="17">
        <f t="shared" si="37"/>
        <v>0.14420624656040695</v>
      </c>
      <c r="AT276" s="20">
        <v>500</v>
      </c>
      <c r="AU276" s="20">
        <v>590.930908203125</v>
      </c>
      <c r="AV276" s="20">
        <f t="shared" si="38"/>
        <v>90.930908203125</v>
      </c>
      <c r="AW276" s="21">
        <f t="shared" si="39"/>
        <v>0.18186181640624999</v>
      </c>
    </row>
    <row r="277" spans="1:49" x14ac:dyDescent="0.25">
      <c r="A277" t="s">
        <v>38</v>
      </c>
      <c r="B277" t="s">
        <v>96</v>
      </c>
      <c r="C277">
        <v>126442</v>
      </c>
      <c r="D277">
        <v>2020</v>
      </c>
      <c r="E277" t="s">
        <v>341</v>
      </c>
      <c r="F277" t="s">
        <v>622</v>
      </c>
      <c r="G277" t="s">
        <v>575</v>
      </c>
      <c r="I277">
        <v>4</v>
      </c>
      <c r="J277" t="s">
        <v>135</v>
      </c>
      <c r="K277">
        <v>4</v>
      </c>
      <c r="L277" t="s">
        <v>44</v>
      </c>
      <c r="M277">
        <v>2.5</v>
      </c>
      <c r="N277" t="s">
        <v>45</v>
      </c>
      <c r="O277" t="s">
        <v>46</v>
      </c>
      <c r="P277">
        <v>2</v>
      </c>
      <c r="Q277" t="s">
        <v>62</v>
      </c>
      <c r="R277" t="s">
        <v>63</v>
      </c>
      <c r="S277" t="s">
        <v>101</v>
      </c>
      <c r="U277" t="s">
        <v>50</v>
      </c>
      <c r="V277" t="s">
        <v>51</v>
      </c>
      <c r="W277" t="s">
        <v>623</v>
      </c>
      <c r="X277" t="s">
        <v>141</v>
      </c>
      <c r="Y277" t="s">
        <v>624</v>
      </c>
      <c r="Z277">
        <v>36995</v>
      </c>
      <c r="AA277">
        <v>0</v>
      </c>
      <c r="AB277" t="s">
        <v>79</v>
      </c>
      <c r="AC277" t="s">
        <v>87</v>
      </c>
      <c r="AD277">
        <v>36</v>
      </c>
      <c r="AE277">
        <v>9</v>
      </c>
      <c r="AF277">
        <v>3</v>
      </c>
      <c r="AG277">
        <v>2025</v>
      </c>
      <c r="AH277" s="2">
        <v>7750</v>
      </c>
      <c r="AI277" s="2">
        <v>6560.40771484375</v>
      </c>
      <c r="AJ277" s="2">
        <f t="shared" si="32"/>
        <v>1189.59228515625</v>
      </c>
      <c r="AK277" s="6">
        <f t="shared" si="33"/>
        <v>0.15349577872983872</v>
      </c>
      <c r="AL277" s="12">
        <v>7750</v>
      </c>
      <c r="AM277" s="12">
        <v>6716.330029549069</v>
      </c>
      <c r="AN277" s="12">
        <f t="shared" si="34"/>
        <v>1033.669970450931</v>
      </c>
      <c r="AO277" s="13">
        <f t="shared" si="35"/>
        <v>0.13337677038076529</v>
      </c>
      <c r="AP277" s="16">
        <v>7750</v>
      </c>
      <c r="AQ277" s="16">
        <v>6341.2685354699288</v>
      </c>
      <c r="AR277" s="16">
        <f t="shared" si="36"/>
        <v>1408.7314645300712</v>
      </c>
      <c r="AS277" s="17">
        <f t="shared" si="37"/>
        <v>0.1817718018748479</v>
      </c>
      <c r="AT277" s="20">
        <v>7750</v>
      </c>
      <c r="AU277" s="20">
        <v>6674.56787109375</v>
      </c>
      <c r="AV277" s="20">
        <f t="shared" si="38"/>
        <v>1075.43212890625</v>
      </c>
      <c r="AW277" s="21">
        <f t="shared" si="39"/>
        <v>0.13876543598790322</v>
      </c>
    </row>
    <row r="278" spans="1:49" x14ac:dyDescent="0.25">
      <c r="A278" t="s">
        <v>38</v>
      </c>
      <c r="B278" t="s">
        <v>39</v>
      </c>
      <c r="C278">
        <v>86726</v>
      </c>
      <c r="D278">
        <v>2017</v>
      </c>
      <c r="E278" t="s">
        <v>142</v>
      </c>
      <c r="F278" t="s">
        <v>373</v>
      </c>
      <c r="G278" t="s">
        <v>398</v>
      </c>
      <c r="H278" t="s">
        <v>375</v>
      </c>
      <c r="I278">
        <v>6</v>
      </c>
      <c r="J278" t="s">
        <v>61</v>
      </c>
      <c r="K278">
        <v>4</v>
      </c>
      <c r="L278" t="s">
        <v>44</v>
      </c>
      <c r="M278">
        <v>3.6</v>
      </c>
      <c r="N278" t="s">
        <v>73</v>
      </c>
      <c r="O278" t="s">
        <v>46</v>
      </c>
      <c r="Q278" t="s">
        <v>62</v>
      </c>
      <c r="R278" t="s">
        <v>63</v>
      </c>
      <c r="S278" t="s">
        <v>49</v>
      </c>
      <c r="T278">
        <v>295</v>
      </c>
      <c r="U278" t="s">
        <v>50</v>
      </c>
      <c r="V278" t="s">
        <v>76</v>
      </c>
      <c r="X278" t="s">
        <v>94</v>
      </c>
      <c r="Y278" t="s">
        <v>78</v>
      </c>
      <c r="Z278">
        <v>30395</v>
      </c>
      <c r="AA278">
        <v>0</v>
      </c>
      <c r="AB278" t="s">
        <v>79</v>
      </c>
      <c r="AC278" t="s">
        <v>87</v>
      </c>
      <c r="AD278">
        <v>36</v>
      </c>
      <c r="AE278">
        <v>9</v>
      </c>
      <c r="AF278">
        <v>3</v>
      </c>
      <c r="AG278">
        <v>2025</v>
      </c>
      <c r="AH278" s="2">
        <v>12000</v>
      </c>
      <c r="AI278" s="2">
        <v>12738.4326171875</v>
      </c>
      <c r="AJ278" s="2">
        <f t="shared" si="32"/>
        <v>738.4326171875</v>
      </c>
      <c r="AK278" s="6">
        <f t="shared" si="33"/>
        <v>6.1536051432291669E-2</v>
      </c>
      <c r="AL278" s="12">
        <v>12000</v>
      </c>
      <c r="AM278" s="12">
        <v>12218.32878057085</v>
      </c>
      <c r="AN278" s="12">
        <f t="shared" si="34"/>
        <v>218.32878057084963</v>
      </c>
      <c r="AO278" s="13">
        <f t="shared" si="35"/>
        <v>1.8194065047570804E-2</v>
      </c>
      <c r="AP278" s="16">
        <v>12000</v>
      </c>
      <c r="AQ278" s="16">
        <v>9578.1588419447216</v>
      </c>
      <c r="AR278" s="16">
        <f t="shared" si="36"/>
        <v>2421.8411580552784</v>
      </c>
      <c r="AS278" s="17">
        <f t="shared" si="37"/>
        <v>0.20182009650460653</v>
      </c>
      <c r="AT278" s="20">
        <v>12000</v>
      </c>
      <c r="AU278" s="20">
        <v>12565.38671875</v>
      </c>
      <c r="AV278" s="20">
        <f t="shared" si="38"/>
        <v>565.38671875</v>
      </c>
      <c r="AW278" s="21">
        <f t="shared" si="39"/>
        <v>4.7115559895833332E-2</v>
      </c>
    </row>
    <row r="279" spans="1:49" x14ac:dyDescent="0.25">
      <c r="A279" t="s">
        <v>38</v>
      </c>
      <c r="B279" t="s">
        <v>96</v>
      </c>
      <c r="C279">
        <v>89363</v>
      </c>
      <c r="D279">
        <v>2017</v>
      </c>
      <c r="E279" t="s">
        <v>162</v>
      </c>
      <c r="F279" t="s">
        <v>163</v>
      </c>
      <c r="G279" t="s">
        <v>299</v>
      </c>
      <c r="I279">
        <v>4</v>
      </c>
      <c r="J279" t="s">
        <v>72</v>
      </c>
      <c r="K279">
        <v>4</v>
      </c>
      <c r="L279" t="s">
        <v>44</v>
      </c>
      <c r="M279">
        <v>2.4</v>
      </c>
      <c r="N279" t="s">
        <v>45</v>
      </c>
      <c r="O279" t="s">
        <v>46</v>
      </c>
      <c r="P279">
        <v>1</v>
      </c>
      <c r="Q279" t="s">
        <v>47</v>
      </c>
      <c r="R279" t="s">
        <v>123</v>
      </c>
      <c r="T279">
        <v>187</v>
      </c>
      <c r="U279" t="s">
        <v>50</v>
      </c>
      <c r="X279" t="s">
        <v>125</v>
      </c>
      <c r="Y279" t="s">
        <v>78</v>
      </c>
      <c r="Z279">
        <v>21950</v>
      </c>
      <c r="AA279">
        <v>0</v>
      </c>
      <c r="AB279" t="s">
        <v>79</v>
      </c>
      <c r="AC279" t="s">
        <v>127</v>
      </c>
      <c r="AD279">
        <v>36</v>
      </c>
      <c r="AE279">
        <v>9</v>
      </c>
      <c r="AF279">
        <v>3</v>
      </c>
      <c r="AG279">
        <v>2025</v>
      </c>
      <c r="AH279" s="2">
        <v>6000</v>
      </c>
      <c r="AI279" s="2">
        <v>3452.845458984375</v>
      </c>
      <c r="AJ279" s="2">
        <f t="shared" si="32"/>
        <v>2547.154541015625</v>
      </c>
      <c r="AK279" s="6">
        <f t="shared" si="33"/>
        <v>0.42452575683593752</v>
      </c>
      <c r="AL279" s="12">
        <v>6000</v>
      </c>
      <c r="AM279" s="12">
        <v>3678.5562983580671</v>
      </c>
      <c r="AN279" s="12">
        <f t="shared" si="34"/>
        <v>2321.4437016419329</v>
      </c>
      <c r="AO279" s="13">
        <f t="shared" si="35"/>
        <v>0.38690728360698884</v>
      </c>
      <c r="AP279" s="16">
        <v>6000</v>
      </c>
      <c r="AQ279" s="16">
        <v>3500.6961211646699</v>
      </c>
      <c r="AR279" s="16">
        <f t="shared" si="36"/>
        <v>2499.3038788353301</v>
      </c>
      <c r="AS279" s="17">
        <f t="shared" si="37"/>
        <v>0.41655064647255502</v>
      </c>
      <c r="AT279" s="20">
        <v>6000</v>
      </c>
      <c r="AU279" s="20">
        <v>3488.456298828125</v>
      </c>
      <c r="AV279" s="20">
        <f t="shared" si="38"/>
        <v>2511.543701171875</v>
      </c>
      <c r="AW279" s="21">
        <f t="shared" si="39"/>
        <v>0.41859061686197918</v>
      </c>
    </row>
    <row r="280" spans="1:49" x14ac:dyDescent="0.25">
      <c r="A280" t="s">
        <v>38</v>
      </c>
      <c r="B280" t="s">
        <v>110</v>
      </c>
      <c r="C280">
        <v>146934</v>
      </c>
      <c r="D280">
        <v>2010</v>
      </c>
      <c r="E280" t="s">
        <v>69</v>
      </c>
      <c r="F280" t="s">
        <v>310</v>
      </c>
      <c r="G280" t="s">
        <v>112</v>
      </c>
      <c r="I280">
        <v>6</v>
      </c>
      <c r="J280" t="s">
        <v>61</v>
      </c>
      <c r="K280">
        <v>2</v>
      </c>
      <c r="L280" t="s">
        <v>44</v>
      </c>
      <c r="M280">
        <v>4</v>
      </c>
      <c r="N280" t="s">
        <v>73</v>
      </c>
      <c r="Q280" t="s">
        <v>47</v>
      </c>
      <c r="R280" t="s">
        <v>197</v>
      </c>
      <c r="T280">
        <v>210</v>
      </c>
      <c r="U280" t="s">
        <v>50</v>
      </c>
      <c r="V280" t="s">
        <v>76</v>
      </c>
      <c r="W280" t="s">
        <v>625</v>
      </c>
      <c r="X280" t="s">
        <v>125</v>
      </c>
      <c r="Y280" t="s">
        <v>78</v>
      </c>
      <c r="AA280">
        <v>0</v>
      </c>
      <c r="AB280" t="s">
        <v>79</v>
      </c>
      <c r="AC280" t="s">
        <v>197</v>
      </c>
      <c r="AD280">
        <v>36</v>
      </c>
      <c r="AE280">
        <v>9</v>
      </c>
      <c r="AF280">
        <v>3</v>
      </c>
      <c r="AG280">
        <v>2025</v>
      </c>
      <c r="AH280" s="2">
        <v>1600</v>
      </c>
      <c r="AI280" s="2">
        <v>2570.771484375</v>
      </c>
      <c r="AJ280" s="2">
        <f t="shared" si="32"/>
        <v>970.771484375</v>
      </c>
      <c r="AK280" s="6">
        <f t="shared" si="33"/>
        <v>0.60673217773437504</v>
      </c>
      <c r="AL280" s="12">
        <v>1600</v>
      </c>
      <c r="AM280" s="12">
        <v>2672.1451976114199</v>
      </c>
      <c r="AN280" s="12">
        <f t="shared" si="34"/>
        <v>1072.1451976114199</v>
      </c>
      <c r="AO280" s="13">
        <f t="shared" si="35"/>
        <v>0.67009074850713746</v>
      </c>
      <c r="AP280" s="16">
        <v>1600</v>
      </c>
      <c r="AQ280" s="16">
        <v>2598.1096324326591</v>
      </c>
      <c r="AR280" s="16">
        <f t="shared" si="36"/>
        <v>998.10963243265905</v>
      </c>
      <c r="AS280" s="17">
        <f t="shared" si="37"/>
        <v>0.62381852027041196</v>
      </c>
      <c r="AT280" s="20">
        <v>1600</v>
      </c>
      <c r="AU280" s="20">
        <v>2582.436767578125</v>
      </c>
      <c r="AV280" s="20">
        <f t="shared" si="38"/>
        <v>982.436767578125</v>
      </c>
      <c r="AW280" s="21">
        <f t="shared" si="39"/>
        <v>0.61402297973632813</v>
      </c>
    </row>
    <row r="281" spans="1:49" x14ac:dyDescent="0.25">
      <c r="A281" t="s">
        <v>128</v>
      </c>
      <c r="B281" t="s">
        <v>129</v>
      </c>
      <c r="C281">
        <v>164725</v>
      </c>
      <c r="D281">
        <v>2015</v>
      </c>
      <c r="E281" t="s">
        <v>69</v>
      </c>
      <c r="F281" t="s">
        <v>607</v>
      </c>
      <c r="G281" t="s">
        <v>285</v>
      </c>
      <c r="I281">
        <v>6</v>
      </c>
      <c r="J281" t="s">
        <v>61</v>
      </c>
      <c r="K281">
        <v>4</v>
      </c>
      <c r="L281" t="s">
        <v>44</v>
      </c>
      <c r="M281">
        <v>3.5</v>
      </c>
      <c r="N281" t="s">
        <v>45</v>
      </c>
      <c r="O281" t="s">
        <v>46</v>
      </c>
      <c r="P281">
        <v>2</v>
      </c>
      <c r="Q281" t="s">
        <v>47</v>
      </c>
      <c r="R281" t="s">
        <v>123</v>
      </c>
      <c r="S281" t="s">
        <v>101</v>
      </c>
      <c r="T281">
        <v>288</v>
      </c>
      <c r="U281" t="s">
        <v>50</v>
      </c>
      <c r="V281" t="s">
        <v>76</v>
      </c>
      <c r="X281" t="s">
        <v>125</v>
      </c>
      <c r="Y281" t="s">
        <v>78</v>
      </c>
      <c r="AA281">
        <v>0</v>
      </c>
      <c r="AB281" t="s">
        <v>79</v>
      </c>
      <c r="AC281" t="s">
        <v>127</v>
      </c>
      <c r="AD281">
        <v>36</v>
      </c>
      <c r="AE281">
        <v>9</v>
      </c>
      <c r="AF281">
        <v>3</v>
      </c>
      <c r="AG281">
        <v>2025</v>
      </c>
      <c r="AH281" s="2">
        <v>1500</v>
      </c>
      <c r="AI281" s="2">
        <v>1763.368774414062</v>
      </c>
      <c r="AJ281" s="2">
        <f t="shared" si="32"/>
        <v>263.36877441406205</v>
      </c>
      <c r="AK281" s="6">
        <f t="shared" si="33"/>
        <v>0.17557918294270802</v>
      </c>
      <c r="AL281" s="12">
        <v>1500</v>
      </c>
      <c r="AM281" s="12">
        <v>2139.288112683133</v>
      </c>
      <c r="AN281" s="12">
        <f t="shared" si="34"/>
        <v>639.28811268313302</v>
      </c>
      <c r="AO281" s="13">
        <f t="shared" si="35"/>
        <v>0.42619207512208868</v>
      </c>
      <c r="AP281" s="16">
        <v>1500</v>
      </c>
      <c r="AQ281" s="16">
        <v>1609.7356725469419</v>
      </c>
      <c r="AR281" s="16">
        <f t="shared" si="36"/>
        <v>109.73567254694194</v>
      </c>
      <c r="AS281" s="17">
        <f t="shared" si="37"/>
        <v>7.3157115031294628E-2</v>
      </c>
      <c r="AT281" s="20">
        <v>1500</v>
      </c>
      <c r="AU281" s="20">
        <v>1770.00146484375</v>
      </c>
      <c r="AV281" s="20">
        <f t="shared" si="38"/>
        <v>270.00146484375</v>
      </c>
      <c r="AW281" s="21">
        <f t="shared" si="39"/>
        <v>0.1800009765625</v>
      </c>
    </row>
    <row r="282" spans="1:49" x14ac:dyDescent="0.25">
      <c r="A282" t="s">
        <v>38</v>
      </c>
      <c r="B282" t="s">
        <v>68</v>
      </c>
      <c r="C282">
        <v>126768</v>
      </c>
      <c r="D282">
        <v>2018</v>
      </c>
      <c r="E282" t="s">
        <v>69</v>
      </c>
      <c r="F282" t="s">
        <v>231</v>
      </c>
      <c r="I282">
        <v>6</v>
      </c>
      <c r="J282" t="s">
        <v>61</v>
      </c>
      <c r="K282">
        <v>4</v>
      </c>
      <c r="L282" t="s">
        <v>44</v>
      </c>
      <c r="M282">
        <v>2.7</v>
      </c>
      <c r="N282" t="s">
        <v>91</v>
      </c>
      <c r="O282" t="s">
        <v>46</v>
      </c>
      <c r="P282">
        <v>2</v>
      </c>
      <c r="Q282" t="s">
        <v>74</v>
      </c>
      <c r="R282" t="s">
        <v>92</v>
      </c>
      <c r="S282" t="s">
        <v>93</v>
      </c>
      <c r="T282">
        <v>325</v>
      </c>
      <c r="U282" t="s">
        <v>50</v>
      </c>
      <c r="V282" t="s">
        <v>76</v>
      </c>
      <c r="W282" t="s">
        <v>512</v>
      </c>
      <c r="X282" t="s">
        <v>94</v>
      </c>
      <c r="Y282" t="s">
        <v>78</v>
      </c>
      <c r="AA282">
        <v>0</v>
      </c>
      <c r="AB282" t="s">
        <v>79</v>
      </c>
      <c r="AC282" t="s">
        <v>95</v>
      </c>
      <c r="AD282">
        <v>36</v>
      </c>
      <c r="AE282">
        <v>9</v>
      </c>
      <c r="AF282">
        <v>3</v>
      </c>
      <c r="AG282">
        <v>2025</v>
      </c>
      <c r="AH282" s="2">
        <v>10750</v>
      </c>
      <c r="AI282" s="2">
        <v>11459.5537109375</v>
      </c>
      <c r="AJ282" s="2">
        <f t="shared" si="32"/>
        <v>709.5537109375</v>
      </c>
      <c r="AK282" s="6">
        <f t="shared" si="33"/>
        <v>6.6004996366279073E-2</v>
      </c>
      <c r="AL282" s="12">
        <v>10750</v>
      </c>
      <c r="AM282" s="12">
        <v>11560.716520733209</v>
      </c>
      <c r="AN282" s="12">
        <f t="shared" si="34"/>
        <v>810.71652073320911</v>
      </c>
      <c r="AO282" s="13">
        <f t="shared" si="35"/>
        <v>7.5415490300763638E-2</v>
      </c>
      <c r="AP282" s="16">
        <v>10750</v>
      </c>
      <c r="AQ282" s="16">
        <v>11426.675222463329</v>
      </c>
      <c r="AR282" s="16">
        <f t="shared" si="36"/>
        <v>676.67522246332919</v>
      </c>
      <c r="AS282" s="17">
        <f t="shared" si="37"/>
        <v>6.2946532322170151E-2</v>
      </c>
      <c r="AT282" s="20">
        <v>10750</v>
      </c>
      <c r="AU282" s="20">
        <v>11628.8134765625</v>
      </c>
      <c r="AV282" s="20">
        <f t="shared" si="38"/>
        <v>878.8134765625</v>
      </c>
      <c r="AW282" s="21">
        <f t="shared" si="39"/>
        <v>8.175009084302326E-2</v>
      </c>
    </row>
    <row r="283" spans="1:49" x14ac:dyDescent="0.25">
      <c r="A283" t="s">
        <v>38</v>
      </c>
      <c r="B283" t="s">
        <v>96</v>
      </c>
      <c r="C283">
        <v>115319</v>
      </c>
      <c r="D283">
        <v>2019</v>
      </c>
      <c r="E283" t="s">
        <v>174</v>
      </c>
      <c r="F283" t="s">
        <v>254</v>
      </c>
      <c r="H283" t="s">
        <v>626</v>
      </c>
      <c r="I283">
        <v>4</v>
      </c>
      <c r="J283" t="s">
        <v>122</v>
      </c>
      <c r="K283">
        <v>4</v>
      </c>
      <c r="L283" t="s">
        <v>44</v>
      </c>
      <c r="M283">
        <v>2</v>
      </c>
      <c r="N283" t="s">
        <v>45</v>
      </c>
      <c r="O283" t="s">
        <v>190</v>
      </c>
      <c r="P283">
        <v>2</v>
      </c>
      <c r="Q283" t="s">
        <v>62</v>
      </c>
      <c r="R283" t="s">
        <v>63</v>
      </c>
      <c r="S283" t="s">
        <v>101</v>
      </c>
      <c r="U283" t="s">
        <v>50</v>
      </c>
      <c r="V283" t="s">
        <v>51</v>
      </c>
      <c r="W283" t="s">
        <v>627</v>
      </c>
      <c r="X283" t="s">
        <v>65</v>
      </c>
      <c r="Y283" t="s">
        <v>126</v>
      </c>
      <c r="AA283">
        <v>0</v>
      </c>
      <c r="AB283" t="s">
        <v>79</v>
      </c>
      <c r="AC283" t="s">
        <v>87</v>
      </c>
      <c r="AD283">
        <v>36</v>
      </c>
      <c r="AE283">
        <v>9</v>
      </c>
      <c r="AF283">
        <v>3</v>
      </c>
      <c r="AG283">
        <v>2025</v>
      </c>
      <c r="AH283" s="2">
        <v>9200</v>
      </c>
      <c r="AI283" s="2">
        <v>5215.04638671875</v>
      </c>
      <c r="AJ283" s="2">
        <f t="shared" si="32"/>
        <v>3984.95361328125</v>
      </c>
      <c r="AK283" s="6">
        <f t="shared" si="33"/>
        <v>0.43314713187839676</v>
      </c>
      <c r="AL283" s="12">
        <v>9200</v>
      </c>
      <c r="AM283" s="12">
        <v>3348.6326683373381</v>
      </c>
      <c r="AN283" s="12">
        <f t="shared" si="34"/>
        <v>5851.3673316626619</v>
      </c>
      <c r="AO283" s="13">
        <f t="shared" si="35"/>
        <v>0.63601818822420242</v>
      </c>
      <c r="AP283" s="16">
        <v>9200</v>
      </c>
      <c r="AQ283" s="16">
        <v>4286.9138285137706</v>
      </c>
      <c r="AR283" s="16">
        <f t="shared" si="36"/>
        <v>4913.0861714862294</v>
      </c>
      <c r="AS283" s="17">
        <f t="shared" si="37"/>
        <v>0.53403110559632927</v>
      </c>
      <c r="AT283" s="20">
        <v>9200</v>
      </c>
      <c r="AU283" s="20">
        <v>5125.45458984375</v>
      </c>
      <c r="AV283" s="20">
        <f t="shared" si="38"/>
        <v>4074.54541015625</v>
      </c>
      <c r="AW283" s="21">
        <f t="shared" si="39"/>
        <v>0.44288537066915762</v>
      </c>
    </row>
    <row r="284" spans="1:49" x14ac:dyDescent="0.25">
      <c r="A284" t="s">
        <v>128</v>
      </c>
      <c r="B284" t="s">
        <v>129</v>
      </c>
      <c r="C284">
        <v>206985</v>
      </c>
      <c r="D284">
        <v>2012</v>
      </c>
      <c r="E284" t="s">
        <v>142</v>
      </c>
      <c r="F284" t="s">
        <v>373</v>
      </c>
      <c r="G284" t="s">
        <v>398</v>
      </c>
      <c r="I284">
        <v>6</v>
      </c>
      <c r="J284" t="s">
        <v>135</v>
      </c>
      <c r="K284">
        <v>4</v>
      </c>
      <c r="L284" t="s">
        <v>44</v>
      </c>
      <c r="M284">
        <v>3.6</v>
      </c>
      <c r="N284" t="s">
        <v>73</v>
      </c>
      <c r="Q284" t="s">
        <v>62</v>
      </c>
      <c r="R284" t="s">
        <v>63</v>
      </c>
      <c r="S284" t="s">
        <v>49</v>
      </c>
      <c r="T284">
        <v>283</v>
      </c>
      <c r="U284" t="s">
        <v>180</v>
      </c>
      <c r="X284" t="s">
        <v>94</v>
      </c>
      <c r="Y284" t="s">
        <v>78</v>
      </c>
      <c r="AA284">
        <v>0</v>
      </c>
      <c r="AB284" t="s">
        <v>79</v>
      </c>
      <c r="AC284" t="s">
        <v>87</v>
      </c>
      <c r="AD284">
        <v>36</v>
      </c>
      <c r="AE284">
        <v>9</v>
      </c>
      <c r="AF284">
        <v>3</v>
      </c>
      <c r="AG284">
        <v>2025</v>
      </c>
      <c r="AH284" s="2">
        <v>1600</v>
      </c>
      <c r="AI284" s="2">
        <v>1533.046508789062</v>
      </c>
      <c r="AJ284" s="2">
        <f t="shared" si="32"/>
        <v>66.953491210937955</v>
      </c>
      <c r="AK284" s="6">
        <f t="shared" si="33"/>
        <v>4.1845932006836221E-2</v>
      </c>
      <c r="AL284" s="12">
        <v>1600</v>
      </c>
      <c r="AM284" s="12">
        <v>2018.728995579319</v>
      </c>
      <c r="AN284" s="12">
        <f t="shared" si="34"/>
        <v>418.72899557931896</v>
      </c>
      <c r="AO284" s="13">
        <f t="shared" si="35"/>
        <v>0.26170562223707433</v>
      </c>
      <c r="AP284" s="16">
        <v>1600</v>
      </c>
      <c r="AQ284" s="16">
        <v>1607.738976000828</v>
      </c>
      <c r="AR284" s="16">
        <f t="shared" si="36"/>
        <v>7.7389760008279609</v>
      </c>
      <c r="AS284" s="17">
        <f t="shared" si="37"/>
        <v>4.8368600005174759E-3</v>
      </c>
      <c r="AT284" s="20">
        <v>1600</v>
      </c>
      <c r="AU284" s="20">
        <v>1538.609985351562</v>
      </c>
      <c r="AV284" s="20">
        <f t="shared" si="38"/>
        <v>61.390014648437955</v>
      </c>
      <c r="AW284" s="21">
        <f t="shared" si="39"/>
        <v>3.836875915527372E-2</v>
      </c>
    </row>
    <row r="285" spans="1:49" x14ac:dyDescent="0.25">
      <c r="A285" t="s">
        <v>38</v>
      </c>
      <c r="B285" t="s">
        <v>39</v>
      </c>
      <c r="C285">
        <v>142600</v>
      </c>
      <c r="D285">
        <v>2013</v>
      </c>
      <c r="E285" t="s">
        <v>166</v>
      </c>
      <c r="F285" t="s">
        <v>628</v>
      </c>
      <c r="G285" t="s">
        <v>248</v>
      </c>
      <c r="I285">
        <v>4</v>
      </c>
      <c r="J285" t="s">
        <v>61</v>
      </c>
      <c r="K285">
        <v>4</v>
      </c>
      <c r="L285" t="s">
        <v>44</v>
      </c>
      <c r="M285">
        <v>1.8</v>
      </c>
      <c r="N285" t="s">
        <v>45</v>
      </c>
      <c r="O285" t="s">
        <v>46</v>
      </c>
      <c r="Q285" t="s">
        <v>47</v>
      </c>
      <c r="R285" t="s">
        <v>123</v>
      </c>
      <c r="S285" t="s">
        <v>101</v>
      </c>
      <c r="T285">
        <v>140</v>
      </c>
      <c r="U285" t="s">
        <v>50</v>
      </c>
      <c r="V285" t="s">
        <v>51</v>
      </c>
      <c r="W285" t="s">
        <v>629</v>
      </c>
      <c r="X285" t="s">
        <v>53</v>
      </c>
      <c r="Y285" t="s">
        <v>103</v>
      </c>
      <c r="AA285">
        <v>0</v>
      </c>
      <c r="AB285" t="s">
        <v>79</v>
      </c>
      <c r="AC285" t="s">
        <v>127</v>
      </c>
      <c r="AD285">
        <v>36</v>
      </c>
      <c r="AE285">
        <v>9</v>
      </c>
      <c r="AF285">
        <v>3</v>
      </c>
      <c r="AG285">
        <v>2025</v>
      </c>
      <c r="AH285" s="2">
        <v>7250</v>
      </c>
      <c r="AI285" s="2">
        <v>4716.0712890625</v>
      </c>
      <c r="AJ285" s="2">
        <f t="shared" si="32"/>
        <v>2533.9287109375</v>
      </c>
      <c r="AK285" s="6">
        <f t="shared" si="33"/>
        <v>0.34950740840517242</v>
      </c>
      <c r="AL285" s="12">
        <v>7250</v>
      </c>
      <c r="AM285" s="12">
        <v>4081.780214142037</v>
      </c>
      <c r="AN285" s="12">
        <f t="shared" si="34"/>
        <v>3168.219785857963</v>
      </c>
      <c r="AO285" s="13">
        <f t="shared" si="35"/>
        <v>0.43699583253213281</v>
      </c>
      <c r="AP285" s="16">
        <v>7250</v>
      </c>
      <c r="AQ285" s="16">
        <v>3485.6486084725602</v>
      </c>
      <c r="AR285" s="16">
        <f t="shared" si="36"/>
        <v>3764.3513915274398</v>
      </c>
      <c r="AS285" s="17">
        <f t="shared" si="37"/>
        <v>0.51922088158999169</v>
      </c>
      <c r="AT285" s="20">
        <v>7250</v>
      </c>
      <c r="AU285" s="20">
        <v>4661.41796875</v>
      </c>
      <c r="AV285" s="20">
        <f t="shared" si="38"/>
        <v>2588.58203125</v>
      </c>
      <c r="AW285" s="21">
        <f t="shared" si="39"/>
        <v>0.35704579741379311</v>
      </c>
    </row>
    <row r="286" spans="1:49" x14ac:dyDescent="0.25">
      <c r="A286" t="s">
        <v>38</v>
      </c>
      <c r="B286" t="s">
        <v>96</v>
      </c>
      <c r="C286">
        <v>30707</v>
      </c>
      <c r="D286">
        <v>2022</v>
      </c>
      <c r="E286" t="s">
        <v>142</v>
      </c>
      <c r="F286" t="s">
        <v>630</v>
      </c>
      <c r="H286" t="s">
        <v>631</v>
      </c>
      <c r="I286">
        <v>4</v>
      </c>
      <c r="J286" t="s">
        <v>122</v>
      </c>
      <c r="K286">
        <v>4</v>
      </c>
      <c r="L286" t="s">
        <v>44</v>
      </c>
      <c r="M286">
        <v>1.3</v>
      </c>
      <c r="N286" t="s">
        <v>91</v>
      </c>
      <c r="O286" t="s">
        <v>46</v>
      </c>
      <c r="P286">
        <v>4</v>
      </c>
      <c r="Q286" t="s">
        <v>62</v>
      </c>
      <c r="R286" t="s">
        <v>63</v>
      </c>
      <c r="S286" t="s">
        <v>85</v>
      </c>
      <c r="T286">
        <v>177</v>
      </c>
      <c r="U286" t="s">
        <v>50</v>
      </c>
      <c r="X286" t="s">
        <v>65</v>
      </c>
      <c r="Y286" t="s">
        <v>632</v>
      </c>
      <c r="AA286">
        <v>0</v>
      </c>
      <c r="AB286" t="s">
        <v>79</v>
      </c>
      <c r="AC286" t="s">
        <v>87</v>
      </c>
      <c r="AD286">
        <v>36</v>
      </c>
      <c r="AE286">
        <v>9</v>
      </c>
      <c r="AF286">
        <v>3</v>
      </c>
      <c r="AG286">
        <v>2025</v>
      </c>
      <c r="AH286" s="2">
        <v>17500</v>
      </c>
      <c r="AI286" s="2">
        <v>19231.5390625</v>
      </c>
      <c r="AJ286" s="2">
        <f t="shared" si="32"/>
        <v>1731.5390625</v>
      </c>
      <c r="AK286" s="6">
        <f t="shared" si="33"/>
        <v>9.8945089285714286E-2</v>
      </c>
      <c r="AL286" s="12">
        <v>17500</v>
      </c>
      <c r="AM286" s="12">
        <v>20299.420155767581</v>
      </c>
      <c r="AN286" s="12">
        <f t="shared" si="34"/>
        <v>2799.4201557675806</v>
      </c>
      <c r="AO286" s="13">
        <f t="shared" si="35"/>
        <v>0.15996686604386176</v>
      </c>
      <c r="AP286" s="16">
        <v>17500</v>
      </c>
      <c r="AQ286" s="16">
        <v>17104.402935435231</v>
      </c>
      <c r="AR286" s="16">
        <f t="shared" si="36"/>
        <v>395.59706456476852</v>
      </c>
      <c r="AS286" s="17">
        <f t="shared" si="37"/>
        <v>2.2605546546558202E-2</v>
      </c>
      <c r="AT286" s="20">
        <v>17500</v>
      </c>
      <c r="AU286" s="20">
        <v>19313.5546875</v>
      </c>
      <c r="AV286" s="20">
        <f t="shared" si="38"/>
        <v>1813.5546875</v>
      </c>
      <c r="AW286" s="21">
        <f t="shared" si="39"/>
        <v>0.10363169642857142</v>
      </c>
    </row>
    <row r="287" spans="1:49" x14ac:dyDescent="0.25">
      <c r="A287" t="s">
        <v>38</v>
      </c>
      <c r="B287" t="s">
        <v>96</v>
      </c>
      <c r="C287">
        <v>75402</v>
      </c>
      <c r="D287">
        <v>2016</v>
      </c>
      <c r="E287" t="s">
        <v>142</v>
      </c>
      <c r="F287" t="s">
        <v>633</v>
      </c>
      <c r="G287" t="s">
        <v>634</v>
      </c>
      <c r="H287" t="s">
        <v>635</v>
      </c>
      <c r="I287">
        <v>6</v>
      </c>
      <c r="J287" t="s">
        <v>106</v>
      </c>
      <c r="K287">
        <v>4</v>
      </c>
      <c r="L287" t="s">
        <v>44</v>
      </c>
      <c r="M287">
        <v>3.6</v>
      </c>
      <c r="N287" t="s">
        <v>91</v>
      </c>
      <c r="O287" t="s">
        <v>46</v>
      </c>
      <c r="Q287" t="s">
        <v>62</v>
      </c>
      <c r="R287" t="s">
        <v>63</v>
      </c>
      <c r="S287" t="s">
        <v>93</v>
      </c>
      <c r="U287" t="s">
        <v>50</v>
      </c>
      <c r="X287" t="s">
        <v>141</v>
      </c>
      <c r="Y287" t="s">
        <v>78</v>
      </c>
      <c r="AA287">
        <v>0</v>
      </c>
      <c r="AB287" t="s">
        <v>79</v>
      </c>
      <c r="AC287" t="s">
        <v>87</v>
      </c>
      <c r="AD287">
        <v>36</v>
      </c>
      <c r="AE287">
        <v>9</v>
      </c>
      <c r="AF287">
        <v>3</v>
      </c>
      <c r="AG287">
        <v>2025</v>
      </c>
      <c r="AH287" s="2">
        <v>16600</v>
      </c>
      <c r="AI287" s="2">
        <v>17431.994140625</v>
      </c>
      <c r="AJ287" s="2">
        <f t="shared" si="32"/>
        <v>831.994140625</v>
      </c>
      <c r="AK287" s="6">
        <f t="shared" si="33"/>
        <v>5.0120128953313255E-2</v>
      </c>
      <c r="AL287" s="12">
        <v>16600</v>
      </c>
      <c r="AM287" s="12">
        <v>15187.33771453902</v>
      </c>
      <c r="AN287" s="12">
        <f t="shared" si="34"/>
        <v>1412.6622854609795</v>
      </c>
      <c r="AO287" s="13">
        <f t="shared" si="35"/>
        <v>8.5100137678372267E-2</v>
      </c>
      <c r="AP287" s="16">
        <v>16600</v>
      </c>
      <c r="AQ287" s="16">
        <v>15898.4573336381</v>
      </c>
      <c r="AR287" s="16">
        <f t="shared" si="36"/>
        <v>701.54266636190005</v>
      </c>
      <c r="AS287" s="17">
        <f t="shared" si="37"/>
        <v>4.2261606407343374E-2</v>
      </c>
      <c r="AT287" s="20">
        <v>16600</v>
      </c>
      <c r="AU287" s="20">
        <v>16950.029296875</v>
      </c>
      <c r="AV287" s="20">
        <f t="shared" si="38"/>
        <v>350.029296875</v>
      </c>
      <c r="AW287" s="21">
        <f t="shared" si="39"/>
        <v>2.1086102221385541E-2</v>
      </c>
    </row>
    <row r="288" spans="1:49" x14ac:dyDescent="0.25">
      <c r="A288" t="s">
        <v>128</v>
      </c>
      <c r="B288" t="s">
        <v>129</v>
      </c>
      <c r="C288">
        <v>80668</v>
      </c>
      <c r="D288">
        <v>2020</v>
      </c>
      <c r="E288" t="s">
        <v>97</v>
      </c>
      <c r="F288" t="s">
        <v>363</v>
      </c>
      <c r="G288" t="s">
        <v>199</v>
      </c>
      <c r="I288">
        <v>4</v>
      </c>
      <c r="J288" t="s">
        <v>135</v>
      </c>
      <c r="K288">
        <v>4</v>
      </c>
      <c r="L288" t="s">
        <v>44</v>
      </c>
      <c r="M288">
        <v>1.4</v>
      </c>
      <c r="N288" t="s">
        <v>44</v>
      </c>
      <c r="O288" t="s">
        <v>46</v>
      </c>
      <c r="Q288" t="s">
        <v>62</v>
      </c>
      <c r="R288" t="s">
        <v>63</v>
      </c>
      <c r="S288" t="s">
        <v>85</v>
      </c>
      <c r="U288" t="s">
        <v>50</v>
      </c>
      <c r="W288" t="s">
        <v>365</v>
      </c>
      <c r="X288" t="s">
        <v>65</v>
      </c>
      <c r="Y288" t="s">
        <v>126</v>
      </c>
      <c r="Z288">
        <v>21300</v>
      </c>
      <c r="AA288">
        <v>0</v>
      </c>
      <c r="AB288" t="s">
        <v>79</v>
      </c>
      <c r="AC288" t="s">
        <v>87</v>
      </c>
      <c r="AD288">
        <v>36</v>
      </c>
      <c r="AE288">
        <v>9</v>
      </c>
      <c r="AF288">
        <v>3</v>
      </c>
      <c r="AG288">
        <v>2025</v>
      </c>
      <c r="AH288" s="2">
        <v>7400</v>
      </c>
      <c r="AI288" s="2">
        <v>9433.6416015625</v>
      </c>
      <c r="AJ288" s="2">
        <f t="shared" si="32"/>
        <v>2033.6416015625</v>
      </c>
      <c r="AK288" s="6">
        <f t="shared" si="33"/>
        <v>0.27481643264358108</v>
      </c>
      <c r="AL288" s="12">
        <v>7400</v>
      </c>
      <c r="AM288" s="12">
        <v>10930.37544555708</v>
      </c>
      <c r="AN288" s="12">
        <f t="shared" si="34"/>
        <v>3530.3754455570797</v>
      </c>
      <c r="AO288" s="13">
        <f t="shared" si="35"/>
        <v>0.47707776291311887</v>
      </c>
      <c r="AP288" s="16">
        <v>7400</v>
      </c>
      <c r="AQ288" s="16">
        <v>7782.7518889534394</v>
      </c>
      <c r="AR288" s="16">
        <f t="shared" si="36"/>
        <v>382.75188895343945</v>
      </c>
      <c r="AS288" s="17">
        <f t="shared" si="37"/>
        <v>5.1723228236951274E-2</v>
      </c>
      <c r="AT288" s="20">
        <v>7400</v>
      </c>
      <c r="AU288" s="20">
        <v>9905.4384765625</v>
      </c>
      <c r="AV288" s="20">
        <f t="shared" si="38"/>
        <v>2505.4384765625</v>
      </c>
      <c r="AW288" s="21">
        <f t="shared" si="39"/>
        <v>0.33857276710304052</v>
      </c>
    </row>
    <row r="289" spans="1:49" x14ac:dyDescent="0.25">
      <c r="A289" t="s">
        <v>38</v>
      </c>
      <c r="B289" t="s">
        <v>39</v>
      </c>
      <c r="C289">
        <v>81756</v>
      </c>
      <c r="D289">
        <v>2020</v>
      </c>
      <c r="E289" t="s">
        <v>166</v>
      </c>
      <c r="F289" t="s">
        <v>247</v>
      </c>
      <c r="G289" t="s">
        <v>581</v>
      </c>
      <c r="I289">
        <v>4</v>
      </c>
      <c r="J289" t="s">
        <v>106</v>
      </c>
      <c r="K289">
        <v>4</v>
      </c>
      <c r="L289" t="s">
        <v>44</v>
      </c>
      <c r="M289">
        <v>1.5</v>
      </c>
      <c r="N289" t="s">
        <v>45</v>
      </c>
      <c r="Q289" t="s">
        <v>62</v>
      </c>
      <c r="R289" t="s">
        <v>63</v>
      </c>
      <c r="S289" t="s">
        <v>49</v>
      </c>
      <c r="T289">
        <v>190</v>
      </c>
      <c r="U289" t="s">
        <v>50</v>
      </c>
      <c r="V289" t="s">
        <v>51</v>
      </c>
      <c r="W289" t="s">
        <v>249</v>
      </c>
      <c r="X289" t="s">
        <v>65</v>
      </c>
      <c r="Y289" t="s">
        <v>78</v>
      </c>
      <c r="AA289">
        <v>0</v>
      </c>
      <c r="AB289" t="s">
        <v>79</v>
      </c>
      <c r="AC289" t="s">
        <v>87</v>
      </c>
      <c r="AD289">
        <v>36</v>
      </c>
      <c r="AE289">
        <v>9</v>
      </c>
      <c r="AF289">
        <v>3</v>
      </c>
      <c r="AG289">
        <v>2025</v>
      </c>
      <c r="AH289" s="2">
        <v>14750</v>
      </c>
      <c r="AI289" s="2">
        <v>18328.849609375</v>
      </c>
      <c r="AJ289" s="2">
        <f t="shared" si="32"/>
        <v>3578.849609375</v>
      </c>
      <c r="AK289" s="6">
        <f t="shared" si="33"/>
        <v>0.24263387182203389</v>
      </c>
      <c r="AL289" s="12">
        <v>14750</v>
      </c>
      <c r="AM289" s="12">
        <v>17194.184007992819</v>
      </c>
      <c r="AN289" s="12">
        <f t="shared" si="34"/>
        <v>2444.1840079928188</v>
      </c>
      <c r="AO289" s="13">
        <f t="shared" si="35"/>
        <v>0.16570739037239449</v>
      </c>
      <c r="AP289" s="16">
        <v>14750</v>
      </c>
      <c r="AQ289" s="16">
        <v>14566.306700786159</v>
      </c>
      <c r="AR289" s="16">
        <f t="shared" si="36"/>
        <v>183.69329921384087</v>
      </c>
      <c r="AS289" s="17">
        <f t="shared" si="37"/>
        <v>1.2453782997548533E-2</v>
      </c>
      <c r="AT289" s="20">
        <v>14750</v>
      </c>
      <c r="AU289" s="20">
        <v>17919.44140625</v>
      </c>
      <c r="AV289" s="20">
        <f t="shared" si="38"/>
        <v>3169.44140625</v>
      </c>
      <c r="AW289" s="21">
        <f t="shared" si="39"/>
        <v>0.21487738347457627</v>
      </c>
    </row>
    <row r="290" spans="1:49" x14ac:dyDescent="0.25">
      <c r="A290" t="s">
        <v>128</v>
      </c>
      <c r="B290" t="s">
        <v>210</v>
      </c>
      <c r="C290">
        <v>117577</v>
      </c>
      <c r="D290">
        <v>2013</v>
      </c>
      <c r="E290" t="s">
        <v>146</v>
      </c>
      <c r="F290" t="s">
        <v>147</v>
      </c>
      <c r="I290">
        <v>4</v>
      </c>
      <c r="J290" t="s">
        <v>135</v>
      </c>
      <c r="K290">
        <v>4</v>
      </c>
      <c r="L290" t="s">
        <v>44</v>
      </c>
      <c r="M290">
        <v>2.5</v>
      </c>
      <c r="N290" t="s">
        <v>44</v>
      </c>
      <c r="O290" t="s">
        <v>46</v>
      </c>
      <c r="Q290" t="s">
        <v>62</v>
      </c>
      <c r="R290" t="s">
        <v>148</v>
      </c>
      <c r="S290" t="s">
        <v>93</v>
      </c>
      <c r="U290" t="s">
        <v>50</v>
      </c>
      <c r="X290" t="s">
        <v>65</v>
      </c>
      <c r="Y290" t="s">
        <v>54</v>
      </c>
      <c r="AA290">
        <v>0</v>
      </c>
      <c r="AB290" t="s">
        <v>79</v>
      </c>
      <c r="AC290" t="s">
        <v>87</v>
      </c>
      <c r="AD290">
        <v>36</v>
      </c>
      <c r="AE290">
        <v>9</v>
      </c>
      <c r="AF290">
        <v>3</v>
      </c>
      <c r="AG290">
        <v>2025</v>
      </c>
      <c r="AH290" s="2">
        <v>1900</v>
      </c>
      <c r="AI290" s="2">
        <v>2101.764404296875</v>
      </c>
      <c r="AJ290" s="2">
        <f t="shared" si="32"/>
        <v>201.764404296875</v>
      </c>
      <c r="AK290" s="6">
        <f t="shared" si="33"/>
        <v>0.10619179173519737</v>
      </c>
      <c r="AL290" s="12">
        <v>1900</v>
      </c>
      <c r="AM290" s="12">
        <v>3234.7084682127729</v>
      </c>
      <c r="AN290" s="12">
        <f t="shared" si="34"/>
        <v>1334.7084682127729</v>
      </c>
      <c r="AO290" s="13">
        <f t="shared" si="35"/>
        <v>0.70247814116461738</v>
      </c>
      <c r="AP290" s="16">
        <v>1900</v>
      </c>
      <c r="AQ290" s="16">
        <v>2584.769905362667</v>
      </c>
      <c r="AR290" s="16">
        <f t="shared" si="36"/>
        <v>684.76990536266703</v>
      </c>
      <c r="AS290" s="17">
        <f t="shared" si="37"/>
        <v>0.36040521334877212</v>
      </c>
      <c r="AT290" s="20">
        <v>1900</v>
      </c>
      <c r="AU290" s="20">
        <v>2180.79345703125</v>
      </c>
      <c r="AV290" s="20">
        <f t="shared" si="38"/>
        <v>280.79345703125</v>
      </c>
      <c r="AW290" s="21">
        <f t="shared" si="39"/>
        <v>0.14778603001644736</v>
      </c>
    </row>
    <row r="291" spans="1:49" x14ac:dyDescent="0.25">
      <c r="A291" t="s">
        <v>38</v>
      </c>
      <c r="B291" t="s">
        <v>110</v>
      </c>
      <c r="C291">
        <v>151727</v>
      </c>
      <c r="D291">
        <v>2008</v>
      </c>
      <c r="E291" t="s">
        <v>132</v>
      </c>
      <c r="F291" t="s">
        <v>133</v>
      </c>
      <c r="H291" t="s">
        <v>636</v>
      </c>
      <c r="I291">
        <v>6</v>
      </c>
      <c r="J291" t="s">
        <v>61</v>
      </c>
      <c r="K291">
        <v>4</v>
      </c>
      <c r="L291" t="s">
        <v>44</v>
      </c>
      <c r="M291">
        <v>3.5</v>
      </c>
      <c r="N291" t="s">
        <v>73</v>
      </c>
      <c r="Q291" t="s">
        <v>47</v>
      </c>
      <c r="R291" t="s">
        <v>123</v>
      </c>
      <c r="U291" t="s">
        <v>50</v>
      </c>
      <c r="V291" t="s">
        <v>76</v>
      </c>
      <c r="X291" t="s">
        <v>125</v>
      </c>
      <c r="Y291" t="s">
        <v>137</v>
      </c>
      <c r="AA291">
        <v>0</v>
      </c>
      <c r="AB291" t="s">
        <v>79</v>
      </c>
      <c r="AC291" t="s">
        <v>127</v>
      </c>
      <c r="AD291">
        <v>36</v>
      </c>
      <c r="AE291">
        <v>9</v>
      </c>
      <c r="AF291">
        <v>3</v>
      </c>
      <c r="AG291">
        <v>2025</v>
      </c>
      <c r="AH291" s="2">
        <v>800</v>
      </c>
      <c r="AI291" s="2">
        <v>1388.985595703125</v>
      </c>
      <c r="AJ291" s="2">
        <f t="shared" si="32"/>
        <v>588.985595703125</v>
      </c>
      <c r="AK291" s="6">
        <f t="shared" si="33"/>
        <v>0.73623199462890621</v>
      </c>
      <c r="AL291" s="12">
        <v>800</v>
      </c>
      <c r="AM291" s="12">
        <v>1447.522631837908</v>
      </c>
      <c r="AN291" s="12">
        <f t="shared" si="34"/>
        <v>647.52263183790797</v>
      </c>
      <c r="AO291" s="13">
        <f t="shared" si="35"/>
        <v>0.80940328979738496</v>
      </c>
      <c r="AP291" s="16">
        <v>800</v>
      </c>
      <c r="AQ291" s="16">
        <v>1464.4894064831469</v>
      </c>
      <c r="AR291" s="16">
        <f t="shared" si="36"/>
        <v>664.48940648314692</v>
      </c>
      <c r="AS291" s="17">
        <f t="shared" si="37"/>
        <v>0.83061175810393362</v>
      </c>
      <c r="AT291" s="20">
        <v>800</v>
      </c>
      <c r="AU291" s="20">
        <v>1382.35888671875</v>
      </c>
      <c r="AV291" s="20">
        <f t="shared" si="38"/>
        <v>582.35888671875</v>
      </c>
      <c r="AW291" s="21">
        <f t="shared" si="39"/>
        <v>0.72794860839843745</v>
      </c>
    </row>
    <row r="292" spans="1:49" x14ac:dyDescent="0.25">
      <c r="A292" t="s">
        <v>128</v>
      </c>
      <c r="B292" t="s">
        <v>129</v>
      </c>
      <c r="C292">
        <v>180587</v>
      </c>
      <c r="D292">
        <v>2011</v>
      </c>
      <c r="E292" t="s">
        <v>69</v>
      </c>
      <c r="F292" t="s">
        <v>231</v>
      </c>
      <c r="I292">
        <v>8</v>
      </c>
      <c r="J292" t="s">
        <v>135</v>
      </c>
      <c r="K292">
        <v>4</v>
      </c>
      <c r="L292" t="s">
        <v>44</v>
      </c>
      <c r="M292">
        <v>5</v>
      </c>
      <c r="N292" t="s">
        <v>91</v>
      </c>
      <c r="O292" t="s">
        <v>46</v>
      </c>
      <c r="Q292" t="s">
        <v>74</v>
      </c>
      <c r="R292" t="s">
        <v>92</v>
      </c>
      <c r="S292" t="s">
        <v>93</v>
      </c>
      <c r="T292">
        <v>360</v>
      </c>
      <c r="U292" t="s">
        <v>50</v>
      </c>
      <c r="V292" t="s">
        <v>76</v>
      </c>
      <c r="X292" t="s">
        <v>108</v>
      </c>
      <c r="Y292" t="s">
        <v>78</v>
      </c>
      <c r="AA292">
        <v>0</v>
      </c>
      <c r="AB292" t="s">
        <v>79</v>
      </c>
      <c r="AC292" t="s">
        <v>95</v>
      </c>
      <c r="AD292">
        <v>36</v>
      </c>
      <c r="AE292">
        <v>9</v>
      </c>
      <c r="AF292">
        <v>3</v>
      </c>
      <c r="AG292">
        <v>2025</v>
      </c>
      <c r="AH292" s="2">
        <v>4800</v>
      </c>
      <c r="AI292" s="2">
        <v>4613.28662109375</v>
      </c>
      <c r="AJ292" s="2">
        <f t="shared" si="32"/>
        <v>186.71337890625</v>
      </c>
      <c r="AK292" s="6">
        <f t="shared" si="33"/>
        <v>3.8898620605468753E-2</v>
      </c>
      <c r="AL292" s="12">
        <v>4800</v>
      </c>
      <c r="AM292" s="12">
        <v>4833.2226452118957</v>
      </c>
      <c r="AN292" s="12">
        <f t="shared" si="34"/>
        <v>33.222645211895724</v>
      </c>
      <c r="AO292" s="13">
        <f t="shared" si="35"/>
        <v>6.9213844191449428E-3</v>
      </c>
      <c r="AP292" s="16">
        <v>4800</v>
      </c>
      <c r="AQ292" s="16">
        <v>4440.9331604859117</v>
      </c>
      <c r="AR292" s="16">
        <f t="shared" si="36"/>
        <v>359.06683951408831</v>
      </c>
      <c r="AS292" s="17">
        <f t="shared" si="37"/>
        <v>7.4805591565435064E-2</v>
      </c>
      <c r="AT292" s="20">
        <v>4800</v>
      </c>
      <c r="AU292" s="20">
        <v>4705.20166015625</v>
      </c>
      <c r="AV292" s="20">
        <f t="shared" si="38"/>
        <v>94.79833984375</v>
      </c>
      <c r="AW292" s="21">
        <f t="shared" si="39"/>
        <v>1.9749654134114582E-2</v>
      </c>
    </row>
    <row r="293" spans="1:49" x14ac:dyDescent="0.25">
      <c r="A293" t="s">
        <v>38</v>
      </c>
      <c r="B293" t="s">
        <v>68</v>
      </c>
      <c r="C293">
        <v>102739</v>
      </c>
      <c r="D293">
        <v>2015</v>
      </c>
      <c r="E293" t="s">
        <v>58</v>
      </c>
      <c r="F293" t="s">
        <v>220</v>
      </c>
      <c r="G293" t="s">
        <v>221</v>
      </c>
      <c r="I293">
        <v>4</v>
      </c>
      <c r="J293" t="s">
        <v>135</v>
      </c>
      <c r="K293">
        <v>4</v>
      </c>
      <c r="L293" t="s">
        <v>44</v>
      </c>
      <c r="M293">
        <v>2.4</v>
      </c>
      <c r="N293" t="s">
        <v>45</v>
      </c>
      <c r="O293" t="s">
        <v>46</v>
      </c>
      <c r="P293">
        <v>4</v>
      </c>
      <c r="Q293" t="s">
        <v>62</v>
      </c>
      <c r="R293" t="s">
        <v>63</v>
      </c>
      <c r="S293" t="s">
        <v>49</v>
      </c>
      <c r="U293" t="s">
        <v>50</v>
      </c>
      <c r="W293" t="s">
        <v>222</v>
      </c>
      <c r="X293" t="s">
        <v>65</v>
      </c>
      <c r="Y293" t="s">
        <v>78</v>
      </c>
      <c r="AA293">
        <v>0</v>
      </c>
      <c r="AB293" t="s">
        <v>79</v>
      </c>
      <c r="AC293" t="s">
        <v>87</v>
      </c>
      <c r="AD293">
        <v>36</v>
      </c>
      <c r="AE293">
        <v>9</v>
      </c>
      <c r="AF293">
        <v>3</v>
      </c>
      <c r="AG293">
        <v>2025</v>
      </c>
      <c r="AH293" s="2">
        <v>4600</v>
      </c>
      <c r="AI293" s="2">
        <v>5713.12109375</v>
      </c>
      <c r="AJ293" s="2">
        <f t="shared" si="32"/>
        <v>1113.12109375</v>
      </c>
      <c r="AK293" s="6">
        <f t="shared" si="33"/>
        <v>0.24198284646739129</v>
      </c>
      <c r="AL293" s="12">
        <v>4600</v>
      </c>
      <c r="AM293" s="12">
        <v>6010.2697001085498</v>
      </c>
      <c r="AN293" s="12">
        <f t="shared" si="34"/>
        <v>1410.2697001085498</v>
      </c>
      <c r="AO293" s="13">
        <f t="shared" si="35"/>
        <v>0.30658036958881518</v>
      </c>
      <c r="AP293" s="16">
        <v>4600</v>
      </c>
      <c r="AQ293" s="16">
        <v>4953.9490820440406</v>
      </c>
      <c r="AR293" s="16">
        <f t="shared" si="36"/>
        <v>353.94908204404055</v>
      </c>
      <c r="AS293" s="17">
        <f t="shared" si="37"/>
        <v>7.6945452618269683E-2</v>
      </c>
      <c r="AT293" s="20">
        <v>4600</v>
      </c>
      <c r="AU293" s="20">
        <v>5790.95166015625</v>
      </c>
      <c r="AV293" s="20">
        <f t="shared" si="38"/>
        <v>1190.95166015625</v>
      </c>
      <c r="AW293" s="21">
        <f t="shared" si="39"/>
        <v>0.2589025348165761</v>
      </c>
    </row>
    <row r="294" spans="1:49" x14ac:dyDescent="0.25">
      <c r="A294" t="s">
        <v>81</v>
      </c>
      <c r="B294" t="s">
        <v>246</v>
      </c>
      <c r="C294">
        <v>17317</v>
      </c>
      <c r="D294">
        <v>2023</v>
      </c>
      <c r="E294" t="s">
        <v>88</v>
      </c>
      <c r="F294" t="s">
        <v>637</v>
      </c>
      <c r="G294" t="s">
        <v>638</v>
      </c>
      <c r="I294">
        <v>6</v>
      </c>
      <c r="J294" t="s">
        <v>72</v>
      </c>
      <c r="K294">
        <v>3</v>
      </c>
      <c r="L294" t="s">
        <v>44</v>
      </c>
      <c r="M294">
        <v>3.6</v>
      </c>
      <c r="N294" t="s">
        <v>45</v>
      </c>
      <c r="O294" t="s">
        <v>46</v>
      </c>
      <c r="P294">
        <v>3</v>
      </c>
      <c r="Q294" t="s">
        <v>74</v>
      </c>
      <c r="R294" t="s">
        <v>75</v>
      </c>
      <c r="S294" t="s">
        <v>101</v>
      </c>
      <c r="T294">
        <v>280</v>
      </c>
      <c r="U294" t="s">
        <v>50</v>
      </c>
      <c r="V294" t="s">
        <v>76</v>
      </c>
      <c r="X294" t="s">
        <v>77</v>
      </c>
      <c r="Y294" t="s">
        <v>126</v>
      </c>
      <c r="AA294">
        <v>0</v>
      </c>
      <c r="AB294" t="s">
        <v>79</v>
      </c>
      <c r="AC294" t="s">
        <v>80</v>
      </c>
      <c r="AD294">
        <v>36</v>
      </c>
      <c r="AE294">
        <v>9</v>
      </c>
      <c r="AF294">
        <v>3</v>
      </c>
      <c r="AG294">
        <v>2025</v>
      </c>
      <c r="AH294" s="2">
        <v>24200</v>
      </c>
      <c r="AI294" s="2">
        <v>22901.26171875</v>
      </c>
      <c r="AJ294" s="2">
        <f t="shared" si="32"/>
        <v>1298.73828125</v>
      </c>
      <c r="AK294" s="6">
        <f t="shared" si="33"/>
        <v>5.3666871126033057E-2</v>
      </c>
      <c r="AL294" s="12">
        <v>24200</v>
      </c>
      <c r="AM294" s="12">
        <v>28037.065813086188</v>
      </c>
      <c r="AN294" s="12">
        <f t="shared" si="34"/>
        <v>3837.0658130861884</v>
      </c>
      <c r="AO294" s="13">
        <f t="shared" si="35"/>
        <v>0.15855643855728052</v>
      </c>
      <c r="AP294" s="16">
        <v>24200</v>
      </c>
      <c r="AQ294" s="16">
        <v>27135.786939957052</v>
      </c>
      <c r="AR294" s="16">
        <f t="shared" si="36"/>
        <v>2935.7869399570518</v>
      </c>
      <c r="AS294" s="17">
        <f t="shared" si="37"/>
        <v>0.12131350991558065</v>
      </c>
      <c r="AT294" s="20">
        <v>24200</v>
      </c>
      <c r="AU294" s="20">
        <v>23733.48046875</v>
      </c>
      <c r="AV294" s="20">
        <f t="shared" si="38"/>
        <v>466.51953125</v>
      </c>
      <c r="AW294" s="21">
        <f t="shared" si="39"/>
        <v>1.9277666580578511E-2</v>
      </c>
    </row>
    <row r="295" spans="1:49" x14ac:dyDescent="0.25">
      <c r="A295" t="s">
        <v>128</v>
      </c>
      <c r="B295" t="s">
        <v>129</v>
      </c>
      <c r="C295">
        <v>207699</v>
      </c>
      <c r="D295">
        <v>2014</v>
      </c>
      <c r="E295" t="s">
        <v>58</v>
      </c>
      <c r="F295" t="s">
        <v>391</v>
      </c>
      <c r="G295" t="s">
        <v>594</v>
      </c>
      <c r="I295">
        <v>4</v>
      </c>
      <c r="J295" t="s">
        <v>61</v>
      </c>
      <c r="K295">
        <v>4</v>
      </c>
      <c r="L295" t="s">
        <v>44</v>
      </c>
      <c r="M295">
        <v>2.4</v>
      </c>
      <c r="N295" t="s">
        <v>45</v>
      </c>
      <c r="O295" t="s">
        <v>46</v>
      </c>
      <c r="Q295" t="s">
        <v>47</v>
      </c>
      <c r="R295" t="s">
        <v>123</v>
      </c>
      <c r="U295" t="s">
        <v>50</v>
      </c>
      <c r="W295" t="s">
        <v>392</v>
      </c>
      <c r="X295" t="s">
        <v>125</v>
      </c>
      <c r="Y295" t="s">
        <v>66</v>
      </c>
      <c r="AA295">
        <v>1</v>
      </c>
      <c r="AB295" t="s">
        <v>55</v>
      </c>
      <c r="AC295" t="s">
        <v>393</v>
      </c>
      <c r="AD295">
        <v>36</v>
      </c>
      <c r="AE295">
        <v>9</v>
      </c>
      <c r="AF295">
        <v>3</v>
      </c>
      <c r="AG295">
        <v>2025</v>
      </c>
      <c r="AH295" s="2">
        <v>500</v>
      </c>
      <c r="AI295" s="2">
        <v>967.49365234375</v>
      </c>
      <c r="AJ295" s="2">
        <f t="shared" si="32"/>
        <v>467.49365234375</v>
      </c>
      <c r="AK295" s="6">
        <f t="shared" si="33"/>
        <v>0.93498730468750002</v>
      </c>
      <c r="AL295" s="12">
        <v>500</v>
      </c>
      <c r="AM295" s="12">
        <v>1195.363983587496</v>
      </c>
      <c r="AN295" s="12">
        <f t="shared" si="34"/>
        <v>695.36398358749602</v>
      </c>
      <c r="AO295" s="13">
        <f t="shared" si="35"/>
        <v>1.3907279671749921</v>
      </c>
      <c r="AP295" s="16">
        <v>500</v>
      </c>
      <c r="AQ295" s="16">
        <v>1015.865305515837</v>
      </c>
      <c r="AR295" s="16">
        <f t="shared" si="36"/>
        <v>515.86530551583701</v>
      </c>
      <c r="AS295" s="17">
        <f t="shared" si="37"/>
        <v>1.031730611031674</v>
      </c>
      <c r="AT295" s="20">
        <v>500</v>
      </c>
      <c r="AU295" s="20">
        <v>964.4090576171875</v>
      </c>
      <c r="AV295" s="20">
        <f t="shared" si="38"/>
        <v>464.4090576171875</v>
      </c>
      <c r="AW295" s="21">
        <f t="shared" si="39"/>
        <v>0.92881811523437496</v>
      </c>
    </row>
    <row r="296" spans="1:49" x14ac:dyDescent="0.25">
      <c r="A296" t="s">
        <v>128</v>
      </c>
      <c r="B296" t="s">
        <v>129</v>
      </c>
      <c r="C296">
        <v>165309</v>
      </c>
      <c r="D296">
        <v>2007</v>
      </c>
      <c r="E296" t="s">
        <v>119</v>
      </c>
      <c r="F296" t="s">
        <v>639</v>
      </c>
      <c r="I296">
        <v>5</v>
      </c>
      <c r="J296" t="s">
        <v>43</v>
      </c>
      <c r="K296">
        <v>2</v>
      </c>
      <c r="L296" t="s">
        <v>44</v>
      </c>
      <c r="M296">
        <v>2.5</v>
      </c>
      <c r="N296" t="s">
        <v>45</v>
      </c>
      <c r="O296" t="s">
        <v>46</v>
      </c>
      <c r="Q296" t="s">
        <v>47</v>
      </c>
      <c r="R296" t="s">
        <v>48</v>
      </c>
      <c r="T296">
        <v>150</v>
      </c>
      <c r="U296" t="s">
        <v>50</v>
      </c>
      <c r="X296" t="s">
        <v>125</v>
      </c>
      <c r="Y296" t="s">
        <v>137</v>
      </c>
      <c r="AA296">
        <v>0</v>
      </c>
      <c r="AB296" t="s">
        <v>79</v>
      </c>
      <c r="AC296" t="s">
        <v>359</v>
      </c>
      <c r="AD296">
        <v>36</v>
      </c>
      <c r="AE296">
        <v>9</v>
      </c>
      <c r="AF296">
        <v>3</v>
      </c>
      <c r="AG296">
        <v>2025</v>
      </c>
      <c r="AH296" s="2">
        <v>700</v>
      </c>
      <c r="AI296" s="2">
        <v>887.9139404296875</v>
      </c>
      <c r="AJ296" s="2">
        <f t="shared" si="32"/>
        <v>187.9139404296875</v>
      </c>
      <c r="AK296" s="6">
        <f t="shared" si="33"/>
        <v>0.26844848632812501</v>
      </c>
      <c r="AL296" s="12">
        <v>700</v>
      </c>
      <c r="AM296" s="12">
        <v>852.90627580917692</v>
      </c>
      <c r="AN296" s="12">
        <f t="shared" si="34"/>
        <v>152.90627580917692</v>
      </c>
      <c r="AO296" s="13">
        <f t="shared" si="35"/>
        <v>0.21843753687025275</v>
      </c>
      <c r="AP296" s="16">
        <v>700</v>
      </c>
      <c r="AQ296" s="16">
        <v>783.72727296478399</v>
      </c>
      <c r="AR296" s="16">
        <f t="shared" si="36"/>
        <v>83.727272964783992</v>
      </c>
      <c r="AS296" s="17">
        <f t="shared" si="37"/>
        <v>0.11961038994969142</v>
      </c>
      <c r="AT296" s="20">
        <v>700</v>
      </c>
      <c r="AU296" s="20">
        <v>835.11602783203125</v>
      </c>
      <c r="AV296" s="20">
        <f t="shared" si="38"/>
        <v>135.11602783203125</v>
      </c>
      <c r="AW296" s="21">
        <f t="shared" si="39"/>
        <v>0.19302289690290178</v>
      </c>
    </row>
    <row r="297" spans="1:49" x14ac:dyDescent="0.25">
      <c r="A297" t="s">
        <v>38</v>
      </c>
      <c r="B297" t="s">
        <v>57</v>
      </c>
      <c r="C297">
        <v>13530</v>
      </c>
      <c r="D297">
        <v>2023</v>
      </c>
      <c r="E297" t="s">
        <v>69</v>
      </c>
      <c r="F297" t="s">
        <v>70</v>
      </c>
      <c r="H297" t="s">
        <v>71</v>
      </c>
      <c r="I297">
        <v>6</v>
      </c>
      <c r="J297" t="s">
        <v>72</v>
      </c>
      <c r="K297">
        <v>3</v>
      </c>
      <c r="L297" t="s">
        <v>44</v>
      </c>
      <c r="M297">
        <v>3.5</v>
      </c>
      <c r="N297" t="s">
        <v>73</v>
      </c>
      <c r="O297" t="s">
        <v>46</v>
      </c>
      <c r="P297">
        <v>5</v>
      </c>
      <c r="Q297" t="s">
        <v>74</v>
      </c>
      <c r="R297" t="s">
        <v>75</v>
      </c>
      <c r="S297" t="s">
        <v>179</v>
      </c>
      <c r="U297" t="s">
        <v>50</v>
      </c>
      <c r="V297" t="s">
        <v>76</v>
      </c>
      <c r="W297" t="s">
        <v>640</v>
      </c>
      <c r="X297" t="s">
        <v>230</v>
      </c>
      <c r="Y297" t="s">
        <v>78</v>
      </c>
      <c r="AA297">
        <v>0</v>
      </c>
      <c r="AB297" t="s">
        <v>79</v>
      </c>
      <c r="AC297" t="s">
        <v>80</v>
      </c>
      <c r="AD297">
        <v>36</v>
      </c>
      <c r="AE297">
        <v>9</v>
      </c>
      <c r="AF297">
        <v>3</v>
      </c>
      <c r="AG297">
        <v>2025</v>
      </c>
      <c r="AH297" s="2">
        <v>26300</v>
      </c>
      <c r="AI297" s="2">
        <v>32618.8515625</v>
      </c>
      <c r="AJ297" s="2">
        <f t="shared" si="32"/>
        <v>6318.8515625</v>
      </c>
      <c r="AK297" s="6">
        <f t="shared" si="33"/>
        <v>0.24026051568441065</v>
      </c>
      <c r="AL297" s="12">
        <v>26300</v>
      </c>
      <c r="AM297" s="12">
        <v>37236.80276121835</v>
      </c>
      <c r="AN297" s="12">
        <f t="shared" si="34"/>
        <v>10936.80276121835</v>
      </c>
      <c r="AO297" s="13">
        <f t="shared" si="35"/>
        <v>0.41584801373453806</v>
      </c>
      <c r="AP297" s="16">
        <v>26300</v>
      </c>
      <c r="AQ297" s="16">
        <v>32845.302762669678</v>
      </c>
      <c r="AR297" s="16">
        <f t="shared" si="36"/>
        <v>6545.3027626696785</v>
      </c>
      <c r="AS297" s="17">
        <f t="shared" si="37"/>
        <v>0.24887082747793454</v>
      </c>
      <c r="AT297" s="20">
        <v>26300</v>
      </c>
      <c r="AU297" s="20">
        <v>33102.8203125</v>
      </c>
      <c r="AV297" s="20">
        <f t="shared" si="38"/>
        <v>6802.8203125</v>
      </c>
      <c r="AW297" s="21">
        <f t="shared" si="39"/>
        <v>0.25866236929657793</v>
      </c>
    </row>
    <row r="298" spans="1:49" x14ac:dyDescent="0.25">
      <c r="A298" t="s">
        <v>38</v>
      </c>
      <c r="B298" t="s">
        <v>68</v>
      </c>
      <c r="C298">
        <v>68268</v>
      </c>
      <c r="D298">
        <v>2020</v>
      </c>
      <c r="E298" t="s">
        <v>345</v>
      </c>
      <c r="F298" t="s">
        <v>583</v>
      </c>
      <c r="G298" t="s">
        <v>641</v>
      </c>
      <c r="I298">
        <v>4</v>
      </c>
      <c r="J298" t="s">
        <v>61</v>
      </c>
      <c r="K298">
        <v>4</v>
      </c>
      <c r="L298" t="s">
        <v>44</v>
      </c>
      <c r="M298">
        <v>2</v>
      </c>
      <c r="N298" t="s">
        <v>73</v>
      </c>
      <c r="O298" t="s">
        <v>46</v>
      </c>
      <c r="P298">
        <v>4</v>
      </c>
      <c r="Q298" t="s">
        <v>62</v>
      </c>
      <c r="R298" t="s">
        <v>63</v>
      </c>
      <c r="S298" t="s">
        <v>85</v>
      </c>
      <c r="T298">
        <v>248</v>
      </c>
      <c r="U298" t="s">
        <v>50</v>
      </c>
      <c r="X298" t="s">
        <v>141</v>
      </c>
      <c r="Y298" t="s">
        <v>78</v>
      </c>
      <c r="AA298">
        <v>0</v>
      </c>
      <c r="AB298" t="s">
        <v>79</v>
      </c>
      <c r="AC298" t="s">
        <v>87</v>
      </c>
      <c r="AD298">
        <v>36</v>
      </c>
      <c r="AE298">
        <v>9</v>
      </c>
      <c r="AF298">
        <v>3</v>
      </c>
      <c r="AG298">
        <v>2025</v>
      </c>
      <c r="AH298" s="2">
        <v>18000</v>
      </c>
      <c r="AI298" s="2">
        <v>18178.001953125</v>
      </c>
      <c r="AJ298" s="2">
        <f t="shared" si="32"/>
        <v>178.001953125</v>
      </c>
      <c r="AK298" s="6">
        <f t="shared" si="33"/>
        <v>9.8889973958333332E-3</v>
      </c>
      <c r="AL298" s="12">
        <v>18000</v>
      </c>
      <c r="AM298" s="12">
        <v>18902.043630404631</v>
      </c>
      <c r="AN298" s="12">
        <f t="shared" si="34"/>
        <v>902.04363040463068</v>
      </c>
      <c r="AO298" s="13">
        <f t="shared" si="35"/>
        <v>5.0113535022479484E-2</v>
      </c>
      <c r="AP298" s="16">
        <v>18000</v>
      </c>
      <c r="AQ298" s="16">
        <v>18629.01958636675</v>
      </c>
      <c r="AR298" s="16">
        <f t="shared" si="36"/>
        <v>629.01958636675045</v>
      </c>
      <c r="AS298" s="17">
        <f t="shared" si="37"/>
        <v>3.4945532575930582E-2</v>
      </c>
      <c r="AT298" s="20">
        <v>18000</v>
      </c>
      <c r="AU298" s="20">
        <v>18077.330078125</v>
      </c>
      <c r="AV298" s="20">
        <f t="shared" si="38"/>
        <v>77.330078125</v>
      </c>
      <c r="AW298" s="21">
        <f t="shared" si="39"/>
        <v>4.2961154513888886E-3</v>
      </c>
    </row>
    <row r="299" spans="1:49" x14ac:dyDescent="0.25">
      <c r="A299" t="s">
        <v>38</v>
      </c>
      <c r="B299" t="s">
        <v>110</v>
      </c>
      <c r="C299">
        <v>100836</v>
      </c>
      <c r="D299">
        <v>2014</v>
      </c>
      <c r="E299" t="s">
        <v>58</v>
      </c>
      <c r="F299" t="s">
        <v>220</v>
      </c>
      <c r="G299" t="s">
        <v>642</v>
      </c>
      <c r="I299">
        <v>4</v>
      </c>
      <c r="J299" t="s">
        <v>61</v>
      </c>
      <c r="K299">
        <v>4</v>
      </c>
      <c r="L299" t="s">
        <v>44</v>
      </c>
      <c r="M299">
        <v>2.4</v>
      </c>
      <c r="N299" t="s">
        <v>45</v>
      </c>
      <c r="Q299" t="s">
        <v>62</v>
      </c>
      <c r="R299" t="s">
        <v>63</v>
      </c>
      <c r="S299" t="s">
        <v>49</v>
      </c>
      <c r="U299" t="s">
        <v>50</v>
      </c>
      <c r="W299" t="s">
        <v>222</v>
      </c>
      <c r="X299" t="s">
        <v>65</v>
      </c>
      <c r="Y299" t="s">
        <v>78</v>
      </c>
      <c r="AA299">
        <v>0</v>
      </c>
      <c r="AB299" t="s">
        <v>79</v>
      </c>
      <c r="AC299" t="s">
        <v>87</v>
      </c>
      <c r="AD299">
        <v>36</v>
      </c>
      <c r="AE299">
        <v>9</v>
      </c>
      <c r="AF299">
        <v>3</v>
      </c>
      <c r="AG299">
        <v>2025</v>
      </c>
      <c r="AH299" s="2">
        <v>4800</v>
      </c>
      <c r="AI299" s="2">
        <v>4120.017578125</v>
      </c>
      <c r="AJ299" s="2">
        <f t="shared" si="32"/>
        <v>679.982421875</v>
      </c>
      <c r="AK299" s="6">
        <f t="shared" si="33"/>
        <v>0.14166300455729167</v>
      </c>
      <c r="AL299" s="12">
        <v>4800</v>
      </c>
      <c r="AM299" s="12">
        <v>3969.3109599293871</v>
      </c>
      <c r="AN299" s="12">
        <f t="shared" si="34"/>
        <v>830.68904007061292</v>
      </c>
      <c r="AO299" s="13">
        <f t="shared" si="35"/>
        <v>0.17306021668137769</v>
      </c>
      <c r="AP299" s="16">
        <v>4800</v>
      </c>
      <c r="AQ299" s="16">
        <v>3121.751194280424</v>
      </c>
      <c r="AR299" s="16">
        <f t="shared" si="36"/>
        <v>1678.248805719576</v>
      </c>
      <c r="AS299" s="17">
        <f t="shared" si="37"/>
        <v>0.349635167858245</v>
      </c>
      <c r="AT299" s="20">
        <v>4800</v>
      </c>
      <c r="AU299" s="20">
        <v>4142.12451171875</v>
      </c>
      <c r="AV299" s="20">
        <f t="shared" si="38"/>
        <v>657.87548828125</v>
      </c>
      <c r="AW299" s="21">
        <f t="shared" si="39"/>
        <v>0.13705739339192707</v>
      </c>
    </row>
    <row r="300" spans="1:49" x14ac:dyDescent="0.25">
      <c r="A300" t="s">
        <v>128</v>
      </c>
      <c r="B300" t="s">
        <v>271</v>
      </c>
      <c r="C300">
        <v>199460</v>
      </c>
      <c r="D300">
        <v>2014</v>
      </c>
      <c r="E300" t="s">
        <v>69</v>
      </c>
      <c r="F300" t="s">
        <v>475</v>
      </c>
      <c r="H300" t="s">
        <v>259</v>
      </c>
      <c r="I300">
        <v>8</v>
      </c>
      <c r="J300" t="s">
        <v>72</v>
      </c>
      <c r="K300">
        <v>4</v>
      </c>
      <c r="L300" t="s">
        <v>44</v>
      </c>
      <c r="M300">
        <v>6.2</v>
      </c>
      <c r="N300" t="s">
        <v>91</v>
      </c>
      <c r="O300" t="s">
        <v>190</v>
      </c>
      <c r="P300">
        <v>1</v>
      </c>
      <c r="Q300" t="s">
        <v>74</v>
      </c>
      <c r="R300" t="s">
        <v>92</v>
      </c>
      <c r="S300" t="s">
        <v>93</v>
      </c>
      <c r="T300">
        <v>383</v>
      </c>
      <c r="U300" t="s">
        <v>50</v>
      </c>
      <c r="V300" t="s">
        <v>76</v>
      </c>
      <c r="X300" t="s">
        <v>230</v>
      </c>
      <c r="Y300" t="s">
        <v>78</v>
      </c>
      <c r="AA300">
        <v>0</v>
      </c>
      <c r="AB300" t="s">
        <v>79</v>
      </c>
      <c r="AC300" t="s">
        <v>95</v>
      </c>
      <c r="AD300">
        <v>36</v>
      </c>
      <c r="AE300">
        <v>9</v>
      </c>
      <c r="AF300">
        <v>3</v>
      </c>
      <c r="AG300">
        <v>2025</v>
      </c>
      <c r="AH300" s="2">
        <v>2500</v>
      </c>
      <c r="AI300" s="2">
        <v>2354.6650390625</v>
      </c>
      <c r="AJ300" s="2">
        <f t="shared" si="32"/>
        <v>145.3349609375</v>
      </c>
      <c r="AK300" s="6">
        <f t="shared" si="33"/>
        <v>5.8133984375000003E-2</v>
      </c>
      <c r="AL300" s="12">
        <v>2500</v>
      </c>
      <c r="AM300" s="12">
        <v>2394.1106449978301</v>
      </c>
      <c r="AN300" s="12">
        <f t="shared" si="34"/>
        <v>105.88935500216985</v>
      </c>
      <c r="AO300" s="13">
        <f t="shared" si="35"/>
        <v>4.2355742000867939E-2</v>
      </c>
      <c r="AP300" s="16">
        <v>2500</v>
      </c>
      <c r="AQ300" s="16">
        <v>2484.89083982594</v>
      </c>
      <c r="AR300" s="16">
        <f t="shared" si="36"/>
        <v>15.10916017405998</v>
      </c>
      <c r="AS300" s="17">
        <f t="shared" si="37"/>
        <v>6.0436640696239921E-3</v>
      </c>
      <c r="AT300" s="20">
        <v>2500</v>
      </c>
      <c r="AU300" s="20">
        <v>2373.1826171875</v>
      </c>
      <c r="AV300" s="20">
        <f t="shared" si="38"/>
        <v>126.8173828125</v>
      </c>
      <c r="AW300" s="21">
        <f t="shared" si="39"/>
        <v>5.0726953125000002E-2</v>
      </c>
    </row>
    <row r="301" spans="1:49" x14ac:dyDescent="0.25">
      <c r="A301" t="s">
        <v>81</v>
      </c>
      <c r="B301" t="s">
        <v>82</v>
      </c>
      <c r="C301">
        <v>156097</v>
      </c>
      <c r="D301">
        <v>2011</v>
      </c>
      <c r="E301" t="s">
        <v>40</v>
      </c>
      <c r="F301" t="s">
        <v>643</v>
      </c>
      <c r="H301" t="s">
        <v>644</v>
      </c>
      <c r="I301">
        <v>6</v>
      </c>
      <c r="J301" t="s">
        <v>106</v>
      </c>
      <c r="K301">
        <v>4</v>
      </c>
      <c r="L301" t="s">
        <v>44</v>
      </c>
      <c r="M301">
        <v>3.5</v>
      </c>
      <c r="N301" t="s">
        <v>45</v>
      </c>
      <c r="O301" t="s">
        <v>100</v>
      </c>
      <c r="Q301" t="s">
        <v>62</v>
      </c>
      <c r="R301" t="s">
        <v>225</v>
      </c>
      <c r="S301" t="s">
        <v>49</v>
      </c>
      <c r="T301">
        <v>265</v>
      </c>
      <c r="U301" t="s">
        <v>50</v>
      </c>
      <c r="V301" t="s">
        <v>76</v>
      </c>
      <c r="W301" t="s">
        <v>290</v>
      </c>
      <c r="X301" t="s">
        <v>141</v>
      </c>
      <c r="Y301" t="s">
        <v>78</v>
      </c>
      <c r="AA301">
        <v>0</v>
      </c>
      <c r="AB301" t="s">
        <v>79</v>
      </c>
      <c r="AC301" t="s">
        <v>225</v>
      </c>
      <c r="AD301">
        <v>36</v>
      </c>
      <c r="AE301">
        <v>9</v>
      </c>
      <c r="AF301">
        <v>3</v>
      </c>
      <c r="AG301">
        <v>2025</v>
      </c>
      <c r="AH301" s="2">
        <v>1750</v>
      </c>
      <c r="AI301" s="2">
        <v>1283.348876953125</v>
      </c>
      <c r="AJ301" s="2">
        <f t="shared" si="32"/>
        <v>466.651123046875</v>
      </c>
      <c r="AK301" s="6">
        <f t="shared" si="33"/>
        <v>0.26665778459821426</v>
      </c>
      <c r="AL301" s="12">
        <v>1750</v>
      </c>
      <c r="AM301" s="12">
        <v>1309.2974462403199</v>
      </c>
      <c r="AN301" s="12">
        <f t="shared" si="34"/>
        <v>440.70255375968009</v>
      </c>
      <c r="AO301" s="13">
        <f t="shared" si="35"/>
        <v>0.25183003071981719</v>
      </c>
      <c r="AP301" s="16">
        <v>1750</v>
      </c>
      <c r="AQ301" s="16">
        <v>1004.5708395610779</v>
      </c>
      <c r="AR301" s="16">
        <f t="shared" si="36"/>
        <v>745.42916043892205</v>
      </c>
      <c r="AS301" s="17">
        <f t="shared" si="37"/>
        <v>0.42595952025081263</v>
      </c>
      <c r="AT301" s="20">
        <v>1750</v>
      </c>
      <c r="AU301" s="20">
        <v>1255.55712890625</v>
      </c>
      <c r="AV301" s="20">
        <f t="shared" si="38"/>
        <v>494.44287109375</v>
      </c>
      <c r="AW301" s="21">
        <f t="shared" si="39"/>
        <v>0.28253878348214284</v>
      </c>
    </row>
    <row r="302" spans="1:49" x14ac:dyDescent="0.25">
      <c r="A302" t="s">
        <v>38</v>
      </c>
      <c r="B302" t="s">
        <v>96</v>
      </c>
      <c r="C302">
        <v>67434</v>
      </c>
      <c r="D302">
        <v>2018</v>
      </c>
      <c r="E302" t="s">
        <v>174</v>
      </c>
      <c r="F302" t="s">
        <v>645</v>
      </c>
      <c r="H302" t="s">
        <v>626</v>
      </c>
      <c r="I302">
        <v>6</v>
      </c>
      <c r="J302" t="s">
        <v>43</v>
      </c>
      <c r="K302">
        <v>4</v>
      </c>
      <c r="L302" t="s">
        <v>44</v>
      </c>
      <c r="M302">
        <v>3.6</v>
      </c>
      <c r="N302" t="s">
        <v>45</v>
      </c>
      <c r="O302" t="s">
        <v>46</v>
      </c>
      <c r="Q302" t="s">
        <v>62</v>
      </c>
      <c r="R302" t="s">
        <v>63</v>
      </c>
      <c r="S302" t="s">
        <v>101</v>
      </c>
      <c r="U302" t="s">
        <v>50</v>
      </c>
      <c r="V302" t="s">
        <v>76</v>
      </c>
      <c r="W302" t="s">
        <v>646</v>
      </c>
      <c r="X302" t="s">
        <v>94</v>
      </c>
      <c r="Y302" t="s">
        <v>78</v>
      </c>
      <c r="Z302">
        <v>45100</v>
      </c>
      <c r="AA302">
        <v>0</v>
      </c>
      <c r="AB302" t="s">
        <v>79</v>
      </c>
      <c r="AC302" t="s">
        <v>109</v>
      </c>
      <c r="AD302">
        <v>36</v>
      </c>
      <c r="AE302">
        <v>9</v>
      </c>
      <c r="AF302">
        <v>3</v>
      </c>
      <c r="AG302">
        <v>2025</v>
      </c>
      <c r="AH302" s="2">
        <v>18000</v>
      </c>
      <c r="AI302" s="2">
        <v>18414.72265625</v>
      </c>
      <c r="AJ302" s="2">
        <f t="shared" si="32"/>
        <v>414.72265625</v>
      </c>
      <c r="AK302" s="6">
        <f t="shared" si="33"/>
        <v>2.3040147569444443E-2</v>
      </c>
      <c r="AL302" s="12">
        <v>18000</v>
      </c>
      <c r="AM302" s="12">
        <v>14763.798893356199</v>
      </c>
      <c r="AN302" s="12">
        <f t="shared" si="34"/>
        <v>3236.2011066438008</v>
      </c>
      <c r="AO302" s="13">
        <f t="shared" si="35"/>
        <v>0.17978895036910006</v>
      </c>
      <c r="AP302" s="16">
        <v>18000</v>
      </c>
      <c r="AQ302" s="16">
        <v>15227.204444049559</v>
      </c>
      <c r="AR302" s="16">
        <f t="shared" si="36"/>
        <v>2772.7955559504408</v>
      </c>
      <c r="AS302" s="17">
        <f t="shared" si="37"/>
        <v>0.15404419755280227</v>
      </c>
      <c r="AT302" s="20">
        <v>18000</v>
      </c>
      <c r="AU302" s="20">
        <v>17557.166015625</v>
      </c>
      <c r="AV302" s="20">
        <f t="shared" si="38"/>
        <v>442.833984375</v>
      </c>
      <c r="AW302" s="21">
        <f t="shared" si="39"/>
        <v>2.4601888020833334E-2</v>
      </c>
    </row>
    <row r="303" spans="1:49" x14ac:dyDescent="0.25">
      <c r="A303" t="s">
        <v>38</v>
      </c>
      <c r="B303" t="s">
        <v>39</v>
      </c>
      <c r="C303">
        <v>77748</v>
      </c>
      <c r="D303">
        <v>2020</v>
      </c>
      <c r="E303" t="s">
        <v>97</v>
      </c>
      <c r="F303" t="s">
        <v>444</v>
      </c>
      <c r="G303" t="s">
        <v>445</v>
      </c>
      <c r="I303">
        <v>8</v>
      </c>
      <c r="J303" t="s">
        <v>72</v>
      </c>
      <c r="K303">
        <v>2</v>
      </c>
      <c r="L303" t="s">
        <v>44</v>
      </c>
      <c r="M303">
        <v>6.2</v>
      </c>
      <c r="N303" t="s">
        <v>73</v>
      </c>
      <c r="O303" t="s">
        <v>46</v>
      </c>
      <c r="Q303" t="s">
        <v>47</v>
      </c>
      <c r="R303" t="s">
        <v>197</v>
      </c>
      <c r="S303" t="s">
        <v>179</v>
      </c>
      <c r="U303" t="s">
        <v>50</v>
      </c>
      <c r="W303" t="s">
        <v>446</v>
      </c>
      <c r="X303" t="s">
        <v>125</v>
      </c>
      <c r="Y303" t="s">
        <v>78</v>
      </c>
      <c r="Z303">
        <v>42000</v>
      </c>
      <c r="AA303">
        <v>0</v>
      </c>
      <c r="AB303" t="s">
        <v>79</v>
      </c>
      <c r="AC303" t="s">
        <v>197</v>
      </c>
      <c r="AD303">
        <v>36</v>
      </c>
      <c r="AE303">
        <v>9</v>
      </c>
      <c r="AF303">
        <v>3</v>
      </c>
      <c r="AG303">
        <v>2025</v>
      </c>
      <c r="AH303" s="2">
        <v>29000</v>
      </c>
      <c r="AI303" s="2">
        <v>26273.931640625</v>
      </c>
      <c r="AJ303" s="2">
        <f t="shared" si="32"/>
        <v>2726.068359375</v>
      </c>
      <c r="AK303" s="6">
        <f t="shared" si="33"/>
        <v>9.4002357219827581E-2</v>
      </c>
      <c r="AL303" s="12">
        <v>29000</v>
      </c>
      <c r="AM303" s="12">
        <v>33313.655845285968</v>
      </c>
      <c r="AN303" s="12">
        <f t="shared" si="34"/>
        <v>4313.6558452859681</v>
      </c>
      <c r="AO303" s="13">
        <f t="shared" si="35"/>
        <v>0.14874675328572304</v>
      </c>
      <c r="AP303" s="16">
        <v>29000</v>
      </c>
      <c r="AQ303" s="16">
        <v>24659.5430728748</v>
      </c>
      <c r="AR303" s="16">
        <f t="shared" si="36"/>
        <v>4340.4569271252003</v>
      </c>
      <c r="AS303" s="17">
        <f t="shared" si="37"/>
        <v>0.14967092852155864</v>
      </c>
      <c r="AT303" s="20">
        <v>29000</v>
      </c>
      <c r="AU303" s="20">
        <v>27194.267578125</v>
      </c>
      <c r="AV303" s="20">
        <f t="shared" si="38"/>
        <v>1805.732421875</v>
      </c>
      <c r="AW303" s="21">
        <f t="shared" si="39"/>
        <v>6.2266635237068962E-2</v>
      </c>
    </row>
    <row r="304" spans="1:49" x14ac:dyDescent="0.25">
      <c r="A304" t="s">
        <v>128</v>
      </c>
      <c r="B304" t="s">
        <v>129</v>
      </c>
      <c r="C304">
        <v>135449</v>
      </c>
      <c r="D304">
        <v>2014</v>
      </c>
      <c r="E304" t="s">
        <v>263</v>
      </c>
      <c r="F304" t="s">
        <v>264</v>
      </c>
      <c r="G304" t="s">
        <v>647</v>
      </c>
      <c r="I304">
        <v>4</v>
      </c>
      <c r="J304" t="s">
        <v>72</v>
      </c>
      <c r="K304">
        <v>4</v>
      </c>
      <c r="L304" t="s">
        <v>44</v>
      </c>
      <c r="M304">
        <v>2</v>
      </c>
      <c r="N304" t="s">
        <v>45</v>
      </c>
      <c r="Q304" t="s">
        <v>62</v>
      </c>
      <c r="R304" t="s">
        <v>63</v>
      </c>
      <c r="S304" t="s">
        <v>49</v>
      </c>
      <c r="U304" t="s">
        <v>50</v>
      </c>
      <c r="V304" t="s">
        <v>51</v>
      </c>
      <c r="W304" t="s">
        <v>648</v>
      </c>
      <c r="X304" t="s">
        <v>65</v>
      </c>
      <c r="Y304" t="s">
        <v>54</v>
      </c>
      <c r="AA304">
        <v>0</v>
      </c>
      <c r="AB304" t="s">
        <v>79</v>
      </c>
      <c r="AC304" t="s">
        <v>87</v>
      </c>
      <c r="AD304">
        <v>36</v>
      </c>
      <c r="AE304">
        <v>9</v>
      </c>
      <c r="AF304">
        <v>3</v>
      </c>
      <c r="AG304">
        <v>2025</v>
      </c>
      <c r="AH304" s="2">
        <v>6300</v>
      </c>
      <c r="AI304" s="2">
        <v>3908.627197265625</v>
      </c>
      <c r="AJ304" s="2">
        <f t="shared" si="32"/>
        <v>2391.372802734375</v>
      </c>
      <c r="AK304" s="6">
        <f t="shared" si="33"/>
        <v>0.37958298456101192</v>
      </c>
      <c r="AL304" s="12">
        <v>6300</v>
      </c>
      <c r="AM304" s="12">
        <v>3251.53463574017</v>
      </c>
      <c r="AN304" s="12">
        <f t="shared" si="34"/>
        <v>3048.46536425983</v>
      </c>
      <c r="AO304" s="13">
        <f t="shared" si="35"/>
        <v>0.48388339115235396</v>
      </c>
      <c r="AP304" s="16">
        <v>6300</v>
      </c>
      <c r="AQ304" s="16">
        <v>3442.1744628215451</v>
      </c>
      <c r="AR304" s="16">
        <f t="shared" si="36"/>
        <v>2857.8255371784549</v>
      </c>
      <c r="AS304" s="17">
        <f t="shared" si="37"/>
        <v>0.45362310113943727</v>
      </c>
      <c r="AT304" s="20">
        <v>6300</v>
      </c>
      <c r="AU304" s="20">
        <v>3858.541259765625</v>
      </c>
      <c r="AV304" s="20">
        <f t="shared" si="38"/>
        <v>2441.458740234375</v>
      </c>
      <c r="AW304" s="21">
        <f t="shared" si="39"/>
        <v>0.38753313337053569</v>
      </c>
    </row>
    <row r="305" spans="1:49" x14ac:dyDescent="0.25">
      <c r="A305" t="s">
        <v>38</v>
      </c>
      <c r="B305" t="s">
        <v>96</v>
      </c>
      <c r="C305">
        <v>178629</v>
      </c>
      <c r="D305">
        <v>2016</v>
      </c>
      <c r="E305" t="s">
        <v>142</v>
      </c>
      <c r="F305" t="s">
        <v>143</v>
      </c>
      <c r="G305" t="s">
        <v>457</v>
      </c>
      <c r="H305" t="s">
        <v>145</v>
      </c>
      <c r="I305">
        <v>4</v>
      </c>
      <c r="J305" t="s">
        <v>122</v>
      </c>
      <c r="K305">
        <v>4</v>
      </c>
      <c r="L305" t="s">
        <v>44</v>
      </c>
      <c r="M305">
        <v>2.4</v>
      </c>
      <c r="N305" t="s">
        <v>45</v>
      </c>
      <c r="O305" t="s">
        <v>190</v>
      </c>
      <c r="P305">
        <v>2</v>
      </c>
      <c r="Q305" t="s">
        <v>62</v>
      </c>
      <c r="R305" t="s">
        <v>63</v>
      </c>
      <c r="S305" t="s">
        <v>49</v>
      </c>
      <c r="U305" t="s">
        <v>50</v>
      </c>
      <c r="X305" t="s">
        <v>141</v>
      </c>
      <c r="Y305" t="s">
        <v>78</v>
      </c>
      <c r="AA305">
        <v>0</v>
      </c>
      <c r="AB305" t="s">
        <v>79</v>
      </c>
      <c r="AC305" t="s">
        <v>87</v>
      </c>
      <c r="AD305">
        <v>36</v>
      </c>
      <c r="AE305">
        <v>9</v>
      </c>
      <c r="AF305">
        <v>3</v>
      </c>
      <c r="AG305">
        <v>2025</v>
      </c>
      <c r="AH305" s="2">
        <v>800</v>
      </c>
      <c r="AI305" s="2">
        <v>1114.849975585938</v>
      </c>
      <c r="AJ305" s="2">
        <f t="shared" si="32"/>
        <v>314.84997558593795</v>
      </c>
      <c r="AK305" s="6">
        <f t="shared" si="33"/>
        <v>0.39356246948242246</v>
      </c>
      <c r="AL305" s="12">
        <v>800</v>
      </c>
      <c r="AM305" s="12">
        <v>1218.5763667631529</v>
      </c>
      <c r="AN305" s="12">
        <f t="shared" si="34"/>
        <v>418.57636676315292</v>
      </c>
      <c r="AO305" s="13">
        <f t="shared" si="35"/>
        <v>0.52322045845394116</v>
      </c>
      <c r="AP305" s="16">
        <v>800</v>
      </c>
      <c r="AQ305" s="16">
        <v>1401.1226716069591</v>
      </c>
      <c r="AR305" s="16">
        <f t="shared" si="36"/>
        <v>601.1226716069591</v>
      </c>
      <c r="AS305" s="17">
        <f t="shared" si="37"/>
        <v>0.75140333950869886</v>
      </c>
      <c r="AT305" s="20">
        <v>800</v>
      </c>
      <c r="AU305" s="20">
        <v>1119.1328125</v>
      </c>
      <c r="AV305" s="20">
        <f t="shared" si="38"/>
        <v>319.1328125</v>
      </c>
      <c r="AW305" s="21">
        <f t="shared" si="39"/>
        <v>0.39891601562500001</v>
      </c>
    </row>
    <row r="306" spans="1:49" x14ac:dyDescent="0.25">
      <c r="A306" t="s">
        <v>38</v>
      </c>
      <c r="B306" t="s">
        <v>110</v>
      </c>
      <c r="C306">
        <v>84211</v>
      </c>
      <c r="D306">
        <v>2013</v>
      </c>
      <c r="E306" t="s">
        <v>97</v>
      </c>
      <c r="F306" t="s">
        <v>379</v>
      </c>
      <c r="G306" t="s">
        <v>130</v>
      </c>
      <c r="I306">
        <v>4</v>
      </c>
      <c r="J306" t="s">
        <v>178</v>
      </c>
      <c r="K306">
        <v>4</v>
      </c>
      <c r="L306" t="s">
        <v>44</v>
      </c>
      <c r="M306">
        <v>1.4</v>
      </c>
      <c r="N306" t="s">
        <v>45</v>
      </c>
      <c r="O306" t="s">
        <v>46</v>
      </c>
      <c r="P306">
        <v>3</v>
      </c>
      <c r="Q306" t="s">
        <v>47</v>
      </c>
      <c r="R306" t="s">
        <v>123</v>
      </c>
      <c r="U306" t="s">
        <v>50</v>
      </c>
      <c r="V306" t="s">
        <v>51</v>
      </c>
      <c r="W306" t="s">
        <v>381</v>
      </c>
      <c r="X306" t="s">
        <v>125</v>
      </c>
      <c r="Y306" t="s">
        <v>78</v>
      </c>
      <c r="AA306">
        <v>0</v>
      </c>
      <c r="AB306" t="s">
        <v>79</v>
      </c>
      <c r="AC306" t="s">
        <v>127</v>
      </c>
      <c r="AD306">
        <v>36</v>
      </c>
      <c r="AE306">
        <v>9</v>
      </c>
      <c r="AF306">
        <v>3</v>
      </c>
      <c r="AG306">
        <v>2025</v>
      </c>
      <c r="AH306" s="2">
        <v>3200</v>
      </c>
      <c r="AI306" s="2">
        <v>2883.974365234375</v>
      </c>
      <c r="AJ306" s="2">
        <f t="shared" si="32"/>
        <v>316.025634765625</v>
      </c>
      <c r="AK306" s="6">
        <f t="shared" si="33"/>
        <v>9.8758010864257811E-2</v>
      </c>
      <c r="AL306" s="12">
        <v>3200</v>
      </c>
      <c r="AM306" s="12">
        <v>3301.3543873372719</v>
      </c>
      <c r="AN306" s="12">
        <f t="shared" si="34"/>
        <v>101.35438733727187</v>
      </c>
      <c r="AO306" s="13">
        <f t="shared" si="35"/>
        <v>3.1673246042897459E-2</v>
      </c>
      <c r="AP306" s="16">
        <v>3200</v>
      </c>
      <c r="AQ306" s="16">
        <v>2409.4181085534469</v>
      </c>
      <c r="AR306" s="16">
        <f t="shared" si="36"/>
        <v>790.58189144655307</v>
      </c>
      <c r="AS306" s="17">
        <f t="shared" si="37"/>
        <v>0.24705684107704784</v>
      </c>
      <c r="AT306" s="20">
        <v>3200</v>
      </c>
      <c r="AU306" s="20">
        <v>2909.209228515625</v>
      </c>
      <c r="AV306" s="20">
        <f t="shared" si="38"/>
        <v>290.790771484375</v>
      </c>
      <c r="AW306" s="21">
        <f t="shared" si="39"/>
        <v>9.0872116088867194E-2</v>
      </c>
    </row>
    <row r="307" spans="1:49" x14ac:dyDescent="0.25">
      <c r="A307" t="s">
        <v>128</v>
      </c>
      <c r="B307" t="s">
        <v>129</v>
      </c>
      <c r="C307">
        <v>166217</v>
      </c>
      <c r="D307">
        <v>2009</v>
      </c>
      <c r="E307" t="s">
        <v>40</v>
      </c>
      <c r="F307" t="s">
        <v>297</v>
      </c>
      <c r="H307" t="s">
        <v>368</v>
      </c>
      <c r="I307">
        <v>4</v>
      </c>
      <c r="J307" t="s">
        <v>43</v>
      </c>
      <c r="K307">
        <v>4</v>
      </c>
      <c r="L307" t="s">
        <v>44</v>
      </c>
      <c r="M307">
        <v>2.4</v>
      </c>
      <c r="N307" t="s">
        <v>45</v>
      </c>
      <c r="Q307" t="s">
        <v>47</v>
      </c>
      <c r="R307" t="s">
        <v>123</v>
      </c>
      <c r="S307" t="s">
        <v>49</v>
      </c>
      <c r="T307">
        <v>158</v>
      </c>
      <c r="U307" t="s">
        <v>50</v>
      </c>
      <c r="V307" t="s">
        <v>51</v>
      </c>
      <c r="W307" t="s">
        <v>369</v>
      </c>
      <c r="X307" t="s">
        <v>125</v>
      </c>
      <c r="Y307" t="s">
        <v>78</v>
      </c>
      <c r="AA307">
        <v>0</v>
      </c>
      <c r="AB307" t="s">
        <v>79</v>
      </c>
      <c r="AC307" t="s">
        <v>127</v>
      </c>
      <c r="AD307">
        <v>36</v>
      </c>
      <c r="AE307">
        <v>9</v>
      </c>
      <c r="AF307">
        <v>3</v>
      </c>
      <c r="AG307">
        <v>2025</v>
      </c>
      <c r="AH307" s="2">
        <v>600</v>
      </c>
      <c r="AI307" s="2">
        <v>1801.506469726562</v>
      </c>
      <c r="AJ307" s="2">
        <f t="shared" si="32"/>
        <v>1201.506469726562</v>
      </c>
      <c r="AK307" s="6">
        <f t="shared" si="33"/>
        <v>2.0025107828776032</v>
      </c>
      <c r="AL307" s="12">
        <v>600</v>
      </c>
      <c r="AM307" s="12">
        <v>1697.148081173978</v>
      </c>
      <c r="AN307" s="12">
        <f t="shared" si="34"/>
        <v>1097.148081173978</v>
      </c>
      <c r="AO307" s="13">
        <f t="shared" si="35"/>
        <v>1.8285801352899633</v>
      </c>
      <c r="AP307" s="16">
        <v>600</v>
      </c>
      <c r="AQ307" s="16">
        <v>1404.159066719775</v>
      </c>
      <c r="AR307" s="16">
        <f t="shared" si="36"/>
        <v>804.15906671977496</v>
      </c>
      <c r="AS307" s="17">
        <f t="shared" si="37"/>
        <v>1.3402651111996249</v>
      </c>
      <c r="AT307" s="20">
        <v>600</v>
      </c>
      <c r="AU307" s="20">
        <v>1773.532470703125</v>
      </c>
      <c r="AV307" s="20">
        <f t="shared" si="38"/>
        <v>1173.532470703125</v>
      </c>
      <c r="AW307" s="21">
        <f t="shared" si="39"/>
        <v>1.9558874511718749</v>
      </c>
    </row>
    <row r="308" spans="1:49" x14ac:dyDescent="0.25">
      <c r="A308" t="s">
        <v>38</v>
      </c>
      <c r="B308" t="s">
        <v>39</v>
      </c>
      <c r="C308">
        <v>110108</v>
      </c>
      <c r="D308">
        <v>2017</v>
      </c>
      <c r="E308" t="s">
        <v>142</v>
      </c>
      <c r="F308" t="s">
        <v>649</v>
      </c>
      <c r="G308" t="s">
        <v>457</v>
      </c>
      <c r="H308" t="s">
        <v>650</v>
      </c>
      <c r="I308">
        <v>4</v>
      </c>
      <c r="J308" t="s">
        <v>61</v>
      </c>
      <c r="K308">
        <v>4</v>
      </c>
      <c r="L308" t="s">
        <v>44</v>
      </c>
      <c r="M308">
        <v>2</v>
      </c>
      <c r="N308" t="s">
        <v>45</v>
      </c>
      <c r="O308" t="s">
        <v>46</v>
      </c>
      <c r="Q308" t="s">
        <v>62</v>
      </c>
      <c r="R308" t="s">
        <v>63</v>
      </c>
      <c r="S308" t="s">
        <v>101</v>
      </c>
      <c r="U308" t="s">
        <v>50</v>
      </c>
      <c r="V308" t="s">
        <v>51</v>
      </c>
      <c r="X308" t="s">
        <v>65</v>
      </c>
      <c r="Y308" t="s">
        <v>78</v>
      </c>
      <c r="Z308">
        <v>18040</v>
      </c>
      <c r="AA308">
        <v>0</v>
      </c>
      <c r="AB308" t="s">
        <v>79</v>
      </c>
      <c r="AC308" t="s">
        <v>87</v>
      </c>
      <c r="AD308">
        <v>36</v>
      </c>
      <c r="AE308">
        <v>9</v>
      </c>
      <c r="AF308">
        <v>3</v>
      </c>
      <c r="AG308">
        <v>2025</v>
      </c>
      <c r="AH308" s="2">
        <v>5300</v>
      </c>
      <c r="AI308" s="2">
        <v>3755.511474609375</v>
      </c>
      <c r="AJ308" s="2">
        <f t="shared" si="32"/>
        <v>1544.488525390625</v>
      </c>
      <c r="AK308" s="6">
        <f t="shared" si="33"/>
        <v>0.29141292931898582</v>
      </c>
      <c r="AL308" s="12">
        <v>5300</v>
      </c>
      <c r="AM308" s="12">
        <v>4431.1832740476484</v>
      </c>
      <c r="AN308" s="12">
        <f t="shared" si="34"/>
        <v>868.81672595235159</v>
      </c>
      <c r="AO308" s="13">
        <f t="shared" si="35"/>
        <v>0.16392768414195313</v>
      </c>
      <c r="AP308" s="16">
        <v>5300</v>
      </c>
      <c r="AQ308" s="16">
        <v>3500.0972631848922</v>
      </c>
      <c r="AR308" s="16">
        <f t="shared" si="36"/>
        <v>1799.9027368151078</v>
      </c>
      <c r="AS308" s="17">
        <f t="shared" si="37"/>
        <v>0.33960428996511466</v>
      </c>
      <c r="AT308" s="20">
        <v>5300</v>
      </c>
      <c r="AU308" s="20">
        <v>3813.707275390625</v>
      </c>
      <c r="AV308" s="20">
        <f t="shared" si="38"/>
        <v>1486.292724609375</v>
      </c>
      <c r="AW308" s="21">
        <f t="shared" si="39"/>
        <v>0.28043258954893868</v>
      </c>
    </row>
    <row r="309" spans="1:49" x14ac:dyDescent="0.25">
      <c r="A309" t="s">
        <v>38</v>
      </c>
      <c r="B309" t="s">
        <v>39</v>
      </c>
      <c r="C309">
        <v>103064</v>
      </c>
      <c r="D309">
        <v>2021</v>
      </c>
      <c r="E309" t="s">
        <v>174</v>
      </c>
      <c r="F309" t="s">
        <v>314</v>
      </c>
      <c r="G309" t="s">
        <v>176</v>
      </c>
      <c r="H309" t="s">
        <v>89</v>
      </c>
      <c r="I309">
        <v>8</v>
      </c>
      <c r="J309" t="s">
        <v>72</v>
      </c>
      <c r="K309">
        <v>4</v>
      </c>
      <c r="L309" t="s">
        <v>44</v>
      </c>
      <c r="M309">
        <v>6.2</v>
      </c>
      <c r="N309" t="s">
        <v>91</v>
      </c>
      <c r="O309" t="s">
        <v>46</v>
      </c>
      <c r="Q309" t="s">
        <v>74</v>
      </c>
      <c r="R309" t="s">
        <v>92</v>
      </c>
      <c r="S309" t="s">
        <v>93</v>
      </c>
      <c r="U309" t="s">
        <v>50</v>
      </c>
      <c r="V309" t="s">
        <v>76</v>
      </c>
      <c r="W309" t="s">
        <v>651</v>
      </c>
      <c r="X309" t="s">
        <v>108</v>
      </c>
      <c r="Y309" t="s">
        <v>126</v>
      </c>
      <c r="AA309">
        <v>0</v>
      </c>
      <c r="AB309" t="s">
        <v>79</v>
      </c>
      <c r="AC309" t="s">
        <v>95</v>
      </c>
      <c r="AD309">
        <v>36</v>
      </c>
      <c r="AE309">
        <v>9</v>
      </c>
      <c r="AF309">
        <v>3</v>
      </c>
      <c r="AG309">
        <v>2025</v>
      </c>
      <c r="AH309" s="2">
        <v>29750</v>
      </c>
      <c r="AI309" s="2">
        <v>37883.4296875</v>
      </c>
      <c r="AJ309" s="2">
        <f t="shared" si="32"/>
        <v>8133.4296875</v>
      </c>
      <c r="AK309" s="6">
        <f t="shared" si="33"/>
        <v>0.27339259453781511</v>
      </c>
      <c r="AL309" s="12">
        <v>29750</v>
      </c>
      <c r="AM309" s="12">
        <v>31553.627443517791</v>
      </c>
      <c r="AN309" s="12">
        <f t="shared" si="34"/>
        <v>1803.6274435177911</v>
      </c>
      <c r="AO309" s="13">
        <f t="shared" si="35"/>
        <v>6.0626132555219869E-2</v>
      </c>
      <c r="AP309" s="16">
        <v>29750</v>
      </c>
      <c r="AQ309" s="16">
        <v>29108.028437245441</v>
      </c>
      <c r="AR309" s="16">
        <f t="shared" si="36"/>
        <v>641.97156275455927</v>
      </c>
      <c r="AS309" s="17">
        <f t="shared" si="37"/>
        <v>2.1578876058976782E-2</v>
      </c>
      <c r="AT309" s="20">
        <v>29750</v>
      </c>
      <c r="AU309" s="20">
        <v>37249.19921875</v>
      </c>
      <c r="AV309" s="20">
        <f t="shared" si="38"/>
        <v>7499.19921875</v>
      </c>
      <c r="AW309" s="21">
        <f t="shared" si="39"/>
        <v>0.25207392331932771</v>
      </c>
    </row>
    <row r="310" spans="1:49" x14ac:dyDescent="0.25">
      <c r="A310" t="s">
        <v>38</v>
      </c>
      <c r="B310" t="s">
        <v>68</v>
      </c>
      <c r="C310">
        <v>140571</v>
      </c>
      <c r="D310">
        <v>2018</v>
      </c>
      <c r="E310" t="s">
        <v>69</v>
      </c>
      <c r="F310" t="s">
        <v>231</v>
      </c>
      <c r="I310">
        <v>8</v>
      </c>
      <c r="J310" t="s">
        <v>61</v>
      </c>
      <c r="K310">
        <v>4</v>
      </c>
      <c r="L310" t="s">
        <v>44</v>
      </c>
      <c r="M310">
        <v>5</v>
      </c>
      <c r="N310" t="s">
        <v>91</v>
      </c>
      <c r="O310" t="s">
        <v>46</v>
      </c>
      <c r="P310">
        <v>4</v>
      </c>
      <c r="Q310" t="s">
        <v>74</v>
      </c>
      <c r="R310" t="s">
        <v>92</v>
      </c>
      <c r="S310" t="s">
        <v>93</v>
      </c>
      <c r="T310">
        <v>395</v>
      </c>
      <c r="U310" t="s">
        <v>50</v>
      </c>
      <c r="V310" t="s">
        <v>76</v>
      </c>
      <c r="W310" t="s">
        <v>652</v>
      </c>
      <c r="X310" t="s">
        <v>94</v>
      </c>
      <c r="Y310" t="s">
        <v>78</v>
      </c>
      <c r="AA310">
        <v>0</v>
      </c>
      <c r="AB310" t="s">
        <v>79</v>
      </c>
      <c r="AC310" t="s">
        <v>95</v>
      </c>
      <c r="AD310">
        <v>36</v>
      </c>
      <c r="AE310">
        <v>9</v>
      </c>
      <c r="AF310">
        <v>3</v>
      </c>
      <c r="AG310">
        <v>2025</v>
      </c>
      <c r="AH310" s="2">
        <v>11500</v>
      </c>
      <c r="AI310" s="2">
        <v>15138.708984375</v>
      </c>
      <c r="AJ310" s="2">
        <f t="shared" si="32"/>
        <v>3638.708984375</v>
      </c>
      <c r="AK310" s="6">
        <f t="shared" si="33"/>
        <v>0.31640947690217391</v>
      </c>
      <c r="AL310" s="12">
        <v>11500</v>
      </c>
      <c r="AM310" s="12">
        <v>15911.69870784243</v>
      </c>
      <c r="AN310" s="12">
        <f t="shared" si="34"/>
        <v>4411.6987078424299</v>
      </c>
      <c r="AO310" s="13">
        <f t="shared" si="35"/>
        <v>0.38362597459499392</v>
      </c>
      <c r="AP310" s="16">
        <v>11500</v>
      </c>
      <c r="AQ310" s="16">
        <v>14483.066915526621</v>
      </c>
      <c r="AR310" s="16">
        <f t="shared" si="36"/>
        <v>2983.0669155266205</v>
      </c>
      <c r="AS310" s="17">
        <f t="shared" si="37"/>
        <v>0.25939712308927138</v>
      </c>
      <c r="AT310" s="20">
        <v>11500</v>
      </c>
      <c r="AU310" s="20">
        <v>15182.505859375</v>
      </c>
      <c r="AV310" s="20">
        <f t="shared" si="38"/>
        <v>3682.505859375</v>
      </c>
      <c r="AW310" s="21">
        <f t="shared" si="39"/>
        <v>0.32021790081521739</v>
      </c>
    </row>
    <row r="311" spans="1:49" x14ac:dyDescent="0.25">
      <c r="A311" t="s">
        <v>114</v>
      </c>
      <c r="B311" t="s">
        <v>340</v>
      </c>
      <c r="C311">
        <v>177369</v>
      </c>
      <c r="D311">
        <v>1999</v>
      </c>
      <c r="E311" t="s">
        <v>286</v>
      </c>
      <c r="F311" t="s">
        <v>653</v>
      </c>
      <c r="H311" t="s">
        <v>654</v>
      </c>
      <c r="I311">
        <v>6</v>
      </c>
      <c r="J311" t="s">
        <v>135</v>
      </c>
      <c r="K311">
        <v>4</v>
      </c>
      <c r="L311" t="s">
        <v>44</v>
      </c>
      <c r="M311">
        <v>3</v>
      </c>
      <c r="N311" t="s">
        <v>45</v>
      </c>
      <c r="O311" t="s">
        <v>655</v>
      </c>
      <c r="P311">
        <v>2</v>
      </c>
      <c r="Q311" t="s">
        <v>47</v>
      </c>
      <c r="R311" t="s">
        <v>123</v>
      </c>
      <c r="S311" t="s">
        <v>49</v>
      </c>
      <c r="T311">
        <v>210</v>
      </c>
      <c r="U311" t="s">
        <v>50</v>
      </c>
      <c r="V311" t="s">
        <v>76</v>
      </c>
      <c r="W311" t="s">
        <v>526</v>
      </c>
      <c r="X311" t="s">
        <v>125</v>
      </c>
      <c r="Y311" t="s">
        <v>54</v>
      </c>
      <c r="AA311">
        <v>0</v>
      </c>
      <c r="AB311" t="s">
        <v>79</v>
      </c>
      <c r="AC311" t="s">
        <v>127</v>
      </c>
      <c r="AD311">
        <v>36</v>
      </c>
      <c r="AE311">
        <v>9</v>
      </c>
      <c r="AF311">
        <v>3</v>
      </c>
      <c r="AG311">
        <v>2025</v>
      </c>
      <c r="AH311" s="2">
        <v>400</v>
      </c>
      <c r="AI311" s="2">
        <v>512.5489501953125</v>
      </c>
      <c r="AJ311" s="2">
        <f t="shared" si="32"/>
        <v>112.5489501953125</v>
      </c>
      <c r="AK311" s="6">
        <f t="shared" si="33"/>
        <v>0.28137237548828126</v>
      </c>
      <c r="AL311" s="12">
        <v>400</v>
      </c>
      <c r="AM311" s="12">
        <v>467.91343755639667</v>
      </c>
      <c r="AN311" s="12">
        <f t="shared" si="34"/>
        <v>67.913437556396673</v>
      </c>
      <c r="AO311" s="13">
        <f t="shared" si="35"/>
        <v>0.16978359389099168</v>
      </c>
      <c r="AP311" s="16">
        <v>400</v>
      </c>
      <c r="AQ311" s="16">
        <v>406.20015518551571</v>
      </c>
      <c r="AR311" s="16">
        <f t="shared" si="36"/>
        <v>6.2001551855157118</v>
      </c>
      <c r="AS311" s="17">
        <f t="shared" si="37"/>
        <v>1.550038796378928E-2</v>
      </c>
      <c r="AT311" s="20">
        <v>400</v>
      </c>
      <c r="AU311" s="20">
        <v>460.00308227539063</v>
      </c>
      <c r="AV311" s="20">
        <f t="shared" si="38"/>
        <v>60.003082275390625</v>
      </c>
      <c r="AW311" s="21">
        <f t="shared" si="39"/>
        <v>0.15000770568847657</v>
      </c>
    </row>
    <row r="312" spans="1:49" x14ac:dyDescent="0.25">
      <c r="A312" t="s">
        <v>38</v>
      </c>
      <c r="B312" t="s">
        <v>96</v>
      </c>
      <c r="C312">
        <v>76259</v>
      </c>
      <c r="D312">
        <v>2021</v>
      </c>
      <c r="E312" t="s">
        <v>116</v>
      </c>
      <c r="F312" t="s">
        <v>237</v>
      </c>
      <c r="G312" t="s">
        <v>656</v>
      </c>
      <c r="H312" t="s">
        <v>396</v>
      </c>
      <c r="I312">
        <v>6</v>
      </c>
      <c r="J312" t="s">
        <v>61</v>
      </c>
      <c r="K312">
        <v>4</v>
      </c>
      <c r="L312" t="s">
        <v>44</v>
      </c>
      <c r="M312">
        <v>3.6</v>
      </c>
      <c r="N312" t="s">
        <v>73</v>
      </c>
      <c r="O312" t="s">
        <v>46</v>
      </c>
      <c r="P312">
        <v>3</v>
      </c>
      <c r="Q312" t="s">
        <v>47</v>
      </c>
      <c r="R312" t="s">
        <v>123</v>
      </c>
      <c r="S312" t="s">
        <v>179</v>
      </c>
      <c r="T312">
        <v>292</v>
      </c>
      <c r="U312" t="s">
        <v>50</v>
      </c>
      <c r="V312" t="s">
        <v>76</v>
      </c>
      <c r="X312" t="s">
        <v>125</v>
      </c>
      <c r="Y312" t="s">
        <v>103</v>
      </c>
      <c r="AA312">
        <v>0</v>
      </c>
      <c r="AB312" t="s">
        <v>79</v>
      </c>
      <c r="AC312" t="s">
        <v>127</v>
      </c>
      <c r="AD312">
        <v>36</v>
      </c>
      <c r="AE312">
        <v>9</v>
      </c>
      <c r="AF312">
        <v>3</v>
      </c>
      <c r="AG312">
        <v>2025</v>
      </c>
      <c r="AH312" s="2">
        <v>12250</v>
      </c>
      <c r="AI312" s="2">
        <v>15348.158203125</v>
      </c>
      <c r="AJ312" s="2">
        <f t="shared" si="32"/>
        <v>3098.158203125</v>
      </c>
      <c r="AK312" s="6">
        <f t="shared" si="33"/>
        <v>0.25291087372448978</v>
      </c>
      <c r="AL312" s="12">
        <v>12250</v>
      </c>
      <c r="AM312" s="12">
        <v>17108.58436465275</v>
      </c>
      <c r="AN312" s="12">
        <f t="shared" si="34"/>
        <v>4858.5843646527501</v>
      </c>
      <c r="AO312" s="13">
        <f t="shared" si="35"/>
        <v>0.39661913180838776</v>
      </c>
      <c r="AP312" s="16">
        <v>12250</v>
      </c>
      <c r="AQ312" s="16">
        <v>14120.807984922491</v>
      </c>
      <c r="AR312" s="16">
        <f t="shared" si="36"/>
        <v>1870.8079849224905</v>
      </c>
      <c r="AS312" s="17">
        <f t="shared" si="37"/>
        <v>0.15271901917734618</v>
      </c>
      <c r="AT312" s="20">
        <v>12250</v>
      </c>
      <c r="AU312" s="20">
        <v>15652.02734375</v>
      </c>
      <c r="AV312" s="20">
        <f t="shared" si="38"/>
        <v>3402.02734375</v>
      </c>
      <c r="AW312" s="21">
        <f t="shared" si="39"/>
        <v>0.27771651785714285</v>
      </c>
    </row>
    <row r="313" spans="1:49" x14ac:dyDescent="0.25">
      <c r="A313" t="s">
        <v>38</v>
      </c>
      <c r="B313" t="s">
        <v>39</v>
      </c>
      <c r="C313">
        <v>106159</v>
      </c>
      <c r="D313">
        <v>2017</v>
      </c>
      <c r="E313" t="s">
        <v>97</v>
      </c>
      <c r="F313" t="s">
        <v>419</v>
      </c>
      <c r="G313" t="s">
        <v>657</v>
      </c>
      <c r="I313">
        <v>8</v>
      </c>
      <c r="J313" t="s">
        <v>61</v>
      </c>
      <c r="K313">
        <v>4</v>
      </c>
      <c r="L313" t="s">
        <v>44</v>
      </c>
      <c r="M313">
        <v>5.3</v>
      </c>
      <c r="N313" t="s">
        <v>73</v>
      </c>
      <c r="O313" t="s">
        <v>46</v>
      </c>
      <c r="Q313" t="s">
        <v>62</v>
      </c>
      <c r="R313" t="s">
        <v>63</v>
      </c>
      <c r="S313" t="s">
        <v>49</v>
      </c>
      <c r="U313" t="s">
        <v>50</v>
      </c>
      <c r="W313" t="s">
        <v>424</v>
      </c>
      <c r="X313" t="s">
        <v>94</v>
      </c>
      <c r="Y313" t="s">
        <v>78</v>
      </c>
      <c r="AA313">
        <v>0</v>
      </c>
      <c r="AB313" t="s">
        <v>79</v>
      </c>
      <c r="AC313" t="s">
        <v>87</v>
      </c>
      <c r="AD313">
        <v>36</v>
      </c>
      <c r="AE313">
        <v>9</v>
      </c>
      <c r="AF313">
        <v>3</v>
      </c>
      <c r="AG313">
        <v>2025</v>
      </c>
      <c r="AH313" s="2">
        <v>10250</v>
      </c>
      <c r="AI313" s="2">
        <v>10323.8271484375</v>
      </c>
      <c r="AJ313" s="2">
        <f t="shared" si="32"/>
        <v>73.8271484375</v>
      </c>
      <c r="AK313" s="6">
        <f t="shared" si="33"/>
        <v>7.2026486280487804E-3</v>
      </c>
      <c r="AL313" s="12">
        <v>10250</v>
      </c>
      <c r="AM313" s="12">
        <v>14619.51342544533</v>
      </c>
      <c r="AN313" s="12">
        <f t="shared" si="34"/>
        <v>4369.5134254453296</v>
      </c>
      <c r="AO313" s="13">
        <f t="shared" si="35"/>
        <v>0.42629399272637364</v>
      </c>
      <c r="AP313" s="16">
        <v>10250</v>
      </c>
      <c r="AQ313" s="16">
        <v>10693.875774811249</v>
      </c>
      <c r="AR313" s="16">
        <f t="shared" si="36"/>
        <v>443.87577481124936</v>
      </c>
      <c r="AS313" s="17">
        <f t="shared" si="37"/>
        <v>4.3304953640121886E-2</v>
      </c>
      <c r="AT313" s="20">
        <v>10250</v>
      </c>
      <c r="AU313" s="20">
        <v>11095.3564453125</v>
      </c>
      <c r="AV313" s="20">
        <f t="shared" si="38"/>
        <v>845.3564453125</v>
      </c>
      <c r="AW313" s="21">
        <f t="shared" si="39"/>
        <v>8.2473799542682927E-2</v>
      </c>
    </row>
    <row r="314" spans="1:49" x14ac:dyDescent="0.25">
      <c r="A314" t="s">
        <v>38</v>
      </c>
      <c r="B314" t="s">
        <v>110</v>
      </c>
      <c r="C314">
        <v>117438</v>
      </c>
      <c r="D314">
        <v>2016</v>
      </c>
      <c r="E314" t="s">
        <v>97</v>
      </c>
      <c r="F314" t="s">
        <v>658</v>
      </c>
      <c r="G314" t="s">
        <v>659</v>
      </c>
      <c r="I314">
        <v>6</v>
      </c>
      <c r="J314" t="s">
        <v>135</v>
      </c>
      <c r="K314">
        <v>4</v>
      </c>
      <c r="L314" t="s">
        <v>44</v>
      </c>
      <c r="M314">
        <v>3.6</v>
      </c>
      <c r="N314" t="s">
        <v>45</v>
      </c>
      <c r="Q314" t="s">
        <v>47</v>
      </c>
      <c r="R314" t="s">
        <v>123</v>
      </c>
      <c r="U314" t="s">
        <v>50</v>
      </c>
      <c r="W314" t="s">
        <v>660</v>
      </c>
      <c r="X314" t="s">
        <v>125</v>
      </c>
      <c r="Y314" t="s">
        <v>103</v>
      </c>
      <c r="AA314">
        <v>0</v>
      </c>
      <c r="AB314" t="s">
        <v>79</v>
      </c>
      <c r="AC314" t="s">
        <v>127</v>
      </c>
      <c r="AD314">
        <v>36</v>
      </c>
      <c r="AE314">
        <v>9</v>
      </c>
      <c r="AF314">
        <v>3</v>
      </c>
      <c r="AG314">
        <v>2025</v>
      </c>
      <c r="AH314" s="2">
        <v>3600</v>
      </c>
      <c r="AI314" s="2">
        <v>3686.931396484375</v>
      </c>
      <c r="AJ314" s="2">
        <f t="shared" si="32"/>
        <v>86.931396484375</v>
      </c>
      <c r="AK314" s="6">
        <f t="shared" si="33"/>
        <v>2.4147610134548612E-2</v>
      </c>
      <c r="AL314" s="12">
        <v>3600</v>
      </c>
      <c r="AM314" s="12">
        <v>3401.8102753973321</v>
      </c>
      <c r="AN314" s="12">
        <f t="shared" si="34"/>
        <v>198.18972460266787</v>
      </c>
      <c r="AO314" s="13">
        <f t="shared" si="35"/>
        <v>5.5052701278518849E-2</v>
      </c>
      <c r="AP314" s="16">
        <v>3600</v>
      </c>
      <c r="AQ314" s="16">
        <v>2440.9137639348219</v>
      </c>
      <c r="AR314" s="16">
        <f t="shared" si="36"/>
        <v>1159.0862360651781</v>
      </c>
      <c r="AS314" s="17">
        <f t="shared" si="37"/>
        <v>0.32196839890699391</v>
      </c>
      <c r="AT314" s="20">
        <v>3600</v>
      </c>
      <c r="AU314" s="20">
        <v>3717.3701171875</v>
      </c>
      <c r="AV314" s="20">
        <f t="shared" si="38"/>
        <v>117.3701171875</v>
      </c>
      <c r="AW314" s="21">
        <f t="shared" si="39"/>
        <v>3.2602810329861114E-2</v>
      </c>
    </row>
    <row r="315" spans="1:49" x14ac:dyDescent="0.25">
      <c r="A315" t="s">
        <v>38</v>
      </c>
      <c r="B315" t="s">
        <v>110</v>
      </c>
      <c r="C315">
        <v>93817</v>
      </c>
      <c r="D315">
        <v>2018</v>
      </c>
      <c r="E315" t="s">
        <v>403</v>
      </c>
      <c r="F315" t="s">
        <v>661</v>
      </c>
      <c r="G315" t="s">
        <v>662</v>
      </c>
      <c r="I315">
        <v>6</v>
      </c>
      <c r="J315" t="s">
        <v>61</v>
      </c>
      <c r="K315">
        <v>4</v>
      </c>
      <c r="L315" t="s">
        <v>44</v>
      </c>
      <c r="M315">
        <v>3.6</v>
      </c>
      <c r="N315" t="s">
        <v>45</v>
      </c>
      <c r="O315" t="s">
        <v>46</v>
      </c>
      <c r="P315">
        <v>3</v>
      </c>
      <c r="Q315" t="s">
        <v>62</v>
      </c>
      <c r="R315" t="s">
        <v>63</v>
      </c>
      <c r="S315" t="s">
        <v>101</v>
      </c>
      <c r="U315" t="s">
        <v>50</v>
      </c>
      <c r="V315" t="s">
        <v>76</v>
      </c>
      <c r="W315" t="s">
        <v>646</v>
      </c>
      <c r="X315" t="s">
        <v>94</v>
      </c>
      <c r="Y315" t="s">
        <v>78</v>
      </c>
      <c r="Z315">
        <v>53095</v>
      </c>
      <c r="AA315">
        <v>0</v>
      </c>
      <c r="AB315" t="s">
        <v>79</v>
      </c>
      <c r="AC315" t="s">
        <v>87</v>
      </c>
      <c r="AD315">
        <v>36</v>
      </c>
      <c r="AE315">
        <v>9</v>
      </c>
      <c r="AF315">
        <v>3</v>
      </c>
      <c r="AG315">
        <v>2025</v>
      </c>
      <c r="AH315" s="2">
        <v>13500</v>
      </c>
      <c r="AI315" s="2">
        <v>11448.5859375</v>
      </c>
      <c r="AJ315" s="2">
        <f t="shared" si="32"/>
        <v>2051.4140625</v>
      </c>
      <c r="AK315" s="6">
        <f t="shared" si="33"/>
        <v>0.15195659722222221</v>
      </c>
      <c r="AL315" s="12">
        <v>13500</v>
      </c>
      <c r="AM315" s="12">
        <v>11413.35513832894</v>
      </c>
      <c r="AN315" s="12">
        <f t="shared" si="34"/>
        <v>2086.6448616710604</v>
      </c>
      <c r="AO315" s="13">
        <f t="shared" si="35"/>
        <v>0.15456628604970818</v>
      </c>
      <c r="AP315" s="16">
        <v>13500</v>
      </c>
      <c r="AQ315" s="16">
        <v>11081.134592424931</v>
      </c>
      <c r="AR315" s="16">
        <f t="shared" si="36"/>
        <v>2418.8654075750692</v>
      </c>
      <c r="AS315" s="17">
        <f t="shared" si="37"/>
        <v>0.17917521537593106</v>
      </c>
      <c r="AT315" s="20">
        <v>13500</v>
      </c>
      <c r="AU315" s="20">
        <v>11589.3291015625</v>
      </c>
      <c r="AV315" s="20">
        <f t="shared" si="38"/>
        <v>1910.6708984375</v>
      </c>
      <c r="AW315" s="21">
        <f t="shared" si="39"/>
        <v>0.14153117766203704</v>
      </c>
    </row>
    <row r="316" spans="1:49" x14ac:dyDescent="0.25">
      <c r="A316" t="s">
        <v>81</v>
      </c>
      <c r="B316" t="s">
        <v>82</v>
      </c>
      <c r="C316">
        <v>103687</v>
      </c>
      <c r="D316">
        <v>2015</v>
      </c>
      <c r="E316" t="s">
        <v>116</v>
      </c>
      <c r="F316" t="s">
        <v>251</v>
      </c>
      <c r="G316" t="s">
        <v>224</v>
      </c>
      <c r="I316">
        <v>6</v>
      </c>
      <c r="J316" t="s">
        <v>61</v>
      </c>
      <c r="K316">
        <v>4</v>
      </c>
      <c r="L316" t="s">
        <v>44</v>
      </c>
      <c r="M316">
        <v>3.6</v>
      </c>
      <c r="N316" t="s">
        <v>44</v>
      </c>
      <c r="O316" t="s">
        <v>46</v>
      </c>
      <c r="Q316" t="s">
        <v>62</v>
      </c>
      <c r="R316" t="s">
        <v>63</v>
      </c>
      <c r="S316" t="s">
        <v>85</v>
      </c>
      <c r="U316" t="s">
        <v>50</v>
      </c>
      <c r="X316" t="s">
        <v>141</v>
      </c>
      <c r="Y316" t="s">
        <v>126</v>
      </c>
      <c r="AA316">
        <v>0</v>
      </c>
      <c r="AB316" t="s">
        <v>79</v>
      </c>
      <c r="AC316" t="s">
        <v>87</v>
      </c>
      <c r="AD316">
        <v>36</v>
      </c>
      <c r="AE316">
        <v>9</v>
      </c>
      <c r="AF316">
        <v>3</v>
      </c>
      <c r="AG316">
        <v>2025</v>
      </c>
      <c r="AH316" s="2">
        <v>2500</v>
      </c>
      <c r="AI316" s="2">
        <v>3977.052001953125</v>
      </c>
      <c r="AJ316" s="2">
        <f t="shared" si="32"/>
        <v>1477.052001953125</v>
      </c>
      <c r="AK316" s="6">
        <f t="shared" si="33"/>
        <v>0.59082080078124999</v>
      </c>
      <c r="AL316" s="12">
        <v>2500</v>
      </c>
      <c r="AM316" s="12">
        <v>4408.8030425738316</v>
      </c>
      <c r="AN316" s="12">
        <f t="shared" si="34"/>
        <v>1908.8030425738316</v>
      </c>
      <c r="AO316" s="13">
        <f t="shared" si="35"/>
        <v>0.76352121702953268</v>
      </c>
      <c r="AP316" s="16">
        <v>2500</v>
      </c>
      <c r="AQ316" s="16">
        <v>2938.5349379977438</v>
      </c>
      <c r="AR316" s="16">
        <f t="shared" si="36"/>
        <v>438.53493799774378</v>
      </c>
      <c r="AS316" s="17">
        <f t="shared" si="37"/>
        <v>0.17541397519909752</v>
      </c>
      <c r="AT316" s="20">
        <v>2500</v>
      </c>
      <c r="AU316" s="20">
        <v>4050.50537109375</v>
      </c>
      <c r="AV316" s="20">
        <f t="shared" si="38"/>
        <v>1550.50537109375</v>
      </c>
      <c r="AW316" s="21">
        <f t="shared" si="39"/>
        <v>0.62020214843749999</v>
      </c>
    </row>
    <row r="317" spans="1:49" x14ac:dyDescent="0.25">
      <c r="A317" t="s">
        <v>81</v>
      </c>
      <c r="B317" t="s">
        <v>663</v>
      </c>
      <c r="C317">
        <v>25752</v>
      </c>
      <c r="D317">
        <v>2023</v>
      </c>
      <c r="E317" t="s">
        <v>132</v>
      </c>
      <c r="F317" t="s">
        <v>664</v>
      </c>
      <c r="H317" t="s">
        <v>665</v>
      </c>
      <c r="I317">
        <v>6</v>
      </c>
      <c r="J317" t="s">
        <v>61</v>
      </c>
      <c r="K317">
        <v>4</v>
      </c>
      <c r="L317" t="s">
        <v>44</v>
      </c>
      <c r="M317">
        <v>3</v>
      </c>
      <c r="N317" t="s">
        <v>44</v>
      </c>
      <c r="O317" t="s">
        <v>46</v>
      </c>
      <c r="P317">
        <v>4</v>
      </c>
      <c r="Q317" t="s">
        <v>62</v>
      </c>
      <c r="R317" t="s">
        <v>63</v>
      </c>
      <c r="S317" t="s">
        <v>85</v>
      </c>
      <c r="T317">
        <v>429</v>
      </c>
      <c r="U317" t="s">
        <v>50</v>
      </c>
      <c r="V317" t="s">
        <v>51</v>
      </c>
      <c r="W317" t="s">
        <v>136</v>
      </c>
      <c r="X317" t="s">
        <v>94</v>
      </c>
      <c r="Y317" t="s">
        <v>78</v>
      </c>
      <c r="AA317">
        <v>0</v>
      </c>
      <c r="AB317" t="s">
        <v>79</v>
      </c>
      <c r="AC317" t="s">
        <v>87</v>
      </c>
      <c r="AD317">
        <v>36</v>
      </c>
      <c r="AE317">
        <v>9</v>
      </c>
      <c r="AF317">
        <v>3</v>
      </c>
      <c r="AG317">
        <v>2025</v>
      </c>
      <c r="AH317" s="2">
        <v>69750</v>
      </c>
      <c r="AI317" s="2">
        <v>55670.15625</v>
      </c>
      <c r="AJ317" s="2">
        <f t="shared" si="32"/>
        <v>14079.84375</v>
      </c>
      <c r="AK317" s="6">
        <f t="shared" si="33"/>
        <v>0.20186155913978496</v>
      </c>
      <c r="AL317" s="12">
        <v>69750</v>
      </c>
      <c r="AM317" s="12">
        <v>45898.808902064782</v>
      </c>
      <c r="AN317" s="12">
        <f t="shared" si="34"/>
        <v>23851.191097935218</v>
      </c>
      <c r="AO317" s="13">
        <f t="shared" si="35"/>
        <v>0.34195256054387407</v>
      </c>
      <c r="AP317" s="16">
        <v>69750</v>
      </c>
      <c r="AQ317" s="16">
        <v>52120.253200734762</v>
      </c>
      <c r="AR317" s="16">
        <f t="shared" si="36"/>
        <v>17629.746799265238</v>
      </c>
      <c r="AS317" s="17">
        <f t="shared" si="37"/>
        <v>0.25275622651276325</v>
      </c>
      <c r="AT317" s="20">
        <v>69750</v>
      </c>
      <c r="AU317" s="20">
        <v>52849.28515625</v>
      </c>
      <c r="AV317" s="20">
        <f t="shared" si="38"/>
        <v>16900.71484375</v>
      </c>
      <c r="AW317" s="21">
        <f t="shared" si="39"/>
        <v>0.24230415546594983</v>
      </c>
    </row>
    <row r="318" spans="1:49" x14ac:dyDescent="0.25">
      <c r="A318" t="s">
        <v>38</v>
      </c>
      <c r="B318" t="s">
        <v>96</v>
      </c>
      <c r="C318">
        <v>199028</v>
      </c>
      <c r="D318">
        <v>2014</v>
      </c>
      <c r="E318" t="s">
        <v>142</v>
      </c>
      <c r="F318" t="s">
        <v>373</v>
      </c>
      <c r="G318" t="s">
        <v>398</v>
      </c>
      <c r="I318">
        <v>6</v>
      </c>
      <c r="J318" t="s">
        <v>106</v>
      </c>
      <c r="K318">
        <v>4</v>
      </c>
      <c r="L318" t="s">
        <v>44</v>
      </c>
      <c r="M318">
        <v>3.6</v>
      </c>
      <c r="N318" t="s">
        <v>91</v>
      </c>
      <c r="O318" t="s">
        <v>46</v>
      </c>
      <c r="P318">
        <v>2</v>
      </c>
      <c r="Q318" t="s">
        <v>62</v>
      </c>
      <c r="R318" t="s">
        <v>63</v>
      </c>
      <c r="S318" t="s">
        <v>93</v>
      </c>
      <c r="U318" t="s">
        <v>50</v>
      </c>
      <c r="X318" t="s">
        <v>94</v>
      </c>
      <c r="Y318" t="s">
        <v>78</v>
      </c>
      <c r="AA318">
        <v>0</v>
      </c>
      <c r="AB318" t="s">
        <v>79</v>
      </c>
      <c r="AC318" t="s">
        <v>87</v>
      </c>
      <c r="AD318">
        <v>36</v>
      </c>
      <c r="AE318">
        <v>9</v>
      </c>
      <c r="AF318">
        <v>3</v>
      </c>
      <c r="AG318">
        <v>2025</v>
      </c>
      <c r="AH318" s="2">
        <v>3400</v>
      </c>
      <c r="AI318" s="2">
        <v>2198.1591796875</v>
      </c>
      <c r="AJ318" s="2">
        <f t="shared" si="32"/>
        <v>1201.8408203125</v>
      </c>
      <c r="AK318" s="6">
        <f t="shared" si="33"/>
        <v>0.3534825942095588</v>
      </c>
      <c r="AL318" s="12">
        <v>3400</v>
      </c>
      <c r="AM318" s="12">
        <v>2258.646993867826</v>
      </c>
      <c r="AN318" s="12">
        <f t="shared" si="34"/>
        <v>1141.353006132174</v>
      </c>
      <c r="AO318" s="13">
        <f t="shared" si="35"/>
        <v>0.33569206062710999</v>
      </c>
      <c r="AP318" s="16">
        <v>3400</v>
      </c>
      <c r="AQ318" s="16">
        <v>2002.3214534442091</v>
      </c>
      <c r="AR318" s="16">
        <f t="shared" si="36"/>
        <v>1397.6785465557909</v>
      </c>
      <c r="AS318" s="17">
        <f t="shared" si="37"/>
        <v>0.4110819254575856</v>
      </c>
      <c r="AT318" s="20">
        <v>3400</v>
      </c>
      <c r="AU318" s="20">
        <v>2222.90673828125</v>
      </c>
      <c r="AV318" s="20">
        <f t="shared" si="38"/>
        <v>1177.09326171875</v>
      </c>
      <c r="AW318" s="21">
        <f t="shared" si="39"/>
        <v>0.34620390050551469</v>
      </c>
    </row>
    <row r="319" spans="1:49" x14ac:dyDescent="0.25">
      <c r="A319" t="s">
        <v>128</v>
      </c>
      <c r="B319" t="s">
        <v>210</v>
      </c>
      <c r="C319">
        <v>7371</v>
      </c>
      <c r="D319">
        <v>2024</v>
      </c>
      <c r="E319" t="s">
        <v>162</v>
      </c>
      <c r="F319" t="s">
        <v>666</v>
      </c>
      <c r="G319" t="s">
        <v>285</v>
      </c>
      <c r="I319">
        <v>6</v>
      </c>
      <c r="J319" t="s">
        <v>122</v>
      </c>
      <c r="K319">
        <v>4</v>
      </c>
      <c r="L319" t="s">
        <v>44</v>
      </c>
      <c r="M319">
        <v>3.8</v>
      </c>
      <c r="N319" t="s">
        <v>45</v>
      </c>
      <c r="O319" t="s">
        <v>46</v>
      </c>
      <c r="Q319" t="s">
        <v>62</v>
      </c>
      <c r="R319" t="s">
        <v>63</v>
      </c>
      <c r="S319" t="s">
        <v>49</v>
      </c>
      <c r="U319" t="s">
        <v>50</v>
      </c>
      <c r="W319" t="s">
        <v>667</v>
      </c>
      <c r="X319" t="s">
        <v>141</v>
      </c>
      <c r="Y319" t="s">
        <v>66</v>
      </c>
      <c r="AA319">
        <v>0</v>
      </c>
      <c r="AB319" t="s">
        <v>79</v>
      </c>
      <c r="AC319" t="s">
        <v>87</v>
      </c>
      <c r="AD319">
        <v>36</v>
      </c>
      <c r="AE319">
        <v>9</v>
      </c>
      <c r="AF319">
        <v>3</v>
      </c>
      <c r="AG319">
        <v>2025</v>
      </c>
      <c r="AH319" s="2">
        <v>33100</v>
      </c>
      <c r="AI319" s="2">
        <v>33590.796875</v>
      </c>
      <c r="AJ319" s="2">
        <f t="shared" si="32"/>
        <v>490.796875</v>
      </c>
      <c r="AK319" s="6">
        <f t="shared" si="33"/>
        <v>1.4827700151057402E-2</v>
      </c>
      <c r="AL319" s="12">
        <v>33100</v>
      </c>
      <c r="AM319" s="12">
        <v>29548.4735880763</v>
      </c>
      <c r="AN319" s="12">
        <f t="shared" si="34"/>
        <v>3551.5264119236999</v>
      </c>
      <c r="AO319" s="13">
        <f t="shared" si="35"/>
        <v>0.10729687045086707</v>
      </c>
      <c r="AP319" s="16">
        <v>33100</v>
      </c>
      <c r="AQ319" s="16">
        <v>28512.304394703631</v>
      </c>
      <c r="AR319" s="16">
        <f t="shared" si="36"/>
        <v>4587.6956052963687</v>
      </c>
      <c r="AS319" s="17">
        <f t="shared" si="37"/>
        <v>0.13860107568871205</v>
      </c>
      <c r="AT319" s="20">
        <v>33100</v>
      </c>
      <c r="AU319" s="20">
        <v>33033.84765625</v>
      </c>
      <c r="AV319" s="20">
        <f t="shared" si="38"/>
        <v>66.15234375</v>
      </c>
      <c r="AW319" s="21">
        <f t="shared" si="39"/>
        <v>1.9985602341389729E-3</v>
      </c>
    </row>
    <row r="320" spans="1:49" x14ac:dyDescent="0.25">
      <c r="A320" t="s">
        <v>38</v>
      </c>
      <c r="B320" t="s">
        <v>110</v>
      </c>
      <c r="C320">
        <v>55848</v>
      </c>
      <c r="D320">
        <v>2019</v>
      </c>
      <c r="E320" t="s">
        <v>69</v>
      </c>
      <c r="F320" t="s">
        <v>70</v>
      </c>
      <c r="H320" t="s">
        <v>351</v>
      </c>
      <c r="I320">
        <v>6</v>
      </c>
      <c r="J320" t="s">
        <v>72</v>
      </c>
      <c r="K320">
        <v>3</v>
      </c>
      <c r="L320" t="s">
        <v>44</v>
      </c>
      <c r="M320">
        <v>3.7</v>
      </c>
      <c r="N320" t="s">
        <v>73</v>
      </c>
      <c r="O320" t="s">
        <v>46</v>
      </c>
      <c r="P320">
        <v>3</v>
      </c>
      <c r="Q320" t="s">
        <v>477</v>
      </c>
      <c r="R320" t="s">
        <v>80</v>
      </c>
      <c r="S320" t="s">
        <v>85</v>
      </c>
      <c r="T320">
        <v>275</v>
      </c>
      <c r="U320" t="s">
        <v>50</v>
      </c>
      <c r="V320" t="s">
        <v>76</v>
      </c>
      <c r="X320" t="s">
        <v>77</v>
      </c>
      <c r="Y320" t="s">
        <v>78</v>
      </c>
      <c r="AA320">
        <v>0</v>
      </c>
      <c r="AB320" t="s">
        <v>79</v>
      </c>
      <c r="AC320" t="s">
        <v>80</v>
      </c>
      <c r="AD320">
        <v>36</v>
      </c>
      <c r="AE320">
        <v>9</v>
      </c>
      <c r="AF320">
        <v>3</v>
      </c>
      <c r="AG320">
        <v>2025</v>
      </c>
      <c r="AH320" s="2">
        <v>18500</v>
      </c>
      <c r="AI320" s="2">
        <v>17639.12109375</v>
      </c>
      <c r="AJ320" s="2">
        <f t="shared" si="32"/>
        <v>860.87890625</v>
      </c>
      <c r="AK320" s="6">
        <f t="shared" si="33"/>
        <v>4.6533994932432432E-2</v>
      </c>
      <c r="AL320" s="12">
        <v>18500</v>
      </c>
      <c r="AM320" s="12">
        <v>21988.996457241741</v>
      </c>
      <c r="AN320" s="12">
        <f t="shared" si="34"/>
        <v>3488.9964572417412</v>
      </c>
      <c r="AO320" s="13">
        <f t="shared" si="35"/>
        <v>0.18859440309414818</v>
      </c>
      <c r="AP320" s="16">
        <v>18500</v>
      </c>
      <c r="AQ320" s="16">
        <v>20090.839568117099</v>
      </c>
      <c r="AR320" s="16">
        <f t="shared" si="36"/>
        <v>1590.8395681170987</v>
      </c>
      <c r="AS320" s="17">
        <f t="shared" si="37"/>
        <v>8.5991328006329665E-2</v>
      </c>
      <c r="AT320" s="20">
        <v>18500</v>
      </c>
      <c r="AU320" s="20">
        <v>18170.775390625</v>
      </c>
      <c r="AV320" s="20">
        <f t="shared" si="38"/>
        <v>329.224609375</v>
      </c>
      <c r="AW320" s="21">
        <f t="shared" si="39"/>
        <v>1.779592483108108E-2</v>
      </c>
    </row>
    <row r="321" spans="1:49" x14ac:dyDescent="0.25">
      <c r="A321" t="s">
        <v>128</v>
      </c>
      <c r="B321" t="s">
        <v>309</v>
      </c>
      <c r="C321">
        <v>103437</v>
      </c>
      <c r="D321">
        <v>2018</v>
      </c>
      <c r="E321" t="s">
        <v>388</v>
      </c>
      <c r="F321" t="s">
        <v>668</v>
      </c>
      <c r="H321" t="s">
        <v>669</v>
      </c>
      <c r="I321">
        <v>3</v>
      </c>
      <c r="J321" t="s">
        <v>122</v>
      </c>
      <c r="K321">
        <v>4</v>
      </c>
      <c r="L321" t="s">
        <v>44</v>
      </c>
      <c r="M321">
        <v>1.2</v>
      </c>
      <c r="N321" t="s">
        <v>45</v>
      </c>
      <c r="O321" t="s">
        <v>46</v>
      </c>
      <c r="P321">
        <v>2</v>
      </c>
      <c r="Q321" t="s">
        <v>47</v>
      </c>
      <c r="R321" t="s">
        <v>123</v>
      </c>
      <c r="U321" t="s">
        <v>50</v>
      </c>
      <c r="V321" t="s">
        <v>51</v>
      </c>
      <c r="X321" t="s">
        <v>125</v>
      </c>
      <c r="Y321" t="s">
        <v>439</v>
      </c>
      <c r="Z321">
        <v>14395</v>
      </c>
      <c r="AA321">
        <v>0</v>
      </c>
      <c r="AB321" t="s">
        <v>79</v>
      </c>
      <c r="AC321" t="s">
        <v>127</v>
      </c>
      <c r="AD321">
        <v>36</v>
      </c>
      <c r="AE321">
        <v>9</v>
      </c>
      <c r="AF321">
        <v>3</v>
      </c>
      <c r="AG321">
        <v>2025</v>
      </c>
      <c r="AH321" s="2">
        <v>2800</v>
      </c>
      <c r="AI321" s="2">
        <v>2574.476318359375</v>
      </c>
      <c r="AJ321" s="2">
        <f t="shared" si="32"/>
        <v>225.523681640625</v>
      </c>
      <c r="AK321" s="6">
        <f t="shared" si="33"/>
        <v>8.0544172014508933E-2</v>
      </c>
      <c r="AL321" s="12">
        <v>2800</v>
      </c>
      <c r="AM321" s="12">
        <v>2537.1627785215469</v>
      </c>
      <c r="AN321" s="12">
        <f t="shared" si="34"/>
        <v>262.8372214784531</v>
      </c>
      <c r="AO321" s="13">
        <f t="shared" si="35"/>
        <v>9.3870436242304678E-2</v>
      </c>
      <c r="AP321" s="16">
        <v>2800</v>
      </c>
      <c r="AQ321" s="16">
        <v>2108.2491268142062</v>
      </c>
      <c r="AR321" s="16">
        <f t="shared" si="36"/>
        <v>691.75087318579381</v>
      </c>
      <c r="AS321" s="17">
        <f t="shared" si="37"/>
        <v>0.24705388328064065</v>
      </c>
      <c r="AT321" s="20">
        <v>2800</v>
      </c>
      <c r="AU321" s="20">
        <v>2574.435791015625</v>
      </c>
      <c r="AV321" s="20">
        <f t="shared" si="38"/>
        <v>225.564208984375</v>
      </c>
      <c r="AW321" s="21">
        <f t="shared" si="39"/>
        <v>8.0558646065848213E-2</v>
      </c>
    </row>
    <row r="322" spans="1:49" x14ac:dyDescent="0.25">
      <c r="A322" t="s">
        <v>38</v>
      </c>
      <c r="B322" t="s">
        <v>96</v>
      </c>
      <c r="C322">
        <v>192360</v>
      </c>
      <c r="D322">
        <v>2014</v>
      </c>
      <c r="E322" t="s">
        <v>166</v>
      </c>
      <c r="F322" t="s">
        <v>562</v>
      </c>
      <c r="G322" t="s">
        <v>670</v>
      </c>
      <c r="I322">
        <v>6</v>
      </c>
      <c r="J322" t="s">
        <v>72</v>
      </c>
      <c r="K322">
        <v>4</v>
      </c>
      <c r="L322" t="s">
        <v>44</v>
      </c>
      <c r="M322">
        <v>3.5</v>
      </c>
      <c r="N322" t="s">
        <v>45</v>
      </c>
      <c r="O322" t="s">
        <v>46</v>
      </c>
      <c r="Q322" t="s">
        <v>47</v>
      </c>
      <c r="R322" t="s">
        <v>123</v>
      </c>
      <c r="T322">
        <v>278</v>
      </c>
      <c r="U322" t="s">
        <v>50</v>
      </c>
      <c r="V322" t="s">
        <v>76</v>
      </c>
      <c r="W322" t="s">
        <v>671</v>
      </c>
      <c r="X322" t="s">
        <v>65</v>
      </c>
      <c r="Y322" t="s">
        <v>78</v>
      </c>
      <c r="AA322">
        <v>0</v>
      </c>
      <c r="AB322" t="s">
        <v>79</v>
      </c>
      <c r="AC322" t="s">
        <v>127</v>
      </c>
      <c r="AD322">
        <v>36</v>
      </c>
      <c r="AE322">
        <v>9</v>
      </c>
      <c r="AF322">
        <v>3</v>
      </c>
      <c r="AG322">
        <v>2025</v>
      </c>
      <c r="AH322" s="2">
        <v>3400</v>
      </c>
      <c r="AI322" s="2">
        <v>4246.333984375</v>
      </c>
      <c r="AJ322" s="2">
        <f t="shared" si="32"/>
        <v>846.333984375</v>
      </c>
      <c r="AK322" s="6">
        <f t="shared" si="33"/>
        <v>0.24892176011029413</v>
      </c>
      <c r="AL322" s="12">
        <v>3400</v>
      </c>
      <c r="AM322" s="12">
        <v>4157.1603574818673</v>
      </c>
      <c r="AN322" s="12">
        <f t="shared" si="34"/>
        <v>757.16035748186732</v>
      </c>
      <c r="AO322" s="13">
        <f t="shared" si="35"/>
        <v>0.22269422278878451</v>
      </c>
      <c r="AP322" s="16">
        <v>3400</v>
      </c>
      <c r="AQ322" s="16">
        <v>3422.3705335858031</v>
      </c>
      <c r="AR322" s="16">
        <f t="shared" si="36"/>
        <v>22.370533585803059</v>
      </c>
      <c r="AS322" s="17">
        <f t="shared" si="37"/>
        <v>6.5795687017067821E-3</v>
      </c>
      <c r="AT322" s="20">
        <v>3400</v>
      </c>
      <c r="AU322" s="20">
        <v>4285.4267578125</v>
      </c>
      <c r="AV322" s="20">
        <f t="shared" si="38"/>
        <v>885.4267578125</v>
      </c>
      <c r="AW322" s="21">
        <f t="shared" si="39"/>
        <v>0.26041963465073531</v>
      </c>
    </row>
    <row r="323" spans="1:49" x14ac:dyDescent="0.25">
      <c r="A323" t="s">
        <v>114</v>
      </c>
      <c r="B323" t="s">
        <v>340</v>
      </c>
      <c r="C323">
        <v>193259</v>
      </c>
      <c r="D323">
        <v>2002</v>
      </c>
      <c r="E323" t="s">
        <v>69</v>
      </c>
      <c r="F323" t="s">
        <v>672</v>
      </c>
      <c r="I323">
        <v>4</v>
      </c>
      <c r="J323" t="s">
        <v>72</v>
      </c>
      <c r="K323">
        <v>2</v>
      </c>
      <c r="L323" t="s">
        <v>44</v>
      </c>
      <c r="M323">
        <v>2.2999999999999998</v>
      </c>
      <c r="N323" t="s">
        <v>73</v>
      </c>
      <c r="O323" t="s">
        <v>46</v>
      </c>
      <c r="P323">
        <v>3</v>
      </c>
      <c r="Q323" t="s">
        <v>74</v>
      </c>
      <c r="R323" t="s">
        <v>92</v>
      </c>
      <c r="S323" t="s">
        <v>49</v>
      </c>
      <c r="T323">
        <v>135</v>
      </c>
      <c r="U323" t="s">
        <v>50</v>
      </c>
      <c r="V323" t="s">
        <v>51</v>
      </c>
      <c r="X323" t="s">
        <v>65</v>
      </c>
      <c r="Y323" t="s">
        <v>78</v>
      </c>
      <c r="AA323">
        <v>0</v>
      </c>
      <c r="AB323" t="s">
        <v>79</v>
      </c>
      <c r="AC323" t="s">
        <v>95</v>
      </c>
      <c r="AD323">
        <v>36</v>
      </c>
      <c r="AE323">
        <v>9</v>
      </c>
      <c r="AF323">
        <v>3</v>
      </c>
      <c r="AG323">
        <v>2025</v>
      </c>
      <c r="AH323" s="2">
        <v>650</v>
      </c>
      <c r="AI323" s="2">
        <v>763.82025146484375</v>
      </c>
      <c r="AJ323" s="2">
        <f t="shared" ref="AJ323:AJ386" si="40">ABS(AH323-AI323)</f>
        <v>113.82025146484375</v>
      </c>
      <c r="AK323" s="6">
        <f t="shared" ref="AK323:AK386" si="41">ABS($AH323-AI323)/$AH323</f>
        <v>0.1751080791766827</v>
      </c>
      <c r="AL323" s="12">
        <v>650</v>
      </c>
      <c r="AM323" s="12">
        <v>901.12893512668506</v>
      </c>
      <c r="AN323" s="12">
        <f t="shared" ref="AN323:AN386" si="42">ABS(AL323-AM323)</f>
        <v>251.12893512668506</v>
      </c>
      <c r="AO323" s="13">
        <f t="shared" ref="AO323:AO386" si="43">ABS($AH323-AM323)/$AH323</f>
        <v>0.38635220788720781</v>
      </c>
      <c r="AP323" s="16">
        <v>650</v>
      </c>
      <c r="AQ323" s="16">
        <v>782.48461405175021</v>
      </c>
      <c r="AR323" s="16">
        <f t="shared" ref="AR323:AR386" si="44">ABS(AP323-AQ323)</f>
        <v>132.48461405175021</v>
      </c>
      <c r="AS323" s="17">
        <f t="shared" ref="AS323:AS386" si="45">ABS($AH323-AQ323)/$AH323</f>
        <v>0.20382248315653878</v>
      </c>
      <c r="AT323" s="20">
        <v>650</v>
      </c>
      <c r="AU323" s="20">
        <v>761.035400390625</v>
      </c>
      <c r="AV323" s="20">
        <f t="shared" ref="AV323:AV386" si="46">ABS(AT323-AU323)</f>
        <v>111.035400390625</v>
      </c>
      <c r="AW323" s="21">
        <f t="shared" ref="AW323:AW386" si="47">ABS($AH323-AU323)/$AH323</f>
        <v>0.17082369290865385</v>
      </c>
    </row>
    <row r="324" spans="1:49" x14ac:dyDescent="0.25">
      <c r="A324" t="s">
        <v>81</v>
      </c>
      <c r="B324" t="s">
        <v>186</v>
      </c>
      <c r="C324">
        <v>24810</v>
      </c>
      <c r="D324">
        <v>2024</v>
      </c>
      <c r="E324" t="s">
        <v>162</v>
      </c>
      <c r="F324" t="s">
        <v>163</v>
      </c>
      <c r="G324" t="s">
        <v>285</v>
      </c>
      <c r="I324">
        <v>4</v>
      </c>
      <c r="J324" t="s">
        <v>72</v>
      </c>
      <c r="K324">
        <v>4</v>
      </c>
      <c r="L324" t="s">
        <v>44</v>
      </c>
      <c r="M324">
        <v>2.5</v>
      </c>
      <c r="N324" t="s">
        <v>45</v>
      </c>
      <c r="O324" t="s">
        <v>46</v>
      </c>
      <c r="Q324" t="s">
        <v>47</v>
      </c>
      <c r="R324" t="s">
        <v>123</v>
      </c>
      <c r="U324" t="s">
        <v>50</v>
      </c>
      <c r="W324" t="s">
        <v>673</v>
      </c>
      <c r="X324" t="s">
        <v>65</v>
      </c>
      <c r="Y324" t="s">
        <v>66</v>
      </c>
      <c r="AA324">
        <v>0</v>
      </c>
      <c r="AB324" t="s">
        <v>79</v>
      </c>
      <c r="AC324" t="s">
        <v>127</v>
      </c>
      <c r="AD324">
        <v>36</v>
      </c>
      <c r="AE324">
        <v>9</v>
      </c>
      <c r="AF324">
        <v>3</v>
      </c>
      <c r="AG324">
        <v>2025</v>
      </c>
      <c r="AH324" s="2">
        <v>22400</v>
      </c>
      <c r="AI324" s="2">
        <v>17640.634765625</v>
      </c>
      <c r="AJ324" s="2">
        <f t="shared" si="40"/>
        <v>4759.365234375</v>
      </c>
      <c r="AK324" s="6">
        <f t="shared" si="41"/>
        <v>0.21247166224888392</v>
      </c>
      <c r="AL324" s="12">
        <v>22400</v>
      </c>
      <c r="AM324" s="12">
        <v>19720.611247329121</v>
      </c>
      <c r="AN324" s="12">
        <f t="shared" si="42"/>
        <v>2679.3887526708786</v>
      </c>
      <c r="AO324" s="13">
        <f t="shared" si="43"/>
        <v>0.11961556931566422</v>
      </c>
      <c r="AP324" s="16">
        <v>22400</v>
      </c>
      <c r="AQ324" s="16">
        <v>16473.64796355358</v>
      </c>
      <c r="AR324" s="16">
        <f t="shared" si="44"/>
        <v>5926.3520364464202</v>
      </c>
      <c r="AS324" s="17">
        <f t="shared" si="45"/>
        <v>0.26456928734135804</v>
      </c>
      <c r="AT324" s="20">
        <v>22400</v>
      </c>
      <c r="AU324" s="20">
        <v>17917.185546875</v>
      </c>
      <c r="AV324" s="20">
        <f t="shared" si="46"/>
        <v>4482.814453125</v>
      </c>
      <c r="AW324" s="21">
        <f t="shared" si="47"/>
        <v>0.20012564522879464</v>
      </c>
    </row>
    <row r="325" spans="1:49" x14ac:dyDescent="0.25">
      <c r="A325" t="s">
        <v>38</v>
      </c>
      <c r="B325" t="s">
        <v>68</v>
      </c>
      <c r="C325">
        <v>99311</v>
      </c>
      <c r="D325">
        <v>2012</v>
      </c>
      <c r="E325" t="s">
        <v>146</v>
      </c>
      <c r="F325" t="s">
        <v>232</v>
      </c>
      <c r="I325">
        <v>6</v>
      </c>
      <c r="J325" t="s">
        <v>43</v>
      </c>
      <c r="K325">
        <v>4</v>
      </c>
      <c r="L325" t="s">
        <v>44</v>
      </c>
      <c r="M325">
        <v>3.5</v>
      </c>
      <c r="N325" t="s">
        <v>45</v>
      </c>
      <c r="O325" t="s">
        <v>46</v>
      </c>
      <c r="P325">
        <v>4</v>
      </c>
      <c r="Q325" t="s">
        <v>62</v>
      </c>
      <c r="R325" t="s">
        <v>148</v>
      </c>
      <c r="S325" t="s">
        <v>49</v>
      </c>
      <c r="U325" t="s">
        <v>50</v>
      </c>
      <c r="X325" t="s">
        <v>141</v>
      </c>
      <c r="Y325" t="s">
        <v>54</v>
      </c>
      <c r="AA325">
        <v>0</v>
      </c>
      <c r="AB325" t="s">
        <v>79</v>
      </c>
      <c r="AC325" t="s">
        <v>87</v>
      </c>
      <c r="AD325">
        <v>36</v>
      </c>
      <c r="AE325">
        <v>9</v>
      </c>
      <c r="AF325">
        <v>3</v>
      </c>
      <c r="AG325">
        <v>2025</v>
      </c>
      <c r="AH325" s="2">
        <v>2600</v>
      </c>
      <c r="AI325" s="2">
        <v>4060.7109375</v>
      </c>
      <c r="AJ325" s="2">
        <f t="shared" si="40"/>
        <v>1460.7109375</v>
      </c>
      <c r="AK325" s="6">
        <f t="shared" si="41"/>
        <v>0.56181189903846152</v>
      </c>
      <c r="AL325" s="12">
        <v>2600</v>
      </c>
      <c r="AM325" s="12">
        <v>4566.6638626651766</v>
      </c>
      <c r="AN325" s="12">
        <f t="shared" si="42"/>
        <v>1966.6638626651766</v>
      </c>
      <c r="AO325" s="13">
        <f t="shared" si="43"/>
        <v>0.75640917794814488</v>
      </c>
      <c r="AP325" s="16">
        <v>2600</v>
      </c>
      <c r="AQ325" s="16">
        <v>3998.5966804846289</v>
      </c>
      <c r="AR325" s="16">
        <f t="shared" si="44"/>
        <v>1398.5966804846289</v>
      </c>
      <c r="AS325" s="17">
        <f t="shared" si="45"/>
        <v>0.53792180018639568</v>
      </c>
      <c r="AT325" s="20">
        <v>2600</v>
      </c>
      <c r="AU325" s="20">
        <v>4108.5185546875</v>
      </c>
      <c r="AV325" s="20">
        <f t="shared" si="46"/>
        <v>1508.5185546875</v>
      </c>
      <c r="AW325" s="21">
        <f t="shared" si="47"/>
        <v>0.58019944411057689</v>
      </c>
    </row>
    <row r="326" spans="1:49" x14ac:dyDescent="0.25">
      <c r="A326" t="s">
        <v>38</v>
      </c>
      <c r="B326" t="s">
        <v>110</v>
      </c>
      <c r="C326">
        <v>162347</v>
      </c>
      <c r="D326">
        <v>2016</v>
      </c>
      <c r="E326" t="s">
        <v>162</v>
      </c>
      <c r="F326" t="s">
        <v>674</v>
      </c>
      <c r="G326" t="s">
        <v>675</v>
      </c>
      <c r="I326">
        <v>4</v>
      </c>
      <c r="J326" t="s">
        <v>135</v>
      </c>
      <c r="K326">
        <v>4</v>
      </c>
      <c r="L326" t="s">
        <v>44</v>
      </c>
      <c r="M326">
        <v>2</v>
      </c>
      <c r="N326" t="s">
        <v>45</v>
      </c>
      <c r="Q326" t="s">
        <v>62</v>
      </c>
      <c r="R326" t="s">
        <v>63</v>
      </c>
      <c r="U326" t="s">
        <v>50</v>
      </c>
      <c r="X326" t="s">
        <v>65</v>
      </c>
      <c r="Y326" t="s">
        <v>66</v>
      </c>
      <c r="AA326">
        <v>0</v>
      </c>
      <c r="AB326" t="s">
        <v>79</v>
      </c>
      <c r="AC326" t="s">
        <v>87</v>
      </c>
      <c r="AD326">
        <v>36</v>
      </c>
      <c r="AE326">
        <v>9</v>
      </c>
      <c r="AF326">
        <v>3</v>
      </c>
      <c r="AG326">
        <v>2025</v>
      </c>
      <c r="AH326" s="2">
        <v>4000</v>
      </c>
      <c r="AI326" s="2">
        <v>2487.65234375</v>
      </c>
      <c r="AJ326" s="2">
        <f t="shared" si="40"/>
        <v>1512.34765625</v>
      </c>
      <c r="AK326" s="6">
        <f t="shared" si="41"/>
        <v>0.3780869140625</v>
      </c>
      <c r="AL326" s="12">
        <v>4000</v>
      </c>
      <c r="AM326" s="12">
        <v>2355.616199230049</v>
      </c>
      <c r="AN326" s="12">
        <f t="shared" si="42"/>
        <v>1644.383800769951</v>
      </c>
      <c r="AO326" s="13">
        <f t="shared" si="43"/>
        <v>0.41109595019248774</v>
      </c>
      <c r="AP326" s="16">
        <v>4000</v>
      </c>
      <c r="AQ326" s="16">
        <v>2496.5970926361192</v>
      </c>
      <c r="AR326" s="16">
        <f t="shared" si="44"/>
        <v>1503.4029073638808</v>
      </c>
      <c r="AS326" s="17">
        <f t="shared" si="45"/>
        <v>0.37585072684097021</v>
      </c>
      <c r="AT326" s="20">
        <v>4000</v>
      </c>
      <c r="AU326" s="20">
        <v>2509.80615234375</v>
      </c>
      <c r="AV326" s="20">
        <f t="shared" si="46"/>
        <v>1490.19384765625</v>
      </c>
      <c r="AW326" s="21">
        <f t="shared" si="47"/>
        <v>0.37254846191406249</v>
      </c>
    </row>
    <row r="327" spans="1:49" x14ac:dyDescent="0.25">
      <c r="A327" t="s">
        <v>38</v>
      </c>
      <c r="B327" t="s">
        <v>110</v>
      </c>
      <c r="C327">
        <v>20118</v>
      </c>
      <c r="D327">
        <v>2025</v>
      </c>
      <c r="E327" t="s">
        <v>345</v>
      </c>
      <c r="F327" t="s">
        <v>676</v>
      </c>
      <c r="G327" t="s">
        <v>677</v>
      </c>
      <c r="H327" t="s">
        <v>678</v>
      </c>
      <c r="I327">
        <v>4</v>
      </c>
      <c r="J327" t="s">
        <v>135</v>
      </c>
      <c r="K327">
        <v>2</v>
      </c>
      <c r="L327" t="s">
        <v>44</v>
      </c>
      <c r="M327">
        <v>2</v>
      </c>
      <c r="N327" t="s">
        <v>44</v>
      </c>
      <c r="Q327" t="s">
        <v>47</v>
      </c>
      <c r="R327" t="s">
        <v>197</v>
      </c>
      <c r="S327" t="s">
        <v>85</v>
      </c>
      <c r="T327">
        <v>255</v>
      </c>
      <c r="U327" t="s">
        <v>50</v>
      </c>
      <c r="X327" t="s">
        <v>125</v>
      </c>
      <c r="Y327" t="s">
        <v>137</v>
      </c>
      <c r="AA327">
        <v>0</v>
      </c>
      <c r="AB327" t="s">
        <v>79</v>
      </c>
      <c r="AC327" t="s">
        <v>197</v>
      </c>
      <c r="AD327">
        <v>36</v>
      </c>
      <c r="AE327">
        <v>9</v>
      </c>
      <c r="AF327">
        <v>3</v>
      </c>
      <c r="AG327">
        <v>2025</v>
      </c>
      <c r="AH327" s="2">
        <v>35500</v>
      </c>
      <c r="AI327" s="2">
        <v>35969.47265625</v>
      </c>
      <c r="AJ327" s="2">
        <f t="shared" si="40"/>
        <v>469.47265625</v>
      </c>
      <c r="AK327" s="6">
        <f t="shared" si="41"/>
        <v>1.3224581866197183E-2</v>
      </c>
      <c r="AL327" s="12">
        <v>35500</v>
      </c>
      <c r="AM327" s="12">
        <v>32018.802691404399</v>
      </c>
      <c r="AN327" s="12">
        <f t="shared" si="42"/>
        <v>3481.1973085956015</v>
      </c>
      <c r="AO327" s="13">
        <f t="shared" si="43"/>
        <v>9.8061896016777506E-2</v>
      </c>
      <c r="AP327" s="16">
        <v>35500</v>
      </c>
      <c r="AQ327" s="16">
        <v>32509.90065005131</v>
      </c>
      <c r="AR327" s="16">
        <f t="shared" si="44"/>
        <v>2990.0993499486904</v>
      </c>
      <c r="AS327" s="17">
        <f t="shared" si="45"/>
        <v>8.4228150702780016E-2</v>
      </c>
      <c r="AT327" s="20">
        <v>35500</v>
      </c>
      <c r="AU327" s="20">
        <v>35015.359375</v>
      </c>
      <c r="AV327" s="20">
        <f t="shared" si="46"/>
        <v>484.640625</v>
      </c>
      <c r="AW327" s="21">
        <f t="shared" si="47"/>
        <v>1.3651848591549295E-2</v>
      </c>
    </row>
    <row r="328" spans="1:49" x14ac:dyDescent="0.25">
      <c r="A328" t="s">
        <v>128</v>
      </c>
      <c r="B328" t="s">
        <v>271</v>
      </c>
      <c r="C328">
        <v>133416</v>
      </c>
      <c r="D328">
        <v>2014</v>
      </c>
      <c r="E328" t="s">
        <v>40</v>
      </c>
      <c r="F328" t="s">
        <v>215</v>
      </c>
      <c r="G328" t="s">
        <v>150</v>
      </c>
      <c r="H328" t="s">
        <v>679</v>
      </c>
      <c r="I328">
        <v>8</v>
      </c>
      <c r="J328" t="s">
        <v>135</v>
      </c>
      <c r="K328">
        <v>4</v>
      </c>
      <c r="L328" t="s">
        <v>44</v>
      </c>
      <c r="M328">
        <v>4.5999999999999996</v>
      </c>
      <c r="N328" t="s">
        <v>73</v>
      </c>
      <c r="Q328" t="s">
        <v>74</v>
      </c>
      <c r="R328" t="s">
        <v>92</v>
      </c>
      <c r="S328" t="s">
        <v>49</v>
      </c>
      <c r="T328">
        <v>310</v>
      </c>
      <c r="U328" t="s">
        <v>50</v>
      </c>
      <c r="V328" t="s">
        <v>76</v>
      </c>
      <c r="W328" t="s">
        <v>218</v>
      </c>
      <c r="X328" t="s">
        <v>219</v>
      </c>
      <c r="Y328" t="s">
        <v>78</v>
      </c>
      <c r="AA328">
        <v>0</v>
      </c>
      <c r="AB328" t="s">
        <v>79</v>
      </c>
      <c r="AC328" t="s">
        <v>95</v>
      </c>
      <c r="AD328">
        <v>36</v>
      </c>
      <c r="AE328">
        <v>9</v>
      </c>
      <c r="AF328">
        <v>3</v>
      </c>
      <c r="AG328">
        <v>2025</v>
      </c>
      <c r="AH328" s="2">
        <v>14750</v>
      </c>
      <c r="AI328" s="2">
        <v>11395.033203125</v>
      </c>
      <c r="AJ328" s="2">
        <f t="shared" si="40"/>
        <v>3354.966796875</v>
      </c>
      <c r="AK328" s="6">
        <f t="shared" si="41"/>
        <v>0.22745537605932203</v>
      </c>
      <c r="AL328" s="12">
        <v>14750</v>
      </c>
      <c r="AM328" s="12">
        <v>11409.2728528937</v>
      </c>
      <c r="AN328" s="12">
        <f t="shared" si="42"/>
        <v>3340.7271471062995</v>
      </c>
      <c r="AO328" s="13">
        <f t="shared" si="43"/>
        <v>0.22648997607500335</v>
      </c>
      <c r="AP328" s="16">
        <v>14750</v>
      </c>
      <c r="AQ328" s="16">
        <v>9691.3379197279501</v>
      </c>
      <c r="AR328" s="16">
        <f t="shared" si="44"/>
        <v>5058.6620802720499</v>
      </c>
      <c r="AS328" s="17">
        <f t="shared" si="45"/>
        <v>0.34296014103539324</v>
      </c>
      <c r="AT328" s="20">
        <v>14750</v>
      </c>
      <c r="AU328" s="20">
        <v>11589.3291015625</v>
      </c>
      <c r="AV328" s="20">
        <f t="shared" si="46"/>
        <v>3160.6708984375</v>
      </c>
      <c r="AW328" s="21">
        <f t="shared" si="47"/>
        <v>0.21428277277542374</v>
      </c>
    </row>
    <row r="329" spans="1:49" x14ac:dyDescent="0.25">
      <c r="A329" t="s">
        <v>38</v>
      </c>
      <c r="B329" t="s">
        <v>96</v>
      </c>
      <c r="C329">
        <v>202799</v>
      </c>
      <c r="D329">
        <v>2016</v>
      </c>
      <c r="E329" t="s">
        <v>142</v>
      </c>
      <c r="F329" t="s">
        <v>630</v>
      </c>
      <c r="G329" t="s">
        <v>457</v>
      </c>
      <c r="I329">
        <v>4</v>
      </c>
      <c r="J329" t="s">
        <v>72</v>
      </c>
      <c r="K329">
        <v>4</v>
      </c>
      <c r="L329" t="s">
        <v>44</v>
      </c>
      <c r="M329">
        <v>2.4</v>
      </c>
      <c r="N329" t="s">
        <v>45</v>
      </c>
      <c r="O329" t="s">
        <v>46</v>
      </c>
      <c r="Q329" t="s">
        <v>62</v>
      </c>
      <c r="R329" t="s">
        <v>63</v>
      </c>
      <c r="S329" t="s">
        <v>101</v>
      </c>
      <c r="T329">
        <v>184</v>
      </c>
      <c r="U329" t="s">
        <v>50</v>
      </c>
      <c r="X329" t="s">
        <v>65</v>
      </c>
      <c r="Y329" t="s">
        <v>632</v>
      </c>
      <c r="AA329">
        <v>0</v>
      </c>
      <c r="AB329" t="s">
        <v>79</v>
      </c>
      <c r="AC329" t="s">
        <v>87</v>
      </c>
      <c r="AD329">
        <v>36</v>
      </c>
      <c r="AE329">
        <v>9</v>
      </c>
      <c r="AF329">
        <v>3</v>
      </c>
      <c r="AG329">
        <v>2025</v>
      </c>
      <c r="AH329" s="2">
        <v>2300</v>
      </c>
      <c r="AI329" s="2">
        <v>2414.18408203125</v>
      </c>
      <c r="AJ329" s="2">
        <f t="shared" si="40"/>
        <v>114.18408203125</v>
      </c>
      <c r="AK329" s="6">
        <f t="shared" si="41"/>
        <v>4.9645253057065214E-2</v>
      </c>
      <c r="AL329" s="12">
        <v>2300</v>
      </c>
      <c r="AM329" s="12">
        <v>2158.0245007783092</v>
      </c>
      <c r="AN329" s="12">
        <f t="shared" si="42"/>
        <v>141.97549922169082</v>
      </c>
      <c r="AO329" s="13">
        <f t="shared" si="43"/>
        <v>6.1728477922474274E-2</v>
      </c>
      <c r="AP329" s="16">
        <v>2300</v>
      </c>
      <c r="AQ329" s="16">
        <v>2329.7129274633662</v>
      </c>
      <c r="AR329" s="16">
        <f t="shared" si="44"/>
        <v>29.712927463366213</v>
      </c>
      <c r="AS329" s="17">
        <f t="shared" si="45"/>
        <v>1.291866411450705E-2</v>
      </c>
      <c r="AT329" s="20">
        <v>2300</v>
      </c>
      <c r="AU329" s="20">
        <v>2408.048828125</v>
      </c>
      <c r="AV329" s="20">
        <f t="shared" si="46"/>
        <v>108.048828125</v>
      </c>
      <c r="AW329" s="21">
        <f t="shared" si="47"/>
        <v>4.6977751358695655E-2</v>
      </c>
    </row>
    <row r="330" spans="1:49" x14ac:dyDescent="0.25">
      <c r="A330" t="s">
        <v>38</v>
      </c>
      <c r="B330" t="s">
        <v>110</v>
      </c>
      <c r="C330">
        <v>167506</v>
      </c>
      <c r="D330">
        <v>2005</v>
      </c>
      <c r="E330" t="s">
        <v>166</v>
      </c>
      <c r="F330" t="s">
        <v>562</v>
      </c>
      <c r="G330" t="s">
        <v>248</v>
      </c>
      <c r="I330">
        <v>4</v>
      </c>
      <c r="J330" t="s">
        <v>72</v>
      </c>
      <c r="K330">
        <v>2</v>
      </c>
      <c r="L330" t="s">
        <v>44</v>
      </c>
      <c r="M330">
        <v>2.4</v>
      </c>
      <c r="N330" t="s">
        <v>45</v>
      </c>
      <c r="Q330" t="s">
        <v>47</v>
      </c>
      <c r="R330" t="s">
        <v>197</v>
      </c>
      <c r="T330">
        <v>160</v>
      </c>
      <c r="U330" t="s">
        <v>50</v>
      </c>
      <c r="V330" t="s">
        <v>51</v>
      </c>
      <c r="W330" t="s">
        <v>680</v>
      </c>
      <c r="X330" t="s">
        <v>65</v>
      </c>
      <c r="Y330" t="s">
        <v>78</v>
      </c>
      <c r="AA330">
        <v>0</v>
      </c>
      <c r="AB330" t="s">
        <v>79</v>
      </c>
      <c r="AC330" t="s">
        <v>197</v>
      </c>
      <c r="AD330">
        <v>36</v>
      </c>
      <c r="AE330">
        <v>9</v>
      </c>
      <c r="AF330">
        <v>3</v>
      </c>
      <c r="AG330">
        <v>2025</v>
      </c>
      <c r="AH330" s="2">
        <v>3100</v>
      </c>
      <c r="AI330" s="2">
        <v>1384.634521484375</v>
      </c>
      <c r="AJ330" s="2">
        <f t="shared" si="40"/>
        <v>1715.365478515625</v>
      </c>
      <c r="AK330" s="6">
        <f t="shared" si="41"/>
        <v>0.55334370274697575</v>
      </c>
      <c r="AL330" s="12">
        <v>3100</v>
      </c>
      <c r="AM330" s="12">
        <v>1442.924192864813</v>
      </c>
      <c r="AN330" s="12">
        <f t="shared" si="42"/>
        <v>1657.075807135187</v>
      </c>
      <c r="AO330" s="13">
        <f t="shared" si="43"/>
        <v>0.53454058294683449</v>
      </c>
      <c r="AP330" s="16">
        <v>3100</v>
      </c>
      <c r="AQ330" s="16">
        <v>1152.293504321028</v>
      </c>
      <c r="AR330" s="16">
        <f t="shared" si="44"/>
        <v>1947.706495678972</v>
      </c>
      <c r="AS330" s="17">
        <f t="shared" si="45"/>
        <v>0.62829241796095869</v>
      </c>
      <c r="AT330" s="20">
        <v>3100</v>
      </c>
      <c r="AU330" s="20">
        <v>1382.35888671875</v>
      </c>
      <c r="AV330" s="20">
        <f t="shared" si="46"/>
        <v>1717.64111328125</v>
      </c>
      <c r="AW330" s="21">
        <f t="shared" si="47"/>
        <v>0.55407777847782258</v>
      </c>
    </row>
    <row r="331" spans="1:49" x14ac:dyDescent="0.25">
      <c r="A331" t="s">
        <v>38</v>
      </c>
      <c r="B331" t="s">
        <v>110</v>
      </c>
      <c r="C331">
        <v>204147</v>
      </c>
      <c r="D331">
        <v>2016</v>
      </c>
      <c r="E331" t="s">
        <v>132</v>
      </c>
      <c r="F331" t="s">
        <v>681</v>
      </c>
      <c r="H331" t="s">
        <v>682</v>
      </c>
      <c r="I331">
        <v>4</v>
      </c>
      <c r="J331" t="s">
        <v>72</v>
      </c>
      <c r="K331">
        <v>4</v>
      </c>
      <c r="L331" t="s">
        <v>44</v>
      </c>
      <c r="M331">
        <v>2</v>
      </c>
      <c r="N331" t="s">
        <v>45</v>
      </c>
      <c r="Q331" t="s">
        <v>62</v>
      </c>
      <c r="R331" t="s">
        <v>63</v>
      </c>
      <c r="T331">
        <v>208</v>
      </c>
      <c r="U331" t="s">
        <v>50</v>
      </c>
      <c r="V331" t="s">
        <v>51</v>
      </c>
      <c r="W331" t="s">
        <v>329</v>
      </c>
      <c r="X331" t="s">
        <v>65</v>
      </c>
      <c r="Y331" t="s">
        <v>137</v>
      </c>
      <c r="AA331">
        <v>0</v>
      </c>
      <c r="AB331" t="s">
        <v>79</v>
      </c>
      <c r="AC331" t="s">
        <v>87</v>
      </c>
      <c r="AD331">
        <v>36</v>
      </c>
      <c r="AE331">
        <v>9</v>
      </c>
      <c r="AF331">
        <v>3</v>
      </c>
      <c r="AG331">
        <v>2025</v>
      </c>
      <c r="AH331" s="2">
        <v>3900</v>
      </c>
      <c r="AI331" s="2">
        <v>2807.427734375</v>
      </c>
      <c r="AJ331" s="2">
        <f t="shared" si="40"/>
        <v>1092.572265625</v>
      </c>
      <c r="AK331" s="6">
        <f t="shared" si="41"/>
        <v>0.280146734775641</v>
      </c>
      <c r="AL331" s="12">
        <v>3900</v>
      </c>
      <c r="AM331" s="12">
        <v>2275.262045042728</v>
      </c>
      <c r="AN331" s="12">
        <f t="shared" si="42"/>
        <v>1624.737954957272</v>
      </c>
      <c r="AO331" s="13">
        <f t="shared" si="43"/>
        <v>0.41659947563006972</v>
      </c>
      <c r="AP331" s="16">
        <v>3900</v>
      </c>
      <c r="AQ331" s="16">
        <v>3396.8503924859569</v>
      </c>
      <c r="AR331" s="16">
        <f t="shared" si="44"/>
        <v>503.14960751404305</v>
      </c>
      <c r="AS331" s="17">
        <f t="shared" si="45"/>
        <v>0.12901271987539564</v>
      </c>
      <c r="AT331" s="20">
        <v>3900</v>
      </c>
      <c r="AU331" s="20">
        <v>2776.224609375</v>
      </c>
      <c r="AV331" s="20">
        <f t="shared" si="46"/>
        <v>1123.775390625</v>
      </c>
      <c r="AW331" s="21">
        <f t="shared" si="47"/>
        <v>0.28814753605769233</v>
      </c>
    </row>
    <row r="332" spans="1:49" x14ac:dyDescent="0.25">
      <c r="A332" t="s">
        <v>81</v>
      </c>
      <c r="B332" t="s">
        <v>82</v>
      </c>
      <c r="C332">
        <v>95420</v>
      </c>
      <c r="D332">
        <v>2001</v>
      </c>
      <c r="E332" t="s">
        <v>97</v>
      </c>
      <c r="F332" t="s">
        <v>171</v>
      </c>
      <c r="H332" t="s">
        <v>683</v>
      </c>
      <c r="I332">
        <v>8</v>
      </c>
      <c r="J332" t="s">
        <v>178</v>
      </c>
      <c r="K332">
        <v>3</v>
      </c>
      <c r="L332" t="s">
        <v>44</v>
      </c>
      <c r="M332">
        <v>5</v>
      </c>
      <c r="N332" t="s">
        <v>73</v>
      </c>
      <c r="O332" t="s">
        <v>100</v>
      </c>
      <c r="Q332" t="s">
        <v>74</v>
      </c>
      <c r="R332" t="s">
        <v>75</v>
      </c>
      <c r="S332" t="s">
        <v>49</v>
      </c>
      <c r="V332" t="s">
        <v>76</v>
      </c>
      <c r="W332" t="s">
        <v>684</v>
      </c>
      <c r="X332" t="s">
        <v>94</v>
      </c>
      <c r="Y332" t="s">
        <v>78</v>
      </c>
      <c r="AA332">
        <v>0</v>
      </c>
      <c r="AB332" t="s">
        <v>79</v>
      </c>
      <c r="AC332" t="s">
        <v>80</v>
      </c>
      <c r="AD332">
        <v>36</v>
      </c>
      <c r="AE332">
        <v>9</v>
      </c>
      <c r="AF332">
        <v>3</v>
      </c>
      <c r="AG332">
        <v>2025</v>
      </c>
      <c r="AH332" s="2">
        <v>700</v>
      </c>
      <c r="AI332" s="2">
        <v>557.50604248046875</v>
      </c>
      <c r="AJ332" s="2">
        <f t="shared" si="40"/>
        <v>142.49395751953125</v>
      </c>
      <c r="AK332" s="6">
        <f t="shared" si="41"/>
        <v>0.20356279645647321</v>
      </c>
      <c r="AL332" s="12">
        <v>700</v>
      </c>
      <c r="AM332" s="12">
        <v>913.56699083905175</v>
      </c>
      <c r="AN332" s="12">
        <f t="shared" si="42"/>
        <v>213.56699083905175</v>
      </c>
      <c r="AO332" s="13">
        <f t="shared" si="43"/>
        <v>0.30509570119864537</v>
      </c>
      <c r="AP332" s="16">
        <v>700</v>
      </c>
      <c r="AQ332" s="16">
        <v>597.40714406170923</v>
      </c>
      <c r="AR332" s="16">
        <f t="shared" si="44"/>
        <v>102.59285593829077</v>
      </c>
      <c r="AS332" s="17">
        <f t="shared" si="45"/>
        <v>0.14656122276898681</v>
      </c>
      <c r="AT332" s="20">
        <v>700</v>
      </c>
      <c r="AU332" s="20">
        <v>630.43963623046875</v>
      </c>
      <c r="AV332" s="20">
        <f t="shared" si="46"/>
        <v>69.56036376953125</v>
      </c>
      <c r="AW332" s="21">
        <f t="shared" si="47"/>
        <v>9.9371948242187494E-2</v>
      </c>
    </row>
    <row r="333" spans="1:49" x14ac:dyDescent="0.25">
      <c r="A333" t="s">
        <v>38</v>
      </c>
      <c r="B333" t="s">
        <v>96</v>
      </c>
      <c r="C333">
        <v>119453</v>
      </c>
      <c r="D333">
        <v>2020</v>
      </c>
      <c r="E333" t="s">
        <v>88</v>
      </c>
      <c r="F333" t="s">
        <v>89</v>
      </c>
      <c r="G333" t="s">
        <v>685</v>
      </c>
      <c r="H333" t="s">
        <v>686</v>
      </c>
      <c r="I333">
        <v>8</v>
      </c>
      <c r="J333" t="s">
        <v>61</v>
      </c>
      <c r="K333">
        <v>4</v>
      </c>
      <c r="L333" t="s">
        <v>44</v>
      </c>
      <c r="M333">
        <v>5.7</v>
      </c>
      <c r="N333" t="s">
        <v>73</v>
      </c>
      <c r="O333" t="s">
        <v>46</v>
      </c>
      <c r="Q333" t="s">
        <v>74</v>
      </c>
      <c r="R333" t="s">
        <v>92</v>
      </c>
      <c r="S333" t="s">
        <v>49</v>
      </c>
      <c r="T333">
        <v>395</v>
      </c>
      <c r="U333" t="s">
        <v>50</v>
      </c>
      <c r="V333" t="s">
        <v>76</v>
      </c>
      <c r="X333" t="s">
        <v>94</v>
      </c>
      <c r="Y333" t="s">
        <v>78</v>
      </c>
      <c r="AA333">
        <v>0</v>
      </c>
      <c r="AB333" t="s">
        <v>79</v>
      </c>
      <c r="AC333" t="s">
        <v>95</v>
      </c>
      <c r="AD333">
        <v>36</v>
      </c>
      <c r="AE333">
        <v>9</v>
      </c>
      <c r="AF333">
        <v>3</v>
      </c>
      <c r="AG333">
        <v>2025</v>
      </c>
      <c r="AH333" s="2">
        <v>16000</v>
      </c>
      <c r="AI333" s="2">
        <v>16812.59765625</v>
      </c>
      <c r="AJ333" s="2">
        <f t="shared" si="40"/>
        <v>812.59765625</v>
      </c>
      <c r="AK333" s="6">
        <f t="shared" si="41"/>
        <v>5.0787353515625001E-2</v>
      </c>
      <c r="AL333" s="12">
        <v>16000</v>
      </c>
      <c r="AM333" s="12">
        <v>16410.762693149762</v>
      </c>
      <c r="AN333" s="12">
        <f t="shared" si="42"/>
        <v>410.76269314976162</v>
      </c>
      <c r="AO333" s="13">
        <f t="shared" si="43"/>
        <v>2.56726683218601E-2</v>
      </c>
      <c r="AP333" s="16">
        <v>16000</v>
      </c>
      <c r="AQ333" s="16">
        <v>16242.636440015031</v>
      </c>
      <c r="AR333" s="16">
        <f t="shared" si="44"/>
        <v>242.63644001503053</v>
      </c>
      <c r="AS333" s="17">
        <f t="shared" si="45"/>
        <v>1.5164777500939409E-2</v>
      </c>
      <c r="AT333" s="20">
        <v>16000</v>
      </c>
      <c r="AU333" s="20">
        <v>16585.095703125</v>
      </c>
      <c r="AV333" s="20">
        <f t="shared" si="46"/>
        <v>585.095703125</v>
      </c>
      <c r="AW333" s="21">
        <f t="shared" si="47"/>
        <v>3.6568481445312502E-2</v>
      </c>
    </row>
    <row r="334" spans="1:49" x14ac:dyDescent="0.25">
      <c r="A334" t="s">
        <v>128</v>
      </c>
      <c r="B334" t="s">
        <v>129</v>
      </c>
      <c r="C334">
        <v>143002</v>
      </c>
      <c r="D334">
        <v>2020</v>
      </c>
      <c r="E334" t="s">
        <v>97</v>
      </c>
      <c r="F334" t="s">
        <v>470</v>
      </c>
      <c r="G334" t="s">
        <v>513</v>
      </c>
      <c r="I334">
        <v>4</v>
      </c>
      <c r="J334" t="s">
        <v>106</v>
      </c>
      <c r="K334">
        <v>4</v>
      </c>
      <c r="L334" t="s">
        <v>44</v>
      </c>
      <c r="M334">
        <v>1.5</v>
      </c>
      <c r="N334" t="s">
        <v>45</v>
      </c>
      <c r="O334" t="s">
        <v>46</v>
      </c>
      <c r="P334">
        <v>2</v>
      </c>
      <c r="Q334" t="s">
        <v>47</v>
      </c>
      <c r="R334" t="s">
        <v>123</v>
      </c>
      <c r="S334" t="s">
        <v>101</v>
      </c>
      <c r="U334" t="s">
        <v>50</v>
      </c>
      <c r="V334" t="s">
        <v>51</v>
      </c>
      <c r="W334" t="s">
        <v>687</v>
      </c>
      <c r="X334" t="s">
        <v>125</v>
      </c>
      <c r="Y334" t="s">
        <v>78</v>
      </c>
      <c r="AA334">
        <v>0</v>
      </c>
      <c r="AB334" t="s">
        <v>79</v>
      </c>
      <c r="AC334" t="s">
        <v>127</v>
      </c>
      <c r="AD334">
        <v>36</v>
      </c>
      <c r="AE334">
        <v>9</v>
      </c>
      <c r="AF334">
        <v>3</v>
      </c>
      <c r="AG334">
        <v>2025</v>
      </c>
      <c r="AH334" s="2">
        <v>3200</v>
      </c>
      <c r="AI334" s="2">
        <v>4569.20263671875</v>
      </c>
      <c r="AJ334" s="2">
        <f t="shared" si="40"/>
        <v>1369.20263671875</v>
      </c>
      <c r="AK334" s="6">
        <f t="shared" si="41"/>
        <v>0.42787582397460938</v>
      </c>
      <c r="AL334" s="12">
        <v>3200</v>
      </c>
      <c r="AM334" s="12">
        <v>4393.1772989399606</v>
      </c>
      <c r="AN334" s="12">
        <f t="shared" si="42"/>
        <v>1193.1772989399606</v>
      </c>
      <c r="AO334" s="13">
        <f t="shared" si="43"/>
        <v>0.3728679059187377</v>
      </c>
      <c r="AP334" s="16">
        <v>3200</v>
      </c>
      <c r="AQ334" s="16">
        <v>4029.464568302471</v>
      </c>
      <c r="AR334" s="16">
        <f t="shared" si="44"/>
        <v>829.46456830247098</v>
      </c>
      <c r="AS334" s="17">
        <f t="shared" si="45"/>
        <v>0.25920767759452218</v>
      </c>
      <c r="AT334" s="20">
        <v>3200</v>
      </c>
      <c r="AU334" s="20">
        <v>4616.619140625</v>
      </c>
      <c r="AV334" s="20">
        <f t="shared" si="46"/>
        <v>1416.619140625</v>
      </c>
      <c r="AW334" s="21">
        <f t="shared" si="47"/>
        <v>0.44269348144531251</v>
      </c>
    </row>
    <row r="335" spans="1:49" x14ac:dyDescent="0.25">
      <c r="A335" t="s">
        <v>38</v>
      </c>
      <c r="B335" t="s">
        <v>96</v>
      </c>
      <c r="C335">
        <v>120906</v>
      </c>
      <c r="D335">
        <v>2014</v>
      </c>
      <c r="E335" t="s">
        <v>162</v>
      </c>
      <c r="F335" t="s">
        <v>688</v>
      </c>
      <c r="G335" t="s">
        <v>689</v>
      </c>
      <c r="I335">
        <v>4</v>
      </c>
      <c r="J335" t="s">
        <v>61</v>
      </c>
      <c r="K335">
        <v>4</v>
      </c>
      <c r="L335" t="s">
        <v>44</v>
      </c>
      <c r="M335">
        <v>1.6</v>
      </c>
      <c r="N335" t="s">
        <v>45</v>
      </c>
      <c r="O335" t="s">
        <v>46</v>
      </c>
      <c r="Q335" t="s">
        <v>47</v>
      </c>
      <c r="R335" t="s">
        <v>48</v>
      </c>
      <c r="U335" t="s">
        <v>50</v>
      </c>
      <c r="W335" t="s">
        <v>207</v>
      </c>
      <c r="X335" t="s">
        <v>125</v>
      </c>
      <c r="Y335" t="s">
        <v>66</v>
      </c>
      <c r="AA335">
        <v>0</v>
      </c>
      <c r="AB335" t="s">
        <v>79</v>
      </c>
      <c r="AC335" t="s">
        <v>359</v>
      </c>
      <c r="AD335">
        <v>36</v>
      </c>
      <c r="AE335">
        <v>9</v>
      </c>
      <c r="AF335">
        <v>3</v>
      </c>
      <c r="AG335">
        <v>2025</v>
      </c>
      <c r="AH335" s="2">
        <v>2200</v>
      </c>
      <c r="AI335" s="2">
        <v>2285.23583984375</v>
      </c>
      <c r="AJ335" s="2">
        <f t="shared" si="40"/>
        <v>85.23583984375</v>
      </c>
      <c r="AK335" s="6">
        <f t="shared" si="41"/>
        <v>3.8743563565340908E-2</v>
      </c>
      <c r="AL335" s="12">
        <v>2200</v>
      </c>
      <c r="AM335" s="12">
        <v>2186.048821875685</v>
      </c>
      <c r="AN335" s="12">
        <f t="shared" si="42"/>
        <v>13.951178124314993</v>
      </c>
      <c r="AO335" s="13">
        <f t="shared" si="43"/>
        <v>6.34144460196136E-3</v>
      </c>
      <c r="AP335" s="16">
        <v>2200</v>
      </c>
      <c r="AQ335" s="16">
        <v>1867.8331954139639</v>
      </c>
      <c r="AR335" s="16">
        <f t="shared" si="44"/>
        <v>332.16680458603605</v>
      </c>
      <c r="AS335" s="17">
        <f t="shared" si="45"/>
        <v>0.15098491117547094</v>
      </c>
      <c r="AT335" s="20">
        <v>2200</v>
      </c>
      <c r="AU335" s="20">
        <v>2248.177490234375</v>
      </c>
      <c r="AV335" s="20">
        <f t="shared" si="46"/>
        <v>48.177490234375</v>
      </c>
      <c r="AW335" s="21">
        <f t="shared" si="47"/>
        <v>2.1898859197443183E-2</v>
      </c>
    </row>
    <row r="336" spans="1:49" x14ac:dyDescent="0.25">
      <c r="A336" t="s">
        <v>38</v>
      </c>
      <c r="B336" t="s">
        <v>110</v>
      </c>
      <c r="C336">
        <v>193364</v>
      </c>
      <c r="D336">
        <v>2013</v>
      </c>
      <c r="E336" t="s">
        <v>69</v>
      </c>
      <c r="F336" t="s">
        <v>690</v>
      </c>
      <c r="G336" t="s">
        <v>224</v>
      </c>
      <c r="I336">
        <v>4</v>
      </c>
      <c r="J336" t="s">
        <v>122</v>
      </c>
      <c r="K336">
        <v>4</v>
      </c>
      <c r="L336" t="s">
        <v>44</v>
      </c>
      <c r="M336">
        <v>2</v>
      </c>
      <c r="N336" t="s">
        <v>45</v>
      </c>
      <c r="Q336" t="s">
        <v>47</v>
      </c>
      <c r="R336" t="s">
        <v>48</v>
      </c>
      <c r="T336">
        <v>160</v>
      </c>
      <c r="U336" t="s">
        <v>50</v>
      </c>
      <c r="V336" t="s">
        <v>51</v>
      </c>
      <c r="X336" t="s">
        <v>125</v>
      </c>
      <c r="Y336" t="s">
        <v>78</v>
      </c>
      <c r="AA336">
        <v>0</v>
      </c>
      <c r="AB336" t="s">
        <v>79</v>
      </c>
      <c r="AC336" t="s">
        <v>359</v>
      </c>
      <c r="AD336">
        <v>36</v>
      </c>
      <c r="AE336">
        <v>9</v>
      </c>
      <c r="AF336">
        <v>3</v>
      </c>
      <c r="AG336">
        <v>2025</v>
      </c>
      <c r="AH336" s="2">
        <v>800</v>
      </c>
      <c r="AI336" s="2">
        <v>920.795166015625</v>
      </c>
      <c r="AJ336" s="2">
        <f t="shared" si="40"/>
        <v>120.795166015625</v>
      </c>
      <c r="AK336" s="6">
        <f t="shared" si="41"/>
        <v>0.15099395751953126</v>
      </c>
      <c r="AL336" s="12">
        <v>800</v>
      </c>
      <c r="AM336" s="12">
        <v>976.20458304366184</v>
      </c>
      <c r="AN336" s="12">
        <f t="shared" si="42"/>
        <v>176.20458304366184</v>
      </c>
      <c r="AO336" s="13">
        <f t="shared" si="43"/>
        <v>0.22025572880457731</v>
      </c>
      <c r="AP336" s="16">
        <v>800</v>
      </c>
      <c r="AQ336" s="16">
        <v>754.41465231143627</v>
      </c>
      <c r="AR336" s="16">
        <f t="shared" si="44"/>
        <v>45.585347688563729</v>
      </c>
      <c r="AS336" s="17">
        <f t="shared" si="45"/>
        <v>5.6981684610704658E-2</v>
      </c>
      <c r="AT336" s="20">
        <v>800</v>
      </c>
      <c r="AU336" s="20">
        <v>906.11297607421875</v>
      </c>
      <c r="AV336" s="20">
        <f t="shared" si="46"/>
        <v>106.11297607421875</v>
      </c>
      <c r="AW336" s="21">
        <f t="shared" si="47"/>
        <v>0.13264122009277343</v>
      </c>
    </row>
    <row r="337" spans="1:49" x14ac:dyDescent="0.25">
      <c r="A337" t="s">
        <v>38</v>
      </c>
      <c r="B337" t="s">
        <v>68</v>
      </c>
      <c r="C337">
        <v>22237</v>
      </c>
      <c r="D337">
        <v>2023</v>
      </c>
      <c r="E337" t="s">
        <v>69</v>
      </c>
      <c r="F337" t="s">
        <v>70</v>
      </c>
      <c r="H337" t="s">
        <v>71</v>
      </c>
      <c r="I337">
        <v>6</v>
      </c>
      <c r="J337" t="s">
        <v>72</v>
      </c>
      <c r="K337">
        <v>3</v>
      </c>
      <c r="L337" t="s">
        <v>44</v>
      </c>
      <c r="M337">
        <v>3.5</v>
      </c>
      <c r="N337" t="s">
        <v>73</v>
      </c>
      <c r="O337" t="s">
        <v>46</v>
      </c>
      <c r="P337">
        <v>4</v>
      </c>
      <c r="Q337" t="s">
        <v>74</v>
      </c>
      <c r="R337" t="s">
        <v>75</v>
      </c>
      <c r="S337" t="s">
        <v>179</v>
      </c>
      <c r="U337" t="s">
        <v>50</v>
      </c>
      <c r="V337" t="s">
        <v>76</v>
      </c>
      <c r="W337" t="s">
        <v>640</v>
      </c>
      <c r="X337" t="s">
        <v>230</v>
      </c>
      <c r="Y337" t="s">
        <v>78</v>
      </c>
      <c r="AA337">
        <v>0</v>
      </c>
      <c r="AB337" t="s">
        <v>79</v>
      </c>
      <c r="AC337" t="s">
        <v>80</v>
      </c>
      <c r="AD337">
        <v>36</v>
      </c>
      <c r="AE337">
        <v>9</v>
      </c>
      <c r="AF337">
        <v>3</v>
      </c>
      <c r="AG337">
        <v>2025</v>
      </c>
      <c r="AH337" s="2">
        <v>25500</v>
      </c>
      <c r="AI337" s="2">
        <v>30131.490234375</v>
      </c>
      <c r="AJ337" s="2">
        <f t="shared" si="40"/>
        <v>4631.490234375</v>
      </c>
      <c r="AK337" s="6">
        <f t="shared" si="41"/>
        <v>0.18162706801470588</v>
      </c>
      <c r="AL337" s="12">
        <v>25500</v>
      </c>
      <c r="AM337" s="12">
        <v>34809.549366612053</v>
      </c>
      <c r="AN337" s="12">
        <f t="shared" si="42"/>
        <v>9309.5493666120528</v>
      </c>
      <c r="AO337" s="13">
        <f t="shared" si="43"/>
        <v>0.36508036731811971</v>
      </c>
      <c r="AP337" s="16">
        <v>25500</v>
      </c>
      <c r="AQ337" s="16">
        <v>31324.3011337631</v>
      </c>
      <c r="AR337" s="16">
        <f t="shared" si="44"/>
        <v>5824.3011337630996</v>
      </c>
      <c r="AS337" s="17">
        <f t="shared" si="45"/>
        <v>0.22840396602992546</v>
      </c>
      <c r="AT337" s="20">
        <v>25500</v>
      </c>
      <c r="AU337" s="20">
        <v>30140.54296875</v>
      </c>
      <c r="AV337" s="20">
        <f t="shared" si="46"/>
        <v>4640.54296875</v>
      </c>
      <c r="AW337" s="21">
        <f t="shared" si="47"/>
        <v>0.18198207720588236</v>
      </c>
    </row>
    <row r="338" spans="1:49" x14ac:dyDescent="0.25">
      <c r="A338" t="s">
        <v>128</v>
      </c>
      <c r="B338" t="s">
        <v>210</v>
      </c>
      <c r="C338">
        <v>164350</v>
      </c>
      <c r="D338">
        <v>2012</v>
      </c>
      <c r="E338" t="s">
        <v>97</v>
      </c>
      <c r="F338" t="s">
        <v>98</v>
      </c>
      <c r="G338" t="s">
        <v>691</v>
      </c>
      <c r="I338">
        <v>6</v>
      </c>
      <c r="J338" t="s">
        <v>106</v>
      </c>
      <c r="K338">
        <v>4</v>
      </c>
      <c r="L338" t="s">
        <v>44</v>
      </c>
      <c r="M338">
        <v>3</v>
      </c>
      <c r="N338" t="s">
        <v>44</v>
      </c>
      <c r="O338" t="s">
        <v>46</v>
      </c>
      <c r="Q338" t="s">
        <v>62</v>
      </c>
      <c r="R338" t="s">
        <v>63</v>
      </c>
      <c r="S338" t="s">
        <v>85</v>
      </c>
      <c r="U338" t="s">
        <v>50</v>
      </c>
      <c r="W338" t="s">
        <v>469</v>
      </c>
      <c r="X338" t="s">
        <v>141</v>
      </c>
      <c r="Y338" t="s">
        <v>103</v>
      </c>
      <c r="AA338">
        <v>0</v>
      </c>
      <c r="AB338" t="s">
        <v>79</v>
      </c>
      <c r="AC338" t="s">
        <v>87</v>
      </c>
      <c r="AD338">
        <v>36</v>
      </c>
      <c r="AE338">
        <v>9</v>
      </c>
      <c r="AF338">
        <v>3</v>
      </c>
      <c r="AG338">
        <v>2025</v>
      </c>
      <c r="AH338" s="2">
        <v>1400</v>
      </c>
      <c r="AI338" s="2">
        <v>1794.337036132812</v>
      </c>
      <c r="AJ338" s="2">
        <f t="shared" si="40"/>
        <v>394.33703613281205</v>
      </c>
      <c r="AK338" s="6">
        <f t="shared" si="41"/>
        <v>0.28166931152343716</v>
      </c>
      <c r="AL338" s="12">
        <v>1400</v>
      </c>
      <c r="AM338" s="12">
        <v>2317.882713345703</v>
      </c>
      <c r="AN338" s="12">
        <f t="shared" si="42"/>
        <v>917.882713345703</v>
      </c>
      <c r="AO338" s="13">
        <f t="shared" si="43"/>
        <v>0.65563050953264501</v>
      </c>
      <c r="AP338" s="16">
        <v>1400</v>
      </c>
      <c r="AQ338" s="16">
        <v>1417.7524670730891</v>
      </c>
      <c r="AR338" s="16">
        <f t="shared" si="44"/>
        <v>17.752467073089065</v>
      </c>
      <c r="AS338" s="17">
        <f t="shared" si="45"/>
        <v>1.2680333623635047E-2</v>
      </c>
      <c r="AT338" s="20">
        <v>1400</v>
      </c>
      <c r="AU338" s="20">
        <v>1789.60400390625</v>
      </c>
      <c r="AV338" s="20">
        <f t="shared" si="46"/>
        <v>389.60400390625</v>
      </c>
      <c r="AW338" s="21">
        <f t="shared" si="47"/>
        <v>0.27828857421874997</v>
      </c>
    </row>
    <row r="339" spans="1:49" x14ac:dyDescent="0.25">
      <c r="A339" t="s">
        <v>38</v>
      </c>
      <c r="B339" t="s">
        <v>110</v>
      </c>
      <c r="C339">
        <v>126072</v>
      </c>
      <c r="D339">
        <v>2021</v>
      </c>
      <c r="E339" t="s">
        <v>40</v>
      </c>
      <c r="F339" t="s">
        <v>201</v>
      </c>
      <c r="G339" t="s">
        <v>572</v>
      </c>
      <c r="H339" t="s">
        <v>692</v>
      </c>
      <c r="I339">
        <v>4</v>
      </c>
      <c r="J339" t="s">
        <v>72</v>
      </c>
      <c r="K339">
        <v>4</v>
      </c>
      <c r="L339" t="s">
        <v>44</v>
      </c>
      <c r="M339">
        <v>1.8</v>
      </c>
      <c r="N339" t="s">
        <v>45</v>
      </c>
      <c r="O339" t="s">
        <v>46</v>
      </c>
      <c r="P339">
        <v>2</v>
      </c>
      <c r="Q339" t="s">
        <v>47</v>
      </c>
      <c r="R339" t="s">
        <v>123</v>
      </c>
      <c r="S339" t="s">
        <v>49</v>
      </c>
      <c r="T339">
        <v>139</v>
      </c>
      <c r="U339" t="s">
        <v>50</v>
      </c>
      <c r="V339" t="s">
        <v>51</v>
      </c>
      <c r="W339" t="s">
        <v>693</v>
      </c>
      <c r="X339" t="s">
        <v>125</v>
      </c>
      <c r="Y339" t="s">
        <v>78</v>
      </c>
      <c r="AA339">
        <v>0</v>
      </c>
      <c r="AB339" t="s">
        <v>79</v>
      </c>
      <c r="AC339" t="s">
        <v>127</v>
      </c>
      <c r="AD339">
        <v>36</v>
      </c>
      <c r="AE339">
        <v>9</v>
      </c>
      <c r="AF339">
        <v>3</v>
      </c>
      <c r="AG339">
        <v>2025</v>
      </c>
      <c r="AH339" s="2">
        <v>7900</v>
      </c>
      <c r="AI339" s="2">
        <v>5640.90283203125</v>
      </c>
      <c r="AJ339" s="2">
        <f t="shared" si="40"/>
        <v>2259.09716796875</v>
      </c>
      <c r="AK339" s="6">
        <f t="shared" si="41"/>
        <v>0.28596166683148733</v>
      </c>
      <c r="AL339" s="12">
        <v>7900</v>
      </c>
      <c r="AM339" s="12">
        <v>6620.9994648763859</v>
      </c>
      <c r="AN339" s="12">
        <f t="shared" si="42"/>
        <v>1279.0005351236141</v>
      </c>
      <c r="AO339" s="13">
        <f t="shared" si="43"/>
        <v>0.16189880191438152</v>
      </c>
      <c r="AP339" s="16">
        <v>7900</v>
      </c>
      <c r="AQ339" s="16">
        <v>6180.1457992927863</v>
      </c>
      <c r="AR339" s="16">
        <f t="shared" si="44"/>
        <v>1719.8542007072137</v>
      </c>
      <c r="AS339" s="17">
        <f t="shared" si="45"/>
        <v>0.21770306338065998</v>
      </c>
      <c r="AT339" s="20">
        <v>7900</v>
      </c>
      <c r="AU339" s="20">
        <v>5781.6904296875</v>
      </c>
      <c r="AV339" s="20">
        <f t="shared" si="46"/>
        <v>2118.3095703125</v>
      </c>
      <c r="AW339" s="21">
        <f t="shared" si="47"/>
        <v>0.26814045193829111</v>
      </c>
    </row>
    <row r="340" spans="1:49" x14ac:dyDescent="0.25">
      <c r="A340" t="s">
        <v>38</v>
      </c>
      <c r="B340" t="s">
        <v>96</v>
      </c>
      <c r="C340">
        <v>38341</v>
      </c>
      <c r="D340">
        <v>2023</v>
      </c>
      <c r="E340" t="s">
        <v>97</v>
      </c>
      <c r="F340" t="s">
        <v>198</v>
      </c>
      <c r="G340" t="s">
        <v>199</v>
      </c>
      <c r="I340">
        <v>6</v>
      </c>
      <c r="J340" t="s">
        <v>72</v>
      </c>
      <c r="K340">
        <v>4</v>
      </c>
      <c r="L340" t="s">
        <v>44</v>
      </c>
      <c r="M340">
        <v>3.6</v>
      </c>
      <c r="N340" t="s">
        <v>45</v>
      </c>
      <c r="O340" t="s">
        <v>46</v>
      </c>
      <c r="P340">
        <v>4</v>
      </c>
      <c r="Q340" t="s">
        <v>62</v>
      </c>
      <c r="R340" t="s">
        <v>63</v>
      </c>
      <c r="S340" t="s">
        <v>101</v>
      </c>
      <c r="U340" t="s">
        <v>50</v>
      </c>
      <c r="V340" t="s">
        <v>76</v>
      </c>
      <c r="W340" t="s">
        <v>372</v>
      </c>
      <c r="X340" t="s">
        <v>94</v>
      </c>
      <c r="Y340" t="s">
        <v>78</v>
      </c>
      <c r="AA340">
        <v>0</v>
      </c>
      <c r="AB340" t="s">
        <v>79</v>
      </c>
      <c r="AC340" t="s">
        <v>87</v>
      </c>
      <c r="AD340">
        <v>36</v>
      </c>
      <c r="AE340">
        <v>9</v>
      </c>
      <c r="AF340">
        <v>3</v>
      </c>
      <c r="AG340">
        <v>2025</v>
      </c>
      <c r="AH340" s="2">
        <v>24250</v>
      </c>
      <c r="AI340" s="2">
        <v>26669.12890625</v>
      </c>
      <c r="AJ340" s="2">
        <f t="shared" si="40"/>
        <v>2419.12890625</v>
      </c>
      <c r="AK340" s="6">
        <f t="shared" si="41"/>
        <v>9.9757893041237111E-2</v>
      </c>
      <c r="AL340" s="12">
        <v>24250</v>
      </c>
      <c r="AM340" s="12">
        <v>26792.91685641677</v>
      </c>
      <c r="AN340" s="12">
        <f t="shared" si="42"/>
        <v>2542.9168564167703</v>
      </c>
      <c r="AO340" s="13">
        <f t="shared" si="43"/>
        <v>0.10486255078007301</v>
      </c>
      <c r="AP340" s="16">
        <v>24250</v>
      </c>
      <c r="AQ340" s="16">
        <v>21550.413041388339</v>
      </c>
      <c r="AR340" s="16">
        <f t="shared" si="44"/>
        <v>2699.5869586116605</v>
      </c>
      <c r="AS340" s="17">
        <f t="shared" si="45"/>
        <v>0.11132317355099632</v>
      </c>
      <c r="AT340" s="20">
        <v>24250</v>
      </c>
      <c r="AU340" s="20">
        <v>26400.98046875</v>
      </c>
      <c r="AV340" s="20">
        <f t="shared" si="46"/>
        <v>2150.98046875</v>
      </c>
      <c r="AW340" s="21">
        <f t="shared" si="47"/>
        <v>8.8700225515463915E-2</v>
      </c>
    </row>
    <row r="341" spans="1:49" x14ac:dyDescent="0.25">
      <c r="A341" t="s">
        <v>81</v>
      </c>
      <c r="B341" t="s">
        <v>82</v>
      </c>
      <c r="C341">
        <v>167727</v>
      </c>
      <c r="D341">
        <v>2003</v>
      </c>
      <c r="E341" t="s">
        <v>263</v>
      </c>
      <c r="F341" t="s">
        <v>694</v>
      </c>
      <c r="H341" t="s">
        <v>240</v>
      </c>
      <c r="I341">
        <v>6</v>
      </c>
      <c r="J341" t="s">
        <v>122</v>
      </c>
      <c r="K341">
        <v>4</v>
      </c>
      <c r="L341" t="s">
        <v>44</v>
      </c>
      <c r="M341">
        <v>3</v>
      </c>
      <c r="N341" t="s">
        <v>91</v>
      </c>
      <c r="O341" t="s">
        <v>46</v>
      </c>
      <c r="Q341" t="s">
        <v>62</v>
      </c>
      <c r="R341" t="s">
        <v>63</v>
      </c>
      <c r="S341" t="s">
        <v>93</v>
      </c>
      <c r="T341">
        <v>201</v>
      </c>
      <c r="U341" t="s">
        <v>50</v>
      </c>
      <c r="V341" t="s">
        <v>76</v>
      </c>
      <c r="X341" t="s">
        <v>65</v>
      </c>
      <c r="Y341" t="s">
        <v>78</v>
      </c>
      <c r="AA341">
        <v>0</v>
      </c>
      <c r="AB341" t="s">
        <v>79</v>
      </c>
      <c r="AC341" t="s">
        <v>87</v>
      </c>
      <c r="AD341">
        <v>36</v>
      </c>
      <c r="AE341">
        <v>9</v>
      </c>
      <c r="AF341">
        <v>3</v>
      </c>
      <c r="AG341">
        <v>2025</v>
      </c>
      <c r="AH341" s="2">
        <v>700</v>
      </c>
      <c r="AI341" s="2">
        <v>588.248291015625</v>
      </c>
      <c r="AJ341" s="2">
        <f t="shared" si="40"/>
        <v>111.751708984375</v>
      </c>
      <c r="AK341" s="6">
        <f t="shared" si="41"/>
        <v>0.15964529854910714</v>
      </c>
      <c r="AL341" s="12">
        <v>700</v>
      </c>
      <c r="AM341" s="12">
        <v>676.28705516900993</v>
      </c>
      <c r="AN341" s="12">
        <f t="shared" si="42"/>
        <v>23.712944830990068</v>
      </c>
      <c r="AO341" s="13">
        <f t="shared" si="43"/>
        <v>3.3875635472842953E-2</v>
      </c>
      <c r="AP341" s="16">
        <v>700</v>
      </c>
      <c r="AQ341" s="16">
        <v>551.28285244426127</v>
      </c>
      <c r="AR341" s="16">
        <f t="shared" si="44"/>
        <v>148.71714755573873</v>
      </c>
      <c r="AS341" s="17">
        <f t="shared" si="45"/>
        <v>0.21245306793676963</v>
      </c>
      <c r="AT341" s="20">
        <v>700</v>
      </c>
      <c r="AU341" s="20">
        <v>590.930908203125</v>
      </c>
      <c r="AV341" s="20">
        <f t="shared" si="46"/>
        <v>109.069091796875</v>
      </c>
      <c r="AW341" s="21">
        <f t="shared" si="47"/>
        <v>0.15581298828125001</v>
      </c>
    </row>
    <row r="342" spans="1:49" x14ac:dyDescent="0.25">
      <c r="A342" t="s">
        <v>128</v>
      </c>
      <c r="B342" t="s">
        <v>129</v>
      </c>
      <c r="C342">
        <v>163486</v>
      </c>
      <c r="D342">
        <v>2011</v>
      </c>
      <c r="E342" t="s">
        <v>69</v>
      </c>
      <c r="F342" t="s">
        <v>231</v>
      </c>
      <c r="G342" t="s">
        <v>695</v>
      </c>
      <c r="I342">
        <v>8</v>
      </c>
      <c r="J342" t="s">
        <v>72</v>
      </c>
      <c r="K342">
        <v>4</v>
      </c>
      <c r="L342" t="s">
        <v>44</v>
      </c>
      <c r="M342">
        <v>6.2</v>
      </c>
      <c r="N342" t="s">
        <v>91</v>
      </c>
      <c r="O342" t="s">
        <v>46</v>
      </c>
      <c r="P342">
        <v>3</v>
      </c>
      <c r="Q342" t="s">
        <v>74</v>
      </c>
      <c r="R342" t="s">
        <v>92</v>
      </c>
      <c r="S342" t="s">
        <v>93</v>
      </c>
      <c r="T342">
        <v>411</v>
      </c>
      <c r="U342" t="s">
        <v>50</v>
      </c>
      <c r="V342" t="s">
        <v>76</v>
      </c>
      <c r="X342" t="s">
        <v>108</v>
      </c>
      <c r="Y342" t="s">
        <v>78</v>
      </c>
      <c r="AA342">
        <v>0</v>
      </c>
      <c r="AB342" t="s">
        <v>79</v>
      </c>
      <c r="AC342" t="s">
        <v>95</v>
      </c>
      <c r="AD342">
        <v>36</v>
      </c>
      <c r="AE342">
        <v>9</v>
      </c>
      <c r="AF342">
        <v>3</v>
      </c>
      <c r="AG342">
        <v>2025</v>
      </c>
      <c r="AH342" s="2">
        <v>10000</v>
      </c>
      <c r="AI342" s="2">
        <v>11739.3134765625</v>
      </c>
      <c r="AJ342" s="2">
        <f t="shared" si="40"/>
        <v>1739.3134765625</v>
      </c>
      <c r="AK342" s="6">
        <f t="shared" si="41"/>
        <v>0.17393134765625001</v>
      </c>
      <c r="AL342" s="12">
        <v>10000</v>
      </c>
      <c r="AM342" s="12">
        <v>7103.6158834659927</v>
      </c>
      <c r="AN342" s="12">
        <f t="shared" si="42"/>
        <v>2896.3841165340073</v>
      </c>
      <c r="AO342" s="13">
        <f t="shared" si="43"/>
        <v>0.28963841165340071</v>
      </c>
      <c r="AP342" s="16">
        <v>10000</v>
      </c>
      <c r="AQ342" s="16">
        <v>8953.7523819915696</v>
      </c>
      <c r="AR342" s="16">
        <f t="shared" si="44"/>
        <v>1046.2476180084304</v>
      </c>
      <c r="AS342" s="17">
        <f t="shared" si="45"/>
        <v>0.10462476180084304</v>
      </c>
      <c r="AT342" s="20">
        <v>10000</v>
      </c>
      <c r="AU342" s="20">
        <v>11162.619140625</v>
      </c>
      <c r="AV342" s="20">
        <f t="shared" si="46"/>
        <v>1162.619140625</v>
      </c>
      <c r="AW342" s="21">
        <f t="shared" si="47"/>
        <v>0.1162619140625</v>
      </c>
    </row>
    <row r="343" spans="1:49" x14ac:dyDescent="0.25">
      <c r="A343" t="s">
        <v>81</v>
      </c>
      <c r="B343" t="s">
        <v>82</v>
      </c>
      <c r="C343">
        <v>93102</v>
      </c>
      <c r="D343">
        <v>2000</v>
      </c>
      <c r="E343" t="s">
        <v>69</v>
      </c>
      <c r="F343" t="s">
        <v>696</v>
      </c>
      <c r="G343" t="s">
        <v>112</v>
      </c>
      <c r="I343">
        <v>8</v>
      </c>
      <c r="J343" t="s">
        <v>106</v>
      </c>
      <c r="K343">
        <v>4</v>
      </c>
      <c r="L343" t="s">
        <v>44</v>
      </c>
      <c r="M343">
        <v>4.5999999999999996</v>
      </c>
      <c r="N343" t="s">
        <v>73</v>
      </c>
      <c r="O343" t="s">
        <v>46</v>
      </c>
      <c r="Q343" t="s">
        <v>47</v>
      </c>
      <c r="R343" t="s">
        <v>123</v>
      </c>
      <c r="T343">
        <v>190</v>
      </c>
      <c r="U343" t="s">
        <v>50</v>
      </c>
      <c r="V343" t="s">
        <v>76</v>
      </c>
      <c r="X343" t="s">
        <v>125</v>
      </c>
      <c r="Y343" t="s">
        <v>103</v>
      </c>
      <c r="AA343">
        <v>0</v>
      </c>
      <c r="AB343" t="s">
        <v>79</v>
      </c>
      <c r="AC343" t="s">
        <v>127</v>
      </c>
      <c r="AD343">
        <v>36</v>
      </c>
      <c r="AE343">
        <v>9</v>
      </c>
      <c r="AF343">
        <v>3</v>
      </c>
      <c r="AG343">
        <v>2025</v>
      </c>
      <c r="AH343" s="2">
        <v>1050</v>
      </c>
      <c r="AI343" s="2">
        <v>746.89019775390625</v>
      </c>
      <c r="AJ343" s="2">
        <f t="shared" si="40"/>
        <v>303.10980224609375</v>
      </c>
      <c r="AK343" s="6">
        <f t="shared" si="41"/>
        <v>0.28867600213913691</v>
      </c>
      <c r="AL343" s="12">
        <v>1050</v>
      </c>
      <c r="AM343" s="12">
        <v>1168.2138723935409</v>
      </c>
      <c r="AN343" s="12">
        <f t="shared" si="42"/>
        <v>118.2138723935409</v>
      </c>
      <c r="AO343" s="13">
        <f t="shared" si="43"/>
        <v>0.11258464037480086</v>
      </c>
      <c r="AP343" s="16">
        <v>1050</v>
      </c>
      <c r="AQ343" s="16">
        <v>883.66436277054936</v>
      </c>
      <c r="AR343" s="16">
        <f t="shared" si="44"/>
        <v>166.33563722945064</v>
      </c>
      <c r="AS343" s="17">
        <f t="shared" si="45"/>
        <v>0.1584148925994768</v>
      </c>
      <c r="AT343" s="20">
        <v>1050</v>
      </c>
      <c r="AU343" s="20">
        <v>789.03082275390625</v>
      </c>
      <c r="AV343" s="20">
        <f t="shared" si="46"/>
        <v>260.96917724609375</v>
      </c>
      <c r="AW343" s="21">
        <f t="shared" si="47"/>
        <v>0.24854207356770833</v>
      </c>
    </row>
    <row r="344" spans="1:49" x14ac:dyDescent="0.25">
      <c r="A344" t="s">
        <v>38</v>
      </c>
      <c r="B344" t="s">
        <v>39</v>
      </c>
      <c r="C344">
        <v>137807</v>
      </c>
      <c r="D344">
        <v>2012</v>
      </c>
      <c r="E344" t="s">
        <v>116</v>
      </c>
      <c r="F344" t="s">
        <v>697</v>
      </c>
      <c r="G344" t="s">
        <v>698</v>
      </c>
      <c r="I344">
        <v>6</v>
      </c>
      <c r="J344" t="s">
        <v>61</v>
      </c>
      <c r="K344">
        <v>4</v>
      </c>
      <c r="L344" t="s">
        <v>44</v>
      </c>
      <c r="M344">
        <v>6.7</v>
      </c>
      <c r="N344" t="s">
        <v>91</v>
      </c>
      <c r="O344" t="s">
        <v>46</v>
      </c>
      <c r="Q344" t="s">
        <v>74</v>
      </c>
      <c r="R344" t="s">
        <v>92</v>
      </c>
      <c r="S344" t="s">
        <v>93</v>
      </c>
      <c r="U344" t="s">
        <v>229</v>
      </c>
      <c r="X344" t="s">
        <v>230</v>
      </c>
      <c r="Y344" t="s">
        <v>126</v>
      </c>
      <c r="AA344">
        <v>0</v>
      </c>
      <c r="AB344" t="s">
        <v>79</v>
      </c>
      <c r="AC344" t="s">
        <v>95</v>
      </c>
      <c r="AD344">
        <v>36</v>
      </c>
      <c r="AE344">
        <v>9</v>
      </c>
      <c r="AF344">
        <v>3</v>
      </c>
      <c r="AG344">
        <v>2025</v>
      </c>
      <c r="AH344" s="2">
        <v>25250</v>
      </c>
      <c r="AI344" s="2">
        <v>13905.1806640625</v>
      </c>
      <c r="AJ344" s="2">
        <f t="shared" si="40"/>
        <v>11344.8193359375</v>
      </c>
      <c r="AK344" s="6">
        <f t="shared" si="41"/>
        <v>0.44929977568069307</v>
      </c>
      <c r="AL344" s="12">
        <v>25250</v>
      </c>
      <c r="AM344" s="12">
        <v>13000.75738725092</v>
      </c>
      <c r="AN344" s="12">
        <f t="shared" si="42"/>
        <v>12249.24261274908</v>
      </c>
      <c r="AO344" s="13">
        <f t="shared" si="43"/>
        <v>0.48511851931679523</v>
      </c>
      <c r="AP344" s="16">
        <v>25250</v>
      </c>
      <c r="AQ344" s="16">
        <v>19066.94344100677</v>
      </c>
      <c r="AR344" s="16">
        <f t="shared" si="44"/>
        <v>6183.0565589932303</v>
      </c>
      <c r="AS344" s="17">
        <f t="shared" si="45"/>
        <v>0.2448735270888408</v>
      </c>
      <c r="AT344" s="20">
        <v>25250</v>
      </c>
      <c r="AU344" s="20">
        <v>13737.1669921875</v>
      </c>
      <c r="AV344" s="20">
        <f t="shared" si="46"/>
        <v>11512.8330078125</v>
      </c>
      <c r="AW344" s="21">
        <f t="shared" si="47"/>
        <v>0.45595378248762375</v>
      </c>
    </row>
    <row r="345" spans="1:49" x14ac:dyDescent="0.25">
      <c r="A345" t="s">
        <v>38</v>
      </c>
      <c r="B345" t="s">
        <v>110</v>
      </c>
      <c r="C345">
        <v>99873</v>
      </c>
      <c r="D345">
        <v>2021</v>
      </c>
      <c r="E345" t="s">
        <v>88</v>
      </c>
      <c r="F345" t="s">
        <v>637</v>
      </c>
      <c r="I345">
        <v>6</v>
      </c>
      <c r="J345" t="s">
        <v>72</v>
      </c>
      <c r="K345">
        <v>3</v>
      </c>
      <c r="L345" t="s">
        <v>44</v>
      </c>
      <c r="M345">
        <v>3.6</v>
      </c>
      <c r="N345" t="s">
        <v>45</v>
      </c>
      <c r="Q345" t="s">
        <v>74</v>
      </c>
      <c r="R345" t="s">
        <v>75</v>
      </c>
      <c r="S345" t="s">
        <v>101</v>
      </c>
      <c r="T345">
        <v>280</v>
      </c>
      <c r="U345" t="s">
        <v>50</v>
      </c>
      <c r="V345" t="s">
        <v>76</v>
      </c>
      <c r="X345" t="s">
        <v>77</v>
      </c>
      <c r="Y345" t="s">
        <v>126</v>
      </c>
      <c r="AA345">
        <v>0</v>
      </c>
      <c r="AB345" t="s">
        <v>79</v>
      </c>
      <c r="AC345" t="s">
        <v>80</v>
      </c>
      <c r="AD345">
        <v>36</v>
      </c>
      <c r="AE345">
        <v>9</v>
      </c>
      <c r="AF345">
        <v>3</v>
      </c>
      <c r="AG345">
        <v>2025</v>
      </c>
      <c r="AH345" s="2">
        <v>15750</v>
      </c>
      <c r="AI345" s="2">
        <v>16150.37109375</v>
      </c>
      <c r="AJ345" s="2">
        <f t="shared" si="40"/>
        <v>400.37109375</v>
      </c>
      <c r="AK345" s="6">
        <f t="shared" si="41"/>
        <v>2.5420386904761904E-2</v>
      </c>
      <c r="AL345" s="12">
        <v>15750</v>
      </c>
      <c r="AM345" s="12">
        <v>15868.18674877028</v>
      </c>
      <c r="AN345" s="12">
        <f t="shared" si="42"/>
        <v>118.18674877028025</v>
      </c>
      <c r="AO345" s="13">
        <f t="shared" si="43"/>
        <v>7.5039205568431903E-3</v>
      </c>
      <c r="AP345" s="16">
        <v>15750</v>
      </c>
      <c r="AQ345" s="16">
        <v>14953.64963410844</v>
      </c>
      <c r="AR345" s="16">
        <f t="shared" si="44"/>
        <v>796.3503658915597</v>
      </c>
      <c r="AS345" s="17">
        <f t="shared" si="45"/>
        <v>5.0561927993114902E-2</v>
      </c>
      <c r="AT345" s="20">
        <v>15750</v>
      </c>
      <c r="AU345" s="20">
        <v>15838.896484375</v>
      </c>
      <c r="AV345" s="20">
        <f t="shared" si="46"/>
        <v>88.896484375</v>
      </c>
      <c r="AW345" s="21">
        <f t="shared" si="47"/>
        <v>5.6442212301587302E-3</v>
      </c>
    </row>
    <row r="346" spans="1:49" x14ac:dyDescent="0.25">
      <c r="A346" t="s">
        <v>38</v>
      </c>
      <c r="B346" t="s">
        <v>110</v>
      </c>
      <c r="C346">
        <v>183616</v>
      </c>
      <c r="D346">
        <v>2014</v>
      </c>
      <c r="E346" t="s">
        <v>142</v>
      </c>
      <c r="F346" t="s">
        <v>649</v>
      </c>
      <c r="G346" t="s">
        <v>336</v>
      </c>
      <c r="I346">
        <v>4</v>
      </c>
      <c r="J346" t="s">
        <v>135</v>
      </c>
      <c r="K346">
        <v>4</v>
      </c>
      <c r="L346" t="s">
        <v>44</v>
      </c>
      <c r="M346">
        <v>2</v>
      </c>
      <c r="N346" t="s">
        <v>45</v>
      </c>
      <c r="Q346" t="s">
        <v>62</v>
      </c>
      <c r="R346" t="s">
        <v>63</v>
      </c>
      <c r="S346" t="s">
        <v>101</v>
      </c>
      <c r="U346" t="s">
        <v>50</v>
      </c>
      <c r="X346" t="s">
        <v>65</v>
      </c>
      <c r="Y346" t="s">
        <v>78</v>
      </c>
      <c r="AA346">
        <v>0</v>
      </c>
      <c r="AB346" t="s">
        <v>79</v>
      </c>
      <c r="AC346" t="s">
        <v>87</v>
      </c>
      <c r="AD346">
        <v>36</v>
      </c>
      <c r="AE346">
        <v>9</v>
      </c>
      <c r="AF346">
        <v>3</v>
      </c>
      <c r="AG346">
        <v>2025</v>
      </c>
      <c r="AH346" s="2">
        <v>800</v>
      </c>
      <c r="AI346" s="2">
        <v>1329.931762695312</v>
      </c>
      <c r="AJ346" s="2">
        <f t="shared" si="40"/>
        <v>529.93176269531205</v>
      </c>
      <c r="AK346" s="6">
        <f t="shared" si="41"/>
        <v>0.6624147033691401</v>
      </c>
      <c r="AL346" s="12">
        <v>800</v>
      </c>
      <c r="AM346" s="12">
        <v>1442.286248168147</v>
      </c>
      <c r="AN346" s="12">
        <f t="shared" si="42"/>
        <v>642.28624816814704</v>
      </c>
      <c r="AO346" s="13">
        <f t="shared" si="43"/>
        <v>0.80285781021018376</v>
      </c>
      <c r="AP346" s="16">
        <v>800</v>
      </c>
      <c r="AQ346" s="16">
        <v>1077.7852233196761</v>
      </c>
      <c r="AR346" s="16">
        <f t="shared" si="44"/>
        <v>277.78522331967611</v>
      </c>
      <c r="AS346" s="17">
        <f t="shared" si="45"/>
        <v>0.34723152914959515</v>
      </c>
      <c r="AT346" s="20">
        <v>800</v>
      </c>
      <c r="AU346" s="20">
        <v>1297.305419921875</v>
      </c>
      <c r="AV346" s="20">
        <f t="shared" si="46"/>
        <v>497.305419921875</v>
      </c>
      <c r="AW346" s="21">
        <f t="shared" si="47"/>
        <v>0.62163177490234378</v>
      </c>
    </row>
    <row r="347" spans="1:49" x14ac:dyDescent="0.25">
      <c r="A347" t="s">
        <v>38</v>
      </c>
      <c r="B347" t="s">
        <v>39</v>
      </c>
      <c r="C347">
        <v>137158</v>
      </c>
      <c r="D347">
        <v>2010</v>
      </c>
      <c r="E347" t="s">
        <v>166</v>
      </c>
      <c r="F347" t="s">
        <v>247</v>
      </c>
      <c r="G347" t="s">
        <v>581</v>
      </c>
      <c r="I347">
        <v>4</v>
      </c>
      <c r="J347" t="s">
        <v>72</v>
      </c>
      <c r="K347">
        <v>4</v>
      </c>
      <c r="L347" t="s">
        <v>44</v>
      </c>
      <c r="M347">
        <v>2.4</v>
      </c>
      <c r="N347" t="s">
        <v>45</v>
      </c>
      <c r="O347" t="s">
        <v>46</v>
      </c>
      <c r="Q347" t="s">
        <v>62</v>
      </c>
      <c r="R347" t="s">
        <v>63</v>
      </c>
      <c r="S347" t="s">
        <v>101</v>
      </c>
      <c r="T347">
        <v>180</v>
      </c>
      <c r="U347" t="s">
        <v>50</v>
      </c>
      <c r="V347" t="s">
        <v>51</v>
      </c>
      <c r="W347" t="s">
        <v>582</v>
      </c>
      <c r="X347" t="s">
        <v>65</v>
      </c>
      <c r="Y347" t="s">
        <v>78</v>
      </c>
      <c r="AA347">
        <v>0</v>
      </c>
      <c r="AB347" t="s">
        <v>79</v>
      </c>
      <c r="AC347" t="s">
        <v>87</v>
      </c>
      <c r="AD347">
        <v>36</v>
      </c>
      <c r="AE347">
        <v>9</v>
      </c>
      <c r="AF347">
        <v>3</v>
      </c>
      <c r="AG347">
        <v>2025</v>
      </c>
      <c r="AH347" s="2">
        <v>6000</v>
      </c>
      <c r="AI347" s="2">
        <v>4793.142578125</v>
      </c>
      <c r="AJ347" s="2">
        <f t="shared" si="40"/>
        <v>1206.857421875</v>
      </c>
      <c r="AK347" s="6">
        <f t="shared" si="41"/>
        <v>0.20114290364583334</v>
      </c>
      <c r="AL347" s="12">
        <v>6000</v>
      </c>
      <c r="AM347" s="12">
        <v>3725.3414286946409</v>
      </c>
      <c r="AN347" s="12">
        <f t="shared" si="42"/>
        <v>2274.6585713053591</v>
      </c>
      <c r="AO347" s="13">
        <f t="shared" si="43"/>
        <v>0.37910976188422651</v>
      </c>
      <c r="AP347" s="16">
        <v>6000</v>
      </c>
      <c r="AQ347" s="16">
        <v>3921.7291735964532</v>
      </c>
      <c r="AR347" s="16">
        <f t="shared" si="44"/>
        <v>2078.2708264035468</v>
      </c>
      <c r="AS347" s="17">
        <f t="shared" si="45"/>
        <v>0.34637847106725783</v>
      </c>
      <c r="AT347" s="20">
        <v>6000</v>
      </c>
      <c r="AU347" s="20">
        <v>4749.5869140625</v>
      </c>
      <c r="AV347" s="20">
        <f t="shared" si="46"/>
        <v>1250.4130859375</v>
      </c>
      <c r="AW347" s="21">
        <f t="shared" si="47"/>
        <v>0.20840218098958332</v>
      </c>
    </row>
    <row r="348" spans="1:49" x14ac:dyDescent="0.25">
      <c r="A348" t="s">
        <v>81</v>
      </c>
      <c r="B348" t="s">
        <v>82</v>
      </c>
      <c r="C348">
        <v>156760</v>
      </c>
      <c r="D348">
        <v>2015</v>
      </c>
      <c r="E348" t="s">
        <v>142</v>
      </c>
      <c r="F348" t="s">
        <v>143</v>
      </c>
      <c r="G348" t="s">
        <v>494</v>
      </c>
      <c r="I348">
        <v>6</v>
      </c>
      <c r="J348" t="s">
        <v>61</v>
      </c>
      <c r="K348">
        <v>4</v>
      </c>
      <c r="L348" t="s">
        <v>44</v>
      </c>
      <c r="M348">
        <v>3.2</v>
      </c>
      <c r="N348" t="s">
        <v>91</v>
      </c>
      <c r="O348" t="s">
        <v>46</v>
      </c>
      <c r="Q348" t="s">
        <v>62</v>
      </c>
      <c r="R348" t="s">
        <v>63</v>
      </c>
      <c r="S348" t="s">
        <v>93</v>
      </c>
      <c r="U348" t="s">
        <v>50</v>
      </c>
      <c r="X348" t="s">
        <v>141</v>
      </c>
      <c r="Y348" t="s">
        <v>78</v>
      </c>
      <c r="AA348">
        <v>0</v>
      </c>
      <c r="AB348" t="s">
        <v>79</v>
      </c>
      <c r="AC348" t="s">
        <v>87</v>
      </c>
      <c r="AD348">
        <v>36</v>
      </c>
      <c r="AE348">
        <v>9</v>
      </c>
      <c r="AF348">
        <v>3</v>
      </c>
      <c r="AG348">
        <v>2025</v>
      </c>
      <c r="AH348" s="2">
        <v>2600</v>
      </c>
      <c r="AI348" s="2">
        <v>3842.006103515625</v>
      </c>
      <c r="AJ348" s="2">
        <f t="shared" si="40"/>
        <v>1242.006103515625</v>
      </c>
      <c r="AK348" s="6">
        <f t="shared" si="41"/>
        <v>0.47769465519831733</v>
      </c>
      <c r="AL348" s="12">
        <v>2600</v>
      </c>
      <c r="AM348" s="12">
        <v>3940.072608827898</v>
      </c>
      <c r="AN348" s="12">
        <f t="shared" si="42"/>
        <v>1340.072608827898</v>
      </c>
      <c r="AO348" s="13">
        <f t="shared" si="43"/>
        <v>0.51541254185688379</v>
      </c>
      <c r="AP348" s="16">
        <v>2600</v>
      </c>
      <c r="AQ348" s="16">
        <v>3433.5821078661888</v>
      </c>
      <c r="AR348" s="16">
        <f t="shared" si="44"/>
        <v>833.58210786618884</v>
      </c>
      <c r="AS348" s="17">
        <f t="shared" si="45"/>
        <v>0.32060850302545724</v>
      </c>
      <c r="AT348" s="20">
        <v>2600</v>
      </c>
      <c r="AU348" s="20">
        <v>3875.9130859375</v>
      </c>
      <c r="AV348" s="20">
        <f t="shared" si="46"/>
        <v>1275.9130859375</v>
      </c>
      <c r="AW348" s="21">
        <f t="shared" si="47"/>
        <v>0.49073580228365382</v>
      </c>
    </row>
    <row r="349" spans="1:49" x14ac:dyDescent="0.25">
      <c r="A349" t="s">
        <v>128</v>
      </c>
      <c r="B349" t="s">
        <v>129</v>
      </c>
      <c r="C349">
        <v>174152</v>
      </c>
      <c r="D349">
        <v>2015</v>
      </c>
      <c r="E349" t="s">
        <v>146</v>
      </c>
      <c r="F349" t="s">
        <v>441</v>
      </c>
      <c r="I349">
        <v>8</v>
      </c>
      <c r="J349" t="s">
        <v>72</v>
      </c>
      <c r="K349">
        <v>4</v>
      </c>
      <c r="L349" t="s">
        <v>44</v>
      </c>
      <c r="M349">
        <v>5.6</v>
      </c>
      <c r="N349" t="s">
        <v>73</v>
      </c>
      <c r="O349" t="s">
        <v>46</v>
      </c>
      <c r="P349">
        <v>3</v>
      </c>
      <c r="Q349" t="s">
        <v>62</v>
      </c>
      <c r="R349" t="s">
        <v>63</v>
      </c>
      <c r="S349" t="s">
        <v>49</v>
      </c>
      <c r="U349" t="s">
        <v>180</v>
      </c>
      <c r="X349" t="s">
        <v>108</v>
      </c>
      <c r="Y349" t="s">
        <v>78</v>
      </c>
      <c r="AA349">
        <v>0</v>
      </c>
      <c r="AB349" t="s">
        <v>79</v>
      </c>
      <c r="AC349" t="s">
        <v>87</v>
      </c>
      <c r="AD349">
        <v>36</v>
      </c>
      <c r="AE349">
        <v>9</v>
      </c>
      <c r="AF349">
        <v>3</v>
      </c>
      <c r="AG349">
        <v>2025</v>
      </c>
      <c r="AH349" s="2">
        <v>2000</v>
      </c>
      <c r="AI349" s="2">
        <v>3730.85205078125</v>
      </c>
      <c r="AJ349" s="2">
        <f t="shared" si="40"/>
        <v>1730.85205078125</v>
      </c>
      <c r="AK349" s="6">
        <f t="shared" si="41"/>
        <v>0.86542602539062496</v>
      </c>
      <c r="AL349" s="12">
        <v>2000</v>
      </c>
      <c r="AM349" s="12">
        <v>5016.0491795735952</v>
      </c>
      <c r="AN349" s="12">
        <f t="shared" si="42"/>
        <v>3016.0491795735952</v>
      </c>
      <c r="AO349" s="13">
        <f t="shared" si="43"/>
        <v>1.5080245897867977</v>
      </c>
      <c r="AP349" s="16">
        <v>2000</v>
      </c>
      <c r="AQ349" s="16">
        <v>3745.716289665183</v>
      </c>
      <c r="AR349" s="16">
        <f t="shared" si="44"/>
        <v>1745.716289665183</v>
      </c>
      <c r="AS349" s="17">
        <f t="shared" si="45"/>
        <v>0.8728581448325915</v>
      </c>
      <c r="AT349" s="20">
        <v>2000</v>
      </c>
      <c r="AU349" s="20">
        <v>3850.272216796875</v>
      </c>
      <c r="AV349" s="20">
        <f t="shared" si="46"/>
        <v>1850.272216796875</v>
      </c>
      <c r="AW349" s="21">
        <f t="shared" si="47"/>
        <v>0.92513610839843752</v>
      </c>
    </row>
    <row r="350" spans="1:49" x14ac:dyDescent="0.25">
      <c r="A350" t="s">
        <v>38</v>
      </c>
      <c r="B350" t="s">
        <v>110</v>
      </c>
      <c r="C350">
        <v>109959</v>
      </c>
      <c r="D350">
        <v>2020</v>
      </c>
      <c r="E350" t="s">
        <v>58</v>
      </c>
      <c r="F350" t="s">
        <v>391</v>
      </c>
      <c r="G350" t="s">
        <v>699</v>
      </c>
      <c r="I350">
        <v>4</v>
      </c>
      <c r="J350" t="s">
        <v>72</v>
      </c>
      <c r="K350">
        <v>4</v>
      </c>
      <c r="L350" t="s">
        <v>44</v>
      </c>
      <c r="M350">
        <v>2.4</v>
      </c>
      <c r="N350" t="s">
        <v>45</v>
      </c>
      <c r="O350" t="s">
        <v>46</v>
      </c>
      <c r="P350">
        <v>2</v>
      </c>
      <c r="Q350" t="s">
        <v>47</v>
      </c>
      <c r="R350" t="s">
        <v>123</v>
      </c>
      <c r="S350" t="s">
        <v>101</v>
      </c>
      <c r="T350">
        <v>185</v>
      </c>
      <c r="U350" t="s">
        <v>50</v>
      </c>
      <c r="W350" t="s">
        <v>64</v>
      </c>
      <c r="X350" t="s">
        <v>125</v>
      </c>
      <c r="Y350" t="s">
        <v>78</v>
      </c>
      <c r="Z350">
        <v>22990</v>
      </c>
      <c r="AA350">
        <v>0</v>
      </c>
      <c r="AB350" t="s">
        <v>79</v>
      </c>
      <c r="AC350" t="s">
        <v>127</v>
      </c>
      <c r="AD350">
        <v>36</v>
      </c>
      <c r="AE350">
        <v>9</v>
      </c>
      <c r="AF350">
        <v>3</v>
      </c>
      <c r="AG350">
        <v>2025</v>
      </c>
      <c r="AH350" s="2">
        <v>5500</v>
      </c>
      <c r="AI350" s="2">
        <v>4801.91943359375</v>
      </c>
      <c r="AJ350" s="2">
        <f t="shared" si="40"/>
        <v>698.08056640625</v>
      </c>
      <c r="AK350" s="6">
        <f t="shared" si="41"/>
        <v>0.1269237393465909</v>
      </c>
      <c r="AL350" s="12">
        <v>5500</v>
      </c>
      <c r="AM350" s="12">
        <v>4907.165375882686</v>
      </c>
      <c r="AN350" s="12">
        <f t="shared" si="42"/>
        <v>592.83462411731398</v>
      </c>
      <c r="AO350" s="13">
        <f t="shared" si="43"/>
        <v>0.10778811347587527</v>
      </c>
      <c r="AP350" s="16">
        <v>5500</v>
      </c>
      <c r="AQ350" s="16">
        <v>4739.5699035460493</v>
      </c>
      <c r="AR350" s="16">
        <f t="shared" si="44"/>
        <v>760.43009645395068</v>
      </c>
      <c r="AS350" s="17">
        <f t="shared" si="45"/>
        <v>0.13826001753708195</v>
      </c>
      <c r="AT350" s="20">
        <v>5500</v>
      </c>
      <c r="AU350" s="20">
        <v>4858.57177734375</v>
      </c>
      <c r="AV350" s="20">
        <f t="shared" si="46"/>
        <v>641.42822265625</v>
      </c>
      <c r="AW350" s="21">
        <f t="shared" si="47"/>
        <v>0.11662331321022727</v>
      </c>
    </row>
    <row r="351" spans="1:49" x14ac:dyDescent="0.25">
      <c r="A351" t="s">
        <v>38</v>
      </c>
      <c r="B351" t="s">
        <v>39</v>
      </c>
      <c r="C351">
        <v>218639</v>
      </c>
      <c r="D351">
        <v>2013</v>
      </c>
      <c r="E351" t="s">
        <v>40</v>
      </c>
      <c r="F351" t="s">
        <v>643</v>
      </c>
      <c r="H351" t="s">
        <v>644</v>
      </c>
      <c r="I351">
        <v>6</v>
      </c>
      <c r="J351" t="s">
        <v>106</v>
      </c>
      <c r="K351">
        <v>4</v>
      </c>
      <c r="L351" t="s">
        <v>44</v>
      </c>
      <c r="M351">
        <v>3.5</v>
      </c>
      <c r="N351" t="s">
        <v>45</v>
      </c>
      <c r="Q351" t="s">
        <v>62</v>
      </c>
      <c r="R351" t="s">
        <v>225</v>
      </c>
      <c r="S351" t="s">
        <v>49</v>
      </c>
      <c r="T351">
        <v>266</v>
      </c>
      <c r="U351" t="s">
        <v>50</v>
      </c>
      <c r="V351" t="s">
        <v>76</v>
      </c>
      <c r="W351" t="s">
        <v>290</v>
      </c>
      <c r="X351" t="s">
        <v>141</v>
      </c>
      <c r="Y351" t="s">
        <v>78</v>
      </c>
      <c r="AA351">
        <v>0</v>
      </c>
      <c r="AB351" t="s">
        <v>79</v>
      </c>
      <c r="AC351" t="s">
        <v>225</v>
      </c>
      <c r="AD351">
        <v>36</v>
      </c>
      <c r="AE351">
        <v>9</v>
      </c>
      <c r="AF351">
        <v>3</v>
      </c>
      <c r="AG351">
        <v>2025</v>
      </c>
      <c r="AH351" s="2">
        <v>2800</v>
      </c>
      <c r="AI351" s="2">
        <v>3494.934814453125</v>
      </c>
      <c r="AJ351" s="2">
        <f t="shared" si="40"/>
        <v>694.934814453125</v>
      </c>
      <c r="AK351" s="6">
        <f t="shared" si="41"/>
        <v>0.24819100516183035</v>
      </c>
      <c r="AL351" s="12">
        <v>2800</v>
      </c>
      <c r="AM351" s="12">
        <v>3211.812500751897</v>
      </c>
      <c r="AN351" s="12">
        <f t="shared" si="42"/>
        <v>411.81250075189701</v>
      </c>
      <c r="AO351" s="13">
        <f t="shared" si="43"/>
        <v>0.14707589312567751</v>
      </c>
      <c r="AP351" s="16">
        <v>2800</v>
      </c>
      <c r="AQ351" s="16">
        <v>2519.750753788629</v>
      </c>
      <c r="AR351" s="16">
        <f t="shared" si="44"/>
        <v>280.24924621137097</v>
      </c>
      <c r="AS351" s="17">
        <f t="shared" si="45"/>
        <v>0.10008901650406106</v>
      </c>
      <c r="AT351" s="20">
        <v>2800</v>
      </c>
      <c r="AU351" s="20">
        <v>3529.3701171875</v>
      </c>
      <c r="AV351" s="20">
        <f t="shared" si="46"/>
        <v>729.3701171875</v>
      </c>
      <c r="AW351" s="21">
        <f t="shared" si="47"/>
        <v>0.2604893275669643</v>
      </c>
    </row>
    <row r="352" spans="1:49" x14ac:dyDescent="0.25">
      <c r="A352" t="s">
        <v>38</v>
      </c>
      <c r="B352" t="s">
        <v>96</v>
      </c>
      <c r="C352">
        <v>102365</v>
      </c>
      <c r="D352">
        <v>2013</v>
      </c>
      <c r="E352" t="s">
        <v>119</v>
      </c>
      <c r="F352" t="s">
        <v>700</v>
      </c>
      <c r="I352">
        <v>5</v>
      </c>
      <c r="J352" t="s">
        <v>61</v>
      </c>
      <c r="K352">
        <v>2</v>
      </c>
      <c r="L352" t="s">
        <v>44</v>
      </c>
      <c r="M352">
        <v>2.5</v>
      </c>
      <c r="N352" t="s">
        <v>45</v>
      </c>
      <c r="O352" t="s">
        <v>46</v>
      </c>
      <c r="Q352" t="s">
        <v>47</v>
      </c>
      <c r="R352" t="s">
        <v>530</v>
      </c>
      <c r="T352">
        <v>170</v>
      </c>
      <c r="U352" t="s">
        <v>50</v>
      </c>
      <c r="X352" t="s">
        <v>125</v>
      </c>
      <c r="Y352" t="s">
        <v>126</v>
      </c>
      <c r="AA352">
        <v>0</v>
      </c>
      <c r="AB352" t="s">
        <v>79</v>
      </c>
      <c r="AC352" t="s">
        <v>531</v>
      </c>
      <c r="AD352">
        <v>36</v>
      </c>
      <c r="AE352">
        <v>9</v>
      </c>
      <c r="AF352">
        <v>3</v>
      </c>
      <c r="AG352">
        <v>2025</v>
      </c>
      <c r="AH352" s="2">
        <v>7500</v>
      </c>
      <c r="AI352" s="2">
        <v>3314.700927734375</v>
      </c>
      <c r="AJ352" s="2">
        <f t="shared" si="40"/>
        <v>4185.299072265625</v>
      </c>
      <c r="AK352" s="6">
        <f t="shared" si="41"/>
        <v>0.55803987630208329</v>
      </c>
      <c r="AL352" s="12">
        <v>7500</v>
      </c>
      <c r="AM352" s="12">
        <v>2987.724253535866</v>
      </c>
      <c r="AN352" s="12">
        <f t="shared" si="42"/>
        <v>4512.2757464641345</v>
      </c>
      <c r="AO352" s="13">
        <f t="shared" si="43"/>
        <v>0.60163676619521789</v>
      </c>
      <c r="AP352" s="16">
        <v>7500</v>
      </c>
      <c r="AQ352" s="16">
        <v>3126.759773836166</v>
      </c>
      <c r="AR352" s="16">
        <f t="shared" si="44"/>
        <v>4373.2402261638344</v>
      </c>
      <c r="AS352" s="17">
        <f t="shared" si="45"/>
        <v>0.58309869682184456</v>
      </c>
      <c r="AT352" s="20">
        <v>7500</v>
      </c>
      <c r="AU352" s="20">
        <v>3294.732666015625</v>
      </c>
      <c r="AV352" s="20">
        <f t="shared" si="46"/>
        <v>4205.267333984375</v>
      </c>
      <c r="AW352" s="21">
        <f t="shared" si="47"/>
        <v>0.56070231119791669</v>
      </c>
    </row>
    <row r="353" spans="1:49" x14ac:dyDescent="0.25">
      <c r="A353" t="s">
        <v>38</v>
      </c>
      <c r="B353" t="s">
        <v>110</v>
      </c>
      <c r="C353">
        <v>212703</v>
      </c>
      <c r="D353">
        <v>2009</v>
      </c>
      <c r="E353" t="s">
        <v>97</v>
      </c>
      <c r="F353" t="s">
        <v>701</v>
      </c>
      <c r="G353" t="s">
        <v>130</v>
      </c>
      <c r="I353">
        <v>6</v>
      </c>
      <c r="J353" t="s">
        <v>135</v>
      </c>
      <c r="K353">
        <v>4</v>
      </c>
      <c r="L353" t="s">
        <v>44</v>
      </c>
      <c r="M353">
        <v>3.5</v>
      </c>
      <c r="N353" t="s">
        <v>45</v>
      </c>
      <c r="Q353" t="s">
        <v>47</v>
      </c>
      <c r="R353" t="s">
        <v>123</v>
      </c>
      <c r="U353" t="s">
        <v>180</v>
      </c>
      <c r="V353" t="s">
        <v>76</v>
      </c>
      <c r="W353" t="s">
        <v>702</v>
      </c>
      <c r="X353" t="s">
        <v>125</v>
      </c>
      <c r="Y353" t="s">
        <v>103</v>
      </c>
      <c r="AA353">
        <v>0</v>
      </c>
      <c r="AB353" t="s">
        <v>79</v>
      </c>
      <c r="AC353" t="s">
        <v>127</v>
      </c>
      <c r="AD353">
        <v>36</v>
      </c>
      <c r="AE353">
        <v>9</v>
      </c>
      <c r="AF353">
        <v>3</v>
      </c>
      <c r="AG353">
        <v>2025</v>
      </c>
      <c r="AH353" s="2">
        <v>700</v>
      </c>
      <c r="AI353" s="2">
        <v>730.10028076171875</v>
      </c>
      <c r="AJ353" s="2">
        <f t="shared" si="40"/>
        <v>30.10028076171875</v>
      </c>
      <c r="AK353" s="6">
        <f t="shared" si="41"/>
        <v>4.3000401088169646E-2</v>
      </c>
      <c r="AL353" s="12">
        <v>700</v>
      </c>
      <c r="AM353" s="12">
        <v>856.54212545595738</v>
      </c>
      <c r="AN353" s="12">
        <f t="shared" si="42"/>
        <v>156.54212545595738</v>
      </c>
      <c r="AO353" s="13">
        <f t="shared" si="43"/>
        <v>0.22363160779422483</v>
      </c>
      <c r="AP353" s="16">
        <v>700</v>
      </c>
      <c r="AQ353" s="16">
        <v>765.39173292757653</v>
      </c>
      <c r="AR353" s="16">
        <f t="shared" si="44"/>
        <v>65.391732927576527</v>
      </c>
      <c r="AS353" s="17">
        <f t="shared" si="45"/>
        <v>9.3416761325109329E-2</v>
      </c>
      <c r="AT353" s="20">
        <v>700</v>
      </c>
      <c r="AU353" s="20">
        <v>752.505859375</v>
      </c>
      <c r="AV353" s="20">
        <f t="shared" si="46"/>
        <v>52.505859375</v>
      </c>
      <c r="AW353" s="21">
        <f t="shared" si="47"/>
        <v>7.5008370535714283E-2</v>
      </c>
    </row>
    <row r="354" spans="1:49" x14ac:dyDescent="0.25">
      <c r="A354" t="s">
        <v>38</v>
      </c>
      <c r="B354" t="s">
        <v>68</v>
      </c>
      <c r="C354">
        <v>144112</v>
      </c>
      <c r="D354">
        <v>2017</v>
      </c>
      <c r="E354" t="s">
        <v>97</v>
      </c>
      <c r="F354" t="s">
        <v>159</v>
      </c>
      <c r="G354" t="s">
        <v>155</v>
      </c>
      <c r="H354" t="s">
        <v>89</v>
      </c>
      <c r="I354">
        <v>8</v>
      </c>
      <c r="J354" t="s">
        <v>72</v>
      </c>
      <c r="K354">
        <v>4</v>
      </c>
      <c r="L354" t="s">
        <v>44</v>
      </c>
      <c r="M354">
        <v>5.3</v>
      </c>
      <c r="N354" t="s">
        <v>91</v>
      </c>
      <c r="O354" t="s">
        <v>46</v>
      </c>
      <c r="P354">
        <v>4</v>
      </c>
      <c r="Q354" t="s">
        <v>74</v>
      </c>
      <c r="R354" t="s">
        <v>92</v>
      </c>
      <c r="S354" t="s">
        <v>93</v>
      </c>
      <c r="U354" t="s">
        <v>50</v>
      </c>
      <c r="W354" t="s">
        <v>424</v>
      </c>
      <c r="X354" t="s">
        <v>108</v>
      </c>
      <c r="Y354" t="s">
        <v>126</v>
      </c>
      <c r="Z354">
        <v>42905</v>
      </c>
      <c r="AA354">
        <v>0</v>
      </c>
      <c r="AB354" t="s">
        <v>79</v>
      </c>
      <c r="AC354" t="s">
        <v>95</v>
      </c>
      <c r="AD354">
        <v>36</v>
      </c>
      <c r="AE354">
        <v>9</v>
      </c>
      <c r="AF354">
        <v>3</v>
      </c>
      <c r="AG354">
        <v>2025</v>
      </c>
      <c r="AH354" s="2">
        <v>13500</v>
      </c>
      <c r="AI354" s="2">
        <v>16289.1298828125</v>
      </c>
      <c r="AJ354" s="2">
        <f t="shared" si="40"/>
        <v>2789.1298828125</v>
      </c>
      <c r="AK354" s="6">
        <f t="shared" si="41"/>
        <v>0.20660221354166666</v>
      </c>
      <c r="AL354" s="12">
        <v>13500</v>
      </c>
      <c r="AM354" s="12">
        <v>16339.81394383322</v>
      </c>
      <c r="AN354" s="12">
        <f t="shared" si="42"/>
        <v>2839.81394383322</v>
      </c>
      <c r="AO354" s="13">
        <f t="shared" si="43"/>
        <v>0.21035658843209037</v>
      </c>
      <c r="AP354" s="16">
        <v>13500</v>
      </c>
      <c r="AQ354" s="16">
        <v>14916.259822878879</v>
      </c>
      <c r="AR354" s="16">
        <f t="shared" si="44"/>
        <v>1416.2598228788793</v>
      </c>
      <c r="AS354" s="17">
        <f t="shared" si="45"/>
        <v>0.10490813502806513</v>
      </c>
      <c r="AT354" s="20">
        <v>13500</v>
      </c>
      <c r="AU354" s="20">
        <v>16185.8984375</v>
      </c>
      <c r="AV354" s="20">
        <f t="shared" si="46"/>
        <v>2685.8984375</v>
      </c>
      <c r="AW354" s="21">
        <f t="shared" si="47"/>
        <v>0.19895543981481481</v>
      </c>
    </row>
    <row r="355" spans="1:49" x14ac:dyDescent="0.25">
      <c r="A355" t="s">
        <v>38</v>
      </c>
      <c r="B355" t="s">
        <v>68</v>
      </c>
      <c r="C355">
        <v>78518</v>
      </c>
      <c r="D355">
        <v>2018</v>
      </c>
      <c r="E355" t="s">
        <v>305</v>
      </c>
      <c r="F355" t="s">
        <v>703</v>
      </c>
      <c r="H355" t="s">
        <v>307</v>
      </c>
      <c r="I355">
        <v>6</v>
      </c>
      <c r="J355" t="s">
        <v>72</v>
      </c>
      <c r="K355">
        <v>4</v>
      </c>
      <c r="L355" t="s">
        <v>44</v>
      </c>
      <c r="M355">
        <v>3.7</v>
      </c>
      <c r="N355" t="s">
        <v>45</v>
      </c>
      <c r="O355" t="s">
        <v>46</v>
      </c>
      <c r="Q355" t="s">
        <v>62</v>
      </c>
      <c r="R355" t="s">
        <v>63</v>
      </c>
      <c r="S355" t="s">
        <v>101</v>
      </c>
      <c r="T355">
        <v>303</v>
      </c>
      <c r="U355" t="s">
        <v>50</v>
      </c>
      <c r="V355" t="s">
        <v>76</v>
      </c>
      <c r="W355" t="s">
        <v>704</v>
      </c>
      <c r="X355" t="s">
        <v>141</v>
      </c>
      <c r="Y355" t="s">
        <v>103</v>
      </c>
      <c r="Z355">
        <v>46560</v>
      </c>
      <c r="AA355">
        <v>0</v>
      </c>
      <c r="AB355" t="s">
        <v>79</v>
      </c>
      <c r="AC355" t="s">
        <v>87</v>
      </c>
      <c r="AD355">
        <v>36</v>
      </c>
      <c r="AE355">
        <v>9</v>
      </c>
      <c r="AF355">
        <v>3</v>
      </c>
      <c r="AG355">
        <v>2025</v>
      </c>
      <c r="AH355" s="2">
        <v>13250</v>
      </c>
      <c r="AI355" s="2">
        <v>14803.1533203125</v>
      </c>
      <c r="AJ355" s="2">
        <f t="shared" si="40"/>
        <v>1553.1533203125</v>
      </c>
      <c r="AK355" s="6">
        <f t="shared" si="41"/>
        <v>0.11721911851415094</v>
      </c>
      <c r="AL355" s="12">
        <v>13250</v>
      </c>
      <c r="AM355" s="12">
        <v>13029.31818134338</v>
      </c>
      <c r="AN355" s="12">
        <f t="shared" si="42"/>
        <v>220.68181865661973</v>
      </c>
      <c r="AO355" s="13">
        <f t="shared" si="43"/>
        <v>1.6655231596726015E-2</v>
      </c>
      <c r="AP355" s="16">
        <v>13250</v>
      </c>
      <c r="AQ355" s="16">
        <v>12686.711574384221</v>
      </c>
      <c r="AR355" s="16">
        <f t="shared" si="44"/>
        <v>563.28842561577949</v>
      </c>
      <c r="AS355" s="17">
        <f t="shared" si="45"/>
        <v>4.2512334008738072E-2</v>
      </c>
      <c r="AT355" s="20">
        <v>13250</v>
      </c>
      <c r="AU355" s="20">
        <v>14357.478515625</v>
      </c>
      <c r="AV355" s="20">
        <f t="shared" si="46"/>
        <v>1107.478515625</v>
      </c>
      <c r="AW355" s="21">
        <f t="shared" si="47"/>
        <v>8.3583284198113214E-2</v>
      </c>
    </row>
    <row r="356" spans="1:49" x14ac:dyDescent="0.25">
      <c r="A356" t="s">
        <v>38</v>
      </c>
      <c r="B356" t="s">
        <v>39</v>
      </c>
      <c r="C356">
        <v>88221</v>
      </c>
      <c r="D356">
        <v>2019</v>
      </c>
      <c r="E356" t="s">
        <v>166</v>
      </c>
      <c r="F356" t="s">
        <v>562</v>
      </c>
      <c r="G356" t="s">
        <v>581</v>
      </c>
      <c r="I356">
        <v>4</v>
      </c>
      <c r="J356" t="s">
        <v>72</v>
      </c>
      <c r="K356">
        <v>4</v>
      </c>
      <c r="L356" t="s">
        <v>44</v>
      </c>
      <c r="M356">
        <v>2</v>
      </c>
      <c r="N356" t="s">
        <v>45</v>
      </c>
      <c r="O356" t="s">
        <v>46</v>
      </c>
      <c r="Q356" t="s">
        <v>47</v>
      </c>
      <c r="R356" t="s">
        <v>123</v>
      </c>
      <c r="S356" t="s">
        <v>49</v>
      </c>
      <c r="T356">
        <v>252</v>
      </c>
      <c r="U356" t="s">
        <v>50</v>
      </c>
      <c r="V356" t="s">
        <v>51</v>
      </c>
      <c r="W356" t="s">
        <v>705</v>
      </c>
      <c r="X356" t="s">
        <v>65</v>
      </c>
      <c r="Y356" t="s">
        <v>78</v>
      </c>
      <c r="Z356">
        <v>30120</v>
      </c>
      <c r="AA356">
        <v>0</v>
      </c>
      <c r="AB356" t="s">
        <v>79</v>
      </c>
      <c r="AC356" t="s">
        <v>127</v>
      </c>
      <c r="AD356">
        <v>36</v>
      </c>
      <c r="AE356">
        <v>9</v>
      </c>
      <c r="AF356">
        <v>3</v>
      </c>
      <c r="AG356">
        <v>2025</v>
      </c>
      <c r="AH356" s="2">
        <v>16250</v>
      </c>
      <c r="AI356" s="2">
        <v>17905.98046875</v>
      </c>
      <c r="AJ356" s="2">
        <f t="shared" si="40"/>
        <v>1655.98046875</v>
      </c>
      <c r="AK356" s="6">
        <f t="shared" si="41"/>
        <v>0.10190649038461538</v>
      </c>
      <c r="AL356" s="12">
        <v>16250</v>
      </c>
      <c r="AM356" s="12">
        <v>15439.440827840321</v>
      </c>
      <c r="AN356" s="12">
        <f t="shared" si="42"/>
        <v>810.55917215967929</v>
      </c>
      <c r="AO356" s="13">
        <f t="shared" si="43"/>
        <v>4.9880564440595646E-2</v>
      </c>
      <c r="AP356" s="16">
        <v>16250</v>
      </c>
      <c r="AQ356" s="16">
        <v>12715.864575019539</v>
      </c>
      <c r="AR356" s="16">
        <f t="shared" si="44"/>
        <v>3534.1354249804608</v>
      </c>
      <c r="AS356" s="17">
        <f t="shared" si="45"/>
        <v>0.21748525692187451</v>
      </c>
      <c r="AT356" s="20">
        <v>16250</v>
      </c>
      <c r="AU356" s="20">
        <v>17247.32421875</v>
      </c>
      <c r="AV356" s="20">
        <f t="shared" si="46"/>
        <v>997.32421875</v>
      </c>
      <c r="AW356" s="21">
        <f t="shared" si="47"/>
        <v>6.1373798076923079E-2</v>
      </c>
    </row>
    <row r="357" spans="1:49" x14ac:dyDescent="0.25">
      <c r="A357" t="s">
        <v>114</v>
      </c>
      <c r="B357" t="s">
        <v>115</v>
      </c>
      <c r="C357">
        <v>170379</v>
      </c>
      <c r="D357">
        <v>2013</v>
      </c>
      <c r="E357" t="s">
        <v>97</v>
      </c>
      <c r="F357" t="s">
        <v>706</v>
      </c>
      <c r="G357" t="s">
        <v>155</v>
      </c>
      <c r="H357" t="s">
        <v>177</v>
      </c>
      <c r="I357">
        <v>8</v>
      </c>
      <c r="J357" t="s">
        <v>106</v>
      </c>
      <c r="K357">
        <v>4</v>
      </c>
      <c r="L357" t="s">
        <v>44</v>
      </c>
      <c r="M357">
        <v>5.3</v>
      </c>
      <c r="N357" t="s">
        <v>91</v>
      </c>
      <c r="O357" t="s">
        <v>46</v>
      </c>
      <c r="Q357" t="s">
        <v>62</v>
      </c>
      <c r="R357" t="s">
        <v>707</v>
      </c>
      <c r="S357" t="s">
        <v>93</v>
      </c>
      <c r="U357" t="s">
        <v>180</v>
      </c>
      <c r="V357" t="s">
        <v>76</v>
      </c>
      <c r="W357" t="s">
        <v>708</v>
      </c>
      <c r="X357" t="s">
        <v>108</v>
      </c>
      <c r="Y357" t="s">
        <v>126</v>
      </c>
      <c r="AA357">
        <v>0</v>
      </c>
      <c r="AB357" t="s">
        <v>79</v>
      </c>
      <c r="AC357" t="s">
        <v>87</v>
      </c>
      <c r="AD357">
        <v>36</v>
      </c>
      <c r="AE357">
        <v>9</v>
      </c>
      <c r="AF357">
        <v>3</v>
      </c>
      <c r="AG357">
        <v>2025</v>
      </c>
      <c r="AH357" s="2">
        <v>7500</v>
      </c>
      <c r="AI357" s="2">
        <v>4139.2373046875</v>
      </c>
      <c r="AJ357" s="2">
        <f t="shared" si="40"/>
        <v>3360.7626953125</v>
      </c>
      <c r="AK357" s="6">
        <f t="shared" si="41"/>
        <v>0.44810169270833333</v>
      </c>
      <c r="AL357" s="12">
        <v>7500</v>
      </c>
      <c r="AM357" s="12">
        <v>6466.3029047193486</v>
      </c>
      <c r="AN357" s="12">
        <f t="shared" si="42"/>
        <v>1033.6970952806514</v>
      </c>
      <c r="AO357" s="13">
        <f t="shared" si="43"/>
        <v>0.13782627937075353</v>
      </c>
      <c r="AP357" s="16">
        <v>7500</v>
      </c>
      <c r="AQ357" s="16">
        <v>4108.2094177859099</v>
      </c>
      <c r="AR357" s="16">
        <f t="shared" si="44"/>
        <v>3391.7905822140901</v>
      </c>
      <c r="AS357" s="17">
        <f t="shared" si="45"/>
        <v>0.45223874429521199</v>
      </c>
      <c r="AT357" s="20">
        <v>7500</v>
      </c>
      <c r="AU357" s="20">
        <v>4300.6650390625</v>
      </c>
      <c r="AV357" s="20">
        <f t="shared" si="46"/>
        <v>3199.3349609375</v>
      </c>
      <c r="AW357" s="21">
        <f t="shared" si="47"/>
        <v>0.42657799479166669</v>
      </c>
    </row>
    <row r="358" spans="1:49" x14ac:dyDescent="0.25">
      <c r="A358" t="s">
        <v>38</v>
      </c>
      <c r="B358" t="s">
        <v>96</v>
      </c>
      <c r="C358">
        <v>175673</v>
      </c>
      <c r="D358">
        <v>2016</v>
      </c>
      <c r="E358" t="s">
        <v>146</v>
      </c>
      <c r="F358" t="s">
        <v>334</v>
      </c>
      <c r="I358">
        <v>4</v>
      </c>
      <c r="J358" t="s">
        <v>122</v>
      </c>
      <c r="K358">
        <v>4</v>
      </c>
      <c r="L358" t="s">
        <v>44</v>
      </c>
      <c r="M358">
        <v>2.5</v>
      </c>
      <c r="N358" t="s">
        <v>45</v>
      </c>
      <c r="O358" t="s">
        <v>46</v>
      </c>
      <c r="P358">
        <v>1</v>
      </c>
      <c r="Q358" t="s">
        <v>47</v>
      </c>
      <c r="R358" t="s">
        <v>123</v>
      </c>
      <c r="S358" t="s">
        <v>49</v>
      </c>
      <c r="U358" t="s">
        <v>50</v>
      </c>
      <c r="V358" t="s">
        <v>51</v>
      </c>
      <c r="X358" t="s">
        <v>125</v>
      </c>
      <c r="Y358" t="s">
        <v>78</v>
      </c>
      <c r="AA358">
        <v>0</v>
      </c>
      <c r="AB358" t="s">
        <v>79</v>
      </c>
      <c r="AC358" t="s">
        <v>127</v>
      </c>
      <c r="AD358">
        <v>36</v>
      </c>
      <c r="AE358">
        <v>9</v>
      </c>
      <c r="AF358">
        <v>3</v>
      </c>
      <c r="AG358">
        <v>2025</v>
      </c>
      <c r="AH358" s="2">
        <v>1400</v>
      </c>
      <c r="AI358" s="2">
        <v>1504.603149414062</v>
      </c>
      <c r="AJ358" s="2">
        <f t="shared" si="40"/>
        <v>104.60314941406205</v>
      </c>
      <c r="AK358" s="6">
        <f t="shared" si="41"/>
        <v>7.4716535295758599E-2</v>
      </c>
      <c r="AL358" s="12">
        <v>1400</v>
      </c>
      <c r="AM358" s="12">
        <v>1480.0799294749429</v>
      </c>
      <c r="AN358" s="12">
        <f t="shared" si="42"/>
        <v>80.079929474942901</v>
      </c>
      <c r="AO358" s="13">
        <f t="shared" si="43"/>
        <v>5.7199949624959216E-2</v>
      </c>
      <c r="AP358" s="16">
        <v>1400</v>
      </c>
      <c r="AQ358" s="16">
        <v>1348.6161010501639</v>
      </c>
      <c r="AR358" s="16">
        <f t="shared" si="44"/>
        <v>51.383898949836066</v>
      </c>
      <c r="AS358" s="17">
        <f t="shared" si="45"/>
        <v>3.6702784964168615E-2</v>
      </c>
      <c r="AT358" s="20">
        <v>1400</v>
      </c>
      <c r="AU358" s="20">
        <v>1475.305541992188</v>
      </c>
      <c r="AV358" s="20">
        <f t="shared" si="46"/>
        <v>75.305541992187955</v>
      </c>
      <c r="AW358" s="21">
        <f t="shared" si="47"/>
        <v>5.3789672851562824E-2</v>
      </c>
    </row>
    <row r="359" spans="1:49" x14ac:dyDescent="0.25">
      <c r="A359" t="s">
        <v>38</v>
      </c>
      <c r="B359" t="s">
        <v>110</v>
      </c>
      <c r="C359">
        <v>149568</v>
      </c>
      <c r="D359">
        <v>2009</v>
      </c>
      <c r="E359" t="s">
        <v>345</v>
      </c>
      <c r="F359" t="s">
        <v>709</v>
      </c>
      <c r="H359" t="s">
        <v>710</v>
      </c>
      <c r="I359">
        <v>6</v>
      </c>
      <c r="J359" t="s">
        <v>61</v>
      </c>
      <c r="K359">
        <v>4</v>
      </c>
      <c r="L359" t="s">
        <v>44</v>
      </c>
      <c r="M359">
        <v>3</v>
      </c>
      <c r="N359" t="s">
        <v>73</v>
      </c>
      <c r="O359" t="s">
        <v>100</v>
      </c>
      <c r="Q359" t="s">
        <v>47</v>
      </c>
      <c r="R359" t="s">
        <v>123</v>
      </c>
      <c r="T359">
        <v>230</v>
      </c>
      <c r="U359" t="s">
        <v>50</v>
      </c>
      <c r="X359" t="s">
        <v>125</v>
      </c>
      <c r="Y359" t="s">
        <v>137</v>
      </c>
      <c r="AA359">
        <v>0</v>
      </c>
      <c r="AB359" t="s">
        <v>79</v>
      </c>
      <c r="AC359" t="s">
        <v>127</v>
      </c>
      <c r="AD359">
        <v>36</v>
      </c>
      <c r="AE359">
        <v>9</v>
      </c>
      <c r="AF359">
        <v>3</v>
      </c>
      <c r="AG359">
        <v>2025</v>
      </c>
      <c r="AH359" s="2">
        <v>800</v>
      </c>
      <c r="AI359" s="2">
        <v>560.5294189453125</v>
      </c>
      <c r="AJ359" s="2">
        <f t="shared" si="40"/>
        <v>239.4705810546875</v>
      </c>
      <c r="AK359" s="6">
        <f t="shared" si="41"/>
        <v>0.29933822631835938</v>
      </c>
      <c r="AL359" s="12">
        <v>800</v>
      </c>
      <c r="AM359" s="12">
        <v>701.55867287027388</v>
      </c>
      <c r="AN359" s="12">
        <f t="shared" si="42"/>
        <v>98.441327129726119</v>
      </c>
      <c r="AO359" s="13">
        <f t="shared" si="43"/>
        <v>0.12305165891215765</v>
      </c>
      <c r="AP359" s="16">
        <v>800</v>
      </c>
      <c r="AQ359" s="16">
        <v>557.80445460080182</v>
      </c>
      <c r="AR359" s="16">
        <f t="shared" si="44"/>
        <v>242.19554539919818</v>
      </c>
      <c r="AS359" s="17">
        <f t="shared" si="45"/>
        <v>0.30274443174899773</v>
      </c>
      <c r="AT359" s="20">
        <v>800</v>
      </c>
      <c r="AU359" s="20">
        <v>616.9681396484375</v>
      </c>
      <c r="AV359" s="20">
        <f t="shared" si="46"/>
        <v>183.0318603515625</v>
      </c>
      <c r="AW359" s="21">
        <f t="shared" si="47"/>
        <v>0.22878982543945312</v>
      </c>
    </row>
    <row r="360" spans="1:49" x14ac:dyDescent="0.25">
      <c r="A360" t="s">
        <v>128</v>
      </c>
      <c r="B360" t="s">
        <v>129</v>
      </c>
      <c r="C360">
        <v>166816</v>
      </c>
      <c r="D360">
        <v>2017</v>
      </c>
      <c r="E360" t="s">
        <v>166</v>
      </c>
      <c r="F360" t="s">
        <v>167</v>
      </c>
      <c r="G360" t="s">
        <v>711</v>
      </c>
      <c r="I360">
        <v>6</v>
      </c>
      <c r="J360" t="s">
        <v>43</v>
      </c>
      <c r="K360">
        <v>4</v>
      </c>
      <c r="L360" t="s">
        <v>44</v>
      </c>
      <c r="M360">
        <v>3.5</v>
      </c>
      <c r="N360" t="s">
        <v>44</v>
      </c>
      <c r="Q360" t="s">
        <v>62</v>
      </c>
      <c r="R360" t="s">
        <v>63</v>
      </c>
      <c r="S360" t="s">
        <v>93</v>
      </c>
      <c r="T360">
        <v>280</v>
      </c>
      <c r="U360" t="s">
        <v>50</v>
      </c>
      <c r="V360" t="s">
        <v>76</v>
      </c>
      <c r="W360" t="s">
        <v>412</v>
      </c>
      <c r="X360" t="s">
        <v>141</v>
      </c>
      <c r="Y360" t="s">
        <v>78</v>
      </c>
      <c r="Z360">
        <v>47070</v>
      </c>
      <c r="AA360">
        <v>0</v>
      </c>
      <c r="AB360" t="s">
        <v>79</v>
      </c>
      <c r="AC360" t="s">
        <v>109</v>
      </c>
      <c r="AD360">
        <v>36</v>
      </c>
      <c r="AE360">
        <v>9</v>
      </c>
      <c r="AF360">
        <v>3</v>
      </c>
      <c r="AG360">
        <v>2025</v>
      </c>
      <c r="AH360" s="2">
        <v>5600</v>
      </c>
      <c r="AI360" s="2">
        <v>7281.625</v>
      </c>
      <c r="AJ360" s="2">
        <f t="shared" si="40"/>
        <v>1681.625</v>
      </c>
      <c r="AK360" s="6">
        <f t="shared" si="41"/>
        <v>0.30029017857142859</v>
      </c>
      <c r="AL360" s="12">
        <v>5600</v>
      </c>
      <c r="AM360" s="12">
        <v>8782.7682607971474</v>
      </c>
      <c r="AN360" s="12">
        <f t="shared" si="42"/>
        <v>3182.7682607971474</v>
      </c>
      <c r="AO360" s="13">
        <f t="shared" si="43"/>
        <v>0.56835147514234774</v>
      </c>
      <c r="AP360" s="16">
        <v>5600</v>
      </c>
      <c r="AQ360" s="16">
        <v>7426.3370189354873</v>
      </c>
      <c r="AR360" s="16">
        <f t="shared" si="44"/>
        <v>1826.3370189354873</v>
      </c>
      <c r="AS360" s="17">
        <f t="shared" si="45"/>
        <v>0.32613161052419415</v>
      </c>
      <c r="AT360" s="20">
        <v>5600</v>
      </c>
      <c r="AU360" s="20">
        <v>7597.296875</v>
      </c>
      <c r="AV360" s="20">
        <f t="shared" si="46"/>
        <v>1997.296875</v>
      </c>
      <c r="AW360" s="21">
        <f t="shared" si="47"/>
        <v>0.35666015625000003</v>
      </c>
    </row>
    <row r="361" spans="1:49" x14ac:dyDescent="0.25">
      <c r="A361" t="s">
        <v>38</v>
      </c>
      <c r="B361" t="s">
        <v>39</v>
      </c>
      <c r="C361">
        <v>128851</v>
      </c>
      <c r="D361">
        <v>2014</v>
      </c>
      <c r="E361" t="s">
        <v>142</v>
      </c>
      <c r="F361" t="s">
        <v>373</v>
      </c>
      <c r="G361" t="s">
        <v>118</v>
      </c>
      <c r="I361">
        <v>6</v>
      </c>
      <c r="J361" t="s">
        <v>135</v>
      </c>
      <c r="K361">
        <v>4</v>
      </c>
      <c r="L361" t="s">
        <v>44</v>
      </c>
      <c r="M361">
        <v>3.6</v>
      </c>
      <c r="N361" t="s">
        <v>73</v>
      </c>
      <c r="O361" t="s">
        <v>46</v>
      </c>
      <c r="Q361" t="s">
        <v>62</v>
      </c>
      <c r="R361" t="s">
        <v>63</v>
      </c>
      <c r="S361" t="s">
        <v>49</v>
      </c>
      <c r="U361" t="s">
        <v>50</v>
      </c>
      <c r="X361" t="s">
        <v>94</v>
      </c>
      <c r="Y361" t="s">
        <v>78</v>
      </c>
      <c r="AA361">
        <v>0</v>
      </c>
      <c r="AB361" t="s">
        <v>79</v>
      </c>
      <c r="AC361" t="s">
        <v>87</v>
      </c>
      <c r="AD361">
        <v>36</v>
      </c>
      <c r="AE361">
        <v>9</v>
      </c>
      <c r="AF361">
        <v>3</v>
      </c>
      <c r="AG361">
        <v>2025</v>
      </c>
      <c r="AH361" s="2">
        <v>8000</v>
      </c>
      <c r="AI361" s="2">
        <v>4953.21337890625</v>
      </c>
      <c r="AJ361" s="2">
        <f t="shared" si="40"/>
        <v>3046.78662109375</v>
      </c>
      <c r="AK361" s="6">
        <f t="shared" si="41"/>
        <v>0.38084832763671878</v>
      </c>
      <c r="AL361" s="12">
        <v>8000</v>
      </c>
      <c r="AM361" s="12">
        <v>5605.5435685231851</v>
      </c>
      <c r="AN361" s="12">
        <f t="shared" si="42"/>
        <v>2394.4564314768149</v>
      </c>
      <c r="AO361" s="13">
        <f t="shared" si="43"/>
        <v>0.29930705393460189</v>
      </c>
      <c r="AP361" s="16">
        <v>8000</v>
      </c>
      <c r="AQ361" s="16">
        <v>5350.7822355010339</v>
      </c>
      <c r="AR361" s="16">
        <f t="shared" si="44"/>
        <v>2649.2177644989661</v>
      </c>
      <c r="AS361" s="17">
        <f t="shared" si="45"/>
        <v>0.33115222056237076</v>
      </c>
      <c r="AT361" s="20">
        <v>8000</v>
      </c>
      <c r="AU361" s="20">
        <v>5020.78955078125</v>
      </c>
      <c r="AV361" s="20">
        <f t="shared" si="46"/>
        <v>2979.21044921875</v>
      </c>
      <c r="AW361" s="21">
        <f t="shared" si="47"/>
        <v>0.37240130615234374</v>
      </c>
    </row>
    <row r="362" spans="1:49" x14ac:dyDescent="0.25">
      <c r="A362" t="s">
        <v>114</v>
      </c>
      <c r="B362" t="s">
        <v>115</v>
      </c>
      <c r="C362">
        <v>147407</v>
      </c>
      <c r="D362">
        <v>2014</v>
      </c>
      <c r="E362" t="s">
        <v>97</v>
      </c>
      <c r="F362" t="s">
        <v>159</v>
      </c>
      <c r="G362" t="s">
        <v>155</v>
      </c>
      <c r="H362" t="s">
        <v>89</v>
      </c>
      <c r="I362">
        <v>8</v>
      </c>
      <c r="J362" t="s">
        <v>206</v>
      </c>
      <c r="K362">
        <v>2</v>
      </c>
      <c r="L362" t="s">
        <v>44</v>
      </c>
      <c r="M362">
        <v>5.3</v>
      </c>
      <c r="N362" t="s">
        <v>91</v>
      </c>
      <c r="O362" t="s">
        <v>46</v>
      </c>
      <c r="Q362" t="s">
        <v>74</v>
      </c>
      <c r="R362" t="s">
        <v>92</v>
      </c>
      <c r="S362" t="s">
        <v>93</v>
      </c>
      <c r="U362" t="s">
        <v>50</v>
      </c>
      <c r="W362" t="s">
        <v>712</v>
      </c>
      <c r="X362" t="s">
        <v>94</v>
      </c>
      <c r="Y362" t="s">
        <v>78</v>
      </c>
      <c r="AA362">
        <v>0</v>
      </c>
      <c r="AB362" t="s">
        <v>79</v>
      </c>
      <c r="AC362" t="s">
        <v>95</v>
      </c>
      <c r="AD362">
        <v>36</v>
      </c>
      <c r="AE362">
        <v>9</v>
      </c>
      <c r="AF362">
        <v>3</v>
      </c>
      <c r="AG362">
        <v>2025</v>
      </c>
      <c r="AH362" s="2">
        <v>11000</v>
      </c>
      <c r="AI362" s="2">
        <v>7615.87744140625</v>
      </c>
      <c r="AJ362" s="2">
        <f t="shared" si="40"/>
        <v>3384.12255859375</v>
      </c>
      <c r="AK362" s="6">
        <f t="shared" si="41"/>
        <v>0.30764750532670454</v>
      </c>
      <c r="AL362" s="12">
        <v>11000</v>
      </c>
      <c r="AM362" s="12">
        <v>8571.7812557229736</v>
      </c>
      <c r="AN362" s="12">
        <f t="shared" si="42"/>
        <v>2428.2187442770264</v>
      </c>
      <c r="AO362" s="13">
        <f t="shared" si="43"/>
        <v>0.22074715857063876</v>
      </c>
      <c r="AP362" s="16">
        <v>11000</v>
      </c>
      <c r="AQ362" s="16">
        <v>6038.3403200675784</v>
      </c>
      <c r="AR362" s="16">
        <f t="shared" si="44"/>
        <v>4961.6596799324216</v>
      </c>
      <c r="AS362" s="17">
        <f t="shared" si="45"/>
        <v>0.45105997090294742</v>
      </c>
      <c r="AT362" s="20">
        <v>11000</v>
      </c>
      <c r="AU362" s="20">
        <v>7872.32861328125</v>
      </c>
      <c r="AV362" s="20">
        <f t="shared" si="46"/>
        <v>3127.67138671875</v>
      </c>
      <c r="AW362" s="21">
        <f t="shared" si="47"/>
        <v>0.28433376242897729</v>
      </c>
    </row>
    <row r="363" spans="1:49" x14ac:dyDescent="0.25">
      <c r="A363" t="s">
        <v>38</v>
      </c>
      <c r="B363" t="s">
        <v>57</v>
      </c>
      <c r="C363">
        <v>213131</v>
      </c>
      <c r="D363">
        <v>2014</v>
      </c>
      <c r="E363" t="s">
        <v>40</v>
      </c>
      <c r="F363" t="s">
        <v>215</v>
      </c>
      <c r="G363" t="s">
        <v>150</v>
      </c>
      <c r="H363" t="s">
        <v>679</v>
      </c>
      <c r="I363">
        <v>8</v>
      </c>
      <c r="J363" t="s">
        <v>135</v>
      </c>
      <c r="K363">
        <v>4</v>
      </c>
      <c r="L363" t="s">
        <v>44</v>
      </c>
      <c r="M363">
        <v>5.7</v>
      </c>
      <c r="N363" t="s">
        <v>91</v>
      </c>
      <c r="O363" t="s">
        <v>46</v>
      </c>
      <c r="P363">
        <v>4</v>
      </c>
      <c r="Q363" t="s">
        <v>74</v>
      </c>
      <c r="R363" t="s">
        <v>92</v>
      </c>
      <c r="S363" t="s">
        <v>93</v>
      </c>
      <c r="T363">
        <v>381</v>
      </c>
      <c r="U363" t="s">
        <v>50</v>
      </c>
      <c r="V363" t="s">
        <v>76</v>
      </c>
      <c r="W363" t="s">
        <v>713</v>
      </c>
      <c r="X363" t="s">
        <v>219</v>
      </c>
      <c r="Y363" t="s">
        <v>78</v>
      </c>
      <c r="AA363">
        <v>0</v>
      </c>
      <c r="AB363" t="s">
        <v>79</v>
      </c>
      <c r="AC363" t="s">
        <v>95</v>
      </c>
      <c r="AD363">
        <v>36</v>
      </c>
      <c r="AE363">
        <v>9</v>
      </c>
      <c r="AF363">
        <v>3</v>
      </c>
      <c r="AG363">
        <v>2025</v>
      </c>
      <c r="AH363" s="2">
        <v>11000</v>
      </c>
      <c r="AI363" s="2">
        <v>6928.236328125</v>
      </c>
      <c r="AJ363" s="2">
        <f t="shared" si="40"/>
        <v>4071.763671875</v>
      </c>
      <c r="AK363" s="6">
        <f t="shared" si="41"/>
        <v>0.37016033380681818</v>
      </c>
      <c r="AL363" s="12">
        <v>11000</v>
      </c>
      <c r="AM363" s="12">
        <v>9549.6030570189614</v>
      </c>
      <c r="AN363" s="12">
        <f t="shared" si="42"/>
        <v>1450.3969429810386</v>
      </c>
      <c r="AO363" s="13">
        <f t="shared" si="43"/>
        <v>0.13185426754373078</v>
      </c>
      <c r="AP363" s="16">
        <v>11000</v>
      </c>
      <c r="AQ363" s="16">
        <v>7266.7140780082391</v>
      </c>
      <c r="AR363" s="16">
        <f t="shared" si="44"/>
        <v>3733.2859219917609</v>
      </c>
      <c r="AS363" s="17">
        <f t="shared" si="45"/>
        <v>0.33938962927197824</v>
      </c>
      <c r="AT363" s="20">
        <v>11000</v>
      </c>
      <c r="AU363" s="20">
        <v>7302.1630859375</v>
      </c>
      <c r="AV363" s="20">
        <f t="shared" si="46"/>
        <v>3697.8369140625</v>
      </c>
      <c r="AW363" s="21">
        <f t="shared" si="47"/>
        <v>0.33616699218750001</v>
      </c>
    </row>
    <row r="364" spans="1:49" x14ac:dyDescent="0.25">
      <c r="A364" t="s">
        <v>81</v>
      </c>
      <c r="B364" t="s">
        <v>82</v>
      </c>
      <c r="C364">
        <v>119513</v>
      </c>
      <c r="D364">
        <v>2016</v>
      </c>
      <c r="E364" t="s">
        <v>146</v>
      </c>
      <c r="F364" t="s">
        <v>334</v>
      </c>
      <c r="I364">
        <v>6</v>
      </c>
      <c r="J364" t="s">
        <v>61</v>
      </c>
      <c r="K364">
        <v>4</v>
      </c>
      <c r="L364" t="s">
        <v>44</v>
      </c>
      <c r="M364">
        <v>3.5</v>
      </c>
      <c r="N364" t="s">
        <v>45</v>
      </c>
      <c r="O364" t="s">
        <v>46</v>
      </c>
      <c r="Q364" t="s">
        <v>47</v>
      </c>
      <c r="R364" t="s">
        <v>123</v>
      </c>
      <c r="S364" t="s">
        <v>49</v>
      </c>
      <c r="U364" t="s">
        <v>50</v>
      </c>
      <c r="X364" t="s">
        <v>125</v>
      </c>
      <c r="Y364" t="s">
        <v>78</v>
      </c>
      <c r="AA364">
        <v>0</v>
      </c>
      <c r="AB364" t="s">
        <v>79</v>
      </c>
      <c r="AC364" t="s">
        <v>127</v>
      </c>
      <c r="AD364">
        <v>36</v>
      </c>
      <c r="AE364">
        <v>9</v>
      </c>
      <c r="AF364">
        <v>3</v>
      </c>
      <c r="AG364">
        <v>2025</v>
      </c>
      <c r="AH364" s="2">
        <v>5300</v>
      </c>
      <c r="AI364" s="2">
        <v>4030.797607421875</v>
      </c>
      <c r="AJ364" s="2">
        <f t="shared" si="40"/>
        <v>1269.202392578125</v>
      </c>
      <c r="AK364" s="6">
        <f t="shared" si="41"/>
        <v>0.23947214954304244</v>
      </c>
      <c r="AL364" s="12">
        <v>5300</v>
      </c>
      <c r="AM364" s="12">
        <v>3862.3657950212269</v>
      </c>
      <c r="AN364" s="12">
        <f t="shared" si="42"/>
        <v>1437.6342049787731</v>
      </c>
      <c r="AO364" s="13">
        <f t="shared" si="43"/>
        <v>0.27125173678844777</v>
      </c>
      <c r="AP364" s="16">
        <v>5300</v>
      </c>
      <c r="AQ364" s="16">
        <v>2996.052704744965</v>
      </c>
      <c r="AR364" s="16">
        <f t="shared" si="44"/>
        <v>2303.947295255035</v>
      </c>
      <c r="AS364" s="17">
        <f t="shared" si="45"/>
        <v>0.43470703684057266</v>
      </c>
      <c r="AT364" s="20">
        <v>5300</v>
      </c>
      <c r="AU364" s="20">
        <v>4093.22705078125</v>
      </c>
      <c r="AV364" s="20">
        <f t="shared" si="46"/>
        <v>1206.77294921875</v>
      </c>
      <c r="AW364" s="21">
        <f t="shared" si="47"/>
        <v>0.22769300928655661</v>
      </c>
    </row>
    <row r="365" spans="1:49" x14ac:dyDescent="0.25">
      <c r="A365" t="s">
        <v>38</v>
      </c>
      <c r="B365" t="s">
        <v>110</v>
      </c>
      <c r="C365">
        <v>200536</v>
      </c>
      <c r="D365">
        <v>2005</v>
      </c>
      <c r="E365" t="s">
        <v>142</v>
      </c>
      <c r="F365" t="s">
        <v>633</v>
      </c>
      <c r="G365" t="s">
        <v>714</v>
      </c>
      <c r="H365" t="s">
        <v>715</v>
      </c>
      <c r="I365">
        <v>6</v>
      </c>
      <c r="J365" t="s">
        <v>61</v>
      </c>
      <c r="K365">
        <v>2</v>
      </c>
      <c r="L365" t="s">
        <v>402</v>
      </c>
      <c r="M365">
        <v>4</v>
      </c>
      <c r="N365" t="s">
        <v>91</v>
      </c>
      <c r="Q365" t="s">
        <v>62</v>
      </c>
      <c r="R365" t="s">
        <v>63</v>
      </c>
      <c r="S365" t="s">
        <v>93</v>
      </c>
      <c r="U365" t="s">
        <v>50</v>
      </c>
      <c r="V365" t="s">
        <v>51</v>
      </c>
      <c r="X365" t="s">
        <v>65</v>
      </c>
      <c r="Y365" t="s">
        <v>78</v>
      </c>
      <c r="AA365">
        <v>0</v>
      </c>
      <c r="AB365" t="s">
        <v>79</v>
      </c>
      <c r="AC365" t="s">
        <v>87</v>
      </c>
      <c r="AD365">
        <v>36</v>
      </c>
      <c r="AE365">
        <v>9</v>
      </c>
      <c r="AF365">
        <v>3</v>
      </c>
      <c r="AG365">
        <v>2025</v>
      </c>
      <c r="AH365" s="2">
        <v>4000</v>
      </c>
      <c r="AI365" s="2">
        <v>3174.056640625</v>
      </c>
      <c r="AJ365" s="2">
        <f t="shared" si="40"/>
        <v>825.943359375</v>
      </c>
      <c r="AK365" s="6">
        <f t="shared" si="41"/>
        <v>0.20648583984374999</v>
      </c>
      <c r="AL365" s="12">
        <v>4000</v>
      </c>
      <c r="AM365" s="12">
        <v>2551.6580718335199</v>
      </c>
      <c r="AN365" s="12">
        <f t="shared" si="42"/>
        <v>1448.3419281664801</v>
      </c>
      <c r="AO365" s="13">
        <f t="shared" si="43"/>
        <v>0.36208548204162</v>
      </c>
      <c r="AP365" s="16">
        <v>4000</v>
      </c>
      <c r="AQ365" s="16">
        <v>2822.9140694428188</v>
      </c>
      <c r="AR365" s="16">
        <f t="shared" si="44"/>
        <v>1177.0859305571812</v>
      </c>
      <c r="AS365" s="17">
        <f t="shared" si="45"/>
        <v>0.29427148263929531</v>
      </c>
      <c r="AT365" s="20">
        <v>4000</v>
      </c>
      <c r="AU365" s="20">
        <v>3157.072998046875</v>
      </c>
      <c r="AV365" s="20">
        <f t="shared" si="46"/>
        <v>842.927001953125</v>
      </c>
      <c r="AW365" s="21">
        <f t="shared" si="47"/>
        <v>0.21073175048828124</v>
      </c>
    </row>
    <row r="366" spans="1:49" x14ac:dyDescent="0.25">
      <c r="A366" t="s">
        <v>38</v>
      </c>
      <c r="B366" t="s">
        <v>110</v>
      </c>
      <c r="C366">
        <v>105417</v>
      </c>
      <c r="D366">
        <v>2017</v>
      </c>
      <c r="E366" t="s">
        <v>116</v>
      </c>
      <c r="F366" t="s">
        <v>117</v>
      </c>
      <c r="G366" t="s">
        <v>238</v>
      </c>
      <c r="I366">
        <v>6</v>
      </c>
      <c r="J366" t="s">
        <v>72</v>
      </c>
      <c r="K366">
        <v>4</v>
      </c>
      <c r="L366" t="s">
        <v>44</v>
      </c>
      <c r="M366">
        <v>3.6</v>
      </c>
      <c r="N366" t="s">
        <v>73</v>
      </c>
      <c r="Q366" t="s">
        <v>62</v>
      </c>
      <c r="R366" t="s">
        <v>63</v>
      </c>
      <c r="S366" t="s">
        <v>49</v>
      </c>
      <c r="T366">
        <v>295</v>
      </c>
      <c r="U366" t="s">
        <v>50</v>
      </c>
      <c r="V366" t="s">
        <v>76</v>
      </c>
      <c r="X366" t="s">
        <v>94</v>
      </c>
      <c r="Y366" t="s">
        <v>78</v>
      </c>
      <c r="Z366">
        <v>37495</v>
      </c>
      <c r="AA366">
        <v>0</v>
      </c>
      <c r="AB366" t="s">
        <v>79</v>
      </c>
      <c r="AC366" t="s">
        <v>109</v>
      </c>
      <c r="AD366">
        <v>36</v>
      </c>
      <c r="AE366">
        <v>9</v>
      </c>
      <c r="AF366">
        <v>3</v>
      </c>
      <c r="AG366">
        <v>2025</v>
      </c>
      <c r="AH366" s="2">
        <v>8500</v>
      </c>
      <c r="AI366" s="2">
        <v>10286.5859375</v>
      </c>
      <c r="AJ366" s="2">
        <f t="shared" si="40"/>
        <v>1786.5859375</v>
      </c>
      <c r="AK366" s="6">
        <f t="shared" si="41"/>
        <v>0.21018658088235295</v>
      </c>
      <c r="AL366" s="12">
        <v>8500</v>
      </c>
      <c r="AM366" s="12">
        <v>10918.99066691097</v>
      </c>
      <c r="AN366" s="12">
        <f t="shared" si="42"/>
        <v>2418.9906669109696</v>
      </c>
      <c r="AO366" s="13">
        <f t="shared" si="43"/>
        <v>0.28458713728364349</v>
      </c>
      <c r="AP366" s="16">
        <v>8500</v>
      </c>
      <c r="AQ366" s="16">
        <v>9935.7044613723865</v>
      </c>
      <c r="AR366" s="16">
        <f t="shared" si="44"/>
        <v>1435.7044613723865</v>
      </c>
      <c r="AS366" s="17">
        <f t="shared" si="45"/>
        <v>0.16890640722028077</v>
      </c>
      <c r="AT366" s="20">
        <v>8500</v>
      </c>
      <c r="AU366" s="20">
        <v>10556.0205078125</v>
      </c>
      <c r="AV366" s="20">
        <f t="shared" si="46"/>
        <v>2056.0205078125</v>
      </c>
      <c r="AW366" s="21">
        <f t="shared" si="47"/>
        <v>0.241884765625</v>
      </c>
    </row>
    <row r="367" spans="1:49" x14ac:dyDescent="0.25">
      <c r="A367" t="s">
        <v>128</v>
      </c>
      <c r="B367" t="s">
        <v>129</v>
      </c>
      <c r="C367">
        <v>194816</v>
      </c>
      <c r="D367">
        <v>2006</v>
      </c>
      <c r="E367" t="s">
        <v>162</v>
      </c>
      <c r="F367" t="s">
        <v>163</v>
      </c>
      <c r="G367" t="s">
        <v>433</v>
      </c>
      <c r="I367">
        <v>6</v>
      </c>
      <c r="J367" t="s">
        <v>599</v>
      </c>
      <c r="K367">
        <v>4</v>
      </c>
      <c r="L367" t="s">
        <v>44</v>
      </c>
      <c r="M367">
        <v>3.3</v>
      </c>
      <c r="N367" t="s">
        <v>45</v>
      </c>
      <c r="Q367" t="s">
        <v>47</v>
      </c>
      <c r="R367" t="s">
        <v>123</v>
      </c>
      <c r="U367" t="s">
        <v>50</v>
      </c>
      <c r="X367" t="s">
        <v>125</v>
      </c>
      <c r="Y367" t="s">
        <v>78</v>
      </c>
      <c r="AA367">
        <v>0</v>
      </c>
      <c r="AB367" t="s">
        <v>79</v>
      </c>
      <c r="AC367" t="s">
        <v>127</v>
      </c>
      <c r="AD367">
        <v>36</v>
      </c>
      <c r="AE367">
        <v>9</v>
      </c>
      <c r="AF367">
        <v>3</v>
      </c>
      <c r="AG367">
        <v>2025</v>
      </c>
      <c r="AH367" s="2">
        <v>1800</v>
      </c>
      <c r="AI367" s="2">
        <v>658.17071533203125</v>
      </c>
      <c r="AJ367" s="2">
        <f t="shared" si="40"/>
        <v>1141.8292846679688</v>
      </c>
      <c r="AK367" s="6">
        <f t="shared" si="41"/>
        <v>0.63434960259331596</v>
      </c>
      <c r="AL367" s="12">
        <v>1800</v>
      </c>
      <c r="AM367" s="12">
        <v>719.1875331757617</v>
      </c>
      <c r="AN367" s="12">
        <f t="shared" si="42"/>
        <v>1080.8124668242383</v>
      </c>
      <c r="AO367" s="13">
        <f t="shared" si="43"/>
        <v>0.60045137045791019</v>
      </c>
      <c r="AP367" s="16">
        <v>1800</v>
      </c>
      <c r="AQ367" s="16">
        <v>640.65702540262907</v>
      </c>
      <c r="AR367" s="16">
        <f t="shared" si="44"/>
        <v>1159.3429745973708</v>
      </c>
      <c r="AS367" s="17">
        <f t="shared" si="45"/>
        <v>0.64407943033187265</v>
      </c>
      <c r="AT367" s="20">
        <v>1800</v>
      </c>
      <c r="AU367" s="20">
        <v>676.7608642578125</v>
      </c>
      <c r="AV367" s="20">
        <f t="shared" si="46"/>
        <v>1123.2391357421875</v>
      </c>
      <c r="AW367" s="21">
        <f t="shared" si="47"/>
        <v>0.62402174207899308</v>
      </c>
    </row>
    <row r="368" spans="1:49" x14ac:dyDescent="0.25">
      <c r="A368" t="s">
        <v>81</v>
      </c>
      <c r="B368" t="s">
        <v>186</v>
      </c>
      <c r="C368">
        <v>12936</v>
      </c>
      <c r="D368">
        <v>2024</v>
      </c>
      <c r="E368" t="s">
        <v>146</v>
      </c>
      <c r="F368" t="s">
        <v>279</v>
      </c>
      <c r="G368" t="s">
        <v>716</v>
      </c>
      <c r="I368">
        <v>4</v>
      </c>
      <c r="J368" t="s">
        <v>135</v>
      </c>
      <c r="K368">
        <v>4</v>
      </c>
      <c r="L368" t="s">
        <v>44</v>
      </c>
      <c r="M368">
        <v>2</v>
      </c>
      <c r="N368" t="s">
        <v>45</v>
      </c>
      <c r="O368" t="s">
        <v>46</v>
      </c>
      <c r="Q368" t="s">
        <v>47</v>
      </c>
      <c r="R368" t="s">
        <v>123</v>
      </c>
      <c r="S368" t="s">
        <v>49</v>
      </c>
      <c r="U368" t="s">
        <v>50</v>
      </c>
      <c r="X368" t="s">
        <v>53</v>
      </c>
      <c r="Y368" t="s">
        <v>126</v>
      </c>
      <c r="AA368">
        <v>0</v>
      </c>
      <c r="AB368" t="s">
        <v>79</v>
      </c>
      <c r="AC368" t="s">
        <v>127</v>
      </c>
      <c r="AD368">
        <v>36</v>
      </c>
      <c r="AE368">
        <v>9</v>
      </c>
      <c r="AF368">
        <v>3</v>
      </c>
      <c r="AG368">
        <v>2025</v>
      </c>
      <c r="AH368" s="2">
        <v>21000</v>
      </c>
      <c r="AI368" s="2">
        <v>14485.8896484375</v>
      </c>
      <c r="AJ368" s="2">
        <f t="shared" si="40"/>
        <v>6514.1103515625</v>
      </c>
      <c r="AK368" s="6">
        <f t="shared" si="41"/>
        <v>0.31019573102678571</v>
      </c>
      <c r="AL368" s="12">
        <v>21000</v>
      </c>
      <c r="AM368" s="12">
        <v>16475.784886951351</v>
      </c>
      <c r="AN368" s="12">
        <f t="shared" si="42"/>
        <v>4524.2151130486491</v>
      </c>
      <c r="AO368" s="13">
        <f t="shared" si="43"/>
        <v>0.21543881490707853</v>
      </c>
      <c r="AP368" s="16">
        <v>21000</v>
      </c>
      <c r="AQ368" s="16">
        <v>14754.747242215781</v>
      </c>
      <c r="AR368" s="16">
        <f t="shared" si="44"/>
        <v>6245.2527577842193</v>
      </c>
      <c r="AS368" s="17">
        <f t="shared" si="45"/>
        <v>0.29739298846591522</v>
      </c>
      <c r="AT368" s="20">
        <v>21000</v>
      </c>
      <c r="AU368" s="20">
        <v>14828.71484375</v>
      </c>
      <c r="AV368" s="20">
        <f t="shared" si="46"/>
        <v>6171.28515625</v>
      </c>
      <c r="AW368" s="21">
        <f t="shared" si="47"/>
        <v>0.2938707217261905</v>
      </c>
    </row>
    <row r="369" spans="1:49" x14ac:dyDescent="0.25">
      <c r="A369" t="s">
        <v>38</v>
      </c>
      <c r="B369" t="s">
        <v>68</v>
      </c>
      <c r="C369">
        <v>119238</v>
      </c>
      <c r="D369">
        <v>2011</v>
      </c>
      <c r="E369" t="s">
        <v>142</v>
      </c>
      <c r="F369" t="s">
        <v>633</v>
      </c>
      <c r="G369" t="s">
        <v>717</v>
      </c>
      <c r="H369" t="s">
        <v>635</v>
      </c>
      <c r="I369">
        <v>6</v>
      </c>
      <c r="J369" t="s">
        <v>61</v>
      </c>
      <c r="K369">
        <v>2</v>
      </c>
      <c r="L369" t="s">
        <v>402</v>
      </c>
      <c r="M369">
        <v>3.8</v>
      </c>
      <c r="N369" t="s">
        <v>91</v>
      </c>
      <c r="O369" t="s">
        <v>46</v>
      </c>
      <c r="P369">
        <v>3</v>
      </c>
      <c r="Q369" t="s">
        <v>62</v>
      </c>
      <c r="R369" t="s">
        <v>63</v>
      </c>
      <c r="S369" t="s">
        <v>93</v>
      </c>
      <c r="U369" t="s">
        <v>50</v>
      </c>
      <c r="X369" t="s">
        <v>141</v>
      </c>
      <c r="Y369" t="s">
        <v>78</v>
      </c>
      <c r="AA369">
        <v>0</v>
      </c>
      <c r="AB369" t="s">
        <v>79</v>
      </c>
      <c r="AC369" t="s">
        <v>87</v>
      </c>
      <c r="AD369">
        <v>36</v>
      </c>
      <c r="AE369">
        <v>9</v>
      </c>
      <c r="AF369">
        <v>3</v>
      </c>
      <c r="AG369">
        <v>2025</v>
      </c>
      <c r="AH369" s="2">
        <v>11000</v>
      </c>
      <c r="AI369" s="2">
        <v>6801.16357421875</v>
      </c>
      <c r="AJ369" s="2">
        <f t="shared" si="40"/>
        <v>4198.83642578125</v>
      </c>
      <c r="AK369" s="6">
        <f t="shared" si="41"/>
        <v>0.38171240234374998</v>
      </c>
      <c r="AL369" s="12">
        <v>11000</v>
      </c>
      <c r="AM369" s="12">
        <v>7537.3319128508501</v>
      </c>
      <c r="AN369" s="12">
        <f t="shared" si="42"/>
        <v>3462.6680871491499</v>
      </c>
      <c r="AO369" s="13">
        <f t="shared" si="43"/>
        <v>0.31478800792264999</v>
      </c>
      <c r="AP369" s="16">
        <v>11000</v>
      </c>
      <c r="AQ369" s="16">
        <v>8153.2779641602756</v>
      </c>
      <c r="AR369" s="16">
        <f t="shared" si="44"/>
        <v>2846.7220358397244</v>
      </c>
      <c r="AS369" s="17">
        <f t="shared" si="45"/>
        <v>0.25879291234906587</v>
      </c>
      <c r="AT369" s="20">
        <v>11000</v>
      </c>
      <c r="AU369" s="20">
        <v>6935.171875</v>
      </c>
      <c r="AV369" s="20">
        <f t="shared" si="46"/>
        <v>4064.828125</v>
      </c>
      <c r="AW369" s="21">
        <f t="shared" si="47"/>
        <v>0.36952982954545455</v>
      </c>
    </row>
    <row r="370" spans="1:49" x14ac:dyDescent="0.25">
      <c r="A370" t="s">
        <v>128</v>
      </c>
      <c r="B370" t="s">
        <v>210</v>
      </c>
      <c r="C370">
        <v>5512</v>
      </c>
      <c r="D370">
        <v>2023</v>
      </c>
      <c r="E370" t="s">
        <v>345</v>
      </c>
      <c r="F370" t="s">
        <v>718</v>
      </c>
      <c r="G370" t="s">
        <v>677</v>
      </c>
      <c r="H370" t="s">
        <v>678</v>
      </c>
      <c r="I370">
        <v>6</v>
      </c>
      <c r="J370" t="s">
        <v>72</v>
      </c>
      <c r="K370">
        <v>2</v>
      </c>
      <c r="L370" t="s">
        <v>44</v>
      </c>
      <c r="M370">
        <v>3</v>
      </c>
      <c r="N370" t="s">
        <v>44</v>
      </c>
      <c r="O370" t="s">
        <v>46</v>
      </c>
      <c r="Q370" t="s">
        <v>47</v>
      </c>
      <c r="R370" t="s">
        <v>530</v>
      </c>
      <c r="S370" t="s">
        <v>85</v>
      </c>
      <c r="T370">
        <v>382</v>
      </c>
      <c r="U370" t="s">
        <v>50</v>
      </c>
      <c r="X370" t="s">
        <v>125</v>
      </c>
      <c r="Y370" t="s">
        <v>137</v>
      </c>
      <c r="AA370">
        <v>0</v>
      </c>
      <c r="AB370" t="s">
        <v>79</v>
      </c>
      <c r="AC370" t="s">
        <v>531</v>
      </c>
      <c r="AD370">
        <v>36</v>
      </c>
      <c r="AE370">
        <v>9</v>
      </c>
      <c r="AF370">
        <v>3</v>
      </c>
      <c r="AG370">
        <v>2025</v>
      </c>
      <c r="AH370" s="2">
        <v>59500</v>
      </c>
      <c r="AI370" s="2">
        <v>59262.50390625</v>
      </c>
      <c r="AJ370" s="2">
        <f t="shared" si="40"/>
        <v>237.49609375</v>
      </c>
      <c r="AK370" s="6">
        <f t="shared" si="41"/>
        <v>3.9915309873949584E-3</v>
      </c>
      <c r="AL370" s="12">
        <v>59500</v>
      </c>
      <c r="AM370" s="12">
        <v>53889.864498611118</v>
      </c>
      <c r="AN370" s="12">
        <f t="shared" si="42"/>
        <v>5610.1355013888824</v>
      </c>
      <c r="AO370" s="13">
        <f t="shared" si="43"/>
        <v>9.4287991619981221E-2</v>
      </c>
      <c r="AP370" s="16">
        <v>59500</v>
      </c>
      <c r="AQ370" s="16">
        <v>51935.525344321482</v>
      </c>
      <c r="AR370" s="16">
        <f t="shared" si="44"/>
        <v>7564.4746556785176</v>
      </c>
      <c r="AS370" s="17">
        <f t="shared" si="45"/>
        <v>0.12713402782652972</v>
      </c>
      <c r="AT370" s="20">
        <v>59500</v>
      </c>
      <c r="AU370" s="20">
        <v>60039.70703125</v>
      </c>
      <c r="AV370" s="20">
        <f t="shared" si="46"/>
        <v>539.70703125</v>
      </c>
      <c r="AW370" s="21">
        <f t="shared" si="47"/>
        <v>9.0707064075630246E-3</v>
      </c>
    </row>
    <row r="371" spans="1:49" x14ac:dyDescent="0.25">
      <c r="A371" t="s">
        <v>38</v>
      </c>
      <c r="B371" t="s">
        <v>96</v>
      </c>
      <c r="C371">
        <v>38091</v>
      </c>
      <c r="D371">
        <v>2024</v>
      </c>
      <c r="E371" t="s">
        <v>174</v>
      </c>
      <c r="F371" t="s">
        <v>254</v>
      </c>
      <c r="G371" t="s">
        <v>176</v>
      </c>
      <c r="I371">
        <v>4</v>
      </c>
      <c r="J371" t="s">
        <v>61</v>
      </c>
      <c r="K371">
        <v>4</v>
      </c>
      <c r="L371" t="s">
        <v>44</v>
      </c>
      <c r="M371">
        <v>1.5</v>
      </c>
      <c r="N371" t="s">
        <v>44</v>
      </c>
      <c r="O371" t="s">
        <v>46</v>
      </c>
      <c r="P371">
        <v>4</v>
      </c>
      <c r="Q371" t="s">
        <v>62</v>
      </c>
      <c r="R371" t="s">
        <v>63</v>
      </c>
      <c r="S371" t="s">
        <v>85</v>
      </c>
      <c r="U371" t="s">
        <v>50</v>
      </c>
      <c r="V371" t="s">
        <v>51</v>
      </c>
      <c r="W371" t="s">
        <v>283</v>
      </c>
      <c r="X371" t="s">
        <v>65</v>
      </c>
      <c r="Y371" t="s">
        <v>126</v>
      </c>
      <c r="AA371">
        <v>0</v>
      </c>
      <c r="AB371" t="s">
        <v>79</v>
      </c>
      <c r="AC371" t="s">
        <v>87</v>
      </c>
      <c r="AD371">
        <v>36</v>
      </c>
      <c r="AE371">
        <v>9</v>
      </c>
      <c r="AF371">
        <v>3</v>
      </c>
      <c r="AG371">
        <v>2025</v>
      </c>
      <c r="AH371" s="2">
        <v>21500</v>
      </c>
      <c r="AI371" s="2">
        <v>22640.056640625</v>
      </c>
      <c r="AJ371" s="2">
        <f t="shared" si="40"/>
        <v>1140.056640625</v>
      </c>
      <c r="AK371" s="6">
        <f t="shared" si="41"/>
        <v>5.3025890261627906E-2</v>
      </c>
      <c r="AL371" s="12">
        <v>21500</v>
      </c>
      <c r="AM371" s="12">
        <v>25333.858257235141</v>
      </c>
      <c r="AN371" s="12">
        <f t="shared" si="42"/>
        <v>3833.8582572351406</v>
      </c>
      <c r="AO371" s="13">
        <f t="shared" si="43"/>
        <v>0.17831898870861118</v>
      </c>
      <c r="AP371" s="16">
        <v>21500</v>
      </c>
      <c r="AQ371" s="16">
        <v>22140.24208091887</v>
      </c>
      <c r="AR371" s="16">
        <f t="shared" si="44"/>
        <v>640.24208091886976</v>
      </c>
      <c r="AS371" s="17">
        <f t="shared" si="45"/>
        <v>2.9778701438086967E-2</v>
      </c>
      <c r="AT371" s="20">
        <v>21500</v>
      </c>
      <c r="AU371" s="20">
        <v>23011.498046875</v>
      </c>
      <c r="AV371" s="20">
        <f t="shared" si="46"/>
        <v>1511.498046875</v>
      </c>
      <c r="AW371" s="21">
        <f t="shared" si="47"/>
        <v>7.0302234738372091E-2</v>
      </c>
    </row>
    <row r="372" spans="1:49" x14ac:dyDescent="0.25">
      <c r="A372" t="s">
        <v>128</v>
      </c>
      <c r="B372" t="s">
        <v>129</v>
      </c>
      <c r="C372">
        <v>175585</v>
      </c>
      <c r="D372">
        <v>2017</v>
      </c>
      <c r="E372" t="s">
        <v>162</v>
      </c>
      <c r="F372" t="s">
        <v>163</v>
      </c>
      <c r="G372" t="s">
        <v>299</v>
      </c>
      <c r="I372">
        <v>4</v>
      </c>
      <c r="J372" t="s">
        <v>72</v>
      </c>
      <c r="K372">
        <v>4</v>
      </c>
      <c r="L372" t="s">
        <v>44</v>
      </c>
      <c r="M372">
        <v>2.4</v>
      </c>
      <c r="N372" t="s">
        <v>45</v>
      </c>
      <c r="Q372" t="s">
        <v>47</v>
      </c>
      <c r="R372" t="s">
        <v>123</v>
      </c>
      <c r="T372">
        <v>187</v>
      </c>
      <c r="U372" t="s">
        <v>50</v>
      </c>
      <c r="X372" t="s">
        <v>125</v>
      </c>
      <c r="Y372" t="s">
        <v>78</v>
      </c>
      <c r="Z372">
        <v>21950</v>
      </c>
      <c r="AA372">
        <v>0</v>
      </c>
      <c r="AB372" t="s">
        <v>79</v>
      </c>
      <c r="AC372" t="s">
        <v>127</v>
      </c>
      <c r="AD372">
        <v>36</v>
      </c>
      <c r="AE372">
        <v>9</v>
      </c>
      <c r="AF372">
        <v>3</v>
      </c>
      <c r="AG372">
        <v>2025</v>
      </c>
      <c r="AH372" s="2">
        <v>2300</v>
      </c>
      <c r="AI372" s="2">
        <v>2182.074462890625</v>
      </c>
      <c r="AJ372" s="2">
        <f t="shared" si="40"/>
        <v>117.925537109375</v>
      </c>
      <c r="AK372" s="6">
        <f t="shared" si="41"/>
        <v>5.1271972656249998E-2</v>
      </c>
      <c r="AL372" s="12">
        <v>2300</v>
      </c>
      <c r="AM372" s="12">
        <v>2344.705351791401</v>
      </c>
      <c r="AN372" s="12">
        <f t="shared" si="42"/>
        <v>44.705351791400972</v>
      </c>
      <c r="AO372" s="13">
        <f t="shared" si="43"/>
        <v>1.9437109474522162E-2</v>
      </c>
      <c r="AP372" s="16">
        <v>2300</v>
      </c>
      <c r="AQ372" s="16">
        <v>1983.354212388037</v>
      </c>
      <c r="AR372" s="16">
        <f t="shared" si="44"/>
        <v>316.64578761196299</v>
      </c>
      <c r="AS372" s="17">
        <f t="shared" si="45"/>
        <v>0.13767208157041869</v>
      </c>
      <c r="AT372" s="20">
        <v>2300</v>
      </c>
      <c r="AU372" s="20">
        <v>2184.229248046875</v>
      </c>
      <c r="AV372" s="20">
        <f t="shared" si="46"/>
        <v>115.770751953125</v>
      </c>
      <c r="AW372" s="21">
        <f t="shared" si="47"/>
        <v>5.0335109544836956E-2</v>
      </c>
    </row>
    <row r="373" spans="1:49" x14ac:dyDescent="0.25">
      <c r="A373" t="s">
        <v>128</v>
      </c>
      <c r="B373" t="s">
        <v>309</v>
      </c>
      <c r="C373">
        <v>130075</v>
      </c>
      <c r="D373">
        <v>2014</v>
      </c>
      <c r="E373" t="s">
        <v>142</v>
      </c>
      <c r="F373" t="s">
        <v>335</v>
      </c>
      <c r="G373" t="s">
        <v>457</v>
      </c>
      <c r="I373">
        <v>4</v>
      </c>
      <c r="J373" t="s">
        <v>61</v>
      </c>
      <c r="K373">
        <v>4</v>
      </c>
      <c r="L373" t="s">
        <v>44</v>
      </c>
      <c r="M373">
        <v>2</v>
      </c>
      <c r="N373" t="s">
        <v>45</v>
      </c>
      <c r="O373" t="s">
        <v>46</v>
      </c>
      <c r="P373">
        <v>2</v>
      </c>
      <c r="Q373" t="s">
        <v>62</v>
      </c>
      <c r="R373" t="s">
        <v>63</v>
      </c>
      <c r="S373" t="s">
        <v>101</v>
      </c>
      <c r="U373" t="s">
        <v>50</v>
      </c>
      <c r="X373" t="s">
        <v>65</v>
      </c>
      <c r="Y373" t="s">
        <v>78</v>
      </c>
      <c r="AA373">
        <v>0</v>
      </c>
      <c r="AB373" t="s">
        <v>79</v>
      </c>
      <c r="AC373" t="s">
        <v>87</v>
      </c>
      <c r="AD373">
        <v>36</v>
      </c>
      <c r="AE373">
        <v>9</v>
      </c>
      <c r="AF373">
        <v>3</v>
      </c>
      <c r="AG373">
        <v>2025</v>
      </c>
      <c r="AH373" s="2">
        <v>1000</v>
      </c>
      <c r="AI373" s="2">
        <v>1841.692138671875</v>
      </c>
      <c r="AJ373" s="2">
        <f t="shared" si="40"/>
        <v>841.692138671875</v>
      </c>
      <c r="AK373" s="6">
        <f t="shared" si="41"/>
        <v>0.84169213867187498</v>
      </c>
      <c r="AL373" s="12">
        <v>1000</v>
      </c>
      <c r="AM373" s="12">
        <v>2221.3952274794042</v>
      </c>
      <c r="AN373" s="12">
        <f t="shared" si="42"/>
        <v>1221.3952274794042</v>
      </c>
      <c r="AO373" s="13">
        <f t="shared" si="43"/>
        <v>1.2213952274794042</v>
      </c>
      <c r="AP373" s="16">
        <v>1000</v>
      </c>
      <c r="AQ373" s="16">
        <v>1861.8322333605061</v>
      </c>
      <c r="AR373" s="16">
        <f t="shared" si="44"/>
        <v>861.83223336050605</v>
      </c>
      <c r="AS373" s="17">
        <f t="shared" si="45"/>
        <v>0.86183223336050607</v>
      </c>
      <c r="AT373" s="20">
        <v>1000</v>
      </c>
      <c r="AU373" s="20">
        <v>1862.837158203125</v>
      </c>
      <c r="AV373" s="20">
        <f t="shared" si="46"/>
        <v>862.837158203125</v>
      </c>
      <c r="AW373" s="21">
        <f t="shared" si="47"/>
        <v>0.86283715820312501</v>
      </c>
    </row>
    <row r="374" spans="1:49" x14ac:dyDescent="0.25">
      <c r="A374" t="s">
        <v>38</v>
      </c>
      <c r="B374" t="s">
        <v>96</v>
      </c>
      <c r="C374">
        <v>106234</v>
      </c>
      <c r="D374">
        <v>2017</v>
      </c>
      <c r="E374" t="s">
        <v>719</v>
      </c>
      <c r="F374" t="s">
        <v>720</v>
      </c>
      <c r="J374" t="s">
        <v>61</v>
      </c>
      <c r="K374">
        <v>4</v>
      </c>
      <c r="L374" t="s">
        <v>44</v>
      </c>
      <c r="N374" t="s">
        <v>73</v>
      </c>
      <c r="O374" t="s">
        <v>46</v>
      </c>
      <c r="Q374" t="s">
        <v>47</v>
      </c>
      <c r="R374" t="s">
        <v>48</v>
      </c>
      <c r="U374" t="s">
        <v>601</v>
      </c>
      <c r="X374" t="s">
        <v>125</v>
      </c>
      <c r="Y374" t="s">
        <v>78</v>
      </c>
      <c r="AA374">
        <v>1</v>
      </c>
      <c r="AB374" t="s">
        <v>603</v>
      </c>
      <c r="AC374" t="s">
        <v>56</v>
      </c>
      <c r="AD374">
        <v>36</v>
      </c>
      <c r="AE374">
        <v>9</v>
      </c>
      <c r="AF374">
        <v>3</v>
      </c>
      <c r="AG374">
        <v>2025</v>
      </c>
      <c r="AH374" s="2">
        <v>11000</v>
      </c>
      <c r="AI374" s="2">
        <v>10204.921875</v>
      </c>
      <c r="AJ374" s="2">
        <f t="shared" si="40"/>
        <v>795.078125</v>
      </c>
      <c r="AK374" s="6">
        <f t="shared" si="41"/>
        <v>7.2279829545454546E-2</v>
      </c>
      <c r="AL374" s="12">
        <v>11000</v>
      </c>
      <c r="AM374" s="12">
        <v>9327.0383136318669</v>
      </c>
      <c r="AN374" s="12">
        <f t="shared" si="42"/>
        <v>1672.9616863681331</v>
      </c>
      <c r="AO374" s="13">
        <f t="shared" si="43"/>
        <v>0.15208742603346664</v>
      </c>
      <c r="AP374" s="16">
        <v>11000</v>
      </c>
      <c r="AQ374" s="16">
        <v>9807.7664553204559</v>
      </c>
      <c r="AR374" s="16">
        <f t="shared" si="44"/>
        <v>1192.2335446795441</v>
      </c>
      <c r="AS374" s="17">
        <f t="shared" si="45"/>
        <v>0.10838486769814037</v>
      </c>
      <c r="AT374" s="20">
        <v>11000</v>
      </c>
      <c r="AU374" s="20">
        <v>10053.671875</v>
      </c>
      <c r="AV374" s="20">
        <f t="shared" si="46"/>
        <v>946.328125</v>
      </c>
      <c r="AW374" s="21">
        <f t="shared" si="47"/>
        <v>8.6029829545454545E-2</v>
      </c>
    </row>
    <row r="375" spans="1:49" x14ac:dyDescent="0.25">
      <c r="A375" t="s">
        <v>38</v>
      </c>
      <c r="B375" t="s">
        <v>96</v>
      </c>
      <c r="C375">
        <v>95829</v>
      </c>
      <c r="D375">
        <v>2021</v>
      </c>
      <c r="E375" t="s">
        <v>97</v>
      </c>
      <c r="F375" t="s">
        <v>159</v>
      </c>
      <c r="G375" t="s">
        <v>155</v>
      </c>
      <c r="H375" t="s">
        <v>89</v>
      </c>
      <c r="I375">
        <v>8</v>
      </c>
      <c r="J375" t="s">
        <v>61</v>
      </c>
      <c r="K375">
        <v>4</v>
      </c>
      <c r="L375" t="s">
        <v>44</v>
      </c>
      <c r="M375">
        <v>5.3</v>
      </c>
      <c r="N375" t="s">
        <v>73</v>
      </c>
      <c r="O375" t="s">
        <v>46</v>
      </c>
      <c r="Q375" t="s">
        <v>74</v>
      </c>
      <c r="R375" t="s">
        <v>92</v>
      </c>
      <c r="S375" t="s">
        <v>49</v>
      </c>
      <c r="U375" t="s">
        <v>50</v>
      </c>
      <c r="W375" t="s">
        <v>339</v>
      </c>
      <c r="X375" t="s">
        <v>94</v>
      </c>
      <c r="Y375" t="s">
        <v>126</v>
      </c>
      <c r="AA375">
        <v>0</v>
      </c>
      <c r="AB375" t="s">
        <v>79</v>
      </c>
      <c r="AC375" t="s">
        <v>95</v>
      </c>
      <c r="AD375">
        <v>36</v>
      </c>
      <c r="AE375">
        <v>9</v>
      </c>
      <c r="AF375">
        <v>3</v>
      </c>
      <c r="AG375">
        <v>2025</v>
      </c>
      <c r="AH375" s="2">
        <v>22500</v>
      </c>
      <c r="AI375" s="2">
        <v>25919.447265625</v>
      </c>
      <c r="AJ375" s="2">
        <f t="shared" si="40"/>
        <v>3419.447265625</v>
      </c>
      <c r="AK375" s="6">
        <f t="shared" si="41"/>
        <v>0.15197543402777777</v>
      </c>
      <c r="AL375" s="12">
        <v>22500</v>
      </c>
      <c r="AM375" s="12">
        <v>27357.700946416819</v>
      </c>
      <c r="AN375" s="12">
        <f t="shared" si="42"/>
        <v>4857.7009464168186</v>
      </c>
      <c r="AO375" s="13">
        <f t="shared" si="43"/>
        <v>0.21589781984074749</v>
      </c>
      <c r="AP375" s="16">
        <v>22500</v>
      </c>
      <c r="AQ375" s="16">
        <v>22860.650512817541</v>
      </c>
      <c r="AR375" s="16">
        <f t="shared" si="44"/>
        <v>360.65051281754131</v>
      </c>
      <c r="AS375" s="17">
        <f t="shared" si="45"/>
        <v>1.6028911680779613E-2</v>
      </c>
      <c r="AT375" s="20">
        <v>22500</v>
      </c>
      <c r="AU375" s="20">
        <v>25996.912109375</v>
      </c>
      <c r="AV375" s="20">
        <f t="shared" si="46"/>
        <v>3496.912109375</v>
      </c>
      <c r="AW375" s="21">
        <f t="shared" si="47"/>
        <v>0.15541831597222222</v>
      </c>
    </row>
    <row r="376" spans="1:49" x14ac:dyDescent="0.25">
      <c r="A376" t="s">
        <v>38</v>
      </c>
      <c r="B376" t="s">
        <v>96</v>
      </c>
      <c r="C376">
        <v>167558</v>
      </c>
      <c r="D376">
        <v>2017</v>
      </c>
      <c r="E376" t="s">
        <v>174</v>
      </c>
      <c r="F376" t="s">
        <v>314</v>
      </c>
      <c r="G376" t="s">
        <v>315</v>
      </c>
      <c r="H376" t="s">
        <v>89</v>
      </c>
      <c r="I376">
        <v>8</v>
      </c>
      <c r="J376" t="s">
        <v>61</v>
      </c>
      <c r="K376">
        <v>4</v>
      </c>
      <c r="L376" t="s">
        <v>44</v>
      </c>
      <c r="M376">
        <v>5.3</v>
      </c>
      <c r="N376" t="s">
        <v>91</v>
      </c>
      <c r="O376" t="s">
        <v>46</v>
      </c>
      <c r="P376">
        <v>4</v>
      </c>
      <c r="Q376" t="s">
        <v>74</v>
      </c>
      <c r="R376" t="s">
        <v>92</v>
      </c>
      <c r="S376" t="s">
        <v>93</v>
      </c>
      <c r="U376" t="s">
        <v>50</v>
      </c>
      <c r="W376" t="s">
        <v>459</v>
      </c>
      <c r="X376" t="s">
        <v>108</v>
      </c>
      <c r="Y376" t="s">
        <v>78</v>
      </c>
      <c r="AA376">
        <v>0</v>
      </c>
      <c r="AB376" t="s">
        <v>79</v>
      </c>
      <c r="AC376" t="s">
        <v>95</v>
      </c>
      <c r="AD376">
        <v>36</v>
      </c>
      <c r="AE376">
        <v>9</v>
      </c>
      <c r="AF376">
        <v>3</v>
      </c>
      <c r="AG376">
        <v>2025</v>
      </c>
      <c r="AH376" s="2">
        <v>9200</v>
      </c>
      <c r="AI376" s="2">
        <v>12536.6806640625</v>
      </c>
      <c r="AJ376" s="2">
        <f t="shared" si="40"/>
        <v>3336.6806640625</v>
      </c>
      <c r="AK376" s="6">
        <f t="shared" si="41"/>
        <v>0.36268268087635869</v>
      </c>
      <c r="AL376" s="12">
        <v>9200</v>
      </c>
      <c r="AM376" s="12">
        <v>14202.951371596981</v>
      </c>
      <c r="AN376" s="12">
        <f t="shared" si="42"/>
        <v>5002.9513715969806</v>
      </c>
      <c r="AO376" s="13">
        <f t="shared" si="43"/>
        <v>0.54379906213010654</v>
      </c>
      <c r="AP376" s="16">
        <v>9200</v>
      </c>
      <c r="AQ376" s="16">
        <v>12951.466119779139</v>
      </c>
      <c r="AR376" s="16">
        <f t="shared" si="44"/>
        <v>3751.4661197791393</v>
      </c>
      <c r="AS376" s="17">
        <f t="shared" si="45"/>
        <v>0.40776805649773251</v>
      </c>
      <c r="AT376" s="20">
        <v>9200</v>
      </c>
      <c r="AU376" s="20">
        <v>12874.4111328125</v>
      </c>
      <c r="AV376" s="20">
        <f t="shared" si="46"/>
        <v>3674.4111328125</v>
      </c>
      <c r="AW376" s="21">
        <f t="shared" si="47"/>
        <v>0.39939251443614132</v>
      </c>
    </row>
    <row r="377" spans="1:49" x14ac:dyDescent="0.25">
      <c r="A377" t="s">
        <v>128</v>
      </c>
      <c r="B377" t="s">
        <v>210</v>
      </c>
      <c r="C377">
        <v>231192</v>
      </c>
      <c r="D377">
        <v>2016</v>
      </c>
      <c r="E377" t="s">
        <v>40</v>
      </c>
      <c r="F377" t="s">
        <v>550</v>
      </c>
      <c r="G377" t="s">
        <v>721</v>
      </c>
      <c r="H377" t="s">
        <v>722</v>
      </c>
      <c r="I377">
        <v>6</v>
      </c>
      <c r="J377" t="s">
        <v>122</v>
      </c>
      <c r="K377">
        <v>4</v>
      </c>
      <c r="L377" t="s">
        <v>44</v>
      </c>
      <c r="M377">
        <v>3.5</v>
      </c>
      <c r="N377" t="s">
        <v>44</v>
      </c>
      <c r="O377" t="s">
        <v>46</v>
      </c>
      <c r="Q377" t="s">
        <v>62</v>
      </c>
      <c r="R377" t="s">
        <v>63</v>
      </c>
      <c r="S377" t="s">
        <v>93</v>
      </c>
      <c r="T377">
        <v>231</v>
      </c>
      <c r="U377" t="s">
        <v>50</v>
      </c>
      <c r="V377" t="s">
        <v>76</v>
      </c>
      <c r="W377" t="s">
        <v>290</v>
      </c>
      <c r="X377" t="s">
        <v>141</v>
      </c>
      <c r="Y377" t="s">
        <v>78</v>
      </c>
      <c r="AA377">
        <v>0</v>
      </c>
      <c r="AB377" t="s">
        <v>79</v>
      </c>
      <c r="AC377" t="s">
        <v>87</v>
      </c>
      <c r="AD377">
        <v>36</v>
      </c>
      <c r="AE377">
        <v>9</v>
      </c>
      <c r="AF377">
        <v>3</v>
      </c>
      <c r="AG377">
        <v>2025</v>
      </c>
      <c r="AH377" s="2">
        <v>8900</v>
      </c>
      <c r="AI377" s="2">
        <v>5875.00146484375</v>
      </c>
      <c r="AJ377" s="2">
        <f t="shared" si="40"/>
        <v>3024.99853515625</v>
      </c>
      <c r="AK377" s="6">
        <f t="shared" si="41"/>
        <v>0.33988747586025281</v>
      </c>
      <c r="AL377" s="12">
        <v>8900</v>
      </c>
      <c r="AM377" s="12">
        <v>5491.7902283623389</v>
      </c>
      <c r="AN377" s="12">
        <f t="shared" si="42"/>
        <v>3408.2097716376611</v>
      </c>
      <c r="AO377" s="13">
        <f t="shared" si="43"/>
        <v>0.38294491816153498</v>
      </c>
      <c r="AP377" s="16">
        <v>8900</v>
      </c>
      <c r="AQ377" s="16">
        <v>5064.2483906615298</v>
      </c>
      <c r="AR377" s="16">
        <f t="shared" si="44"/>
        <v>3835.7516093384702</v>
      </c>
      <c r="AS377" s="17">
        <f t="shared" si="45"/>
        <v>0.43098332689196295</v>
      </c>
      <c r="AT377" s="20">
        <v>8900</v>
      </c>
      <c r="AU377" s="20">
        <v>5867.30126953125</v>
      </c>
      <c r="AV377" s="20">
        <f t="shared" si="46"/>
        <v>3032.69873046875</v>
      </c>
      <c r="AW377" s="21">
        <f t="shared" si="47"/>
        <v>0.34075266634480339</v>
      </c>
    </row>
    <row r="378" spans="1:49" x14ac:dyDescent="0.25">
      <c r="A378" t="s">
        <v>38</v>
      </c>
      <c r="B378" t="s">
        <v>39</v>
      </c>
      <c r="C378">
        <v>70938</v>
      </c>
      <c r="D378">
        <v>2019</v>
      </c>
      <c r="E378" t="s">
        <v>97</v>
      </c>
      <c r="F378" t="s">
        <v>363</v>
      </c>
      <c r="G378" t="s">
        <v>199</v>
      </c>
      <c r="I378">
        <v>4</v>
      </c>
      <c r="J378" t="s">
        <v>72</v>
      </c>
      <c r="K378">
        <v>4</v>
      </c>
      <c r="L378" t="s">
        <v>44</v>
      </c>
      <c r="M378">
        <v>1.4</v>
      </c>
      <c r="N378" t="s">
        <v>45</v>
      </c>
      <c r="O378" t="s">
        <v>46</v>
      </c>
      <c r="P378">
        <v>2</v>
      </c>
      <c r="Q378" t="s">
        <v>62</v>
      </c>
      <c r="R378" t="s">
        <v>63</v>
      </c>
      <c r="S378" t="s">
        <v>101</v>
      </c>
      <c r="U378" t="s">
        <v>50</v>
      </c>
      <c r="W378" t="s">
        <v>365</v>
      </c>
      <c r="X378" t="s">
        <v>65</v>
      </c>
      <c r="Y378" t="s">
        <v>126</v>
      </c>
      <c r="Z378">
        <v>22295</v>
      </c>
      <c r="AA378">
        <v>0</v>
      </c>
      <c r="AB378" t="s">
        <v>79</v>
      </c>
      <c r="AC378" t="s">
        <v>87</v>
      </c>
      <c r="AD378">
        <v>36</v>
      </c>
      <c r="AE378">
        <v>9</v>
      </c>
      <c r="AF378">
        <v>3</v>
      </c>
      <c r="AG378">
        <v>2025</v>
      </c>
      <c r="AH378" s="2">
        <v>5500</v>
      </c>
      <c r="AI378" s="2">
        <v>6201.60791015625</v>
      </c>
      <c r="AJ378" s="2">
        <f t="shared" si="40"/>
        <v>701.60791015625</v>
      </c>
      <c r="AK378" s="6">
        <f t="shared" si="41"/>
        <v>0.12756507457386362</v>
      </c>
      <c r="AL378" s="12">
        <v>5500</v>
      </c>
      <c r="AM378" s="12">
        <v>7003.797951616928</v>
      </c>
      <c r="AN378" s="12">
        <f t="shared" si="42"/>
        <v>1503.797951616928</v>
      </c>
      <c r="AO378" s="13">
        <f t="shared" si="43"/>
        <v>0.27341780938489602</v>
      </c>
      <c r="AP378" s="16">
        <v>5500</v>
      </c>
      <c r="AQ378" s="16">
        <v>5545.9619981992646</v>
      </c>
      <c r="AR378" s="16">
        <f t="shared" si="44"/>
        <v>45.961998199264599</v>
      </c>
      <c r="AS378" s="17">
        <f t="shared" si="45"/>
        <v>8.3567269453208356E-3</v>
      </c>
      <c r="AT378" s="20">
        <v>5500</v>
      </c>
      <c r="AU378" s="20">
        <v>6301.88134765625</v>
      </c>
      <c r="AV378" s="20">
        <f t="shared" si="46"/>
        <v>801.88134765625</v>
      </c>
      <c r="AW378" s="21">
        <f t="shared" si="47"/>
        <v>0.14579660866477273</v>
      </c>
    </row>
    <row r="379" spans="1:49" x14ac:dyDescent="0.25">
      <c r="A379" t="s">
        <v>38</v>
      </c>
      <c r="B379" t="s">
        <v>39</v>
      </c>
      <c r="C379">
        <v>74804</v>
      </c>
      <c r="D379">
        <v>2019</v>
      </c>
      <c r="E379" t="s">
        <v>305</v>
      </c>
      <c r="F379" t="s">
        <v>723</v>
      </c>
      <c r="H379" t="s">
        <v>307</v>
      </c>
      <c r="I379">
        <v>6</v>
      </c>
      <c r="J379" t="s">
        <v>72</v>
      </c>
      <c r="K379">
        <v>4</v>
      </c>
      <c r="L379" t="s">
        <v>44</v>
      </c>
      <c r="M379">
        <v>3.5</v>
      </c>
      <c r="N379" t="s">
        <v>91</v>
      </c>
      <c r="O379" t="s">
        <v>46</v>
      </c>
      <c r="Q379" t="s">
        <v>62</v>
      </c>
      <c r="R379" t="s">
        <v>63</v>
      </c>
      <c r="S379" t="s">
        <v>93</v>
      </c>
      <c r="T379">
        <v>310</v>
      </c>
      <c r="U379" t="s">
        <v>180</v>
      </c>
      <c r="V379" t="s">
        <v>76</v>
      </c>
      <c r="W379" t="s">
        <v>308</v>
      </c>
      <c r="X379" t="s">
        <v>108</v>
      </c>
      <c r="Y379" t="s">
        <v>78</v>
      </c>
      <c r="Z379">
        <v>88405</v>
      </c>
      <c r="AA379">
        <v>0</v>
      </c>
      <c r="AB379" t="s">
        <v>79</v>
      </c>
      <c r="AC379" t="s">
        <v>109</v>
      </c>
      <c r="AD379">
        <v>36</v>
      </c>
      <c r="AE379">
        <v>9</v>
      </c>
      <c r="AF379">
        <v>3</v>
      </c>
      <c r="AG379">
        <v>2025</v>
      </c>
      <c r="AH379" s="2">
        <v>30000</v>
      </c>
      <c r="AI379" s="2">
        <v>35328.11328125</v>
      </c>
      <c r="AJ379" s="2">
        <f t="shared" si="40"/>
        <v>5328.11328125</v>
      </c>
      <c r="AK379" s="6">
        <f t="shared" si="41"/>
        <v>0.17760377604166666</v>
      </c>
      <c r="AL379" s="12">
        <v>30000</v>
      </c>
      <c r="AM379" s="12">
        <v>26493.31246251188</v>
      </c>
      <c r="AN379" s="12">
        <f t="shared" si="42"/>
        <v>3506.6875374881201</v>
      </c>
      <c r="AO379" s="13">
        <f t="shared" si="43"/>
        <v>0.11688958458293734</v>
      </c>
      <c r="AP379" s="16">
        <v>30000</v>
      </c>
      <c r="AQ379" s="16">
        <v>28592.835741348521</v>
      </c>
      <c r="AR379" s="16">
        <f t="shared" si="44"/>
        <v>1407.164258651479</v>
      </c>
      <c r="AS379" s="17">
        <f t="shared" si="45"/>
        <v>4.6905475288382632E-2</v>
      </c>
      <c r="AT379" s="20">
        <v>30000</v>
      </c>
      <c r="AU379" s="20">
        <v>34440.2421875</v>
      </c>
      <c r="AV379" s="20">
        <f t="shared" si="46"/>
        <v>4440.2421875</v>
      </c>
      <c r="AW379" s="21">
        <f t="shared" si="47"/>
        <v>0.14800807291666668</v>
      </c>
    </row>
    <row r="380" spans="1:49" x14ac:dyDescent="0.25">
      <c r="A380" t="s">
        <v>38</v>
      </c>
      <c r="B380" t="s">
        <v>39</v>
      </c>
      <c r="C380">
        <v>129738</v>
      </c>
      <c r="D380">
        <v>2020</v>
      </c>
      <c r="E380" t="s">
        <v>97</v>
      </c>
      <c r="F380" t="s">
        <v>701</v>
      </c>
      <c r="G380" t="s">
        <v>513</v>
      </c>
      <c r="I380">
        <v>6</v>
      </c>
      <c r="J380" t="s">
        <v>72</v>
      </c>
      <c r="K380">
        <v>4</v>
      </c>
      <c r="L380" t="s">
        <v>44</v>
      </c>
      <c r="M380">
        <v>3.6</v>
      </c>
      <c r="N380" t="s">
        <v>45</v>
      </c>
      <c r="O380" t="s">
        <v>46</v>
      </c>
      <c r="Q380" t="s">
        <v>47</v>
      </c>
      <c r="R380" t="s">
        <v>123</v>
      </c>
      <c r="S380" t="s">
        <v>101</v>
      </c>
      <c r="U380" t="s">
        <v>50</v>
      </c>
      <c r="W380" t="s">
        <v>724</v>
      </c>
      <c r="X380" t="s">
        <v>125</v>
      </c>
      <c r="Y380" t="s">
        <v>103</v>
      </c>
      <c r="Z380">
        <v>31620</v>
      </c>
      <c r="AA380">
        <v>0</v>
      </c>
      <c r="AB380" t="s">
        <v>79</v>
      </c>
      <c r="AC380" t="s">
        <v>127</v>
      </c>
      <c r="AD380">
        <v>36</v>
      </c>
      <c r="AE380">
        <v>9</v>
      </c>
      <c r="AF380">
        <v>3</v>
      </c>
      <c r="AG380">
        <v>2025</v>
      </c>
      <c r="AH380" s="2">
        <v>7800</v>
      </c>
      <c r="AI380" s="2">
        <v>9086.9453125</v>
      </c>
      <c r="AJ380" s="2">
        <f t="shared" si="40"/>
        <v>1286.9453125</v>
      </c>
      <c r="AK380" s="6">
        <f t="shared" si="41"/>
        <v>0.16499298878205129</v>
      </c>
      <c r="AL380" s="12">
        <v>7800</v>
      </c>
      <c r="AM380" s="12">
        <v>9706.4239498214611</v>
      </c>
      <c r="AN380" s="12">
        <f t="shared" si="42"/>
        <v>1906.4239498214611</v>
      </c>
      <c r="AO380" s="13">
        <f t="shared" si="43"/>
        <v>0.24441332690018733</v>
      </c>
      <c r="AP380" s="16">
        <v>7800</v>
      </c>
      <c r="AQ380" s="16">
        <v>7450.3720332718822</v>
      </c>
      <c r="AR380" s="16">
        <f t="shared" si="44"/>
        <v>349.62796672811783</v>
      </c>
      <c r="AS380" s="17">
        <f t="shared" si="45"/>
        <v>4.4824098298476646E-2</v>
      </c>
      <c r="AT380" s="20">
        <v>7800</v>
      </c>
      <c r="AU380" s="20">
        <v>9245.3642578125</v>
      </c>
      <c r="AV380" s="20">
        <f t="shared" si="46"/>
        <v>1445.3642578125</v>
      </c>
      <c r="AW380" s="21">
        <f t="shared" si="47"/>
        <v>0.18530310997596153</v>
      </c>
    </row>
    <row r="381" spans="1:49" x14ac:dyDescent="0.25">
      <c r="A381" t="s">
        <v>38</v>
      </c>
      <c r="B381" t="s">
        <v>110</v>
      </c>
      <c r="C381">
        <v>134400</v>
      </c>
      <c r="D381">
        <v>2018</v>
      </c>
      <c r="E381" t="s">
        <v>399</v>
      </c>
      <c r="F381" t="s">
        <v>400</v>
      </c>
      <c r="G381" t="s">
        <v>112</v>
      </c>
      <c r="I381">
        <v>4</v>
      </c>
      <c r="J381" t="s">
        <v>106</v>
      </c>
      <c r="K381">
        <v>4</v>
      </c>
      <c r="L381" t="s">
        <v>44</v>
      </c>
      <c r="M381">
        <v>2</v>
      </c>
      <c r="N381" t="s">
        <v>44</v>
      </c>
      <c r="Q381" t="s">
        <v>47</v>
      </c>
      <c r="R381" t="s">
        <v>123</v>
      </c>
      <c r="S381" t="s">
        <v>85</v>
      </c>
      <c r="T381">
        <v>152</v>
      </c>
      <c r="U381" t="s">
        <v>50</v>
      </c>
      <c r="X381" t="s">
        <v>125</v>
      </c>
      <c r="Y381" t="s">
        <v>78</v>
      </c>
      <c r="Z381">
        <v>18495</v>
      </c>
      <c r="AA381">
        <v>0</v>
      </c>
      <c r="AB381" t="s">
        <v>79</v>
      </c>
      <c r="AC381" t="s">
        <v>127</v>
      </c>
      <c r="AD381">
        <v>36</v>
      </c>
      <c r="AE381">
        <v>9</v>
      </c>
      <c r="AF381">
        <v>3</v>
      </c>
      <c r="AG381">
        <v>2025</v>
      </c>
      <c r="AH381" s="2">
        <v>4250</v>
      </c>
      <c r="AI381" s="2">
        <v>3331.18798828125</v>
      </c>
      <c r="AJ381" s="2">
        <f t="shared" si="40"/>
        <v>918.81201171875</v>
      </c>
      <c r="AK381" s="6">
        <f t="shared" si="41"/>
        <v>0.21619106158088236</v>
      </c>
      <c r="AL381" s="12">
        <v>4250</v>
      </c>
      <c r="AM381" s="12">
        <v>3631.3195607237772</v>
      </c>
      <c r="AN381" s="12">
        <f t="shared" si="42"/>
        <v>618.68043927622284</v>
      </c>
      <c r="AO381" s="13">
        <f t="shared" si="43"/>
        <v>0.14557186806499361</v>
      </c>
      <c r="AP381" s="16">
        <v>4250</v>
      </c>
      <c r="AQ381" s="16">
        <v>3956.081894641618</v>
      </c>
      <c r="AR381" s="16">
        <f t="shared" si="44"/>
        <v>293.91810535838204</v>
      </c>
      <c r="AS381" s="17">
        <f t="shared" si="45"/>
        <v>6.9157201260795775E-2</v>
      </c>
      <c r="AT381" s="20">
        <v>4250</v>
      </c>
      <c r="AU381" s="20">
        <v>3341.901611328125</v>
      </c>
      <c r="AV381" s="20">
        <f t="shared" si="46"/>
        <v>908.098388671875</v>
      </c>
      <c r="AW381" s="21">
        <f t="shared" si="47"/>
        <v>0.21367020909926471</v>
      </c>
    </row>
    <row r="382" spans="1:49" x14ac:dyDescent="0.25">
      <c r="A382" t="s">
        <v>38</v>
      </c>
      <c r="B382" t="s">
        <v>39</v>
      </c>
      <c r="C382">
        <v>141260</v>
      </c>
      <c r="D382">
        <v>2017</v>
      </c>
      <c r="E382" t="s">
        <v>162</v>
      </c>
      <c r="F382" t="s">
        <v>674</v>
      </c>
      <c r="G382" t="s">
        <v>725</v>
      </c>
      <c r="I382">
        <v>4</v>
      </c>
      <c r="J382" t="s">
        <v>61</v>
      </c>
      <c r="K382">
        <v>4</v>
      </c>
      <c r="L382" t="s">
        <v>44</v>
      </c>
      <c r="M382">
        <v>1.6</v>
      </c>
      <c r="N382" t="s">
        <v>45</v>
      </c>
      <c r="O382" t="s">
        <v>46</v>
      </c>
      <c r="P382">
        <v>3</v>
      </c>
      <c r="Q382" t="s">
        <v>62</v>
      </c>
      <c r="R382" t="s">
        <v>63</v>
      </c>
      <c r="S382" t="s">
        <v>49</v>
      </c>
      <c r="T382">
        <v>175</v>
      </c>
      <c r="U382" t="s">
        <v>50</v>
      </c>
      <c r="W382" t="s">
        <v>726</v>
      </c>
      <c r="X382" t="s">
        <v>65</v>
      </c>
      <c r="Y382" t="s">
        <v>66</v>
      </c>
      <c r="AA382">
        <v>0</v>
      </c>
      <c r="AB382" t="s">
        <v>79</v>
      </c>
      <c r="AC382" t="s">
        <v>87</v>
      </c>
      <c r="AD382">
        <v>36</v>
      </c>
      <c r="AE382">
        <v>9</v>
      </c>
      <c r="AF382">
        <v>3</v>
      </c>
      <c r="AG382">
        <v>2025</v>
      </c>
      <c r="AH382" s="2">
        <v>3700</v>
      </c>
      <c r="AI382" s="2">
        <v>4399.25439453125</v>
      </c>
      <c r="AJ382" s="2">
        <f t="shared" si="40"/>
        <v>699.25439453125</v>
      </c>
      <c r="AK382" s="6">
        <f t="shared" si="41"/>
        <v>0.18898767419763512</v>
      </c>
      <c r="AL382" s="12">
        <v>3700</v>
      </c>
      <c r="AM382" s="12">
        <v>3926.124058606265</v>
      </c>
      <c r="AN382" s="12">
        <f t="shared" si="42"/>
        <v>226.12405860626495</v>
      </c>
      <c r="AO382" s="13">
        <f t="shared" si="43"/>
        <v>6.1114610434125666E-2</v>
      </c>
      <c r="AP382" s="16">
        <v>3700</v>
      </c>
      <c r="AQ382" s="16">
        <v>3743.1604381517732</v>
      </c>
      <c r="AR382" s="16">
        <f t="shared" si="44"/>
        <v>43.160438151773178</v>
      </c>
      <c r="AS382" s="17">
        <f t="shared" si="45"/>
        <v>1.1664983284263021E-2</v>
      </c>
      <c r="AT382" s="20">
        <v>3700</v>
      </c>
      <c r="AU382" s="20">
        <v>4384.1357421875</v>
      </c>
      <c r="AV382" s="20">
        <f t="shared" si="46"/>
        <v>684.1357421875</v>
      </c>
      <c r="AW382" s="21">
        <f t="shared" si="47"/>
        <v>0.18490155194256758</v>
      </c>
    </row>
    <row r="383" spans="1:49" x14ac:dyDescent="0.25">
      <c r="A383" t="s">
        <v>38</v>
      </c>
      <c r="B383" t="s">
        <v>39</v>
      </c>
      <c r="C383">
        <v>101623</v>
      </c>
      <c r="D383">
        <v>2019</v>
      </c>
      <c r="E383" t="s">
        <v>146</v>
      </c>
      <c r="F383" t="s">
        <v>302</v>
      </c>
      <c r="H383" t="s">
        <v>272</v>
      </c>
      <c r="I383">
        <v>6</v>
      </c>
      <c r="J383" t="s">
        <v>72</v>
      </c>
      <c r="K383">
        <v>4</v>
      </c>
      <c r="L383" t="s">
        <v>44</v>
      </c>
      <c r="M383">
        <v>3.5</v>
      </c>
      <c r="N383" t="s">
        <v>45</v>
      </c>
      <c r="O383" t="s">
        <v>46</v>
      </c>
      <c r="Q383" t="s">
        <v>62</v>
      </c>
      <c r="R383" t="s">
        <v>63</v>
      </c>
      <c r="S383" t="s">
        <v>49</v>
      </c>
      <c r="U383" t="s">
        <v>50</v>
      </c>
      <c r="X383" t="s">
        <v>141</v>
      </c>
      <c r="Y383" t="s">
        <v>78</v>
      </c>
      <c r="AA383">
        <v>0</v>
      </c>
      <c r="AB383" t="s">
        <v>79</v>
      </c>
      <c r="AC383" t="s">
        <v>87</v>
      </c>
      <c r="AD383">
        <v>36</v>
      </c>
      <c r="AE383">
        <v>9</v>
      </c>
      <c r="AF383">
        <v>3</v>
      </c>
      <c r="AG383">
        <v>2025</v>
      </c>
      <c r="AH383" s="2">
        <v>11500</v>
      </c>
      <c r="AI383" s="2">
        <v>7801.5205078125</v>
      </c>
      <c r="AJ383" s="2">
        <f t="shared" si="40"/>
        <v>3698.4794921875</v>
      </c>
      <c r="AK383" s="6">
        <f t="shared" si="41"/>
        <v>0.32160691236413042</v>
      </c>
      <c r="AL383" s="12">
        <v>11500</v>
      </c>
      <c r="AM383" s="12">
        <v>8434.4122309221111</v>
      </c>
      <c r="AN383" s="12">
        <f t="shared" si="42"/>
        <v>3065.5877690778889</v>
      </c>
      <c r="AO383" s="13">
        <f t="shared" si="43"/>
        <v>0.26657284948503379</v>
      </c>
      <c r="AP383" s="16">
        <v>11500</v>
      </c>
      <c r="AQ383" s="16">
        <v>7026.0286131790444</v>
      </c>
      <c r="AR383" s="16">
        <f t="shared" si="44"/>
        <v>4473.9713868209556</v>
      </c>
      <c r="AS383" s="17">
        <f t="shared" si="45"/>
        <v>0.38904099015834398</v>
      </c>
      <c r="AT383" s="20">
        <v>11500</v>
      </c>
      <c r="AU383" s="20">
        <v>8039.4775390625</v>
      </c>
      <c r="AV383" s="20">
        <f t="shared" si="46"/>
        <v>3460.5224609375</v>
      </c>
      <c r="AW383" s="21">
        <f t="shared" si="47"/>
        <v>0.30091499660326088</v>
      </c>
    </row>
    <row r="384" spans="1:49" x14ac:dyDescent="0.25">
      <c r="A384" t="s">
        <v>38</v>
      </c>
      <c r="B384" t="s">
        <v>96</v>
      </c>
      <c r="C384">
        <v>82040</v>
      </c>
      <c r="D384">
        <v>2017</v>
      </c>
      <c r="E384" t="s">
        <v>40</v>
      </c>
      <c r="F384" t="s">
        <v>297</v>
      </c>
      <c r="G384" t="s">
        <v>727</v>
      </c>
      <c r="H384" t="s">
        <v>298</v>
      </c>
      <c r="I384">
        <v>4</v>
      </c>
      <c r="J384" t="s">
        <v>217</v>
      </c>
      <c r="K384">
        <v>4</v>
      </c>
      <c r="L384" t="s">
        <v>44</v>
      </c>
      <c r="M384">
        <v>2.5</v>
      </c>
      <c r="N384" t="s">
        <v>45</v>
      </c>
      <c r="O384" t="s">
        <v>46</v>
      </c>
      <c r="P384">
        <v>2</v>
      </c>
      <c r="Q384" t="s">
        <v>47</v>
      </c>
      <c r="R384" t="s">
        <v>123</v>
      </c>
      <c r="S384" t="s">
        <v>49</v>
      </c>
      <c r="T384">
        <v>178</v>
      </c>
      <c r="U384" t="s">
        <v>50</v>
      </c>
      <c r="V384" t="s">
        <v>51</v>
      </c>
      <c r="W384" t="s">
        <v>236</v>
      </c>
      <c r="X384" t="s">
        <v>125</v>
      </c>
      <c r="Y384" t="s">
        <v>78</v>
      </c>
      <c r="Z384">
        <v>23070</v>
      </c>
      <c r="AA384">
        <v>0</v>
      </c>
      <c r="AB384" t="s">
        <v>79</v>
      </c>
      <c r="AC384" t="s">
        <v>127</v>
      </c>
      <c r="AD384">
        <v>36</v>
      </c>
      <c r="AE384">
        <v>9</v>
      </c>
      <c r="AF384">
        <v>3</v>
      </c>
      <c r="AG384">
        <v>2025</v>
      </c>
      <c r="AH384" s="2">
        <v>11250</v>
      </c>
      <c r="AI384" s="2">
        <v>7243.31884765625</v>
      </c>
      <c r="AJ384" s="2">
        <f t="shared" si="40"/>
        <v>4006.68115234375</v>
      </c>
      <c r="AK384" s="6">
        <f t="shared" si="41"/>
        <v>0.35614943576388891</v>
      </c>
      <c r="AL384" s="12">
        <v>11250</v>
      </c>
      <c r="AM384" s="12">
        <v>6920.6413459236828</v>
      </c>
      <c r="AN384" s="12">
        <f t="shared" si="42"/>
        <v>4329.3586540763172</v>
      </c>
      <c r="AO384" s="13">
        <f t="shared" si="43"/>
        <v>0.38483188036233928</v>
      </c>
      <c r="AP384" s="16">
        <v>11250</v>
      </c>
      <c r="AQ384" s="16">
        <v>6668.9901221377859</v>
      </c>
      <c r="AR384" s="16">
        <f t="shared" si="44"/>
        <v>4581.0098778622141</v>
      </c>
      <c r="AS384" s="17">
        <f t="shared" si="45"/>
        <v>0.40720087803219679</v>
      </c>
      <c r="AT384" s="20">
        <v>11250</v>
      </c>
      <c r="AU384" s="20">
        <v>7263.3681640625</v>
      </c>
      <c r="AV384" s="20">
        <f t="shared" si="46"/>
        <v>3986.6318359375</v>
      </c>
      <c r="AW384" s="21">
        <f t="shared" si="47"/>
        <v>0.35436727430555554</v>
      </c>
    </row>
    <row r="385" spans="1:49" x14ac:dyDescent="0.25">
      <c r="A385" t="s">
        <v>38</v>
      </c>
      <c r="B385" t="s">
        <v>39</v>
      </c>
      <c r="C385">
        <v>73605</v>
      </c>
      <c r="D385">
        <v>2017</v>
      </c>
      <c r="E385" t="s">
        <v>69</v>
      </c>
      <c r="F385" t="s">
        <v>250</v>
      </c>
      <c r="H385" t="s">
        <v>447</v>
      </c>
      <c r="I385">
        <v>4</v>
      </c>
      <c r="J385" t="s">
        <v>135</v>
      </c>
      <c r="K385">
        <v>4</v>
      </c>
      <c r="L385" t="s">
        <v>44</v>
      </c>
      <c r="M385">
        <v>2</v>
      </c>
      <c r="N385" t="s">
        <v>45</v>
      </c>
      <c r="O385" t="s">
        <v>46</v>
      </c>
      <c r="Q385" t="s">
        <v>62</v>
      </c>
      <c r="R385" t="s">
        <v>63</v>
      </c>
      <c r="S385" t="s">
        <v>49</v>
      </c>
      <c r="T385">
        <v>240</v>
      </c>
      <c r="U385" t="s">
        <v>50</v>
      </c>
      <c r="V385" t="s">
        <v>51</v>
      </c>
      <c r="X385" t="s">
        <v>65</v>
      </c>
      <c r="Y385" t="s">
        <v>78</v>
      </c>
      <c r="Z385">
        <v>29250</v>
      </c>
      <c r="AA385">
        <v>0</v>
      </c>
      <c r="AB385" t="s">
        <v>79</v>
      </c>
      <c r="AC385" t="s">
        <v>87</v>
      </c>
      <c r="AD385">
        <v>36</v>
      </c>
      <c r="AE385">
        <v>9</v>
      </c>
      <c r="AF385">
        <v>3</v>
      </c>
      <c r="AG385">
        <v>2025</v>
      </c>
      <c r="AH385" s="2">
        <v>7250</v>
      </c>
      <c r="AI385" s="2">
        <v>7825.21142578125</v>
      </c>
      <c r="AJ385" s="2">
        <f t="shared" si="40"/>
        <v>575.21142578125</v>
      </c>
      <c r="AK385" s="6">
        <f t="shared" si="41"/>
        <v>7.9339507004310347E-2</v>
      </c>
      <c r="AL385" s="12">
        <v>7250</v>
      </c>
      <c r="AM385" s="12">
        <v>8019.3892401445919</v>
      </c>
      <c r="AN385" s="12">
        <f t="shared" si="42"/>
        <v>769.38924014459189</v>
      </c>
      <c r="AO385" s="13">
        <f t="shared" si="43"/>
        <v>0.10612265381304715</v>
      </c>
      <c r="AP385" s="16">
        <v>7250</v>
      </c>
      <c r="AQ385" s="16">
        <v>7187.5641609241247</v>
      </c>
      <c r="AR385" s="16">
        <f t="shared" si="44"/>
        <v>62.435839075875265</v>
      </c>
      <c r="AS385" s="17">
        <f t="shared" si="45"/>
        <v>8.6118398725345199E-3</v>
      </c>
      <c r="AT385" s="20">
        <v>7250</v>
      </c>
      <c r="AU385" s="20">
        <v>7928.76171875</v>
      </c>
      <c r="AV385" s="20">
        <f t="shared" si="46"/>
        <v>678.76171875</v>
      </c>
      <c r="AW385" s="21">
        <f t="shared" si="47"/>
        <v>9.3622306034482752E-2</v>
      </c>
    </row>
    <row r="386" spans="1:49" x14ac:dyDescent="0.25">
      <c r="A386" t="s">
        <v>81</v>
      </c>
      <c r="B386" t="s">
        <v>82</v>
      </c>
      <c r="C386">
        <v>135101</v>
      </c>
      <c r="D386">
        <v>2017</v>
      </c>
      <c r="E386" t="s">
        <v>162</v>
      </c>
      <c r="F386" t="s">
        <v>674</v>
      </c>
      <c r="G386" t="s">
        <v>725</v>
      </c>
      <c r="I386">
        <v>4</v>
      </c>
      <c r="J386" t="s">
        <v>241</v>
      </c>
      <c r="K386">
        <v>4</v>
      </c>
      <c r="L386" t="s">
        <v>44</v>
      </c>
      <c r="M386">
        <v>1.6</v>
      </c>
      <c r="N386" t="s">
        <v>44</v>
      </c>
      <c r="O386" t="s">
        <v>46</v>
      </c>
      <c r="Q386" t="s">
        <v>62</v>
      </c>
      <c r="R386" t="s">
        <v>63</v>
      </c>
      <c r="S386" t="s">
        <v>93</v>
      </c>
      <c r="T386">
        <v>175</v>
      </c>
      <c r="U386" t="s">
        <v>50</v>
      </c>
      <c r="W386" t="s">
        <v>726</v>
      </c>
      <c r="X386" t="s">
        <v>65</v>
      </c>
      <c r="Y386" t="s">
        <v>66</v>
      </c>
      <c r="AA386">
        <v>0</v>
      </c>
      <c r="AB386" t="s">
        <v>79</v>
      </c>
      <c r="AC386" t="s">
        <v>87</v>
      </c>
      <c r="AD386">
        <v>36</v>
      </c>
      <c r="AE386">
        <v>9</v>
      </c>
      <c r="AF386">
        <v>3</v>
      </c>
      <c r="AG386">
        <v>2025</v>
      </c>
      <c r="AH386" s="2">
        <v>3600</v>
      </c>
      <c r="AI386" s="2">
        <v>4647.60107421875</v>
      </c>
      <c r="AJ386" s="2">
        <f t="shared" si="40"/>
        <v>1047.60107421875</v>
      </c>
      <c r="AK386" s="6">
        <f t="shared" si="41"/>
        <v>0.29100029839409725</v>
      </c>
      <c r="AL386" s="12">
        <v>3600</v>
      </c>
      <c r="AM386" s="12">
        <v>4352.4520129638468</v>
      </c>
      <c r="AN386" s="12">
        <f t="shared" si="42"/>
        <v>752.45201296384676</v>
      </c>
      <c r="AO386" s="13">
        <f t="shared" si="43"/>
        <v>0.20901444804551297</v>
      </c>
      <c r="AP386" s="16">
        <v>3600</v>
      </c>
      <c r="AQ386" s="16">
        <v>4057.232018795261</v>
      </c>
      <c r="AR386" s="16">
        <f t="shared" si="44"/>
        <v>457.23201879526096</v>
      </c>
      <c r="AS386" s="17">
        <f t="shared" si="45"/>
        <v>0.12700889410979471</v>
      </c>
      <c r="AT386" s="20">
        <v>3600</v>
      </c>
      <c r="AU386" s="20">
        <v>4693.85595703125</v>
      </c>
      <c r="AV386" s="20">
        <f t="shared" si="46"/>
        <v>1093.85595703125</v>
      </c>
      <c r="AW386" s="21">
        <f t="shared" si="47"/>
        <v>0.30384887695312501</v>
      </c>
    </row>
    <row r="387" spans="1:49" x14ac:dyDescent="0.25">
      <c r="A387" t="s">
        <v>38</v>
      </c>
      <c r="B387" t="s">
        <v>96</v>
      </c>
      <c r="C387">
        <v>100003</v>
      </c>
      <c r="D387">
        <v>2017</v>
      </c>
      <c r="E387" t="s">
        <v>162</v>
      </c>
      <c r="F387" t="s">
        <v>674</v>
      </c>
      <c r="G387" t="s">
        <v>728</v>
      </c>
      <c r="I387">
        <v>4</v>
      </c>
      <c r="J387" t="s">
        <v>43</v>
      </c>
      <c r="K387">
        <v>4</v>
      </c>
      <c r="L387" t="s">
        <v>44</v>
      </c>
      <c r="M387">
        <v>2</v>
      </c>
      <c r="N387" t="s">
        <v>45</v>
      </c>
      <c r="O387" t="s">
        <v>190</v>
      </c>
      <c r="P387">
        <v>2</v>
      </c>
      <c r="Q387" t="s">
        <v>62</v>
      </c>
      <c r="R387" t="s">
        <v>63</v>
      </c>
      <c r="S387" t="s">
        <v>49</v>
      </c>
      <c r="T387">
        <v>164</v>
      </c>
      <c r="U387" t="s">
        <v>50</v>
      </c>
      <c r="W387" t="s">
        <v>729</v>
      </c>
      <c r="X387" t="s">
        <v>65</v>
      </c>
      <c r="Y387" t="s">
        <v>66</v>
      </c>
      <c r="AA387">
        <v>0</v>
      </c>
      <c r="AB387" t="s">
        <v>79</v>
      </c>
      <c r="AC387" t="s">
        <v>87</v>
      </c>
      <c r="AD387">
        <v>36</v>
      </c>
      <c r="AE387">
        <v>9</v>
      </c>
      <c r="AF387">
        <v>3</v>
      </c>
      <c r="AG387">
        <v>2025</v>
      </c>
      <c r="AH387" s="2">
        <v>3400</v>
      </c>
      <c r="AI387" s="2">
        <v>3574.297607421875</v>
      </c>
      <c r="AJ387" s="2">
        <f t="shared" ref="AJ387:AJ450" si="48">ABS(AH387-AI387)</f>
        <v>174.297607421875</v>
      </c>
      <c r="AK387" s="6">
        <f t="shared" ref="AK387:AK450" si="49">ABS($AH387-AI387)/$AH387</f>
        <v>5.126400218290441E-2</v>
      </c>
      <c r="AL387" s="12">
        <v>3400</v>
      </c>
      <c r="AM387" s="12">
        <v>2520.5936165211278</v>
      </c>
      <c r="AN387" s="12">
        <f t="shared" ref="AN387:AN450" si="50">ABS(AL387-AM387)</f>
        <v>879.40638347887216</v>
      </c>
      <c r="AO387" s="13">
        <f t="shared" ref="AO387:AO450" si="51">ABS($AH387-AM387)/$AH387</f>
        <v>0.25864893631731534</v>
      </c>
      <c r="AP387" s="16">
        <v>3400</v>
      </c>
      <c r="AQ387" s="16">
        <v>2892.012010322941</v>
      </c>
      <c r="AR387" s="16">
        <f t="shared" ref="AR387:AR450" si="52">ABS(AP387-AQ387)</f>
        <v>507.98798967705898</v>
      </c>
      <c r="AS387" s="17">
        <f t="shared" ref="AS387:AS450" si="53">ABS($AH387-AQ387)/$AH387</f>
        <v>0.14940823225795852</v>
      </c>
      <c r="AT387" s="20">
        <v>3400</v>
      </c>
      <c r="AU387" s="20">
        <v>3461.040283203125</v>
      </c>
      <c r="AV387" s="20">
        <f t="shared" ref="AV387:AV450" si="54">ABS(AT387-AU387)</f>
        <v>61.040283203125</v>
      </c>
      <c r="AW387" s="21">
        <f t="shared" ref="AW387:AW450" si="55">ABS($AH387-AU387)/$AH387</f>
        <v>1.7953024471507352E-2</v>
      </c>
    </row>
    <row r="388" spans="1:49" x14ac:dyDescent="0.25">
      <c r="A388" t="s">
        <v>38</v>
      </c>
      <c r="B388" t="s">
        <v>96</v>
      </c>
      <c r="C388">
        <v>85648</v>
      </c>
      <c r="D388">
        <v>2022</v>
      </c>
      <c r="E388" t="s">
        <v>97</v>
      </c>
      <c r="F388" t="s">
        <v>154</v>
      </c>
      <c r="G388" t="s">
        <v>730</v>
      </c>
      <c r="I388">
        <v>6</v>
      </c>
      <c r="J388" t="s">
        <v>61</v>
      </c>
      <c r="K388">
        <v>4</v>
      </c>
      <c r="L388" t="s">
        <v>44</v>
      </c>
      <c r="M388">
        <v>3.6</v>
      </c>
      <c r="N388" t="s">
        <v>91</v>
      </c>
      <c r="O388" t="s">
        <v>46</v>
      </c>
      <c r="P388">
        <v>4</v>
      </c>
      <c r="Q388" t="s">
        <v>74</v>
      </c>
      <c r="R388" t="s">
        <v>92</v>
      </c>
      <c r="S388" t="s">
        <v>93</v>
      </c>
      <c r="U388" t="s">
        <v>50</v>
      </c>
      <c r="V388" t="s">
        <v>76</v>
      </c>
      <c r="W388" t="s">
        <v>731</v>
      </c>
      <c r="X388" t="s">
        <v>141</v>
      </c>
      <c r="Y388" t="s">
        <v>78</v>
      </c>
      <c r="AA388">
        <v>0</v>
      </c>
      <c r="AB388" t="s">
        <v>79</v>
      </c>
      <c r="AC388" t="s">
        <v>95</v>
      </c>
      <c r="AD388">
        <v>36</v>
      </c>
      <c r="AE388">
        <v>9</v>
      </c>
      <c r="AF388">
        <v>3</v>
      </c>
      <c r="AG388">
        <v>2025</v>
      </c>
      <c r="AH388" s="2">
        <v>26400</v>
      </c>
      <c r="AI388" s="2">
        <v>26378.908203125</v>
      </c>
      <c r="AJ388" s="2">
        <f t="shared" si="48"/>
        <v>21.091796875</v>
      </c>
      <c r="AK388" s="6">
        <f t="shared" si="49"/>
        <v>7.9893169981060607E-4</v>
      </c>
      <c r="AL388" s="12">
        <v>26400</v>
      </c>
      <c r="AM388" s="12">
        <v>26088.209258443399</v>
      </c>
      <c r="AN388" s="12">
        <f t="shared" si="50"/>
        <v>311.79074155660055</v>
      </c>
      <c r="AO388" s="13">
        <f t="shared" si="51"/>
        <v>1.1810255361992445E-2</v>
      </c>
      <c r="AP388" s="16">
        <v>26400</v>
      </c>
      <c r="AQ388" s="16">
        <v>24384.720324533449</v>
      </c>
      <c r="AR388" s="16">
        <f t="shared" si="52"/>
        <v>2015.2796754665505</v>
      </c>
      <c r="AS388" s="17">
        <f t="shared" si="53"/>
        <v>7.6336351343429948E-2</v>
      </c>
      <c r="AT388" s="20">
        <v>26400</v>
      </c>
      <c r="AU388" s="20">
        <v>26123.09375</v>
      </c>
      <c r="AV388" s="20">
        <f t="shared" si="54"/>
        <v>276.90625</v>
      </c>
      <c r="AW388" s="21">
        <f t="shared" si="55"/>
        <v>1.0488873106060606E-2</v>
      </c>
    </row>
    <row r="389" spans="1:49" x14ac:dyDescent="0.25">
      <c r="A389" t="s">
        <v>38</v>
      </c>
      <c r="B389" t="s">
        <v>96</v>
      </c>
      <c r="C389">
        <v>135185</v>
      </c>
      <c r="D389">
        <v>2016</v>
      </c>
      <c r="E389" t="s">
        <v>58</v>
      </c>
      <c r="F389" t="s">
        <v>391</v>
      </c>
      <c r="G389" t="s">
        <v>221</v>
      </c>
      <c r="I389">
        <v>4</v>
      </c>
      <c r="J389" t="s">
        <v>72</v>
      </c>
      <c r="K389">
        <v>4</v>
      </c>
      <c r="L389" t="s">
        <v>44</v>
      </c>
      <c r="M389">
        <v>2.4</v>
      </c>
      <c r="N389" t="s">
        <v>45</v>
      </c>
      <c r="O389" t="s">
        <v>100</v>
      </c>
      <c r="P389">
        <v>2</v>
      </c>
      <c r="Q389" t="s">
        <v>47</v>
      </c>
      <c r="R389" t="s">
        <v>123</v>
      </c>
      <c r="U389" t="s">
        <v>50</v>
      </c>
      <c r="W389" t="s">
        <v>732</v>
      </c>
      <c r="X389" t="s">
        <v>125</v>
      </c>
      <c r="Y389" t="s">
        <v>78</v>
      </c>
      <c r="AA389">
        <v>0</v>
      </c>
      <c r="AB389" t="s">
        <v>79</v>
      </c>
      <c r="AC389" t="s">
        <v>127</v>
      </c>
      <c r="AD389">
        <v>36</v>
      </c>
      <c r="AE389">
        <v>9</v>
      </c>
      <c r="AF389">
        <v>3</v>
      </c>
      <c r="AG389">
        <v>2025</v>
      </c>
      <c r="AH389" s="2">
        <v>1700</v>
      </c>
      <c r="AI389" s="2">
        <v>1286.857299804688</v>
      </c>
      <c r="AJ389" s="2">
        <f t="shared" si="48"/>
        <v>413.14270019531205</v>
      </c>
      <c r="AK389" s="6">
        <f t="shared" si="49"/>
        <v>0.24302511776194827</v>
      </c>
      <c r="AL389" s="12">
        <v>1700</v>
      </c>
      <c r="AM389" s="12">
        <v>1442.6096671884609</v>
      </c>
      <c r="AN389" s="12">
        <f t="shared" si="50"/>
        <v>257.39033281153911</v>
      </c>
      <c r="AO389" s="13">
        <f t="shared" si="51"/>
        <v>0.15140607812443477</v>
      </c>
      <c r="AP389" s="16">
        <v>1700</v>
      </c>
      <c r="AQ389" s="16">
        <v>1193.471551009711</v>
      </c>
      <c r="AR389" s="16">
        <f t="shared" si="52"/>
        <v>506.52844899028901</v>
      </c>
      <c r="AS389" s="17">
        <f t="shared" si="53"/>
        <v>0.29795791117075826</v>
      </c>
      <c r="AT389" s="20">
        <v>1700</v>
      </c>
      <c r="AU389" s="20">
        <v>1271.897094726562</v>
      </c>
      <c r="AV389" s="20">
        <f t="shared" si="54"/>
        <v>428.10290527343795</v>
      </c>
      <c r="AW389" s="21">
        <f t="shared" si="55"/>
        <v>0.25182523839613996</v>
      </c>
    </row>
    <row r="390" spans="1:49" x14ac:dyDescent="0.25">
      <c r="A390" t="s">
        <v>38</v>
      </c>
      <c r="B390" t="s">
        <v>110</v>
      </c>
      <c r="C390">
        <v>98212</v>
      </c>
      <c r="D390">
        <v>2015</v>
      </c>
      <c r="E390" t="s">
        <v>305</v>
      </c>
      <c r="F390" t="s">
        <v>733</v>
      </c>
      <c r="G390" t="s">
        <v>199</v>
      </c>
      <c r="I390">
        <v>4</v>
      </c>
      <c r="J390" t="s">
        <v>43</v>
      </c>
      <c r="K390">
        <v>4</v>
      </c>
      <c r="L390" t="s">
        <v>44</v>
      </c>
      <c r="M390">
        <v>2</v>
      </c>
      <c r="N390" t="s">
        <v>45</v>
      </c>
      <c r="O390" t="s">
        <v>46</v>
      </c>
      <c r="P390">
        <v>2</v>
      </c>
      <c r="Q390" t="s">
        <v>62</v>
      </c>
      <c r="R390" t="s">
        <v>63</v>
      </c>
      <c r="S390" t="s">
        <v>49</v>
      </c>
      <c r="T390">
        <v>240</v>
      </c>
      <c r="U390" t="s">
        <v>50</v>
      </c>
      <c r="V390" t="s">
        <v>51</v>
      </c>
      <c r="X390" t="s">
        <v>65</v>
      </c>
      <c r="Y390" t="s">
        <v>78</v>
      </c>
      <c r="AA390">
        <v>0</v>
      </c>
      <c r="AB390" t="s">
        <v>79</v>
      </c>
      <c r="AC390" t="s">
        <v>87</v>
      </c>
      <c r="AD390">
        <v>36</v>
      </c>
      <c r="AE390">
        <v>9</v>
      </c>
      <c r="AF390">
        <v>3</v>
      </c>
      <c r="AG390">
        <v>2025</v>
      </c>
      <c r="AH390" s="2">
        <v>5500</v>
      </c>
      <c r="AI390" s="2">
        <v>3788.709228515625</v>
      </c>
      <c r="AJ390" s="2">
        <f t="shared" si="48"/>
        <v>1711.290771484375</v>
      </c>
      <c r="AK390" s="6">
        <f t="shared" si="49"/>
        <v>0.31114377663352272</v>
      </c>
      <c r="AL390" s="12">
        <v>5500</v>
      </c>
      <c r="AM390" s="12">
        <v>3784.7193988448821</v>
      </c>
      <c r="AN390" s="12">
        <f t="shared" si="50"/>
        <v>1715.2806011551179</v>
      </c>
      <c r="AO390" s="13">
        <f t="shared" si="51"/>
        <v>0.31186920021002146</v>
      </c>
      <c r="AP390" s="16">
        <v>5500</v>
      </c>
      <c r="AQ390" s="16">
        <v>4194.5700240423084</v>
      </c>
      <c r="AR390" s="16">
        <f t="shared" si="52"/>
        <v>1305.4299759576916</v>
      </c>
      <c r="AS390" s="17">
        <f t="shared" si="53"/>
        <v>0.23735090471958029</v>
      </c>
      <c r="AT390" s="20">
        <v>5500</v>
      </c>
      <c r="AU390" s="20">
        <v>3830.672607421875</v>
      </c>
      <c r="AV390" s="20">
        <f t="shared" si="54"/>
        <v>1669.327392578125</v>
      </c>
      <c r="AW390" s="21">
        <f t="shared" si="55"/>
        <v>0.30351407137784092</v>
      </c>
    </row>
    <row r="391" spans="1:49" x14ac:dyDescent="0.25">
      <c r="A391" t="s">
        <v>38</v>
      </c>
      <c r="B391" t="s">
        <v>110</v>
      </c>
      <c r="C391">
        <v>81458</v>
      </c>
      <c r="D391">
        <v>2017</v>
      </c>
      <c r="E391" t="s">
        <v>58</v>
      </c>
      <c r="F391" t="s">
        <v>243</v>
      </c>
      <c r="G391" t="s">
        <v>734</v>
      </c>
      <c r="I391">
        <v>4</v>
      </c>
      <c r="J391" t="s">
        <v>61</v>
      </c>
      <c r="K391">
        <v>4</v>
      </c>
      <c r="L391" t="s">
        <v>44</v>
      </c>
      <c r="M391">
        <v>2</v>
      </c>
      <c r="N391" t="s">
        <v>45</v>
      </c>
      <c r="Q391" t="s">
        <v>47</v>
      </c>
      <c r="R391" t="s">
        <v>123</v>
      </c>
      <c r="T391">
        <v>147</v>
      </c>
      <c r="U391" t="s">
        <v>50</v>
      </c>
      <c r="W391" t="s">
        <v>463</v>
      </c>
      <c r="X391" t="s">
        <v>125</v>
      </c>
      <c r="Y391" t="s">
        <v>126</v>
      </c>
      <c r="AA391">
        <v>0</v>
      </c>
      <c r="AB391" t="s">
        <v>79</v>
      </c>
      <c r="AC391" t="s">
        <v>127</v>
      </c>
      <c r="AD391">
        <v>36</v>
      </c>
      <c r="AE391">
        <v>9</v>
      </c>
      <c r="AF391">
        <v>3</v>
      </c>
      <c r="AG391">
        <v>2025</v>
      </c>
      <c r="AH391" s="2">
        <v>2800</v>
      </c>
      <c r="AI391" s="2">
        <v>4443.0888671875</v>
      </c>
      <c r="AJ391" s="2">
        <f t="shared" si="48"/>
        <v>1643.0888671875</v>
      </c>
      <c r="AK391" s="6">
        <f t="shared" si="49"/>
        <v>0.58681745256696427</v>
      </c>
      <c r="AL391" s="12">
        <v>2800</v>
      </c>
      <c r="AM391" s="12">
        <v>5313.654244991727</v>
      </c>
      <c r="AN391" s="12">
        <f t="shared" si="50"/>
        <v>2513.654244991727</v>
      </c>
      <c r="AO391" s="13">
        <f t="shared" si="51"/>
        <v>0.89773365892561674</v>
      </c>
      <c r="AP391" s="16">
        <v>2800</v>
      </c>
      <c r="AQ391" s="16">
        <v>4323.9090254609546</v>
      </c>
      <c r="AR391" s="16">
        <f t="shared" si="52"/>
        <v>1523.9090254609546</v>
      </c>
      <c r="AS391" s="17">
        <f t="shared" si="53"/>
        <v>0.54425322337891235</v>
      </c>
      <c r="AT391" s="20">
        <v>2800</v>
      </c>
      <c r="AU391" s="20">
        <v>4527.7421875</v>
      </c>
      <c r="AV391" s="20">
        <f t="shared" si="54"/>
        <v>1727.7421875</v>
      </c>
      <c r="AW391" s="21">
        <f t="shared" si="55"/>
        <v>0.61705078125000001</v>
      </c>
    </row>
    <row r="392" spans="1:49" x14ac:dyDescent="0.25">
      <c r="A392" t="s">
        <v>38</v>
      </c>
      <c r="B392" t="s">
        <v>39</v>
      </c>
      <c r="C392">
        <v>168675</v>
      </c>
      <c r="D392">
        <v>2018</v>
      </c>
      <c r="E392" t="s">
        <v>40</v>
      </c>
      <c r="F392" t="s">
        <v>233</v>
      </c>
      <c r="G392" t="s">
        <v>572</v>
      </c>
      <c r="H392" t="s">
        <v>453</v>
      </c>
      <c r="I392">
        <v>4</v>
      </c>
      <c r="J392" t="s">
        <v>735</v>
      </c>
      <c r="K392">
        <v>4</v>
      </c>
      <c r="L392" t="s">
        <v>44</v>
      </c>
      <c r="M392">
        <v>2.5</v>
      </c>
      <c r="N392" t="s">
        <v>45</v>
      </c>
      <c r="O392" t="s">
        <v>46</v>
      </c>
      <c r="Q392" t="s">
        <v>62</v>
      </c>
      <c r="R392" t="s">
        <v>63</v>
      </c>
      <c r="S392" t="s">
        <v>49</v>
      </c>
      <c r="T392">
        <v>176</v>
      </c>
      <c r="U392" t="s">
        <v>50</v>
      </c>
      <c r="V392" t="s">
        <v>51</v>
      </c>
      <c r="W392" t="s">
        <v>236</v>
      </c>
      <c r="X392" t="s">
        <v>65</v>
      </c>
      <c r="Y392" t="s">
        <v>103</v>
      </c>
      <c r="Z392">
        <v>24660</v>
      </c>
      <c r="AA392">
        <v>0</v>
      </c>
      <c r="AB392" t="s">
        <v>79</v>
      </c>
      <c r="AC392" t="s">
        <v>87</v>
      </c>
      <c r="AD392">
        <v>36</v>
      </c>
      <c r="AE392">
        <v>9</v>
      </c>
      <c r="AF392">
        <v>3</v>
      </c>
      <c r="AG392">
        <v>2025</v>
      </c>
      <c r="AH392" s="2">
        <v>9250</v>
      </c>
      <c r="AI392" s="2">
        <v>7721.20849609375</v>
      </c>
      <c r="AJ392" s="2">
        <f t="shared" si="48"/>
        <v>1528.79150390625</v>
      </c>
      <c r="AK392" s="6">
        <f t="shared" si="49"/>
        <v>0.16527475717905404</v>
      </c>
      <c r="AL392" s="12">
        <v>9250</v>
      </c>
      <c r="AM392" s="12">
        <v>6493.9869555601663</v>
      </c>
      <c r="AN392" s="12">
        <f t="shared" si="50"/>
        <v>2756.0130444398337</v>
      </c>
      <c r="AO392" s="13">
        <f t="shared" si="51"/>
        <v>0.29794735615565771</v>
      </c>
      <c r="AP392" s="16">
        <v>9250</v>
      </c>
      <c r="AQ392" s="16">
        <v>5757.6968515484541</v>
      </c>
      <c r="AR392" s="16">
        <f t="shared" si="52"/>
        <v>3492.3031484515459</v>
      </c>
      <c r="AS392" s="17">
        <f t="shared" si="53"/>
        <v>0.37754628631908604</v>
      </c>
      <c r="AT392" s="20">
        <v>9250</v>
      </c>
      <c r="AU392" s="20">
        <v>7600.8994140625</v>
      </c>
      <c r="AV392" s="20">
        <f t="shared" si="54"/>
        <v>1649.1005859375</v>
      </c>
      <c r="AW392" s="21">
        <f t="shared" si="55"/>
        <v>0.17828114442567566</v>
      </c>
    </row>
    <row r="393" spans="1:49" x14ac:dyDescent="0.25">
      <c r="A393" t="s">
        <v>38</v>
      </c>
      <c r="B393" t="s">
        <v>96</v>
      </c>
      <c r="C393">
        <v>38311</v>
      </c>
      <c r="D393">
        <v>2021</v>
      </c>
      <c r="E393" t="s">
        <v>162</v>
      </c>
      <c r="F393" t="s">
        <v>736</v>
      </c>
      <c r="G393" t="s">
        <v>118</v>
      </c>
      <c r="I393">
        <v>4</v>
      </c>
      <c r="J393" t="s">
        <v>122</v>
      </c>
      <c r="K393">
        <v>4</v>
      </c>
      <c r="L393" t="s">
        <v>44</v>
      </c>
      <c r="M393">
        <v>1.6</v>
      </c>
      <c r="N393" t="s">
        <v>45</v>
      </c>
      <c r="O393" t="s">
        <v>46</v>
      </c>
      <c r="P393">
        <v>4</v>
      </c>
      <c r="Q393" t="s">
        <v>62</v>
      </c>
      <c r="R393" t="s">
        <v>63</v>
      </c>
      <c r="S393" t="s">
        <v>49</v>
      </c>
      <c r="T393">
        <v>175</v>
      </c>
      <c r="U393" t="s">
        <v>50</v>
      </c>
      <c r="W393" t="s">
        <v>726</v>
      </c>
      <c r="X393" t="s">
        <v>65</v>
      </c>
      <c r="Y393" t="s">
        <v>66</v>
      </c>
      <c r="AA393">
        <v>0</v>
      </c>
      <c r="AB393" t="s">
        <v>79</v>
      </c>
      <c r="AC393" t="s">
        <v>87</v>
      </c>
      <c r="AD393">
        <v>36</v>
      </c>
      <c r="AE393">
        <v>9</v>
      </c>
      <c r="AF393">
        <v>3</v>
      </c>
      <c r="AG393">
        <v>2025</v>
      </c>
      <c r="AH393" s="2">
        <v>17000</v>
      </c>
      <c r="AI393" s="2">
        <v>19076.921875</v>
      </c>
      <c r="AJ393" s="2">
        <f t="shared" si="48"/>
        <v>2076.921875</v>
      </c>
      <c r="AK393" s="6">
        <f t="shared" si="49"/>
        <v>0.122171875</v>
      </c>
      <c r="AL393" s="12">
        <v>17000</v>
      </c>
      <c r="AM393" s="12">
        <v>18897.809822516021</v>
      </c>
      <c r="AN393" s="12">
        <f t="shared" si="50"/>
        <v>1897.8098225160211</v>
      </c>
      <c r="AO393" s="13">
        <f t="shared" si="51"/>
        <v>0.11163587191270712</v>
      </c>
      <c r="AP393" s="16">
        <v>17000</v>
      </c>
      <c r="AQ393" s="16">
        <v>15941.64417701722</v>
      </c>
      <c r="AR393" s="16">
        <f t="shared" si="52"/>
        <v>1058.3558229827795</v>
      </c>
      <c r="AS393" s="17">
        <f t="shared" si="53"/>
        <v>6.2256224881339972E-2</v>
      </c>
      <c r="AT393" s="20">
        <v>17000</v>
      </c>
      <c r="AU393" s="20">
        <v>18841.35546875</v>
      </c>
      <c r="AV393" s="20">
        <f t="shared" si="54"/>
        <v>1841.35546875</v>
      </c>
      <c r="AW393" s="21">
        <f t="shared" si="55"/>
        <v>0.10831502757352941</v>
      </c>
    </row>
    <row r="394" spans="1:49" x14ac:dyDescent="0.25">
      <c r="A394" t="s">
        <v>38</v>
      </c>
      <c r="B394" t="s">
        <v>110</v>
      </c>
      <c r="C394">
        <v>244516</v>
      </c>
      <c r="D394">
        <v>2007</v>
      </c>
      <c r="E394" t="s">
        <v>166</v>
      </c>
      <c r="F394" t="s">
        <v>223</v>
      </c>
      <c r="G394" t="s">
        <v>168</v>
      </c>
      <c r="I394">
        <v>6</v>
      </c>
      <c r="J394" t="s">
        <v>277</v>
      </c>
      <c r="K394">
        <v>4</v>
      </c>
      <c r="L394" t="s">
        <v>44</v>
      </c>
      <c r="M394">
        <v>3.5</v>
      </c>
      <c r="N394" t="s">
        <v>45</v>
      </c>
      <c r="Q394" t="s">
        <v>62</v>
      </c>
      <c r="R394" t="s">
        <v>225</v>
      </c>
      <c r="T394">
        <v>244</v>
      </c>
      <c r="U394" t="s">
        <v>50</v>
      </c>
      <c r="V394" t="s">
        <v>76</v>
      </c>
      <c r="W394" t="s">
        <v>737</v>
      </c>
      <c r="X394" t="s">
        <v>141</v>
      </c>
      <c r="Y394" t="s">
        <v>78</v>
      </c>
      <c r="AA394">
        <v>0</v>
      </c>
      <c r="AB394" t="s">
        <v>79</v>
      </c>
      <c r="AC394" t="s">
        <v>225</v>
      </c>
      <c r="AD394">
        <v>36</v>
      </c>
      <c r="AE394">
        <v>9</v>
      </c>
      <c r="AF394">
        <v>3</v>
      </c>
      <c r="AG394">
        <v>2025</v>
      </c>
      <c r="AH394" s="2">
        <v>900</v>
      </c>
      <c r="AI394" s="2">
        <v>1000.972778320312</v>
      </c>
      <c r="AJ394" s="2">
        <f t="shared" si="48"/>
        <v>100.97277832031205</v>
      </c>
      <c r="AK394" s="6">
        <f t="shared" si="49"/>
        <v>0.11219197591145783</v>
      </c>
      <c r="AL394" s="12">
        <v>900</v>
      </c>
      <c r="AM394" s="12">
        <v>1084.946048283613</v>
      </c>
      <c r="AN394" s="12">
        <f t="shared" si="50"/>
        <v>184.94604828361298</v>
      </c>
      <c r="AO394" s="13">
        <f t="shared" si="51"/>
        <v>0.20549560920401441</v>
      </c>
      <c r="AP394" s="16">
        <v>900</v>
      </c>
      <c r="AQ394" s="16">
        <v>792.85717195781365</v>
      </c>
      <c r="AR394" s="16">
        <f t="shared" si="52"/>
        <v>107.14282804218635</v>
      </c>
      <c r="AS394" s="17">
        <f t="shared" si="53"/>
        <v>0.11904758671354039</v>
      </c>
      <c r="AT394" s="20">
        <v>900</v>
      </c>
      <c r="AU394" s="20">
        <v>994.15863037109375</v>
      </c>
      <c r="AV394" s="20">
        <f t="shared" si="54"/>
        <v>94.15863037109375</v>
      </c>
      <c r="AW394" s="21">
        <f t="shared" si="55"/>
        <v>0.10462070041232639</v>
      </c>
    </row>
    <row r="395" spans="1:49" x14ac:dyDescent="0.25">
      <c r="A395" t="s">
        <v>81</v>
      </c>
      <c r="B395" t="s">
        <v>186</v>
      </c>
      <c r="C395">
        <v>5348</v>
      </c>
      <c r="D395">
        <v>2024</v>
      </c>
      <c r="E395" t="s">
        <v>162</v>
      </c>
      <c r="F395" t="s">
        <v>211</v>
      </c>
      <c r="G395" t="s">
        <v>738</v>
      </c>
      <c r="I395">
        <v>4</v>
      </c>
      <c r="J395" t="s">
        <v>43</v>
      </c>
      <c r="K395">
        <v>4</v>
      </c>
      <c r="L395" t="s">
        <v>44</v>
      </c>
      <c r="M395">
        <v>2</v>
      </c>
      <c r="N395" t="s">
        <v>45</v>
      </c>
      <c r="O395" t="s">
        <v>46</v>
      </c>
      <c r="Q395" t="s">
        <v>47</v>
      </c>
      <c r="R395" t="s">
        <v>123</v>
      </c>
      <c r="U395" t="s">
        <v>50</v>
      </c>
      <c r="W395" t="s">
        <v>739</v>
      </c>
      <c r="X395" t="s">
        <v>53</v>
      </c>
      <c r="Y395" t="s">
        <v>66</v>
      </c>
      <c r="AA395">
        <v>0</v>
      </c>
      <c r="AB395" t="s">
        <v>79</v>
      </c>
      <c r="AC395" t="s">
        <v>127</v>
      </c>
      <c r="AD395">
        <v>36</v>
      </c>
      <c r="AE395">
        <v>9</v>
      </c>
      <c r="AF395">
        <v>3</v>
      </c>
      <c r="AG395">
        <v>2025</v>
      </c>
      <c r="AH395" s="2">
        <v>20000</v>
      </c>
      <c r="AI395" s="2">
        <v>18633.630859375</v>
      </c>
      <c r="AJ395" s="2">
        <f t="shared" si="48"/>
        <v>1366.369140625</v>
      </c>
      <c r="AK395" s="6">
        <f t="shared" si="49"/>
        <v>6.8318457031250002E-2</v>
      </c>
      <c r="AL395" s="12">
        <v>20000</v>
      </c>
      <c r="AM395" s="12">
        <v>20028.949668358451</v>
      </c>
      <c r="AN395" s="12">
        <f t="shared" si="50"/>
        <v>28.949668358451163</v>
      </c>
      <c r="AO395" s="13">
        <f t="shared" si="51"/>
        <v>1.4474834179225582E-3</v>
      </c>
      <c r="AP395" s="16">
        <v>20000</v>
      </c>
      <c r="AQ395" s="16">
        <v>17555.149997098531</v>
      </c>
      <c r="AR395" s="16">
        <f t="shared" si="52"/>
        <v>2444.8500029014685</v>
      </c>
      <c r="AS395" s="17">
        <f t="shared" si="53"/>
        <v>0.12224250014507343</v>
      </c>
      <c r="AT395" s="20">
        <v>20000</v>
      </c>
      <c r="AU395" s="20">
        <v>18818.6015625</v>
      </c>
      <c r="AV395" s="20">
        <f t="shared" si="54"/>
        <v>1181.3984375</v>
      </c>
      <c r="AW395" s="21">
        <f t="shared" si="55"/>
        <v>5.9069921875E-2</v>
      </c>
    </row>
    <row r="396" spans="1:49" x14ac:dyDescent="0.25">
      <c r="A396" t="s">
        <v>38</v>
      </c>
      <c r="B396" t="s">
        <v>96</v>
      </c>
      <c r="C396">
        <v>124765</v>
      </c>
      <c r="D396">
        <v>2015</v>
      </c>
      <c r="E396" t="s">
        <v>341</v>
      </c>
      <c r="F396" t="s">
        <v>521</v>
      </c>
      <c r="G396" t="s">
        <v>740</v>
      </c>
      <c r="I396">
        <v>6</v>
      </c>
      <c r="J396" t="s">
        <v>735</v>
      </c>
      <c r="K396">
        <v>4</v>
      </c>
      <c r="L396" t="s">
        <v>44</v>
      </c>
      <c r="M396">
        <v>3.6</v>
      </c>
      <c r="N396" t="s">
        <v>45</v>
      </c>
      <c r="O396" t="s">
        <v>46</v>
      </c>
      <c r="Q396" t="s">
        <v>47</v>
      </c>
      <c r="R396" t="s">
        <v>123</v>
      </c>
      <c r="U396" t="s">
        <v>50</v>
      </c>
      <c r="W396" t="s">
        <v>406</v>
      </c>
      <c r="X396" t="s">
        <v>125</v>
      </c>
      <c r="Y396" t="s">
        <v>78</v>
      </c>
      <c r="AA396">
        <v>0</v>
      </c>
      <c r="AB396" t="s">
        <v>79</v>
      </c>
      <c r="AC396" t="s">
        <v>127</v>
      </c>
      <c r="AD396">
        <v>36</v>
      </c>
      <c r="AE396">
        <v>9</v>
      </c>
      <c r="AF396">
        <v>3</v>
      </c>
      <c r="AG396">
        <v>2025</v>
      </c>
      <c r="AH396" s="2">
        <v>6700</v>
      </c>
      <c r="AI396" s="2">
        <v>4870.2646484375</v>
      </c>
      <c r="AJ396" s="2">
        <f t="shared" si="48"/>
        <v>1829.7353515625</v>
      </c>
      <c r="AK396" s="6">
        <f t="shared" si="49"/>
        <v>0.27309482859141793</v>
      </c>
      <c r="AL396" s="12">
        <v>6700</v>
      </c>
      <c r="AM396" s="12">
        <v>4291.6200059707826</v>
      </c>
      <c r="AN396" s="12">
        <f t="shared" si="50"/>
        <v>2408.3799940292174</v>
      </c>
      <c r="AO396" s="13">
        <f t="shared" si="51"/>
        <v>0.35945970060137572</v>
      </c>
      <c r="AP396" s="16">
        <v>6700</v>
      </c>
      <c r="AQ396" s="16">
        <v>4317.2880684733173</v>
      </c>
      <c r="AR396" s="16">
        <f t="shared" si="52"/>
        <v>2382.7119315266827</v>
      </c>
      <c r="AS396" s="17">
        <f t="shared" si="53"/>
        <v>0.35562864649651982</v>
      </c>
      <c r="AT396" s="20">
        <v>6700</v>
      </c>
      <c r="AU396" s="20">
        <v>4924.59375</v>
      </c>
      <c r="AV396" s="20">
        <f t="shared" si="54"/>
        <v>1775.40625</v>
      </c>
      <c r="AW396" s="21">
        <f t="shared" si="55"/>
        <v>0.26498600746268658</v>
      </c>
    </row>
    <row r="397" spans="1:49" x14ac:dyDescent="0.25">
      <c r="A397" t="s">
        <v>38</v>
      </c>
      <c r="B397" t="s">
        <v>57</v>
      </c>
      <c r="C397">
        <v>42191</v>
      </c>
      <c r="D397">
        <v>2021</v>
      </c>
      <c r="E397" t="s">
        <v>263</v>
      </c>
      <c r="F397" t="s">
        <v>741</v>
      </c>
      <c r="G397" t="s">
        <v>742</v>
      </c>
      <c r="I397">
        <v>4</v>
      </c>
      <c r="J397" t="s">
        <v>106</v>
      </c>
      <c r="K397">
        <v>4</v>
      </c>
      <c r="L397" t="s">
        <v>44</v>
      </c>
      <c r="M397">
        <v>2.5</v>
      </c>
      <c r="N397" t="s">
        <v>44</v>
      </c>
      <c r="O397" t="s">
        <v>46</v>
      </c>
      <c r="P397">
        <v>4</v>
      </c>
      <c r="Q397" t="s">
        <v>62</v>
      </c>
      <c r="R397" t="s">
        <v>63</v>
      </c>
      <c r="S397" t="s">
        <v>93</v>
      </c>
      <c r="T397">
        <v>186</v>
      </c>
      <c r="U397" t="s">
        <v>50</v>
      </c>
      <c r="V397" t="s">
        <v>51</v>
      </c>
      <c r="W397" t="s">
        <v>266</v>
      </c>
      <c r="X397" t="s">
        <v>65</v>
      </c>
      <c r="Y397" t="s">
        <v>126</v>
      </c>
      <c r="AA397">
        <v>0</v>
      </c>
      <c r="AB397" t="s">
        <v>79</v>
      </c>
      <c r="AC397" t="s">
        <v>87</v>
      </c>
      <c r="AD397">
        <v>36</v>
      </c>
      <c r="AE397">
        <v>9</v>
      </c>
      <c r="AF397">
        <v>3</v>
      </c>
      <c r="AG397">
        <v>2025</v>
      </c>
      <c r="AH397" s="2">
        <v>16000</v>
      </c>
      <c r="AI397" s="2">
        <v>19288.041015625</v>
      </c>
      <c r="AJ397" s="2">
        <f t="shared" si="48"/>
        <v>3288.041015625</v>
      </c>
      <c r="AK397" s="6">
        <f t="shared" si="49"/>
        <v>0.20550256347656251</v>
      </c>
      <c r="AL397" s="12">
        <v>16000</v>
      </c>
      <c r="AM397" s="12">
        <v>21732.679795577049</v>
      </c>
      <c r="AN397" s="12">
        <f t="shared" si="50"/>
        <v>5732.6797955770489</v>
      </c>
      <c r="AO397" s="13">
        <f t="shared" si="51"/>
        <v>0.35829248722356555</v>
      </c>
      <c r="AP397" s="16">
        <v>16000</v>
      </c>
      <c r="AQ397" s="16">
        <v>18448.57867323446</v>
      </c>
      <c r="AR397" s="16">
        <f t="shared" si="52"/>
        <v>2448.5786732344604</v>
      </c>
      <c r="AS397" s="17">
        <f t="shared" si="53"/>
        <v>0.15303616707715378</v>
      </c>
      <c r="AT397" s="20">
        <v>16000</v>
      </c>
      <c r="AU397" s="20">
        <v>19548.349609375</v>
      </c>
      <c r="AV397" s="20">
        <f t="shared" si="54"/>
        <v>3548.349609375</v>
      </c>
      <c r="AW397" s="21">
        <f t="shared" si="55"/>
        <v>0.22177185058593751</v>
      </c>
    </row>
    <row r="398" spans="1:49" x14ac:dyDescent="0.25">
      <c r="A398" t="s">
        <v>38</v>
      </c>
      <c r="B398" t="s">
        <v>39</v>
      </c>
      <c r="C398">
        <v>145287</v>
      </c>
      <c r="D398">
        <v>2016</v>
      </c>
      <c r="E398" t="s">
        <v>97</v>
      </c>
      <c r="F398" t="s">
        <v>98</v>
      </c>
      <c r="G398" t="s">
        <v>155</v>
      </c>
      <c r="I398">
        <v>4</v>
      </c>
      <c r="J398" t="s">
        <v>43</v>
      </c>
      <c r="K398">
        <v>4</v>
      </c>
      <c r="L398" t="s">
        <v>44</v>
      </c>
      <c r="M398">
        <v>2.4</v>
      </c>
      <c r="N398" t="s">
        <v>45</v>
      </c>
      <c r="O398" t="s">
        <v>46</v>
      </c>
      <c r="P398">
        <v>3</v>
      </c>
      <c r="Q398" t="s">
        <v>62</v>
      </c>
      <c r="R398" t="s">
        <v>63</v>
      </c>
      <c r="S398" t="s">
        <v>101</v>
      </c>
      <c r="U398" t="s">
        <v>50</v>
      </c>
      <c r="W398" t="s">
        <v>743</v>
      </c>
      <c r="X398" t="s">
        <v>65</v>
      </c>
      <c r="Y398" t="s">
        <v>103</v>
      </c>
      <c r="AA398">
        <v>0</v>
      </c>
      <c r="AB398" t="s">
        <v>79</v>
      </c>
      <c r="AC398" t="s">
        <v>87</v>
      </c>
      <c r="AD398">
        <v>36</v>
      </c>
      <c r="AE398">
        <v>9</v>
      </c>
      <c r="AF398">
        <v>3</v>
      </c>
      <c r="AG398">
        <v>2025</v>
      </c>
      <c r="AH398" s="2">
        <v>2600</v>
      </c>
      <c r="AI398" s="2">
        <v>4022.224609375</v>
      </c>
      <c r="AJ398" s="2">
        <f t="shared" si="48"/>
        <v>1422.224609375</v>
      </c>
      <c r="AK398" s="6">
        <f t="shared" si="49"/>
        <v>0.54700946514423077</v>
      </c>
      <c r="AL398" s="12">
        <v>2600</v>
      </c>
      <c r="AM398" s="12">
        <v>3519.2419001435019</v>
      </c>
      <c r="AN398" s="12">
        <f t="shared" si="50"/>
        <v>919.24190014350188</v>
      </c>
      <c r="AO398" s="13">
        <f t="shared" si="51"/>
        <v>0.35355457697826997</v>
      </c>
      <c r="AP398" s="16">
        <v>2600</v>
      </c>
      <c r="AQ398" s="16">
        <v>3036.4710338056088</v>
      </c>
      <c r="AR398" s="16">
        <f t="shared" si="52"/>
        <v>436.47103380560884</v>
      </c>
      <c r="AS398" s="17">
        <f t="shared" si="53"/>
        <v>0.16787347454061879</v>
      </c>
      <c r="AT398" s="20">
        <v>2600</v>
      </c>
      <c r="AU398" s="20">
        <v>4035.72216796875</v>
      </c>
      <c r="AV398" s="20">
        <f t="shared" si="54"/>
        <v>1435.72216796875</v>
      </c>
      <c r="AW398" s="21">
        <f t="shared" si="55"/>
        <v>0.55220083383413465</v>
      </c>
    </row>
    <row r="399" spans="1:49" x14ac:dyDescent="0.25">
      <c r="A399" t="s">
        <v>38</v>
      </c>
      <c r="B399" t="s">
        <v>96</v>
      </c>
      <c r="C399">
        <v>94229</v>
      </c>
      <c r="D399">
        <v>2016</v>
      </c>
      <c r="E399" t="s">
        <v>317</v>
      </c>
      <c r="F399" t="s">
        <v>744</v>
      </c>
      <c r="G399" t="s">
        <v>745</v>
      </c>
      <c r="H399" t="s">
        <v>746</v>
      </c>
      <c r="I399">
        <v>4</v>
      </c>
      <c r="J399" t="s">
        <v>72</v>
      </c>
      <c r="K399">
        <v>4</v>
      </c>
      <c r="L399" t="s">
        <v>44</v>
      </c>
      <c r="M399">
        <v>2</v>
      </c>
      <c r="N399" t="s">
        <v>45</v>
      </c>
      <c r="O399" t="s">
        <v>100</v>
      </c>
      <c r="P399">
        <v>2</v>
      </c>
      <c r="Q399" t="s">
        <v>47</v>
      </c>
      <c r="R399" t="s">
        <v>123</v>
      </c>
      <c r="S399" t="s">
        <v>101</v>
      </c>
      <c r="T399">
        <v>240</v>
      </c>
      <c r="U399" t="s">
        <v>50</v>
      </c>
      <c r="W399" t="s">
        <v>747</v>
      </c>
      <c r="X399" t="s">
        <v>125</v>
      </c>
      <c r="Y399" t="s">
        <v>748</v>
      </c>
      <c r="AA399">
        <v>0</v>
      </c>
      <c r="AB399" t="s">
        <v>79</v>
      </c>
      <c r="AC399" t="s">
        <v>127</v>
      </c>
      <c r="AD399">
        <v>36</v>
      </c>
      <c r="AE399">
        <v>9</v>
      </c>
      <c r="AF399">
        <v>3</v>
      </c>
      <c r="AG399">
        <v>2025</v>
      </c>
      <c r="AH399" s="2">
        <v>2000</v>
      </c>
      <c r="AI399" s="2">
        <v>1534.398803710938</v>
      </c>
      <c r="AJ399" s="2">
        <f t="shared" si="48"/>
        <v>465.60119628906205</v>
      </c>
      <c r="AK399" s="6">
        <f t="shared" si="49"/>
        <v>0.23280059814453102</v>
      </c>
      <c r="AL399" s="12">
        <v>2000</v>
      </c>
      <c r="AM399" s="12">
        <v>2104.5810671994341</v>
      </c>
      <c r="AN399" s="12">
        <f t="shared" si="50"/>
        <v>104.58106719943407</v>
      </c>
      <c r="AO399" s="13">
        <f t="shared" si="51"/>
        <v>5.229053359971704E-2</v>
      </c>
      <c r="AP399" s="16">
        <v>2000</v>
      </c>
      <c r="AQ399" s="16">
        <v>1950.9528192274529</v>
      </c>
      <c r="AR399" s="16">
        <f t="shared" si="52"/>
        <v>49.047180772547108</v>
      </c>
      <c r="AS399" s="17">
        <f t="shared" si="53"/>
        <v>2.4523590386273553E-2</v>
      </c>
      <c r="AT399" s="20">
        <v>2000</v>
      </c>
      <c r="AU399" s="20">
        <v>1538.609985351562</v>
      </c>
      <c r="AV399" s="20">
        <f t="shared" si="54"/>
        <v>461.39001464843795</v>
      </c>
      <c r="AW399" s="21">
        <f t="shared" si="55"/>
        <v>0.23069500732421896</v>
      </c>
    </row>
    <row r="400" spans="1:49" x14ac:dyDescent="0.25">
      <c r="A400" t="s">
        <v>81</v>
      </c>
      <c r="B400" t="s">
        <v>82</v>
      </c>
      <c r="C400">
        <v>132730</v>
      </c>
      <c r="D400">
        <v>2006</v>
      </c>
      <c r="E400" t="s">
        <v>317</v>
      </c>
      <c r="F400" t="s">
        <v>318</v>
      </c>
      <c r="G400" t="s">
        <v>749</v>
      </c>
      <c r="I400">
        <v>8</v>
      </c>
      <c r="J400" t="s">
        <v>122</v>
      </c>
      <c r="K400">
        <v>4</v>
      </c>
      <c r="L400" t="s">
        <v>44</v>
      </c>
      <c r="M400">
        <v>4.4000000000000004</v>
      </c>
      <c r="N400" t="s">
        <v>44</v>
      </c>
      <c r="O400" t="s">
        <v>46</v>
      </c>
      <c r="Q400" t="s">
        <v>62</v>
      </c>
      <c r="R400" t="s">
        <v>63</v>
      </c>
      <c r="S400" t="s">
        <v>85</v>
      </c>
      <c r="T400">
        <v>311</v>
      </c>
      <c r="U400" t="s">
        <v>50</v>
      </c>
      <c r="V400" t="s">
        <v>76</v>
      </c>
      <c r="W400" t="s">
        <v>750</v>
      </c>
      <c r="X400" t="s">
        <v>125</v>
      </c>
      <c r="Y400" t="s">
        <v>322</v>
      </c>
      <c r="AA400">
        <v>0</v>
      </c>
      <c r="AB400" t="s">
        <v>79</v>
      </c>
      <c r="AC400" t="s">
        <v>87</v>
      </c>
      <c r="AD400">
        <v>36</v>
      </c>
      <c r="AE400">
        <v>9</v>
      </c>
      <c r="AF400">
        <v>3</v>
      </c>
      <c r="AG400">
        <v>2025</v>
      </c>
      <c r="AH400" s="2">
        <v>1200</v>
      </c>
      <c r="AI400" s="2">
        <v>1150.09619140625</v>
      </c>
      <c r="AJ400" s="2">
        <f t="shared" si="48"/>
        <v>49.90380859375</v>
      </c>
      <c r="AK400" s="6">
        <f t="shared" si="49"/>
        <v>4.1586507161458335E-2</v>
      </c>
      <c r="AL400" s="12">
        <v>1200</v>
      </c>
      <c r="AM400" s="12">
        <v>1388.1331384785931</v>
      </c>
      <c r="AN400" s="12">
        <f t="shared" si="50"/>
        <v>188.13313847859308</v>
      </c>
      <c r="AO400" s="13">
        <f t="shared" si="51"/>
        <v>0.15677761539882756</v>
      </c>
      <c r="AP400" s="16">
        <v>1200</v>
      </c>
      <c r="AQ400" s="16">
        <v>861.88723222130659</v>
      </c>
      <c r="AR400" s="16">
        <f t="shared" si="52"/>
        <v>338.11276777869341</v>
      </c>
      <c r="AS400" s="17">
        <f t="shared" si="53"/>
        <v>0.28176063981557786</v>
      </c>
      <c r="AT400" s="20">
        <v>1200</v>
      </c>
      <c r="AU400" s="20">
        <v>1125.732055664062</v>
      </c>
      <c r="AV400" s="20">
        <f t="shared" si="54"/>
        <v>74.267944335937955</v>
      </c>
      <c r="AW400" s="21">
        <f t="shared" si="55"/>
        <v>6.1889953613281631E-2</v>
      </c>
    </row>
    <row r="401" spans="1:49" x14ac:dyDescent="0.25">
      <c r="A401" t="s">
        <v>38</v>
      </c>
      <c r="B401" t="s">
        <v>96</v>
      </c>
      <c r="C401">
        <v>107413</v>
      </c>
      <c r="D401">
        <v>2023</v>
      </c>
      <c r="E401" t="s">
        <v>97</v>
      </c>
      <c r="F401" t="s">
        <v>470</v>
      </c>
      <c r="G401" t="s">
        <v>513</v>
      </c>
      <c r="I401">
        <v>4</v>
      </c>
      <c r="J401" t="s">
        <v>135</v>
      </c>
      <c r="K401">
        <v>4</v>
      </c>
      <c r="L401" t="s">
        <v>44</v>
      </c>
      <c r="M401">
        <v>1.5</v>
      </c>
      <c r="N401" t="s">
        <v>45</v>
      </c>
      <c r="O401" t="s">
        <v>46</v>
      </c>
      <c r="P401">
        <v>2</v>
      </c>
      <c r="Q401" t="s">
        <v>47</v>
      </c>
      <c r="R401" t="s">
        <v>123</v>
      </c>
      <c r="U401" t="s">
        <v>50</v>
      </c>
      <c r="V401" t="s">
        <v>51</v>
      </c>
      <c r="W401" t="s">
        <v>751</v>
      </c>
      <c r="X401" t="s">
        <v>125</v>
      </c>
      <c r="Y401" t="s">
        <v>78</v>
      </c>
      <c r="AA401">
        <v>0</v>
      </c>
      <c r="AB401" t="s">
        <v>79</v>
      </c>
      <c r="AC401" t="s">
        <v>127</v>
      </c>
      <c r="AD401">
        <v>36</v>
      </c>
      <c r="AE401">
        <v>9</v>
      </c>
      <c r="AF401">
        <v>3</v>
      </c>
      <c r="AG401">
        <v>2025</v>
      </c>
      <c r="AH401" s="2">
        <v>8250</v>
      </c>
      <c r="AI401" s="2">
        <v>9942.6650390625</v>
      </c>
      <c r="AJ401" s="2">
        <f t="shared" si="48"/>
        <v>1692.6650390625</v>
      </c>
      <c r="AK401" s="6">
        <f t="shared" si="49"/>
        <v>0.20517151988636365</v>
      </c>
      <c r="AL401" s="12">
        <v>8250</v>
      </c>
      <c r="AM401" s="12">
        <v>9284.1856036047211</v>
      </c>
      <c r="AN401" s="12">
        <f t="shared" si="50"/>
        <v>1034.1856036047211</v>
      </c>
      <c r="AO401" s="13">
        <f t="shared" si="51"/>
        <v>0.1253558307399662</v>
      </c>
      <c r="AP401" s="16">
        <v>8250</v>
      </c>
      <c r="AQ401" s="16">
        <v>8533.3424825024831</v>
      </c>
      <c r="AR401" s="16">
        <f t="shared" si="52"/>
        <v>283.34248250248311</v>
      </c>
      <c r="AS401" s="17">
        <f t="shared" si="53"/>
        <v>3.4344543333634313E-2</v>
      </c>
      <c r="AT401" s="20">
        <v>8250</v>
      </c>
      <c r="AU401" s="20">
        <v>9886.2119140625</v>
      </c>
      <c r="AV401" s="20">
        <f t="shared" si="54"/>
        <v>1636.2119140625</v>
      </c>
      <c r="AW401" s="21">
        <f t="shared" si="55"/>
        <v>0.1983287168560606</v>
      </c>
    </row>
    <row r="402" spans="1:49" x14ac:dyDescent="0.25">
      <c r="A402" t="s">
        <v>128</v>
      </c>
      <c r="B402" t="s">
        <v>210</v>
      </c>
      <c r="C402">
        <v>83761</v>
      </c>
      <c r="D402">
        <v>2019</v>
      </c>
      <c r="E402" t="s">
        <v>166</v>
      </c>
      <c r="F402" t="s">
        <v>562</v>
      </c>
      <c r="G402" t="s">
        <v>457</v>
      </c>
      <c r="I402">
        <v>4</v>
      </c>
      <c r="J402" t="s">
        <v>61</v>
      </c>
      <c r="K402">
        <v>4</v>
      </c>
      <c r="L402" t="s">
        <v>44</v>
      </c>
      <c r="M402">
        <v>1.5</v>
      </c>
      <c r="N402" t="s">
        <v>45</v>
      </c>
      <c r="O402" t="s">
        <v>46</v>
      </c>
      <c r="Q402" t="s">
        <v>47</v>
      </c>
      <c r="R402" t="s">
        <v>123</v>
      </c>
      <c r="S402" t="s">
        <v>49</v>
      </c>
      <c r="T402">
        <v>192</v>
      </c>
      <c r="U402" t="s">
        <v>50</v>
      </c>
      <c r="V402" t="s">
        <v>51</v>
      </c>
      <c r="W402" t="s">
        <v>249</v>
      </c>
      <c r="X402" t="s">
        <v>65</v>
      </c>
      <c r="Y402" t="s">
        <v>78</v>
      </c>
      <c r="Z402">
        <v>26180</v>
      </c>
      <c r="AA402">
        <v>0</v>
      </c>
      <c r="AB402" t="s">
        <v>79</v>
      </c>
      <c r="AC402" t="s">
        <v>127</v>
      </c>
      <c r="AD402">
        <v>36</v>
      </c>
      <c r="AE402">
        <v>9</v>
      </c>
      <c r="AF402">
        <v>3</v>
      </c>
      <c r="AG402">
        <v>2025</v>
      </c>
      <c r="AH402" s="2">
        <v>13900</v>
      </c>
      <c r="AI402" s="2">
        <v>16426.150390625</v>
      </c>
      <c r="AJ402" s="2">
        <f t="shared" si="48"/>
        <v>2526.150390625</v>
      </c>
      <c r="AK402" s="6">
        <f t="shared" si="49"/>
        <v>0.18173743817446042</v>
      </c>
      <c r="AL402" s="12">
        <v>13900</v>
      </c>
      <c r="AM402" s="12">
        <v>14223.119110216239</v>
      </c>
      <c r="AN402" s="12">
        <f t="shared" si="50"/>
        <v>323.11911021623928</v>
      </c>
      <c r="AO402" s="13">
        <f t="shared" si="51"/>
        <v>2.324597915224743E-2</v>
      </c>
      <c r="AP402" s="16">
        <v>13900</v>
      </c>
      <c r="AQ402" s="16">
        <v>12818.057988447101</v>
      </c>
      <c r="AR402" s="16">
        <f t="shared" si="52"/>
        <v>1081.9420115528992</v>
      </c>
      <c r="AS402" s="17">
        <f t="shared" si="53"/>
        <v>7.7837554787978366E-2</v>
      </c>
      <c r="AT402" s="20">
        <v>13900</v>
      </c>
      <c r="AU402" s="20">
        <v>15889.7802734375</v>
      </c>
      <c r="AV402" s="20">
        <f t="shared" si="54"/>
        <v>1989.7802734375</v>
      </c>
      <c r="AW402" s="21">
        <f t="shared" si="55"/>
        <v>0.14314965995953238</v>
      </c>
    </row>
    <row r="403" spans="1:49" x14ac:dyDescent="0.25">
      <c r="A403" t="s">
        <v>81</v>
      </c>
      <c r="B403" t="s">
        <v>304</v>
      </c>
      <c r="C403">
        <v>13065</v>
      </c>
      <c r="D403">
        <v>2025</v>
      </c>
      <c r="E403" t="s">
        <v>97</v>
      </c>
      <c r="F403" t="s">
        <v>752</v>
      </c>
      <c r="G403" t="s">
        <v>380</v>
      </c>
      <c r="H403" t="s">
        <v>312</v>
      </c>
      <c r="I403">
        <v>8</v>
      </c>
      <c r="J403" t="s">
        <v>135</v>
      </c>
      <c r="K403">
        <v>4</v>
      </c>
      <c r="L403" t="s">
        <v>44</v>
      </c>
      <c r="M403">
        <v>6.6</v>
      </c>
      <c r="N403" t="s">
        <v>91</v>
      </c>
      <c r="O403" t="s">
        <v>46</v>
      </c>
      <c r="Q403" t="s">
        <v>74</v>
      </c>
      <c r="R403" t="s">
        <v>92</v>
      </c>
      <c r="S403" t="s">
        <v>93</v>
      </c>
      <c r="U403" t="s">
        <v>50</v>
      </c>
      <c r="W403" t="s">
        <v>753</v>
      </c>
      <c r="X403" t="s">
        <v>260</v>
      </c>
      <c r="Y403" t="s">
        <v>103</v>
      </c>
      <c r="AA403">
        <v>0</v>
      </c>
      <c r="AB403" t="s">
        <v>79</v>
      </c>
      <c r="AC403" t="s">
        <v>261</v>
      </c>
      <c r="AD403">
        <v>36</v>
      </c>
      <c r="AE403">
        <v>9</v>
      </c>
      <c r="AF403">
        <v>3</v>
      </c>
      <c r="AG403">
        <v>2025</v>
      </c>
      <c r="AH403" s="2">
        <v>62000</v>
      </c>
      <c r="AI403" s="2">
        <v>73398.2890625</v>
      </c>
      <c r="AJ403" s="2">
        <f t="shared" si="48"/>
        <v>11398.2890625</v>
      </c>
      <c r="AK403" s="6">
        <f t="shared" si="49"/>
        <v>0.18384337197580644</v>
      </c>
      <c r="AL403" s="12">
        <v>62000</v>
      </c>
      <c r="AM403" s="12">
        <v>56958.865012351591</v>
      </c>
      <c r="AN403" s="12">
        <f t="shared" si="50"/>
        <v>5041.1349876484092</v>
      </c>
      <c r="AO403" s="13">
        <f t="shared" si="51"/>
        <v>8.1308628833038854E-2</v>
      </c>
      <c r="AP403" s="16">
        <v>62000</v>
      </c>
      <c r="AQ403" s="16">
        <v>52827.255830434857</v>
      </c>
      <c r="AR403" s="16">
        <f t="shared" si="52"/>
        <v>9172.7441695651432</v>
      </c>
      <c r="AS403" s="17">
        <f t="shared" si="53"/>
        <v>0.14794748660588941</v>
      </c>
      <c r="AT403" s="20">
        <v>62000</v>
      </c>
      <c r="AU403" s="20">
        <v>75029.921875</v>
      </c>
      <c r="AV403" s="20">
        <f t="shared" si="54"/>
        <v>13029.921875</v>
      </c>
      <c r="AW403" s="21">
        <f t="shared" si="55"/>
        <v>0.2101600302419355</v>
      </c>
    </row>
    <row r="404" spans="1:49" x14ac:dyDescent="0.25">
      <c r="A404" t="s">
        <v>38</v>
      </c>
      <c r="B404" t="s">
        <v>96</v>
      </c>
      <c r="C404">
        <v>184344</v>
      </c>
      <c r="D404">
        <v>2015</v>
      </c>
      <c r="E404" t="s">
        <v>174</v>
      </c>
      <c r="F404" t="s">
        <v>175</v>
      </c>
      <c r="G404" t="s">
        <v>176</v>
      </c>
      <c r="H404" t="s">
        <v>177</v>
      </c>
      <c r="I404">
        <v>8</v>
      </c>
      <c r="J404" t="s">
        <v>72</v>
      </c>
      <c r="K404">
        <v>4</v>
      </c>
      <c r="L404" t="s">
        <v>44</v>
      </c>
      <c r="M404">
        <v>5.3</v>
      </c>
      <c r="N404" t="s">
        <v>91</v>
      </c>
      <c r="O404" t="s">
        <v>46</v>
      </c>
      <c r="Q404" t="s">
        <v>62</v>
      </c>
      <c r="R404" t="s">
        <v>63</v>
      </c>
      <c r="S404" t="s">
        <v>93</v>
      </c>
      <c r="U404" t="s">
        <v>50</v>
      </c>
      <c r="W404" t="s">
        <v>473</v>
      </c>
      <c r="X404" t="s">
        <v>108</v>
      </c>
      <c r="Y404" t="s">
        <v>78</v>
      </c>
      <c r="AA404">
        <v>0</v>
      </c>
      <c r="AB404" t="s">
        <v>79</v>
      </c>
      <c r="AC404" t="s">
        <v>87</v>
      </c>
      <c r="AD404">
        <v>36</v>
      </c>
      <c r="AE404">
        <v>9</v>
      </c>
      <c r="AF404">
        <v>3</v>
      </c>
      <c r="AG404">
        <v>2025</v>
      </c>
      <c r="AH404" s="2">
        <v>9800</v>
      </c>
      <c r="AI404" s="2">
        <v>8449.080078125</v>
      </c>
      <c r="AJ404" s="2">
        <f t="shared" si="48"/>
        <v>1350.919921875</v>
      </c>
      <c r="AK404" s="6">
        <f t="shared" si="49"/>
        <v>0.13784897161989795</v>
      </c>
      <c r="AL404" s="12">
        <v>9800</v>
      </c>
      <c r="AM404" s="12">
        <v>9388.6054424067115</v>
      </c>
      <c r="AN404" s="12">
        <f t="shared" si="50"/>
        <v>411.39455759328848</v>
      </c>
      <c r="AO404" s="13">
        <f t="shared" si="51"/>
        <v>4.1979036489111068E-2</v>
      </c>
      <c r="AP404" s="16">
        <v>9800</v>
      </c>
      <c r="AQ404" s="16">
        <v>9984.3755273127863</v>
      </c>
      <c r="AR404" s="16">
        <f t="shared" si="52"/>
        <v>184.37552731278629</v>
      </c>
      <c r="AS404" s="17">
        <f t="shared" si="53"/>
        <v>1.8813829317631255E-2</v>
      </c>
      <c r="AT404" s="20">
        <v>9800</v>
      </c>
      <c r="AU404" s="20">
        <v>8671.3408203125</v>
      </c>
      <c r="AV404" s="20">
        <f t="shared" si="54"/>
        <v>1128.6591796875</v>
      </c>
      <c r="AW404" s="21">
        <f t="shared" si="55"/>
        <v>0.1151693040497449</v>
      </c>
    </row>
    <row r="405" spans="1:49" x14ac:dyDescent="0.25">
      <c r="A405" t="s">
        <v>38</v>
      </c>
      <c r="B405" t="s">
        <v>96</v>
      </c>
      <c r="C405">
        <v>31119</v>
      </c>
      <c r="D405">
        <v>2023</v>
      </c>
      <c r="E405" t="s">
        <v>162</v>
      </c>
      <c r="F405" t="s">
        <v>754</v>
      </c>
      <c r="I405">
        <v>4</v>
      </c>
      <c r="J405" t="s">
        <v>61</v>
      </c>
      <c r="K405">
        <v>4</v>
      </c>
      <c r="L405" t="s">
        <v>44</v>
      </c>
      <c r="M405">
        <v>2</v>
      </c>
      <c r="N405" t="s">
        <v>45</v>
      </c>
      <c r="O405" t="s">
        <v>46</v>
      </c>
      <c r="P405">
        <v>3</v>
      </c>
      <c r="Q405" t="s">
        <v>47</v>
      </c>
      <c r="R405" t="s">
        <v>123</v>
      </c>
      <c r="S405" t="s">
        <v>101</v>
      </c>
      <c r="T405">
        <v>280</v>
      </c>
      <c r="U405" t="s">
        <v>50</v>
      </c>
      <c r="W405" t="s">
        <v>755</v>
      </c>
      <c r="X405" t="s">
        <v>65</v>
      </c>
      <c r="Y405" t="s">
        <v>66</v>
      </c>
      <c r="AA405">
        <v>0</v>
      </c>
      <c r="AB405" t="s">
        <v>79</v>
      </c>
      <c r="AC405" t="s">
        <v>127</v>
      </c>
      <c r="AD405">
        <v>36</v>
      </c>
      <c r="AE405">
        <v>9</v>
      </c>
      <c r="AF405">
        <v>3</v>
      </c>
      <c r="AG405">
        <v>2025</v>
      </c>
      <c r="AH405" s="2">
        <v>23800</v>
      </c>
      <c r="AI405" s="2">
        <v>22946.5625</v>
      </c>
      <c r="AJ405" s="2">
        <f t="shared" si="48"/>
        <v>853.4375</v>
      </c>
      <c r="AK405" s="6">
        <f t="shared" si="49"/>
        <v>3.5858718487394955E-2</v>
      </c>
      <c r="AL405" s="12">
        <v>23800</v>
      </c>
      <c r="AM405" s="12">
        <v>22208.391439492891</v>
      </c>
      <c r="AN405" s="12">
        <f t="shared" si="50"/>
        <v>1591.6085605071094</v>
      </c>
      <c r="AO405" s="13">
        <f t="shared" si="51"/>
        <v>6.6874309265004594E-2</v>
      </c>
      <c r="AP405" s="16">
        <v>23800</v>
      </c>
      <c r="AQ405" s="16">
        <v>17874.71117892455</v>
      </c>
      <c r="AR405" s="16">
        <f t="shared" si="52"/>
        <v>5925.28882107545</v>
      </c>
      <c r="AS405" s="17">
        <f t="shared" si="53"/>
        <v>0.24896171517123739</v>
      </c>
      <c r="AT405" s="20">
        <v>23800</v>
      </c>
      <c r="AU405" s="20">
        <v>22558.34765625</v>
      </c>
      <c r="AV405" s="20">
        <f t="shared" si="54"/>
        <v>1241.65234375</v>
      </c>
      <c r="AW405" s="21">
        <f t="shared" si="55"/>
        <v>5.2170266544117647E-2</v>
      </c>
    </row>
    <row r="406" spans="1:49" x14ac:dyDescent="0.25">
      <c r="A406" t="s">
        <v>114</v>
      </c>
      <c r="B406" t="s">
        <v>340</v>
      </c>
      <c r="C406">
        <v>120402</v>
      </c>
      <c r="D406">
        <v>2012</v>
      </c>
      <c r="E406" t="s">
        <v>263</v>
      </c>
      <c r="F406" t="s">
        <v>756</v>
      </c>
      <c r="G406" t="s">
        <v>326</v>
      </c>
      <c r="I406">
        <v>4</v>
      </c>
      <c r="J406" t="s">
        <v>241</v>
      </c>
      <c r="K406">
        <v>4</v>
      </c>
      <c r="L406" t="s">
        <v>44</v>
      </c>
      <c r="M406">
        <v>2.5</v>
      </c>
      <c r="N406" t="s">
        <v>45</v>
      </c>
      <c r="O406" t="s">
        <v>46</v>
      </c>
      <c r="P406">
        <v>3</v>
      </c>
      <c r="Q406" t="s">
        <v>47</v>
      </c>
      <c r="R406" t="s">
        <v>757</v>
      </c>
      <c r="W406" t="s">
        <v>758</v>
      </c>
      <c r="X406" t="s">
        <v>125</v>
      </c>
      <c r="Y406" t="s">
        <v>54</v>
      </c>
      <c r="AA406">
        <v>0</v>
      </c>
      <c r="AB406" t="s">
        <v>79</v>
      </c>
      <c r="AC406" t="s">
        <v>757</v>
      </c>
      <c r="AD406">
        <v>36</v>
      </c>
      <c r="AE406">
        <v>9</v>
      </c>
      <c r="AF406">
        <v>3</v>
      </c>
      <c r="AG406">
        <v>2025</v>
      </c>
      <c r="AH406" s="2">
        <v>1500</v>
      </c>
      <c r="AI406" s="2">
        <v>2101.968994140625</v>
      </c>
      <c r="AJ406" s="2">
        <f t="shared" si="48"/>
        <v>601.968994140625</v>
      </c>
      <c r="AK406" s="6">
        <f t="shared" si="49"/>
        <v>0.40131266276041666</v>
      </c>
      <c r="AL406" s="12">
        <v>1500</v>
      </c>
      <c r="AM406" s="12">
        <v>2090.1364728236281</v>
      </c>
      <c r="AN406" s="12">
        <f t="shared" si="50"/>
        <v>590.13647282362808</v>
      </c>
      <c r="AO406" s="13">
        <f t="shared" si="51"/>
        <v>0.39342431521575205</v>
      </c>
      <c r="AP406" s="16">
        <v>1500</v>
      </c>
      <c r="AQ406" s="16">
        <v>1738.697235058846</v>
      </c>
      <c r="AR406" s="16">
        <f t="shared" si="52"/>
        <v>238.69723505884599</v>
      </c>
      <c r="AS406" s="17">
        <f t="shared" si="53"/>
        <v>0.15913149003923066</v>
      </c>
      <c r="AT406" s="20">
        <v>1500</v>
      </c>
      <c r="AU406" s="20">
        <v>2092.685791015625</v>
      </c>
      <c r="AV406" s="20">
        <f t="shared" si="54"/>
        <v>592.685791015625</v>
      </c>
      <c r="AW406" s="21">
        <f t="shared" si="55"/>
        <v>0.39512386067708333</v>
      </c>
    </row>
    <row r="407" spans="1:49" x14ac:dyDescent="0.25">
      <c r="A407" t="s">
        <v>81</v>
      </c>
      <c r="B407" t="s">
        <v>304</v>
      </c>
      <c r="C407">
        <v>39770</v>
      </c>
      <c r="D407">
        <v>2023</v>
      </c>
      <c r="E407" t="s">
        <v>69</v>
      </c>
      <c r="F407" t="s">
        <v>231</v>
      </c>
      <c r="G407" t="s">
        <v>759</v>
      </c>
      <c r="I407">
        <v>6</v>
      </c>
      <c r="J407" t="s">
        <v>72</v>
      </c>
      <c r="K407">
        <v>4</v>
      </c>
      <c r="L407" t="s">
        <v>44</v>
      </c>
      <c r="M407">
        <v>3.5</v>
      </c>
      <c r="N407" t="s">
        <v>91</v>
      </c>
      <c r="O407" t="s">
        <v>46</v>
      </c>
      <c r="Q407" t="s">
        <v>74</v>
      </c>
      <c r="R407" t="s">
        <v>92</v>
      </c>
      <c r="S407" t="s">
        <v>93</v>
      </c>
      <c r="U407" t="s">
        <v>50</v>
      </c>
      <c r="V407" t="s">
        <v>76</v>
      </c>
      <c r="W407" t="s">
        <v>308</v>
      </c>
      <c r="X407" t="s">
        <v>108</v>
      </c>
      <c r="Y407" t="s">
        <v>78</v>
      </c>
      <c r="AA407">
        <v>0</v>
      </c>
      <c r="AB407" t="s">
        <v>79</v>
      </c>
      <c r="AC407" t="s">
        <v>95</v>
      </c>
      <c r="AD407">
        <v>36</v>
      </c>
      <c r="AE407">
        <v>9</v>
      </c>
      <c r="AF407">
        <v>3</v>
      </c>
      <c r="AG407">
        <v>2025</v>
      </c>
      <c r="AH407" s="2">
        <v>63000</v>
      </c>
      <c r="AI407" s="2">
        <v>63994.58203125</v>
      </c>
      <c r="AJ407" s="2">
        <f t="shared" si="48"/>
        <v>994.58203125</v>
      </c>
      <c r="AK407" s="6">
        <f t="shared" si="49"/>
        <v>1.578701636904762E-2</v>
      </c>
      <c r="AL407" s="12">
        <v>63000</v>
      </c>
      <c r="AM407" s="12">
        <v>45839.038825780837</v>
      </c>
      <c r="AN407" s="12">
        <f t="shared" si="50"/>
        <v>17160.961174219163</v>
      </c>
      <c r="AO407" s="13">
        <f t="shared" si="51"/>
        <v>0.27239620911458989</v>
      </c>
      <c r="AP407" s="16">
        <v>63000</v>
      </c>
      <c r="AQ407" s="16">
        <v>46543.046274237997</v>
      </c>
      <c r="AR407" s="16">
        <f t="shared" si="52"/>
        <v>16456.953725762003</v>
      </c>
      <c r="AS407" s="17">
        <f t="shared" si="53"/>
        <v>0.26122148771050796</v>
      </c>
      <c r="AT407" s="20">
        <v>63000</v>
      </c>
      <c r="AU407" s="20">
        <v>61842.71875</v>
      </c>
      <c r="AV407" s="20">
        <f t="shared" si="54"/>
        <v>1157.28125</v>
      </c>
      <c r="AW407" s="21">
        <f t="shared" si="55"/>
        <v>1.836954365079365E-2</v>
      </c>
    </row>
    <row r="408" spans="1:49" x14ac:dyDescent="0.25">
      <c r="A408" t="s">
        <v>38</v>
      </c>
      <c r="B408" t="s">
        <v>39</v>
      </c>
      <c r="C408">
        <v>78153</v>
      </c>
      <c r="D408">
        <v>2019</v>
      </c>
      <c r="E408" t="s">
        <v>166</v>
      </c>
      <c r="F408" t="s">
        <v>562</v>
      </c>
      <c r="G408" t="s">
        <v>457</v>
      </c>
      <c r="I408">
        <v>4</v>
      </c>
      <c r="J408" t="s">
        <v>122</v>
      </c>
      <c r="K408">
        <v>4</v>
      </c>
      <c r="L408" t="s">
        <v>44</v>
      </c>
      <c r="M408">
        <v>2</v>
      </c>
      <c r="N408" t="s">
        <v>45</v>
      </c>
      <c r="O408" t="s">
        <v>46</v>
      </c>
      <c r="Q408" t="s">
        <v>47</v>
      </c>
      <c r="R408" t="s">
        <v>123</v>
      </c>
      <c r="S408" t="s">
        <v>49</v>
      </c>
      <c r="T408">
        <v>252</v>
      </c>
      <c r="U408" t="s">
        <v>50</v>
      </c>
      <c r="V408" t="s">
        <v>51</v>
      </c>
      <c r="W408" t="s">
        <v>705</v>
      </c>
      <c r="X408" t="s">
        <v>65</v>
      </c>
      <c r="Y408" t="s">
        <v>78</v>
      </c>
      <c r="Z408">
        <v>26180</v>
      </c>
      <c r="AA408">
        <v>0</v>
      </c>
      <c r="AB408" t="s">
        <v>79</v>
      </c>
      <c r="AC408" t="s">
        <v>127</v>
      </c>
      <c r="AD408">
        <v>36</v>
      </c>
      <c r="AE408">
        <v>9</v>
      </c>
      <c r="AF408">
        <v>3</v>
      </c>
      <c r="AG408">
        <v>2025</v>
      </c>
      <c r="AH408" s="2">
        <v>17750</v>
      </c>
      <c r="AI408" s="2">
        <v>17100.828125</v>
      </c>
      <c r="AJ408" s="2">
        <f t="shared" si="48"/>
        <v>649.171875</v>
      </c>
      <c r="AK408" s="6">
        <f t="shared" si="49"/>
        <v>3.6573063380281691E-2</v>
      </c>
      <c r="AL408" s="12">
        <v>17750</v>
      </c>
      <c r="AM408" s="12">
        <v>15707.3790612184</v>
      </c>
      <c r="AN408" s="12">
        <f t="shared" si="50"/>
        <v>2042.6209387815998</v>
      </c>
      <c r="AO408" s="13">
        <f t="shared" si="51"/>
        <v>0.11507723598769576</v>
      </c>
      <c r="AP408" s="16">
        <v>17750</v>
      </c>
      <c r="AQ408" s="16">
        <v>14495.316286160531</v>
      </c>
      <c r="AR408" s="16">
        <f t="shared" si="52"/>
        <v>3254.6837138394694</v>
      </c>
      <c r="AS408" s="17">
        <f t="shared" si="53"/>
        <v>0.18336246275151941</v>
      </c>
      <c r="AT408" s="20">
        <v>17750</v>
      </c>
      <c r="AU408" s="20">
        <v>16745.818359375</v>
      </c>
      <c r="AV408" s="20">
        <f t="shared" si="54"/>
        <v>1004.181640625</v>
      </c>
      <c r="AW408" s="21">
        <f t="shared" si="55"/>
        <v>5.6573613556338026E-2</v>
      </c>
    </row>
    <row r="409" spans="1:49" x14ac:dyDescent="0.25">
      <c r="A409" t="s">
        <v>38</v>
      </c>
      <c r="B409" t="s">
        <v>39</v>
      </c>
      <c r="C409">
        <v>161516</v>
      </c>
      <c r="D409">
        <v>2015</v>
      </c>
      <c r="E409" t="s">
        <v>97</v>
      </c>
      <c r="F409" t="s">
        <v>419</v>
      </c>
      <c r="G409" t="s">
        <v>199</v>
      </c>
      <c r="H409" t="s">
        <v>177</v>
      </c>
      <c r="I409">
        <v>8</v>
      </c>
      <c r="J409" t="s">
        <v>72</v>
      </c>
      <c r="K409">
        <v>4</v>
      </c>
      <c r="L409" t="s">
        <v>44</v>
      </c>
      <c r="M409">
        <v>5.3</v>
      </c>
      <c r="N409" t="s">
        <v>73</v>
      </c>
      <c r="O409" t="s">
        <v>46</v>
      </c>
      <c r="Q409" t="s">
        <v>62</v>
      </c>
      <c r="R409" t="s">
        <v>63</v>
      </c>
      <c r="U409" t="s">
        <v>50</v>
      </c>
      <c r="W409" t="s">
        <v>473</v>
      </c>
      <c r="X409" t="s">
        <v>108</v>
      </c>
      <c r="Y409" t="s">
        <v>78</v>
      </c>
      <c r="AA409">
        <v>0</v>
      </c>
      <c r="AB409" t="s">
        <v>79</v>
      </c>
      <c r="AC409" t="s">
        <v>87</v>
      </c>
      <c r="AD409">
        <v>36</v>
      </c>
      <c r="AE409">
        <v>9</v>
      </c>
      <c r="AF409">
        <v>3</v>
      </c>
      <c r="AG409">
        <v>2025</v>
      </c>
      <c r="AH409" s="2">
        <v>10250</v>
      </c>
      <c r="AI409" s="2">
        <v>8159.3154296875</v>
      </c>
      <c r="AJ409" s="2">
        <f t="shared" si="48"/>
        <v>2090.6845703125</v>
      </c>
      <c r="AK409" s="6">
        <f t="shared" si="49"/>
        <v>0.20396922637195122</v>
      </c>
      <c r="AL409" s="12">
        <v>10250</v>
      </c>
      <c r="AM409" s="12">
        <v>9689.9927419508349</v>
      </c>
      <c r="AN409" s="12">
        <f t="shared" si="50"/>
        <v>560.0072580491651</v>
      </c>
      <c r="AO409" s="13">
        <f t="shared" si="51"/>
        <v>5.4634854443820983E-2</v>
      </c>
      <c r="AP409" s="16">
        <v>10250</v>
      </c>
      <c r="AQ409" s="16">
        <v>7910.4426391029883</v>
      </c>
      <c r="AR409" s="16">
        <f t="shared" si="52"/>
        <v>2339.5573608970117</v>
      </c>
      <c r="AS409" s="17">
        <f t="shared" si="53"/>
        <v>0.22824949862409871</v>
      </c>
      <c r="AT409" s="20">
        <v>10250</v>
      </c>
      <c r="AU409" s="20">
        <v>8591.1337890625</v>
      </c>
      <c r="AV409" s="20">
        <f t="shared" si="54"/>
        <v>1658.8662109375</v>
      </c>
      <c r="AW409" s="21">
        <f t="shared" si="55"/>
        <v>0.16184060594512195</v>
      </c>
    </row>
    <row r="410" spans="1:49" x14ac:dyDescent="0.25">
      <c r="A410" t="s">
        <v>38</v>
      </c>
      <c r="B410" t="s">
        <v>39</v>
      </c>
      <c r="C410">
        <v>168338</v>
      </c>
      <c r="D410">
        <v>2009</v>
      </c>
      <c r="E410" t="s">
        <v>166</v>
      </c>
      <c r="F410" t="s">
        <v>223</v>
      </c>
      <c r="G410" t="s">
        <v>760</v>
      </c>
      <c r="I410">
        <v>6</v>
      </c>
      <c r="J410" t="s">
        <v>72</v>
      </c>
      <c r="K410">
        <v>4</v>
      </c>
      <c r="L410" t="s">
        <v>44</v>
      </c>
      <c r="M410">
        <v>3.5</v>
      </c>
      <c r="N410" t="s">
        <v>45</v>
      </c>
      <c r="O410" t="s">
        <v>46</v>
      </c>
      <c r="Q410" t="s">
        <v>62</v>
      </c>
      <c r="R410" t="s">
        <v>225</v>
      </c>
      <c r="T410">
        <v>244</v>
      </c>
      <c r="U410" t="s">
        <v>50</v>
      </c>
      <c r="V410" t="s">
        <v>76</v>
      </c>
      <c r="W410" t="s">
        <v>737</v>
      </c>
      <c r="X410" t="s">
        <v>141</v>
      </c>
      <c r="Y410" t="s">
        <v>78</v>
      </c>
      <c r="AA410">
        <v>0</v>
      </c>
      <c r="AB410" t="s">
        <v>79</v>
      </c>
      <c r="AC410" t="s">
        <v>225</v>
      </c>
      <c r="AD410">
        <v>36</v>
      </c>
      <c r="AE410">
        <v>9</v>
      </c>
      <c r="AF410">
        <v>3</v>
      </c>
      <c r="AG410">
        <v>2025</v>
      </c>
      <c r="AH410" s="2">
        <v>2900</v>
      </c>
      <c r="AI410" s="2">
        <v>1980.160034179688</v>
      </c>
      <c r="AJ410" s="2">
        <f t="shared" si="48"/>
        <v>919.83996582031205</v>
      </c>
      <c r="AK410" s="6">
        <f t="shared" si="49"/>
        <v>0.31718619511045243</v>
      </c>
      <c r="AL410" s="12">
        <v>2900</v>
      </c>
      <c r="AM410" s="12">
        <v>2137.1915856436481</v>
      </c>
      <c r="AN410" s="12">
        <f t="shared" si="50"/>
        <v>762.80841435635193</v>
      </c>
      <c r="AO410" s="13">
        <f t="shared" si="51"/>
        <v>0.26303738426081102</v>
      </c>
      <c r="AP410" s="16">
        <v>2900</v>
      </c>
      <c r="AQ410" s="16">
        <v>1624.329072587142</v>
      </c>
      <c r="AR410" s="16">
        <f t="shared" si="52"/>
        <v>1275.670927412858</v>
      </c>
      <c r="AS410" s="17">
        <f t="shared" si="53"/>
        <v>0.43988652669408895</v>
      </c>
      <c r="AT410" s="20">
        <v>2900</v>
      </c>
      <c r="AU410" s="20">
        <v>1991.944946289062</v>
      </c>
      <c r="AV410" s="20">
        <f t="shared" si="54"/>
        <v>908.05505371093795</v>
      </c>
      <c r="AW410" s="21">
        <f t="shared" si="55"/>
        <v>0.31312243231411652</v>
      </c>
    </row>
    <row r="411" spans="1:49" x14ac:dyDescent="0.25">
      <c r="A411" t="s">
        <v>38</v>
      </c>
      <c r="B411" t="s">
        <v>110</v>
      </c>
      <c r="C411">
        <v>172536</v>
      </c>
      <c r="D411">
        <v>2016</v>
      </c>
      <c r="E411" t="s">
        <v>557</v>
      </c>
      <c r="F411" t="s">
        <v>558</v>
      </c>
      <c r="G411" t="s">
        <v>118</v>
      </c>
      <c r="H411" t="s">
        <v>761</v>
      </c>
      <c r="I411">
        <v>4</v>
      </c>
      <c r="J411" t="s">
        <v>106</v>
      </c>
      <c r="K411">
        <v>4</v>
      </c>
      <c r="L411" t="s">
        <v>44</v>
      </c>
      <c r="M411">
        <v>2.4</v>
      </c>
      <c r="N411" t="s">
        <v>45</v>
      </c>
      <c r="O411" t="s">
        <v>190</v>
      </c>
      <c r="Q411" t="s">
        <v>47</v>
      </c>
      <c r="R411" t="s">
        <v>123</v>
      </c>
      <c r="S411" t="s">
        <v>101</v>
      </c>
      <c r="U411" t="s">
        <v>50</v>
      </c>
      <c r="V411" t="s">
        <v>51</v>
      </c>
      <c r="X411" t="s">
        <v>125</v>
      </c>
      <c r="Y411" t="s">
        <v>78</v>
      </c>
      <c r="AA411">
        <v>0</v>
      </c>
      <c r="AB411" t="s">
        <v>79</v>
      </c>
      <c r="AC411" t="s">
        <v>127</v>
      </c>
      <c r="AD411">
        <v>36</v>
      </c>
      <c r="AE411">
        <v>9</v>
      </c>
      <c r="AF411">
        <v>3</v>
      </c>
      <c r="AG411">
        <v>2025</v>
      </c>
      <c r="AH411" s="2">
        <v>500</v>
      </c>
      <c r="AI411" s="2">
        <v>648.62457275390625</v>
      </c>
      <c r="AJ411" s="2">
        <f t="shared" si="48"/>
        <v>148.62457275390625</v>
      </c>
      <c r="AK411" s="6">
        <f t="shared" si="49"/>
        <v>0.29724914550781251</v>
      </c>
      <c r="AL411" s="12">
        <v>500</v>
      </c>
      <c r="AM411" s="12">
        <v>966.03668524098703</v>
      </c>
      <c r="AN411" s="12">
        <f t="shared" si="50"/>
        <v>466.03668524098703</v>
      </c>
      <c r="AO411" s="13">
        <f t="shared" si="51"/>
        <v>0.93207337048197403</v>
      </c>
      <c r="AP411" s="16">
        <v>500</v>
      </c>
      <c r="AQ411" s="16">
        <v>735.56537505261258</v>
      </c>
      <c r="AR411" s="16">
        <f t="shared" si="52"/>
        <v>235.56537505261258</v>
      </c>
      <c r="AS411" s="17">
        <f t="shared" si="53"/>
        <v>0.47113075010522515</v>
      </c>
      <c r="AT411" s="20">
        <v>500</v>
      </c>
      <c r="AU411" s="20">
        <v>641.57354736328125</v>
      </c>
      <c r="AV411" s="20">
        <f t="shared" si="54"/>
        <v>141.57354736328125</v>
      </c>
      <c r="AW411" s="21">
        <f t="shared" si="55"/>
        <v>0.28314709472656252</v>
      </c>
    </row>
    <row r="412" spans="1:49" x14ac:dyDescent="0.25">
      <c r="A412" t="s">
        <v>128</v>
      </c>
      <c r="B412" t="s">
        <v>309</v>
      </c>
      <c r="C412">
        <v>193672</v>
      </c>
      <c r="D412">
        <v>2006</v>
      </c>
      <c r="E412" t="s">
        <v>97</v>
      </c>
      <c r="F412" t="s">
        <v>159</v>
      </c>
      <c r="H412" t="s">
        <v>683</v>
      </c>
      <c r="I412">
        <v>8</v>
      </c>
      <c r="J412" t="s">
        <v>72</v>
      </c>
      <c r="K412">
        <v>4</v>
      </c>
      <c r="L412" t="s">
        <v>44</v>
      </c>
      <c r="M412">
        <v>5.3</v>
      </c>
      <c r="N412" t="s">
        <v>73</v>
      </c>
      <c r="O412" t="s">
        <v>46</v>
      </c>
      <c r="P412">
        <v>1</v>
      </c>
      <c r="Q412" t="s">
        <v>74</v>
      </c>
      <c r="R412" t="s">
        <v>92</v>
      </c>
      <c r="S412" t="s">
        <v>49</v>
      </c>
      <c r="W412" t="s">
        <v>762</v>
      </c>
      <c r="X412" t="s">
        <v>94</v>
      </c>
      <c r="Y412" t="s">
        <v>103</v>
      </c>
      <c r="AA412">
        <v>0</v>
      </c>
      <c r="AB412" t="s">
        <v>79</v>
      </c>
      <c r="AC412" t="s">
        <v>95</v>
      </c>
      <c r="AD412">
        <v>36</v>
      </c>
      <c r="AE412">
        <v>9</v>
      </c>
      <c r="AF412">
        <v>3</v>
      </c>
      <c r="AG412">
        <v>2025</v>
      </c>
      <c r="AH412" s="2">
        <v>1800</v>
      </c>
      <c r="AI412" s="2">
        <v>1842.09814453125</v>
      </c>
      <c r="AJ412" s="2">
        <f t="shared" si="48"/>
        <v>42.09814453125</v>
      </c>
      <c r="AK412" s="6">
        <f t="shared" si="49"/>
        <v>2.3387858072916667E-2</v>
      </c>
      <c r="AL412" s="12">
        <v>1800</v>
      </c>
      <c r="AM412" s="12">
        <v>1848.202814757655</v>
      </c>
      <c r="AN412" s="12">
        <f t="shared" si="50"/>
        <v>48.202814757655005</v>
      </c>
      <c r="AO412" s="13">
        <f t="shared" si="51"/>
        <v>2.677934153203056E-2</v>
      </c>
      <c r="AP412" s="16">
        <v>1800</v>
      </c>
      <c r="AQ412" s="16">
        <v>1847.2293422836931</v>
      </c>
      <c r="AR412" s="16">
        <f t="shared" si="52"/>
        <v>47.229342283693086</v>
      </c>
      <c r="AS412" s="17">
        <f t="shared" si="53"/>
        <v>2.6238523490940604E-2</v>
      </c>
      <c r="AT412" s="20">
        <v>1800</v>
      </c>
      <c r="AU412" s="20">
        <v>1845.017333984375</v>
      </c>
      <c r="AV412" s="20">
        <f t="shared" si="54"/>
        <v>45.017333984375</v>
      </c>
      <c r="AW412" s="21">
        <f t="shared" si="55"/>
        <v>2.5009629991319445E-2</v>
      </c>
    </row>
    <row r="413" spans="1:49" x14ac:dyDescent="0.25">
      <c r="A413" t="s">
        <v>114</v>
      </c>
      <c r="B413" t="s">
        <v>115</v>
      </c>
      <c r="C413">
        <v>208514</v>
      </c>
      <c r="D413">
        <v>2001</v>
      </c>
      <c r="E413" t="s">
        <v>116</v>
      </c>
      <c r="F413" t="s">
        <v>697</v>
      </c>
      <c r="G413" t="s">
        <v>89</v>
      </c>
      <c r="I413">
        <v>8</v>
      </c>
      <c r="J413" t="s">
        <v>43</v>
      </c>
      <c r="K413">
        <v>4</v>
      </c>
      <c r="L413" t="s">
        <v>44</v>
      </c>
      <c r="M413">
        <v>5.9</v>
      </c>
      <c r="N413" t="s">
        <v>91</v>
      </c>
      <c r="O413" t="s">
        <v>46</v>
      </c>
      <c r="Q413" t="s">
        <v>74</v>
      </c>
      <c r="R413" t="s">
        <v>92</v>
      </c>
      <c r="S413" t="s">
        <v>93</v>
      </c>
      <c r="U413" t="s">
        <v>50</v>
      </c>
      <c r="V413" t="s">
        <v>76</v>
      </c>
      <c r="X413" t="s">
        <v>94</v>
      </c>
      <c r="Y413" t="s">
        <v>126</v>
      </c>
      <c r="AA413">
        <v>0</v>
      </c>
      <c r="AB413" t="s">
        <v>79</v>
      </c>
      <c r="AC413" t="s">
        <v>95</v>
      </c>
      <c r="AD413">
        <v>36</v>
      </c>
      <c r="AE413">
        <v>9</v>
      </c>
      <c r="AF413">
        <v>3</v>
      </c>
      <c r="AG413">
        <v>2025</v>
      </c>
      <c r="AH413" s="2">
        <v>1000</v>
      </c>
      <c r="AI413" s="2">
        <v>646.29718017578125</v>
      </c>
      <c r="AJ413" s="2">
        <f t="shared" si="48"/>
        <v>353.70281982421875</v>
      </c>
      <c r="AK413" s="6">
        <f t="shared" si="49"/>
        <v>0.35370281982421875</v>
      </c>
      <c r="AL413" s="12">
        <v>1000</v>
      </c>
      <c r="AM413" s="12">
        <v>1160.0214191211201</v>
      </c>
      <c r="AN413" s="12">
        <f t="shared" si="50"/>
        <v>160.02141912112006</v>
      </c>
      <c r="AO413" s="13">
        <f t="shared" si="51"/>
        <v>0.16002141912112006</v>
      </c>
      <c r="AP413" s="16">
        <v>1000</v>
      </c>
      <c r="AQ413" s="16">
        <v>673.8153367793991</v>
      </c>
      <c r="AR413" s="16">
        <f t="shared" si="52"/>
        <v>326.1846632206009</v>
      </c>
      <c r="AS413" s="17">
        <f t="shared" si="53"/>
        <v>0.32618466322060091</v>
      </c>
      <c r="AT413" s="20">
        <v>1000</v>
      </c>
      <c r="AU413" s="20">
        <v>649.57720947265625</v>
      </c>
      <c r="AV413" s="20">
        <f t="shared" si="54"/>
        <v>350.42279052734375</v>
      </c>
      <c r="AW413" s="21">
        <f t="shared" si="55"/>
        <v>0.35042279052734376</v>
      </c>
    </row>
    <row r="414" spans="1:49" x14ac:dyDescent="0.25">
      <c r="A414" t="s">
        <v>38</v>
      </c>
      <c r="B414" t="s">
        <v>39</v>
      </c>
      <c r="C414">
        <v>153194</v>
      </c>
      <c r="D414">
        <v>2013</v>
      </c>
      <c r="E414" t="s">
        <v>40</v>
      </c>
      <c r="F414" t="s">
        <v>215</v>
      </c>
      <c r="G414" t="s">
        <v>150</v>
      </c>
      <c r="H414" t="s">
        <v>216</v>
      </c>
      <c r="I414">
        <v>8</v>
      </c>
      <c r="J414" t="s">
        <v>135</v>
      </c>
      <c r="K414">
        <v>4</v>
      </c>
      <c r="L414" t="s">
        <v>44</v>
      </c>
      <c r="M414">
        <v>5.7</v>
      </c>
      <c r="N414" t="s">
        <v>73</v>
      </c>
      <c r="O414" t="s">
        <v>46</v>
      </c>
      <c r="Q414" t="s">
        <v>74</v>
      </c>
      <c r="R414" t="s">
        <v>92</v>
      </c>
      <c r="S414" t="s">
        <v>49</v>
      </c>
      <c r="T414">
        <v>381</v>
      </c>
      <c r="U414" t="s">
        <v>50</v>
      </c>
      <c r="V414" t="s">
        <v>76</v>
      </c>
      <c r="W414" t="s">
        <v>763</v>
      </c>
      <c r="X414" t="s">
        <v>219</v>
      </c>
      <c r="Y414" t="s">
        <v>78</v>
      </c>
      <c r="AA414">
        <v>0</v>
      </c>
      <c r="AB414" t="s">
        <v>79</v>
      </c>
      <c r="AC414" t="s">
        <v>95</v>
      </c>
      <c r="AD414">
        <v>36</v>
      </c>
      <c r="AE414">
        <v>9</v>
      </c>
      <c r="AF414">
        <v>3</v>
      </c>
      <c r="AG414">
        <v>2025</v>
      </c>
      <c r="AH414" s="2">
        <v>11250</v>
      </c>
      <c r="AI414" s="2">
        <v>8476.41015625</v>
      </c>
      <c r="AJ414" s="2">
        <f t="shared" si="48"/>
        <v>2773.58984375</v>
      </c>
      <c r="AK414" s="6">
        <f t="shared" si="49"/>
        <v>0.24654131944444443</v>
      </c>
      <c r="AL414" s="12">
        <v>11250</v>
      </c>
      <c r="AM414" s="12">
        <v>9700.3439320395555</v>
      </c>
      <c r="AN414" s="12">
        <f t="shared" si="50"/>
        <v>1549.6560679604445</v>
      </c>
      <c r="AO414" s="13">
        <f t="shared" si="51"/>
        <v>0.13774720604092841</v>
      </c>
      <c r="AP414" s="16">
        <v>11250</v>
      </c>
      <c r="AQ414" s="16">
        <v>8097.4345256389797</v>
      </c>
      <c r="AR414" s="16">
        <f t="shared" si="52"/>
        <v>3152.5654743610203</v>
      </c>
      <c r="AS414" s="17">
        <f t="shared" si="53"/>
        <v>0.28022804216542402</v>
      </c>
      <c r="AT414" s="20">
        <v>11250</v>
      </c>
      <c r="AU414" s="20">
        <v>8836.4013671875</v>
      </c>
      <c r="AV414" s="20">
        <f t="shared" si="54"/>
        <v>2413.5986328125</v>
      </c>
      <c r="AW414" s="21">
        <f t="shared" si="55"/>
        <v>0.21454210069444443</v>
      </c>
    </row>
    <row r="415" spans="1:49" x14ac:dyDescent="0.25">
      <c r="A415" t="s">
        <v>38</v>
      </c>
      <c r="B415" t="s">
        <v>96</v>
      </c>
      <c r="C415">
        <v>59054</v>
      </c>
      <c r="D415">
        <v>2023</v>
      </c>
      <c r="E415" t="s">
        <v>69</v>
      </c>
      <c r="F415" t="s">
        <v>231</v>
      </c>
      <c r="G415" t="s">
        <v>764</v>
      </c>
      <c r="I415">
        <v>8</v>
      </c>
      <c r="J415" t="s">
        <v>72</v>
      </c>
      <c r="K415">
        <v>4</v>
      </c>
      <c r="L415" t="s">
        <v>44</v>
      </c>
      <c r="M415">
        <v>5</v>
      </c>
      <c r="N415" t="s">
        <v>73</v>
      </c>
      <c r="O415" t="s">
        <v>46</v>
      </c>
      <c r="P415">
        <v>3</v>
      </c>
      <c r="Q415" t="s">
        <v>74</v>
      </c>
      <c r="R415" t="s">
        <v>92</v>
      </c>
      <c r="S415" t="s">
        <v>49</v>
      </c>
      <c r="U415" t="s">
        <v>50</v>
      </c>
      <c r="V415" t="s">
        <v>76</v>
      </c>
      <c r="W415" t="s">
        <v>387</v>
      </c>
      <c r="X415" t="s">
        <v>94</v>
      </c>
      <c r="Y415" t="s">
        <v>78</v>
      </c>
      <c r="AA415">
        <v>0</v>
      </c>
      <c r="AB415" t="s">
        <v>79</v>
      </c>
      <c r="AC415" t="s">
        <v>95</v>
      </c>
      <c r="AD415">
        <v>36</v>
      </c>
      <c r="AE415">
        <v>9</v>
      </c>
      <c r="AF415">
        <v>3</v>
      </c>
      <c r="AG415">
        <v>2025</v>
      </c>
      <c r="AH415" s="2">
        <v>30000</v>
      </c>
      <c r="AI415" s="2">
        <v>28088.48828125</v>
      </c>
      <c r="AJ415" s="2">
        <f t="shared" si="48"/>
        <v>1911.51171875</v>
      </c>
      <c r="AK415" s="6">
        <f t="shared" si="49"/>
        <v>6.3717057291666671E-2</v>
      </c>
      <c r="AL415" s="12">
        <v>30000</v>
      </c>
      <c r="AM415" s="12">
        <v>31696.74240498236</v>
      </c>
      <c r="AN415" s="12">
        <f t="shared" si="50"/>
        <v>1696.7424049823603</v>
      </c>
      <c r="AO415" s="13">
        <f t="shared" si="51"/>
        <v>5.6558080166078675E-2</v>
      </c>
      <c r="AP415" s="16">
        <v>30000</v>
      </c>
      <c r="AQ415" s="16">
        <v>24983.95524119008</v>
      </c>
      <c r="AR415" s="16">
        <f t="shared" si="52"/>
        <v>5016.0447588099196</v>
      </c>
      <c r="AS415" s="17">
        <f t="shared" si="53"/>
        <v>0.16720149196033066</v>
      </c>
      <c r="AT415" s="20">
        <v>30000</v>
      </c>
      <c r="AU415" s="20">
        <v>28384.22265625</v>
      </c>
      <c r="AV415" s="20">
        <f t="shared" si="54"/>
        <v>1615.77734375</v>
      </c>
      <c r="AW415" s="21">
        <f t="shared" si="55"/>
        <v>5.3859244791666663E-2</v>
      </c>
    </row>
    <row r="416" spans="1:49" x14ac:dyDescent="0.25">
      <c r="A416" t="s">
        <v>38</v>
      </c>
      <c r="B416" t="s">
        <v>96</v>
      </c>
      <c r="C416">
        <v>26690</v>
      </c>
      <c r="D416">
        <v>2024</v>
      </c>
      <c r="E416" t="s">
        <v>142</v>
      </c>
      <c r="F416" t="s">
        <v>335</v>
      </c>
      <c r="G416" t="s">
        <v>457</v>
      </c>
      <c r="I416">
        <v>4</v>
      </c>
      <c r="J416" t="s">
        <v>106</v>
      </c>
      <c r="K416">
        <v>4</v>
      </c>
      <c r="L416" t="s">
        <v>44</v>
      </c>
      <c r="M416">
        <v>2</v>
      </c>
      <c r="N416" t="s">
        <v>91</v>
      </c>
      <c r="O416" t="s">
        <v>46</v>
      </c>
      <c r="P416">
        <v>3</v>
      </c>
      <c r="Q416" t="s">
        <v>62</v>
      </c>
      <c r="R416" t="s">
        <v>63</v>
      </c>
      <c r="S416" t="s">
        <v>93</v>
      </c>
      <c r="T416">
        <v>200</v>
      </c>
      <c r="U416" t="s">
        <v>50</v>
      </c>
      <c r="V416" t="s">
        <v>51</v>
      </c>
      <c r="X416" t="s">
        <v>65</v>
      </c>
      <c r="Y416" t="s">
        <v>126</v>
      </c>
      <c r="AA416">
        <v>0</v>
      </c>
      <c r="AB416" t="s">
        <v>79</v>
      </c>
      <c r="AC416" t="s">
        <v>87</v>
      </c>
      <c r="AD416">
        <v>36</v>
      </c>
      <c r="AE416">
        <v>9</v>
      </c>
      <c r="AF416">
        <v>3</v>
      </c>
      <c r="AG416">
        <v>2025</v>
      </c>
      <c r="AH416" s="2">
        <v>17800</v>
      </c>
      <c r="AI416" s="2">
        <v>20591.732421875</v>
      </c>
      <c r="AJ416" s="2">
        <f t="shared" si="48"/>
        <v>2791.732421875</v>
      </c>
      <c r="AK416" s="6">
        <f t="shared" si="49"/>
        <v>0.15683890010533708</v>
      </c>
      <c r="AL416" s="12">
        <v>17800</v>
      </c>
      <c r="AM416" s="12">
        <v>23213.268706394501</v>
      </c>
      <c r="AN416" s="12">
        <f t="shared" si="50"/>
        <v>5413.2687063945014</v>
      </c>
      <c r="AO416" s="13">
        <f t="shared" si="51"/>
        <v>0.30411621946036527</v>
      </c>
      <c r="AP416" s="16">
        <v>17800</v>
      </c>
      <c r="AQ416" s="16">
        <v>16402.610057837839</v>
      </c>
      <c r="AR416" s="16">
        <f t="shared" si="52"/>
        <v>1397.3899421621609</v>
      </c>
      <c r="AS416" s="17">
        <f t="shared" si="53"/>
        <v>7.850505293045848E-2</v>
      </c>
      <c r="AT416" s="20">
        <v>17800</v>
      </c>
      <c r="AU416" s="20">
        <v>20884.666015625</v>
      </c>
      <c r="AV416" s="20">
        <f t="shared" si="54"/>
        <v>3084.666015625</v>
      </c>
      <c r="AW416" s="21">
        <f t="shared" si="55"/>
        <v>0.1732958435744382</v>
      </c>
    </row>
    <row r="417" spans="1:49" x14ac:dyDescent="0.25">
      <c r="A417" t="s">
        <v>38</v>
      </c>
      <c r="B417" t="s">
        <v>68</v>
      </c>
      <c r="C417">
        <v>114830</v>
      </c>
      <c r="D417">
        <v>2021</v>
      </c>
      <c r="E417" t="s">
        <v>97</v>
      </c>
      <c r="F417" t="s">
        <v>159</v>
      </c>
      <c r="G417" t="s">
        <v>338</v>
      </c>
      <c r="H417" t="s">
        <v>89</v>
      </c>
      <c r="I417">
        <v>8</v>
      </c>
      <c r="J417" t="s">
        <v>122</v>
      </c>
      <c r="K417">
        <v>4</v>
      </c>
      <c r="L417" t="s">
        <v>44</v>
      </c>
      <c r="M417">
        <v>5.3</v>
      </c>
      <c r="N417" t="s">
        <v>73</v>
      </c>
      <c r="O417" t="s">
        <v>46</v>
      </c>
      <c r="Q417" t="s">
        <v>74</v>
      </c>
      <c r="R417" t="s">
        <v>92</v>
      </c>
      <c r="S417" t="s">
        <v>49</v>
      </c>
      <c r="U417" t="s">
        <v>50</v>
      </c>
      <c r="W417" t="s">
        <v>339</v>
      </c>
      <c r="X417" t="s">
        <v>94</v>
      </c>
      <c r="Y417" t="s">
        <v>126</v>
      </c>
      <c r="AA417">
        <v>0</v>
      </c>
      <c r="AB417" t="s">
        <v>79</v>
      </c>
      <c r="AC417" t="s">
        <v>95</v>
      </c>
      <c r="AD417">
        <v>36</v>
      </c>
      <c r="AE417">
        <v>9</v>
      </c>
      <c r="AF417">
        <v>3</v>
      </c>
      <c r="AG417">
        <v>2025</v>
      </c>
      <c r="AH417" s="2">
        <v>23500</v>
      </c>
      <c r="AI417" s="2">
        <v>25599.392578125</v>
      </c>
      <c r="AJ417" s="2">
        <f t="shared" si="48"/>
        <v>2099.392578125</v>
      </c>
      <c r="AK417" s="6">
        <f t="shared" si="49"/>
        <v>8.9335854388297872E-2</v>
      </c>
      <c r="AL417" s="12">
        <v>23500</v>
      </c>
      <c r="AM417" s="12">
        <v>22658.613377267939</v>
      </c>
      <c r="AN417" s="12">
        <f t="shared" si="50"/>
        <v>841.38662273206137</v>
      </c>
      <c r="AO417" s="13">
        <f t="shared" si="51"/>
        <v>3.5803686073704738E-2</v>
      </c>
      <c r="AP417" s="16">
        <v>23500</v>
      </c>
      <c r="AQ417" s="16">
        <v>23073.11294553374</v>
      </c>
      <c r="AR417" s="16">
        <f t="shared" si="52"/>
        <v>426.88705446626045</v>
      </c>
      <c r="AS417" s="17">
        <f t="shared" si="53"/>
        <v>1.816540657303236E-2</v>
      </c>
      <c r="AT417" s="20">
        <v>23500</v>
      </c>
      <c r="AU417" s="20">
        <v>25114.173828125</v>
      </c>
      <c r="AV417" s="20">
        <f t="shared" si="54"/>
        <v>1614.173828125</v>
      </c>
      <c r="AW417" s="21">
        <f t="shared" si="55"/>
        <v>6.8688248005319155E-2</v>
      </c>
    </row>
    <row r="418" spans="1:49" x14ac:dyDescent="0.25">
      <c r="A418" t="s">
        <v>38</v>
      </c>
      <c r="B418" t="s">
        <v>110</v>
      </c>
      <c r="C418">
        <v>211131</v>
      </c>
      <c r="D418">
        <v>2009</v>
      </c>
      <c r="E418" t="s">
        <v>83</v>
      </c>
      <c r="F418" t="s">
        <v>765</v>
      </c>
      <c r="I418">
        <v>4</v>
      </c>
      <c r="J418" t="s">
        <v>135</v>
      </c>
      <c r="K418">
        <v>4</v>
      </c>
      <c r="L418" t="s">
        <v>44</v>
      </c>
      <c r="M418">
        <v>2.4</v>
      </c>
      <c r="N418" t="s">
        <v>45</v>
      </c>
      <c r="O418" t="s">
        <v>46</v>
      </c>
      <c r="P418">
        <v>2</v>
      </c>
      <c r="Q418" t="s">
        <v>47</v>
      </c>
      <c r="R418" t="s">
        <v>123</v>
      </c>
      <c r="T418">
        <v>201</v>
      </c>
      <c r="U418" t="s">
        <v>50</v>
      </c>
      <c r="V418" t="s">
        <v>51</v>
      </c>
      <c r="W418" t="s">
        <v>766</v>
      </c>
      <c r="X418" t="s">
        <v>65</v>
      </c>
      <c r="Y418" t="s">
        <v>54</v>
      </c>
      <c r="AA418">
        <v>0</v>
      </c>
      <c r="AB418" t="s">
        <v>79</v>
      </c>
      <c r="AC418" t="s">
        <v>127</v>
      </c>
      <c r="AD418">
        <v>36</v>
      </c>
      <c r="AE418">
        <v>9</v>
      </c>
      <c r="AF418">
        <v>3</v>
      </c>
      <c r="AG418">
        <v>2025</v>
      </c>
      <c r="AH418" s="2">
        <v>1000</v>
      </c>
      <c r="AI418" s="2">
        <v>944.4573974609375</v>
      </c>
      <c r="AJ418" s="2">
        <f t="shared" si="48"/>
        <v>55.5426025390625</v>
      </c>
      <c r="AK418" s="6">
        <f t="shared" si="49"/>
        <v>5.5542602539062499E-2</v>
      </c>
      <c r="AL418" s="12">
        <v>1000</v>
      </c>
      <c r="AM418" s="12">
        <v>1144.1945002991611</v>
      </c>
      <c r="AN418" s="12">
        <f t="shared" si="50"/>
        <v>144.19450029916106</v>
      </c>
      <c r="AO418" s="13">
        <f t="shared" si="51"/>
        <v>0.14419450029916106</v>
      </c>
      <c r="AP418" s="16">
        <v>1000</v>
      </c>
      <c r="AQ418" s="16">
        <v>1331.4104151970701</v>
      </c>
      <c r="AR418" s="16">
        <f t="shared" si="52"/>
        <v>331.41041519707005</v>
      </c>
      <c r="AS418" s="17">
        <f t="shared" si="53"/>
        <v>0.33141041519707004</v>
      </c>
      <c r="AT418" s="20">
        <v>1000</v>
      </c>
      <c r="AU418" s="20">
        <v>930.0880126953125</v>
      </c>
      <c r="AV418" s="20">
        <f t="shared" si="54"/>
        <v>69.9119873046875</v>
      </c>
      <c r="AW418" s="21">
        <f t="shared" si="55"/>
        <v>6.9911987304687506E-2</v>
      </c>
    </row>
    <row r="419" spans="1:49" x14ac:dyDescent="0.25">
      <c r="A419" t="s">
        <v>114</v>
      </c>
      <c r="B419" t="s">
        <v>340</v>
      </c>
      <c r="C419">
        <v>254974</v>
      </c>
      <c r="D419">
        <v>2010</v>
      </c>
      <c r="E419" t="s">
        <v>166</v>
      </c>
      <c r="F419" t="s">
        <v>628</v>
      </c>
      <c r="G419" t="s">
        <v>240</v>
      </c>
      <c r="I419">
        <v>4</v>
      </c>
      <c r="J419" t="s">
        <v>106</v>
      </c>
      <c r="K419">
        <v>4</v>
      </c>
      <c r="L419" t="s">
        <v>44</v>
      </c>
      <c r="M419">
        <v>1.8</v>
      </c>
      <c r="N419" t="s">
        <v>45</v>
      </c>
      <c r="O419" t="s">
        <v>46</v>
      </c>
      <c r="P419">
        <v>1</v>
      </c>
      <c r="Q419" t="s">
        <v>47</v>
      </c>
      <c r="R419" t="s">
        <v>123</v>
      </c>
      <c r="T419">
        <v>140</v>
      </c>
      <c r="U419" t="s">
        <v>50</v>
      </c>
      <c r="V419" t="s">
        <v>51</v>
      </c>
      <c r="W419" t="s">
        <v>767</v>
      </c>
      <c r="X419" t="s">
        <v>53</v>
      </c>
      <c r="Y419" t="s">
        <v>78</v>
      </c>
      <c r="AA419">
        <v>0</v>
      </c>
      <c r="AB419" t="s">
        <v>79</v>
      </c>
      <c r="AC419" t="s">
        <v>127</v>
      </c>
      <c r="AD419">
        <v>36</v>
      </c>
      <c r="AE419">
        <v>9</v>
      </c>
      <c r="AF419">
        <v>3</v>
      </c>
      <c r="AG419">
        <v>2025</v>
      </c>
      <c r="AH419" s="2">
        <v>1900</v>
      </c>
      <c r="AI419" s="2">
        <v>799.241943359375</v>
      </c>
      <c r="AJ419" s="2">
        <f t="shared" si="48"/>
        <v>1100.758056640625</v>
      </c>
      <c r="AK419" s="6">
        <f t="shared" si="49"/>
        <v>0.57934634560032894</v>
      </c>
      <c r="AL419" s="12">
        <v>1900</v>
      </c>
      <c r="AM419" s="12">
        <v>1020.652353104031</v>
      </c>
      <c r="AN419" s="12">
        <f t="shared" si="50"/>
        <v>879.34764689596898</v>
      </c>
      <c r="AO419" s="13">
        <f t="shared" si="51"/>
        <v>0.46281455099787838</v>
      </c>
      <c r="AP419" s="16">
        <v>1900</v>
      </c>
      <c r="AQ419" s="16">
        <v>756.14883542808207</v>
      </c>
      <c r="AR419" s="16">
        <f t="shared" si="52"/>
        <v>1143.8511645719179</v>
      </c>
      <c r="AS419" s="17">
        <f t="shared" si="53"/>
        <v>0.60202692872206209</v>
      </c>
      <c r="AT419" s="20">
        <v>1900</v>
      </c>
      <c r="AU419" s="20">
        <v>825.075927734375</v>
      </c>
      <c r="AV419" s="20">
        <f t="shared" si="54"/>
        <v>1074.924072265625</v>
      </c>
      <c r="AW419" s="21">
        <f t="shared" si="55"/>
        <v>0.56574951171874999</v>
      </c>
    </row>
    <row r="420" spans="1:49" x14ac:dyDescent="0.25">
      <c r="A420" t="s">
        <v>38</v>
      </c>
      <c r="B420" t="s">
        <v>96</v>
      </c>
      <c r="C420">
        <v>104200</v>
      </c>
      <c r="D420">
        <v>2013</v>
      </c>
      <c r="E420" t="s">
        <v>399</v>
      </c>
      <c r="F420" t="s">
        <v>768</v>
      </c>
      <c r="G420" t="s">
        <v>769</v>
      </c>
      <c r="I420">
        <v>6</v>
      </c>
      <c r="J420" t="s">
        <v>72</v>
      </c>
      <c r="K420">
        <v>4</v>
      </c>
      <c r="L420" t="s">
        <v>44</v>
      </c>
      <c r="M420">
        <v>3.6</v>
      </c>
      <c r="N420" t="s">
        <v>44</v>
      </c>
      <c r="O420" t="s">
        <v>46</v>
      </c>
      <c r="Q420" t="s">
        <v>62</v>
      </c>
      <c r="R420" t="s">
        <v>63</v>
      </c>
      <c r="S420" t="s">
        <v>85</v>
      </c>
      <c r="W420" t="s">
        <v>770</v>
      </c>
      <c r="X420" t="s">
        <v>65</v>
      </c>
      <c r="Y420" t="s">
        <v>78</v>
      </c>
      <c r="AA420">
        <v>0</v>
      </c>
      <c r="AB420" t="s">
        <v>79</v>
      </c>
      <c r="AC420" t="s">
        <v>87</v>
      </c>
      <c r="AD420">
        <v>36</v>
      </c>
      <c r="AE420">
        <v>9</v>
      </c>
      <c r="AF420">
        <v>3</v>
      </c>
      <c r="AG420">
        <v>2025</v>
      </c>
      <c r="AH420" s="2">
        <v>5500</v>
      </c>
      <c r="AI420" s="2">
        <v>5089.5830078125</v>
      </c>
      <c r="AJ420" s="2">
        <f t="shared" si="48"/>
        <v>410.4169921875</v>
      </c>
      <c r="AK420" s="6">
        <f t="shared" si="49"/>
        <v>7.4621271306818185E-2</v>
      </c>
      <c r="AL420" s="12">
        <v>5500</v>
      </c>
      <c r="AM420" s="12">
        <v>4848.3220304218721</v>
      </c>
      <c r="AN420" s="12">
        <f t="shared" si="50"/>
        <v>651.67796957812789</v>
      </c>
      <c r="AO420" s="13">
        <f t="shared" si="51"/>
        <v>0.11848690355965961</v>
      </c>
      <c r="AP420" s="16">
        <v>5500</v>
      </c>
      <c r="AQ420" s="16">
        <v>4591.0462532481688</v>
      </c>
      <c r="AR420" s="16">
        <f t="shared" si="52"/>
        <v>908.9537467518312</v>
      </c>
      <c r="AS420" s="17">
        <f t="shared" si="53"/>
        <v>0.16526431759124205</v>
      </c>
      <c r="AT420" s="20">
        <v>5500</v>
      </c>
      <c r="AU420" s="20">
        <v>5072.0341796875</v>
      </c>
      <c r="AV420" s="20">
        <f t="shared" si="54"/>
        <v>427.9658203125</v>
      </c>
      <c r="AW420" s="21">
        <f t="shared" si="55"/>
        <v>7.7811967329545456E-2</v>
      </c>
    </row>
    <row r="421" spans="1:49" x14ac:dyDescent="0.25">
      <c r="A421" t="s">
        <v>38</v>
      </c>
      <c r="B421" t="s">
        <v>57</v>
      </c>
      <c r="C421">
        <v>157394</v>
      </c>
      <c r="D421">
        <v>2018</v>
      </c>
      <c r="E421" t="s">
        <v>69</v>
      </c>
      <c r="F421" t="s">
        <v>231</v>
      </c>
      <c r="I421">
        <v>6</v>
      </c>
      <c r="J421" t="s">
        <v>61</v>
      </c>
      <c r="K421">
        <v>4</v>
      </c>
      <c r="L421" t="s">
        <v>44</v>
      </c>
      <c r="M421">
        <v>3.5</v>
      </c>
      <c r="N421" t="s">
        <v>91</v>
      </c>
      <c r="O421" t="s">
        <v>46</v>
      </c>
      <c r="P421">
        <v>3</v>
      </c>
      <c r="Q421" t="s">
        <v>74</v>
      </c>
      <c r="R421" t="s">
        <v>92</v>
      </c>
      <c r="S421" t="s">
        <v>93</v>
      </c>
      <c r="T421">
        <v>375</v>
      </c>
      <c r="U421" t="s">
        <v>50</v>
      </c>
      <c r="V421" t="s">
        <v>76</v>
      </c>
      <c r="W421" t="s">
        <v>107</v>
      </c>
      <c r="X421" t="s">
        <v>108</v>
      </c>
      <c r="Y421" t="s">
        <v>78</v>
      </c>
      <c r="AA421">
        <v>0</v>
      </c>
      <c r="AB421" t="s">
        <v>79</v>
      </c>
      <c r="AC421" t="s">
        <v>95</v>
      </c>
      <c r="AD421">
        <v>36</v>
      </c>
      <c r="AE421">
        <v>9</v>
      </c>
      <c r="AF421">
        <v>3</v>
      </c>
      <c r="AG421">
        <v>2025</v>
      </c>
      <c r="AH421" s="2">
        <v>11300</v>
      </c>
      <c r="AI421" s="2">
        <v>10380.669921875</v>
      </c>
      <c r="AJ421" s="2">
        <f t="shared" si="48"/>
        <v>919.330078125</v>
      </c>
      <c r="AK421" s="6">
        <f t="shared" si="49"/>
        <v>8.1356644081858401E-2</v>
      </c>
      <c r="AL421" s="12">
        <v>11300</v>
      </c>
      <c r="AM421" s="12">
        <v>12351.05449697935</v>
      </c>
      <c r="AN421" s="12">
        <f t="shared" si="50"/>
        <v>1051.05449697935</v>
      </c>
      <c r="AO421" s="13">
        <f t="shared" si="51"/>
        <v>9.301367229905752E-2</v>
      </c>
      <c r="AP421" s="16">
        <v>11300</v>
      </c>
      <c r="AQ421" s="16">
        <v>10717.65421420967</v>
      </c>
      <c r="AR421" s="16">
        <f t="shared" si="52"/>
        <v>582.34578579033041</v>
      </c>
      <c r="AS421" s="17">
        <f t="shared" si="53"/>
        <v>5.1535025291179683E-2</v>
      </c>
      <c r="AT421" s="20">
        <v>11300</v>
      </c>
      <c r="AU421" s="20">
        <v>10938.919921875</v>
      </c>
      <c r="AV421" s="20">
        <f t="shared" si="54"/>
        <v>361.080078125</v>
      </c>
      <c r="AW421" s="21">
        <f t="shared" si="55"/>
        <v>3.1953989214601769E-2</v>
      </c>
    </row>
    <row r="422" spans="1:49" x14ac:dyDescent="0.25">
      <c r="A422" t="s">
        <v>38</v>
      </c>
      <c r="B422" t="s">
        <v>39</v>
      </c>
      <c r="C422">
        <v>247457</v>
      </c>
      <c r="D422">
        <v>2007</v>
      </c>
      <c r="E422" t="s">
        <v>146</v>
      </c>
      <c r="F422" t="s">
        <v>302</v>
      </c>
      <c r="I422">
        <v>6</v>
      </c>
      <c r="J422" t="s">
        <v>43</v>
      </c>
      <c r="K422">
        <v>4</v>
      </c>
      <c r="L422" t="s">
        <v>44</v>
      </c>
      <c r="M422">
        <v>4</v>
      </c>
      <c r="N422" t="s">
        <v>73</v>
      </c>
      <c r="O422" t="s">
        <v>46</v>
      </c>
      <c r="Q422" t="s">
        <v>62</v>
      </c>
      <c r="R422" t="s">
        <v>63</v>
      </c>
      <c r="S422" t="s">
        <v>49</v>
      </c>
      <c r="U422" t="s">
        <v>50</v>
      </c>
      <c r="X422" t="s">
        <v>141</v>
      </c>
      <c r="Y422" t="s">
        <v>78</v>
      </c>
      <c r="AA422">
        <v>0</v>
      </c>
      <c r="AB422" t="s">
        <v>79</v>
      </c>
      <c r="AC422" t="s">
        <v>87</v>
      </c>
      <c r="AD422">
        <v>36</v>
      </c>
      <c r="AE422">
        <v>9</v>
      </c>
      <c r="AF422">
        <v>3</v>
      </c>
      <c r="AG422">
        <v>2025</v>
      </c>
      <c r="AH422" s="2">
        <v>1800</v>
      </c>
      <c r="AI422" s="2">
        <v>934.55841064453125</v>
      </c>
      <c r="AJ422" s="2">
        <f t="shared" si="48"/>
        <v>865.44158935546875</v>
      </c>
      <c r="AK422" s="6">
        <f t="shared" si="49"/>
        <v>0.48080088297526041</v>
      </c>
      <c r="AL422" s="12">
        <v>1800</v>
      </c>
      <c r="AM422" s="12">
        <v>890.49087142186488</v>
      </c>
      <c r="AN422" s="12">
        <f t="shared" si="50"/>
        <v>909.50912857813512</v>
      </c>
      <c r="AO422" s="13">
        <f t="shared" si="51"/>
        <v>0.50528284921007505</v>
      </c>
      <c r="AP422" s="16">
        <v>1800</v>
      </c>
      <c r="AQ422" s="16">
        <v>786.80317562568609</v>
      </c>
      <c r="AR422" s="16">
        <f t="shared" si="52"/>
        <v>1013.1968243743139</v>
      </c>
      <c r="AS422" s="17">
        <f t="shared" si="53"/>
        <v>0.56288712465239665</v>
      </c>
      <c r="AT422" s="20">
        <v>1800</v>
      </c>
      <c r="AU422" s="20">
        <v>871.2596435546875</v>
      </c>
      <c r="AV422" s="20">
        <f t="shared" si="54"/>
        <v>928.7403564453125</v>
      </c>
      <c r="AW422" s="21">
        <f t="shared" si="55"/>
        <v>0.51596686469184028</v>
      </c>
    </row>
    <row r="423" spans="1:49" x14ac:dyDescent="0.25">
      <c r="A423" t="s">
        <v>81</v>
      </c>
      <c r="B423" t="s">
        <v>82</v>
      </c>
      <c r="C423">
        <v>196958</v>
      </c>
      <c r="D423">
        <v>2010</v>
      </c>
      <c r="E423" t="s">
        <v>146</v>
      </c>
      <c r="F423" t="s">
        <v>147</v>
      </c>
      <c r="H423" t="s">
        <v>272</v>
      </c>
      <c r="I423">
        <v>4</v>
      </c>
      <c r="J423" t="s">
        <v>72</v>
      </c>
      <c r="K423">
        <v>4</v>
      </c>
      <c r="L423" t="s">
        <v>44</v>
      </c>
      <c r="M423">
        <v>2.5</v>
      </c>
      <c r="N423" t="s">
        <v>44</v>
      </c>
      <c r="O423" t="s">
        <v>46</v>
      </c>
      <c r="Q423" t="s">
        <v>62</v>
      </c>
      <c r="R423" t="s">
        <v>63</v>
      </c>
      <c r="S423" t="s">
        <v>93</v>
      </c>
      <c r="U423" t="s">
        <v>50</v>
      </c>
      <c r="X423" t="s">
        <v>65</v>
      </c>
      <c r="Y423" t="s">
        <v>54</v>
      </c>
      <c r="AA423">
        <v>0</v>
      </c>
      <c r="AB423" t="s">
        <v>79</v>
      </c>
      <c r="AC423" t="s">
        <v>87</v>
      </c>
      <c r="AD423">
        <v>36</v>
      </c>
      <c r="AE423">
        <v>9</v>
      </c>
      <c r="AF423">
        <v>3</v>
      </c>
      <c r="AG423">
        <v>2025</v>
      </c>
      <c r="AH423" s="2">
        <v>400</v>
      </c>
      <c r="AI423" s="2">
        <v>673.35089111328125</v>
      </c>
      <c r="AJ423" s="2">
        <f t="shared" si="48"/>
        <v>273.35089111328125</v>
      </c>
      <c r="AK423" s="6">
        <f t="shared" si="49"/>
        <v>0.68337722778320309</v>
      </c>
      <c r="AL423" s="12">
        <v>400</v>
      </c>
      <c r="AM423" s="12">
        <v>935.24702106611733</v>
      </c>
      <c r="AN423" s="12">
        <f t="shared" si="50"/>
        <v>535.24702106611733</v>
      </c>
      <c r="AO423" s="13">
        <f t="shared" si="51"/>
        <v>1.3381175526652933</v>
      </c>
      <c r="AP423" s="16">
        <v>400</v>
      </c>
      <c r="AQ423" s="16">
        <v>789.34395256368998</v>
      </c>
      <c r="AR423" s="16">
        <f t="shared" si="52"/>
        <v>389.34395256368998</v>
      </c>
      <c r="AS423" s="17">
        <f t="shared" si="53"/>
        <v>0.97335988140922491</v>
      </c>
      <c r="AT423" s="20">
        <v>400</v>
      </c>
      <c r="AU423" s="20">
        <v>703.66607666015625</v>
      </c>
      <c r="AV423" s="20">
        <f t="shared" si="54"/>
        <v>303.66607666015625</v>
      </c>
      <c r="AW423" s="21">
        <f t="shared" si="55"/>
        <v>0.75916519165039065</v>
      </c>
    </row>
    <row r="424" spans="1:49" x14ac:dyDescent="0.25">
      <c r="A424" t="s">
        <v>38</v>
      </c>
      <c r="B424" t="s">
        <v>96</v>
      </c>
      <c r="C424">
        <v>46587</v>
      </c>
      <c r="D424">
        <v>2022</v>
      </c>
      <c r="E424" t="s">
        <v>97</v>
      </c>
      <c r="F424" t="s">
        <v>363</v>
      </c>
      <c r="G424" t="s">
        <v>199</v>
      </c>
      <c r="I424">
        <v>4</v>
      </c>
      <c r="J424" t="s">
        <v>72</v>
      </c>
      <c r="K424">
        <v>4</v>
      </c>
      <c r="L424" t="s">
        <v>44</v>
      </c>
      <c r="M424">
        <v>1.4</v>
      </c>
      <c r="N424" t="s">
        <v>45</v>
      </c>
      <c r="O424" t="s">
        <v>46</v>
      </c>
      <c r="P424">
        <v>4</v>
      </c>
      <c r="Q424" t="s">
        <v>62</v>
      </c>
      <c r="R424" t="s">
        <v>63</v>
      </c>
      <c r="S424" t="s">
        <v>101</v>
      </c>
      <c r="U424" t="s">
        <v>50</v>
      </c>
      <c r="V424" t="s">
        <v>51</v>
      </c>
      <c r="W424" t="s">
        <v>771</v>
      </c>
      <c r="X424" t="s">
        <v>65</v>
      </c>
      <c r="Y424" t="s">
        <v>66</v>
      </c>
      <c r="AA424">
        <v>0</v>
      </c>
      <c r="AB424" t="s">
        <v>79</v>
      </c>
      <c r="AC424" t="s">
        <v>87</v>
      </c>
      <c r="AD424">
        <v>36</v>
      </c>
      <c r="AE424">
        <v>9</v>
      </c>
      <c r="AF424">
        <v>3</v>
      </c>
      <c r="AG424">
        <v>2025</v>
      </c>
      <c r="AH424" s="2">
        <v>14200</v>
      </c>
      <c r="AI424" s="2">
        <v>13833.15625</v>
      </c>
      <c r="AJ424" s="2">
        <f t="shared" si="48"/>
        <v>366.84375</v>
      </c>
      <c r="AK424" s="6">
        <f t="shared" si="49"/>
        <v>2.5834066901408451E-2</v>
      </c>
      <c r="AL424" s="12">
        <v>14200</v>
      </c>
      <c r="AM424" s="12">
        <v>16487.764539217929</v>
      </c>
      <c r="AN424" s="12">
        <f t="shared" si="50"/>
        <v>2287.7645392179293</v>
      </c>
      <c r="AO424" s="13">
        <f t="shared" si="51"/>
        <v>0.16111017881816403</v>
      </c>
      <c r="AP424" s="16">
        <v>14200</v>
      </c>
      <c r="AQ424" s="16">
        <v>13435.23886058917</v>
      </c>
      <c r="AR424" s="16">
        <f t="shared" si="52"/>
        <v>764.76113941082986</v>
      </c>
      <c r="AS424" s="17">
        <f t="shared" si="53"/>
        <v>5.3856418268368303E-2</v>
      </c>
      <c r="AT424" s="20">
        <v>14200</v>
      </c>
      <c r="AU424" s="20">
        <v>14477.451171875</v>
      </c>
      <c r="AV424" s="20">
        <f t="shared" si="54"/>
        <v>277.451171875</v>
      </c>
      <c r="AW424" s="21">
        <f t="shared" si="55"/>
        <v>1.9538814920774649E-2</v>
      </c>
    </row>
    <row r="425" spans="1:49" x14ac:dyDescent="0.25">
      <c r="A425" t="s">
        <v>38</v>
      </c>
      <c r="B425" t="s">
        <v>68</v>
      </c>
      <c r="C425">
        <v>94060</v>
      </c>
      <c r="D425">
        <v>2019</v>
      </c>
      <c r="E425" t="s">
        <v>97</v>
      </c>
      <c r="F425" t="s">
        <v>772</v>
      </c>
      <c r="G425" t="s">
        <v>155</v>
      </c>
      <c r="H425" t="s">
        <v>89</v>
      </c>
      <c r="I425">
        <v>8</v>
      </c>
      <c r="J425" t="s">
        <v>61</v>
      </c>
      <c r="K425">
        <v>4</v>
      </c>
      <c r="L425" t="s">
        <v>44</v>
      </c>
      <c r="M425">
        <v>5.3</v>
      </c>
      <c r="N425" t="s">
        <v>73</v>
      </c>
      <c r="O425" t="s">
        <v>46</v>
      </c>
      <c r="P425">
        <v>4</v>
      </c>
      <c r="Q425" t="s">
        <v>74</v>
      </c>
      <c r="R425" t="s">
        <v>92</v>
      </c>
      <c r="S425" t="s">
        <v>49</v>
      </c>
      <c r="U425" t="s">
        <v>50</v>
      </c>
      <c r="W425" t="s">
        <v>773</v>
      </c>
      <c r="X425" t="s">
        <v>94</v>
      </c>
      <c r="Y425" t="s">
        <v>103</v>
      </c>
      <c r="AA425">
        <v>0</v>
      </c>
      <c r="AB425" t="s">
        <v>79</v>
      </c>
      <c r="AC425" t="s">
        <v>95</v>
      </c>
      <c r="AD425">
        <v>36</v>
      </c>
      <c r="AE425">
        <v>9</v>
      </c>
      <c r="AF425">
        <v>3</v>
      </c>
      <c r="AG425">
        <v>2025</v>
      </c>
      <c r="AH425" s="2">
        <v>17000</v>
      </c>
      <c r="AI425" s="2">
        <v>21031.638671875</v>
      </c>
      <c r="AJ425" s="2">
        <f t="shared" si="48"/>
        <v>4031.638671875</v>
      </c>
      <c r="AK425" s="6">
        <f t="shared" si="49"/>
        <v>0.23715521599264705</v>
      </c>
      <c r="AL425" s="12">
        <v>17000</v>
      </c>
      <c r="AM425" s="12">
        <v>21855.517554592869</v>
      </c>
      <c r="AN425" s="12">
        <f t="shared" si="50"/>
        <v>4855.5175545928687</v>
      </c>
      <c r="AO425" s="13">
        <f t="shared" si="51"/>
        <v>0.28561867968193344</v>
      </c>
      <c r="AP425" s="16">
        <v>17000</v>
      </c>
      <c r="AQ425" s="16">
        <v>17897.56963786553</v>
      </c>
      <c r="AR425" s="16">
        <f t="shared" si="52"/>
        <v>897.56963786553024</v>
      </c>
      <c r="AS425" s="17">
        <f t="shared" si="53"/>
        <v>5.2798213992090011E-2</v>
      </c>
      <c r="AT425" s="20">
        <v>17000</v>
      </c>
      <c r="AU425" s="20">
        <v>20902.060546875</v>
      </c>
      <c r="AV425" s="20">
        <f t="shared" si="54"/>
        <v>3902.060546875</v>
      </c>
      <c r="AW425" s="21">
        <f t="shared" si="55"/>
        <v>0.22953297334558823</v>
      </c>
    </row>
    <row r="426" spans="1:49" x14ac:dyDescent="0.25">
      <c r="A426" t="s">
        <v>38</v>
      </c>
      <c r="B426" t="s">
        <v>96</v>
      </c>
      <c r="C426">
        <v>275029</v>
      </c>
      <c r="D426">
        <v>2011</v>
      </c>
      <c r="E426" t="s">
        <v>174</v>
      </c>
      <c r="F426" t="s">
        <v>774</v>
      </c>
      <c r="G426" t="s">
        <v>315</v>
      </c>
      <c r="H426" t="s">
        <v>420</v>
      </c>
      <c r="I426">
        <v>8</v>
      </c>
      <c r="J426" t="s">
        <v>61</v>
      </c>
      <c r="K426">
        <v>4</v>
      </c>
      <c r="L426" t="s">
        <v>44</v>
      </c>
      <c r="M426">
        <v>5.3</v>
      </c>
      <c r="N426" t="s">
        <v>73</v>
      </c>
      <c r="O426" t="s">
        <v>46</v>
      </c>
      <c r="Q426" t="s">
        <v>62</v>
      </c>
      <c r="R426" t="s">
        <v>63</v>
      </c>
      <c r="S426" t="s">
        <v>49</v>
      </c>
      <c r="U426" t="s">
        <v>180</v>
      </c>
      <c r="V426" t="s">
        <v>76</v>
      </c>
      <c r="W426" t="s">
        <v>421</v>
      </c>
      <c r="X426" t="s">
        <v>108</v>
      </c>
      <c r="Y426" t="s">
        <v>78</v>
      </c>
      <c r="AA426">
        <v>0</v>
      </c>
      <c r="AB426" t="s">
        <v>79</v>
      </c>
      <c r="AC426" t="s">
        <v>87</v>
      </c>
      <c r="AD426">
        <v>36</v>
      </c>
      <c r="AE426">
        <v>9</v>
      </c>
      <c r="AF426">
        <v>3</v>
      </c>
      <c r="AG426">
        <v>2025</v>
      </c>
      <c r="AH426" s="2">
        <v>2200</v>
      </c>
      <c r="AI426" s="2">
        <v>2178.002685546875</v>
      </c>
      <c r="AJ426" s="2">
        <f t="shared" si="48"/>
        <v>21.997314453125</v>
      </c>
      <c r="AK426" s="6">
        <f t="shared" si="49"/>
        <v>9.9987792968749996E-3</v>
      </c>
      <c r="AL426" s="12">
        <v>2200</v>
      </c>
      <c r="AM426" s="12">
        <v>2811.5963170611021</v>
      </c>
      <c r="AN426" s="12">
        <f t="shared" si="50"/>
        <v>611.59631706110213</v>
      </c>
      <c r="AO426" s="13">
        <f t="shared" si="51"/>
        <v>0.27799832593686458</v>
      </c>
      <c r="AP426" s="16">
        <v>2200</v>
      </c>
      <c r="AQ426" s="16">
        <v>2450.5545053354331</v>
      </c>
      <c r="AR426" s="16">
        <f t="shared" si="52"/>
        <v>250.55450533543308</v>
      </c>
      <c r="AS426" s="17">
        <f t="shared" si="53"/>
        <v>0.11388841151610594</v>
      </c>
      <c r="AT426" s="20">
        <v>2200</v>
      </c>
      <c r="AU426" s="20">
        <v>2265.445068359375</v>
      </c>
      <c r="AV426" s="20">
        <f t="shared" si="54"/>
        <v>65.445068359375</v>
      </c>
      <c r="AW426" s="21">
        <f t="shared" si="55"/>
        <v>2.9747758345170454E-2</v>
      </c>
    </row>
    <row r="427" spans="1:49" x14ac:dyDescent="0.25">
      <c r="A427" t="s">
        <v>81</v>
      </c>
      <c r="B427" t="s">
        <v>82</v>
      </c>
      <c r="C427">
        <v>211632</v>
      </c>
      <c r="D427">
        <v>2010</v>
      </c>
      <c r="E427" t="s">
        <v>166</v>
      </c>
      <c r="F427" t="s">
        <v>247</v>
      </c>
      <c r="G427" t="s">
        <v>581</v>
      </c>
      <c r="I427">
        <v>4</v>
      </c>
      <c r="J427" t="s">
        <v>61</v>
      </c>
      <c r="K427">
        <v>4</v>
      </c>
      <c r="L427" t="s">
        <v>44</v>
      </c>
      <c r="M427">
        <v>2.4</v>
      </c>
      <c r="N427" t="s">
        <v>91</v>
      </c>
      <c r="O427" t="s">
        <v>100</v>
      </c>
      <c r="Q427" t="s">
        <v>62</v>
      </c>
      <c r="R427" t="s">
        <v>63</v>
      </c>
      <c r="S427" t="s">
        <v>93</v>
      </c>
      <c r="T427">
        <v>180</v>
      </c>
      <c r="U427" t="s">
        <v>50</v>
      </c>
      <c r="V427" t="s">
        <v>51</v>
      </c>
      <c r="W427" t="s">
        <v>582</v>
      </c>
      <c r="X427" t="s">
        <v>65</v>
      </c>
      <c r="Y427" t="s">
        <v>78</v>
      </c>
      <c r="AA427">
        <v>0</v>
      </c>
      <c r="AB427" t="s">
        <v>79</v>
      </c>
      <c r="AC427" t="s">
        <v>87</v>
      </c>
      <c r="AD427">
        <v>36</v>
      </c>
      <c r="AE427">
        <v>9</v>
      </c>
      <c r="AF427">
        <v>3</v>
      </c>
      <c r="AG427">
        <v>2025</v>
      </c>
      <c r="AH427" s="2">
        <v>350</v>
      </c>
      <c r="AI427" s="2">
        <v>962.6585693359375</v>
      </c>
      <c r="AJ427" s="2">
        <f t="shared" si="48"/>
        <v>612.6585693359375</v>
      </c>
      <c r="AK427" s="6">
        <f t="shared" si="49"/>
        <v>1.7504530552455357</v>
      </c>
      <c r="AL427" s="12">
        <v>350</v>
      </c>
      <c r="AM427" s="12">
        <v>839.64981713472594</v>
      </c>
      <c r="AN427" s="12">
        <f t="shared" si="50"/>
        <v>489.64981713472594</v>
      </c>
      <c r="AO427" s="13">
        <f t="shared" si="51"/>
        <v>1.3989994775277883</v>
      </c>
      <c r="AP427" s="16">
        <v>350</v>
      </c>
      <c r="AQ427" s="16">
        <v>708.57510346702713</v>
      </c>
      <c r="AR427" s="16">
        <f t="shared" si="52"/>
        <v>358.57510346702713</v>
      </c>
      <c r="AS427" s="17">
        <f t="shared" si="53"/>
        <v>1.0245002956200775</v>
      </c>
      <c r="AT427" s="20">
        <v>350</v>
      </c>
      <c r="AU427" s="20">
        <v>890.08978271484375</v>
      </c>
      <c r="AV427" s="20">
        <f t="shared" si="54"/>
        <v>540.08978271484375</v>
      </c>
      <c r="AW427" s="21">
        <f t="shared" si="55"/>
        <v>1.5431136648995536</v>
      </c>
    </row>
    <row r="428" spans="1:49" x14ac:dyDescent="0.25">
      <c r="A428" t="s">
        <v>114</v>
      </c>
      <c r="B428" t="s">
        <v>596</v>
      </c>
      <c r="C428">
        <v>17348</v>
      </c>
      <c r="D428">
        <v>2023</v>
      </c>
      <c r="E428" t="s">
        <v>97</v>
      </c>
      <c r="F428" t="s">
        <v>98</v>
      </c>
      <c r="G428" t="s">
        <v>513</v>
      </c>
      <c r="I428">
        <v>4</v>
      </c>
      <c r="J428" t="s">
        <v>72</v>
      </c>
      <c r="K428">
        <v>4</v>
      </c>
      <c r="L428" t="s">
        <v>44</v>
      </c>
      <c r="M428">
        <v>1.5</v>
      </c>
      <c r="N428" t="s">
        <v>45</v>
      </c>
      <c r="O428" t="s">
        <v>46</v>
      </c>
      <c r="P428">
        <v>4</v>
      </c>
      <c r="Q428" t="s">
        <v>62</v>
      </c>
      <c r="R428" t="s">
        <v>63</v>
      </c>
      <c r="S428" t="s">
        <v>101</v>
      </c>
      <c r="U428" t="s">
        <v>50</v>
      </c>
      <c r="V428" t="s">
        <v>51</v>
      </c>
      <c r="W428" t="s">
        <v>283</v>
      </c>
      <c r="X428" t="s">
        <v>65</v>
      </c>
      <c r="Y428" t="s">
        <v>126</v>
      </c>
      <c r="AA428">
        <v>0</v>
      </c>
      <c r="AB428" t="s">
        <v>79</v>
      </c>
      <c r="AC428" t="s">
        <v>87</v>
      </c>
      <c r="AD428">
        <v>36</v>
      </c>
      <c r="AE428">
        <v>9</v>
      </c>
      <c r="AF428">
        <v>3</v>
      </c>
      <c r="AG428">
        <v>2025</v>
      </c>
      <c r="AH428" s="2">
        <v>19900</v>
      </c>
      <c r="AI428" s="2">
        <v>20803.33984375</v>
      </c>
      <c r="AJ428" s="2">
        <f t="shared" si="48"/>
        <v>903.33984375</v>
      </c>
      <c r="AK428" s="6">
        <f t="shared" si="49"/>
        <v>4.5393961997487436E-2</v>
      </c>
      <c r="AL428" s="12">
        <v>19900</v>
      </c>
      <c r="AM428" s="12">
        <v>22954.039578699711</v>
      </c>
      <c r="AN428" s="12">
        <f t="shared" si="50"/>
        <v>3054.0395786997105</v>
      </c>
      <c r="AO428" s="13">
        <f t="shared" si="51"/>
        <v>0.15346932556279952</v>
      </c>
      <c r="AP428" s="16">
        <v>19900</v>
      </c>
      <c r="AQ428" s="16">
        <v>19642.331883431129</v>
      </c>
      <c r="AR428" s="16">
        <f t="shared" si="52"/>
        <v>257.66811656887148</v>
      </c>
      <c r="AS428" s="17">
        <f t="shared" si="53"/>
        <v>1.2948146561249823E-2</v>
      </c>
      <c r="AT428" s="20">
        <v>19900</v>
      </c>
      <c r="AU428" s="20">
        <v>21079.572265625</v>
      </c>
      <c r="AV428" s="20">
        <f t="shared" si="54"/>
        <v>1179.572265625</v>
      </c>
      <c r="AW428" s="21">
        <f t="shared" si="55"/>
        <v>5.927498822236181E-2</v>
      </c>
    </row>
    <row r="429" spans="1:49" x14ac:dyDescent="0.25">
      <c r="A429" t="s">
        <v>38</v>
      </c>
      <c r="B429" t="s">
        <v>68</v>
      </c>
      <c r="C429">
        <v>197213</v>
      </c>
      <c r="D429">
        <v>2018</v>
      </c>
      <c r="E429" t="s">
        <v>69</v>
      </c>
      <c r="F429" t="s">
        <v>416</v>
      </c>
      <c r="H429" t="s">
        <v>118</v>
      </c>
      <c r="I429">
        <v>6</v>
      </c>
      <c r="J429" t="s">
        <v>61</v>
      </c>
      <c r="K429">
        <v>4</v>
      </c>
      <c r="L429" t="s">
        <v>44</v>
      </c>
      <c r="M429">
        <v>3.5</v>
      </c>
      <c r="N429" t="s">
        <v>91</v>
      </c>
      <c r="O429" t="s">
        <v>46</v>
      </c>
      <c r="Q429" t="s">
        <v>62</v>
      </c>
      <c r="R429" t="s">
        <v>63</v>
      </c>
      <c r="S429" t="s">
        <v>93</v>
      </c>
      <c r="T429">
        <v>310</v>
      </c>
      <c r="U429" t="s">
        <v>50</v>
      </c>
      <c r="V429" t="s">
        <v>76</v>
      </c>
      <c r="W429" t="s">
        <v>107</v>
      </c>
      <c r="X429" t="s">
        <v>108</v>
      </c>
      <c r="Y429" t="s">
        <v>78</v>
      </c>
      <c r="Z429">
        <v>65365</v>
      </c>
      <c r="AA429">
        <v>0</v>
      </c>
      <c r="AB429" t="s">
        <v>79</v>
      </c>
      <c r="AC429" t="s">
        <v>109</v>
      </c>
      <c r="AD429">
        <v>36</v>
      </c>
      <c r="AE429">
        <v>9</v>
      </c>
      <c r="AF429">
        <v>3</v>
      </c>
      <c r="AG429">
        <v>2025</v>
      </c>
      <c r="AH429" s="2">
        <v>10000</v>
      </c>
      <c r="AI429" s="2">
        <v>8062.55322265625</v>
      </c>
      <c r="AJ429" s="2">
        <f t="shared" si="48"/>
        <v>1937.44677734375</v>
      </c>
      <c r="AK429" s="6">
        <f t="shared" si="49"/>
        <v>0.19374467773437501</v>
      </c>
      <c r="AL429" s="12">
        <v>10000</v>
      </c>
      <c r="AM429" s="12">
        <v>8188.0913648096557</v>
      </c>
      <c r="AN429" s="12">
        <f t="shared" si="50"/>
        <v>1811.9086351903443</v>
      </c>
      <c r="AO429" s="13">
        <f t="shared" si="51"/>
        <v>0.18119086351903443</v>
      </c>
      <c r="AP429" s="16">
        <v>10000</v>
      </c>
      <c r="AQ429" s="16">
        <v>8547.4130669546012</v>
      </c>
      <c r="AR429" s="16">
        <f t="shared" si="52"/>
        <v>1452.5869330453988</v>
      </c>
      <c r="AS429" s="17">
        <f t="shared" si="53"/>
        <v>0.14525869330453989</v>
      </c>
      <c r="AT429" s="20">
        <v>10000</v>
      </c>
      <c r="AU429" s="20">
        <v>8203.404296875</v>
      </c>
      <c r="AV429" s="20">
        <f t="shared" si="54"/>
        <v>1796.595703125</v>
      </c>
      <c r="AW429" s="21">
        <f t="shared" si="55"/>
        <v>0.17965957031249999</v>
      </c>
    </row>
    <row r="430" spans="1:49" x14ac:dyDescent="0.25">
      <c r="A430" t="s">
        <v>128</v>
      </c>
      <c r="B430" t="s">
        <v>129</v>
      </c>
      <c r="C430">
        <v>186155</v>
      </c>
      <c r="D430">
        <v>2013</v>
      </c>
      <c r="E430" t="s">
        <v>40</v>
      </c>
      <c r="F430" t="s">
        <v>201</v>
      </c>
      <c r="H430" t="s">
        <v>496</v>
      </c>
      <c r="I430">
        <v>4</v>
      </c>
      <c r="J430" t="s">
        <v>72</v>
      </c>
      <c r="K430">
        <v>4</v>
      </c>
      <c r="L430" t="s">
        <v>44</v>
      </c>
      <c r="M430">
        <v>1.8</v>
      </c>
      <c r="N430" t="s">
        <v>45</v>
      </c>
      <c r="Q430" t="s">
        <v>47</v>
      </c>
      <c r="R430" t="s">
        <v>123</v>
      </c>
      <c r="S430" t="s">
        <v>49</v>
      </c>
      <c r="T430">
        <v>132</v>
      </c>
      <c r="U430" t="s">
        <v>50</v>
      </c>
      <c r="V430" t="s">
        <v>51</v>
      </c>
      <c r="W430" t="s">
        <v>204</v>
      </c>
      <c r="X430" t="s">
        <v>125</v>
      </c>
      <c r="Y430" t="s">
        <v>78</v>
      </c>
      <c r="AA430">
        <v>0</v>
      </c>
      <c r="AB430" t="s">
        <v>79</v>
      </c>
      <c r="AC430" t="s">
        <v>127</v>
      </c>
      <c r="AD430">
        <v>36</v>
      </c>
      <c r="AE430">
        <v>9</v>
      </c>
      <c r="AF430">
        <v>3</v>
      </c>
      <c r="AG430">
        <v>2025</v>
      </c>
      <c r="AH430" s="2">
        <v>2500</v>
      </c>
      <c r="AI430" s="2">
        <v>2369.831787109375</v>
      </c>
      <c r="AJ430" s="2">
        <f t="shared" si="48"/>
        <v>130.168212890625</v>
      </c>
      <c r="AK430" s="6">
        <f t="shared" si="49"/>
        <v>5.2067285156249997E-2</v>
      </c>
      <c r="AL430" s="12">
        <v>2500</v>
      </c>
      <c r="AM430" s="12">
        <v>2338.0946558565461</v>
      </c>
      <c r="AN430" s="12">
        <f t="shared" si="50"/>
        <v>161.90534414345393</v>
      </c>
      <c r="AO430" s="13">
        <f t="shared" si="51"/>
        <v>6.4762137657381577E-2</v>
      </c>
      <c r="AP430" s="16">
        <v>2500</v>
      </c>
      <c r="AQ430" s="16">
        <v>1820.9556151001341</v>
      </c>
      <c r="AR430" s="16">
        <f t="shared" si="52"/>
        <v>679.04438489986592</v>
      </c>
      <c r="AS430" s="17">
        <f t="shared" si="53"/>
        <v>0.27161775395994636</v>
      </c>
      <c r="AT430" s="20">
        <v>2500</v>
      </c>
      <c r="AU430" s="20">
        <v>2407.92724609375</v>
      </c>
      <c r="AV430" s="20">
        <f t="shared" si="54"/>
        <v>92.07275390625</v>
      </c>
      <c r="AW430" s="21">
        <f t="shared" si="55"/>
        <v>3.6829101562500001E-2</v>
      </c>
    </row>
    <row r="431" spans="1:49" x14ac:dyDescent="0.25">
      <c r="A431" t="s">
        <v>81</v>
      </c>
      <c r="B431" t="s">
        <v>82</v>
      </c>
      <c r="C431">
        <v>177767</v>
      </c>
      <c r="D431">
        <v>2010</v>
      </c>
      <c r="E431" t="s">
        <v>142</v>
      </c>
      <c r="F431" t="s">
        <v>335</v>
      </c>
      <c r="G431" t="s">
        <v>457</v>
      </c>
      <c r="H431" t="s">
        <v>775</v>
      </c>
      <c r="I431">
        <v>4</v>
      </c>
      <c r="J431" t="s">
        <v>43</v>
      </c>
      <c r="K431">
        <v>4</v>
      </c>
      <c r="L431" t="s">
        <v>44</v>
      </c>
      <c r="M431">
        <v>2.4</v>
      </c>
      <c r="N431" t="s">
        <v>91</v>
      </c>
      <c r="O431" t="s">
        <v>46</v>
      </c>
      <c r="Q431" t="s">
        <v>62</v>
      </c>
      <c r="R431" t="s">
        <v>63</v>
      </c>
      <c r="S431" t="s">
        <v>93</v>
      </c>
      <c r="U431" t="s">
        <v>50</v>
      </c>
      <c r="X431" t="s">
        <v>65</v>
      </c>
      <c r="Y431" t="s">
        <v>78</v>
      </c>
      <c r="AA431">
        <v>0</v>
      </c>
      <c r="AB431" t="s">
        <v>79</v>
      </c>
      <c r="AC431" t="s">
        <v>87</v>
      </c>
      <c r="AD431">
        <v>36</v>
      </c>
      <c r="AE431">
        <v>9</v>
      </c>
      <c r="AF431">
        <v>3</v>
      </c>
      <c r="AG431">
        <v>2025</v>
      </c>
      <c r="AH431" s="2">
        <v>500</v>
      </c>
      <c r="AI431" s="2">
        <v>803.61151123046875</v>
      </c>
      <c r="AJ431" s="2">
        <f t="shared" si="48"/>
        <v>303.61151123046875</v>
      </c>
      <c r="AK431" s="6">
        <f t="shared" si="49"/>
        <v>0.60722302246093751</v>
      </c>
      <c r="AL431" s="12">
        <v>500</v>
      </c>
      <c r="AM431" s="12">
        <v>940.5858299316053</v>
      </c>
      <c r="AN431" s="12">
        <f t="shared" si="50"/>
        <v>440.5858299316053</v>
      </c>
      <c r="AO431" s="13">
        <f t="shared" si="51"/>
        <v>0.88117165986321055</v>
      </c>
      <c r="AP431" s="16">
        <v>500</v>
      </c>
      <c r="AQ431" s="16">
        <v>659.46350857350239</v>
      </c>
      <c r="AR431" s="16">
        <f t="shared" si="52"/>
        <v>159.46350857350239</v>
      </c>
      <c r="AS431" s="17">
        <f t="shared" si="53"/>
        <v>0.31892701714700478</v>
      </c>
      <c r="AT431" s="20">
        <v>500</v>
      </c>
      <c r="AU431" s="20">
        <v>810.9769287109375</v>
      </c>
      <c r="AV431" s="20">
        <f t="shared" si="54"/>
        <v>310.9769287109375</v>
      </c>
      <c r="AW431" s="21">
        <f t="shared" si="55"/>
        <v>0.62195385742187503</v>
      </c>
    </row>
    <row r="432" spans="1:49" x14ac:dyDescent="0.25">
      <c r="A432" t="s">
        <v>38</v>
      </c>
      <c r="B432" t="s">
        <v>68</v>
      </c>
      <c r="C432">
        <v>57644</v>
      </c>
      <c r="D432">
        <v>2018</v>
      </c>
      <c r="E432" t="s">
        <v>146</v>
      </c>
      <c r="F432" t="s">
        <v>302</v>
      </c>
      <c r="I432">
        <v>6</v>
      </c>
      <c r="J432" t="s">
        <v>61</v>
      </c>
      <c r="K432">
        <v>4</v>
      </c>
      <c r="L432" t="s">
        <v>44</v>
      </c>
      <c r="M432">
        <v>3.5</v>
      </c>
      <c r="N432" t="s">
        <v>91</v>
      </c>
      <c r="O432" t="s">
        <v>46</v>
      </c>
      <c r="P432">
        <v>5</v>
      </c>
      <c r="Q432" t="s">
        <v>62</v>
      </c>
      <c r="R432" t="s">
        <v>148</v>
      </c>
      <c r="S432" t="s">
        <v>93</v>
      </c>
      <c r="U432" t="s">
        <v>50</v>
      </c>
      <c r="V432" t="s">
        <v>76</v>
      </c>
      <c r="X432" t="s">
        <v>141</v>
      </c>
      <c r="Y432" t="s">
        <v>78</v>
      </c>
      <c r="Z432">
        <v>31040</v>
      </c>
      <c r="AA432">
        <v>0</v>
      </c>
      <c r="AB432" t="s">
        <v>79</v>
      </c>
      <c r="AC432" t="s">
        <v>109</v>
      </c>
      <c r="AD432">
        <v>36</v>
      </c>
      <c r="AE432">
        <v>9</v>
      </c>
      <c r="AF432">
        <v>3</v>
      </c>
      <c r="AG432">
        <v>2025</v>
      </c>
      <c r="AH432" s="2">
        <v>11250</v>
      </c>
      <c r="AI432" s="2">
        <v>12812.576171875</v>
      </c>
      <c r="AJ432" s="2">
        <f t="shared" si="48"/>
        <v>1562.576171875</v>
      </c>
      <c r="AK432" s="6">
        <f t="shared" si="49"/>
        <v>0.13889565972222223</v>
      </c>
      <c r="AL432" s="12">
        <v>11250</v>
      </c>
      <c r="AM432" s="12">
        <v>15499.273520818069</v>
      </c>
      <c r="AN432" s="12">
        <f t="shared" si="50"/>
        <v>4249.2735208180693</v>
      </c>
      <c r="AO432" s="13">
        <f t="shared" si="51"/>
        <v>0.37771320185049506</v>
      </c>
      <c r="AP432" s="16">
        <v>11250</v>
      </c>
      <c r="AQ432" s="16">
        <v>14156.79829708026</v>
      </c>
      <c r="AR432" s="16">
        <f t="shared" si="52"/>
        <v>2906.7982970802605</v>
      </c>
      <c r="AS432" s="17">
        <f t="shared" si="53"/>
        <v>0.25838207085157872</v>
      </c>
      <c r="AT432" s="20">
        <v>11250</v>
      </c>
      <c r="AU432" s="20">
        <v>13325.171875</v>
      </c>
      <c r="AV432" s="20">
        <f t="shared" si="54"/>
        <v>2075.171875</v>
      </c>
      <c r="AW432" s="21">
        <f t="shared" si="55"/>
        <v>0.18445972222222223</v>
      </c>
    </row>
    <row r="433" spans="1:49" x14ac:dyDescent="0.25">
      <c r="A433" t="s">
        <v>38</v>
      </c>
      <c r="B433" t="s">
        <v>68</v>
      </c>
      <c r="C433">
        <v>126216</v>
      </c>
      <c r="D433">
        <v>2014</v>
      </c>
      <c r="E433" t="s">
        <v>399</v>
      </c>
      <c r="F433" t="s">
        <v>492</v>
      </c>
      <c r="G433" t="s">
        <v>776</v>
      </c>
      <c r="I433">
        <v>4</v>
      </c>
      <c r="J433" t="s">
        <v>61</v>
      </c>
      <c r="K433">
        <v>4</v>
      </c>
      <c r="L433" t="s">
        <v>44</v>
      </c>
      <c r="M433">
        <v>2.5</v>
      </c>
      <c r="N433" t="s">
        <v>44</v>
      </c>
      <c r="O433" t="s">
        <v>46</v>
      </c>
      <c r="Q433" t="s">
        <v>62</v>
      </c>
      <c r="R433" t="s">
        <v>63</v>
      </c>
      <c r="S433" t="s">
        <v>85</v>
      </c>
      <c r="U433" t="s">
        <v>50</v>
      </c>
      <c r="V433" t="s">
        <v>777</v>
      </c>
      <c r="W433" t="s">
        <v>778</v>
      </c>
      <c r="X433" t="s">
        <v>65</v>
      </c>
      <c r="Y433" t="s">
        <v>54</v>
      </c>
      <c r="AA433">
        <v>0</v>
      </c>
      <c r="AB433" t="s">
        <v>79</v>
      </c>
      <c r="AC433" t="s">
        <v>87</v>
      </c>
      <c r="AD433">
        <v>36</v>
      </c>
      <c r="AE433">
        <v>9</v>
      </c>
      <c r="AF433">
        <v>3</v>
      </c>
      <c r="AG433">
        <v>2025</v>
      </c>
      <c r="AH433" s="2">
        <v>5000</v>
      </c>
      <c r="AI433" s="2">
        <v>3769.00927734375</v>
      </c>
      <c r="AJ433" s="2">
        <f t="shared" si="48"/>
        <v>1230.99072265625</v>
      </c>
      <c r="AK433" s="6">
        <f t="shared" si="49"/>
        <v>0.24619814453125</v>
      </c>
      <c r="AL433" s="12">
        <v>5000</v>
      </c>
      <c r="AM433" s="12">
        <v>3739.4968125218011</v>
      </c>
      <c r="AN433" s="12">
        <f t="shared" si="50"/>
        <v>1260.5031874781989</v>
      </c>
      <c r="AO433" s="13">
        <f t="shared" si="51"/>
        <v>0.25210063749563977</v>
      </c>
      <c r="AP433" s="16">
        <v>5000</v>
      </c>
      <c r="AQ433" s="16">
        <v>3784.5246935530272</v>
      </c>
      <c r="AR433" s="16">
        <f t="shared" si="52"/>
        <v>1215.4753064469728</v>
      </c>
      <c r="AS433" s="17">
        <f t="shared" si="53"/>
        <v>0.24309506128939457</v>
      </c>
      <c r="AT433" s="20">
        <v>5000</v>
      </c>
      <c r="AU433" s="20">
        <v>3830.672607421875</v>
      </c>
      <c r="AV433" s="20">
        <f t="shared" si="54"/>
        <v>1169.327392578125</v>
      </c>
      <c r="AW433" s="21">
        <f t="shared" si="55"/>
        <v>0.233865478515625</v>
      </c>
    </row>
    <row r="434" spans="1:49" x14ac:dyDescent="0.25">
      <c r="A434" t="s">
        <v>81</v>
      </c>
      <c r="B434" t="s">
        <v>82</v>
      </c>
      <c r="C434">
        <v>133721</v>
      </c>
      <c r="D434">
        <v>2014</v>
      </c>
      <c r="E434" t="s">
        <v>345</v>
      </c>
      <c r="F434" t="s">
        <v>779</v>
      </c>
      <c r="G434" t="s">
        <v>780</v>
      </c>
      <c r="I434">
        <v>8</v>
      </c>
      <c r="J434" t="s">
        <v>106</v>
      </c>
      <c r="K434">
        <v>4</v>
      </c>
      <c r="L434" t="s">
        <v>44</v>
      </c>
      <c r="M434">
        <v>4.4000000000000004</v>
      </c>
      <c r="N434" t="s">
        <v>44</v>
      </c>
      <c r="O434" t="s">
        <v>46</v>
      </c>
      <c r="Q434" t="s">
        <v>62</v>
      </c>
      <c r="R434" t="s">
        <v>63</v>
      </c>
      <c r="S434" t="s">
        <v>85</v>
      </c>
      <c r="T434">
        <v>443</v>
      </c>
      <c r="U434" t="s">
        <v>50</v>
      </c>
      <c r="X434" t="s">
        <v>94</v>
      </c>
      <c r="Y434" t="s">
        <v>78</v>
      </c>
      <c r="AA434">
        <v>0</v>
      </c>
      <c r="AB434" t="s">
        <v>79</v>
      </c>
      <c r="AC434" t="s">
        <v>87</v>
      </c>
      <c r="AD434">
        <v>36</v>
      </c>
      <c r="AE434">
        <v>9</v>
      </c>
      <c r="AF434">
        <v>3</v>
      </c>
      <c r="AG434">
        <v>2025</v>
      </c>
      <c r="AH434" s="2">
        <v>6000</v>
      </c>
      <c r="AI434" s="2">
        <v>6318.30029296875</v>
      </c>
      <c r="AJ434" s="2">
        <f t="shared" si="48"/>
        <v>318.30029296875</v>
      </c>
      <c r="AK434" s="6">
        <f t="shared" si="49"/>
        <v>5.3050048828125002E-2</v>
      </c>
      <c r="AL434" s="12">
        <v>6000</v>
      </c>
      <c r="AM434" s="12">
        <v>5903.3283010246842</v>
      </c>
      <c r="AN434" s="12">
        <f t="shared" si="50"/>
        <v>96.671698975315849</v>
      </c>
      <c r="AO434" s="13">
        <f t="shared" si="51"/>
        <v>1.6111949829219308E-2</v>
      </c>
      <c r="AP434" s="16">
        <v>6000</v>
      </c>
      <c r="AQ434" s="16">
        <v>5775.3129632058763</v>
      </c>
      <c r="AR434" s="16">
        <f t="shared" si="52"/>
        <v>224.68703679412374</v>
      </c>
      <c r="AS434" s="17">
        <f t="shared" si="53"/>
        <v>3.7447839465687291E-2</v>
      </c>
      <c r="AT434" s="20">
        <v>6000</v>
      </c>
      <c r="AU434" s="20">
        <v>6290.626953125</v>
      </c>
      <c r="AV434" s="20">
        <f t="shared" si="54"/>
        <v>290.626953125</v>
      </c>
      <c r="AW434" s="21">
        <f t="shared" si="55"/>
        <v>4.8437825520833332E-2</v>
      </c>
    </row>
    <row r="435" spans="1:49" x14ac:dyDescent="0.25">
      <c r="A435" t="s">
        <v>38</v>
      </c>
      <c r="B435" t="s">
        <v>110</v>
      </c>
      <c r="C435">
        <v>183698</v>
      </c>
      <c r="D435">
        <v>2000</v>
      </c>
      <c r="E435" t="s">
        <v>97</v>
      </c>
      <c r="F435" t="s">
        <v>159</v>
      </c>
      <c r="H435" t="s">
        <v>781</v>
      </c>
      <c r="I435">
        <v>8</v>
      </c>
      <c r="J435" t="s">
        <v>122</v>
      </c>
      <c r="K435">
        <v>2</v>
      </c>
      <c r="L435" t="s">
        <v>44</v>
      </c>
      <c r="M435">
        <v>5.3</v>
      </c>
      <c r="N435" t="s">
        <v>91</v>
      </c>
      <c r="Q435" t="s">
        <v>74</v>
      </c>
      <c r="R435" t="s">
        <v>92</v>
      </c>
      <c r="S435" t="s">
        <v>93</v>
      </c>
      <c r="V435" t="s">
        <v>76</v>
      </c>
      <c r="W435" t="s">
        <v>762</v>
      </c>
      <c r="X435" t="s">
        <v>94</v>
      </c>
      <c r="Y435" t="s">
        <v>103</v>
      </c>
      <c r="AA435">
        <v>0</v>
      </c>
      <c r="AB435" t="s">
        <v>79</v>
      </c>
      <c r="AC435" t="s">
        <v>95</v>
      </c>
      <c r="AD435">
        <v>36</v>
      </c>
      <c r="AE435">
        <v>9</v>
      </c>
      <c r="AF435">
        <v>3</v>
      </c>
      <c r="AG435">
        <v>2025</v>
      </c>
      <c r="AH435" s="2">
        <v>2500</v>
      </c>
      <c r="AI435" s="2">
        <v>2158.877685546875</v>
      </c>
      <c r="AJ435" s="2">
        <f t="shared" si="48"/>
        <v>341.122314453125</v>
      </c>
      <c r="AK435" s="6">
        <f t="shared" si="49"/>
        <v>0.13644892578125001</v>
      </c>
      <c r="AL435" s="12">
        <v>2500</v>
      </c>
      <c r="AM435" s="12">
        <v>2499.0525399812732</v>
      </c>
      <c r="AN435" s="12">
        <f t="shared" si="50"/>
        <v>0.94746001872681518</v>
      </c>
      <c r="AO435" s="13">
        <f t="shared" si="51"/>
        <v>3.7898400749072605E-4</v>
      </c>
      <c r="AP435" s="16">
        <v>2500</v>
      </c>
      <c r="AQ435" s="16">
        <v>1939.088683543669</v>
      </c>
      <c r="AR435" s="16">
        <f t="shared" si="52"/>
        <v>560.91131645633095</v>
      </c>
      <c r="AS435" s="17">
        <f t="shared" si="53"/>
        <v>0.22436452658253239</v>
      </c>
      <c r="AT435" s="20">
        <v>2500</v>
      </c>
      <c r="AU435" s="20">
        <v>2184.229248046875</v>
      </c>
      <c r="AV435" s="20">
        <f t="shared" si="54"/>
        <v>315.770751953125</v>
      </c>
      <c r="AW435" s="21">
        <f t="shared" si="55"/>
        <v>0.12630830078124999</v>
      </c>
    </row>
    <row r="436" spans="1:49" x14ac:dyDescent="0.25">
      <c r="A436" t="s">
        <v>81</v>
      </c>
      <c r="B436" t="s">
        <v>82</v>
      </c>
      <c r="C436">
        <v>64739</v>
      </c>
      <c r="D436">
        <v>2017</v>
      </c>
      <c r="E436" t="s">
        <v>162</v>
      </c>
      <c r="F436" t="s">
        <v>532</v>
      </c>
      <c r="G436" t="s">
        <v>782</v>
      </c>
      <c r="I436">
        <v>6</v>
      </c>
      <c r="J436" t="s">
        <v>106</v>
      </c>
      <c r="K436">
        <v>4</v>
      </c>
      <c r="L436" t="s">
        <v>44</v>
      </c>
      <c r="M436">
        <v>3.3</v>
      </c>
      <c r="N436" t="s">
        <v>44</v>
      </c>
      <c r="O436" t="s">
        <v>46</v>
      </c>
      <c r="Q436" t="s">
        <v>62</v>
      </c>
      <c r="R436" t="s">
        <v>63</v>
      </c>
      <c r="S436" t="s">
        <v>93</v>
      </c>
      <c r="T436">
        <v>290</v>
      </c>
      <c r="U436" t="s">
        <v>50</v>
      </c>
      <c r="V436" t="s">
        <v>76</v>
      </c>
      <c r="W436" t="s">
        <v>667</v>
      </c>
      <c r="X436" t="s">
        <v>141</v>
      </c>
      <c r="Y436" t="s">
        <v>66</v>
      </c>
      <c r="AA436">
        <v>0</v>
      </c>
      <c r="AB436" t="s">
        <v>79</v>
      </c>
      <c r="AC436" t="s">
        <v>87</v>
      </c>
      <c r="AD436">
        <v>36</v>
      </c>
      <c r="AE436">
        <v>9</v>
      </c>
      <c r="AF436">
        <v>3</v>
      </c>
      <c r="AG436">
        <v>2025</v>
      </c>
      <c r="AH436" s="2">
        <v>8000</v>
      </c>
      <c r="AI436" s="2">
        <v>11645.6728515625</v>
      </c>
      <c r="AJ436" s="2">
        <f t="shared" si="48"/>
        <v>3645.6728515625</v>
      </c>
      <c r="AK436" s="6">
        <f t="shared" si="49"/>
        <v>0.45570910644531248</v>
      </c>
      <c r="AL436" s="12">
        <v>8000</v>
      </c>
      <c r="AM436" s="12">
        <v>12156.93912651117</v>
      </c>
      <c r="AN436" s="12">
        <f t="shared" si="50"/>
        <v>4156.9391265111699</v>
      </c>
      <c r="AO436" s="13">
        <f t="shared" si="51"/>
        <v>0.51961739081389624</v>
      </c>
      <c r="AP436" s="16">
        <v>8000</v>
      </c>
      <c r="AQ436" s="16">
        <v>8943.7028747923741</v>
      </c>
      <c r="AR436" s="16">
        <f t="shared" si="52"/>
        <v>943.70287479237413</v>
      </c>
      <c r="AS436" s="17">
        <f t="shared" si="53"/>
        <v>0.11796285934904677</v>
      </c>
      <c r="AT436" s="20">
        <v>8000</v>
      </c>
      <c r="AU436" s="20">
        <v>11784.0390625</v>
      </c>
      <c r="AV436" s="20">
        <f t="shared" si="54"/>
        <v>3784.0390625</v>
      </c>
      <c r="AW436" s="21">
        <f t="shared" si="55"/>
        <v>0.47300488281250003</v>
      </c>
    </row>
    <row r="437" spans="1:49" x14ac:dyDescent="0.25">
      <c r="A437" t="s">
        <v>128</v>
      </c>
      <c r="B437" t="s">
        <v>129</v>
      </c>
      <c r="C437">
        <v>198358</v>
      </c>
      <c r="D437">
        <v>2015</v>
      </c>
      <c r="E437" t="s">
        <v>97</v>
      </c>
      <c r="F437" t="s">
        <v>159</v>
      </c>
      <c r="G437" t="s">
        <v>155</v>
      </c>
      <c r="H437" t="s">
        <v>89</v>
      </c>
      <c r="I437">
        <v>6</v>
      </c>
      <c r="J437" t="s">
        <v>72</v>
      </c>
      <c r="K437">
        <v>4</v>
      </c>
      <c r="L437" t="s">
        <v>44</v>
      </c>
      <c r="M437">
        <v>4.3</v>
      </c>
      <c r="N437" t="s">
        <v>91</v>
      </c>
      <c r="O437" t="s">
        <v>100</v>
      </c>
      <c r="P437">
        <v>2</v>
      </c>
      <c r="Q437" t="s">
        <v>74</v>
      </c>
      <c r="R437" t="s">
        <v>92</v>
      </c>
      <c r="S437" t="s">
        <v>93</v>
      </c>
      <c r="U437" t="s">
        <v>50</v>
      </c>
      <c r="V437" t="s">
        <v>76</v>
      </c>
      <c r="W437" t="s">
        <v>783</v>
      </c>
      <c r="X437" t="s">
        <v>108</v>
      </c>
      <c r="Y437" t="s">
        <v>78</v>
      </c>
      <c r="AA437">
        <v>0</v>
      </c>
      <c r="AB437" t="s">
        <v>79</v>
      </c>
      <c r="AC437" t="s">
        <v>95</v>
      </c>
      <c r="AD437">
        <v>36</v>
      </c>
      <c r="AE437">
        <v>9</v>
      </c>
      <c r="AF437">
        <v>3</v>
      </c>
      <c r="AG437">
        <v>2025</v>
      </c>
      <c r="AH437" s="2">
        <v>5000</v>
      </c>
      <c r="AI437" s="2">
        <v>2329.15087890625</v>
      </c>
      <c r="AJ437" s="2">
        <f t="shared" si="48"/>
        <v>2670.84912109375</v>
      </c>
      <c r="AK437" s="6">
        <f t="shared" si="49"/>
        <v>0.53416982421875003</v>
      </c>
      <c r="AL437" s="12">
        <v>5000</v>
      </c>
      <c r="AM437" s="12">
        <v>2573.4267709140881</v>
      </c>
      <c r="AN437" s="12">
        <f t="shared" si="50"/>
        <v>2426.5732290859119</v>
      </c>
      <c r="AO437" s="13">
        <f t="shared" si="51"/>
        <v>0.48531464581718237</v>
      </c>
      <c r="AP437" s="16">
        <v>5000</v>
      </c>
      <c r="AQ437" s="16">
        <v>3109.3471547586219</v>
      </c>
      <c r="AR437" s="16">
        <f t="shared" si="52"/>
        <v>1890.6528452413781</v>
      </c>
      <c r="AS437" s="17">
        <f t="shared" si="53"/>
        <v>0.37813056904827563</v>
      </c>
      <c r="AT437" s="20">
        <v>5000</v>
      </c>
      <c r="AU437" s="20">
        <v>2370.853759765625</v>
      </c>
      <c r="AV437" s="20">
        <f t="shared" si="54"/>
        <v>2629.146240234375</v>
      </c>
      <c r="AW437" s="21">
        <f t="shared" si="55"/>
        <v>0.52582924804687503</v>
      </c>
    </row>
    <row r="438" spans="1:49" x14ac:dyDescent="0.25">
      <c r="A438" t="s">
        <v>38</v>
      </c>
      <c r="B438" t="s">
        <v>68</v>
      </c>
      <c r="C438">
        <v>133993</v>
      </c>
      <c r="D438">
        <v>2019</v>
      </c>
      <c r="E438" t="s">
        <v>116</v>
      </c>
      <c r="F438" t="s">
        <v>194</v>
      </c>
      <c r="G438" t="s">
        <v>397</v>
      </c>
      <c r="H438" t="s">
        <v>396</v>
      </c>
      <c r="I438">
        <v>6</v>
      </c>
      <c r="J438" t="s">
        <v>72</v>
      </c>
      <c r="K438">
        <v>2</v>
      </c>
      <c r="L438" t="s">
        <v>44</v>
      </c>
      <c r="M438">
        <v>3.6</v>
      </c>
      <c r="N438" t="s">
        <v>73</v>
      </c>
      <c r="O438" t="s">
        <v>46</v>
      </c>
      <c r="P438">
        <v>4</v>
      </c>
      <c r="Q438" t="s">
        <v>47</v>
      </c>
      <c r="R438" t="s">
        <v>123</v>
      </c>
      <c r="S438" t="s">
        <v>179</v>
      </c>
      <c r="T438">
        <v>305</v>
      </c>
      <c r="U438" t="s">
        <v>50</v>
      </c>
      <c r="V438" t="s">
        <v>76</v>
      </c>
      <c r="X438" t="s">
        <v>125</v>
      </c>
      <c r="Y438" t="s">
        <v>103</v>
      </c>
      <c r="AA438">
        <v>0</v>
      </c>
      <c r="AB438" t="s">
        <v>79</v>
      </c>
      <c r="AC438" t="s">
        <v>127</v>
      </c>
      <c r="AD438">
        <v>36</v>
      </c>
      <c r="AE438">
        <v>9</v>
      </c>
      <c r="AF438">
        <v>3</v>
      </c>
      <c r="AG438">
        <v>2025</v>
      </c>
      <c r="AH438" s="2">
        <v>9500</v>
      </c>
      <c r="AI438" s="2">
        <v>9865.3388671875</v>
      </c>
      <c r="AJ438" s="2">
        <f t="shared" si="48"/>
        <v>365.3388671875</v>
      </c>
      <c r="AK438" s="6">
        <f t="shared" si="49"/>
        <v>3.8456722861842103E-2</v>
      </c>
      <c r="AL438" s="12">
        <v>9500</v>
      </c>
      <c r="AM438" s="12">
        <v>10323.88306527975</v>
      </c>
      <c r="AN438" s="12">
        <f t="shared" si="50"/>
        <v>823.88306527974964</v>
      </c>
      <c r="AO438" s="13">
        <f t="shared" si="51"/>
        <v>8.6724533187342065E-2</v>
      </c>
      <c r="AP438" s="16">
        <v>9500</v>
      </c>
      <c r="AQ438" s="16">
        <v>9748.1763455585133</v>
      </c>
      <c r="AR438" s="16">
        <f t="shared" si="52"/>
        <v>248.17634555851328</v>
      </c>
      <c r="AS438" s="17">
        <f t="shared" si="53"/>
        <v>2.6123825848264556E-2</v>
      </c>
      <c r="AT438" s="20">
        <v>9500</v>
      </c>
      <c r="AU438" s="20">
        <v>10011.673828125</v>
      </c>
      <c r="AV438" s="20">
        <f t="shared" si="54"/>
        <v>511.673828125</v>
      </c>
      <c r="AW438" s="21">
        <f t="shared" si="55"/>
        <v>5.3860402960526313E-2</v>
      </c>
    </row>
    <row r="439" spans="1:49" x14ac:dyDescent="0.25">
      <c r="A439" t="s">
        <v>114</v>
      </c>
      <c r="B439" t="s">
        <v>340</v>
      </c>
      <c r="C439">
        <v>123730</v>
      </c>
      <c r="D439">
        <v>2009</v>
      </c>
      <c r="E439" t="s">
        <v>69</v>
      </c>
      <c r="F439" t="s">
        <v>284</v>
      </c>
      <c r="G439" t="s">
        <v>118</v>
      </c>
      <c r="I439">
        <v>6</v>
      </c>
      <c r="J439" t="s">
        <v>72</v>
      </c>
      <c r="K439">
        <v>4</v>
      </c>
      <c r="L439" t="s">
        <v>44</v>
      </c>
      <c r="M439">
        <v>3.5</v>
      </c>
      <c r="N439" t="s">
        <v>44</v>
      </c>
      <c r="O439" t="s">
        <v>46</v>
      </c>
      <c r="P439">
        <v>3</v>
      </c>
      <c r="Q439" t="s">
        <v>62</v>
      </c>
      <c r="R439" t="s">
        <v>63</v>
      </c>
      <c r="S439" t="s">
        <v>85</v>
      </c>
      <c r="T439">
        <v>262</v>
      </c>
      <c r="U439" t="s">
        <v>50</v>
      </c>
      <c r="V439" t="s">
        <v>76</v>
      </c>
      <c r="X439" t="s">
        <v>94</v>
      </c>
      <c r="Y439" t="s">
        <v>103</v>
      </c>
      <c r="AA439">
        <v>0</v>
      </c>
      <c r="AB439" t="s">
        <v>79</v>
      </c>
      <c r="AC439" t="s">
        <v>87</v>
      </c>
      <c r="AD439">
        <v>36</v>
      </c>
      <c r="AE439">
        <v>9</v>
      </c>
      <c r="AF439">
        <v>3</v>
      </c>
      <c r="AG439">
        <v>2025</v>
      </c>
      <c r="AH439" s="2">
        <v>2150</v>
      </c>
      <c r="AI439" s="2">
        <v>2084.218994140625</v>
      </c>
      <c r="AJ439" s="2">
        <f t="shared" si="48"/>
        <v>65.781005859375</v>
      </c>
      <c r="AK439" s="6">
        <f t="shared" si="49"/>
        <v>3.0595816678779069E-2</v>
      </c>
      <c r="AL439" s="12">
        <v>2150</v>
      </c>
      <c r="AM439" s="12">
        <v>2231.0148271958551</v>
      </c>
      <c r="AN439" s="12">
        <f t="shared" si="50"/>
        <v>81.014827195855105</v>
      </c>
      <c r="AO439" s="13">
        <f t="shared" si="51"/>
        <v>3.7681314974816325E-2</v>
      </c>
      <c r="AP439" s="16">
        <v>2150</v>
      </c>
      <c r="AQ439" s="16">
        <v>1900.0768191690211</v>
      </c>
      <c r="AR439" s="16">
        <f t="shared" si="52"/>
        <v>249.92318083097894</v>
      </c>
      <c r="AS439" s="17">
        <f t="shared" si="53"/>
        <v>0.11624333992138555</v>
      </c>
      <c r="AT439" s="20">
        <v>2150</v>
      </c>
      <c r="AU439" s="20">
        <v>2102.94287109375</v>
      </c>
      <c r="AV439" s="20">
        <f t="shared" si="54"/>
        <v>47.05712890625</v>
      </c>
      <c r="AW439" s="21">
        <f t="shared" si="55"/>
        <v>2.1887036700581397E-2</v>
      </c>
    </row>
    <row r="440" spans="1:49" x14ac:dyDescent="0.25">
      <c r="A440" t="s">
        <v>38</v>
      </c>
      <c r="B440" t="s">
        <v>39</v>
      </c>
      <c r="C440">
        <v>64706</v>
      </c>
      <c r="D440">
        <v>2022</v>
      </c>
      <c r="E440" t="s">
        <v>69</v>
      </c>
      <c r="F440" t="s">
        <v>331</v>
      </c>
      <c r="H440" t="s">
        <v>332</v>
      </c>
      <c r="I440">
        <v>3</v>
      </c>
      <c r="J440" t="s">
        <v>135</v>
      </c>
      <c r="K440">
        <v>4</v>
      </c>
      <c r="L440" t="s">
        <v>44</v>
      </c>
      <c r="M440">
        <v>1.5</v>
      </c>
      <c r="N440" t="s">
        <v>91</v>
      </c>
      <c r="O440" t="s">
        <v>46</v>
      </c>
      <c r="Q440" t="s">
        <v>62</v>
      </c>
      <c r="R440" t="s">
        <v>63</v>
      </c>
      <c r="S440" t="s">
        <v>93</v>
      </c>
      <c r="T440">
        <v>181</v>
      </c>
      <c r="U440" t="s">
        <v>50</v>
      </c>
      <c r="V440" t="s">
        <v>51</v>
      </c>
      <c r="W440" t="s">
        <v>333</v>
      </c>
      <c r="X440" t="s">
        <v>65</v>
      </c>
      <c r="Y440" t="s">
        <v>126</v>
      </c>
      <c r="AA440">
        <v>0</v>
      </c>
      <c r="AB440" t="s">
        <v>79</v>
      </c>
      <c r="AC440" t="s">
        <v>87</v>
      </c>
      <c r="AD440">
        <v>36</v>
      </c>
      <c r="AE440">
        <v>9</v>
      </c>
      <c r="AF440">
        <v>3</v>
      </c>
      <c r="AG440">
        <v>2025</v>
      </c>
      <c r="AH440" s="2">
        <v>17500</v>
      </c>
      <c r="AI440" s="2">
        <v>17659.775390625</v>
      </c>
      <c r="AJ440" s="2">
        <f t="shared" si="48"/>
        <v>159.775390625</v>
      </c>
      <c r="AK440" s="6">
        <f t="shared" si="49"/>
        <v>9.130022321428571E-3</v>
      </c>
      <c r="AL440" s="12">
        <v>17500</v>
      </c>
      <c r="AM440" s="12">
        <v>17253.040332526809</v>
      </c>
      <c r="AN440" s="12">
        <f t="shared" si="50"/>
        <v>246.95966747319108</v>
      </c>
      <c r="AO440" s="13">
        <f t="shared" si="51"/>
        <v>1.4111980998468061E-2</v>
      </c>
      <c r="AP440" s="16">
        <v>17500</v>
      </c>
      <c r="AQ440" s="16">
        <v>18060.135353357971</v>
      </c>
      <c r="AR440" s="16">
        <f t="shared" si="52"/>
        <v>560.13535335797133</v>
      </c>
      <c r="AS440" s="17">
        <f t="shared" si="53"/>
        <v>3.200773447759836E-2</v>
      </c>
      <c r="AT440" s="20">
        <v>17500</v>
      </c>
      <c r="AU440" s="20">
        <v>17312.35546875</v>
      </c>
      <c r="AV440" s="20">
        <f t="shared" si="54"/>
        <v>187.64453125</v>
      </c>
      <c r="AW440" s="21">
        <f t="shared" si="55"/>
        <v>1.0722544642857143E-2</v>
      </c>
    </row>
    <row r="441" spans="1:49" x14ac:dyDescent="0.25">
      <c r="A441" t="s">
        <v>38</v>
      </c>
      <c r="B441" t="s">
        <v>110</v>
      </c>
      <c r="C441">
        <v>123216</v>
      </c>
      <c r="D441">
        <v>2013</v>
      </c>
      <c r="E441" t="s">
        <v>69</v>
      </c>
      <c r="F441" t="s">
        <v>231</v>
      </c>
      <c r="I441">
        <v>6</v>
      </c>
      <c r="J441" t="s">
        <v>135</v>
      </c>
      <c r="K441">
        <v>4</v>
      </c>
      <c r="L441" t="s">
        <v>44</v>
      </c>
      <c r="M441">
        <v>3.5</v>
      </c>
      <c r="N441" t="s">
        <v>73</v>
      </c>
      <c r="O441" t="s">
        <v>46</v>
      </c>
      <c r="P441">
        <v>3</v>
      </c>
      <c r="Q441" t="s">
        <v>74</v>
      </c>
      <c r="R441" t="s">
        <v>92</v>
      </c>
      <c r="S441" t="s">
        <v>49</v>
      </c>
      <c r="T441">
        <v>365</v>
      </c>
      <c r="U441" t="s">
        <v>50</v>
      </c>
      <c r="V441" t="s">
        <v>76</v>
      </c>
      <c r="X441" t="s">
        <v>108</v>
      </c>
      <c r="Y441" t="s">
        <v>78</v>
      </c>
      <c r="AA441">
        <v>0</v>
      </c>
      <c r="AB441" t="s">
        <v>79</v>
      </c>
      <c r="AC441" t="s">
        <v>95</v>
      </c>
      <c r="AD441">
        <v>36</v>
      </c>
      <c r="AE441">
        <v>9</v>
      </c>
      <c r="AF441">
        <v>3</v>
      </c>
      <c r="AG441">
        <v>2025</v>
      </c>
      <c r="AH441" s="2">
        <v>10500</v>
      </c>
      <c r="AI441" s="2">
        <v>7390.12548828125</v>
      </c>
      <c r="AJ441" s="2">
        <f t="shared" si="48"/>
        <v>3109.87451171875</v>
      </c>
      <c r="AK441" s="6">
        <f t="shared" si="49"/>
        <v>0.29617852492559527</v>
      </c>
      <c r="AL441" s="12">
        <v>10500</v>
      </c>
      <c r="AM441" s="12">
        <v>7951.968379022006</v>
      </c>
      <c r="AN441" s="12">
        <f t="shared" si="50"/>
        <v>2548.031620977994</v>
      </c>
      <c r="AO441" s="13">
        <f t="shared" si="51"/>
        <v>0.24266967818838037</v>
      </c>
      <c r="AP441" s="16">
        <v>10500</v>
      </c>
      <c r="AQ441" s="16">
        <v>6931.2182835721032</v>
      </c>
      <c r="AR441" s="16">
        <f t="shared" si="52"/>
        <v>3568.7817164278968</v>
      </c>
      <c r="AS441" s="17">
        <f t="shared" si="53"/>
        <v>0.339883972993133</v>
      </c>
      <c r="AT441" s="20">
        <v>10500</v>
      </c>
      <c r="AU441" s="20">
        <v>7541.251953125</v>
      </c>
      <c r="AV441" s="20">
        <f t="shared" si="54"/>
        <v>2958.748046875</v>
      </c>
      <c r="AW441" s="21">
        <f t="shared" si="55"/>
        <v>0.28178552827380954</v>
      </c>
    </row>
    <row r="442" spans="1:49" x14ac:dyDescent="0.25">
      <c r="A442" t="s">
        <v>38</v>
      </c>
      <c r="B442" t="s">
        <v>110</v>
      </c>
      <c r="C442">
        <v>121365</v>
      </c>
      <c r="D442">
        <v>2016</v>
      </c>
      <c r="E442" t="s">
        <v>162</v>
      </c>
      <c r="F442" t="s">
        <v>163</v>
      </c>
      <c r="G442" t="s">
        <v>267</v>
      </c>
      <c r="I442">
        <v>4</v>
      </c>
      <c r="J442" t="s">
        <v>61</v>
      </c>
      <c r="K442">
        <v>4</v>
      </c>
      <c r="L442" t="s">
        <v>44</v>
      </c>
      <c r="M442">
        <v>2.4</v>
      </c>
      <c r="N442" t="s">
        <v>45</v>
      </c>
      <c r="Q442" t="s">
        <v>47</v>
      </c>
      <c r="R442" t="s">
        <v>123</v>
      </c>
      <c r="U442" t="s">
        <v>50</v>
      </c>
      <c r="V442" t="s">
        <v>51</v>
      </c>
      <c r="W442" t="s">
        <v>165</v>
      </c>
      <c r="X442" t="s">
        <v>125</v>
      </c>
      <c r="Y442" t="s">
        <v>78</v>
      </c>
      <c r="AA442">
        <v>0</v>
      </c>
      <c r="AB442" t="s">
        <v>79</v>
      </c>
      <c r="AC442" t="s">
        <v>127</v>
      </c>
      <c r="AD442">
        <v>36</v>
      </c>
      <c r="AE442">
        <v>9</v>
      </c>
      <c r="AF442">
        <v>3</v>
      </c>
      <c r="AG442">
        <v>2025</v>
      </c>
      <c r="AH442" s="2">
        <v>4800</v>
      </c>
      <c r="AI442" s="2">
        <v>3691.1474609375</v>
      </c>
      <c r="AJ442" s="2">
        <f t="shared" si="48"/>
        <v>1108.8525390625</v>
      </c>
      <c r="AK442" s="6">
        <f t="shared" si="49"/>
        <v>0.23101094563802083</v>
      </c>
      <c r="AL442" s="12">
        <v>4800</v>
      </c>
      <c r="AM442" s="12">
        <v>3585.1651899188619</v>
      </c>
      <c r="AN442" s="12">
        <f t="shared" si="50"/>
        <v>1214.8348100811381</v>
      </c>
      <c r="AO442" s="13">
        <f t="shared" si="51"/>
        <v>0.25309058543357044</v>
      </c>
      <c r="AP442" s="16">
        <v>4800</v>
      </c>
      <c r="AQ442" s="16">
        <v>2736.2026136931381</v>
      </c>
      <c r="AR442" s="16">
        <f t="shared" si="52"/>
        <v>2063.7973863068619</v>
      </c>
      <c r="AS442" s="17">
        <f t="shared" si="53"/>
        <v>0.42995778881392954</v>
      </c>
      <c r="AT442" s="20">
        <v>4800</v>
      </c>
      <c r="AU442" s="20">
        <v>3743.65771484375</v>
      </c>
      <c r="AV442" s="20">
        <f t="shared" si="54"/>
        <v>1056.34228515625</v>
      </c>
      <c r="AW442" s="21">
        <f t="shared" si="55"/>
        <v>0.2200713094075521</v>
      </c>
    </row>
    <row r="443" spans="1:49" x14ac:dyDescent="0.25">
      <c r="A443" t="s">
        <v>38</v>
      </c>
      <c r="B443" t="s">
        <v>96</v>
      </c>
      <c r="C443">
        <v>280554</v>
      </c>
      <c r="D443">
        <v>2014</v>
      </c>
      <c r="E443" t="s">
        <v>88</v>
      </c>
      <c r="F443" t="s">
        <v>312</v>
      </c>
      <c r="G443" t="s">
        <v>176</v>
      </c>
      <c r="I443">
        <v>8</v>
      </c>
      <c r="J443" t="s">
        <v>135</v>
      </c>
      <c r="K443">
        <v>4</v>
      </c>
      <c r="L443" t="s">
        <v>44</v>
      </c>
      <c r="M443">
        <v>6.4</v>
      </c>
      <c r="N443" t="s">
        <v>91</v>
      </c>
      <c r="O443" t="s">
        <v>46</v>
      </c>
      <c r="Q443" t="s">
        <v>74</v>
      </c>
      <c r="R443" t="s">
        <v>92</v>
      </c>
      <c r="S443" t="s">
        <v>93</v>
      </c>
      <c r="U443" t="s">
        <v>50</v>
      </c>
      <c r="X443" t="s">
        <v>230</v>
      </c>
      <c r="Y443" t="s">
        <v>126</v>
      </c>
      <c r="AA443">
        <v>0</v>
      </c>
      <c r="AB443" t="s">
        <v>79</v>
      </c>
      <c r="AC443" t="s">
        <v>95</v>
      </c>
      <c r="AD443">
        <v>36</v>
      </c>
      <c r="AE443">
        <v>9</v>
      </c>
      <c r="AF443">
        <v>3</v>
      </c>
      <c r="AG443">
        <v>2025</v>
      </c>
      <c r="AH443" s="2">
        <v>7250</v>
      </c>
      <c r="AI443" s="2">
        <v>5709.21533203125</v>
      </c>
      <c r="AJ443" s="2">
        <f t="shared" si="48"/>
        <v>1540.78466796875</v>
      </c>
      <c r="AK443" s="6">
        <f t="shared" si="49"/>
        <v>0.21252202316810345</v>
      </c>
      <c r="AL443" s="12">
        <v>7250</v>
      </c>
      <c r="AM443" s="12">
        <v>4722.6868551186126</v>
      </c>
      <c r="AN443" s="12">
        <f t="shared" si="50"/>
        <v>2527.3131448813874</v>
      </c>
      <c r="AO443" s="13">
        <f t="shared" si="51"/>
        <v>0.34859491653536379</v>
      </c>
      <c r="AP443" s="16">
        <v>7250</v>
      </c>
      <c r="AQ443" s="16">
        <v>6535.0520186701106</v>
      </c>
      <c r="AR443" s="16">
        <f t="shared" si="52"/>
        <v>714.94798132988944</v>
      </c>
      <c r="AS443" s="17">
        <f t="shared" si="53"/>
        <v>9.8613514666191643E-2</v>
      </c>
      <c r="AT443" s="20">
        <v>7250</v>
      </c>
      <c r="AU443" s="20">
        <v>5673.478515625</v>
      </c>
      <c r="AV443" s="20">
        <f t="shared" si="54"/>
        <v>1576.521484375</v>
      </c>
      <c r="AW443" s="21">
        <f t="shared" si="55"/>
        <v>0.21745123922413792</v>
      </c>
    </row>
    <row r="444" spans="1:49" x14ac:dyDescent="0.25">
      <c r="A444" t="s">
        <v>38</v>
      </c>
      <c r="B444" t="s">
        <v>110</v>
      </c>
      <c r="C444">
        <v>179395</v>
      </c>
      <c r="D444">
        <v>2013</v>
      </c>
      <c r="E444" t="s">
        <v>97</v>
      </c>
      <c r="F444" t="s">
        <v>470</v>
      </c>
      <c r="G444" t="s">
        <v>130</v>
      </c>
      <c r="I444">
        <v>4</v>
      </c>
      <c r="J444" t="s">
        <v>106</v>
      </c>
      <c r="K444">
        <v>4</v>
      </c>
      <c r="L444" t="s">
        <v>44</v>
      </c>
      <c r="M444">
        <v>2.5</v>
      </c>
      <c r="N444" t="s">
        <v>45</v>
      </c>
      <c r="O444" t="s">
        <v>46</v>
      </c>
      <c r="P444">
        <v>2</v>
      </c>
      <c r="Q444" t="s">
        <v>47</v>
      </c>
      <c r="R444" t="s">
        <v>123</v>
      </c>
      <c r="U444" t="s">
        <v>50</v>
      </c>
      <c r="V444" t="s">
        <v>51</v>
      </c>
      <c r="W444" t="s">
        <v>623</v>
      </c>
      <c r="X444" t="s">
        <v>125</v>
      </c>
      <c r="Y444" t="s">
        <v>78</v>
      </c>
      <c r="AA444">
        <v>0</v>
      </c>
      <c r="AB444" t="s">
        <v>79</v>
      </c>
      <c r="AC444" t="s">
        <v>127</v>
      </c>
      <c r="AD444">
        <v>36</v>
      </c>
      <c r="AE444">
        <v>9</v>
      </c>
      <c r="AF444">
        <v>3</v>
      </c>
      <c r="AG444">
        <v>2025</v>
      </c>
      <c r="AH444" s="2">
        <v>1500</v>
      </c>
      <c r="AI444" s="2">
        <v>1224.623046875</v>
      </c>
      <c r="AJ444" s="2">
        <f t="shared" si="48"/>
        <v>275.376953125</v>
      </c>
      <c r="AK444" s="6">
        <f t="shared" si="49"/>
        <v>0.18358463541666667</v>
      </c>
      <c r="AL444" s="12">
        <v>1500</v>
      </c>
      <c r="AM444" s="12">
        <v>1265.981300845428</v>
      </c>
      <c r="AN444" s="12">
        <f t="shared" si="50"/>
        <v>234.018699154572</v>
      </c>
      <c r="AO444" s="13">
        <f t="shared" si="51"/>
        <v>0.156012466103048</v>
      </c>
      <c r="AP444" s="16">
        <v>1500</v>
      </c>
      <c r="AQ444" s="16">
        <v>1113.613383606111</v>
      </c>
      <c r="AR444" s="16">
        <f t="shared" si="52"/>
        <v>386.38661639388897</v>
      </c>
      <c r="AS444" s="17">
        <f t="shared" si="53"/>
        <v>0.25759107759592598</v>
      </c>
      <c r="AT444" s="20">
        <v>1500</v>
      </c>
      <c r="AU444" s="20">
        <v>1197.496704101562</v>
      </c>
      <c r="AV444" s="20">
        <f t="shared" si="54"/>
        <v>302.50329589843795</v>
      </c>
      <c r="AW444" s="21">
        <f t="shared" si="55"/>
        <v>0.20166886393229197</v>
      </c>
    </row>
    <row r="445" spans="1:49" x14ac:dyDescent="0.25">
      <c r="A445" t="s">
        <v>38</v>
      </c>
      <c r="B445" t="s">
        <v>68</v>
      </c>
      <c r="C445">
        <v>112825</v>
      </c>
      <c r="D445">
        <v>2018</v>
      </c>
      <c r="E445" t="s">
        <v>69</v>
      </c>
      <c r="F445" t="s">
        <v>231</v>
      </c>
      <c r="I445">
        <v>8</v>
      </c>
      <c r="J445" t="s">
        <v>61</v>
      </c>
      <c r="K445">
        <v>4</v>
      </c>
      <c r="L445" t="s">
        <v>44</v>
      </c>
      <c r="M445">
        <v>5</v>
      </c>
      <c r="N445" t="s">
        <v>91</v>
      </c>
      <c r="O445" t="s">
        <v>46</v>
      </c>
      <c r="P445">
        <v>4</v>
      </c>
      <c r="Q445" t="s">
        <v>74</v>
      </c>
      <c r="R445" t="s">
        <v>92</v>
      </c>
      <c r="S445" t="s">
        <v>93</v>
      </c>
      <c r="T445">
        <v>395</v>
      </c>
      <c r="U445" t="s">
        <v>50</v>
      </c>
      <c r="V445" t="s">
        <v>76</v>
      </c>
      <c r="W445" t="s">
        <v>652</v>
      </c>
      <c r="X445" t="s">
        <v>94</v>
      </c>
      <c r="Y445" t="s">
        <v>78</v>
      </c>
      <c r="AA445">
        <v>0</v>
      </c>
      <c r="AB445" t="s">
        <v>79</v>
      </c>
      <c r="AC445" t="s">
        <v>95</v>
      </c>
      <c r="AD445">
        <v>36</v>
      </c>
      <c r="AE445">
        <v>9</v>
      </c>
      <c r="AF445">
        <v>3</v>
      </c>
      <c r="AG445">
        <v>2025</v>
      </c>
      <c r="AH445" s="2">
        <v>17500</v>
      </c>
      <c r="AI445" s="2">
        <v>20715.375</v>
      </c>
      <c r="AJ445" s="2">
        <f t="shared" si="48"/>
        <v>3215.375</v>
      </c>
      <c r="AK445" s="6">
        <f t="shared" si="49"/>
        <v>0.18373571428571428</v>
      </c>
      <c r="AL445" s="12">
        <v>17500</v>
      </c>
      <c r="AM445" s="12">
        <v>18649.020368651629</v>
      </c>
      <c r="AN445" s="12">
        <f t="shared" si="50"/>
        <v>1149.0203686516288</v>
      </c>
      <c r="AO445" s="13">
        <f t="shared" si="51"/>
        <v>6.5658306780093073E-2</v>
      </c>
      <c r="AP445" s="16">
        <v>17500</v>
      </c>
      <c r="AQ445" s="16">
        <v>17471.06050743645</v>
      </c>
      <c r="AR445" s="16">
        <f t="shared" si="52"/>
        <v>28.93949256354972</v>
      </c>
      <c r="AS445" s="17">
        <f t="shared" si="53"/>
        <v>1.6536852893456982E-3</v>
      </c>
      <c r="AT445" s="20">
        <v>17500</v>
      </c>
      <c r="AU445" s="20">
        <v>19958.63671875</v>
      </c>
      <c r="AV445" s="20">
        <f t="shared" si="54"/>
        <v>2458.63671875</v>
      </c>
      <c r="AW445" s="21">
        <f t="shared" si="55"/>
        <v>0.14049352678571428</v>
      </c>
    </row>
    <row r="446" spans="1:49" x14ac:dyDescent="0.25">
      <c r="A446" t="s">
        <v>38</v>
      </c>
      <c r="B446" t="s">
        <v>110</v>
      </c>
      <c r="C446">
        <v>176315</v>
      </c>
      <c r="D446">
        <v>2013</v>
      </c>
      <c r="E446" t="s">
        <v>142</v>
      </c>
      <c r="F446" t="s">
        <v>373</v>
      </c>
      <c r="G446" t="s">
        <v>398</v>
      </c>
      <c r="I446">
        <v>6</v>
      </c>
      <c r="J446" t="s">
        <v>43</v>
      </c>
      <c r="K446">
        <v>4</v>
      </c>
      <c r="L446" t="s">
        <v>44</v>
      </c>
      <c r="M446">
        <v>3.6</v>
      </c>
      <c r="N446" t="s">
        <v>73</v>
      </c>
      <c r="O446" t="s">
        <v>46</v>
      </c>
      <c r="P446">
        <v>3</v>
      </c>
      <c r="Q446" t="s">
        <v>62</v>
      </c>
      <c r="R446" t="s">
        <v>63</v>
      </c>
      <c r="S446" t="s">
        <v>49</v>
      </c>
      <c r="T446">
        <v>283</v>
      </c>
      <c r="U446" t="s">
        <v>50</v>
      </c>
      <c r="X446" t="s">
        <v>94</v>
      </c>
      <c r="Y446" t="s">
        <v>78</v>
      </c>
      <c r="AA446">
        <v>0</v>
      </c>
      <c r="AB446" t="s">
        <v>79</v>
      </c>
      <c r="AC446" t="s">
        <v>87</v>
      </c>
      <c r="AD446">
        <v>36</v>
      </c>
      <c r="AE446">
        <v>9</v>
      </c>
      <c r="AF446">
        <v>3</v>
      </c>
      <c r="AG446">
        <v>2025</v>
      </c>
      <c r="AH446" s="2">
        <v>2100</v>
      </c>
      <c r="AI446" s="2">
        <v>2513.727783203125</v>
      </c>
      <c r="AJ446" s="2">
        <f t="shared" si="48"/>
        <v>413.727783203125</v>
      </c>
      <c r="AK446" s="6">
        <f t="shared" si="49"/>
        <v>0.19701323009672619</v>
      </c>
      <c r="AL446" s="12">
        <v>2100</v>
      </c>
      <c r="AM446" s="12">
        <v>2920.3580091582439</v>
      </c>
      <c r="AN446" s="12">
        <f t="shared" si="50"/>
        <v>820.35800915824393</v>
      </c>
      <c r="AO446" s="13">
        <f t="shared" si="51"/>
        <v>0.3906466710277352</v>
      </c>
      <c r="AP446" s="16">
        <v>2100</v>
      </c>
      <c r="AQ446" s="16">
        <v>2221.6335066019378</v>
      </c>
      <c r="AR446" s="16">
        <f t="shared" si="52"/>
        <v>121.63350660193782</v>
      </c>
      <c r="AS446" s="17">
        <f t="shared" si="53"/>
        <v>5.7920717429494201E-2</v>
      </c>
      <c r="AT446" s="20">
        <v>2100</v>
      </c>
      <c r="AU446" s="20">
        <v>2540.00830078125</v>
      </c>
      <c r="AV446" s="20">
        <f t="shared" si="54"/>
        <v>440.00830078125</v>
      </c>
      <c r="AW446" s="21">
        <f t="shared" si="55"/>
        <v>0.20952776227678571</v>
      </c>
    </row>
    <row r="447" spans="1:49" x14ac:dyDescent="0.25">
      <c r="A447" t="s">
        <v>38</v>
      </c>
      <c r="B447" t="s">
        <v>96</v>
      </c>
      <c r="C447">
        <v>137120</v>
      </c>
      <c r="D447">
        <v>2017</v>
      </c>
      <c r="E447" t="s">
        <v>97</v>
      </c>
      <c r="F447" t="s">
        <v>159</v>
      </c>
      <c r="G447" t="s">
        <v>380</v>
      </c>
      <c r="H447" t="s">
        <v>89</v>
      </c>
      <c r="I447">
        <v>8</v>
      </c>
      <c r="J447" t="s">
        <v>72</v>
      </c>
      <c r="K447">
        <v>4</v>
      </c>
      <c r="L447" t="s">
        <v>44</v>
      </c>
      <c r="M447">
        <v>5.3</v>
      </c>
      <c r="N447" t="s">
        <v>91</v>
      </c>
      <c r="O447" t="s">
        <v>46</v>
      </c>
      <c r="Q447" t="s">
        <v>74</v>
      </c>
      <c r="R447" t="s">
        <v>92</v>
      </c>
      <c r="S447" t="s">
        <v>93</v>
      </c>
      <c r="U447" t="s">
        <v>50</v>
      </c>
      <c r="W447" t="s">
        <v>424</v>
      </c>
      <c r="X447" t="s">
        <v>108</v>
      </c>
      <c r="Y447" t="s">
        <v>126</v>
      </c>
      <c r="Z447">
        <v>44400</v>
      </c>
      <c r="AA447">
        <v>0</v>
      </c>
      <c r="AB447" t="s">
        <v>79</v>
      </c>
      <c r="AC447" t="s">
        <v>95</v>
      </c>
      <c r="AD447">
        <v>36</v>
      </c>
      <c r="AE447">
        <v>9</v>
      </c>
      <c r="AF447">
        <v>3</v>
      </c>
      <c r="AG447">
        <v>2025</v>
      </c>
      <c r="AH447" s="2">
        <v>14000</v>
      </c>
      <c r="AI447" s="2">
        <v>17699.43359375</v>
      </c>
      <c r="AJ447" s="2">
        <f t="shared" si="48"/>
        <v>3699.43359375</v>
      </c>
      <c r="AK447" s="6">
        <f t="shared" si="49"/>
        <v>0.26424525669642857</v>
      </c>
      <c r="AL447" s="12">
        <v>14000</v>
      </c>
      <c r="AM447" s="12">
        <v>17303.5457391782</v>
      </c>
      <c r="AN447" s="12">
        <f t="shared" si="50"/>
        <v>3303.5457391782002</v>
      </c>
      <c r="AO447" s="13">
        <f t="shared" si="51"/>
        <v>0.23596755279844286</v>
      </c>
      <c r="AP447" s="16">
        <v>14000</v>
      </c>
      <c r="AQ447" s="16">
        <v>16203.33918486983</v>
      </c>
      <c r="AR447" s="16">
        <f t="shared" si="52"/>
        <v>2203.3391848698302</v>
      </c>
      <c r="AS447" s="17">
        <f t="shared" si="53"/>
        <v>0.15738137034784502</v>
      </c>
      <c r="AT447" s="20">
        <v>14000</v>
      </c>
      <c r="AU447" s="20">
        <v>17378.0625</v>
      </c>
      <c r="AV447" s="20">
        <f t="shared" si="54"/>
        <v>3378.0625</v>
      </c>
      <c r="AW447" s="21">
        <f t="shared" si="55"/>
        <v>0.24129017857142857</v>
      </c>
    </row>
    <row r="448" spans="1:49" x14ac:dyDescent="0.25">
      <c r="A448" t="s">
        <v>128</v>
      </c>
      <c r="B448" t="s">
        <v>129</v>
      </c>
      <c r="C448">
        <v>245734</v>
      </c>
      <c r="D448">
        <v>2011</v>
      </c>
      <c r="E448" t="s">
        <v>142</v>
      </c>
      <c r="F448" t="s">
        <v>373</v>
      </c>
      <c r="G448" t="s">
        <v>398</v>
      </c>
      <c r="H448" t="s">
        <v>375</v>
      </c>
      <c r="I448">
        <v>6</v>
      </c>
      <c r="J448" t="s">
        <v>206</v>
      </c>
      <c r="K448">
        <v>4</v>
      </c>
      <c r="L448" t="s">
        <v>44</v>
      </c>
      <c r="M448">
        <v>3.6</v>
      </c>
      <c r="N448" t="s">
        <v>91</v>
      </c>
      <c r="Q448" t="s">
        <v>62</v>
      </c>
      <c r="R448" t="s">
        <v>63</v>
      </c>
      <c r="S448" t="s">
        <v>93</v>
      </c>
      <c r="U448" t="s">
        <v>50</v>
      </c>
      <c r="W448" t="s">
        <v>561</v>
      </c>
      <c r="X448" t="s">
        <v>94</v>
      </c>
      <c r="Y448" t="s">
        <v>78</v>
      </c>
      <c r="AA448">
        <v>0</v>
      </c>
      <c r="AB448" t="s">
        <v>79</v>
      </c>
      <c r="AC448" t="s">
        <v>87</v>
      </c>
      <c r="AD448">
        <v>36</v>
      </c>
      <c r="AE448">
        <v>9</v>
      </c>
      <c r="AF448">
        <v>3</v>
      </c>
      <c r="AG448">
        <v>2025</v>
      </c>
      <c r="AH448" s="2">
        <v>1100</v>
      </c>
      <c r="AI448" s="2">
        <v>1335.00634765625</v>
      </c>
      <c r="AJ448" s="2">
        <f t="shared" si="48"/>
        <v>235.00634765625</v>
      </c>
      <c r="AK448" s="6">
        <f t="shared" si="49"/>
        <v>0.21364213423295456</v>
      </c>
      <c r="AL448" s="12">
        <v>1100</v>
      </c>
      <c r="AM448" s="12">
        <v>1646.991494872055</v>
      </c>
      <c r="AN448" s="12">
        <f t="shared" si="50"/>
        <v>546.991494872055</v>
      </c>
      <c r="AO448" s="13">
        <f t="shared" si="51"/>
        <v>0.49726499533823182</v>
      </c>
      <c r="AP448" s="16">
        <v>1100</v>
      </c>
      <c r="AQ448" s="16">
        <v>1381.3223874612561</v>
      </c>
      <c r="AR448" s="16">
        <f t="shared" si="52"/>
        <v>281.32238746125608</v>
      </c>
      <c r="AS448" s="17">
        <f t="shared" si="53"/>
        <v>0.25574762496477826</v>
      </c>
      <c r="AT448" s="20">
        <v>1100</v>
      </c>
      <c r="AU448" s="20">
        <v>1314.481079101562</v>
      </c>
      <c r="AV448" s="20">
        <f t="shared" si="54"/>
        <v>214.48107910156205</v>
      </c>
      <c r="AW448" s="21">
        <f t="shared" si="55"/>
        <v>0.19498279918323821</v>
      </c>
    </row>
    <row r="449" spans="1:49" x14ac:dyDescent="0.25">
      <c r="A449" t="s">
        <v>38</v>
      </c>
      <c r="B449" t="s">
        <v>39</v>
      </c>
      <c r="C449">
        <v>128795</v>
      </c>
      <c r="D449">
        <v>2014</v>
      </c>
      <c r="E449" t="s">
        <v>784</v>
      </c>
      <c r="F449" t="s">
        <v>785</v>
      </c>
      <c r="G449" t="s">
        <v>785</v>
      </c>
      <c r="I449">
        <v>4</v>
      </c>
      <c r="J449" t="s">
        <v>61</v>
      </c>
      <c r="K449">
        <v>4</v>
      </c>
      <c r="L449" t="s">
        <v>44</v>
      </c>
      <c r="M449">
        <v>2</v>
      </c>
      <c r="N449" t="s">
        <v>73</v>
      </c>
      <c r="Q449" t="s">
        <v>47</v>
      </c>
      <c r="R449" t="s">
        <v>123</v>
      </c>
      <c r="S449" t="s">
        <v>179</v>
      </c>
      <c r="U449" t="s">
        <v>50</v>
      </c>
      <c r="V449" t="s">
        <v>51</v>
      </c>
      <c r="W449" t="s">
        <v>308</v>
      </c>
      <c r="X449" t="s">
        <v>125</v>
      </c>
      <c r="Y449" t="s">
        <v>427</v>
      </c>
      <c r="AA449">
        <v>0</v>
      </c>
      <c r="AB449" t="s">
        <v>79</v>
      </c>
      <c r="AC449" t="s">
        <v>127</v>
      </c>
      <c r="AD449">
        <v>36</v>
      </c>
      <c r="AE449">
        <v>9</v>
      </c>
      <c r="AF449">
        <v>3</v>
      </c>
      <c r="AG449">
        <v>2025</v>
      </c>
      <c r="AH449" s="2">
        <v>2300</v>
      </c>
      <c r="AI449" s="2">
        <v>2469.902587890625</v>
      </c>
      <c r="AJ449" s="2">
        <f t="shared" si="48"/>
        <v>169.902587890625</v>
      </c>
      <c r="AK449" s="6">
        <f t="shared" si="49"/>
        <v>7.3870690387228266E-2</v>
      </c>
      <c r="AL449" s="12">
        <v>2300</v>
      </c>
      <c r="AM449" s="12">
        <v>3011.2782403650349</v>
      </c>
      <c r="AN449" s="12">
        <f t="shared" si="50"/>
        <v>711.27824036503489</v>
      </c>
      <c r="AO449" s="13">
        <f t="shared" si="51"/>
        <v>0.30925140885436297</v>
      </c>
      <c r="AP449" s="16">
        <v>2300</v>
      </c>
      <c r="AQ449" s="16">
        <v>2563.7793173058039</v>
      </c>
      <c r="AR449" s="16">
        <f t="shared" si="52"/>
        <v>263.77931730580394</v>
      </c>
      <c r="AS449" s="17">
        <f t="shared" si="53"/>
        <v>0.11468665969817562</v>
      </c>
      <c r="AT449" s="20">
        <v>2300</v>
      </c>
      <c r="AU449" s="20">
        <v>2480.541259765625</v>
      </c>
      <c r="AV449" s="20">
        <f t="shared" si="54"/>
        <v>180.541259765625</v>
      </c>
      <c r="AW449" s="21">
        <f t="shared" si="55"/>
        <v>7.8496199898097821E-2</v>
      </c>
    </row>
    <row r="450" spans="1:49" x14ac:dyDescent="0.25">
      <c r="A450" t="s">
        <v>38</v>
      </c>
      <c r="B450" t="s">
        <v>96</v>
      </c>
      <c r="C450">
        <v>52228</v>
      </c>
      <c r="D450">
        <v>2024</v>
      </c>
      <c r="E450" t="s">
        <v>388</v>
      </c>
      <c r="F450" t="s">
        <v>389</v>
      </c>
      <c r="G450" t="s">
        <v>786</v>
      </c>
      <c r="I450">
        <v>4</v>
      </c>
      <c r="J450" t="s">
        <v>61</v>
      </c>
      <c r="K450">
        <v>4</v>
      </c>
      <c r="L450" t="s">
        <v>44</v>
      </c>
      <c r="M450">
        <v>2.5</v>
      </c>
      <c r="N450" t="s">
        <v>91</v>
      </c>
      <c r="O450" t="s">
        <v>46</v>
      </c>
      <c r="P450">
        <v>4</v>
      </c>
      <c r="Q450" t="s">
        <v>62</v>
      </c>
      <c r="R450" t="s">
        <v>63</v>
      </c>
      <c r="S450" t="s">
        <v>93</v>
      </c>
      <c r="U450" t="s">
        <v>50</v>
      </c>
      <c r="V450" t="s">
        <v>51</v>
      </c>
      <c r="X450" t="s">
        <v>141</v>
      </c>
      <c r="Y450" t="s">
        <v>54</v>
      </c>
      <c r="AA450">
        <v>0</v>
      </c>
      <c r="AB450" t="s">
        <v>79</v>
      </c>
      <c r="AC450" t="s">
        <v>109</v>
      </c>
      <c r="AD450">
        <v>36</v>
      </c>
      <c r="AE450">
        <v>9</v>
      </c>
      <c r="AF450">
        <v>3</v>
      </c>
      <c r="AG450">
        <v>2025</v>
      </c>
      <c r="AH450" s="2">
        <v>20500</v>
      </c>
      <c r="AI450" s="2">
        <v>21374.81640625</v>
      </c>
      <c r="AJ450" s="2">
        <f t="shared" si="48"/>
        <v>874.81640625</v>
      </c>
      <c r="AK450" s="6">
        <f t="shared" si="49"/>
        <v>4.2673971036585365E-2</v>
      </c>
      <c r="AL450" s="12">
        <v>20500</v>
      </c>
      <c r="AM450" s="12">
        <v>19785.53795613351</v>
      </c>
      <c r="AN450" s="12">
        <f t="shared" si="50"/>
        <v>714.46204386648969</v>
      </c>
      <c r="AO450" s="13">
        <f t="shared" si="51"/>
        <v>3.4851807017877545E-2</v>
      </c>
      <c r="AP450" s="16">
        <v>20500</v>
      </c>
      <c r="AQ450" s="16">
        <v>22205.87320736935</v>
      </c>
      <c r="AR450" s="16">
        <f t="shared" si="52"/>
        <v>1705.87320736935</v>
      </c>
      <c r="AS450" s="17">
        <f t="shared" si="53"/>
        <v>8.3213327188748784E-2</v>
      </c>
      <c r="AT450" s="20">
        <v>20500</v>
      </c>
      <c r="AU450" s="20">
        <v>20892.455078125</v>
      </c>
      <c r="AV450" s="20">
        <f t="shared" si="54"/>
        <v>392.455078125</v>
      </c>
      <c r="AW450" s="21">
        <f t="shared" si="55"/>
        <v>1.9144150152439025E-2</v>
      </c>
    </row>
    <row r="451" spans="1:49" x14ac:dyDescent="0.25">
      <c r="A451" t="s">
        <v>38</v>
      </c>
      <c r="B451" t="s">
        <v>68</v>
      </c>
      <c r="C451">
        <v>141542</v>
      </c>
      <c r="D451">
        <v>2015</v>
      </c>
      <c r="E451" t="s">
        <v>142</v>
      </c>
      <c r="F451" t="s">
        <v>633</v>
      </c>
      <c r="G451" t="s">
        <v>787</v>
      </c>
      <c r="I451">
        <v>6</v>
      </c>
      <c r="J451" t="s">
        <v>122</v>
      </c>
      <c r="K451">
        <v>4</v>
      </c>
      <c r="L451" t="s">
        <v>44</v>
      </c>
      <c r="M451">
        <v>3.6</v>
      </c>
      <c r="N451" t="s">
        <v>91</v>
      </c>
      <c r="O451" t="s">
        <v>46</v>
      </c>
      <c r="P451">
        <v>5</v>
      </c>
      <c r="Q451" t="s">
        <v>62</v>
      </c>
      <c r="R451" t="s">
        <v>63</v>
      </c>
      <c r="S451" t="s">
        <v>93</v>
      </c>
      <c r="U451" t="s">
        <v>50</v>
      </c>
      <c r="X451" t="s">
        <v>141</v>
      </c>
      <c r="Y451" t="s">
        <v>78</v>
      </c>
      <c r="AA451">
        <v>0</v>
      </c>
      <c r="AB451" t="s">
        <v>79</v>
      </c>
      <c r="AC451" t="s">
        <v>87</v>
      </c>
      <c r="AD451">
        <v>36</v>
      </c>
      <c r="AE451">
        <v>9</v>
      </c>
      <c r="AF451">
        <v>3</v>
      </c>
      <c r="AG451">
        <v>2025</v>
      </c>
      <c r="AH451" s="2">
        <v>9500</v>
      </c>
      <c r="AI451" s="2">
        <v>12342.349609375</v>
      </c>
      <c r="AJ451" s="2">
        <f t="shared" ref="AJ451:AJ514" si="56">ABS(AH451-AI451)</f>
        <v>2842.349609375</v>
      </c>
      <c r="AK451" s="6">
        <f t="shared" ref="AK451:AK514" si="57">ABS($AH451-AI451)/$AH451</f>
        <v>0.29919469572368423</v>
      </c>
      <c r="AL451" s="12">
        <v>9500</v>
      </c>
      <c r="AM451" s="12">
        <v>10970.77494462373</v>
      </c>
      <c r="AN451" s="12">
        <f t="shared" ref="AN451:AN514" si="58">ABS(AL451-AM451)</f>
        <v>1470.7749446237303</v>
      </c>
      <c r="AO451" s="13">
        <f t="shared" ref="AO451:AO514" si="59">ABS($AH451-AM451)/$AH451</f>
        <v>0.15481841522355055</v>
      </c>
      <c r="AP451" s="16">
        <v>9500</v>
      </c>
      <c r="AQ451" s="16">
        <v>11647.956505521761</v>
      </c>
      <c r="AR451" s="16">
        <f t="shared" ref="AR451:AR514" si="60">ABS(AP451-AQ451)</f>
        <v>2147.9565055217608</v>
      </c>
      <c r="AS451" s="17">
        <f t="shared" ref="AS451:AS514" si="61">ABS($AH451-AQ451)/$AH451</f>
        <v>0.22610068479176429</v>
      </c>
      <c r="AT451" s="20">
        <v>9500</v>
      </c>
      <c r="AU451" s="20">
        <v>12032.6943359375</v>
      </c>
      <c r="AV451" s="20">
        <f t="shared" ref="AV451:AV514" si="62">ABS(AT451-AU451)</f>
        <v>2532.6943359375</v>
      </c>
      <c r="AW451" s="21">
        <f t="shared" ref="AW451:AW514" si="63">ABS($AH451-AU451)/$AH451</f>
        <v>0.26659940378289476</v>
      </c>
    </row>
    <row r="452" spans="1:49" x14ac:dyDescent="0.25">
      <c r="A452" t="s">
        <v>114</v>
      </c>
      <c r="B452" t="s">
        <v>115</v>
      </c>
      <c r="C452">
        <v>222979</v>
      </c>
      <c r="D452">
        <v>2017</v>
      </c>
      <c r="E452" t="s">
        <v>97</v>
      </c>
      <c r="F452" t="s">
        <v>198</v>
      </c>
      <c r="G452" t="s">
        <v>130</v>
      </c>
      <c r="I452">
        <v>6</v>
      </c>
      <c r="J452" t="s">
        <v>61</v>
      </c>
      <c r="K452">
        <v>4</v>
      </c>
      <c r="L452" t="s">
        <v>44</v>
      </c>
      <c r="M452">
        <v>3.6</v>
      </c>
      <c r="N452" t="s">
        <v>44</v>
      </c>
      <c r="O452" t="s">
        <v>46</v>
      </c>
      <c r="Q452" t="s">
        <v>62</v>
      </c>
      <c r="R452" t="s">
        <v>63</v>
      </c>
      <c r="S452" t="s">
        <v>85</v>
      </c>
      <c r="U452" t="s">
        <v>50</v>
      </c>
      <c r="V452" t="s">
        <v>76</v>
      </c>
      <c r="W452" t="s">
        <v>788</v>
      </c>
      <c r="X452" t="s">
        <v>94</v>
      </c>
      <c r="Y452" t="s">
        <v>78</v>
      </c>
      <c r="Z452">
        <v>26750</v>
      </c>
      <c r="AA452">
        <v>0</v>
      </c>
      <c r="AB452" t="s">
        <v>79</v>
      </c>
      <c r="AC452" t="s">
        <v>109</v>
      </c>
      <c r="AD452">
        <v>36</v>
      </c>
      <c r="AE452">
        <v>9</v>
      </c>
      <c r="AF452">
        <v>3</v>
      </c>
      <c r="AG452">
        <v>2025</v>
      </c>
      <c r="AH452" s="2">
        <v>2400</v>
      </c>
      <c r="AI452" s="2">
        <v>2481.70947265625</v>
      </c>
      <c r="AJ452" s="2">
        <f t="shared" si="56"/>
        <v>81.70947265625</v>
      </c>
      <c r="AK452" s="6">
        <f t="shared" si="57"/>
        <v>3.404561360677083E-2</v>
      </c>
      <c r="AL452" s="12">
        <v>2400</v>
      </c>
      <c r="AM452" s="12">
        <v>3272.590587220353</v>
      </c>
      <c r="AN452" s="12">
        <f t="shared" si="58"/>
        <v>872.59058722035297</v>
      </c>
      <c r="AO452" s="13">
        <f t="shared" si="59"/>
        <v>0.36357941134181376</v>
      </c>
      <c r="AP452" s="16">
        <v>2400</v>
      </c>
      <c r="AQ452" s="16">
        <v>2223.5890275575921</v>
      </c>
      <c r="AR452" s="16">
        <f t="shared" si="60"/>
        <v>176.41097244240791</v>
      </c>
      <c r="AS452" s="17">
        <f t="shared" si="61"/>
        <v>7.35045718510033E-2</v>
      </c>
      <c r="AT452" s="20">
        <v>2400</v>
      </c>
      <c r="AU452" s="20">
        <v>2524.4755859375</v>
      </c>
      <c r="AV452" s="20">
        <f t="shared" si="62"/>
        <v>124.4755859375</v>
      </c>
      <c r="AW452" s="21">
        <f t="shared" si="63"/>
        <v>5.1864827473958333E-2</v>
      </c>
    </row>
    <row r="453" spans="1:49" x14ac:dyDescent="0.25">
      <c r="A453" t="s">
        <v>38</v>
      </c>
      <c r="B453" t="s">
        <v>96</v>
      </c>
      <c r="C453">
        <v>88730</v>
      </c>
      <c r="D453">
        <v>2017</v>
      </c>
      <c r="E453" t="s">
        <v>174</v>
      </c>
      <c r="F453" t="s">
        <v>175</v>
      </c>
      <c r="H453" t="s">
        <v>548</v>
      </c>
      <c r="I453">
        <v>8</v>
      </c>
      <c r="J453" t="s">
        <v>72</v>
      </c>
      <c r="K453">
        <v>4</v>
      </c>
      <c r="L453" t="s">
        <v>44</v>
      </c>
      <c r="M453">
        <v>6.2</v>
      </c>
      <c r="N453" t="s">
        <v>73</v>
      </c>
      <c r="O453" t="s">
        <v>789</v>
      </c>
      <c r="P453">
        <v>1</v>
      </c>
      <c r="Q453" t="s">
        <v>62</v>
      </c>
      <c r="R453" t="s">
        <v>63</v>
      </c>
      <c r="S453" t="s">
        <v>49</v>
      </c>
      <c r="U453" t="s">
        <v>50</v>
      </c>
      <c r="W453" t="s">
        <v>790</v>
      </c>
      <c r="X453" t="s">
        <v>108</v>
      </c>
      <c r="Y453" t="s">
        <v>78</v>
      </c>
      <c r="Z453">
        <v>65965</v>
      </c>
      <c r="AA453">
        <v>0</v>
      </c>
      <c r="AB453" t="s">
        <v>79</v>
      </c>
      <c r="AC453" t="s">
        <v>109</v>
      </c>
      <c r="AD453">
        <v>36</v>
      </c>
      <c r="AE453">
        <v>9</v>
      </c>
      <c r="AF453">
        <v>3</v>
      </c>
      <c r="AG453">
        <v>2025</v>
      </c>
      <c r="AH453" s="2">
        <v>5000</v>
      </c>
      <c r="AI453" s="2">
        <v>10383.3037109375</v>
      </c>
      <c r="AJ453" s="2">
        <f t="shared" si="56"/>
        <v>5383.3037109375</v>
      </c>
      <c r="AK453" s="6">
        <f t="shared" si="57"/>
        <v>1.0766607421875001</v>
      </c>
      <c r="AL453" s="12">
        <v>5000</v>
      </c>
      <c r="AM453" s="12">
        <v>9779.4923421088097</v>
      </c>
      <c r="AN453" s="12">
        <f t="shared" si="58"/>
        <v>4779.4923421088097</v>
      </c>
      <c r="AO453" s="13">
        <f t="shared" si="59"/>
        <v>0.95589846842176196</v>
      </c>
      <c r="AP453" s="16">
        <v>5000</v>
      </c>
      <c r="AQ453" s="16">
        <v>8998.6486914139859</v>
      </c>
      <c r="AR453" s="16">
        <f t="shared" si="60"/>
        <v>3998.6486914139859</v>
      </c>
      <c r="AS453" s="17">
        <f t="shared" si="61"/>
        <v>0.79972973828279714</v>
      </c>
      <c r="AT453" s="20">
        <v>5000</v>
      </c>
      <c r="AU453" s="20">
        <v>10379.6298828125</v>
      </c>
      <c r="AV453" s="20">
        <f t="shared" si="62"/>
        <v>5379.6298828125</v>
      </c>
      <c r="AW453" s="21">
        <f t="shared" si="63"/>
        <v>1.0759259765625</v>
      </c>
    </row>
    <row r="454" spans="1:49" x14ac:dyDescent="0.25">
      <c r="A454" t="s">
        <v>38</v>
      </c>
      <c r="B454" t="s">
        <v>39</v>
      </c>
      <c r="C454">
        <v>115834</v>
      </c>
      <c r="D454">
        <v>2015</v>
      </c>
      <c r="E454" t="s">
        <v>97</v>
      </c>
      <c r="F454" t="s">
        <v>159</v>
      </c>
      <c r="G454" t="s">
        <v>155</v>
      </c>
      <c r="H454" t="s">
        <v>89</v>
      </c>
      <c r="I454">
        <v>8</v>
      </c>
      <c r="J454" t="s">
        <v>106</v>
      </c>
      <c r="K454">
        <v>4</v>
      </c>
      <c r="L454" t="s">
        <v>44</v>
      </c>
      <c r="M454">
        <v>5.3</v>
      </c>
      <c r="N454" t="s">
        <v>73</v>
      </c>
      <c r="O454" t="s">
        <v>46</v>
      </c>
      <c r="Q454" t="s">
        <v>74</v>
      </c>
      <c r="R454" t="s">
        <v>92</v>
      </c>
      <c r="S454" t="s">
        <v>179</v>
      </c>
      <c r="U454" t="s">
        <v>50</v>
      </c>
      <c r="W454" t="s">
        <v>473</v>
      </c>
      <c r="X454" t="s">
        <v>94</v>
      </c>
      <c r="Y454" t="s">
        <v>126</v>
      </c>
      <c r="AA454">
        <v>0</v>
      </c>
      <c r="AB454" t="s">
        <v>79</v>
      </c>
      <c r="AC454" t="s">
        <v>95</v>
      </c>
      <c r="AD454">
        <v>36</v>
      </c>
      <c r="AE454">
        <v>9</v>
      </c>
      <c r="AF454">
        <v>3</v>
      </c>
      <c r="AG454">
        <v>2025</v>
      </c>
      <c r="AH454" s="2">
        <v>14000</v>
      </c>
      <c r="AI454" s="2">
        <v>13366.24609375</v>
      </c>
      <c r="AJ454" s="2">
        <f t="shared" si="56"/>
        <v>633.75390625</v>
      </c>
      <c r="AK454" s="6">
        <f t="shared" si="57"/>
        <v>4.5268136160714283E-2</v>
      </c>
      <c r="AL454" s="12">
        <v>14000</v>
      </c>
      <c r="AM454" s="12">
        <v>14225.353184052959</v>
      </c>
      <c r="AN454" s="12">
        <f t="shared" si="58"/>
        <v>225.35318405295948</v>
      </c>
      <c r="AO454" s="13">
        <f t="shared" si="59"/>
        <v>1.6096656003782819E-2</v>
      </c>
      <c r="AP454" s="16">
        <v>14000</v>
      </c>
      <c r="AQ454" s="16">
        <v>12456.30974403586</v>
      </c>
      <c r="AR454" s="16">
        <f t="shared" si="60"/>
        <v>1543.6902559641403</v>
      </c>
      <c r="AS454" s="17">
        <f t="shared" si="61"/>
        <v>0.11026358971172431</v>
      </c>
      <c r="AT454" s="20">
        <v>14000</v>
      </c>
      <c r="AU454" s="20">
        <v>13641.556640625</v>
      </c>
      <c r="AV454" s="20">
        <f t="shared" si="62"/>
        <v>358.443359375</v>
      </c>
      <c r="AW454" s="21">
        <f t="shared" si="63"/>
        <v>2.5603097098214286E-2</v>
      </c>
    </row>
    <row r="455" spans="1:49" x14ac:dyDescent="0.25">
      <c r="A455" t="s">
        <v>38</v>
      </c>
      <c r="B455" t="s">
        <v>39</v>
      </c>
      <c r="C455">
        <v>91987</v>
      </c>
      <c r="D455">
        <v>2018</v>
      </c>
      <c r="E455" t="s">
        <v>97</v>
      </c>
      <c r="F455" t="s">
        <v>159</v>
      </c>
      <c r="G455" t="s">
        <v>155</v>
      </c>
      <c r="H455" t="s">
        <v>312</v>
      </c>
      <c r="I455">
        <v>8</v>
      </c>
      <c r="J455" t="s">
        <v>72</v>
      </c>
      <c r="K455">
        <v>4</v>
      </c>
      <c r="L455" t="s">
        <v>44</v>
      </c>
      <c r="M455">
        <v>6</v>
      </c>
      <c r="N455" t="s">
        <v>91</v>
      </c>
      <c r="O455" t="s">
        <v>46</v>
      </c>
      <c r="Q455" t="s">
        <v>74</v>
      </c>
      <c r="R455" t="s">
        <v>92</v>
      </c>
      <c r="S455" t="s">
        <v>93</v>
      </c>
      <c r="U455" t="s">
        <v>50</v>
      </c>
      <c r="W455" t="s">
        <v>490</v>
      </c>
      <c r="X455" t="s">
        <v>230</v>
      </c>
      <c r="Y455" t="s">
        <v>78</v>
      </c>
      <c r="AA455">
        <v>0</v>
      </c>
      <c r="AB455" t="s">
        <v>79</v>
      </c>
      <c r="AC455" t="s">
        <v>95</v>
      </c>
      <c r="AD455">
        <v>36</v>
      </c>
      <c r="AE455">
        <v>9</v>
      </c>
      <c r="AF455">
        <v>3</v>
      </c>
      <c r="AG455">
        <v>2025</v>
      </c>
      <c r="AH455" s="2">
        <v>26250</v>
      </c>
      <c r="AI455" s="2">
        <v>24008.171875</v>
      </c>
      <c r="AJ455" s="2">
        <f t="shared" si="56"/>
        <v>2241.828125</v>
      </c>
      <c r="AK455" s="6">
        <f t="shared" si="57"/>
        <v>8.5402976190476196E-2</v>
      </c>
      <c r="AL455" s="12">
        <v>26250</v>
      </c>
      <c r="AM455" s="12">
        <v>22034.084957465078</v>
      </c>
      <c r="AN455" s="12">
        <f t="shared" si="58"/>
        <v>4215.9150425349217</v>
      </c>
      <c r="AO455" s="13">
        <f t="shared" si="59"/>
        <v>0.16060628733466367</v>
      </c>
      <c r="AP455" s="16">
        <v>26250</v>
      </c>
      <c r="AQ455" s="16">
        <v>20847.057483607441</v>
      </c>
      <c r="AR455" s="16">
        <f t="shared" si="60"/>
        <v>5402.9425163925589</v>
      </c>
      <c r="AS455" s="17">
        <f t="shared" si="61"/>
        <v>0.2058263815768594</v>
      </c>
      <c r="AT455" s="20">
        <v>26250</v>
      </c>
      <c r="AU455" s="20">
        <v>23519.576171875</v>
      </c>
      <c r="AV455" s="20">
        <f t="shared" si="62"/>
        <v>2730.423828125</v>
      </c>
      <c r="AW455" s="21">
        <f t="shared" si="63"/>
        <v>0.10401614583333334</v>
      </c>
    </row>
    <row r="456" spans="1:49" x14ac:dyDescent="0.25">
      <c r="A456" t="s">
        <v>128</v>
      </c>
      <c r="B456" t="s">
        <v>129</v>
      </c>
      <c r="C456">
        <v>71177</v>
      </c>
      <c r="D456">
        <v>2013</v>
      </c>
      <c r="E456" t="s">
        <v>286</v>
      </c>
      <c r="F456" t="s">
        <v>791</v>
      </c>
      <c r="G456" t="s">
        <v>288</v>
      </c>
      <c r="H456" t="s">
        <v>792</v>
      </c>
      <c r="I456">
        <v>6</v>
      </c>
      <c r="J456" t="s">
        <v>122</v>
      </c>
      <c r="K456">
        <v>4</v>
      </c>
      <c r="L456" t="s">
        <v>44</v>
      </c>
      <c r="M456">
        <v>3.5</v>
      </c>
      <c r="N456" t="s">
        <v>44</v>
      </c>
      <c r="Q456" t="s">
        <v>47</v>
      </c>
      <c r="R456" t="s">
        <v>123</v>
      </c>
      <c r="S456" t="s">
        <v>93</v>
      </c>
      <c r="U456" t="s">
        <v>50</v>
      </c>
      <c r="V456" t="s">
        <v>76</v>
      </c>
      <c r="W456" t="s">
        <v>793</v>
      </c>
      <c r="X456" t="s">
        <v>125</v>
      </c>
      <c r="Y456" t="s">
        <v>54</v>
      </c>
      <c r="AA456">
        <v>0</v>
      </c>
      <c r="AB456" t="s">
        <v>79</v>
      </c>
      <c r="AC456" t="s">
        <v>127</v>
      </c>
      <c r="AD456">
        <v>36</v>
      </c>
      <c r="AE456">
        <v>9</v>
      </c>
      <c r="AF456">
        <v>3</v>
      </c>
      <c r="AG456">
        <v>2025</v>
      </c>
      <c r="AH456" s="2">
        <v>12000</v>
      </c>
      <c r="AI456" s="2">
        <v>12468.8544921875</v>
      </c>
      <c r="AJ456" s="2">
        <f t="shared" si="56"/>
        <v>468.8544921875</v>
      </c>
      <c r="AK456" s="6">
        <f t="shared" si="57"/>
        <v>3.9071207682291664E-2</v>
      </c>
      <c r="AL456" s="12">
        <v>12000</v>
      </c>
      <c r="AM456" s="12">
        <v>11540.399057430441</v>
      </c>
      <c r="AN456" s="12">
        <f t="shared" si="58"/>
        <v>459.60094256955927</v>
      </c>
      <c r="AO456" s="13">
        <f t="shared" si="59"/>
        <v>3.830007854746327E-2</v>
      </c>
      <c r="AP456" s="16">
        <v>12000</v>
      </c>
      <c r="AQ456" s="16">
        <v>9682.8746182825107</v>
      </c>
      <c r="AR456" s="16">
        <f t="shared" si="60"/>
        <v>2317.1253817174893</v>
      </c>
      <c r="AS456" s="17">
        <f t="shared" si="61"/>
        <v>0.19309378180979078</v>
      </c>
      <c r="AT456" s="20">
        <v>12000</v>
      </c>
      <c r="AU456" s="20">
        <v>12277.517578125</v>
      </c>
      <c r="AV456" s="20">
        <f t="shared" si="62"/>
        <v>277.517578125</v>
      </c>
      <c r="AW456" s="21">
        <f t="shared" si="63"/>
        <v>2.312646484375E-2</v>
      </c>
    </row>
    <row r="457" spans="1:49" x14ac:dyDescent="0.25">
      <c r="A457" t="s">
        <v>128</v>
      </c>
      <c r="B457" t="s">
        <v>129</v>
      </c>
      <c r="C457">
        <v>110007</v>
      </c>
      <c r="D457">
        <v>2012</v>
      </c>
      <c r="E457" t="s">
        <v>40</v>
      </c>
      <c r="F457" t="s">
        <v>297</v>
      </c>
      <c r="H457" t="s">
        <v>298</v>
      </c>
      <c r="I457">
        <v>4</v>
      </c>
      <c r="J457" t="s">
        <v>135</v>
      </c>
      <c r="K457">
        <v>4</v>
      </c>
      <c r="L457" t="s">
        <v>44</v>
      </c>
      <c r="M457">
        <v>2.5</v>
      </c>
      <c r="N457" t="s">
        <v>45</v>
      </c>
      <c r="Q457" t="s">
        <v>47</v>
      </c>
      <c r="R457" t="s">
        <v>123</v>
      </c>
      <c r="S457" t="s">
        <v>49</v>
      </c>
      <c r="T457">
        <v>178</v>
      </c>
      <c r="U457" t="s">
        <v>50</v>
      </c>
      <c r="V457" t="s">
        <v>51</v>
      </c>
      <c r="W457" t="s">
        <v>236</v>
      </c>
      <c r="X457" t="s">
        <v>125</v>
      </c>
      <c r="Y457" t="s">
        <v>78</v>
      </c>
      <c r="AA457">
        <v>0</v>
      </c>
      <c r="AB457" t="s">
        <v>79</v>
      </c>
      <c r="AC457" t="s">
        <v>127</v>
      </c>
      <c r="AD457">
        <v>36</v>
      </c>
      <c r="AE457">
        <v>9</v>
      </c>
      <c r="AF457">
        <v>3</v>
      </c>
      <c r="AG457">
        <v>2025</v>
      </c>
      <c r="AH457" s="2">
        <v>8300</v>
      </c>
      <c r="AI457" s="2">
        <v>4363.5</v>
      </c>
      <c r="AJ457" s="2">
        <f t="shared" si="56"/>
        <v>3936.5</v>
      </c>
      <c r="AK457" s="6">
        <f t="shared" si="57"/>
        <v>0.47427710843373494</v>
      </c>
      <c r="AL457" s="12">
        <v>8300</v>
      </c>
      <c r="AM457" s="12">
        <v>3993.6670622767128</v>
      </c>
      <c r="AN457" s="12">
        <f t="shared" si="58"/>
        <v>4306.3329377232876</v>
      </c>
      <c r="AO457" s="13">
        <f t="shared" si="59"/>
        <v>0.51883529370160086</v>
      </c>
      <c r="AP457" s="16">
        <v>8300</v>
      </c>
      <c r="AQ457" s="16">
        <v>3824.716234970218</v>
      </c>
      <c r="AR457" s="16">
        <f t="shared" si="60"/>
        <v>4475.2837650297824</v>
      </c>
      <c r="AS457" s="17">
        <f t="shared" si="61"/>
        <v>0.53919081506382927</v>
      </c>
      <c r="AT457" s="20">
        <v>8300</v>
      </c>
      <c r="AU457" s="20">
        <v>4416.62841796875</v>
      </c>
      <c r="AV457" s="20">
        <f t="shared" si="62"/>
        <v>3883.37158203125</v>
      </c>
      <c r="AW457" s="21">
        <f t="shared" si="63"/>
        <v>0.46787609422063253</v>
      </c>
    </row>
    <row r="458" spans="1:49" x14ac:dyDescent="0.25">
      <c r="A458" t="s">
        <v>81</v>
      </c>
      <c r="B458" t="s">
        <v>82</v>
      </c>
      <c r="C458">
        <v>279924</v>
      </c>
      <c r="D458">
        <v>2016</v>
      </c>
      <c r="E458" t="s">
        <v>69</v>
      </c>
      <c r="F458" t="s">
        <v>394</v>
      </c>
      <c r="H458" t="s">
        <v>447</v>
      </c>
      <c r="I458">
        <v>4</v>
      </c>
      <c r="J458" t="s">
        <v>135</v>
      </c>
      <c r="K458">
        <v>4</v>
      </c>
      <c r="L458" t="s">
        <v>44</v>
      </c>
      <c r="M458">
        <v>2</v>
      </c>
      <c r="N458" t="s">
        <v>44</v>
      </c>
      <c r="O458" t="s">
        <v>46</v>
      </c>
      <c r="Q458" t="s">
        <v>47</v>
      </c>
      <c r="R458" t="s">
        <v>123</v>
      </c>
      <c r="S458" t="s">
        <v>85</v>
      </c>
      <c r="T458">
        <v>240</v>
      </c>
      <c r="U458" t="s">
        <v>50</v>
      </c>
      <c r="V458" t="s">
        <v>51</v>
      </c>
      <c r="X458" t="s">
        <v>125</v>
      </c>
      <c r="Y458" t="s">
        <v>126</v>
      </c>
      <c r="AA458">
        <v>0</v>
      </c>
      <c r="AB458" t="s">
        <v>79</v>
      </c>
      <c r="AC458" t="s">
        <v>127</v>
      </c>
      <c r="AD458">
        <v>36</v>
      </c>
      <c r="AE458">
        <v>9</v>
      </c>
      <c r="AF458">
        <v>3</v>
      </c>
      <c r="AG458">
        <v>2025</v>
      </c>
      <c r="AH458" s="2">
        <v>500</v>
      </c>
      <c r="AI458" s="2">
        <v>1381.769897460938</v>
      </c>
      <c r="AJ458" s="2">
        <f t="shared" si="56"/>
        <v>881.76989746093795</v>
      </c>
      <c r="AK458" s="6">
        <f t="shared" si="57"/>
        <v>1.7635397949218758</v>
      </c>
      <c r="AL458" s="12">
        <v>500</v>
      </c>
      <c r="AM458" s="12">
        <v>1548.9051329320839</v>
      </c>
      <c r="AN458" s="12">
        <f t="shared" si="58"/>
        <v>1048.9051329320839</v>
      </c>
      <c r="AO458" s="13">
        <f t="shared" si="59"/>
        <v>2.097810265864168</v>
      </c>
      <c r="AP458" s="16">
        <v>500</v>
      </c>
      <c r="AQ458" s="16">
        <v>1150.407065886603</v>
      </c>
      <c r="AR458" s="16">
        <f t="shared" si="60"/>
        <v>650.40706588660305</v>
      </c>
      <c r="AS458" s="17">
        <f t="shared" si="61"/>
        <v>1.300814131773206</v>
      </c>
      <c r="AT458" s="20">
        <v>500</v>
      </c>
      <c r="AU458" s="20">
        <v>1384.55712890625</v>
      </c>
      <c r="AV458" s="20">
        <f t="shared" si="62"/>
        <v>884.55712890625</v>
      </c>
      <c r="AW458" s="21">
        <f t="shared" si="63"/>
        <v>1.7691142578125001</v>
      </c>
    </row>
    <row r="459" spans="1:49" x14ac:dyDescent="0.25">
      <c r="A459" t="s">
        <v>38</v>
      </c>
      <c r="B459" t="s">
        <v>96</v>
      </c>
      <c r="C459">
        <v>108581</v>
      </c>
      <c r="D459">
        <v>2015</v>
      </c>
      <c r="E459" t="s">
        <v>119</v>
      </c>
      <c r="F459" t="s">
        <v>794</v>
      </c>
      <c r="I459">
        <v>4</v>
      </c>
      <c r="J459" t="s">
        <v>61</v>
      </c>
      <c r="K459">
        <v>4</v>
      </c>
      <c r="L459" t="s">
        <v>358</v>
      </c>
      <c r="M459">
        <v>1.8</v>
      </c>
      <c r="N459" t="s">
        <v>45</v>
      </c>
      <c r="O459" t="s">
        <v>46</v>
      </c>
      <c r="Q459" t="s">
        <v>47</v>
      </c>
      <c r="R459" t="s">
        <v>48</v>
      </c>
      <c r="T459">
        <v>170</v>
      </c>
      <c r="U459" t="s">
        <v>50</v>
      </c>
      <c r="W459" t="s">
        <v>124</v>
      </c>
      <c r="X459" t="s">
        <v>125</v>
      </c>
      <c r="Y459" t="s">
        <v>126</v>
      </c>
      <c r="AA459">
        <v>0</v>
      </c>
      <c r="AB459" t="s">
        <v>79</v>
      </c>
      <c r="AC459" t="s">
        <v>359</v>
      </c>
      <c r="AD459">
        <v>36</v>
      </c>
      <c r="AE459">
        <v>9</v>
      </c>
      <c r="AF459">
        <v>3</v>
      </c>
      <c r="AG459">
        <v>2025</v>
      </c>
      <c r="AH459" s="2">
        <v>5300</v>
      </c>
      <c r="AI459" s="2">
        <v>2986.4951171875</v>
      </c>
      <c r="AJ459" s="2">
        <f t="shared" si="56"/>
        <v>2313.5048828125</v>
      </c>
      <c r="AK459" s="6">
        <f t="shared" si="57"/>
        <v>0.43651035524764153</v>
      </c>
      <c r="AL459" s="12">
        <v>5300</v>
      </c>
      <c r="AM459" s="12">
        <v>3373.610403434066</v>
      </c>
      <c r="AN459" s="12">
        <f t="shared" si="58"/>
        <v>1926.389596565934</v>
      </c>
      <c r="AO459" s="13">
        <f t="shared" si="59"/>
        <v>0.36346973520111964</v>
      </c>
      <c r="AP459" s="16">
        <v>5300</v>
      </c>
      <c r="AQ459" s="16">
        <v>3769.01787811536</v>
      </c>
      <c r="AR459" s="16">
        <f t="shared" si="60"/>
        <v>1530.98212188464</v>
      </c>
      <c r="AS459" s="17">
        <f t="shared" si="61"/>
        <v>0.28886455129898869</v>
      </c>
      <c r="AT459" s="20">
        <v>5300</v>
      </c>
      <c r="AU459" s="20">
        <v>3048.644775390625</v>
      </c>
      <c r="AV459" s="20">
        <f t="shared" si="62"/>
        <v>2251.355224609375</v>
      </c>
      <c r="AW459" s="21">
        <f t="shared" si="63"/>
        <v>0.42478400464327831</v>
      </c>
    </row>
    <row r="460" spans="1:49" x14ac:dyDescent="0.25">
      <c r="A460" t="s">
        <v>38</v>
      </c>
      <c r="B460" t="s">
        <v>110</v>
      </c>
      <c r="C460">
        <v>26101</v>
      </c>
      <c r="D460">
        <v>2023</v>
      </c>
      <c r="E460" t="s">
        <v>166</v>
      </c>
      <c r="F460" t="s">
        <v>628</v>
      </c>
      <c r="G460" t="s">
        <v>457</v>
      </c>
      <c r="I460">
        <v>4</v>
      </c>
      <c r="J460" t="s">
        <v>122</v>
      </c>
      <c r="K460">
        <v>4</v>
      </c>
      <c r="L460" t="s">
        <v>44</v>
      </c>
      <c r="M460">
        <v>2</v>
      </c>
      <c r="N460" t="s">
        <v>45</v>
      </c>
      <c r="O460" t="s">
        <v>190</v>
      </c>
      <c r="Q460" t="s">
        <v>47</v>
      </c>
      <c r="R460" t="s">
        <v>123</v>
      </c>
      <c r="S460" t="s">
        <v>49</v>
      </c>
      <c r="T460">
        <v>158</v>
      </c>
      <c r="U460" t="s">
        <v>50</v>
      </c>
      <c r="V460" t="s">
        <v>51</v>
      </c>
      <c r="W460" t="s">
        <v>795</v>
      </c>
      <c r="X460" t="s">
        <v>53</v>
      </c>
      <c r="Y460" t="s">
        <v>103</v>
      </c>
      <c r="AA460">
        <v>0</v>
      </c>
      <c r="AB460" t="s">
        <v>79</v>
      </c>
      <c r="AC460" t="s">
        <v>127</v>
      </c>
      <c r="AD460">
        <v>36</v>
      </c>
      <c r="AE460">
        <v>9</v>
      </c>
      <c r="AF460">
        <v>3</v>
      </c>
      <c r="AG460">
        <v>2025</v>
      </c>
      <c r="AH460" s="2">
        <v>14000</v>
      </c>
      <c r="AI460" s="2">
        <v>6798.0048828125</v>
      </c>
      <c r="AJ460" s="2">
        <f t="shared" si="56"/>
        <v>7201.9951171875</v>
      </c>
      <c r="AK460" s="6">
        <f t="shared" si="57"/>
        <v>0.51442822265624999</v>
      </c>
      <c r="AL460" s="12">
        <v>14000</v>
      </c>
      <c r="AM460" s="12">
        <v>8385.2401734250343</v>
      </c>
      <c r="AN460" s="12">
        <f t="shared" si="58"/>
        <v>5614.7598265749657</v>
      </c>
      <c r="AO460" s="13">
        <f t="shared" si="59"/>
        <v>0.40105427332678328</v>
      </c>
      <c r="AP460" s="16">
        <v>14000</v>
      </c>
      <c r="AQ460" s="16">
        <v>8215.0061911129433</v>
      </c>
      <c r="AR460" s="16">
        <f t="shared" si="60"/>
        <v>5784.9938088870567</v>
      </c>
      <c r="AS460" s="17">
        <f t="shared" si="61"/>
        <v>0.41321384349193263</v>
      </c>
      <c r="AT460" s="20">
        <v>14000</v>
      </c>
      <c r="AU460" s="20">
        <v>7106.99609375</v>
      </c>
      <c r="AV460" s="20">
        <f t="shared" si="62"/>
        <v>6893.00390625</v>
      </c>
      <c r="AW460" s="21">
        <f t="shared" si="63"/>
        <v>0.49235742187499998</v>
      </c>
    </row>
    <row r="461" spans="1:49" x14ac:dyDescent="0.25">
      <c r="A461" t="s">
        <v>38</v>
      </c>
      <c r="B461" t="s">
        <v>39</v>
      </c>
      <c r="C461">
        <v>134675</v>
      </c>
      <c r="D461">
        <v>2015</v>
      </c>
      <c r="E461" t="s">
        <v>69</v>
      </c>
      <c r="F461" t="s">
        <v>690</v>
      </c>
      <c r="G461" t="s">
        <v>224</v>
      </c>
      <c r="I461">
        <v>4</v>
      </c>
      <c r="J461" t="s">
        <v>135</v>
      </c>
      <c r="K461">
        <v>4</v>
      </c>
      <c r="L461" t="s">
        <v>44</v>
      </c>
      <c r="M461">
        <v>2</v>
      </c>
      <c r="N461" t="s">
        <v>45</v>
      </c>
      <c r="O461" t="s">
        <v>46</v>
      </c>
      <c r="Q461" t="s">
        <v>47</v>
      </c>
      <c r="R461" t="s">
        <v>123</v>
      </c>
      <c r="T461">
        <v>160</v>
      </c>
      <c r="U461" t="s">
        <v>50</v>
      </c>
      <c r="V461" t="s">
        <v>51</v>
      </c>
      <c r="X461" t="s">
        <v>125</v>
      </c>
      <c r="Y461" t="s">
        <v>78</v>
      </c>
      <c r="AA461">
        <v>0</v>
      </c>
      <c r="AB461" t="s">
        <v>79</v>
      </c>
      <c r="AC461" t="s">
        <v>127</v>
      </c>
      <c r="AD461">
        <v>36</v>
      </c>
      <c r="AE461">
        <v>9</v>
      </c>
      <c r="AF461">
        <v>3</v>
      </c>
      <c r="AG461">
        <v>2025</v>
      </c>
      <c r="AH461" s="2">
        <v>1500</v>
      </c>
      <c r="AI461" s="2">
        <v>1796.038940429688</v>
      </c>
      <c r="AJ461" s="2">
        <f t="shared" si="56"/>
        <v>296.03894042968795</v>
      </c>
      <c r="AK461" s="6">
        <f t="shared" si="57"/>
        <v>0.19735929361979196</v>
      </c>
      <c r="AL461" s="12">
        <v>1500</v>
      </c>
      <c r="AM461" s="12">
        <v>2038.7056044447929</v>
      </c>
      <c r="AN461" s="12">
        <f t="shared" si="58"/>
        <v>538.70560444479293</v>
      </c>
      <c r="AO461" s="13">
        <f t="shared" si="59"/>
        <v>0.35913706962986197</v>
      </c>
      <c r="AP461" s="16">
        <v>1500</v>
      </c>
      <c r="AQ461" s="16">
        <v>1509.3577847086419</v>
      </c>
      <c r="AR461" s="16">
        <f t="shared" si="60"/>
        <v>9.3577847086419297</v>
      </c>
      <c r="AS461" s="17">
        <f t="shared" si="61"/>
        <v>6.2385231390946197E-3</v>
      </c>
      <c r="AT461" s="20">
        <v>1500</v>
      </c>
      <c r="AU461" s="20">
        <v>1793.074829101562</v>
      </c>
      <c r="AV461" s="20">
        <f t="shared" si="62"/>
        <v>293.07482910156205</v>
      </c>
      <c r="AW461" s="21">
        <f t="shared" si="63"/>
        <v>0.19538321940104136</v>
      </c>
    </row>
    <row r="462" spans="1:49" x14ac:dyDescent="0.25">
      <c r="A462" t="s">
        <v>38</v>
      </c>
      <c r="B462" t="s">
        <v>110</v>
      </c>
      <c r="C462">
        <v>234490</v>
      </c>
      <c r="D462">
        <v>2013</v>
      </c>
      <c r="E462" t="s">
        <v>40</v>
      </c>
      <c r="F462" t="s">
        <v>643</v>
      </c>
      <c r="H462" t="s">
        <v>644</v>
      </c>
      <c r="I462">
        <v>6</v>
      </c>
      <c r="J462" t="s">
        <v>135</v>
      </c>
      <c r="K462">
        <v>4</v>
      </c>
      <c r="L462" t="s">
        <v>44</v>
      </c>
      <c r="M462">
        <v>3.5</v>
      </c>
      <c r="N462" t="s">
        <v>45</v>
      </c>
      <c r="Q462" t="s">
        <v>62</v>
      </c>
      <c r="R462" t="s">
        <v>225</v>
      </c>
      <c r="S462" t="s">
        <v>49</v>
      </c>
      <c r="T462">
        <v>266</v>
      </c>
      <c r="U462" t="s">
        <v>50</v>
      </c>
      <c r="V462" t="s">
        <v>76</v>
      </c>
      <c r="W462" t="s">
        <v>290</v>
      </c>
      <c r="X462" t="s">
        <v>141</v>
      </c>
      <c r="Y462" t="s">
        <v>78</v>
      </c>
      <c r="AA462">
        <v>0</v>
      </c>
      <c r="AB462" t="s">
        <v>79</v>
      </c>
      <c r="AC462" t="s">
        <v>225</v>
      </c>
      <c r="AD462">
        <v>36</v>
      </c>
      <c r="AE462">
        <v>9</v>
      </c>
      <c r="AF462">
        <v>3</v>
      </c>
      <c r="AG462">
        <v>2025</v>
      </c>
      <c r="AH462" s="2">
        <v>2700</v>
      </c>
      <c r="AI462" s="2">
        <v>2906.27294921875</v>
      </c>
      <c r="AJ462" s="2">
        <f t="shared" si="56"/>
        <v>206.27294921875</v>
      </c>
      <c r="AK462" s="6">
        <f t="shared" si="57"/>
        <v>7.6397388599537042E-2</v>
      </c>
      <c r="AL462" s="12">
        <v>2700</v>
      </c>
      <c r="AM462" s="12">
        <v>2844.222391947133</v>
      </c>
      <c r="AN462" s="12">
        <f t="shared" si="58"/>
        <v>144.22239194713302</v>
      </c>
      <c r="AO462" s="13">
        <f t="shared" si="59"/>
        <v>5.3415700721160378E-2</v>
      </c>
      <c r="AP462" s="16">
        <v>2700</v>
      </c>
      <c r="AQ462" s="16">
        <v>2171.9973943476011</v>
      </c>
      <c r="AR462" s="16">
        <f t="shared" si="60"/>
        <v>528.00260565239887</v>
      </c>
      <c r="AS462" s="17">
        <f t="shared" si="61"/>
        <v>0.19555652061199957</v>
      </c>
      <c r="AT462" s="20">
        <v>2700</v>
      </c>
      <c r="AU462" s="20">
        <v>2944.9365234375</v>
      </c>
      <c r="AV462" s="20">
        <f t="shared" si="62"/>
        <v>244.9365234375</v>
      </c>
      <c r="AW462" s="21">
        <f t="shared" si="63"/>
        <v>9.0717230902777779E-2</v>
      </c>
    </row>
    <row r="463" spans="1:49" x14ac:dyDescent="0.25">
      <c r="A463" t="s">
        <v>38</v>
      </c>
      <c r="B463" t="s">
        <v>96</v>
      </c>
      <c r="C463">
        <v>93157</v>
      </c>
      <c r="D463">
        <v>2022</v>
      </c>
      <c r="E463" t="s">
        <v>97</v>
      </c>
      <c r="F463" t="s">
        <v>752</v>
      </c>
      <c r="G463" t="s">
        <v>160</v>
      </c>
      <c r="H463" t="s">
        <v>312</v>
      </c>
      <c r="I463">
        <v>8</v>
      </c>
      <c r="J463" t="s">
        <v>72</v>
      </c>
      <c r="K463">
        <v>4</v>
      </c>
      <c r="L463" t="s">
        <v>44</v>
      </c>
      <c r="M463">
        <v>6.6</v>
      </c>
      <c r="N463" t="s">
        <v>73</v>
      </c>
      <c r="O463" t="s">
        <v>46</v>
      </c>
      <c r="Q463" t="s">
        <v>74</v>
      </c>
      <c r="R463" t="s">
        <v>92</v>
      </c>
      <c r="S463" t="s">
        <v>49</v>
      </c>
      <c r="U463" t="s">
        <v>50</v>
      </c>
      <c r="W463" t="s">
        <v>753</v>
      </c>
      <c r="X463" t="s">
        <v>260</v>
      </c>
      <c r="Y463" t="s">
        <v>103</v>
      </c>
      <c r="AA463">
        <v>0</v>
      </c>
      <c r="AB463" t="s">
        <v>79</v>
      </c>
      <c r="AC463" t="s">
        <v>261</v>
      </c>
      <c r="AD463">
        <v>36</v>
      </c>
      <c r="AE463">
        <v>9</v>
      </c>
      <c r="AF463">
        <v>3</v>
      </c>
      <c r="AG463">
        <v>2025</v>
      </c>
      <c r="AH463" s="2">
        <v>25000</v>
      </c>
      <c r="AI463" s="2">
        <v>26349.388671875</v>
      </c>
      <c r="AJ463" s="2">
        <f t="shared" si="56"/>
        <v>1349.388671875</v>
      </c>
      <c r="AK463" s="6">
        <f t="shared" si="57"/>
        <v>5.3975546875000002E-2</v>
      </c>
      <c r="AL463" s="12">
        <v>25000</v>
      </c>
      <c r="AM463" s="12">
        <v>28250.72908213417</v>
      </c>
      <c r="AN463" s="12">
        <f t="shared" si="58"/>
        <v>3250.7290821341703</v>
      </c>
      <c r="AO463" s="13">
        <f t="shared" si="59"/>
        <v>0.13002916328536682</v>
      </c>
      <c r="AP463" s="16">
        <v>25000</v>
      </c>
      <c r="AQ463" s="16">
        <v>25518.884256543119</v>
      </c>
      <c r="AR463" s="16">
        <f t="shared" si="60"/>
        <v>518.88425654311868</v>
      </c>
      <c r="AS463" s="17">
        <f t="shared" si="61"/>
        <v>2.0755370261724748E-2</v>
      </c>
      <c r="AT463" s="20">
        <v>25000</v>
      </c>
      <c r="AU463" s="20">
        <v>26447.75390625</v>
      </c>
      <c r="AV463" s="20">
        <f t="shared" si="62"/>
        <v>1447.75390625</v>
      </c>
      <c r="AW463" s="21">
        <f t="shared" si="63"/>
        <v>5.7910156249999997E-2</v>
      </c>
    </row>
    <row r="464" spans="1:49" x14ac:dyDescent="0.25">
      <c r="A464" t="s">
        <v>38</v>
      </c>
      <c r="B464" t="s">
        <v>96</v>
      </c>
      <c r="C464">
        <v>73436</v>
      </c>
      <c r="D464">
        <v>2020</v>
      </c>
      <c r="E464" t="s">
        <v>132</v>
      </c>
      <c r="F464" t="s">
        <v>133</v>
      </c>
      <c r="H464" t="s">
        <v>636</v>
      </c>
      <c r="I464">
        <v>4</v>
      </c>
      <c r="J464" t="s">
        <v>61</v>
      </c>
      <c r="K464">
        <v>4</v>
      </c>
      <c r="L464" t="s">
        <v>44</v>
      </c>
      <c r="M464">
        <v>2</v>
      </c>
      <c r="N464" t="s">
        <v>73</v>
      </c>
      <c r="O464" t="s">
        <v>46</v>
      </c>
      <c r="P464">
        <v>2</v>
      </c>
      <c r="Q464" t="s">
        <v>47</v>
      </c>
      <c r="R464" t="s">
        <v>123</v>
      </c>
      <c r="U464" t="s">
        <v>50</v>
      </c>
      <c r="V464" t="s">
        <v>51</v>
      </c>
      <c r="W464" t="s">
        <v>796</v>
      </c>
      <c r="X464" t="s">
        <v>125</v>
      </c>
      <c r="Y464" t="s">
        <v>137</v>
      </c>
      <c r="Z464">
        <v>54050</v>
      </c>
      <c r="AA464">
        <v>0</v>
      </c>
      <c r="AB464" t="s">
        <v>79</v>
      </c>
      <c r="AC464" t="s">
        <v>127</v>
      </c>
      <c r="AD464">
        <v>36</v>
      </c>
      <c r="AE464">
        <v>9</v>
      </c>
      <c r="AF464">
        <v>3</v>
      </c>
      <c r="AG464">
        <v>2025</v>
      </c>
      <c r="AH464" s="2">
        <v>16500</v>
      </c>
      <c r="AI464" s="2">
        <v>12113.9208984375</v>
      </c>
      <c r="AJ464" s="2">
        <f t="shared" si="56"/>
        <v>4386.0791015625</v>
      </c>
      <c r="AK464" s="6">
        <f t="shared" si="57"/>
        <v>0.26582297585227271</v>
      </c>
      <c r="AL464" s="12">
        <v>16500</v>
      </c>
      <c r="AM464" s="12">
        <v>11297.59828327413</v>
      </c>
      <c r="AN464" s="12">
        <f t="shared" si="58"/>
        <v>5202.4017167258698</v>
      </c>
      <c r="AO464" s="13">
        <f t="shared" si="59"/>
        <v>0.31529707374096183</v>
      </c>
      <c r="AP464" s="16">
        <v>16500</v>
      </c>
      <c r="AQ464" s="16">
        <v>12415.003941285509</v>
      </c>
      <c r="AR464" s="16">
        <f t="shared" si="60"/>
        <v>4084.9960587144906</v>
      </c>
      <c r="AS464" s="17">
        <f t="shared" si="61"/>
        <v>0.24757551870996913</v>
      </c>
      <c r="AT464" s="20">
        <v>16500</v>
      </c>
      <c r="AU464" s="20">
        <v>12025.3857421875</v>
      </c>
      <c r="AV464" s="20">
        <f t="shared" si="62"/>
        <v>4474.6142578125</v>
      </c>
      <c r="AW464" s="21">
        <f t="shared" si="63"/>
        <v>0.27118874289772726</v>
      </c>
    </row>
    <row r="465" spans="1:49" x14ac:dyDescent="0.25">
      <c r="A465" t="s">
        <v>128</v>
      </c>
      <c r="B465" t="s">
        <v>309</v>
      </c>
      <c r="C465">
        <v>116769</v>
      </c>
      <c r="D465">
        <v>2015</v>
      </c>
      <c r="E465" t="s">
        <v>146</v>
      </c>
      <c r="F465" t="s">
        <v>451</v>
      </c>
      <c r="I465">
        <v>4</v>
      </c>
      <c r="J465" t="s">
        <v>122</v>
      </c>
      <c r="K465">
        <v>4</v>
      </c>
      <c r="L465" t="s">
        <v>44</v>
      </c>
      <c r="M465">
        <v>1.6</v>
      </c>
      <c r="N465" t="s">
        <v>45</v>
      </c>
      <c r="O465" t="s">
        <v>46</v>
      </c>
      <c r="P465">
        <v>1</v>
      </c>
      <c r="Q465" t="s">
        <v>47</v>
      </c>
      <c r="R465" t="s">
        <v>123</v>
      </c>
      <c r="S465" t="s">
        <v>101</v>
      </c>
      <c r="U465" t="s">
        <v>50</v>
      </c>
      <c r="X465" t="s">
        <v>125</v>
      </c>
      <c r="Y465" t="s">
        <v>126</v>
      </c>
      <c r="AA465">
        <v>0</v>
      </c>
      <c r="AB465" t="s">
        <v>79</v>
      </c>
      <c r="AC465" t="s">
        <v>127</v>
      </c>
      <c r="AD465">
        <v>36</v>
      </c>
      <c r="AE465">
        <v>9</v>
      </c>
      <c r="AF465">
        <v>3</v>
      </c>
      <c r="AG465">
        <v>2025</v>
      </c>
      <c r="AH465" s="2">
        <v>1100</v>
      </c>
      <c r="AI465" s="2">
        <v>1300.225708007812</v>
      </c>
      <c r="AJ465" s="2">
        <f t="shared" si="56"/>
        <v>200.22570800781205</v>
      </c>
      <c r="AK465" s="6">
        <f t="shared" si="57"/>
        <v>0.18202337091619278</v>
      </c>
      <c r="AL465" s="12">
        <v>1100</v>
      </c>
      <c r="AM465" s="12">
        <v>1611.808855766237</v>
      </c>
      <c r="AN465" s="12">
        <f t="shared" si="58"/>
        <v>511.808855766237</v>
      </c>
      <c r="AO465" s="13">
        <f t="shared" si="59"/>
        <v>0.46528077796930639</v>
      </c>
      <c r="AP465" s="16">
        <v>1100</v>
      </c>
      <c r="AQ465" s="16">
        <v>1255.467497806017</v>
      </c>
      <c r="AR465" s="16">
        <f t="shared" si="60"/>
        <v>155.46749780601704</v>
      </c>
      <c r="AS465" s="17">
        <f t="shared" si="61"/>
        <v>0.14133408891456095</v>
      </c>
      <c r="AT465" s="20">
        <v>1100</v>
      </c>
      <c r="AU465" s="20">
        <v>1300.993530273438</v>
      </c>
      <c r="AV465" s="20">
        <f t="shared" si="62"/>
        <v>200.99353027343795</v>
      </c>
      <c r="AW465" s="21">
        <f t="shared" si="63"/>
        <v>0.18272139115767086</v>
      </c>
    </row>
    <row r="466" spans="1:49" x14ac:dyDescent="0.25">
      <c r="A466" t="s">
        <v>128</v>
      </c>
      <c r="B466" t="s">
        <v>129</v>
      </c>
      <c r="C466">
        <v>115532</v>
      </c>
      <c r="D466">
        <v>2015</v>
      </c>
      <c r="E466" t="s">
        <v>263</v>
      </c>
      <c r="F466" t="s">
        <v>264</v>
      </c>
      <c r="G466" t="s">
        <v>265</v>
      </c>
      <c r="I466">
        <v>4</v>
      </c>
      <c r="J466" t="s">
        <v>122</v>
      </c>
      <c r="K466">
        <v>4</v>
      </c>
      <c r="L466" t="s">
        <v>44</v>
      </c>
      <c r="M466">
        <v>2.5</v>
      </c>
      <c r="N466" t="s">
        <v>45</v>
      </c>
      <c r="Q466" t="s">
        <v>62</v>
      </c>
      <c r="R466" t="s">
        <v>63</v>
      </c>
      <c r="S466" t="s">
        <v>49</v>
      </c>
      <c r="U466" t="s">
        <v>50</v>
      </c>
      <c r="V466" t="s">
        <v>51</v>
      </c>
      <c r="W466" t="s">
        <v>266</v>
      </c>
      <c r="X466" t="s">
        <v>65</v>
      </c>
      <c r="Y466" t="s">
        <v>54</v>
      </c>
      <c r="AA466">
        <v>0</v>
      </c>
      <c r="AB466" t="s">
        <v>79</v>
      </c>
      <c r="AC466" t="s">
        <v>87</v>
      </c>
      <c r="AD466">
        <v>36</v>
      </c>
      <c r="AE466">
        <v>9</v>
      </c>
      <c r="AF466">
        <v>3</v>
      </c>
      <c r="AG466">
        <v>2025</v>
      </c>
      <c r="AH466" s="2">
        <v>8300</v>
      </c>
      <c r="AI466" s="2">
        <v>6648.84033203125</v>
      </c>
      <c r="AJ466" s="2">
        <f t="shared" si="56"/>
        <v>1651.15966796875</v>
      </c>
      <c r="AK466" s="6">
        <f t="shared" si="57"/>
        <v>0.19893489975527109</v>
      </c>
      <c r="AL466" s="12">
        <v>8300</v>
      </c>
      <c r="AM466" s="12">
        <v>4663.5964361879469</v>
      </c>
      <c r="AN466" s="12">
        <f t="shared" si="58"/>
        <v>3636.4035638120531</v>
      </c>
      <c r="AO466" s="13">
        <f t="shared" si="59"/>
        <v>0.43812091130265701</v>
      </c>
      <c r="AP466" s="16">
        <v>8300</v>
      </c>
      <c r="AQ466" s="16">
        <v>4943.6266107921974</v>
      </c>
      <c r="AR466" s="16">
        <f t="shared" si="60"/>
        <v>3356.3733892078026</v>
      </c>
      <c r="AS466" s="17">
        <f t="shared" si="61"/>
        <v>0.40438233604913282</v>
      </c>
      <c r="AT466" s="20">
        <v>8300</v>
      </c>
      <c r="AU466" s="20">
        <v>6488.12255859375</v>
      </c>
      <c r="AV466" s="20">
        <f t="shared" si="62"/>
        <v>1811.87744140625</v>
      </c>
      <c r="AW466" s="21">
        <f t="shared" si="63"/>
        <v>0.21829848691641565</v>
      </c>
    </row>
    <row r="467" spans="1:49" x14ac:dyDescent="0.25">
      <c r="A467" t="s">
        <v>38</v>
      </c>
      <c r="B467" t="s">
        <v>96</v>
      </c>
      <c r="C467">
        <v>76325</v>
      </c>
      <c r="D467">
        <v>2019</v>
      </c>
      <c r="E467" t="s">
        <v>97</v>
      </c>
      <c r="F467" t="s">
        <v>154</v>
      </c>
      <c r="G467" t="s">
        <v>797</v>
      </c>
      <c r="I467">
        <v>6</v>
      </c>
      <c r="J467" t="s">
        <v>61</v>
      </c>
      <c r="K467">
        <v>4</v>
      </c>
      <c r="L467" t="s">
        <v>44</v>
      </c>
      <c r="M467">
        <v>3.6</v>
      </c>
      <c r="N467" t="s">
        <v>73</v>
      </c>
      <c r="O467" t="s">
        <v>46</v>
      </c>
      <c r="Q467" t="s">
        <v>74</v>
      </c>
      <c r="R467" t="s">
        <v>92</v>
      </c>
      <c r="S467" t="s">
        <v>49</v>
      </c>
      <c r="U467" t="s">
        <v>50</v>
      </c>
      <c r="V467" t="s">
        <v>76</v>
      </c>
      <c r="W467" t="s">
        <v>461</v>
      </c>
      <c r="X467" t="s">
        <v>141</v>
      </c>
      <c r="Y467" t="s">
        <v>78</v>
      </c>
      <c r="Z467">
        <v>34995</v>
      </c>
      <c r="AA467">
        <v>0</v>
      </c>
      <c r="AB467" t="s">
        <v>79</v>
      </c>
      <c r="AC467" t="s">
        <v>95</v>
      </c>
      <c r="AD467">
        <v>36</v>
      </c>
      <c r="AE467">
        <v>9</v>
      </c>
      <c r="AF467">
        <v>3</v>
      </c>
      <c r="AG467">
        <v>2025</v>
      </c>
      <c r="AH467" s="2">
        <v>20500</v>
      </c>
      <c r="AI467" s="2">
        <v>18232.2265625</v>
      </c>
      <c r="AJ467" s="2">
        <f t="shared" si="56"/>
        <v>2267.7734375</v>
      </c>
      <c r="AK467" s="6">
        <f t="shared" si="57"/>
        <v>0.11062309451219512</v>
      </c>
      <c r="AL467" s="12">
        <v>20500</v>
      </c>
      <c r="AM467" s="12">
        <v>16569.61561729811</v>
      </c>
      <c r="AN467" s="12">
        <f t="shared" si="58"/>
        <v>3930.38438270189</v>
      </c>
      <c r="AO467" s="13">
        <f t="shared" si="59"/>
        <v>0.19172606744887269</v>
      </c>
      <c r="AP467" s="16">
        <v>20500</v>
      </c>
      <c r="AQ467" s="16">
        <v>18584.60067797231</v>
      </c>
      <c r="AR467" s="16">
        <f t="shared" si="60"/>
        <v>1915.3993220276898</v>
      </c>
      <c r="AS467" s="17">
        <f t="shared" si="61"/>
        <v>9.3434113269643404E-2</v>
      </c>
      <c r="AT467" s="20">
        <v>20500</v>
      </c>
      <c r="AU467" s="20">
        <v>17759.732421875</v>
      </c>
      <c r="AV467" s="20">
        <f t="shared" si="62"/>
        <v>2740.267578125</v>
      </c>
      <c r="AW467" s="21">
        <f t="shared" si="63"/>
        <v>0.13367158917682928</v>
      </c>
    </row>
    <row r="468" spans="1:49" x14ac:dyDescent="0.25">
      <c r="A468" t="s">
        <v>128</v>
      </c>
      <c r="B468" t="s">
        <v>210</v>
      </c>
      <c r="C468">
        <v>119071</v>
      </c>
      <c r="D468">
        <v>2016</v>
      </c>
      <c r="E468" t="s">
        <v>69</v>
      </c>
      <c r="F468" t="s">
        <v>157</v>
      </c>
      <c r="G468" t="s">
        <v>105</v>
      </c>
      <c r="I468">
        <v>6</v>
      </c>
      <c r="J468" t="s">
        <v>72</v>
      </c>
      <c r="K468">
        <v>4</v>
      </c>
      <c r="L468" t="s">
        <v>44</v>
      </c>
      <c r="M468">
        <v>3.5</v>
      </c>
      <c r="N468" t="s">
        <v>45</v>
      </c>
      <c r="O468" t="s">
        <v>46</v>
      </c>
      <c r="Q468" t="s">
        <v>62</v>
      </c>
      <c r="R468" t="s">
        <v>63</v>
      </c>
      <c r="S468" t="s">
        <v>101</v>
      </c>
      <c r="T468">
        <v>290</v>
      </c>
      <c r="U468" t="s">
        <v>50</v>
      </c>
      <c r="V468" t="s">
        <v>76</v>
      </c>
      <c r="X468" t="s">
        <v>94</v>
      </c>
      <c r="Y468" t="s">
        <v>78</v>
      </c>
      <c r="AA468">
        <v>0</v>
      </c>
      <c r="AB468" t="s">
        <v>79</v>
      </c>
      <c r="AC468" t="s">
        <v>87</v>
      </c>
      <c r="AD468">
        <v>36</v>
      </c>
      <c r="AE468">
        <v>9</v>
      </c>
      <c r="AF468">
        <v>3</v>
      </c>
      <c r="AG468">
        <v>2025</v>
      </c>
      <c r="AH468" s="2">
        <v>4800</v>
      </c>
      <c r="AI468" s="2">
        <v>7209.46923828125</v>
      </c>
      <c r="AJ468" s="2">
        <f t="shared" si="56"/>
        <v>2409.46923828125</v>
      </c>
      <c r="AK468" s="6">
        <f t="shared" si="57"/>
        <v>0.50197275797526042</v>
      </c>
      <c r="AL468" s="12">
        <v>4800</v>
      </c>
      <c r="AM468" s="12">
        <v>7399.1240050068782</v>
      </c>
      <c r="AN468" s="12">
        <f t="shared" si="58"/>
        <v>2599.1240050068782</v>
      </c>
      <c r="AO468" s="13">
        <f t="shared" si="59"/>
        <v>0.54148416770976626</v>
      </c>
      <c r="AP468" s="16">
        <v>4800</v>
      </c>
      <c r="AQ468" s="16">
        <v>6627.6458569208926</v>
      </c>
      <c r="AR468" s="16">
        <f t="shared" si="60"/>
        <v>1827.6458569208926</v>
      </c>
      <c r="AS468" s="17">
        <f t="shared" si="61"/>
        <v>0.38075955352518598</v>
      </c>
      <c r="AT468" s="20">
        <v>4800</v>
      </c>
      <c r="AU468" s="20">
        <v>7294.02587890625</v>
      </c>
      <c r="AV468" s="20">
        <f t="shared" si="62"/>
        <v>2494.02587890625</v>
      </c>
      <c r="AW468" s="21">
        <f t="shared" si="63"/>
        <v>0.51958872477213547</v>
      </c>
    </row>
    <row r="469" spans="1:49" x14ac:dyDescent="0.25">
      <c r="A469" t="s">
        <v>128</v>
      </c>
      <c r="B469" t="s">
        <v>129</v>
      </c>
      <c r="C469">
        <v>142047</v>
      </c>
      <c r="D469">
        <v>2015</v>
      </c>
      <c r="E469" t="s">
        <v>166</v>
      </c>
      <c r="F469" t="s">
        <v>562</v>
      </c>
      <c r="G469" t="s">
        <v>581</v>
      </c>
      <c r="I469">
        <v>4</v>
      </c>
      <c r="J469" t="s">
        <v>106</v>
      </c>
      <c r="K469">
        <v>4</v>
      </c>
      <c r="L469" t="s">
        <v>44</v>
      </c>
      <c r="M469">
        <v>2.4</v>
      </c>
      <c r="N469" t="s">
        <v>45</v>
      </c>
      <c r="O469" t="s">
        <v>46</v>
      </c>
      <c r="Q469" t="s">
        <v>47</v>
      </c>
      <c r="R469" t="s">
        <v>123</v>
      </c>
      <c r="T469">
        <v>185</v>
      </c>
      <c r="U469" t="s">
        <v>50</v>
      </c>
      <c r="V469" t="s">
        <v>51</v>
      </c>
      <c r="W469" t="s">
        <v>614</v>
      </c>
      <c r="X469" t="s">
        <v>65</v>
      </c>
      <c r="Y469" t="s">
        <v>78</v>
      </c>
      <c r="AA469">
        <v>0</v>
      </c>
      <c r="AB469" t="s">
        <v>79</v>
      </c>
      <c r="AC469" t="s">
        <v>127</v>
      </c>
      <c r="AD469">
        <v>36</v>
      </c>
      <c r="AE469">
        <v>9</v>
      </c>
      <c r="AF469">
        <v>3</v>
      </c>
      <c r="AG469">
        <v>2025</v>
      </c>
      <c r="AH469" s="2">
        <v>7100</v>
      </c>
      <c r="AI469" s="2">
        <v>6516.09912109375</v>
      </c>
      <c r="AJ469" s="2">
        <f t="shared" si="56"/>
        <v>583.90087890625</v>
      </c>
      <c r="AK469" s="6">
        <f t="shared" si="57"/>
        <v>8.2239560409330989E-2</v>
      </c>
      <c r="AL469" s="12">
        <v>7100</v>
      </c>
      <c r="AM469" s="12">
        <v>5731.663168102963</v>
      </c>
      <c r="AN469" s="12">
        <f t="shared" si="58"/>
        <v>1368.336831897037</v>
      </c>
      <c r="AO469" s="13">
        <f t="shared" si="59"/>
        <v>0.19272349745028688</v>
      </c>
      <c r="AP469" s="16">
        <v>7100</v>
      </c>
      <c r="AQ469" s="16">
        <v>4855.5091347901252</v>
      </c>
      <c r="AR469" s="16">
        <f t="shared" si="60"/>
        <v>2244.4908652098748</v>
      </c>
      <c r="AS469" s="17">
        <f t="shared" si="61"/>
        <v>0.31612547397322177</v>
      </c>
      <c r="AT469" s="20">
        <v>7100</v>
      </c>
      <c r="AU469" s="20">
        <v>6424.9072265625</v>
      </c>
      <c r="AV469" s="20">
        <f t="shared" si="62"/>
        <v>675.0927734375</v>
      </c>
      <c r="AW469" s="21">
        <f t="shared" si="63"/>
        <v>9.50834892165493E-2</v>
      </c>
    </row>
    <row r="470" spans="1:49" x14ac:dyDescent="0.25">
      <c r="A470" t="s">
        <v>128</v>
      </c>
      <c r="B470" t="s">
        <v>271</v>
      </c>
      <c r="C470">
        <v>125471</v>
      </c>
      <c r="D470">
        <v>2015</v>
      </c>
      <c r="E470" t="s">
        <v>403</v>
      </c>
      <c r="F470" t="s">
        <v>554</v>
      </c>
      <c r="G470" t="s">
        <v>405</v>
      </c>
      <c r="I470">
        <v>8</v>
      </c>
      <c r="J470" t="s">
        <v>61</v>
      </c>
      <c r="K470">
        <v>4</v>
      </c>
      <c r="L470" t="s">
        <v>44</v>
      </c>
      <c r="M470">
        <v>6.2</v>
      </c>
      <c r="N470" t="s">
        <v>91</v>
      </c>
      <c r="Q470" t="s">
        <v>62</v>
      </c>
      <c r="R470" t="s">
        <v>63</v>
      </c>
      <c r="S470" t="s">
        <v>93</v>
      </c>
      <c r="U470" t="s">
        <v>50</v>
      </c>
      <c r="W470" t="s">
        <v>798</v>
      </c>
      <c r="X470" t="s">
        <v>108</v>
      </c>
      <c r="Y470" t="s">
        <v>78</v>
      </c>
      <c r="AA470">
        <v>0</v>
      </c>
      <c r="AB470" t="s">
        <v>79</v>
      </c>
      <c r="AC470" t="s">
        <v>87</v>
      </c>
      <c r="AD470">
        <v>36</v>
      </c>
      <c r="AE470">
        <v>9</v>
      </c>
      <c r="AF470">
        <v>3</v>
      </c>
      <c r="AG470">
        <v>2025</v>
      </c>
      <c r="AH470" s="2">
        <v>14600</v>
      </c>
      <c r="AI470" s="2">
        <v>17284.375</v>
      </c>
      <c r="AJ470" s="2">
        <f t="shared" si="56"/>
        <v>2684.375</v>
      </c>
      <c r="AK470" s="6">
        <f t="shared" si="57"/>
        <v>0.18386130136986301</v>
      </c>
      <c r="AL470" s="12">
        <v>14600</v>
      </c>
      <c r="AM470" s="12">
        <v>15351.20997490214</v>
      </c>
      <c r="AN470" s="12">
        <f t="shared" si="58"/>
        <v>751.20997490213995</v>
      </c>
      <c r="AO470" s="13">
        <f t="shared" si="59"/>
        <v>5.1452738006995888E-2</v>
      </c>
      <c r="AP470" s="16">
        <v>14600</v>
      </c>
      <c r="AQ470" s="16">
        <v>13807.519798383109</v>
      </c>
      <c r="AR470" s="16">
        <f t="shared" si="60"/>
        <v>792.48020161689055</v>
      </c>
      <c r="AS470" s="17">
        <f t="shared" si="61"/>
        <v>5.4279465864170588E-2</v>
      </c>
      <c r="AT470" s="20">
        <v>14600</v>
      </c>
      <c r="AU470" s="20">
        <v>16745.818359375</v>
      </c>
      <c r="AV470" s="20">
        <f t="shared" si="62"/>
        <v>2145.818359375</v>
      </c>
      <c r="AW470" s="21">
        <f t="shared" si="63"/>
        <v>0.14697386023116438</v>
      </c>
    </row>
    <row r="471" spans="1:49" x14ac:dyDescent="0.25">
      <c r="A471" t="s">
        <v>128</v>
      </c>
      <c r="B471" t="s">
        <v>129</v>
      </c>
      <c r="C471">
        <v>157887</v>
      </c>
      <c r="D471">
        <v>2018</v>
      </c>
      <c r="E471" t="s">
        <v>116</v>
      </c>
      <c r="F471" t="s">
        <v>251</v>
      </c>
      <c r="H471" t="s">
        <v>799</v>
      </c>
      <c r="I471">
        <v>6</v>
      </c>
      <c r="J471" t="s">
        <v>135</v>
      </c>
      <c r="K471">
        <v>4</v>
      </c>
      <c r="L471" t="s">
        <v>44</v>
      </c>
      <c r="M471">
        <v>3.6</v>
      </c>
      <c r="N471" t="s">
        <v>45</v>
      </c>
      <c r="O471" t="s">
        <v>46</v>
      </c>
      <c r="P471">
        <v>2</v>
      </c>
      <c r="Q471" t="s">
        <v>62</v>
      </c>
      <c r="R471" t="s">
        <v>63</v>
      </c>
      <c r="S471" t="s">
        <v>101</v>
      </c>
      <c r="T471">
        <v>283</v>
      </c>
      <c r="U471" t="s">
        <v>50</v>
      </c>
      <c r="V471" t="s">
        <v>76</v>
      </c>
      <c r="X471" t="s">
        <v>141</v>
      </c>
      <c r="Y471" t="s">
        <v>126</v>
      </c>
      <c r="Z471">
        <v>33095</v>
      </c>
      <c r="AA471">
        <v>0</v>
      </c>
      <c r="AB471" t="s">
        <v>79</v>
      </c>
      <c r="AC471" t="s">
        <v>87</v>
      </c>
      <c r="AD471">
        <v>36</v>
      </c>
      <c r="AE471">
        <v>9</v>
      </c>
      <c r="AF471">
        <v>3</v>
      </c>
      <c r="AG471">
        <v>2025</v>
      </c>
      <c r="AH471" s="2">
        <v>1600</v>
      </c>
      <c r="AI471" s="2">
        <v>1759.037963867188</v>
      </c>
      <c r="AJ471" s="2">
        <f t="shared" si="56"/>
        <v>159.03796386718795</v>
      </c>
      <c r="AK471" s="6">
        <f t="shared" si="57"/>
        <v>9.9398727416992474E-2</v>
      </c>
      <c r="AL471" s="12">
        <v>1600</v>
      </c>
      <c r="AM471" s="12">
        <v>2899.2108984716542</v>
      </c>
      <c r="AN471" s="12">
        <f t="shared" si="58"/>
        <v>1299.2108984716542</v>
      </c>
      <c r="AO471" s="13">
        <f t="shared" si="59"/>
        <v>0.81200681154478394</v>
      </c>
      <c r="AP471" s="16">
        <v>1600</v>
      </c>
      <c r="AQ471" s="16">
        <v>2243.267734918722</v>
      </c>
      <c r="AR471" s="16">
        <f t="shared" si="60"/>
        <v>643.267734918722</v>
      </c>
      <c r="AS471" s="17">
        <f t="shared" si="61"/>
        <v>0.40204233432420122</v>
      </c>
      <c r="AT471" s="20">
        <v>1600</v>
      </c>
      <c r="AU471" s="20">
        <v>1838.218505859375</v>
      </c>
      <c r="AV471" s="20">
        <f t="shared" si="62"/>
        <v>238.218505859375</v>
      </c>
      <c r="AW471" s="21">
        <f t="shared" si="63"/>
        <v>0.14888656616210938</v>
      </c>
    </row>
    <row r="472" spans="1:49" x14ac:dyDescent="0.25">
      <c r="A472" t="s">
        <v>38</v>
      </c>
      <c r="B472" t="s">
        <v>39</v>
      </c>
      <c r="C472">
        <v>187404</v>
      </c>
      <c r="D472">
        <v>2012</v>
      </c>
      <c r="E472" t="s">
        <v>166</v>
      </c>
      <c r="F472" t="s">
        <v>628</v>
      </c>
      <c r="G472" t="s">
        <v>240</v>
      </c>
      <c r="I472">
        <v>4</v>
      </c>
      <c r="J472" t="s">
        <v>106</v>
      </c>
      <c r="K472">
        <v>4</v>
      </c>
      <c r="L472" t="s">
        <v>44</v>
      </c>
      <c r="M472">
        <v>1.8</v>
      </c>
      <c r="N472" t="s">
        <v>45</v>
      </c>
      <c r="O472" t="s">
        <v>190</v>
      </c>
      <c r="Q472" t="s">
        <v>47</v>
      </c>
      <c r="R472" t="s">
        <v>123</v>
      </c>
      <c r="T472">
        <v>140</v>
      </c>
      <c r="U472" t="s">
        <v>50</v>
      </c>
      <c r="V472" t="s">
        <v>51</v>
      </c>
      <c r="W472" t="s">
        <v>629</v>
      </c>
      <c r="X472" t="s">
        <v>53</v>
      </c>
      <c r="Y472" t="s">
        <v>78</v>
      </c>
      <c r="AA472">
        <v>0</v>
      </c>
      <c r="AB472" t="s">
        <v>79</v>
      </c>
      <c r="AC472" t="s">
        <v>127</v>
      </c>
      <c r="AD472">
        <v>36</v>
      </c>
      <c r="AE472">
        <v>9</v>
      </c>
      <c r="AF472">
        <v>3</v>
      </c>
      <c r="AG472">
        <v>2025</v>
      </c>
      <c r="AH472" s="2">
        <v>2300</v>
      </c>
      <c r="AI472" s="2">
        <v>1322.944946289062</v>
      </c>
      <c r="AJ472" s="2">
        <f t="shared" si="56"/>
        <v>977.05505371093795</v>
      </c>
      <c r="AK472" s="6">
        <f t="shared" si="57"/>
        <v>0.42480654509171217</v>
      </c>
      <c r="AL472" s="12">
        <v>2300</v>
      </c>
      <c r="AM472" s="12">
        <v>1090.925506512717</v>
      </c>
      <c r="AN472" s="12">
        <f t="shared" si="58"/>
        <v>1209.074493487283</v>
      </c>
      <c r="AO472" s="13">
        <f t="shared" si="59"/>
        <v>0.52568456238577521</v>
      </c>
      <c r="AP472" s="16">
        <v>2300</v>
      </c>
      <c r="AQ472" s="16">
        <v>870.79486141337918</v>
      </c>
      <c r="AR472" s="16">
        <f t="shared" si="60"/>
        <v>1429.2051385866207</v>
      </c>
      <c r="AS472" s="17">
        <f t="shared" si="61"/>
        <v>0.62139353851592205</v>
      </c>
      <c r="AT472" s="20">
        <v>2300</v>
      </c>
      <c r="AU472" s="20">
        <v>1228.828125</v>
      </c>
      <c r="AV472" s="20">
        <f t="shared" si="62"/>
        <v>1071.171875</v>
      </c>
      <c r="AW472" s="21">
        <f t="shared" si="63"/>
        <v>0.46572690217391305</v>
      </c>
    </row>
    <row r="473" spans="1:49" x14ac:dyDescent="0.25">
      <c r="A473" t="s">
        <v>38</v>
      </c>
      <c r="B473" t="s">
        <v>96</v>
      </c>
      <c r="C473">
        <v>133941</v>
      </c>
      <c r="D473">
        <v>2017</v>
      </c>
      <c r="E473" t="s">
        <v>162</v>
      </c>
      <c r="F473" t="s">
        <v>800</v>
      </c>
      <c r="G473" t="s">
        <v>801</v>
      </c>
      <c r="I473">
        <v>4</v>
      </c>
      <c r="J473" t="s">
        <v>135</v>
      </c>
      <c r="K473">
        <v>3</v>
      </c>
      <c r="L473" t="s">
        <v>44</v>
      </c>
      <c r="M473">
        <v>1.6</v>
      </c>
      <c r="N473" t="s">
        <v>45</v>
      </c>
      <c r="O473" t="s">
        <v>100</v>
      </c>
      <c r="P473">
        <v>1</v>
      </c>
      <c r="Q473" t="s">
        <v>47</v>
      </c>
      <c r="R473" t="s">
        <v>197</v>
      </c>
      <c r="T473">
        <v>132</v>
      </c>
      <c r="U473" t="s">
        <v>50</v>
      </c>
      <c r="W473" t="s">
        <v>802</v>
      </c>
      <c r="X473" t="s">
        <v>125</v>
      </c>
      <c r="Y473" t="s">
        <v>66</v>
      </c>
      <c r="AA473">
        <v>0</v>
      </c>
      <c r="AB473" t="s">
        <v>79</v>
      </c>
      <c r="AC473" t="s">
        <v>197</v>
      </c>
      <c r="AD473">
        <v>36</v>
      </c>
      <c r="AE473">
        <v>9</v>
      </c>
      <c r="AF473">
        <v>3</v>
      </c>
      <c r="AG473">
        <v>2025</v>
      </c>
      <c r="AH473" s="2">
        <v>1800</v>
      </c>
      <c r="AI473" s="2">
        <v>1116.34814453125</v>
      </c>
      <c r="AJ473" s="2">
        <f t="shared" si="56"/>
        <v>683.65185546875</v>
      </c>
      <c r="AK473" s="6">
        <f t="shared" si="57"/>
        <v>0.37980658637152775</v>
      </c>
      <c r="AL473" s="12">
        <v>1800</v>
      </c>
      <c r="AM473" s="12">
        <v>1416.726351736072</v>
      </c>
      <c r="AN473" s="12">
        <f t="shared" si="58"/>
        <v>383.27364826392795</v>
      </c>
      <c r="AO473" s="13">
        <f t="shared" si="59"/>
        <v>0.21292980459107108</v>
      </c>
      <c r="AP473" s="16">
        <v>1800</v>
      </c>
      <c r="AQ473" s="16">
        <v>1081.368191827549</v>
      </c>
      <c r="AR473" s="16">
        <f t="shared" si="60"/>
        <v>718.63180817245097</v>
      </c>
      <c r="AS473" s="17">
        <f t="shared" si="61"/>
        <v>0.3992398934291394</v>
      </c>
      <c r="AT473" s="20">
        <v>1800</v>
      </c>
      <c r="AU473" s="20">
        <v>1125.732055664062</v>
      </c>
      <c r="AV473" s="20">
        <f t="shared" si="62"/>
        <v>674.26794433593795</v>
      </c>
      <c r="AW473" s="21">
        <f t="shared" si="63"/>
        <v>0.37459330240885441</v>
      </c>
    </row>
    <row r="474" spans="1:49" x14ac:dyDescent="0.25">
      <c r="A474" t="s">
        <v>81</v>
      </c>
      <c r="B474" t="s">
        <v>82</v>
      </c>
      <c r="C474">
        <v>121282</v>
      </c>
      <c r="D474">
        <v>2009</v>
      </c>
      <c r="E474" t="s">
        <v>146</v>
      </c>
      <c r="F474" t="s">
        <v>334</v>
      </c>
      <c r="I474">
        <v>4</v>
      </c>
      <c r="J474" t="s">
        <v>43</v>
      </c>
      <c r="K474">
        <v>4</v>
      </c>
      <c r="L474" t="s">
        <v>44</v>
      </c>
      <c r="M474">
        <v>2.5</v>
      </c>
      <c r="N474" t="s">
        <v>45</v>
      </c>
      <c r="O474" t="s">
        <v>46</v>
      </c>
      <c r="Q474" t="s">
        <v>47</v>
      </c>
      <c r="R474" t="s">
        <v>123</v>
      </c>
      <c r="S474" t="s">
        <v>49</v>
      </c>
      <c r="T474">
        <v>170</v>
      </c>
      <c r="U474" t="s">
        <v>50</v>
      </c>
      <c r="V474" t="s">
        <v>51</v>
      </c>
      <c r="W474" t="s">
        <v>803</v>
      </c>
      <c r="X474" t="s">
        <v>125</v>
      </c>
      <c r="Y474" t="s">
        <v>78</v>
      </c>
      <c r="AA474">
        <v>0</v>
      </c>
      <c r="AB474" t="s">
        <v>79</v>
      </c>
      <c r="AC474" t="s">
        <v>127</v>
      </c>
      <c r="AD474">
        <v>36</v>
      </c>
      <c r="AE474">
        <v>9</v>
      </c>
      <c r="AF474">
        <v>3</v>
      </c>
      <c r="AG474">
        <v>2025</v>
      </c>
      <c r="AH474" s="2">
        <v>1100</v>
      </c>
      <c r="AI474" s="2">
        <v>1034.608276367188</v>
      </c>
      <c r="AJ474" s="2">
        <f t="shared" si="56"/>
        <v>65.391723632812045</v>
      </c>
      <c r="AK474" s="6">
        <f t="shared" si="57"/>
        <v>5.9447021484374585E-2</v>
      </c>
      <c r="AL474" s="12">
        <v>1100</v>
      </c>
      <c r="AM474" s="12">
        <v>1327.809057254515</v>
      </c>
      <c r="AN474" s="12">
        <f t="shared" si="58"/>
        <v>227.80905725451498</v>
      </c>
      <c r="AO474" s="13">
        <f t="shared" si="59"/>
        <v>0.20709914295864998</v>
      </c>
      <c r="AP474" s="16">
        <v>1100</v>
      </c>
      <c r="AQ474" s="16">
        <v>1078.451919918971</v>
      </c>
      <c r="AR474" s="16">
        <f t="shared" si="60"/>
        <v>21.548080081028957</v>
      </c>
      <c r="AS474" s="17">
        <f t="shared" si="61"/>
        <v>1.9589163710026326E-2</v>
      </c>
      <c r="AT474" s="20">
        <v>1100</v>
      </c>
      <c r="AU474" s="20">
        <v>1048.521362304688</v>
      </c>
      <c r="AV474" s="20">
        <f t="shared" si="62"/>
        <v>51.478637695312045</v>
      </c>
      <c r="AW474" s="21">
        <f t="shared" si="63"/>
        <v>4.6798761541192765E-2</v>
      </c>
    </row>
    <row r="475" spans="1:49" x14ac:dyDescent="0.25">
      <c r="A475" t="s">
        <v>114</v>
      </c>
      <c r="B475" t="s">
        <v>115</v>
      </c>
      <c r="C475">
        <v>122678</v>
      </c>
      <c r="D475">
        <v>2003</v>
      </c>
      <c r="E475" t="s">
        <v>97</v>
      </c>
      <c r="F475" t="s">
        <v>804</v>
      </c>
      <c r="I475">
        <v>4</v>
      </c>
      <c r="J475" t="s">
        <v>178</v>
      </c>
      <c r="K475">
        <v>4</v>
      </c>
      <c r="L475" t="s">
        <v>358</v>
      </c>
      <c r="M475">
        <v>2</v>
      </c>
      <c r="N475" t="s">
        <v>73</v>
      </c>
      <c r="O475" t="s">
        <v>46</v>
      </c>
      <c r="Q475" t="s">
        <v>62</v>
      </c>
      <c r="R475" t="s">
        <v>63</v>
      </c>
      <c r="S475" t="s">
        <v>49</v>
      </c>
      <c r="U475" t="s">
        <v>50</v>
      </c>
      <c r="V475" t="s">
        <v>51</v>
      </c>
      <c r="W475" t="s">
        <v>805</v>
      </c>
      <c r="X475" t="s">
        <v>53</v>
      </c>
      <c r="Y475" t="s">
        <v>103</v>
      </c>
      <c r="AA475">
        <v>0</v>
      </c>
      <c r="AB475" t="s">
        <v>79</v>
      </c>
      <c r="AC475" t="s">
        <v>87</v>
      </c>
      <c r="AD475">
        <v>36</v>
      </c>
      <c r="AE475">
        <v>9</v>
      </c>
      <c r="AF475">
        <v>3</v>
      </c>
      <c r="AG475">
        <v>2025</v>
      </c>
      <c r="AH475" s="2">
        <v>700</v>
      </c>
      <c r="AI475" s="2">
        <v>1073.845092773438</v>
      </c>
      <c r="AJ475" s="2">
        <f t="shared" si="56"/>
        <v>373.84509277343795</v>
      </c>
      <c r="AK475" s="6">
        <f t="shared" si="57"/>
        <v>0.53406441824776851</v>
      </c>
      <c r="AL475" s="12">
        <v>700</v>
      </c>
      <c r="AM475" s="12">
        <v>1289.611104455508</v>
      </c>
      <c r="AN475" s="12">
        <f t="shared" si="58"/>
        <v>589.61110445550798</v>
      </c>
      <c r="AO475" s="13">
        <f t="shared" si="59"/>
        <v>0.84230157779358283</v>
      </c>
      <c r="AP475" s="16">
        <v>700</v>
      </c>
      <c r="AQ475" s="16">
        <v>845.05488190699896</v>
      </c>
      <c r="AR475" s="16">
        <f t="shared" si="60"/>
        <v>145.05488190699896</v>
      </c>
      <c r="AS475" s="17">
        <f t="shared" si="61"/>
        <v>0.20722125986714138</v>
      </c>
      <c r="AT475" s="20">
        <v>700</v>
      </c>
      <c r="AU475" s="20">
        <v>1048.521362304688</v>
      </c>
      <c r="AV475" s="20">
        <f t="shared" si="62"/>
        <v>348.52136230468795</v>
      </c>
      <c r="AW475" s="21">
        <f t="shared" si="63"/>
        <v>0.4978876604352685</v>
      </c>
    </row>
    <row r="476" spans="1:49" x14ac:dyDescent="0.25">
      <c r="A476" t="s">
        <v>38</v>
      </c>
      <c r="B476" t="s">
        <v>57</v>
      </c>
      <c r="C476">
        <v>82534</v>
      </c>
      <c r="D476">
        <v>2014</v>
      </c>
      <c r="E476" t="s">
        <v>305</v>
      </c>
      <c r="F476" t="s">
        <v>806</v>
      </c>
      <c r="H476" t="s">
        <v>807</v>
      </c>
      <c r="I476">
        <v>6</v>
      </c>
      <c r="J476" t="s">
        <v>122</v>
      </c>
      <c r="K476">
        <v>4</v>
      </c>
      <c r="L476" t="s">
        <v>44</v>
      </c>
      <c r="M476">
        <v>3.7</v>
      </c>
      <c r="N476" t="s">
        <v>45</v>
      </c>
      <c r="O476" t="s">
        <v>46</v>
      </c>
      <c r="P476">
        <v>3</v>
      </c>
      <c r="Q476" t="s">
        <v>47</v>
      </c>
      <c r="R476" t="s">
        <v>123</v>
      </c>
      <c r="S476" t="s">
        <v>101</v>
      </c>
      <c r="T476">
        <v>305</v>
      </c>
      <c r="U476" t="s">
        <v>50</v>
      </c>
      <c r="V476" t="s">
        <v>76</v>
      </c>
      <c r="X476" t="s">
        <v>125</v>
      </c>
      <c r="Y476" t="s">
        <v>78</v>
      </c>
      <c r="AA476">
        <v>0</v>
      </c>
      <c r="AB476" t="s">
        <v>79</v>
      </c>
      <c r="AC476" t="s">
        <v>127</v>
      </c>
      <c r="AD476">
        <v>36</v>
      </c>
      <c r="AE476">
        <v>9</v>
      </c>
      <c r="AF476">
        <v>3</v>
      </c>
      <c r="AG476">
        <v>2025</v>
      </c>
      <c r="AH476" s="2">
        <v>7900</v>
      </c>
      <c r="AI476" s="2">
        <v>6672.25732421875</v>
      </c>
      <c r="AJ476" s="2">
        <f t="shared" si="56"/>
        <v>1227.74267578125</v>
      </c>
      <c r="AK476" s="6">
        <f t="shared" si="57"/>
        <v>0.15541046528876581</v>
      </c>
      <c r="AL476" s="12">
        <v>7900</v>
      </c>
      <c r="AM476" s="12">
        <v>6175.8730273611909</v>
      </c>
      <c r="AN476" s="12">
        <f t="shared" si="58"/>
        <v>1724.1269726388091</v>
      </c>
      <c r="AO476" s="13">
        <f t="shared" si="59"/>
        <v>0.21824392058719103</v>
      </c>
      <c r="AP476" s="16">
        <v>7900</v>
      </c>
      <c r="AQ476" s="16">
        <v>4680.1498213429386</v>
      </c>
      <c r="AR476" s="16">
        <f t="shared" si="60"/>
        <v>3219.8501786570614</v>
      </c>
      <c r="AS476" s="17">
        <f t="shared" si="61"/>
        <v>0.40757597198190648</v>
      </c>
      <c r="AT476" s="20">
        <v>7900</v>
      </c>
      <c r="AU476" s="20">
        <v>6671.919921875</v>
      </c>
      <c r="AV476" s="20">
        <f t="shared" si="62"/>
        <v>1228.080078125</v>
      </c>
      <c r="AW476" s="21">
        <f t="shared" si="63"/>
        <v>0.15545317444620252</v>
      </c>
    </row>
    <row r="477" spans="1:49" x14ac:dyDescent="0.25">
      <c r="A477" t="s">
        <v>38</v>
      </c>
      <c r="B477" t="s">
        <v>96</v>
      </c>
      <c r="C477">
        <v>143548</v>
      </c>
      <c r="D477">
        <v>2017</v>
      </c>
      <c r="E477" t="s">
        <v>88</v>
      </c>
      <c r="F477" t="s">
        <v>89</v>
      </c>
      <c r="G477" t="s">
        <v>176</v>
      </c>
      <c r="H477" t="s">
        <v>808</v>
      </c>
      <c r="I477">
        <v>8</v>
      </c>
      <c r="J477" t="s">
        <v>61</v>
      </c>
      <c r="K477">
        <v>4</v>
      </c>
      <c r="L477" t="s">
        <v>44</v>
      </c>
      <c r="M477">
        <v>5.7</v>
      </c>
      <c r="N477" t="s">
        <v>73</v>
      </c>
      <c r="O477" t="s">
        <v>46</v>
      </c>
      <c r="Q477" t="s">
        <v>74</v>
      </c>
      <c r="R477" t="s">
        <v>92</v>
      </c>
      <c r="S477" t="s">
        <v>49</v>
      </c>
      <c r="T477">
        <v>395</v>
      </c>
      <c r="U477" t="s">
        <v>50</v>
      </c>
      <c r="V477" t="s">
        <v>76</v>
      </c>
      <c r="X477" t="s">
        <v>94</v>
      </c>
      <c r="Y477" t="s">
        <v>78</v>
      </c>
      <c r="AA477">
        <v>0</v>
      </c>
      <c r="AB477" t="s">
        <v>79</v>
      </c>
      <c r="AC477" t="s">
        <v>95</v>
      </c>
      <c r="AD477">
        <v>36</v>
      </c>
      <c r="AE477">
        <v>9</v>
      </c>
      <c r="AF477">
        <v>3</v>
      </c>
      <c r="AG477">
        <v>2025</v>
      </c>
      <c r="AH477" s="2">
        <v>10600</v>
      </c>
      <c r="AI477" s="2">
        <v>11118.068359375</v>
      </c>
      <c r="AJ477" s="2">
        <f t="shared" si="56"/>
        <v>518.068359375</v>
      </c>
      <c r="AK477" s="6">
        <f t="shared" si="57"/>
        <v>4.8874373525943399E-2</v>
      </c>
      <c r="AL477" s="12">
        <v>10600</v>
      </c>
      <c r="AM477" s="12">
        <v>10541.253738791431</v>
      </c>
      <c r="AN477" s="12">
        <f t="shared" si="58"/>
        <v>58.746261208569194</v>
      </c>
      <c r="AO477" s="13">
        <f t="shared" si="59"/>
        <v>5.5421001140159619E-3</v>
      </c>
      <c r="AP477" s="16">
        <v>10600</v>
      </c>
      <c r="AQ477" s="16">
        <v>10539.31195232036</v>
      </c>
      <c r="AR477" s="16">
        <f t="shared" si="60"/>
        <v>60.688047679639567</v>
      </c>
      <c r="AS477" s="17">
        <f t="shared" si="61"/>
        <v>5.7252875169471291E-3</v>
      </c>
      <c r="AT477" s="20">
        <v>10600</v>
      </c>
      <c r="AU477" s="20">
        <v>11049.3134765625</v>
      </c>
      <c r="AV477" s="20">
        <f t="shared" si="62"/>
        <v>449.3134765625</v>
      </c>
      <c r="AW477" s="21">
        <f t="shared" si="63"/>
        <v>4.2388063826650946E-2</v>
      </c>
    </row>
    <row r="478" spans="1:49" x14ac:dyDescent="0.25">
      <c r="A478" t="s">
        <v>38</v>
      </c>
      <c r="B478" t="s">
        <v>57</v>
      </c>
      <c r="C478">
        <v>98375</v>
      </c>
      <c r="D478">
        <v>2022</v>
      </c>
      <c r="E478" t="s">
        <v>69</v>
      </c>
      <c r="F478" t="s">
        <v>157</v>
      </c>
      <c r="G478" t="s">
        <v>105</v>
      </c>
      <c r="I478">
        <v>4</v>
      </c>
      <c r="J478" t="s">
        <v>61</v>
      </c>
      <c r="K478">
        <v>4</v>
      </c>
      <c r="L478" t="s">
        <v>44</v>
      </c>
      <c r="M478">
        <v>2.2999999999999998</v>
      </c>
      <c r="N478" t="s">
        <v>91</v>
      </c>
      <c r="O478" t="s">
        <v>46</v>
      </c>
      <c r="P478">
        <v>5</v>
      </c>
      <c r="Q478" t="s">
        <v>62</v>
      </c>
      <c r="R478" t="s">
        <v>63</v>
      </c>
      <c r="S478" t="s">
        <v>93</v>
      </c>
      <c r="T478">
        <v>300</v>
      </c>
      <c r="U478" t="s">
        <v>50</v>
      </c>
      <c r="V478" t="s">
        <v>51</v>
      </c>
      <c r="W478" t="s">
        <v>568</v>
      </c>
      <c r="X478" t="s">
        <v>141</v>
      </c>
      <c r="Y478" t="s">
        <v>78</v>
      </c>
      <c r="AA478">
        <v>0</v>
      </c>
      <c r="AB478" t="s">
        <v>79</v>
      </c>
      <c r="AC478" t="s">
        <v>109</v>
      </c>
      <c r="AD478">
        <v>36</v>
      </c>
      <c r="AE478">
        <v>9</v>
      </c>
      <c r="AF478">
        <v>3</v>
      </c>
      <c r="AG478">
        <v>2025</v>
      </c>
      <c r="AH478" s="2">
        <v>20750</v>
      </c>
      <c r="AI478" s="2">
        <v>20883.091796875</v>
      </c>
      <c r="AJ478" s="2">
        <f t="shared" si="56"/>
        <v>133.091796875</v>
      </c>
      <c r="AK478" s="6">
        <f t="shared" si="57"/>
        <v>6.4140624999999996E-3</v>
      </c>
      <c r="AL478" s="12">
        <v>20750</v>
      </c>
      <c r="AM478" s="12">
        <v>21419.047274434241</v>
      </c>
      <c r="AN478" s="12">
        <f t="shared" si="58"/>
        <v>669.04727443424053</v>
      </c>
      <c r="AO478" s="13">
        <f t="shared" si="59"/>
        <v>3.2243242141409181E-2</v>
      </c>
      <c r="AP478" s="16">
        <v>20750</v>
      </c>
      <c r="AQ478" s="16">
        <v>20235.437264509052</v>
      </c>
      <c r="AR478" s="16">
        <f t="shared" si="60"/>
        <v>514.5627354909484</v>
      </c>
      <c r="AS478" s="17">
        <f t="shared" si="61"/>
        <v>2.4798204120045707E-2</v>
      </c>
      <c r="AT478" s="20">
        <v>20750</v>
      </c>
      <c r="AU478" s="20">
        <v>20859.0078125</v>
      </c>
      <c r="AV478" s="20">
        <f t="shared" si="62"/>
        <v>109.0078125</v>
      </c>
      <c r="AW478" s="21">
        <f t="shared" si="63"/>
        <v>5.2533885542168672E-3</v>
      </c>
    </row>
    <row r="479" spans="1:49" x14ac:dyDescent="0.25">
      <c r="A479" t="s">
        <v>81</v>
      </c>
      <c r="B479" t="s">
        <v>663</v>
      </c>
      <c r="C479">
        <v>39825</v>
      </c>
      <c r="D479">
        <v>2015</v>
      </c>
      <c r="E479" t="s">
        <v>174</v>
      </c>
      <c r="F479" t="s">
        <v>809</v>
      </c>
      <c r="H479" t="s">
        <v>172</v>
      </c>
      <c r="I479">
        <v>8</v>
      </c>
      <c r="J479" t="s">
        <v>72</v>
      </c>
      <c r="K479">
        <v>3</v>
      </c>
      <c r="L479" t="s">
        <v>44</v>
      </c>
      <c r="M479">
        <v>6</v>
      </c>
      <c r="N479" t="s">
        <v>73</v>
      </c>
      <c r="O479" t="s">
        <v>46</v>
      </c>
      <c r="Q479" t="s">
        <v>74</v>
      </c>
      <c r="R479" t="s">
        <v>75</v>
      </c>
      <c r="S479" t="s">
        <v>179</v>
      </c>
      <c r="U479" t="s">
        <v>810</v>
      </c>
      <c r="V479" t="s">
        <v>76</v>
      </c>
      <c r="W479" t="s">
        <v>811</v>
      </c>
      <c r="X479" t="s">
        <v>77</v>
      </c>
      <c r="Y479" t="s">
        <v>78</v>
      </c>
      <c r="AA479">
        <v>0</v>
      </c>
      <c r="AB479" t="s">
        <v>79</v>
      </c>
      <c r="AC479" t="s">
        <v>80</v>
      </c>
      <c r="AD479">
        <v>36</v>
      </c>
      <c r="AE479">
        <v>9</v>
      </c>
      <c r="AF479">
        <v>3</v>
      </c>
      <c r="AG479">
        <v>2025</v>
      </c>
      <c r="AH479" s="2">
        <v>8000</v>
      </c>
      <c r="AI479" s="2">
        <v>22105.43359375</v>
      </c>
      <c r="AJ479" s="2">
        <f t="shared" si="56"/>
        <v>14105.43359375</v>
      </c>
      <c r="AK479" s="6">
        <f t="shared" si="57"/>
        <v>1.76317919921875</v>
      </c>
      <c r="AL479" s="12">
        <v>8000</v>
      </c>
      <c r="AM479" s="12">
        <v>20114.533360143862</v>
      </c>
      <c r="AN479" s="12">
        <f t="shared" si="58"/>
        <v>12114.533360143862</v>
      </c>
      <c r="AO479" s="13">
        <f t="shared" si="59"/>
        <v>1.5143166700179826</v>
      </c>
      <c r="AP479" s="16">
        <v>8000</v>
      </c>
      <c r="AQ479" s="16">
        <v>14461.45220980888</v>
      </c>
      <c r="AR479" s="16">
        <f t="shared" si="60"/>
        <v>6461.4522098088801</v>
      </c>
      <c r="AS479" s="17">
        <f t="shared" si="61"/>
        <v>0.80768152622611</v>
      </c>
      <c r="AT479" s="20">
        <v>8000</v>
      </c>
      <c r="AU479" s="20">
        <v>21549.640625</v>
      </c>
      <c r="AV479" s="20">
        <f t="shared" si="62"/>
        <v>13549.640625</v>
      </c>
      <c r="AW479" s="21">
        <f t="shared" si="63"/>
        <v>1.693705078125</v>
      </c>
    </row>
    <row r="480" spans="1:49" x14ac:dyDescent="0.25">
      <c r="A480" t="s">
        <v>38</v>
      </c>
      <c r="B480" t="s">
        <v>39</v>
      </c>
      <c r="C480">
        <v>114708</v>
      </c>
      <c r="D480">
        <v>2014</v>
      </c>
      <c r="E480" t="s">
        <v>166</v>
      </c>
      <c r="F480" t="s">
        <v>247</v>
      </c>
      <c r="G480" t="s">
        <v>581</v>
      </c>
      <c r="I480">
        <v>4</v>
      </c>
      <c r="J480" t="s">
        <v>72</v>
      </c>
      <c r="K480">
        <v>4</v>
      </c>
      <c r="L480" t="s">
        <v>44</v>
      </c>
      <c r="M480">
        <v>2.4</v>
      </c>
      <c r="N480" t="s">
        <v>45</v>
      </c>
      <c r="O480" t="s">
        <v>46</v>
      </c>
      <c r="Q480" t="s">
        <v>62</v>
      </c>
      <c r="R480" t="s">
        <v>63</v>
      </c>
      <c r="S480" t="s">
        <v>49</v>
      </c>
      <c r="T480">
        <v>185</v>
      </c>
      <c r="U480" t="s">
        <v>50</v>
      </c>
      <c r="V480" t="s">
        <v>51</v>
      </c>
      <c r="W480" t="s">
        <v>812</v>
      </c>
      <c r="X480" t="s">
        <v>65</v>
      </c>
      <c r="Y480" t="s">
        <v>78</v>
      </c>
      <c r="AA480">
        <v>0</v>
      </c>
      <c r="AB480" t="s">
        <v>79</v>
      </c>
      <c r="AC480" t="s">
        <v>87</v>
      </c>
      <c r="AD480">
        <v>36</v>
      </c>
      <c r="AE480">
        <v>9</v>
      </c>
      <c r="AF480">
        <v>3</v>
      </c>
      <c r="AG480">
        <v>2025</v>
      </c>
      <c r="AH480" s="2">
        <v>9500</v>
      </c>
      <c r="AI480" s="2">
        <v>11651.09375</v>
      </c>
      <c r="AJ480" s="2">
        <f t="shared" si="56"/>
        <v>2151.09375</v>
      </c>
      <c r="AK480" s="6">
        <f t="shared" si="57"/>
        <v>0.22643092105263157</v>
      </c>
      <c r="AL480" s="12">
        <v>9500</v>
      </c>
      <c r="AM480" s="12">
        <v>6993.5259373516328</v>
      </c>
      <c r="AN480" s="12">
        <f t="shared" si="58"/>
        <v>2506.4740626483672</v>
      </c>
      <c r="AO480" s="13">
        <f t="shared" si="59"/>
        <v>0.26383937501561761</v>
      </c>
      <c r="AP480" s="16">
        <v>9500</v>
      </c>
      <c r="AQ480" s="16">
        <v>6586.8267548560279</v>
      </c>
      <c r="AR480" s="16">
        <f t="shared" si="60"/>
        <v>2913.1732451439721</v>
      </c>
      <c r="AS480" s="17">
        <f t="shared" si="61"/>
        <v>0.30664981527831287</v>
      </c>
      <c r="AT480" s="20">
        <v>9500</v>
      </c>
      <c r="AU480" s="20">
        <v>11036.5693359375</v>
      </c>
      <c r="AV480" s="20">
        <f t="shared" si="62"/>
        <v>1536.5693359375</v>
      </c>
      <c r="AW480" s="21">
        <f t="shared" si="63"/>
        <v>0.161744140625</v>
      </c>
    </row>
    <row r="481" spans="1:49" x14ac:dyDescent="0.25">
      <c r="A481" t="s">
        <v>81</v>
      </c>
      <c r="B481" t="s">
        <v>304</v>
      </c>
      <c r="C481">
        <v>15754</v>
      </c>
      <c r="D481">
        <v>2024</v>
      </c>
      <c r="E481" t="s">
        <v>464</v>
      </c>
      <c r="F481" t="s">
        <v>813</v>
      </c>
      <c r="G481" t="s">
        <v>814</v>
      </c>
      <c r="I481">
        <v>6</v>
      </c>
      <c r="J481" t="s">
        <v>135</v>
      </c>
      <c r="K481">
        <v>4</v>
      </c>
      <c r="L481" t="s">
        <v>44</v>
      </c>
      <c r="M481">
        <v>3</v>
      </c>
      <c r="N481" t="s">
        <v>44</v>
      </c>
      <c r="O481" t="s">
        <v>46</v>
      </c>
      <c r="Q481" t="s">
        <v>62</v>
      </c>
      <c r="R481" t="s">
        <v>63</v>
      </c>
      <c r="S481" t="s">
        <v>85</v>
      </c>
      <c r="T481">
        <v>395</v>
      </c>
      <c r="U481" t="s">
        <v>50</v>
      </c>
      <c r="V481" t="s">
        <v>51</v>
      </c>
      <c r="W481" t="s">
        <v>815</v>
      </c>
      <c r="X481" t="s">
        <v>141</v>
      </c>
      <c r="Y481" t="s">
        <v>427</v>
      </c>
      <c r="AA481">
        <v>1</v>
      </c>
      <c r="AB481" t="s">
        <v>55</v>
      </c>
      <c r="AC481" t="s">
        <v>67</v>
      </c>
      <c r="AD481">
        <v>36</v>
      </c>
      <c r="AE481">
        <v>9</v>
      </c>
      <c r="AF481">
        <v>3</v>
      </c>
      <c r="AG481">
        <v>2025</v>
      </c>
      <c r="AH481" s="2">
        <v>54300</v>
      </c>
      <c r="AI481" s="2">
        <v>70758.0703125</v>
      </c>
      <c r="AJ481" s="2">
        <f t="shared" si="56"/>
        <v>16458.0703125</v>
      </c>
      <c r="AK481" s="6">
        <f t="shared" si="57"/>
        <v>0.30309521754143648</v>
      </c>
      <c r="AL481" s="12">
        <v>54300</v>
      </c>
      <c r="AM481" s="12">
        <v>50037.865984062933</v>
      </c>
      <c r="AN481" s="12">
        <f t="shared" si="58"/>
        <v>4262.1340159370666</v>
      </c>
      <c r="AO481" s="13">
        <f t="shared" si="59"/>
        <v>7.8492339151695512E-2</v>
      </c>
      <c r="AP481" s="16">
        <v>54300</v>
      </c>
      <c r="AQ481" s="16">
        <v>60082.509528634793</v>
      </c>
      <c r="AR481" s="16">
        <f t="shared" si="60"/>
        <v>5782.5095286347932</v>
      </c>
      <c r="AS481" s="17">
        <f t="shared" si="61"/>
        <v>0.10649188818848607</v>
      </c>
      <c r="AT481" s="20">
        <v>54300</v>
      </c>
      <c r="AU481" s="20">
        <v>75762.0390625</v>
      </c>
      <c r="AV481" s="20">
        <f t="shared" si="62"/>
        <v>21462.0390625</v>
      </c>
      <c r="AW481" s="21">
        <f t="shared" si="63"/>
        <v>0.39524933816758745</v>
      </c>
    </row>
    <row r="482" spans="1:49" x14ac:dyDescent="0.25">
      <c r="A482" t="s">
        <v>38</v>
      </c>
      <c r="B482" t="s">
        <v>68</v>
      </c>
      <c r="C482">
        <v>137590</v>
      </c>
      <c r="D482">
        <v>2019</v>
      </c>
      <c r="E482" t="s">
        <v>142</v>
      </c>
      <c r="F482" t="s">
        <v>143</v>
      </c>
      <c r="H482" t="s">
        <v>816</v>
      </c>
      <c r="I482">
        <v>6</v>
      </c>
      <c r="J482" t="s">
        <v>61</v>
      </c>
      <c r="K482">
        <v>4</v>
      </c>
      <c r="L482" t="s">
        <v>44</v>
      </c>
      <c r="M482">
        <v>3.2</v>
      </c>
      <c r="N482" t="s">
        <v>45</v>
      </c>
      <c r="O482" t="s">
        <v>46</v>
      </c>
      <c r="P482">
        <v>4</v>
      </c>
      <c r="Q482" t="s">
        <v>62</v>
      </c>
      <c r="R482" t="s">
        <v>63</v>
      </c>
      <c r="S482" t="s">
        <v>49</v>
      </c>
      <c r="T482">
        <v>271</v>
      </c>
      <c r="U482" t="s">
        <v>50</v>
      </c>
      <c r="V482" t="s">
        <v>76</v>
      </c>
      <c r="X482" t="s">
        <v>141</v>
      </c>
      <c r="Y482" t="s">
        <v>78</v>
      </c>
      <c r="Z482">
        <v>25740</v>
      </c>
      <c r="AA482">
        <v>0</v>
      </c>
      <c r="AB482" t="s">
        <v>79</v>
      </c>
      <c r="AC482" t="s">
        <v>87</v>
      </c>
      <c r="AD482">
        <v>36</v>
      </c>
      <c r="AE482">
        <v>9</v>
      </c>
      <c r="AF482">
        <v>3</v>
      </c>
      <c r="AG482">
        <v>2025</v>
      </c>
      <c r="AH482" s="2">
        <v>4400</v>
      </c>
      <c r="AI482" s="2">
        <v>8061.2998046875</v>
      </c>
      <c r="AJ482" s="2">
        <f t="shared" si="56"/>
        <v>3661.2998046875</v>
      </c>
      <c r="AK482" s="6">
        <f t="shared" si="57"/>
        <v>0.8321135919744318</v>
      </c>
      <c r="AL482" s="12">
        <v>4400</v>
      </c>
      <c r="AM482" s="12">
        <v>8396.6132726136148</v>
      </c>
      <c r="AN482" s="12">
        <f t="shared" si="58"/>
        <v>3996.6132726136148</v>
      </c>
      <c r="AO482" s="13">
        <f t="shared" si="59"/>
        <v>0.90832119832127611</v>
      </c>
      <c r="AP482" s="16">
        <v>4400</v>
      </c>
      <c r="AQ482" s="16">
        <v>6885.7764664706147</v>
      </c>
      <c r="AR482" s="16">
        <f t="shared" si="60"/>
        <v>2485.7764664706147</v>
      </c>
      <c r="AS482" s="17">
        <f t="shared" si="61"/>
        <v>0.56494919692513967</v>
      </c>
      <c r="AT482" s="20">
        <v>4400</v>
      </c>
      <c r="AU482" s="20">
        <v>8238.8466796875</v>
      </c>
      <c r="AV482" s="20">
        <f t="shared" si="62"/>
        <v>3838.8466796875</v>
      </c>
      <c r="AW482" s="21">
        <f t="shared" si="63"/>
        <v>0.87246515447443185</v>
      </c>
    </row>
    <row r="483" spans="1:49" x14ac:dyDescent="0.25">
      <c r="A483" t="s">
        <v>38</v>
      </c>
      <c r="B483" t="s">
        <v>68</v>
      </c>
      <c r="C483">
        <v>158360</v>
      </c>
      <c r="D483">
        <v>2013</v>
      </c>
      <c r="E483" t="s">
        <v>97</v>
      </c>
      <c r="F483" t="s">
        <v>444</v>
      </c>
      <c r="G483" t="s">
        <v>155</v>
      </c>
      <c r="I483">
        <v>6</v>
      </c>
      <c r="J483" t="s">
        <v>43</v>
      </c>
      <c r="K483">
        <v>2</v>
      </c>
      <c r="L483" t="s">
        <v>402</v>
      </c>
      <c r="M483">
        <v>3.6</v>
      </c>
      <c r="N483" t="s">
        <v>73</v>
      </c>
      <c r="O483" t="s">
        <v>46</v>
      </c>
      <c r="P483">
        <v>3</v>
      </c>
      <c r="Q483" t="s">
        <v>47</v>
      </c>
      <c r="R483" t="s">
        <v>197</v>
      </c>
      <c r="U483" t="s">
        <v>50</v>
      </c>
      <c r="W483" t="s">
        <v>406</v>
      </c>
      <c r="X483" t="s">
        <v>125</v>
      </c>
      <c r="Y483" t="s">
        <v>103</v>
      </c>
      <c r="AA483">
        <v>0</v>
      </c>
      <c r="AB483" t="s">
        <v>79</v>
      </c>
      <c r="AC483" t="s">
        <v>197</v>
      </c>
      <c r="AD483">
        <v>36</v>
      </c>
      <c r="AE483">
        <v>9</v>
      </c>
      <c r="AF483">
        <v>3</v>
      </c>
      <c r="AG483">
        <v>2025</v>
      </c>
      <c r="AH483" s="2">
        <v>3000</v>
      </c>
      <c r="AI483" s="2">
        <v>3711.92724609375</v>
      </c>
      <c r="AJ483" s="2">
        <f t="shared" si="56"/>
        <v>711.92724609375</v>
      </c>
      <c r="AK483" s="6">
        <f t="shared" si="57"/>
        <v>0.23730908203125001</v>
      </c>
      <c r="AL483" s="12">
        <v>3000</v>
      </c>
      <c r="AM483" s="12">
        <v>4232.8617812595558</v>
      </c>
      <c r="AN483" s="12">
        <f t="shared" si="58"/>
        <v>1232.8617812595558</v>
      </c>
      <c r="AO483" s="13">
        <f t="shared" si="59"/>
        <v>0.41095392708651857</v>
      </c>
      <c r="AP483" s="16">
        <v>3000</v>
      </c>
      <c r="AQ483" s="16">
        <v>4123.9934421077314</v>
      </c>
      <c r="AR483" s="16">
        <f t="shared" si="60"/>
        <v>1123.9934421077314</v>
      </c>
      <c r="AS483" s="17">
        <f t="shared" si="61"/>
        <v>0.37466448070257713</v>
      </c>
      <c r="AT483" s="20">
        <v>3000</v>
      </c>
      <c r="AU483" s="20">
        <v>3747.874267578125</v>
      </c>
      <c r="AV483" s="20">
        <f t="shared" si="62"/>
        <v>747.874267578125</v>
      </c>
      <c r="AW483" s="21">
        <f t="shared" si="63"/>
        <v>0.24929142252604167</v>
      </c>
    </row>
    <row r="484" spans="1:49" x14ac:dyDescent="0.25">
      <c r="A484" t="s">
        <v>128</v>
      </c>
      <c r="B484" t="s">
        <v>129</v>
      </c>
      <c r="C484">
        <v>165900</v>
      </c>
      <c r="D484">
        <v>2014</v>
      </c>
      <c r="E484" t="s">
        <v>88</v>
      </c>
      <c r="F484" t="s">
        <v>89</v>
      </c>
      <c r="G484" t="s">
        <v>176</v>
      </c>
      <c r="I484">
        <v>6</v>
      </c>
      <c r="J484" t="s">
        <v>61</v>
      </c>
      <c r="K484">
        <v>4</v>
      </c>
      <c r="L484" t="s">
        <v>44</v>
      </c>
      <c r="M484">
        <v>3.6</v>
      </c>
      <c r="N484" t="s">
        <v>91</v>
      </c>
      <c r="Q484" t="s">
        <v>74</v>
      </c>
      <c r="R484" t="s">
        <v>92</v>
      </c>
      <c r="S484" t="s">
        <v>93</v>
      </c>
      <c r="U484" t="s">
        <v>50</v>
      </c>
      <c r="X484" t="s">
        <v>94</v>
      </c>
      <c r="Y484" t="s">
        <v>78</v>
      </c>
      <c r="AA484">
        <v>0</v>
      </c>
      <c r="AB484" t="s">
        <v>79</v>
      </c>
      <c r="AC484" t="s">
        <v>95</v>
      </c>
      <c r="AD484">
        <v>36</v>
      </c>
      <c r="AE484">
        <v>9</v>
      </c>
      <c r="AF484">
        <v>3</v>
      </c>
      <c r="AG484">
        <v>2025</v>
      </c>
      <c r="AH484" s="2">
        <v>6100</v>
      </c>
      <c r="AI484" s="2">
        <v>5944.11865234375</v>
      </c>
      <c r="AJ484" s="2">
        <f t="shared" si="56"/>
        <v>155.88134765625</v>
      </c>
      <c r="AK484" s="6">
        <f t="shared" si="57"/>
        <v>2.5554319287909837E-2</v>
      </c>
      <c r="AL484" s="12">
        <v>6100</v>
      </c>
      <c r="AM484" s="12">
        <v>5673.2888109476053</v>
      </c>
      <c r="AN484" s="12">
        <f t="shared" si="58"/>
        <v>426.71118905239473</v>
      </c>
      <c r="AO484" s="13">
        <f t="shared" si="59"/>
        <v>6.995265394301553E-2</v>
      </c>
      <c r="AP484" s="16">
        <v>6100</v>
      </c>
      <c r="AQ484" s="16">
        <v>6296.0232961036209</v>
      </c>
      <c r="AR484" s="16">
        <f t="shared" si="60"/>
        <v>196.02329610362085</v>
      </c>
      <c r="AS484" s="17">
        <f t="shared" si="61"/>
        <v>3.2134966574364071E-2</v>
      </c>
      <c r="AT484" s="20">
        <v>6100</v>
      </c>
      <c r="AU484" s="20">
        <v>5972.63720703125</v>
      </c>
      <c r="AV484" s="20">
        <f t="shared" si="62"/>
        <v>127.36279296875</v>
      </c>
      <c r="AW484" s="21">
        <f t="shared" si="63"/>
        <v>2.0879146388319673E-2</v>
      </c>
    </row>
    <row r="485" spans="1:49" x14ac:dyDescent="0.25">
      <c r="A485" t="s">
        <v>114</v>
      </c>
      <c r="B485" t="s">
        <v>491</v>
      </c>
      <c r="C485">
        <v>16838</v>
      </c>
      <c r="D485">
        <v>2024</v>
      </c>
      <c r="E485" t="s">
        <v>399</v>
      </c>
      <c r="F485" t="s">
        <v>492</v>
      </c>
      <c r="G485" t="s">
        <v>817</v>
      </c>
      <c r="I485">
        <v>4</v>
      </c>
      <c r="J485" t="s">
        <v>106</v>
      </c>
      <c r="K485">
        <v>4</v>
      </c>
      <c r="L485" t="s">
        <v>44</v>
      </c>
      <c r="M485">
        <v>2.5</v>
      </c>
      <c r="N485" t="s">
        <v>44</v>
      </c>
      <c r="O485" t="s">
        <v>46</v>
      </c>
      <c r="P485">
        <v>5</v>
      </c>
      <c r="Q485" t="s">
        <v>62</v>
      </c>
      <c r="R485" t="s">
        <v>63</v>
      </c>
      <c r="S485" t="s">
        <v>85</v>
      </c>
      <c r="T485">
        <v>182</v>
      </c>
      <c r="U485" t="s">
        <v>50</v>
      </c>
      <c r="W485" t="s">
        <v>493</v>
      </c>
      <c r="X485" t="s">
        <v>65</v>
      </c>
      <c r="Y485" t="s">
        <v>54</v>
      </c>
      <c r="AA485">
        <v>0</v>
      </c>
      <c r="AB485" t="s">
        <v>79</v>
      </c>
      <c r="AC485" t="s">
        <v>87</v>
      </c>
      <c r="AD485">
        <v>36</v>
      </c>
      <c r="AE485">
        <v>9</v>
      </c>
      <c r="AF485">
        <v>3</v>
      </c>
      <c r="AG485">
        <v>2025</v>
      </c>
      <c r="AH485" s="2">
        <v>31400</v>
      </c>
      <c r="AI485" s="2">
        <v>23644.353515625</v>
      </c>
      <c r="AJ485" s="2">
        <f t="shared" si="56"/>
        <v>7755.646484375</v>
      </c>
      <c r="AK485" s="6">
        <f t="shared" si="57"/>
        <v>0.24699511096735668</v>
      </c>
      <c r="AL485" s="12">
        <v>31400</v>
      </c>
      <c r="AM485" s="12">
        <v>24476.441171406361</v>
      </c>
      <c r="AN485" s="12">
        <f t="shared" si="58"/>
        <v>6923.5588285936392</v>
      </c>
      <c r="AO485" s="13">
        <f t="shared" si="59"/>
        <v>0.22049550409533883</v>
      </c>
      <c r="AP485" s="16">
        <v>31400</v>
      </c>
      <c r="AQ485" s="16">
        <v>28265.924743549949</v>
      </c>
      <c r="AR485" s="16">
        <f t="shared" si="60"/>
        <v>3134.0752564500508</v>
      </c>
      <c r="AS485" s="17">
        <f t="shared" si="61"/>
        <v>9.9811313899683146E-2</v>
      </c>
      <c r="AT485" s="20">
        <v>31400</v>
      </c>
      <c r="AU485" s="20">
        <v>23756.625</v>
      </c>
      <c r="AV485" s="20">
        <f t="shared" si="62"/>
        <v>7643.375</v>
      </c>
      <c r="AW485" s="21">
        <f t="shared" si="63"/>
        <v>0.24341958598726116</v>
      </c>
    </row>
    <row r="486" spans="1:49" x14ac:dyDescent="0.25">
      <c r="A486" t="s">
        <v>128</v>
      </c>
      <c r="B486" t="s">
        <v>129</v>
      </c>
      <c r="C486">
        <v>244439</v>
      </c>
      <c r="D486">
        <v>2016</v>
      </c>
      <c r="E486" t="s">
        <v>174</v>
      </c>
      <c r="F486" t="s">
        <v>645</v>
      </c>
      <c r="H486" t="s">
        <v>818</v>
      </c>
      <c r="I486">
        <v>6</v>
      </c>
      <c r="J486" t="s">
        <v>61</v>
      </c>
      <c r="K486">
        <v>4</v>
      </c>
      <c r="L486" t="s">
        <v>44</v>
      </c>
      <c r="M486">
        <v>3.6</v>
      </c>
      <c r="N486" t="s">
        <v>45</v>
      </c>
      <c r="Q486" t="s">
        <v>62</v>
      </c>
      <c r="R486" t="s">
        <v>63</v>
      </c>
      <c r="S486" t="s">
        <v>101</v>
      </c>
      <c r="U486" t="s">
        <v>50</v>
      </c>
      <c r="V486" t="s">
        <v>76</v>
      </c>
      <c r="W486" t="s">
        <v>591</v>
      </c>
      <c r="X486" t="s">
        <v>94</v>
      </c>
      <c r="Y486" t="s">
        <v>78</v>
      </c>
      <c r="AA486">
        <v>0</v>
      </c>
      <c r="AB486" t="s">
        <v>79</v>
      </c>
      <c r="AC486" t="s">
        <v>87</v>
      </c>
      <c r="AD486">
        <v>36</v>
      </c>
      <c r="AE486">
        <v>9</v>
      </c>
      <c r="AF486">
        <v>3</v>
      </c>
      <c r="AG486">
        <v>2025</v>
      </c>
      <c r="AH486" s="2">
        <v>1300</v>
      </c>
      <c r="AI486" s="2">
        <v>1435.631225585938</v>
      </c>
      <c r="AJ486" s="2">
        <f t="shared" si="56"/>
        <v>135.63122558593795</v>
      </c>
      <c r="AK486" s="6">
        <f t="shared" si="57"/>
        <v>0.10433171198918305</v>
      </c>
      <c r="AL486" s="12">
        <v>1300</v>
      </c>
      <c r="AM486" s="12">
        <v>2310.909231284109</v>
      </c>
      <c r="AN486" s="12">
        <f t="shared" si="58"/>
        <v>1010.909231284109</v>
      </c>
      <c r="AO486" s="13">
        <f t="shared" si="59"/>
        <v>0.77762248560316072</v>
      </c>
      <c r="AP486" s="16">
        <v>1300</v>
      </c>
      <c r="AQ486" s="16">
        <v>1825.851953626272</v>
      </c>
      <c r="AR486" s="16">
        <f t="shared" si="60"/>
        <v>525.85195362627201</v>
      </c>
      <c r="AS486" s="17">
        <f t="shared" si="61"/>
        <v>0.40450150278944003</v>
      </c>
      <c r="AT486" s="20">
        <v>1300</v>
      </c>
      <c r="AU486" s="20">
        <v>1427.475830078125</v>
      </c>
      <c r="AV486" s="20">
        <f t="shared" si="62"/>
        <v>127.475830078125</v>
      </c>
      <c r="AW486" s="21">
        <f t="shared" si="63"/>
        <v>9.8058330829326926E-2</v>
      </c>
    </row>
    <row r="487" spans="1:49" x14ac:dyDescent="0.25">
      <c r="A487" t="s">
        <v>128</v>
      </c>
      <c r="B487" t="s">
        <v>819</v>
      </c>
      <c r="C487">
        <v>78782</v>
      </c>
      <c r="D487">
        <v>2018</v>
      </c>
      <c r="E487" t="s">
        <v>40</v>
      </c>
      <c r="F487" t="s">
        <v>233</v>
      </c>
      <c r="G487" t="s">
        <v>452</v>
      </c>
      <c r="H487" t="s">
        <v>453</v>
      </c>
      <c r="I487">
        <v>4</v>
      </c>
      <c r="J487" t="s">
        <v>72</v>
      </c>
      <c r="K487">
        <v>4</v>
      </c>
      <c r="L487" t="s">
        <v>44</v>
      </c>
      <c r="M487">
        <v>2.5</v>
      </c>
      <c r="N487" t="s">
        <v>45</v>
      </c>
      <c r="Q487" t="s">
        <v>62</v>
      </c>
      <c r="R487" t="s">
        <v>63</v>
      </c>
      <c r="S487" t="s">
        <v>49</v>
      </c>
      <c r="T487">
        <v>176</v>
      </c>
      <c r="U487" t="s">
        <v>50</v>
      </c>
      <c r="V487" t="s">
        <v>51</v>
      </c>
      <c r="W487" t="s">
        <v>236</v>
      </c>
      <c r="X487" t="s">
        <v>65</v>
      </c>
      <c r="Y487" t="s">
        <v>103</v>
      </c>
      <c r="Z487">
        <v>25750</v>
      </c>
      <c r="AA487">
        <v>0</v>
      </c>
      <c r="AB487" t="s">
        <v>79</v>
      </c>
      <c r="AC487" t="s">
        <v>87</v>
      </c>
      <c r="AD487">
        <v>36</v>
      </c>
      <c r="AE487">
        <v>9</v>
      </c>
      <c r="AF487">
        <v>3</v>
      </c>
      <c r="AG487">
        <v>2025</v>
      </c>
      <c r="AH487" s="2">
        <v>18500</v>
      </c>
      <c r="AI487" s="2">
        <v>12438.6494140625</v>
      </c>
      <c r="AJ487" s="2">
        <f t="shared" si="56"/>
        <v>6061.3505859375</v>
      </c>
      <c r="AK487" s="6">
        <f t="shared" si="57"/>
        <v>0.32764057221283782</v>
      </c>
      <c r="AL487" s="12">
        <v>18500</v>
      </c>
      <c r="AM487" s="12">
        <v>11739.83026744884</v>
      </c>
      <c r="AN487" s="12">
        <f t="shared" si="58"/>
        <v>6760.1697325511595</v>
      </c>
      <c r="AO487" s="13">
        <f t="shared" si="59"/>
        <v>0.36541458013790051</v>
      </c>
      <c r="AP487" s="16">
        <v>18500</v>
      </c>
      <c r="AQ487" s="16">
        <v>11545.19219176654</v>
      </c>
      <c r="AR487" s="16">
        <f t="shared" si="60"/>
        <v>6954.8078082334596</v>
      </c>
      <c r="AS487" s="17">
        <f t="shared" si="61"/>
        <v>0.3759355572018086</v>
      </c>
      <c r="AT487" s="20">
        <v>18500</v>
      </c>
      <c r="AU487" s="20">
        <v>12333.0302734375</v>
      </c>
      <c r="AV487" s="20">
        <f t="shared" si="62"/>
        <v>6166.9697265625</v>
      </c>
      <c r="AW487" s="21">
        <f t="shared" si="63"/>
        <v>0.33334971494932431</v>
      </c>
    </row>
    <row r="488" spans="1:49" x14ac:dyDescent="0.25">
      <c r="A488" t="s">
        <v>38</v>
      </c>
      <c r="B488" t="s">
        <v>110</v>
      </c>
      <c r="C488">
        <v>122737</v>
      </c>
      <c r="D488">
        <v>2020</v>
      </c>
      <c r="E488" t="s">
        <v>142</v>
      </c>
      <c r="F488" t="s">
        <v>633</v>
      </c>
      <c r="G488" t="s">
        <v>820</v>
      </c>
      <c r="I488">
        <v>6</v>
      </c>
      <c r="J488" t="s">
        <v>135</v>
      </c>
      <c r="K488">
        <v>4</v>
      </c>
      <c r="L488" t="s">
        <v>44</v>
      </c>
      <c r="M488">
        <v>3.6</v>
      </c>
      <c r="N488" t="s">
        <v>91</v>
      </c>
      <c r="Q488" t="s">
        <v>62</v>
      </c>
      <c r="R488" t="s">
        <v>63</v>
      </c>
      <c r="S488" t="s">
        <v>93</v>
      </c>
      <c r="T488">
        <v>285</v>
      </c>
      <c r="U488" t="s">
        <v>50</v>
      </c>
      <c r="V488" t="s">
        <v>76</v>
      </c>
      <c r="X488" t="s">
        <v>141</v>
      </c>
      <c r="Y488" t="s">
        <v>78</v>
      </c>
      <c r="AA488">
        <v>0</v>
      </c>
      <c r="AB488" t="s">
        <v>79</v>
      </c>
      <c r="AC488" t="s">
        <v>87</v>
      </c>
      <c r="AD488">
        <v>36</v>
      </c>
      <c r="AE488">
        <v>9</v>
      </c>
      <c r="AF488">
        <v>3</v>
      </c>
      <c r="AG488">
        <v>2025</v>
      </c>
      <c r="AH488" s="2">
        <v>13700</v>
      </c>
      <c r="AI488" s="2">
        <v>16117.6572265625</v>
      </c>
      <c r="AJ488" s="2">
        <f t="shared" si="56"/>
        <v>2417.6572265625</v>
      </c>
      <c r="AK488" s="6">
        <f t="shared" si="57"/>
        <v>0.17647133040602189</v>
      </c>
      <c r="AL488" s="12">
        <v>13700</v>
      </c>
      <c r="AM488" s="12">
        <v>18008.439308938341</v>
      </c>
      <c r="AN488" s="12">
        <f t="shared" si="58"/>
        <v>4308.4393089383411</v>
      </c>
      <c r="AO488" s="13">
        <f t="shared" si="59"/>
        <v>0.31448462109038988</v>
      </c>
      <c r="AP488" s="16">
        <v>13700</v>
      </c>
      <c r="AQ488" s="16">
        <v>14248.045105945501</v>
      </c>
      <c r="AR488" s="16">
        <f t="shared" si="60"/>
        <v>548.04510594550084</v>
      </c>
      <c r="AS488" s="17">
        <f t="shared" si="61"/>
        <v>4.000329240478108E-2</v>
      </c>
      <c r="AT488" s="20">
        <v>13700</v>
      </c>
      <c r="AU488" s="20">
        <v>16462.771484375</v>
      </c>
      <c r="AV488" s="20">
        <f t="shared" si="62"/>
        <v>2762.771484375</v>
      </c>
      <c r="AW488" s="21">
        <f t="shared" si="63"/>
        <v>0.20166215214416058</v>
      </c>
    </row>
    <row r="489" spans="1:49" x14ac:dyDescent="0.25">
      <c r="A489" t="s">
        <v>81</v>
      </c>
      <c r="B489" t="s">
        <v>82</v>
      </c>
      <c r="C489">
        <v>190644</v>
      </c>
      <c r="D489">
        <v>2011</v>
      </c>
      <c r="E489" t="s">
        <v>166</v>
      </c>
      <c r="F489" t="s">
        <v>628</v>
      </c>
      <c r="G489" t="s">
        <v>821</v>
      </c>
      <c r="I489">
        <v>4</v>
      </c>
      <c r="J489" t="s">
        <v>61</v>
      </c>
      <c r="K489">
        <v>4</v>
      </c>
      <c r="L489" t="s">
        <v>44</v>
      </c>
      <c r="M489">
        <v>1.8</v>
      </c>
      <c r="N489" t="s">
        <v>45</v>
      </c>
      <c r="O489" t="s">
        <v>46</v>
      </c>
      <c r="Q489" t="s">
        <v>47</v>
      </c>
      <c r="R489" t="s">
        <v>123</v>
      </c>
      <c r="T489">
        <v>140</v>
      </c>
      <c r="U489" t="s">
        <v>50</v>
      </c>
      <c r="V489" t="s">
        <v>51</v>
      </c>
      <c r="W489" t="s">
        <v>767</v>
      </c>
      <c r="X489" t="s">
        <v>53</v>
      </c>
      <c r="Y489" t="s">
        <v>103</v>
      </c>
      <c r="AA489">
        <v>0</v>
      </c>
      <c r="AB489" t="s">
        <v>79</v>
      </c>
      <c r="AC489" t="s">
        <v>127</v>
      </c>
      <c r="AD489">
        <v>36</v>
      </c>
      <c r="AE489">
        <v>9</v>
      </c>
      <c r="AF489">
        <v>3</v>
      </c>
      <c r="AG489">
        <v>2025</v>
      </c>
      <c r="AH489" s="2">
        <v>1500</v>
      </c>
      <c r="AI489" s="2">
        <v>1783.960571289062</v>
      </c>
      <c r="AJ489" s="2">
        <f t="shared" si="56"/>
        <v>283.96057128906205</v>
      </c>
      <c r="AK489" s="6">
        <f t="shared" si="57"/>
        <v>0.18930704752604136</v>
      </c>
      <c r="AL489" s="12">
        <v>1500</v>
      </c>
      <c r="AM489" s="12">
        <v>1948.871546306734</v>
      </c>
      <c r="AN489" s="12">
        <f t="shared" si="58"/>
        <v>448.87154630673399</v>
      </c>
      <c r="AO489" s="13">
        <f t="shared" si="59"/>
        <v>0.29924769753782265</v>
      </c>
      <c r="AP489" s="16">
        <v>1500</v>
      </c>
      <c r="AQ489" s="16">
        <v>1270.910027726663</v>
      </c>
      <c r="AR489" s="16">
        <f t="shared" si="60"/>
        <v>229.08997227333703</v>
      </c>
      <c r="AS489" s="17">
        <f t="shared" si="61"/>
        <v>0.15272664818222467</v>
      </c>
      <c r="AT489" s="20">
        <v>1500</v>
      </c>
      <c r="AU489" s="20">
        <v>1788.581420898438</v>
      </c>
      <c r="AV489" s="20">
        <f t="shared" si="62"/>
        <v>288.58142089843795</v>
      </c>
      <c r="AW489" s="21">
        <f t="shared" si="63"/>
        <v>0.19238761393229198</v>
      </c>
    </row>
    <row r="490" spans="1:49" x14ac:dyDescent="0.25">
      <c r="A490" t="s">
        <v>128</v>
      </c>
      <c r="B490" t="s">
        <v>271</v>
      </c>
      <c r="C490">
        <v>77257</v>
      </c>
      <c r="D490">
        <v>2020</v>
      </c>
      <c r="E490" t="s">
        <v>97</v>
      </c>
      <c r="F490" t="s">
        <v>363</v>
      </c>
      <c r="G490" t="s">
        <v>199</v>
      </c>
      <c r="I490">
        <v>4</v>
      </c>
      <c r="J490" t="s">
        <v>61</v>
      </c>
      <c r="K490">
        <v>4</v>
      </c>
      <c r="L490" t="s">
        <v>44</v>
      </c>
      <c r="M490">
        <v>1.4</v>
      </c>
      <c r="N490" t="s">
        <v>45</v>
      </c>
      <c r="O490" t="s">
        <v>46</v>
      </c>
      <c r="P490">
        <v>3</v>
      </c>
      <c r="Q490" t="s">
        <v>62</v>
      </c>
      <c r="R490" t="s">
        <v>63</v>
      </c>
      <c r="S490" t="s">
        <v>101</v>
      </c>
      <c r="U490" t="s">
        <v>50</v>
      </c>
      <c r="W490" t="s">
        <v>365</v>
      </c>
      <c r="X490" t="s">
        <v>65</v>
      </c>
      <c r="Y490" t="s">
        <v>126</v>
      </c>
      <c r="Z490">
        <v>21300</v>
      </c>
      <c r="AA490">
        <v>0</v>
      </c>
      <c r="AB490" t="s">
        <v>79</v>
      </c>
      <c r="AC490" t="s">
        <v>87</v>
      </c>
      <c r="AD490">
        <v>36</v>
      </c>
      <c r="AE490">
        <v>9</v>
      </c>
      <c r="AF490">
        <v>3</v>
      </c>
      <c r="AG490">
        <v>2025</v>
      </c>
      <c r="AH490" s="2">
        <v>6300</v>
      </c>
      <c r="AI490" s="2">
        <v>8315.0673828125</v>
      </c>
      <c r="AJ490" s="2">
        <f t="shared" si="56"/>
        <v>2015.0673828125</v>
      </c>
      <c r="AK490" s="6">
        <f t="shared" si="57"/>
        <v>0.31985196552579365</v>
      </c>
      <c r="AL490" s="12">
        <v>6300</v>
      </c>
      <c r="AM490" s="12">
        <v>9938.8754394902826</v>
      </c>
      <c r="AN490" s="12">
        <f t="shared" si="58"/>
        <v>3638.8754394902826</v>
      </c>
      <c r="AO490" s="13">
        <f t="shared" si="59"/>
        <v>0.57759927610956863</v>
      </c>
      <c r="AP490" s="16">
        <v>6300</v>
      </c>
      <c r="AQ490" s="16">
        <v>7371.8346719721103</v>
      </c>
      <c r="AR490" s="16">
        <f t="shared" si="60"/>
        <v>1071.8346719721103</v>
      </c>
      <c r="AS490" s="17">
        <f t="shared" si="61"/>
        <v>0.17013248761462069</v>
      </c>
      <c r="AT490" s="20">
        <v>6300</v>
      </c>
      <c r="AU490" s="20">
        <v>8591.1337890625</v>
      </c>
      <c r="AV490" s="20">
        <f t="shared" si="62"/>
        <v>2291.1337890625</v>
      </c>
      <c r="AW490" s="21">
        <f t="shared" si="63"/>
        <v>0.36367203000992065</v>
      </c>
    </row>
    <row r="491" spans="1:49" x14ac:dyDescent="0.25">
      <c r="A491" t="s">
        <v>114</v>
      </c>
      <c r="B491" t="s">
        <v>340</v>
      </c>
      <c r="C491">
        <v>43160</v>
      </c>
      <c r="D491">
        <v>1995</v>
      </c>
      <c r="E491" t="s">
        <v>116</v>
      </c>
      <c r="F491" t="s">
        <v>697</v>
      </c>
      <c r="G491" t="s">
        <v>89</v>
      </c>
      <c r="I491">
        <v>8</v>
      </c>
      <c r="J491" t="s">
        <v>61</v>
      </c>
      <c r="L491" t="s">
        <v>44</v>
      </c>
      <c r="M491">
        <v>5.9</v>
      </c>
      <c r="N491" t="s">
        <v>91</v>
      </c>
      <c r="O491" t="s">
        <v>190</v>
      </c>
      <c r="P491">
        <v>2</v>
      </c>
      <c r="Q491" t="s">
        <v>74</v>
      </c>
      <c r="R491" t="s">
        <v>92</v>
      </c>
      <c r="S491" t="s">
        <v>93</v>
      </c>
      <c r="U491" t="s">
        <v>50</v>
      </c>
      <c r="V491" t="s">
        <v>76</v>
      </c>
      <c r="X491" t="s">
        <v>94</v>
      </c>
      <c r="Y491" t="s">
        <v>78</v>
      </c>
      <c r="AA491">
        <v>0</v>
      </c>
      <c r="AB491" t="s">
        <v>79</v>
      </c>
      <c r="AC491" t="s">
        <v>95</v>
      </c>
      <c r="AD491">
        <v>36</v>
      </c>
      <c r="AE491">
        <v>9</v>
      </c>
      <c r="AF491">
        <v>3</v>
      </c>
      <c r="AG491">
        <v>2025</v>
      </c>
      <c r="AH491" s="2">
        <v>500</v>
      </c>
      <c r="AI491" s="2">
        <v>1124.496459960938</v>
      </c>
      <c r="AJ491" s="2">
        <f t="shared" si="56"/>
        <v>624.49645996093795</v>
      </c>
      <c r="AK491" s="6">
        <f t="shared" si="57"/>
        <v>1.2489929199218759</v>
      </c>
      <c r="AL491" s="12">
        <v>500</v>
      </c>
      <c r="AM491" s="12">
        <v>1023.919127573214</v>
      </c>
      <c r="AN491" s="12">
        <f t="shared" si="58"/>
        <v>523.91912757321404</v>
      </c>
      <c r="AO491" s="13">
        <f t="shared" si="59"/>
        <v>1.047838255146428</v>
      </c>
      <c r="AP491" s="16">
        <v>500</v>
      </c>
      <c r="AQ491" s="16">
        <v>642.46290810544531</v>
      </c>
      <c r="AR491" s="16">
        <f t="shared" si="60"/>
        <v>142.46290810544531</v>
      </c>
      <c r="AS491" s="17">
        <f t="shared" si="61"/>
        <v>0.28492581621089064</v>
      </c>
      <c r="AT491" s="20">
        <v>500</v>
      </c>
      <c r="AU491" s="20">
        <v>1074.6259765625</v>
      </c>
      <c r="AV491" s="20">
        <f t="shared" si="62"/>
        <v>574.6259765625</v>
      </c>
      <c r="AW491" s="21">
        <f t="shared" si="63"/>
        <v>1.1492519531250001</v>
      </c>
    </row>
    <row r="492" spans="1:49" x14ac:dyDescent="0.25">
      <c r="A492" t="s">
        <v>38</v>
      </c>
      <c r="B492" t="s">
        <v>39</v>
      </c>
      <c r="C492">
        <v>122702</v>
      </c>
      <c r="D492">
        <v>2003</v>
      </c>
      <c r="E492" t="s">
        <v>69</v>
      </c>
      <c r="F492" t="s">
        <v>822</v>
      </c>
      <c r="H492" t="s">
        <v>430</v>
      </c>
      <c r="I492">
        <v>10</v>
      </c>
      <c r="J492" t="s">
        <v>61</v>
      </c>
      <c r="K492">
        <v>4</v>
      </c>
      <c r="L492" t="s">
        <v>44</v>
      </c>
      <c r="M492">
        <v>6.8</v>
      </c>
      <c r="N492" t="s">
        <v>73</v>
      </c>
      <c r="O492" t="s">
        <v>46</v>
      </c>
      <c r="Q492" t="s">
        <v>62</v>
      </c>
      <c r="R492" t="s">
        <v>63</v>
      </c>
      <c r="S492" t="s">
        <v>49</v>
      </c>
      <c r="T492">
        <v>310</v>
      </c>
      <c r="U492" t="s">
        <v>50</v>
      </c>
      <c r="V492" t="s">
        <v>76</v>
      </c>
      <c r="X492" t="s">
        <v>77</v>
      </c>
      <c r="Y492" t="s">
        <v>78</v>
      </c>
      <c r="AA492">
        <v>0</v>
      </c>
      <c r="AB492" t="s">
        <v>79</v>
      </c>
      <c r="AC492" t="s">
        <v>87</v>
      </c>
      <c r="AD492">
        <v>36</v>
      </c>
      <c r="AE492">
        <v>9</v>
      </c>
      <c r="AF492">
        <v>3</v>
      </c>
      <c r="AG492">
        <v>2025</v>
      </c>
      <c r="AH492" s="2">
        <v>3000</v>
      </c>
      <c r="AI492" s="2">
        <v>3422.446044921875</v>
      </c>
      <c r="AJ492" s="2">
        <f t="shared" si="56"/>
        <v>422.446044921875</v>
      </c>
      <c r="AK492" s="6">
        <f t="shared" si="57"/>
        <v>0.14081534830729167</v>
      </c>
      <c r="AL492" s="12">
        <v>3000</v>
      </c>
      <c r="AM492" s="12">
        <v>3067.188870069072</v>
      </c>
      <c r="AN492" s="12">
        <f t="shared" si="58"/>
        <v>67.188870069071982</v>
      </c>
      <c r="AO492" s="13">
        <f t="shared" si="59"/>
        <v>2.2396290023023995E-2</v>
      </c>
      <c r="AP492" s="16">
        <v>3000</v>
      </c>
      <c r="AQ492" s="16">
        <v>2708.6947270346832</v>
      </c>
      <c r="AR492" s="16">
        <f t="shared" si="60"/>
        <v>291.30527296531682</v>
      </c>
      <c r="AS492" s="17">
        <f t="shared" si="61"/>
        <v>9.7101757655105606E-2</v>
      </c>
      <c r="AT492" s="20">
        <v>3000</v>
      </c>
      <c r="AU492" s="20">
        <v>3382.503662109375</v>
      </c>
      <c r="AV492" s="20">
        <f t="shared" si="62"/>
        <v>382.503662109375</v>
      </c>
      <c r="AW492" s="21">
        <f t="shared" si="63"/>
        <v>0.127501220703125</v>
      </c>
    </row>
    <row r="493" spans="1:49" x14ac:dyDescent="0.25">
      <c r="A493" t="s">
        <v>38</v>
      </c>
      <c r="B493" t="s">
        <v>110</v>
      </c>
      <c r="C493">
        <v>290180</v>
      </c>
      <c r="D493">
        <v>2012</v>
      </c>
      <c r="E493" t="s">
        <v>97</v>
      </c>
      <c r="F493" t="s">
        <v>171</v>
      </c>
      <c r="G493" t="s">
        <v>823</v>
      </c>
      <c r="H493" t="s">
        <v>172</v>
      </c>
      <c r="I493">
        <v>8</v>
      </c>
      <c r="J493" t="s">
        <v>72</v>
      </c>
      <c r="K493">
        <v>3</v>
      </c>
      <c r="L493" t="s">
        <v>44</v>
      </c>
      <c r="M493">
        <v>4.8</v>
      </c>
      <c r="N493" t="s">
        <v>73</v>
      </c>
      <c r="Q493" t="s">
        <v>74</v>
      </c>
      <c r="R493" t="s">
        <v>80</v>
      </c>
      <c r="S493" t="s">
        <v>49</v>
      </c>
      <c r="U493" t="s">
        <v>50</v>
      </c>
      <c r="W493" t="s">
        <v>824</v>
      </c>
      <c r="X493" t="s">
        <v>77</v>
      </c>
      <c r="Y493" t="s">
        <v>78</v>
      </c>
      <c r="AA493">
        <v>0</v>
      </c>
      <c r="AB493" t="s">
        <v>79</v>
      </c>
      <c r="AC493" t="s">
        <v>80</v>
      </c>
      <c r="AD493">
        <v>36</v>
      </c>
      <c r="AE493">
        <v>9</v>
      </c>
      <c r="AF493">
        <v>3</v>
      </c>
      <c r="AG493">
        <v>2025</v>
      </c>
      <c r="AH493" s="2">
        <v>2500</v>
      </c>
      <c r="AI493" s="2">
        <v>2455.0712890625</v>
      </c>
      <c r="AJ493" s="2">
        <f t="shared" si="56"/>
        <v>44.9287109375</v>
      </c>
      <c r="AK493" s="6">
        <f t="shared" si="57"/>
        <v>1.7971484374999999E-2</v>
      </c>
      <c r="AL493" s="12">
        <v>2500</v>
      </c>
      <c r="AM493" s="12">
        <v>2642.4460000553399</v>
      </c>
      <c r="AN493" s="12">
        <f t="shared" si="58"/>
        <v>142.44600005533994</v>
      </c>
      <c r="AO493" s="13">
        <f t="shared" si="59"/>
        <v>5.6978400022135972E-2</v>
      </c>
      <c r="AP493" s="16">
        <v>2500</v>
      </c>
      <c r="AQ493" s="16">
        <v>2250.4088865566969</v>
      </c>
      <c r="AR493" s="16">
        <f t="shared" si="60"/>
        <v>249.59111344330313</v>
      </c>
      <c r="AS493" s="17">
        <f t="shared" si="61"/>
        <v>9.9836445377321253E-2</v>
      </c>
      <c r="AT493" s="20">
        <v>2500</v>
      </c>
      <c r="AU493" s="20">
        <v>2476.892333984375</v>
      </c>
      <c r="AV493" s="20">
        <f t="shared" si="62"/>
        <v>23.107666015625</v>
      </c>
      <c r="AW493" s="21">
        <f t="shared" si="63"/>
        <v>9.2430664062500001E-3</v>
      </c>
    </row>
    <row r="494" spans="1:49" x14ac:dyDescent="0.25">
      <c r="A494" t="s">
        <v>38</v>
      </c>
      <c r="B494" t="s">
        <v>39</v>
      </c>
      <c r="C494">
        <v>110267</v>
      </c>
      <c r="D494">
        <v>2012</v>
      </c>
      <c r="E494" t="s">
        <v>174</v>
      </c>
      <c r="F494" t="s">
        <v>175</v>
      </c>
      <c r="G494" t="s">
        <v>273</v>
      </c>
      <c r="H494" t="s">
        <v>177</v>
      </c>
      <c r="I494">
        <v>8</v>
      </c>
      <c r="J494" t="s">
        <v>61</v>
      </c>
      <c r="K494">
        <v>4</v>
      </c>
      <c r="L494" t="s">
        <v>44</v>
      </c>
      <c r="M494">
        <v>5.3</v>
      </c>
      <c r="N494" t="s">
        <v>73</v>
      </c>
      <c r="O494" t="s">
        <v>46</v>
      </c>
      <c r="Q494" t="s">
        <v>62</v>
      </c>
      <c r="R494" t="s">
        <v>63</v>
      </c>
      <c r="S494" t="s">
        <v>179</v>
      </c>
      <c r="U494" t="s">
        <v>50</v>
      </c>
      <c r="V494" t="s">
        <v>76</v>
      </c>
      <c r="W494" t="s">
        <v>245</v>
      </c>
      <c r="X494" t="s">
        <v>108</v>
      </c>
      <c r="Y494" t="s">
        <v>78</v>
      </c>
      <c r="AA494">
        <v>0</v>
      </c>
      <c r="AB494" t="s">
        <v>79</v>
      </c>
      <c r="AC494" t="s">
        <v>87</v>
      </c>
      <c r="AD494">
        <v>36</v>
      </c>
      <c r="AE494">
        <v>9</v>
      </c>
      <c r="AF494">
        <v>3</v>
      </c>
      <c r="AG494">
        <v>2025</v>
      </c>
      <c r="AH494" s="2">
        <v>5500</v>
      </c>
      <c r="AI494" s="2">
        <v>6959.75634765625</v>
      </c>
      <c r="AJ494" s="2">
        <f t="shared" si="56"/>
        <v>1459.75634765625</v>
      </c>
      <c r="AK494" s="6">
        <f t="shared" si="57"/>
        <v>0.2654102450284091</v>
      </c>
      <c r="AL494" s="12">
        <v>5500</v>
      </c>
      <c r="AM494" s="12">
        <v>9117.8678823755909</v>
      </c>
      <c r="AN494" s="12">
        <f t="shared" si="58"/>
        <v>3617.8678823755909</v>
      </c>
      <c r="AO494" s="13">
        <f t="shared" si="59"/>
        <v>0.65779416043192562</v>
      </c>
      <c r="AP494" s="16">
        <v>5500</v>
      </c>
      <c r="AQ494" s="16">
        <v>7299.1041685952096</v>
      </c>
      <c r="AR494" s="16">
        <f t="shared" si="60"/>
        <v>1799.1041685952096</v>
      </c>
      <c r="AS494" s="17">
        <f t="shared" si="61"/>
        <v>0.32710984883549266</v>
      </c>
      <c r="AT494" s="20">
        <v>5500</v>
      </c>
      <c r="AU494" s="20">
        <v>7375.97802734375</v>
      </c>
      <c r="AV494" s="20">
        <f t="shared" si="62"/>
        <v>1875.97802734375</v>
      </c>
      <c r="AW494" s="21">
        <f t="shared" si="63"/>
        <v>0.34108691406250002</v>
      </c>
    </row>
    <row r="495" spans="1:49" x14ac:dyDescent="0.25">
      <c r="A495" t="s">
        <v>38</v>
      </c>
      <c r="B495" t="s">
        <v>110</v>
      </c>
      <c r="C495">
        <v>91748</v>
      </c>
      <c r="D495">
        <v>2014</v>
      </c>
      <c r="E495" t="s">
        <v>40</v>
      </c>
      <c r="F495" t="s">
        <v>524</v>
      </c>
      <c r="H495" t="s">
        <v>825</v>
      </c>
      <c r="I495">
        <v>6</v>
      </c>
      <c r="J495" t="s">
        <v>72</v>
      </c>
      <c r="K495">
        <v>4</v>
      </c>
      <c r="L495" t="s">
        <v>44</v>
      </c>
      <c r="M495">
        <v>3.5</v>
      </c>
      <c r="N495" t="s">
        <v>45</v>
      </c>
      <c r="O495" t="s">
        <v>190</v>
      </c>
      <c r="Q495" t="s">
        <v>47</v>
      </c>
      <c r="R495" t="s">
        <v>123</v>
      </c>
      <c r="S495" t="s">
        <v>49</v>
      </c>
      <c r="T495">
        <v>268</v>
      </c>
      <c r="U495" t="s">
        <v>50</v>
      </c>
      <c r="V495" t="s">
        <v>76</v>
      </c>
      <c r="W495" t="s">
        <v>290</v>
      </c>
      <c r="X495" t="s">
        <v>125</v>
      </c>
      <c r="Y495" t="s">
        <v>78</v>
      </c>
      <c r="AA495">
        <v>0</v>
      </c>
      <c r="AB495" t="s">
        <v>79</v>
      </c>
      <c r="AC495" t="s">
        <v>127</v>
      </c>
      <c r="AD495">
        <v>36</v>
      </c>
      <c r="AE495">
        <v>9</v>
      </c>
      <c r="AF495">
        <v>3</v>
      </c>
      <c r="AG495">
        <v>2025</v>
      </c>
      <c r="AH495" s="2">
        <v>6600</v>
      </c>
      <c r="AI495" s="2">
        <v>2574.65087890625</v>
      </c>
      <c r="AJ495" s="2">
        <f t="shared" si="56"/>
        <v>4025.34912109375</v>
      </c>
      <c r="AK495" s="6">
        <f t="shared" si="57"/>
        <v>0.60990138198390154</v>
      </c>
      <c r="AL495" s="12">
        <v>6600</v>
      </c>
      <c r="AM495" s="12">
        <v>3546.7759596323281</v>
      </c>
      <c r="AN495" s="12">
        <f t="shared" si="58"/>
        <v>3053.2240403676719</v>
      </c>
      <c r="AO495" s="13">
        <f t="shared" si="59"/>
        <v>0.4626097030860109</v>
      </c>
      <c r="AP495" s="16">
        <v>6600</v>
      </c>
      <c r="AQ495" s="16">
        <v>2526.498389736164</v>
      </c>
      <c r="AR495" s="16">
        <f t="shared" si="60"/>
        <v>4073.501610263836</v>
      </c>
      <c r="AS495" s="17">
        <f t="shared" si="61"/>
        <v>0.61719721367633884</v>
      </c>
      <c r="AT495" s="20">
        <v>6600</v>
      </c>
      <c r="AU495" s="20">
        <v>2605.3310546875</v>
      </c>
      <c r="AV495" s="20">
        <f t="shared" si="62"/>
        <v>3994.6689453125</v>
      </c>
      <c r="AW495" s="21">
        <f t="shared" si="63"/>
        <v>0.60525287050189391</v>
      </c>
    </row>
    <row r="496" spans="1:49" x14ac:dyDescent="0.25">
      <c r="A496" t="s">
        <v>38</v>
      </c>
      <c r="B496" t="s">
        <v>96</v>
      </c>
      <c r="C496">
        <v>30528</v>
      </c>
      <c r="D496">
        <v>2022</v>
      </c>
      <c r="E496" t="s">
        <v>58</v>
      </c>
      <c r="F496" t="s">
        <v>220</v>
      </c>
      <c r="G496" t="s">
        <v>826</v>
      </c>
      <c r="I496">
        <v>4</v>
      </c>
      <c r="J496" t="s">
        <v>61</v>
      </c>
      <c r="K496">
        <v>4</v>
      </c>
      <c r="L496" t="s">
        <v>44</v>
      </c>
      <c r="M496">
        <v>2.5</v>
      </c>
      <c r="N496" t="s">
        <v>45</v>
      </c>
      <c r="O496" t="s">
        <v>46</v>
      </c>
      <c r="Q496" t="s">
        <v>62</v>
      </c>
      <c r="R496" t="s">
        <v>63</v>
      </c>
      <c r="S496" t="s">
        <v>49</v>
      </c>
      <c r="T496">
        <v>281</v>
      </c>
      <c r="U496" t="s">
        <v>50</v>
      </c>
      <c r="W496" t="s">
        <v>827</v>
      </c>
      <c r="X496" t="s">
        <v>141</v>
      </c>
      <c r="Y496" t="s">
        <v>78</v>
      </c>
      <c r="AA496">
        <v>0</v>
      </c>
      <c r="AB496" t="s">
        <v>79</v>
      </c>
      <c r="AC496" t="s">
        <v>109</v>
      </c>
      <c r="AD496">
        <v>36</v>
      </c>
      <c r="AE496">
        <v>9</v>
      </c>
      <c r="AF496">
        <v>3</v>
      </c>
      <c r="AG496">
        <v>2025</v>
      </c>
      <c r="AH496" s="2">
        <v>26000</v>
      </c>
      <c r="AI496" s="2">
        <v>29889.099609375</v>
      </c>
      <c r="AJ496" s="2">
        <f t="shared" si="56"/>
        <v>3889.099609375</v>
      </c>
      <c r="AK496" s="6">
        <f t="shared" si="57"/>
        <v>0.14958075420673078</v>
      </c>
      <c r="AL496" s="12">
        <v>26000</v>
      </c>
      <c r="AM496" s="12">
        <v>25223.13995120682</v>
      </c>
      <c r="AN496" s="12">
        <f t="shared" si="58"/>
        <v>776.86004879317989</v>
      </c>
      <c r="AO496" s="13">
        <f t="shared" si="59"/>
        <v>2.9879232645891533E-2</v>
      </c>
      <c r="AP496" s="16">
        <v>26000</v>
      </c>
      <c r="AQ496" s="16">
        <v>23706.439743331939</v>
      </c>
      <c r="AR496" s="16">
        <f t="shared" si="60"/>
        <v>2293.5602566680609</v>
      </c>
      <c r="AS496" s="17">
        <f t="shared" si="61"/>
        <v>8.8213856025694648E-2</v>
      </c>
      <c r="AT496" s="20">
        <v>26000</v>
      </c>
      <c r="AU496" s="20">
        <v>29125.77734375</v>
      </c>
      <c r="AV496" s="20">
        <f t="shared" si="62"/>
        <v>3125.77734375</v>
      </c>
      <c r="AW496" s="21">
        <f t="shared" si="63"/>
        <v>0.12022220552884616</v>
      </c>
    </row>
    <row r="497" spans="1:49" x14ac:dyDescent="0.25">
      <c r="A497" t="s">
        <v>114</v>
      </c>
      <c r="B497" t="s">
        <v>115</v>
      </c>
      <c r="C497">
        <v>167819</v>
      </c>
      <c r="D497">
        <v>2017</v>
      </c>
      <c r="E497" t="s">
        <v>69</v>
      </c>
      <c r="F497" t="s">
        <v>157</v>
      </c>
      <c r="G497" t="s">
        <v>105</v>
      </c>
      <c r="I497">
        <v>6</v>
      </c>
      <c r="J497" t="s">
        <v>43</v>
      </c>
      <c r="K497">
        <v>4</v>
      </c>
      <c r="L497" t="s">
        <v>44</v>
      </c>
      <c r="M497">
        <v>3.5</v>
      </c>
      <c r="N497" t="s">
        <v>91</v>
      </c>
      <c r="O497" t="s">
        <v>46</v>
      </c>
      <c r="Q497" t="s">
        <v>62</v>
      </c>
      <c r="R497" t="s">
        <v>63</v>
      </c>
      <c r="S497" t="s">
        <v>93</v>
      </c>
      <c r="T497">
        <v>290</v>
      </c>
      <c r="U497" t="s">
        <v>50</v>
      </c>
      <c r="V497" t="s">
        <v>76</v>
      </c>
      <c r="W497" t="s">
        <v>609</v>
      </c>
      <c r="X497" t="s">
        <v>94</v>
      </c>
      <c r="Y497" t="s">
        <v>78</v>
      </c>
      <c r="Z497">
        <v>33775</v>
      </c>
      <c r="AA497">
        <v>0</v>
      </c>
      <c r="AB497" t="s">
        <v>79</v>
      </c>
      <c r="AC497" t="s">
        <v>109</v>
      </c>
      <c r="AD497">
        <v>36</v>
      </c>
      <c r="AE497">
        <v>9</v>
      </c>
      <c r="AF497">
        <v>3</v>
      </c>
      <c r="AG497">
        <v>2025</v>
      </c>
      <c r="AH497" s="2">
        <v>7000</v>
      </c>
      <c r="AI497" s="2">
        <v>6313.19775390625</v>
      </c>
      <c r="AJ497" s="2">
        <f t="shared" si="56"/>
        <v>686.80224609375</v>
      </c>
      <c r="AK497" s="6">
        <f t="shared" si="57"/>
        <v>9.8114606584821434E-2</v>
      </c>
      <c r="AL497" s="12">
        <v>7000</v>
      </c>
      <c r="AM497" s="12">
        <v>7042.3326698036071</v>
      </c>
      <c r="AN497" s="12">
        <f t="shared" si="58"/>
        <v>42.332669803607132</v>
      </c>
      <c r="AO497" s="13">
        <f t="shared" si="59"/>
        <v>6.0475242576581616E-3</v>
      </c>
      <c r="AP497" s="16">
        <v>7000</v>
      </c>
      <c r="AQ497" s="16">
        <v>5111.0154981694968</v>
      </c>
      <c r="AR497" s="16">
        <f t="shared" si="60"/>
        <v>1888.9845018305032</v>
      </c>
      <c r="AS497" s="17">
        <f t="shared" si="61"/>
        <v>0.26985492883292905</v>
      </c>
      <c r="AT497" s="20">
        <v>7000</v>
      </c>
      <c r="AU497" s="20">
        <v>6476.03515625</v>
      </c>
      <c r="AV497" s="20">
        <f t="shared" si="62"/>
        <v>523.96484375</v>
      </c>
      <c r="AW497" s="21">
        <f t="shared" si="63"/>
        <v>7.4852120535714287E-2</v>
      </c>
    </row>
    <row r="498" spans="1:49" x14ac:dyDescent="0.25">
      <c r="A498" t="s">
        <v>38</v>
      </c>
      <c r="B498" t="s">
        <v>110</v>
      </c>
      <c r="C498">
        <v>177798</v>
      </c>
      <c r="D498">
        <v>2015</v>
      </c>
      <c r="E498" t="s">
        <v>213</v>
      </c>
      <c r="F498" t="s">
        <v>828</v>
      </c>
      <c r="I498">
        <v>6</v>
      </c>
      <c r="J498" t="s">
        <v>72</v>
      </c>
      <c r="K498">
        <v>4</v>
      </c>
      <c r="L498" t="s">
        <v>44</v>
      </c>
      <c r="M498">
        <v>3.7</v>
      </c>
      <c r="N498" t="s">
        <v>44</v>
      </c>
      <c r="O498" t="s">
        <v>46</v>
      </c>
      <c r="P498">
        <v>2</v>
      </c>
      <c r="Q498" t="s">
        <v>62</v>
      </c>
      <c r="R498" t="s">
        <v>148</v>
      </c>
      <c r="S498" t="s">
        <v>93</v>
      </c>
      <c r="U498" t="s">
        <v>50</v>
      </c>
      <c r="X498" t="s">
        <v>141</v>
      </c>
      <c r="Y498" t="s">
        <v>54</v>
      </c>
      <c r="AA498">
        <v>0</v>
      </c>
      <c r="AB498" t="s">
        <v>79</v>
      </c>
      <c r="AC498" t="s">
        <v>87</v>
      </c>
      <c r="AD498">
        <v>36</v>
      </c>
      <c r="AE498">
        <v>9</v>
      </c>
      <c r="AF498">
        <v>3</v>
      </c>
      <c r="AG498">
        <v>2025</v>
      </c>
      <c r="AH498" s="2">
        <v>900</v>
      </c>
      <c r="AI498" s="2">
        <v>2193.078125</v>
      </c>
      <c r="AJ498" s="2">
        <f t="shared" si="56"/>
        <v>1293.078125</v>
      </c>
      <c r="AK498" s="6">
        <f t="shared" si="57"/>
        <v>1.4367534722222222</v>
      </c>
      <c r="AL498" s="12">
        <v>900</v>
      </c>
      <c r="AM498" s="12">
        <v>2823.7614152499209</v>
      </c>
      <c r="AN498" s="12">
        <f t="shared" si="58"/>
        <v>1923.7614152499209</v>
      </c>
      <c r="AO498" s="13">
        <f t="shared" si="59"/>
        <v>2.1375126836110234</v>
      </c>
      <c r="AP498" s="16">
        <v>900</v>
      </c>
      <c r="AQ498" s="16">
        <v>3002.734616011096</v>
      </c>
      <c r="AR498" s="16">
        <f t="shared" si="60"/>
        <v>2102.734616011096</v>
      </c>
      <c r="AS498" s="17">
        <f t="shared" si="61"/>
        <v>2.3363717955678847</v>
      </c>
      <c r="AT498" s="20">
        <v>900</v>
      </c>
      <c r="AU498" s="20">
        <v>2276.964599609375</v>
      </c>
      <c r="AV498" s="20">
        <f t="shared" si="62"/>
        <v>1376.964599609375</v>
      </c>
      <c r="AW498" s="21">
        <f t="shared" si="63"/>
        <v>1.5299606662326388</v>
      </c>
    </row>
    <row r="499" spans="1:49" x14ac:dyDescent="0.25">
      <c r="A499" t="s">
        <v>38</v>
      </c>
      <c r="B499" t="s">
        <v>96</v>
      </c>
      <c r="C499">
        <v>109488</v>
      </c>
      <c r="D499">
        <v>2014</v>
      </c>
      <c r="E499" t="s">
        <v>146</v>
      </c>
      <c r="F499" t="s">
        <v>147</v>
      </c>
      <c r="I499">
        <v>4</v>
      </c>
      <c r="J499" t="s">
        <v>135</v>
      </c>
      <c r="K499">
        <v>4</v>
      </c>
      <c r="L499" t="s">
        <v>44</v>
      </c>
      <c r="M499">
        <v>2.5</v>
      </c>
      <c r="N499" t="s">
        <v>45</v>
      </c>
      <c r="O499" t="s">
        <v>100</v>
      </c>
      <c r="P499">
        <v>2</v>
      </c>
      <c r="Q499" t="s">
        <v>62</v>
      </c>
      <c r="R499" t="s">
        <v>148</v>
      </c>
      <c r="S499" t="s">
        <v>49</v>
      </c>
      <c r="U499" t="s">
        <v>50</v>
      </c>
      <c r="X499" t="s">
        <v>65</v>
      </c>
      <c r="Y499" t="s">
        <v>78</v>
      </c>
      <c r="AA499">
        <v>0</v>
      </c>
      <c r="AB499" t="s">
        <v>79</v>
      </c>
      <c r="AC499" t="s">
        <v>87</v>
      </c>
      <c r="AD499">
        <v>36</v>
      </c>
      <c r="AE499">
        <v>9</v>
      </c>
      <c r="AF499">
        <v>3</v>
      </c>
      <c r="AG499">
        <v>2025</v>
      </c>
      <c r="AH499" s="2">
        <v>5200</v>
      </c>
      <c r="AI499" s="2">
        <v>1248.012939453125</v>
      </c>
      <c r="AJ499" s="2">
        <f t="shared" si="56"/>
        <v>3951.987060546875</v>
      </c>
      <c r="AK499" s="6">
        <f t="shared" si="57"/>
        <v>0.75999751164362983</v>
      </c>
      <c r="AL499" s="12">
        <v>5200</v>
      </c>
      <c r="AM499" s="12">
        <v>1367.543737266526</v>
      </c>
      <c r="AN499" s="12">
        <f t="shared" si="58"/>
        <v>3832.456262733474</v>
      </c>
      <c r="AO499" s="13">
        <f t="shared" si="59"/>
        <v>0.73701081975643734</v>
      </c>
      <c r="AP499" s="16">
        <v>5200</v>
      </c>
      <c r="AQ499" s="16">
        <v>1576.454728720008</v>
      </c>
      <c r="AR499" s="16">
        <f t="shared" si="60"/>
        <v>3623.545271279992</v>
      </c>
      <c r="AS499" s="17">
        <f t="shared" si="61"/>
        <v>0.69683562909230612</v>
      </c>
      <c r="AT499" s="20">
        <v>5200</v>
      </c>
      <c r="AU499" s="20">
        <v>1225.991943359375</v>
      </c>
      <c r="AV499" s="20">
        <f t="shared" si="62"/>
        <v>3974.008056640625</v>
      </c>
      <c r="AW499" s="21">
        <f t="shared" si="63"/>
        <v>0.76423231858473561</v>
      </c>
    </row>
    <row r="500" spans="1:49" x14ac:dyDescent="0.25">
      <c r="A500" t="s">
        <v>38</v>
      </c>
      <c r="B500" t="s">
        <v>96</v>
      </c>
      <c r="C500">
        <v>71507</v>
      </c>
      <c r="D500">
        <v>2019</v>
      </c>
      <c r="E500" t="s">
        <v>388</v>
      </c>
      <c r="F500" t="s">
        <v>829</v>
      </c>
      <c r="H500" t="s">
        <v>830</v>
      </c>
      <c r="I500">
        <v>4</v>
      </c>
      <c r="J500" t="s">
        <v>135</v>
      </c>
      <c r="K500">
        <v>4</v>
      </c>
      <c r="L500" t="s">
        <v>44</v>
      </c>
      <c r="M500">
        <v>2</v>
      </c>
      <c r="N500" t="s">
        <v>45</v>
      </c>
      <c r="O500" t="s">
        <v>46</v>
      </c>
      <c r="P500">
        <v>2</v>
      </c>
      <c r="Q500" t="s">
        <v>62</v>
      </c>
      <c r="R500" t="s">
        <v>63</v>
      </c>
      <c r="S500" t="s">
        <v>49</v>
      </c>
      <c r="T500">
        <v>148</v>
      </c>
      <c r="U500" t="s">
        <v>50</v>
      </c>
      <c r="V500" t="s">
        <v>51</v>
      </c>
      <c r="W500" t="s">
        <v>438</v>
      </c>
      <c r="X500" t="s">
        <v>65</v>
      </c>
      <c r="Y500" t="s">
        <v>54</v>
      </c>
      <c r="AA500">
        <v>0</v>
      </c>
      <c r="AB500" t="s">
        <v>79</v>
      </c>
      <c r="AC500" t="s">
        <v>87</v>
      </c>
      <c r="AD500">
        <v>36</v>
      </c>
      <c r="AE500">
        <v>9</v>
      </c>
      <c r="AF500">
        <v>3</v>
      </c>
      <c r="AG500">
        <v>2025</v>
      </c>
      <c r="AH500" s="2">
        <v>8750</v>
      </c>
      <c r="AI500" s="2">
        <v>6876.77197265625</v>
      </c>
      <c r="AJ500" s="2">
        <f t="shared" si="56"/>
        <v>1873.22802734375</v>
      </c>
      <c r="AK500" s="6">
        <f t="shared" si="57"/>
        <v>0.21408320312500001</v>
      </c>
      <c r="AL500" s="12">
        <v>8750</v>
      </c>
      <c r="AM500" s="12">
        <v>6152.8738769767306</v>
      </c>
      <c r="AN500" s="12">
        <f t="shared" si="58"/>
        <v>2597.1261230232694</v>
      </c>
      <c r="AO500" s="13">
        <f t="shared" si="59"/>
        <v>0.29681441405980225</v>
      </c>
      <c r="AP500" s="16">
        <v>8750</v>
      </c>
      <c r="AQ500" s="16">
        <v>6818.7548207625769</v>
      </c>
      <c r="AR500" s="16">
        <f t="shared" si="60"/>
        <v>1931.2451792374231</v>
      </c>
      <c r="AS500" s="17">
        <f t="shared" si="61"/>
        <v>0.2207137347699912</v>
      </c>
      <c r="AT500" s="20">
        <v>8750</v>
      </c>
      <c r="AU500" s="20">
        <v>6906.5888671875</v>
      </c>
      <c r="AV500" s="20">
        <f t="shared" si="62"/>
        <v>1843.4111328125</v>
      </c>
      <c r="AW500" s="21">
        <f t="shared" si="63"/>
        <v>0.21067555803571428</v>
      </c>
    </row>
    <row r="501" spans="1:49" x14ac:dyDescent="0.25">
      <c r="A501" t="s">
        <v>38</v>
      </c>
      <c r="B501" t="s">
        <v>96</v>
      </c>
      <c r="C501">
        <v>141528</v>
      </c>
      <c r="D501">
        <v>2018</v>
      </c>
      <c r="E501" t="s">
        <v>174</v>
      </c>
      <c r="F501" t="s">
        <v>314</v>
      </c>
      <c r="G501" t="s">
        <v>176</v>
      </c>
      <c r="H501" t="s">
        <v>89</v>
      </c>
      <c r="I501">
        <v>8</v>
      </c>
      <c r="J501" t="s">
        <v>72</v>
      </c>
      <c r="K501">
        <v>4</v>
      </c>
      <c r="L501" t="s">
        <v>44</v>
      </c>
      <c r="M501">
        <v>5.3</v>
      </c>
      <c r="N501" t="s">
        <v>73</v>
      </c>
      <c r="O501" t="s">
        <v>46</v>
      </c>
      <c r="Q501" t="s">
        <v>74</v>
      </c>
      <c r="R501" t="s">
        <v>92</v>
      </c>
      <c r="S501" t="s">
        <v>49</v>
      </c>
      <c r="U501" t="s">
        <v>50</v>
      </c>
      <c r="W501" t="s">
        <v>459</v>
      </c>
      <c r="X501" t="s">
        <v>94</v>
      </c>
      <c r="Y501" t="s">
        <v>126</v>
      </c>
      <c r="AA501">
        <v>0</v>
      </c>
      <c r="AB501" t="s">
        <v>79</v>
      </c>
      <c r="AC501" t="s">
        <v>95</v>
      </c>
      <c r="AD501">
        <v>36</v>
      </c>
      <c r="AE501">
        <v>9</v>
      </c>
      <c r="AF501">
        <v>3</v>
      </c>
      <c r="AG501">
        <v>2025</v>
      </c>
      <c r="AH501" s="2">
        <v>17000</v>
      </c>
      <c r="AI501" s="2">
        <v>14755.5517578125</v>
      </c>
      <c r="AJ501" s="2">
        <f t="shared" si="56"/>
        <v>2244.4482421875</v>
      </c>
      <c r="AK501" s="6">
        <f t="shared" si="57"/>
        <v>0.13202636718749999</v>
      </c>
      <c r="AL501" s="12">
        <v>17000</v>
      </c>
      <c r="AM501" s="12">
        <v>15223.18559526231</v>
      </c>
      <c r="AN501" s="12">
        <f t="shared" si="58"/>
        <v>1776.81440473769</v>
      </c>
      <c r="AO501" s="13">
        <f t="shared" si="59"/>
        <v>0.1045184943963347</v>
      </c>
      <c r="AP501" s="16">
        <v>17000</v>
      </c>
      <c r="AQ501" s="16">
        <v>14264.701204747969</v>
      </c>
      <c r="AR501" s="16">
        <f t="shared" si="60"/>
        <v>2735.2987952520307</v>
      </c>
      <c r="AS501" s="17">
        <f t="shared" si="61"/>
        <v>0.16089992913247239</v>
      </c>
      <c r="AT501" s="20">
        <v>17000</v>
      </c>
      <c r="AU501" s="20">
        <v>14823.87890625</v>
      </c>
      <c r="AV501" s="20">
        <f t="shared" si="62"/>
        <v>2176.12109375</v>
      </c>
      <c r="AW501" s="21">
        <f t="shared" si="63"/>
        <v>0.12800712316176471</v>
      </c>
    </row>
    <row r="502" spans="1:49" x14ac:dyDescent="0.25">
      <c r="A502" t="s">
        <v>38</v>
      </c>
      <c r="B502" t="s">
        <v>39</v>
      </c>
      <c r="C502">
        <v>217180</v>
      </c>
      <c r="D502">
        <v>2007</v>
      </c>
      <c r="E502" t="s">
        <v>69</v>
      </c>
      <c r="F502" t="s">
        <v>231</v>
      </c>
      <c r="G502" t="s">
        <v>831</v>
      </c>
      <c r="H502" t="s">
        <v>832</v>
      </c>
      <c r="I502">
        <v>8</v>
      </c>
      <c r="J502" t="s">
        <v>43</v>
      </c>
      <c r="K502">
        <v>4</v>
      </c>
      <c r="L502" t="s">
        <v>44</v>
      </c>
      <c r="M502">
        <v>5.4</v>
      </c>
      <c r="N502" t="s">
        <v>73</v>
      </c>
      <c r="O502" t="s">
        <v>46</v>
      </c>
      <c r="Q502" t="s">
        <v>74</v>
      </c>
      <c r="R502" t="s">
        <v>92</v>
      </c>
      <c r="S502" t="s">
        <v>49</v>
      </c>
      <c r="U502" t="s">
        <v>180</v>
      </c>
      <c r="V502" t="s">
        <v>76</v>
      </c>
      <c r="X502" t="s">
        <v>108</v>
      </c>
      <c r="Y502" t="s">
        <v>78</v>
      </c>
      <c r="AA502">
        <v>0</v>
      </c>
      <c r="AB502" t="s">
        <v>79</v>
      </c>
      <c r="AC502" t="s">
        <v>95</v>
      </c>
      <c r="AD502">
        <v>36</v>
      </c>
      <c r="AE502">
        <v>9</v>
      </c>
      <c r="AF502">
        <v>3</v>
      </c>
      <c r="AG502">
        <v>2025</v>
      </c>
      <c r="AH502" s="2">
        <v>2000</v>
      </c>
      <c r="AI502" s="2">
        <v>2450.607421875</v>
      </c>
      <c r="AJ502" s="2">
        <f t="shared" si="56"/>
        <v>450.607421875</v>
      </c>
      <c r="AK502" s="6">
        <f t="shared" si="57"/>
        <v>0.22530371093750001</v>
      </c>
      <c r="AL502" s="12">
        <v>2000</v>
      </c>
      <c r="AM502" s="12">
        <v>2404.1631521615259</v>
      </c>
      <c r="AN502" s="12">
        <f t="shared" si="58"/>
        <v>404.16315216152589</v>
      </c>
      <c r="AO502" s="13">
        <f t="shared" si="59"/>
        <v>0.20208157608076294</v>
      </c>
      <c r="AP502" s="16">
        <v>2000</v>
      </c>
      <c r="AQ502" s="16">
        <v>2378.134424137254</v>
      </c>
      <c r="AR502" s="16">
        <f t="shared" si="60"/>
        <v>378.13442413725397</v>
      </c>
      <c r="AS502" s="17">
        <f t="shared" si="61"/>
        <v>0.18906721206862698</v>
      </c>
      <c r="AT502" s="20">
        <v>2000</v>
      </c>
      <c r="AU502" s="20">
        <v>2466.126953125</v>
      </c>
      <c r="AV502" s="20">
        <f t="shared" si="62"/>
        <v>466.126953125</v>
      </c>
      <c r="AW502" s="21">
        <f t="shared" si="63"/>
        <v>0.23306347656250001</v>
      </c>
    </row>
    <row r="503" spans="1:49" x14ac:dyDescent="0.25">
      <c r="A503" t="s">
        <v>38</v>
      </c>
      <c r="B503" t="s">
        <v>110</v>
      </c>
      <c r="C503">
        <v>194328</v>
      </c>
      <c r="D503">
        <v>2012</v>
      </c>
      <c r="E503" t="s">
        <v>97</v>
      </c>
      <c r="F503" t="s">
        <v>444</v>
      </c>
      <c r="G503" t="s">
        <v>199</v>
      </c>
      <c r="I503">
        <v>6</v>
      </c>
      <c r="J503" t="s">
        <v>61</v>
      </c>
      <c r="K503">
        <v>2</v>
      </c>
      <c r="L503" t="s">
        <v>402</v>
      </c>
      <c r="M503">
        <v>3.6</v>
      </c>
      <c r="N503" t="s">
        <v>73</v>
      </c>
      <c r="Q503" t="s">
        <v>47</v>
      </c>
      <c r="R503" t="s">
        <v>197</v>
      </c>
      <c r="U503" t="s">
        <v>50</v>
      </c>
      <c r="W503" t="s">
        <v>406</v>
      </c>
      <c r="X503" t="s">
        <v>125</v>
      </c>
      <c r="Y503" t="s">
        <v>103</v>
      </c>
      <c r="AA503">
        <v>0</v>
      </c>
      <c r="AB503" t="s">
        <v>79</v>
      </c>
      <c r="AC503" t="s">
        <v>197</v>
      </c>
      <c r="AD503">
        <v>36</v>
      </c>
      <c r="AE503">
        <v>9</v>
      </c>
      <c r="AF503">
        <v>3</v>
      </c>
      <c r="AG503">
        <v>2025</v>
      </c>
      <c r="AH503" s="2">
        <v>3200</v>
      </c>
      <c r="AI503" s="2">
        <v>2316.733154296875</v>
      </c>
      <c r="AJ503" s="2">
        <f t="shared" si="56"/>
        <v>883.266845703125</v>
      </c>
      <c r="AK503" s="6">
        <f t="shared" si="57"/>
        <v>0.27602088928222657</v>
      </c>
      <c r="AL503" s="12">
        <v>3200</v>
      </c>
      <c r="AM503" s="12">
        <v>2415.5002195201891</v>
      </c>
      <c r="AN503" s="12">
        <f t="shared" si="58"/>
        <v>784.49978047981085</v>
      </c>
      <c r="AO503" s="13">
        <f t="shared" si="59"/>
        <v>0.24515618139994089</v>
      </c>
      <c r="AP503" s="16">
        <v>3200</v>
      </c>
      <c r="AQ503" s="16">
        <v>2650.535794877328</v>
      </c>
      <c r="AR503" s="16">
        <f t="shared" si="60"/>
        <v>549.46420512267196</v>
      </c>
      <c r="AS503" s="17">
        <f t="shared" si="61"/>
        <v>0.17170756410083499</v>
      </c>
      <c r="AT503" s="20">
        <v>3200</v>
      </c>
      <c r="AU503" s="20">
        <v>2349.787109375</v>
      </c>
      <c r="AV503" s="20">
        <f t="shared" si="62"/>
        <v>850.212890625</v>
      </c>
      <c r="AW503" s="21">
        <f t="shared" si="63"/>
        <v>0.26569152832031251</v>
      </c>
    </row>
    <row r="504" spans="1:49" x14ac:dyDescent="0.25">
      <c r="A504" t="s">
        <v>38</v>
      </c>
      <c r="B504" t="s">
        <v>39</v>
      </c>
      <c r="C504">
        <v>219785</v>
      </c>
      <c r="D504">
        <v>2017</v>
      </c>
      <c r="E504" t="s">
        <v>403</v>
      </c>
      <c r="F504" t="s">
        <v>661</v>
      </c>
      <c r="G504" t="s">
        <v>405</v>
      </c>
      <c r="I504">
        <v>6</v>
      </c>
      <c r="J504" t="s">
        <v>135</v>
      </c>
      <c r="K504">
        <v>4</v>
      </c>
      <c r="L504" t="s">
        <v>44</v>
      </c>
      <c r="M504">
        <v>3.6</v>
      </c>
      <c r="N504" t="s">
        <v>45</v>
      </c>
      <c r="O504" t="s">
        <v>46</v>
      </c>
      <c r="Q504" t="s">
        <v>62</v>
      </c>
      <c r="R504" t="s">
        <v>63</v>
      </c>
      <c r="S504" t="s">
        <v>101</v>
      </c>
      <c r="U504" t="s">
        <v>50</v>
      </c>
      <c r="V504" t="s">
        <v>76</v>
      </c>
      <c r="W504" t="s">
        <v>833</v>
      </c>
      <c r="X504" t="s">
        <v>94</v>
      </c>
      <c r="Y504" t="s">
        <v>78</v>
      </c>
      <c r="Z504">
        <v>45295</v>
      </c>
      <c r="AA504">
        <v>0</v>
      </c>
      <c r="AB504" t="s">
        <v>79</v>
      </c>
      <c r="AC504" t="s">
        <v>87</v>
      </c>
      <c r="AD504">
        <v>36</v>
      </c>
      <c r="AE504">
        <v>9</v>
      </c>
      <c r="AF504">
        <v>3</v>
      </c>
      <c r="AG504">
        <v>2025</v>
      </c>
      <c r="AH504" s="2">
        <v>5000</v>
      </c>
      <c r="AI504" s="2">
        <v>3174.3564453125</v>
      </c>
      <c r="AJ504" s="2">
        <f t="shared" si="56"/>
        <v>1825.6435546875</v>
      </c>
      <c r="AK504" s="6">
        <f t="shared" si="57"/>
        <v>0.36512871093749999</v>
      </c>
      <c r="AL504" s="12">
        <v>5000</v>
      </c>
      <c r="AM504" s="12">
        <v>3628.478535034852</v>
      </c>
      <c r="AN504" s="12">
        <f t="shared" si="58"/>
        <v>1371.521464965148</v>
      </c>
      <c r="AO504" s="13">
        <f t="shared" si="59"/>
        <v>0.27430429299302961</v>
      </c>
      <c r="AP504" s="16">
        <v>5000</v>
      </c>
      <c r="AQ504" s="16">
        <v>4178.7684033383603</v>
      </c>
      <c r="AR504" s="16">
        <f t="shared" si="60"/>
        <v>821.23159666163974</v>
      </c>
      <c r="AS504" s="17">
        <f t="shared" si="61"/>
        <v>0.16424631933232794</v>
      </c>
      <c r="AT504" s="20">
        <v>5000</v>
      </c>
      <c r="AU504" s="20">
        <v>3249.74169921875</v>
      </c>
      <c r="AV504" s="20">
        <f t="shared" si="62"/>
        <v>1750.25830078125</v>
      </c>
      <c r="AW504" s="21">
        <f t="shared" si="63"/>
        <v>0.35005166015625</v>
      </c>
    </row>
    <row r="505" spans="1:49" x14ac:dyDescent="0.25">
      <c r="A505" t="s">
        <v>38</v>
      </c>
      <c r="B505" t="s">
        <v>96</v>
      </c>
      <c r="C505">
        <v>37592</v>
      </c>
      <c r="D505">
        <v>2023</v>
      </c>
      <c r="E505" t="s">
        <v>142</v>
      </c>
      <c r="F505" t="s">
        <v>335</v>
      </c>
      <c r="G505" t="s">
        <v>457</v>
      </c>
      <c r="I505">
        <v>4</v>
      </c>
      <c r="J505" t="s">
        <v>72</v>
      </c>
      <c r="K505">
        <v>4</v>
      </c>
      <c r="L505" t="s">
        <v>44</v>
      </c>
      <c r="M505">
        <v>2</v>
      </c>
      <c r="N505" t="s">
        <v>91</v>
      </c>
      <c r="O505" t="s">
        <v>46</v>
      </c>
      <c r="P505">
        <v>5</v>
      </c>
      <c r="Q505" t="s">
        <v>62</v>
      </c>
      <c r="R505" t="s">
        <v>63</v>
      </c>
      <c r="S505" t="s">
        <v>93</v>
      </c>
      <c r="T505">
        <v>200</v>
      </c>
      <c r="U505" t="s">
        <v>50</v>
      </c>
      <c r="V505" t="s">
        <v>51</v>
      </c>
      <c r="X505" t="s">
        <v>65</v>
      </c>
      <c r="Y505" t="s">
        <v>126</v>
      </c>
      <c r="AA505">
        <v>0</v>
      </c>
      <c r="AB505" t="s">
        <v>79</v>
      </c>
      <c r="AC505" t="s">
        <v>87</v>
      </c>
      <c r="AD505">
        <v>36</v>
      </c>
      <c r="AE505">
        <v>9</v>
      </c>
      <c r="AF505">
        <v>3</v>
      </c>
      <c r="AG505">
        <v>2025</v>
      </c>
      <c r="AH505" s="2">
        <v>18000</v>
      </c>
      <c r="AI505" s="2">
        <v>22241.02734375</v>
      </c>
      <c r="AJ505" s="2">
        <f t="shared" si="56"/>
        <v>4241.02734375</v>
      </c>
      <c r="AK505" s="6">
        <f t="shared" si="57"/>
        <v>0.23561263020833334</v>
      </c>
      <c r="AL505" s="12">
        <v>18000</v>
      </c>
      <c r="AM505" s="12">
        <v>22813.84002569957</v>
      </c>
      <c r="AN505" s="12">
        <f t="shared" si="58"/>
        <v>4813.8400256995701</v>
      </c>
      <c r="AO505" s="13">
        <f t="shared" si="59"/>
        <v>0.26743555698330945</v>
      </c>
      <c r="AP505" s="16">
        <v>18000</v>
      </c>
      <c r="AQ505" s="16">
        <v>18352.43394671808</v>
      </c>
      <c r="AR505" s="16">
        <f t="shared" si="60"/>
        <v>352.43394671807982</v>
      </c>
      <c r="AS505" s="17">
        <f t="shared" si="61"/>
        <v>1.9579663706559992E-2</v>
      </c>
      <c r="AT505" s="20">
        <v>18000</v>
      </c>
      <c r="AU505" s="20">
        <v>22108.365234375</v>
      </c>
      <c r="AV505" s="20">
        <f t="shared" si="62"/>
        <v>4108.365234375</v>
      </c>
      <c r="AW505" s="21">
        <f t="shared" si="63"/>
        <v>0.22824251302083334</v>
      </c>
    </row>
    <row r="506" spans="1:49" x14ac:dyDescent="0.25">
      <c r="A506" t="s">
        <v>38</v>
      </c>
      <c r="B506" t="s">
        <v>110</v>
      </c>
      <c r="C506">
        <v>83181</v>
      </c>
      <c r="D506">
        <v>2021</v>
      </c>
      <c r="E506" t="s">
        <v>166</v>
      </c>
      <c r="F506" t="s">
        <v>167</v>
      </c>
      <c r="G506" t="s">
        <v>224</v>
      </c>
      <c r="I506">
        <v>6</v>
      </c>
      <c r="J506" t="s">
        <v>106</v>
      </c>
      <c r="K506">
        <v>4</v>
      </c>
      <c r="L506" t="s">
        <v>44</v>
      </c>
      <c r="M506">
        <v>3.5</v>
      </c>
      <c r="N506" t="s">
        <v>45</v>
      </c>
      <c r="Q506" t="s">
        <v>62</v>
      </c>
      <c r="R506" t="s">
        <v>63</v>
      </c>
      <c r="S506" t="s">
        <v>49</v>
      </c>
      <c r="T506">
        <v>280</v>
      </c>
      <c r="U506" t="s">
        <v>50</v>
      </c>
      <c r="V506" t="s">
        <v>76</v>
      </c>
      <c r="W506" t="s">
        <v>412</v>
      </c>
      <c r="X506" t="s">
        <v>141</v>
      </c>
      <c r="Y506" t="s">
        <v>78</v>
      </c>
      <c r="Z506">
        <v>39260</v>
      </c>
      <c r="AA506">
        <v>0</v>
      </c>
      <c r="AB506" t="s">
        <v>79</v>
      </c>
      <c r="AC506" t="s">
        <v>109</v>
      </c>
      <c r="AD506">
        <v>36</v>
      </c>
      <c r="AE506">
        <v>9</v>
      </c>
      <c r="AF506">
        <v>3</v>
      </c>
      <c r="AG506">
        <v>2025</v>
      </c>
      <c r="AH506" s="2">
        <v>19800</v>
      </c>
      <c r="AI506" s="2">
        <v>21666.90234375</v>
      </c>
      <c r="AJ506" s="2">
        <f t="shared" si="56"/>
        <v>1866.90234375</v>
      </c>
      <c r="AK506" s="6">
        <f t="shared" si="57"/>
        <v>9.4287997159090906E-2</v>
      </c>
      <c r="AL506" s="12">
        <v>19800</v>
      </c>
      <c r="AM506" s="12">
        <v>20011.687104972942</v>
      </c>
      <c r="AN506" s="12">
        <f t="shared" si="58"/>
        <v>211.6871049729416</v>
      </c>
      <c r="AO506" s="13">
        <f t="shared" si="59"/>
        <v>1.0691267927926342E-2</v>
      </c>
      <c r="AP506" s="16">
        <v>19800</v>
      </c>
      <c r="AQ506" s="16">
        <v>15900.638333768329</v>
      </c>
      <c r="AR506" s="16">
        <f t="shared" si="60"/>
        <v>3899.3616662316708</v>
      </c>
      <c r="AS506" s="17">
        <f t="shared" si="61"/>
        <v>0.19693745789048842</v>
      </c>
      <c r="AT506" s="20">
        <v>19800</v>
      </c>
      <c r="AU506" s="20">
        <v>21219.94140625</v>
      </c>
      <c r="AV506" s="20">
        <f t="shared" si="62"/>
        <v>1419.94140625</v>
      </c>
      <c r="AW506" s="21">
        <f t="shared" si="63"/>
        <v>7.1714212436868693E-2</v>
      </c>
    </row>
    <row r="507" spans="1:49" x14ac:dyDescent="0.25">
      <c r="A507" t="s">
        <v>38</v>
      </c>
      <c r="B507" t="s">
        <v>96</v>
      </c>
      <c r="C507">
        <v>254086</v>
      </c>
      <c r="D507">
        <v>2010</v>
      </c>
      <c r="E507" t="s">
        <v>40</v>
      </c>
      <c r="F507" t="s">
        <v>550</v>
      </c>
      <c r="G507" t="s">
        <v>112</v>
      </c>
      <c r="H507" t="s">
        <v>551</v>
      </c>
      <c r="I507">
        <v>4</v>
      </c>
      <c r="J507" t="s">
        <v>72</v>
      </c>
      <c r="K507">
        <v>4</v>
      </c>
      <c r="L507" t="s">
        <v>44</v>
      </c>
      <c r="M507">
        <v>2.7</v>
      </c>
      <c r="N507" t="s">
        <v>45</v>
      </c>
      <c r="O507" t="s">
        <v>46</v>
      </c>
      <c r="P507">
        <v>1</v>
      </c>
      <c r="Q507" t="s">
        <v>62</v>
      </c>
      <c r="R507" t="s">
        <v>63</v>
      </c>
      <c r="S507" t="s">
        <v>49</v>
      </c>
      <c r="U507" t="s">
        <v>50</v>
      </c>
      <c r="V507" t="s">
        <v>51</v>
      </c>
      <c r="W507" t="s">
        <v>834</v>
      </c>
      <c r="X507" t="s">
        <v>141</v>
      </c>
      <c r="Y507" t="s">
        <v>54</v>
      </c>
      <c r="AA507">
        <v>0</v>
      </c>
      <c r="AB507" t="s">
        <v>79</v>
      </c>
      <c r="AC507" t="s">
        <v>87</v>
      </c>
      <c r="AD507">
        <v>36</v>
      </c>
      <c r="AE507">
        <v>9</v>
      </c>
      <c r="AF507">
        <v>3</v>
      </c>
      <c r="AG507">
        <v>2025</v>
      </c>
      <c r="AH507" s="2">
        <v>1200</v>
      </c>
      <c r="AI507" s="2">
        <v>1601.548828125</v>
      </c>
      <c r="AJ507" s="2">
        <f t="shared" si="56"/>
        <v>401.548828125</v>
      </c>
      <c r="AK507" s="6">
        <f t="shared" si="57"/>
        <v>0.33462402343749997</v>
      </c>
      <c r="AL507" s="12">
        <v>1200</v>
      </c>
      <c r="AM507" s="12">
        <v>1313.872399886684</v>
      </c>
      <c r="AN507" s="12">
        <f t="shared" si="58"/>
        <v>113.87239988668398</v>
      </c>
      <c r="AO507" s="13">
        <f t="shared" si="59"/>
        <v>9.4893666572236648E-2</v>
      </c>
      <c r="AP507" s="16">
        <v>1200</v>
      </c>
      <c r="AQ507" s="16">
        <v>1152.0965834456661</v>
      </c>
      <c r="AR507" s="16">
        <f t="shared" si="60"/>
        <v>47.903416554333944</v>
      </c>
      <c r="AS507" s="17">
        <f t="shared" si="61"/>
        <v>3.9919513795278284E-2</v>
      </c>
      <c r="AT507" s="20">
        <v>1200</v>
      </c>
      <c r="AU507" s="20">
        <v>1506.784423828125</v>
      </c>
      <c r="AV507" s="20">
        <f t="shared" si="62"/>
        <v>306.784423828125</v>
      </c>
      <c r="AW507" s="21">
        <f t="shared" si="63"/>
        <v>0.25565368652343751</v>
      </c>
    </row>
    <row r="508" spans="1:49" x14ac:dyDescent="0.25">
      <c r="A508" t="s">
        <v>38</v>
      </c>
      <c r="B508" t="s">
        <v>39</v>
      </c>
      <c r="C508">
        <v>224317</v>
      </c>
      <c r="D508">
        <v>2006</v>
      </c>
      <c r="E508" t="s">
        <v>166</v>
      </c>
      <c r="F508" t="s">
        <v>562</v>
      </c>
      <c r="G508" t="s">
        <v>248</v>
      </c>
      <c r="I508">
        <v>6</v>
      </c>
      <c r="J508" t="s">
        <v>178</v>
      </c>
      <c r="K508">
        <v>4</v>
      </c>
      <c r="L508" t="s">
        <v>402</v>
      </c>
      <c r="M508">
        <v>3</v>
      </c>
      <c r="N508" t="s">
        <v>45</v>
      </c>
      <c r="O508" t="s">
        <v>46</v>
      </c>
      <c r="Q508" t="s">
        <v>47</v>
      </c>
      <c r="R508" t="s">
        <v>123</v>
      </c>
      <c r="T508">
        <v>244</v>
      </c>
      <c r="U508" t="s">
        <v>50</v>
      </c>
      <c r="V508" t="s">
        <v>76</v>
      </c>
      <c r="W508" t="s">
        <v>835</v>
      </c>
      <c r="X508" t="s">
        <v>65</v>
      </c>
      <c r="Y508" t="s">
        <v>78</v>
      </c>
      <c r="AA508">
        <v>0</v>
      </c>
      <c r="AB508" t="s">
        <v>79</v>
      </c>
      <c r="AC508" t="s">
        <v>127</v>
      </c>
      <c r="AD508">
        <v>36</v>
      </c>
      <c r="AE508">
        <v>9</v>
      </c>
      <c r="AF508">
        <v>3</v>
      </c>
      <c r="AG508">
        <v>2025</v>
      </c>
      <c r="AH508" s="2">
        <v>1000</v>
      </c>
      <c r="AI508" s="2">
        <v>1282.1337890625</v>
      </c>
      <c r="AJ508" s="2">
        <f t="shared" si="56"/>
        <v>282.1337890625</v>
      </c>
      <c r="AK508" s="6">
        <f t="shared" si="57"/>
        <v>0.28213378906249997</v>
      </c>
      <c r="AL508" s="12">
        <v>1000</v>
      </c>
      <c r="AM508" s="12">
        <v>1304.5038241106411</v>
      </c>
      <c r="AN508" s="12">
        <f t="shared" si="58"/>
        <v>304.50382411064106</v>
      </c>
      <c r="AO508" s="13">
        <f t="shared" si="59"/>
        <v>0.30450382411064109</v>
      </c>
      <c r="AP508" s="16">
        <v>1000</v>
      </c>
      <c r="AQ508" s="16">
        <v>1144.9248486743909</v>
      </c>
      <c r="AR508" s="16">
        <f t="shared" si="60"/>
        <v>144.92484867439089</v>
      </c>
      <c r="AS508" s="17">
        <f t="shared" si="61"/>
        <v>0.1449248486743909</v>
      </c>
      <c r="AT508" s="20">
        <v>1000</v>
      </c>
      <c r="AU508" s="20">
        <v>1255.55712890625</v>
      </c>
      <c r="AV508" s="20">
        <f t="shared" si="62"/>
        <v>255.55712890625</v>
      </c>
      <c r="AW508" s="21">
        <f t="shared" si="63"/>
        <v>0.25555712890624999</v>
      </c>
    </row>
    <row r="509" spans="1:49" x14ac:dyDescent="0.25">
      <c r="A509" t="s">
        <v>81</v>
      </c>
      <c r="B509" t="s">
        <v>82</v>
      </c>
      <c r="C509">
        <v>130215</v>
      </c>
      <c r="D509">
        <v>2014</v>
      </c>
      <c r="E509" t="s">
        <v>142</v>
      </c>
      <c r="F509" t="s">
        <v>649</v>
      </c>
      <c r="G509" t="s">
        <v>336</v>
      </c>
      <c r="I509">
        <v>4</v>
      </c>
      <c r="J509" t="s">
        <v>122</v>
      </c>
      <c r="K509">
        <v>4</v>
      </c>
      <c r="L509" t="s">
        <v>44</v>
      </c>
      <c r="M509">
        <v>2.4</v>
      </c>
      <c r="N509" t="s">
        <v>91</v>
      </c>
      <c r="O509" t="s">
        <v>46</v>
      </c>
      <c r="Q509" t="s">
        <v>62</v>
      </c>
      <c r="R509" t="s">
        <v>63</v>
      </c>
      <c r="S509" t="s">
        <v>93</v>
      </c>
      <c r="U509" t="s">
        <v>50</v>
      </c>
      <c r="X509" t="s">
        <v>65</v>
      </c>
      <c r="Y509" t="s">
        <v>78</v>
      </c>
      <c r="AA509">
        <v>0</v>
      </c>
      <c r="AB509" t="s">
        <v>79</v>
      </c>
      <c r="AC509" t="s">
        <v>87</v>
      </c>
      <c r="AD509">
        <v>36</v>
      </c>
      <c r="AE509">
        <v>9</v>
      </c>
      <c r="AF509">
        <v>3</v>
      </c>
      <c r="AG509">
        <v>2025</v>
      </c>
      <c r="AH509" s="2">
        <v>2300</v>
      </c>
      <c r="AI509" s="2">
        <v>2361.150634765625</v>
      </c>
      <c r="AJ509" s="2">
        <f t="shared" si="56"/>
        <v>61.150634765625</v>
      </c>
      <c r="AK509" s="6">
        <f t="shared" si="57"/>
        <v>2.6587232506793478E-2</v>
      </c>
      <c r="AL509" s="12">
        <v>2300</v>
      </c>
      <c r="AM509" s="12">
        <v>2465.066340667835</v>
      </c>
      <c r="AN509" s="12">
        <f t="shared" si="58"/>
        <v>165.06634066783499</v>
      </c>
      <c r="AO509" s="13">
        <f t="shared" si="59"/>
        <v>7.1767974203406512E-2</v>
      </c>
      <c r="AP509" s="16">
        <v>2300</v>
      </c>
      <c r="AQ509" s="16">
        <v>1677.6465742931521</v>
      </c>
      <c r="AR509" s="16">
        <f t="shared" si="60"/>
        <v>622.35342570684793</v>
      </c>
      <c r="AS509" s="17">
        <f t="shared" si="61"/>
        <v>0.2705884459594991</v>
      </c>
      <c r="AT509" s="20">
        <v>2300</v>
      </c>
      <c r="AU509" s="20">
        <v>2373.1826171875</v>
      </c>
      <c r="AV509" s="20">
        <f t="shared" si="62"/>
        <v>73.1826171875</v>
      </c>
      <c r="AW509" s="21">
        <f t="shared" si="63"/>
        <v>3.181852921195652E-2</v>
      </c>
    </row>
    <row r="510" spans="1:49" x14ac:dyDescent="0.25">
      <c r="A510" t="s">
        <v>81</v>
      </c>
      <c r="B510" t="s">
        <v>836</v>
      </c>
      <c r="C510">
        <v>32819</v>
      </c>
      <c r="D510">
        <v>2022</v>
      </c>
      <c r="E510" t="s">
        <v>58</v>
      </c>
      <c r="F510" t="s">
        <v>837</v>
      </c>
      <c r="G510" t="s">
        <v>838</v>
      </c>
      <c r="I510">
        <v>4</v>
      </c>
      <c r="J510" t="s">
        <v>72</v>
      </c>
      <c r="K510">
        <v>4</v>
      </c>
      <c r="L510" t="s">
        <v>44</v>
      </c>
      <c r="M510">
        <v>1.6</v>
      </c>
      <c r="N510" t="s">
        <v>44</v>
      </c>
      <c r="Q510" t="s">
        <v>47</v>
      </c>
      <c r="R510" t="s">
        <v>123</v>
      </c>
      <c r="U510" t="s">
        <v>50</v>
      </c>
      <c r="W510" t="s">
        <v>839</v>
      </c>
      <c r="X510" t="s">
        <v>125</v>
      </c>
      <c r="Y510" t="s">
        <v>78</v>
      </c>
      <c r="AA510">
        <v>0</v>
      </c>
      <c r="AB510" t="s">
        <v>79</v>
      </c>
      <c r="AC510" t="s">
        <v>127</v>
      </c>
      <c r="AD510">
        <v>36</v>
      </c>
      <c r="AE510">
        <v>9</v>
      </c>
      <c r="AF510">
        <v>3</v>
      </c>
      <c r="AG510">
        <v>2025</v>
      </c>
      <c r="AH510" s="2">
        <v>21000</v>
      </c>
      <c r="AI510" s="2">
        <v>23713.412109375</v>
      </c>
      <c r="AJ510" s="2">
        <f t="shared" si="56"/>
        <v>2713.412109375</v>
      </c>
      <c r="AK510" s="6">
        <f t="shared" si="57"/>
        <v>0.12921010044642858</v>
      </c>
      <c r="AL510" s="12">
        <v>21000</v>
      </c>
      <c r="AM510" s="12">
        <v>19796.148280951631</v>
      </c>
      <c r="AN510" s="12">
        <f t="shared" si="58"/>
        <v>1203.851719048369</v>
      </c>
      <c r="AO510" s="13">
        <f t="shared" si="59"/>
        <v>5.732627233563662E-2</v>
      </c>
      <c r="AP510" s="16">
        <v>21000</v>
      </c>
      <c r="AQ510" s="16">
        <v>22279.42489928432</v>
      </c>
      <c r="AR510" s="16">
        <f t="shared" si="60"/>
        <v>1279.4248992843204</v>
      </c>
      <c r="AS510" s="17">
        <f t="shared" si="61"/>
        <v>6.0924995204015259E-2</v>
      </c>
      <c r="AT510" s="20">
        <v>21000</v>
      </c>
      <c r="AU510" s="20">
        <v>23058.09375</v>
      </c>
      <c r="AV510" s="20">
        <f t="shared" si="62"/>
        <v>2058.09375</v>
      </c>
      <c r="AW510" s="21">
        <f t="shared" si="63"/>
        <v>9.8004464285714285E-2</v>
      </c>
    </row>
    <row r="511" spans="1:49" x14ac:dyDescent="0.25">
      <c r="A511" t="s">
        <v>38</v>
      </c>
      <c r="B511" t="s">
        <v>110</v>
      </c>
      <c r="C511">
        <v>102308</v>
      </c>
      <c r="D511">
        <v>2016</v>
      </c>
      <c r="E511" t="s">
        <v>40</v>
      </c>
      <c r="F511" t="s">
        <v>840</v>
      </c>
      <c r="G511" t="s">
        <v>841</v>
      </c>
      <c r="I511">
        <v>4</v>
      </c>
      <c r="J511" t="s">
        <v>61</v>
      </c>
      <c r="K511">
        <v>2</v>
      </c>
      <c r="L511" t="s">
        <v>402</v>
      </c>
      <c r="M511">
        <v>2</v>
      </c>
      <c r="N511" t="s">
        <v>73</v>
      </c>
      <c r="O511" t="s">
        <v>46</v>
      </c>
      <c r="P511">
        <v>3</v>
      </c>
      <c r="Q511" t="s">
        <v>47</v>
      </c>
      <c r="R511" t="s">
        <v>197</v>
      </c>
      <c r="U511" t="s">
        <v>50</v>
      </c>
      <c r="W511" t="s">
        <v>842</v>
      </c>
      <c r="X511" t="s">
        <v>125</v>
      </c>
      <c r="Y511" t="s">
        <v>54</v>
      </c>
      <c r="AA511">
        <v>0</v>
      </c>
      <c r="AB511" t="s">
        <v>79</v>
      </c>
      <c r="AC511" t="s">
        <v>197</v>
      </c>
      <c r="AD511">
        <v>36</v>
      </c>
      <c r="AE511">
        <v>9</v>
      </c>
      <c r="AF511">
        <v>3</v>
      </c>
      <c r="AG511">
        <v>2025</v>
      </c>
      <c r="AH511" s="2">
        <v>8100</v>
      </c>
      <c r="AI511" s="2">
        <v>5761.03076171875</v>
      </c>
      <c r="AJ511" s="2">
        <f t="shared" si="56"/>
        <v>2338.96923828125</v>
      </c>
      <c r="AK511" s="6">
        <f t="shared" si="57"/>
        <v>0.2887616343557099</v>
      </c>
      <c r="AL511" s="12">
        <v>8100</v>
      </c>
      <c r="AM511" s="12">
        <v>9222.3602933477068</v>
      </c>
      <c r="AN511" s="12">
        <f t="shared" si="58"/>
        <v>1122.3602933477068</v>
      </c>
      <c r="AO511" s="13">
        <f t="shared" si="59"/>
        <v>0.13856299917872925</v>
      </c>
      <c r="AP511" s="16">
        <v>8100</v>
      </c>
      <c r="AQ511" s="16">
        <v>6619.6815503822654</v>
      </c>
      <c r="AR511" s="16">
        <f t="shared" si="60"/>
        <v>1480.3184496177346</v>
      </c>
      <c r="AS511" s="17">
        <f t="shared" si="61"/>
        <v>0.18275536415033761</v>
      </c>
      <c r="AT511" s="20">
        <v>8100</v>
      </c>
      <c r="AU511" s="20">
        <v>6166.41796875</v>
      </c>
      <c r="AV511" s="20">
        <f t="shared" si="62"/>
        <v>1933.58203125</v>
      </c>
      <c r="AW511" s="21">
        <f t="shared" si="63"/>
        <v>0.23871383101851851</v>
      </c>
    </row>
    <row r="512" spans="1:49" x14ac:dyDescent="0.25">
      <c r="A512" t="s">
        <v>38</v>
      </c>
      <c r="B512" t="s">
        <v>110</v>
      </c>
      <c r="C512">
        <v>163987</v>
      </c>
      <c r="D512">
        <v>2017</v>
      </c>
      <c r="E512" t="s">
        <v>317</v>
      </c>
      <c r="F512" t="s">
        <v>318</v>
      </c>
      <c r="G512" t="s">
        <v>843</v>
      </c>
      <c r="I512">
        <v>4</v>
      </c>
      <c r="J512" t="s">
        <v>72</v>
      </c>
      <c r="K512">
        <v>4</v>
      </c>
      <c r="L512" t="s">
        <v>44</v>
      </c>
      <c r="M512">
        <v>2</v>
      </c>
      <c r="N512" t="s">
        <v>44</v>
      </c>
      <c r="Q512" t="s">
        <v>62</v>
      </c>
      <c r="R512" t="s">
        <v>63</v>
      </c>
      <c r="S512" t="s">
        <v>85</v>
      </c>
      <c r="T512">
        <v>313</v>
      </c>
      <c r="U512" t="s">
        <v>601</v>
      </c>
      <c r="W512" t="s">
        <v>844</v>
      </c>
      <c r="X512" t="s">
        <v>94</v>
      </c>
      <c r="Y512" t="s">
        <v>322</v>
      </c>
      <c r="Z512">
        <v>68900</v>
      </c>
      <c r="AA512">
        <v>1</v>
      </c>
      <c r="AB512" t="s">
        <v>603</v>
      </c>
      <c r="AC512" t="s">
        <v>488</v>
      </c>
      <c r="AD512">
        <v>36</v>
      </c>
      <c r="AE512">
        <v>9</v>
      </c>
      <c r="AF512">
        <v>3</v>
      </c>
      <c r="AG512">
        <v>2025</v>
      </c>
      <c r="AH512" s="2">
        <v>10600</v>
      </c>
      <c r="AI512" s="2">
        <v>4755.9384765625</v>
      </c>
      <c r="AJ512" s="2">
        <f t="shared" si="56"/>
        <v>5844.0615234375</v>
      </c>
      <c r="AK512" s="6">
        <f t="shared" si="57"/>
        <v>0.55132655881485848</v>
      </c>
      <c r="AL512" s="12">
        <v>10600</v>
      </c>
      <c r="AM512" s="12">
        <v>5684.3271455146332</v>
      </c>
      <c r="AN512" s="12">
        <f t="shared" si="58"/>
        <v>4915.6728544853668</v>
      </c>
      <c r="AO512" s="13">
        <f t="shared" si="59"/>
        <v>0.463742722121261</v>
      </c>
      <c r="AP512" s="16">
        <v>10600</v>
      </c>
      <c r="AQ512" s="16">
        <v>6436.5322507208084</v>
      </c>
      <c r="AR512" s="16">
        <f t="shared" si="60"/>
        <v>4163.4677492791916</v>
      </c>
      <c r="AS512" s="17">
        <f t="shared" si="61"/>
        <v>0.39277997634709355</v>
      </c>
      <c r="AT512" s="20">
        <v>10600</v>
      </c>
      <c r="AU512" s="20">
        <v>4857.8955078125</v>
      </c>
      <c r="AV512" s="20">
        <f t="shared" si="62"/>
        <v>5742.1044921875</v>
      </c>
      <c r="AW512" s="21">
        <f t="shared" si="63"/>
        <v>0.54170797096108492</v>
      </c>
    </row>
    <row r="513" spans="1:49" x14ac:dyDescent="0.25">
      <c r="A513" t="s">
        <v>38</v>
      </c>
      <c r="B513" t="s">
        <v>68</v>
      </c>
      <c r="C513">
        <v>140412</v>
      </c>
      <c r="D513">
        <v>2019</v>
      </c>
      <c r="E513" t="s">
        <v>69</v>
      </c>
      <c r="F513" t="s">
        <v>475</v>
      </c>
      <c r="H513" t="s">
        <v>259</v>
      </c>
      <c r="I513">
        <v>8</v>
      </c>
      <c r="J513" t="s">
        <v>72</v>
      </c>
      <c r="K513">
        <v>4</v>
      </c>
      <c r="L513" t="s">
        <v>44</v>
      </c>
      <c r="M513">
        <v>6.2</v>
      </c>
      <c r="N513" t="s">
        <v>91</v>
      </c>
      <c r="O513" t="s">
        <v>46</v>
      </c>
      <c r="P513">
        <v>2</v>
      </c>
      <c r="Q513" t="s">
        <v>74</v>
      </c>
      <c r="R513" t="s">
        <v>92</v>
      </c>
      <c r="S513" t="s">
        <v>93</v>
      </c>
      <c r="T513">
        <v>383</v>
      </c>
      <c r="U513" t="s">
        <v>50</v>
      </c>
      <c r="V513" t="s">
        <v>76</v>
      </c>
      <c r="X513" t="s">
        <v>230</v>
      </c>
      <c r="Y513" t="s">
        <v>78</v>
      </c>
      <c r="AA513">
        <v>0</v>
      </c>
      <c r="AB513" t="s">
        <v>79</v>
      </c>
      <c r="AC513" t="s">
        <v>95</v>
      </c>
      <c r="AD513">
        <v>36</v>
      </c>
      <c r="AE513">
        <v>9</v>
      </c>
      <c r="AF513">
        <v>3</v>
      </c>
      <c r="AG513">
        <v>2025</v>
      </c>
      <c r="AH513" s="2">
        <v>10500</v>
      </c>
      <c r="AI513" s="2">
        <v>13155.279296875</v>
      </c>
      <c r="AJ513" s="2">
        <f t="shared" si="56"/>
        <v>2655.279296875</v>
      </c>
      <c r="AK513" s="6">
        <f t="shared" si="57"/>
        <v>0.25288374255952378</v>
      </c>
      <c r="AL513" s="12">
        <v>10500</v>
      </c>
      <c r="AM513" s="12">
        <v>13559.887683570299</v>
      </c>
      <c r="AN513" s="12">
        <f t="shared" si="58"/>
        <v>3059.8876835702995</v>
      </c>
      <c r="AO513" s="13">
        <f t="shared" si="59"/>
        <v>0.29141787462574281</v>
      </c>
      <c r="AP513" s="16">
        <v>10500</v>
      </c>
      <c r="AQ513" s="16">
        <v>12401.597663961191</v>
      </c>
      <c r="AR513" s="16">
        <f t="shared" si="60"/>
        <v>1901.5976639611908</v>
      </c>
      <c r="AS513" s="17">
        <f t="shared" si="61"/>
        <v>0.18110453942487531</v>
      </c>
      <c r="AT513" s="20">
        <v>10500</v>
      </c>
      <c r="AU513" s="20">
        <v>13227.091796875</v>
      </c>
      <c r="AV513" s="20">
        <f t="shared" si="62"/>
        <v>2727.091796875</v>
      </c>
      <c r="AW513" s="21">
        <f t="shared" si="63"/>
        <v>0.2597230282738095</v>
      </c>
    </row>
    <row r="514" spans="1:49" x14ac:dyDescent="0.25">
      <c r="A514" t="s">
        <v>128</v>
      </c>
      <c r="B514" t="s">
        <v>210</v>
      </c>
      <c r="C514">
        <v>209757</v>
      </c>
      <c r="D514">
        <v>2007</v>
      </c>
      <c r="E514" t="s">
        <v>40</v>
      </c>
      <c r="F514" t="s">
        <v>845</v>
      </c>
      <c r="G514" t="s">
        <v>190</v>
      </c>
      <c r="H514" t="s">
        <v>846</v>
      </c>
      <c r="I514">
        <v>6</v>
      </c>
      <c r="J514" t="s">
        <v>61</v>
      </c>
      <c r="K514">
        <v>4</v>
      </c>
      <c r="L514" t="s">
        <v>44</v>
      </c>
      <c r="M514">
        <v>4</v>
      </c>
      <c r="N514" t="s">
        <v>73</v>
      </c>
      <c r="O514" t="s">
        <v>46</v>
      </c>
      <c r="Q514" t="s">
        <v>62</v>
      </c>
      <c r="R514" t="s">
        <v>63</v>
      </c>
      <c r="S514" t="s">
        <v>49</v>
      </c>
      <c r="U514" t="s">
        <v>50</v>
      </c>
      <c r="V514" t="s">
        <v>76</v>
      </c>
      <c r="W514" t="s">
        <v>185</v>
      </c>
      <c r="X514" t="s">
        <v>125</v>
      </c>
      <c r="Y514" t="s">
        <v>54</v>
      </c>
      <c r="AA514">
        <v>0</v>
      </c>
      <c r="AB514" t="s">
        <v>79</v>
      </c>
      <c r="AC514" t="s">
        <v>87</v>
      </c>
      <c r="AD514">
        <v>36</v>
      </c>
      <c r="AE514">
        <v>9</v>
      </c>
      <c r="AF514">
        <v>3</v>
      </c>
      <c r="AG514">
        <v>2025</v>
      </c>
      <c r="AH514" s="2">
        <v>4200</v>
      </c>
      <c r="AI514" s="2">
        <v>4559.98974609375</v>
      </c>
      <c r="AJ514" s="2">
        <f t="shared" si="56"/>
        <v>359.98974609375</v>
      </c>
      <c r="AK514" s="6">
        <f t="shared" si="57"/>
        <v>8.5711844308035717E-2</v>
      </c>
      <c r="AL514" s="12">
        <v>4200</v>
      </c>
      <c r="AM514" s="12">
        <v>3642.4202835607171</v>
      </c>
      <c r="AN514" s="12">
        <f t="shared" si="58"/>
        <v>557.57971643928295</v>
      </c>
      <c r="AO514" s="13">
        <f t="shared" si="59"/>
        <v>0.13275707534268641</v>
      </c>
      <c r="AP514" s="16">
        <v>4200</v>
      </c>
      <c r="AQ514" s="16">
        <v>3615.7293015044229</v>
      </c>
      <c r="AR514" s="16">
        <f t="shared" si="60"/>
        <v>584.27069849557711</v>
      </c>
      <c r="AS514" s="17">
        <f t="shared" si="61"/>
        <v>0.13911207107037551</v>
      </c>
      <c r="AT514" s="20">
        <v>4200</v>
      </c>
      <c r="AU514" s="20">
        <v>4529.7724609375</v>
      </c>
      <c r="AV514" s="20">
        <f t="shared" si="62"/>
        <v>329.7724609375</v>
      </c>
      <c r="AW514" s="21">
        <f t="shared" si="63"/>
        <v>7.8517252604166671E-2</v>
      </c>
    </row>
    <row r="515" spans="1:49" x14ac:dyDescent="0.25">
      <c r="A515" t="s">
        <v>38</v>
      </c>
      <c r="B515" t="s">
        <v>68</v>
      </c>
      <c r="C515">
        <v>166780</v>
      </c>
      <c r="D515">
        <v>2018</v>
      </c>
      <c r="E515" t="s">
        <v>97</v>
      </c>
      <c r="F515" t="s">
        <v>159</v>
      </c>
      <c r="G515" t="s">
        <v>155</v>
      </c>
      <c r="H515" t="s">
        <v>89</v>
      </c>
      <c r="I515">
        <v>8</v>
      </c>
      <c r="J515" t="s">
        <v>122</v>
      </c>
      <c r="K515">
        <v>4</v>
      </c>
      <c r="L515" t="s">
        <v>44</v>
      </c>
      <c r="M515">
        <v>5.3</v>
      </c>
      <c r="N515" t="s">
        <v>73</v>
      </c>
      <c r="O515" t="s">
        <v>46</v>
      </c>
      <c r="P515">
        <v>4</v>
      </c>
      <c r="Q515" t="s">
        <v>74</v>
      </c>
      <c r="R515" t="s">
        <v>92</v>
      </c>
      <c r="S515" t="s">
        <v>49</v>
      </c>
      <c r="U515" t="s">
        <v>50</v>
      </c>
      <c r="W515" t="s">
        <v>424</v>
      </c>
      <c r="X515" t="s">
        <v>94</v>
      </c>
      <c r="Y515" t="s">
        <v>126</v>
      </c>
      <c r="AA515">
        <v>0</v>
      </c>
      <c r="AB515" t="s">
        <v>79</v>
      </c>
      <c r="AC515" t="s">
        <v>95</v>
      </c>
      <c r="AD515">
        <v>36</v>
      </c>
      <c r="AE515">
        <v>9</v>
      </c>
      <c r="AF515">
        <v>3</v>
      </c>
      <c r="AG515">
        <v>2025</v>
      </c>
      <c r="AH515" s="2">
        <v>11750</v>
      </c>
      <c r="AI515" s="2">
        <v>12655.8076171875</v>
      </c>
      <c r="AJ515" s="2">
        <f t="shared" ref="AJ515:AJ578" si="64">ABS(AH515-AI515)</f>
        <v>905.8076171875</v>
      </c>
      <c r="AK515" s="6">
        <f t="shared" ref="AK515:AK578" si="65">ABS($AH515-AI515)/$AH515</f>
        <v>7.7090009973404261E-2</v>
      </c>
      <c r="AL515" s="12">
        <v>11750</v>
      </c>
      <c r="AM515" s="12">
        <v>14489.652029284551</v>
      </c>
      <c r="AN515" s="12">
        <f t="shared" ref="AN515:AN578" si="66">ABS(AL515-AM515)</f>
        <v>2739.6520292845507</v>
      </c>
      <c r="AO515" s="13">
        <f t="shared" ref="AO515:AO578" si="67">ABS($AH515-AM515)/$AH515</f>
        <v>0.23316187483272771</v>
      </c>
      <c r="AP515" s="16">
        <v>11750</v>
      </c>
      <c r="AQ515" s="16">
        <v>11829.955772887561</v>
      </c>
      <c r="AR515" s="16">
        <f t="shared" ref="AR515:AR578" si="68">ABS(AP515-AQ515)</f>
        <v>79.95577288756067</v>
      </c>
      <c r="AS515" s="17">
        <f t="shared" ref="AS515:AS578" si="69">ABS($AH515-AQ515)/$AH515</f>
        <v>6.8047466287285679E-3</v>
      </c>
      <c r="AT515" s="20">
        <v>11750</v>
      </c>
      <c r="AU515" s="20">
        <v>13042.4677734375</v>
      </c>
      <c r="AV515" s="20">
        <f t="shared" ref="AV515:AV578" si="70">ABS(AT515-AU515)</f>
        <v>1292.4677734375</v>
      </c>
      <c r="AW515" s="21">
        <f t="shared" ref="AW515:AW578" si="71">ABS($AH515-AU515)/$AH515</f>
        <v>0.10999725731382978</v>
      </c>
    </row>
    <row r="516" spans="1:49" x14ac:dyDescent="0.25">
      <c r="A516" t="s">
        <v>114</v>
      </c>
      <c r="B516" t="s">
        <v>115</v>
      </c>
      <c r="C516">
        <v>159360</v>
      </c>
      <c r="D516">
        <v>2013</v>
      </c>
      <c r="E516" t="s">
        <v>162</v>
      </c>
      <c r="F516" t="s">
        <v>256</v>
      </c>
      <c r="G516" t="s">
        <v>847</v>
      </c>
      <c r="I516">
        <v>4</v>
      </c>
      <c r="J516" t="s">
        <v>122</v>
      </c>
      <c r="K516">
        <v>4</v>
      </c>
      <c r="L516" t="s">
        <v>44</v>
      </c>
      <c r="M516">
        <v>2.4</v>
      </c>
      <c r="N516" t="s">
        <v>45</v>
      </c>
      <c r="O516" t="s">
        <v>46</v>
      </c>
      <c r="Q516" t="s">
        <v>62</v>
      </c>
      <c r="R516" t="s">
        <v>63</v>
      </c>
      <c r="S516" t="s">
        <v>49</v>
      </c>
      <c r="U516" t="s">
        <v>50</v>
      </c>
      <c r="W516" t="s">
        <v>848</v>
      </c>
      <c r="X516" t="s">
        <v>65</v>
      </c>
      <c r="Y516" t="s">
        <v>78</v>
      </c>
      <c r="AA516">
        <v>0</v>
      </c>
      <c r="AB516" t="s">
        <v>79</v>
      </c>
      <c r="AC516" t="s">
        <v>87</v>
      </c>
      <c r="AD516">
        <v>36</v>
      </c>
      <c r="AE516">
        <v>9</v>
      </c>
      <c r="AF516">
        <v>3</v>
      </c>
      <c r="AG516">
        <v>2025</v>
      </c>
      <c r="AH516" s="2">
        <v>800</v>
      </c>
      <c r="AI516" s="2">
        <v>2314.42236328125</v>
      </c>
      <c r="AJ516" s="2">
        <f t="shared" si="64"/>
        <v>1514.42236328125</v>
      </c>
      <c r="AK516" s="6">
        <f t="shared" si="65"/>
        <v>1.8930279541015624</v>
      </c>
      <c r="AL516" s="12">
        <v>800</v>
      </c>
      <c r="AM516" s="12">
        <v>2424.6179094498871</v>
      </c>
      <c r="AN516" s="12">
        <f t="shared" si="66"/>
        <v>1624.6179094498871</v>
      </c>
      <c r="AO516" s="13">
        <f t="shared" si="67"/>
        <v>2.0307723868123588</v>
      </c>
      <c r="AP516" s="16">
        <v>800</v>
      </c>
      <c r="AQ516" s="16">
        <v>2062.2312005058729</v>
      </c>
      <c r="AR516" s="16">
        <f t="shared" si="68"/>
        <v>1262.2312005058729</v>
      </c>
      <c r="AS516" s="17">
        <f t="shared" si="69"/>
        <v>1.5777890006323412</v>
      </c>
      <c r="AT516" s="20">
        <v>800</v>
      </c>
      <c r="AU516" s="20">
        <v>2349.787109375</v>
      </c>
      <c r="AV516" s="20">
        <f t="shared" si="70"/>
        <v>1549.787109375</v>
      </c>
      <c r="AW516" s="21">
        <f t="shared" si="71"/>
        <v>1.93723388671875</v>
      </c>
    </row>
    <row r="517" spans="1:49" x14ac:dyDescent="0.25">
      <c r="A517" t="s">
        <v>38</v>
      </c>
      <c r="B517" t="s">
        <v>96</v>
      </c>
      <c r="C517">
        <v>237957</v>
      </c>
      <c r="D517">
        <v>2005</v>
      </c>
      <c r="E517" t="s">
        <v>213</v>
      </c>
      <c r="F517" t="s">
        <v>552</v>
      </c>
      <c r="I517">
        <v>6</v>
      </c>
      <c r="J517" t="s">
        <v>61</v>
      </c>
      <c r="K517">
        <v>4</v>
      </c>
      <c r="L517" t="s">
        <v>44</v>
      </c>
      <c r="M517">
        <v>3.5</v>
      </c>
      <c r="N517" t="s">
        <v>73</v>
      </c>
      <c r="O517" t="s">
        <v>46</v>
      </c>
      <c r="Q517" t="s">
        <v>47</v>
      </c>
      <c r="R517" t="s">
        <v>123</v>
      </c>
      <c r="S517" t="s">
        <v>49</v>
      </c>
      <c r="U517" t="s">
        <v>50</v>
      </c>
      <c r="X517" t="s">
        <v>125</v>
      </c>
      <c r="Y517" t="s">
        <v>54</v>
      </c>
      <c r="AA517">
        <v>0</v>
      </c>
      <c r="AB517" t="s">
        <v>79</v>
      </c>
      <c r="AC517" t="s">
        <v>127</v>
      </c>
      <c r="AD517">
        <v>36</v>
      </c>
      <c r="AE517">
        <v>9</v>
      </c>
      <c r="AF517">
        <v>3</v>
      </c>
      <c r="AG517">
        <v>2025</v>
      </c>
      <c r="AH517" s="2">
        <v>700</v>
      </c>
      <c r="AI517" s="2">
        <v>826.241943359375</v>
      </c>
      <c r="AJ517" s="2">
        <f t="shared" si="64"/>
        <v>126.241943359375</v>
      </c>
      <c r="AK517" s="6">
        <f t="shared" si="65"/>
        <v>0.18034563337053572</v>
      </c>
      <c r="AL517" s="12">
        <v>700</v>
      </c>
      <c r="AM517" s="12">
        <v>929.82614860958199</v>
      </c>
      <c r="AN517" s="12">
        <f t="shared" si="66"/>
        <v>229.82614860958199</v>
      </c>
      <c r="AO517" s="13">
        <f t="shared" si="67"/>
        <v>0.32832306944225997</v>
      </c>
      <c r="AP517" s="16">
        <v>700</v>
      </c>
      <c r="AQ517" s="16">
        <v>845.68251074486784</v>
      </c>
      <c r="AR517" s="16">
        <f t="shared" si="68"/>
        <v>145.68251074486784</v>
      </c>
      <c r="AS517" s="17">
        <f t="shared" si="69"/>
        <v>0.20811787249266833</v>
      </c>
      <c r="AT517" s="20">
        <v>700</v>
      </c>
      <c r="AU517" s="20">
        <v>810.9769287109375</v>
      </c>
      <c r="AV517" s="20">
        <f t="shared" si="70"/>
        <v>110.9769287109375</v>
      </c>
      <c r="AW517" s="21">
        <f t="shared" si="71"/>
        <v>0.15853846958705356</v>
      </c>
    </row>
    <row r="518" spans="1:49" x14ac:dyDescent="0.25">
      <c r="A518" t="s">
        <v>38</v>
      </c>
      <c r="B518" t="s">
        <v>110</v>
      </c>
      <c r="C518">
        <v>172425</v>
      </c>
      <c r="D518">
        <v>2017</v>
      </c>
      <c r="E518" t="s">
        <v>162</v>
      </c>
      <c r="F518" t="s">
        <v>163</v>
      </c>
      <c r="G518" t="s">
        <v>299</v>
      </c>
      <c r="I518">
        <v>4</v>
      </c>
      <c r="J518" t="s">
        <v>61</v>
      </c>
      <c r="K518">
        <v>4</v>
      </c>
      <c r="L518" t="s">
        <v>44</v>
      </c>
      <c r="M518">
        <v>2.4</v>
      </c>
      <c r="N518" t="s">
        <v>45</v>
      </c>
      <c r="Q518" t="s">
        <v>47</v>
      </c>
      <c r="R518" t="s">
        <v>123</v>
      </c>
      <c r="T518">
        <v>187</v>
      </c>
      <c r="U518" t="s">
        <v>50</v>
      </c>
      <c r="X518" t="s">
        <v>125</v>
      </c>
      <c r="Y518" t="s">
        <v>78</v>
      </c>
      <c r="Z518">
        <v>21950</v>
      </c>
      <c r="AA518">
        <v>0</v>
      </c>
      <c r="AB518" t="s">
        <v>79</v>
      </c>
      <c r="AC518" t="s">
        <v>127</v>
      </c>
      <c r="AD518">
        <v>36</v>
      </c>
      <c r="AE518">
        <v>9</v>
      </c>
      <c r="AF518">
        <v>3</v>
      </c>
      <c r="AG518">
        <v>2025</v>
      </c>
      <c r="AH518" s="2">
        <v>3200</v>
      </c>
      <c r="AI518" s="2">
        <v>2285.859619140625</v>
      </c>
      <c r="AJ518" s="2">
        <f t="shared" si="64"/>
        <v>914.140380859375</v>
      </c>
      <c r="AK518" s="6">
        <f t="shared" si="65"/>
        <v>0.28566886901855471</v>
      </c>
      <c r="AL518" s="12">
        <v>3200</v>
      </c>
      <c r="AM518" s="12">
        <v>2247.8084833463181</v>
      </c>
      <c r="AN518" s="12">
        <f t="shared" si="66"/>
        <v>952.1915166536819</v>
      </c>
      <c r="AO518" s="13">
        <f t="shared" si="67"/>
        <v>0.29755984895427562</v>
      </c>
      <c r="AP518" s="16">
        <v>3200</v>
      </c>
      <c r="AQ518" s="16">
        <v>1830.022170288911</v>
      </c>
      <c r="AR518" s="16">
        <f t="shared" si="68"/>
        <v>1369.977829711089</v>
      </c>
      <c r="AS518" s="17">
        <f t="shared" si="69"/>
        <v>0.42811807178471534</v>
      </c>
      <c r="AT518" s="20">
        <v>3200</v>
      </c>
      <c r="AU518" s="20">
        <v>2263.398193359375</v>
      </c>
      <c r="AV518" s="20">
        <f t="shared" si="70"/>
        <v>936.601806640625</v>
      </c>
      <c r="AW518" s="21">
        <f t="shared" si="71"/>
        <v>0.29268806457519531</v>
      </c>
    </row>
    <row r="519" spans="1:49" x14ac:dyDescent="0.25">
      <c r="A519" t="s">
        <v>38</v>
      </c>
      <c r="B519" t="s">
        <v>39</v>
      </c>
      <c r="C519">
        <v>139079</v>
      </c>
      <c r="D519">
        <v>2012</v>
      </c>
      <c r="E519" t="s">
        <v>403</v>
      </c>
      <c r="F519" t="s">
        <v>849</v>
      </c>
      <c r="G519" t="s">
        <v>405</v>
      </c>
      <c r="I519">
        <v>6</v>
      </c>
      <c r="J519" t="s">
        <v>135</v>
      </c>
      <c r="K519">
        <v>4</v>
      </c>
      <c r="L519" t="s">
        <v>44</v>
      </c>
      <c r="M519">
        <v>3.6</v>
      </c>
      <c r="N519" t="s">
        <v>45</v>
      </c>
      <c r="O519" t="s">
        <v>46</v>
      </c>
      <c r="Q519" t="s">
        <v>62</v>
      </c>
      <c r="R519" t="s">
        <v>63</v>
      </c>
      <c r="S519" t="s">
        <v>101</v>
      </c>
      <c r="U519" t="s">
        <v>50</v>
      </c>
      <c r="W519" t="s">
        <v>850</v>
      </c>
      <c r="X519" t="s">
        <v>141</v>
      </c>
      <c r="Y519" t="s">
        <v>126</v>
      </c>
      <c r="AA519">
        <v>0</v>
      </c>
      <c r="AB519" t="s">
        <v>79</v>
      </c>
      <c r="AC519" t="s">
        <v>87</v>
      </c>
      <c r="AD519">
        <v>36</v>
      </c>
      <c r="AE519">
        <v>9</v>
      </c>
      <c r="AF519">
        <v>3</v>
      </c>
      <c r="AG519">
        <v>2025</v>
      </c>
      <c r="AH519" s="2">
        <v>3000</v>
      </c>
      <c r="AI519" s="2">
        <v>2715.702392578125</v>
      </c>
      <c r="AJ519" s="2">
        <f t="shared" si="64"/>
        <v>284.297607421875</v>
      </c>
      <c r="AK519" s="6">
        <f t="shared" si="65"/>
        <v>9.4765869140625E-2</v>
      </c>
      <c r="AL519" s="12">
        <v>3000</v>
      </c>
      <c r="AM519" s="12">
        <v>2856.0314036264608</v>
      </c>
      <c r="AN519" s="12">
        <f t="shared" si="66"/>
        <v>143.96859637353919</v>
      </c>
      <c r="AO519" s="13">
        <f t="shared" si="67"/>
        <v>4.7989532124513061E-2</v>
      </c>
      <c r="AP519" s="16">
        <v>3000</v>
      </c>
      <c r="AQ519" s="16">
        <v>3005.8454459965892</v>
      </c>
      <c r="AR519" s="16">
        <f t="shared" si="68"/>
        <v>5.8454459965892056</v>
      </c>
      <c r="AS519" s="17">
        <f t="shared" si="69"/>
        <v>1.9484819988630686E-3</v>
      </c>
      <c r="AT519" s="20">
        <v>3000</v>
      </c>
      <c r="AU519" s="20">
        <v>2749.1748046875</v>
      </c>
      <c r="AV519" s="20">
        <f t="shared" si="70"/>
        <v>250.8251953125</v>
      </c>
      <c r="AW519" s="21">
        <f t="shared" si="71"/>
        <v>8.3608398437499995E-2</v>
      </c>
    </row>
    <row r="520" spans="1:49" x14ac:dyDescent="0.25">
      <c r="A520" t="s">
        <v>38</v>
      </c>
      <c r="B520" t="s">
        <v>110</v>
      </c>
      <c r="C520">
        <v>103265</v>
      </c>
      <c r="D520">
        <v>2010</v>
      </c>
      <c r="E520" t="s">
        <v>464</v>
      </c>
      <c r="F520" t="s">
        <v>851</v>
      </c>
      <c r="G520" t="s">
        <v>852</v>
      </c>
      <c r="I520">
        <v>6</v>
      </c>
      <c r="J520" t="s">
        <v>72</v>
      </c>
      <c r="K520">
        <v>4</v>
      </c>
      <c r="L520" t="s">
        <v>44</v>
      </c>
      <c r="M520">
        <v>3.2</v>
      </c>
      <c r="N520" t="s">
        <v>44</v>
      </c>
      <c r="O520" t="s">
        <v>190</v>
      </c>
      <c r="Q520" t="s">
        <v>62</v>
      </c>
      <c r="R520" t="s">
        <v>63</v>
      </c>
      <c r="V520" t="s">
        <v>51</v>
      </c>
      <c r="X520" t="s">
        <v>141</v>
      </c>
      <c r="Y520" t="s">
        <v>467</v>
      </c>
      <c r="AA520">
        <v>0</v>
      </c>
      <c r="AB520" t="s">
        <v>79</v>
      </c>
      <c r="AC520" t="s">
        <v>87</v>
      </c>
      <c r="AD520">
        <v>36</v>
      </c>
      <c r="AE520">
        <v>9</v>
      </c>
      <c r="AF520">
        <v>3</v>
      </c>
      <c r="AG520">
        <v>2025</v>
      </c>
      <c r="AH520" s="2">
        <v>700</v>
      </c>
      <c r="AI520" s="2">
        <v>772.5010986328125</v>
      </c>
      <c r="AJ520" s="2">
        <f t="shared" si="64"/>
        <v>72.5010986328125</v>
      </c>
      <c r="AK520" s="6">
        <f t="shared" si="65"/>
        <v>0.103572998046875</v>
      </c>
      <c r="AL520" s="12">
        <v>700</v>
      </c>
      <c r="AM520" s="12">
        <v>1280.5399735073011</v>
      </c>
      <c r="AN520" s="12">
        <f t="shared" si="66"/>
        <v>580.53997350730106</v>
      </c>
      <c r="AO520" s="13">
        <f t="shared" si="67"/>
        <v>0.8293428192961444</v>
      </c>
      <c r="AP520" s="16">
        <v>700</v>
      </c>
      <c r="AQ520" s="16">
        <v>835.41384819393113</v>
      </c>
      <c r="AR520" s="16">
        <f t="shared" si="68"/>
        <v>135.41384819393113</v>
      </c>
      <c r="AS520" s="17">
        <f t="shared" si="69"/>
        <v>0.19344835456275875</v>
      </c>
      <c r="AT520" s="20">
        <v>700</v>
      </c>
      <c r="AU520" s="20">
        <v>786.18194580078125</v>
      </c>
      <c r="AV520" s="20">
        <f t="shared" si="70"/>
        <v>86.18194580078125</v>
      </c>
      <c r="AW520" s="21">
        <f t="shared" si="71"/>
        <v>0.12311706542968751</v>
      </c>
    </row>
    <row r="521" spans="1:49" x14ac:dyDescent="0.25">
      <c r="A521" t="s">
        <v>128</v>
      </c>
      <c r="B521" t="s">
        <v>129</v>
      </c>
      <c r="C521">
        <v>213256</v>
      </c>
      <c r="D521">
        <v>2016</v>
      </c>
      <c r="E521" t="s">
        <v>40</v>
      </c>
      <c r="F521" t="s">
        <v>853</v>
      </c>
      <c r="I521">
        <v>4</v>
      </c>
      <c r="J521" t="s">
        <v>135</v>
      </c>
      <c r="K521">
        <v>4</v>
      </c>
      <c r="L521" t="s">
        <v>44</v>
      </c>
      <c r="M521">
        <v>1.5</v>
      </c>
      <c r="N521" t="s">
        <v>45</v>
      </c>
      <c r="Q521" t="s">
        <v>47</v>
      </c>
      <c r="R521" t="s">
        <v>123</v>
      </c>
      <c r="T521">
        <v>106</v>
      </c>
      <c r="U521" t="s">
        <v>50</v>
      </c>
      <c r="V521" t="s">
        <v>51</v>
      </c>
      <c r="W521" t="s">
        <v>854</v>
      </c>
      <c r="X521" t="s">
        <v>125</v>
      </c>
      <c r="Y521" t="s">
        <v>126</v>
      </c>
      <c r="AA521">
        <v>0</v>
      </c>
      <c r="AB521" t="s">
        <v>79</v>
      </c>
      <c r="AC521" t="s">
        <v>127</v>
      </c>
      <c r="AD521">
        <v>36</v>
      </c>
      <c r="AE521">
        <v>9</v>
      </c>
      <c r="AF521">
        <v>3</v>
      </c>
      <c r="AG521">
        <v>2025</v>
      </c>
      <c r="AH521" s="2">
        <v>1100</v>
      </c>
      <c r="AI521" s="2">
        <v>1915.113037109375</v>
      </c>
      <c r="AJ521" s="2">
        <f t="shared" si="64"/>
        <v>815.113037109375</v>
      </c>
      <c r="AK521" s="6">
        <f t="shared" si="65"/>
        <v>0.74101185191761365</v>
      </c>
      <c r="AL521" s="12">
        <v>1100</v>
      </c>
      <c r="AM521" s="12">
        <v>2455.9616388551999</v>
      </c>
      <c r="AN521" s="12">
        <f t="shared" si="66"/>
        <v>1355.9616388551999</v>
      </c>
      <c r="AO521" s="13">
        <f t="shared" si="67"/>
        <v>1.2326923989592726</v>
      </c>
      <c r="AP521" s="16">
        <v>1100</v>
      </c>
      <c r="AQ521" s="16">
        <v>1385.2203282373689</v>
      </c>
      <c r="AR521" s="16">
        <f t="shared" si="68"/>
        <v>285.2203282373689</v>
      </c>
      <c r="AS521" s="17">
        <f t="shared" si="69"/>
        <v>0.25929120748851719</v>
      </c>
      <c r="AT521" s="20">
        <v>1100</v>
      </c>
      <c r="AU521" s="20">
        <v>1947.226196289062</v>
      </c>
      <c r="AV521" s="20">
        <f t="shared" si="70"/>
        <v>847.22619628906205</v>
      </c>
      <c r="AW521" s="21">
        <f t="shared" si="71"/>
        <v>0.7702056329900564</v>
      </c>
    </row>
    <row r="522" spans="1:49" x14ac:dyDescent="0.25">
      <c r="A522" t="s">
        <v>38</v>
      </c>
      <c r="B522" t="s">
        <v>39</v>
      </c>
      <c r="C522">
        <v>167146</v>
      </c>
      <c r="D522">
        <v>2013</v>
      </c>
      <c r="E522" t="s">
        <v>345</v>
      </c>
      <c r="F522" t="s">
        <v>502</v>
      </c>
      <c r="G522" t="s">
        <v>780</v>
      </c>
      <c r="I522">
        <v>8</v>
      </c>
      <c r="J522" t="s">
        <v>43</v>
      </c>
      <c r="K522">
        <v>4</v>
      </c>
      <c r="L522" t="s">
        <v>44</v>
      </c>
      <c r="M522">
        <v>4.4000000000000004</v>
      </c>
      <c r="N522" t="s">
        <v>44</v>
      </c>
      <c r="O522" t="s">
        <v>46</v>
      </c>
      <c r="Q522" t="s">
        <v>62</v>
      </c>
      <c r="R522" t="s">
        <v>63</v>
      </c>
      <c r="S522" t="s">
        <v>85</v>
      </c>
      <c r="T522">
        <v>400</v>
      </c>
      <c r="U522" t="s">
        <v>50</v>
      </c>
      <c r="X522" t="s">
        <v>94</v>
      </c>
      <c r="Y522" t="s">
        <v>78</v>
      </c>
      <c r="AA522">
        <v>0</v>
      </c>
      <c r="AB522" t="s">
        <v>79</v>
      </c>
      <c r="AC522" t="s">
        <v>87</v>
      </c>
      <c r="AD522">
        <v>36</v>
      </c>
      <c r="AE522">
        <v>9</v>
      </c>
      <c r="AF522">
        <v>3</v>
      </c>
      <c r="AG522">
        <v>2025</v>
      </c>
      <c r="AH522" s="2">
        <v>1300</v>
      </c>
      <c r="AI522" s="2">
        <v>3111.063232421875</v>
      </c>
      <c r="AJ522" s="2">
        <f t="shared" si="64"/>
        <v>1811.063232421875</v>
      </c>
      <c r="AK522" s="6">
        <f t="shared" si="65"/>
        <v>1.3931255634014423</v>
      </c>
      <c r="AL522" s="12">
        <v>1300</v>
      </c>
      <c r="AM522" s="12">
        <v>3605.7165183107099</v>
      </c>
      <c r="AN522" s="12">
        <f t="shared" si="66"/>
        <v>2305.7165183107099</v>
      </c>
      <c r="AO522" s="13">
        <f t="shared" si="67"/>
        <v>1.7736280910082385</v>
      </c>
      <c r="AP522" s="16">
        <v>1300</v>
      </c>
      <c r="AQ522" s="16">
        <v>3047.340956116298</v>
      </c>
      <c r="AR522" s="16">
        <f t="shared" si="68"/>
        <v>1747.340956116298</v>
      </c>
      <c r="AS522" s="17">
        <f t="shared" si="69"/>
        <v>1.3441084277817676</v>
      </c>
      <c r="AT522" s="20">
        <v>1300</v>
      </c>
      <c r="AU522" s="20">
        <v>3140.281982421875</v>
      </c>
      <c r="AV522" s="20">
        <f t="shared" si="70"/>
        <v>1840.281982421875</v>
      </c>
      <c r="AW522" s="21">
        <f t="shared" si="71"/>
        <v>1.4156015249399039</v>
      </c>
    </row>
    <row r="523" spans="1:49" x14ac:dyDescent="0.25">
      <c r="A523" t="s">
        <v>128</v>
      </c>
      <c r="B523" t="s">
        <v>210</v>
      </c>
      <c r="C523">
        <v>81601</v>
      </c>
      <c r="D523">
        <v>2020</v>
      </c>
      <c r="E523" t="s">
        <v>213</v>
      </c>
      <c r="F523" t="s">
        <v>855</v>
      </c>
      <c r="I523">
        <v>4</v>
      </c>
      <c r="J523" t="s">
        <v>61</v>
      </c>
      <c r="K523">
        <v>4</v>
      </c>
      <c r="L523" t="s">
        <v>44</v>
      </c>
      <c r="M523">
        <v>2</v>
      </c>
      <c r="N523" t="s">
        <v>45</v>
      </c>
      <c r="O523" t="s">
        <v>46</v>
      </c>
      <c r="Q523" t="s">
        <v>62</v>
      </c>
      <c r="R523" t="s">
        <v>148</v>
      </c>
      <c r="S523" t="s">
        <v>49</v>
      </c>
      <c r="U523" t="s">
        <v>50</v>
      </c>
      <c r="X523" t="s">
        <v>65</v>
      </c>
      <c r="Y523" t="s">
        <v>126</v>
      </c>
      <c r="AA523">
        <v>0</v>
      </c>
      <c r="AB523" t="s">
        <v>79</v>
      </c>
      <c r="AC523" t="s">
        <v>87</v>
      </c>
      <c r="AD523">
        <v>36</v>
      </c>
      <c r="AE523">
        <v>9</v>
      </c>
      <c r="AF523">
        <v>3</v>
      </c>
      <c r="AG523">
        <v>2025</v>
      </c>
      <c r="AH523" s="2">
        <v>15400</v>
      </c>
      <c r="AI523" s="2">
        <v>11793.0224609375</v>
      </c>
      <c r="AJ523" s="2">
        <f t="shared" si="64"/>
        <v>3606.9775390625</v>
      </c>
      <c r="AK523" s="6">
        <f t="shared" si="65"/>
        <v>0.23421932071834414</v>
      </c>
      <c r="AL523" s="12">
        <v>15400</v>
      </c>
      <c r="AM523" s="12">
        <v>11652.814734273579</v>
      </c>
      <c r="AN523" s="12">
        <f t="shared" si="66"/>
        <v>3747.1852657264208</v>
      </c>
      <c r="AO523" s="13">
        <f t="shared" si="67"/>
        <v>0.24332371855366369</v>
      </c>
      <c r="AP523" s="16">
        <v>15400</v>
      </c>
      <c r="AQ523" s="16">
        <v>12858.920587795499</v>
      </c>
      <c r="AR523" s="16">
        <f t="shared" si="68"/>
        <v>2541.0794122045008</v>
      </c>
      <c r="AS523" s="17">
        <f t="shared" si="69"/>
        <v>0.16500515663665591</v>
      </c>
      <c r="AT523" s="20">
        <v>15400</v>
      </c>
      <c r="AU523" s="20">
        <v>11833.052734375</v>
      </c>
      <c r="AV523" s="20">
        <f t="shared" si="70"/>
        <v>3566.947265625</v>
      </c>
      <c r="AW523" s="21">
        <f t="shared" si="71"/>
        <v>0.2316199523133117</v>
      </c>
    </row>
    <row r="524" spans="1:49" x14ac:dyDescent="0.25">
      <c r="A524" t="s">
        <v>38</v>
      </c>
      <c r="B524" t="s">
        <v>474</v>
      </c>
      <c r="C524">
        <v>142401</v>
      </c>
      <c r="D524">
        <v>2019</v>
      </c>
      <c r="E524" t="s">
        <v>69</v>
      </c>
      <c r="F524" t="s">
        <v>231</v>
      </c>
      <c r="I524">
        <v>6</v>
      </c>
      <c r="J524" t="s">
        <v>72</v>
      </c>
      <c r="K524">
        <v>4</v>
      </c>
      <c r="L524" t="s">
        <v>44</v>
      </c>
      <c r="M524">
        <v>3.5</v>
      </c>
      <c r="N524" t="s">
        <v>73</v>
      </c>
      <c r="O524" t="s">
        <v>46</v>
      </c>
      <c r="P524">
        <v>2</v>
      </c>
      <c r="Q524" t="s">
        <v>74</v>
      </c>
      <c r="R524" t="s">
        <v>92</v>
      </c>
      <c r="S524" t="s">
        <v>49</v>
      </c>
      <c r="T524">
        <v>375</v>
      </c>
      <c r="U524" t="s">
        <v>50</v>
      </c>
      <c r="V524" t="s">
        <v>76</v>
      </c>
      <c r="W524" t="s">
        <v>308</v>
      </c>
      <c r="X524" t="s">
        <v>94</v>
      </c>
      <c r="Y524" t="s">
        <v>78</v>
      </c>
      <c r="AA524">
        <v>0</v>
      </c>
      <c r="AB524" t="s">
        <v>79</v>
      </c>
      <c r="AC524" t="s">
        <v>95</v>
      </c>
      <c r="AD524">
        <v>36</v>
      </c>
      <c r="AE524">
        <v>9</v>
      </c>
      <c r="AF524">
        <v>3</v>
      </c>
      <c r="AG524">
        <v>2025</v>
      </c>
      <c r="AH524" s="2">
        <v>6900</v>
      </c>
      <c r="AI524" s="2">
        <v>8804.1552734375</v>
      </c>
      <c r="AJ524" s="2">
        <f t="shared" si="64"/>
        <v>1904.1552734375</v>
      </c>
      <c r="AK524" s="6">
        <f t="shared" si="65"/>
        <v>0.27596453238224639</v>
      </c>
      <c r="AL524" s="12">
        <v>6900</v>
      </c>
      <c r="AM524" s="12">
        <v>9522.2400263180443</v>
      </c>
      <c r="AN524" s="12">
        <f t="shared" si="66"/>
        <v>2622.2400263180443</v>
      </c>
      <c r="AO524" s="13">
        <f t="shared" si="67"/>
        <v>0.380034786422905</v>
      </c>
      <c r="AP524" s="16">
        <v>6900</v>
      </c>
      <c r="AQ524" s="16">
        <v>9108.7990715035121</v>
      </c>
      <c r="AR524" s="16">
        <f t="shared" si="68"/>
        <v>2208.7990715035121</v>
      </c>
      <c r="AS524" s="17">
        <f t="shared" si="69"/>
        <v>0.32011580746427709</v>
      </c>
      <c r="AT524" s="20">
        <v>6900</v>
      </c>
      <c r="AU524" s="20">
        <v>9041.5234375</v>
      </c>
      <c r="AV524" s="20">
        <f t="shared" si="70"/>
        <v>2141.5234375</v>
      </c>
      <c r="AW524" s="21">
        <f t="shared" si="71"/>
        <v>0.31036571557971016</v>
      </c>
    </row>
    <row r="525" spans="1:49" x14ac:dyDescent="0.25">
      <c r="A525" t="s">
        <v>38</v>
      </c>
      <c r="B525" t="s">
        <v>68</v>
      </c>
      <c r="C525">
        <v>167647</v>
      </c>
      <c r="D525">
        <v>2016</v>
      </c>
      <c r="E525" t="s">
        <v>69</v>
      </c>
      <c r="F525" t="s">
        <v>250</v>
      </c>
      <c r="H525" t="s">
        <v>447</v>
      </c>
      <c r="I525">
        <v>4</v>
      </c>
      <c r="J525" t="s">
        <v>72</v>
      </c>
      <c r="K525">
        <v>4</v>
      </c>
      <c r="L525" t="s">
        <v>44</v>
      </c>
      <c r="M525">
        <v>1.6</v>
      </c>
      <c r="N525" t="s">
        <v>45</v>
      </c>
      <c r="O525" t="s">
        <v>46</v>
      </c>
      <c r="P525">
        <v>2</v>
      </c>
      <c r="Q525" t="s">
        <v>62</v>
      </c>
      <c r="R525" t="s">
        <v>63</v>
      </c>
      <c r="S525" t="s">
        <v>49</v>
      </c>
      <c r="T525">
        <v>178</v>
      </c>
      <c r="U525" t="s">
        <v>50</v>
      </c>
      <c r="V525" t="s">
        <v>51</v>
      </c>
      <c r="X525" t="s">
        <v>65</v>
      </c>
      <c r="Y525" t="s">
        <v>78</v>
      </c>
      <c r="AA525">
        <v>0</v>
      </c>
      <c r="AB525" t="s">
        <v>79</v>
      </c>
      <c r="AC525" t="s">
        <v>87</v>
      </c>
      <c r="AD525">
        <v>36</v>
      </c>
      <c r="AE525">
        <v>9</v>
      </c>
      <c r="AF525">
        <v>3</v>
      </c>
      <c r="AG525">
        <v>2025</v>
      </c>
      <c r="AH525" s="2">
        <v>1800</v>
      </c>
      <c r="AI525" s="2">
        <v>1979.698120117188</v>
      </c>
      <c r="AJ525" s="2">
        <f t="shared" si="64"/>
        <v>179.69812011718795</v>
      </c>
      <c r="AK525" s="6">
        <f t="shared" si="65"/>
        <v>9.9832288953993306E-2</v>
      </c>
      <c r="AL525" s="12">
        <v>1800</v>
      </c>
      <c r="AM525" s="12">
        <v>2165.4991429763331</v>
      </c>
      <c r="AN525" s="12">
        <f t="shared" si="66"/>
        <v>365.49914297633313</v>
      </c>
      <c r="AO525" s="13">
        <f t="shared" si="67"/>
        <v>0.20305507943129619</v>
      </c>
      <c r="AP525" s="16">
        <v>1800</v>
      </c>
      <c r="AQ525" s="16">
        <v>1843.585757667242</v>
      </c>
      <c r="AR525" s="16">
        <f t="shared" si="68"/>
        <v>43.585757667241978</v>
      </c>
      <c r="AS525" s="17">
        <f t="shared" si="69"/>
        <v>2.4214309815134432E-2</v>
      </c>
      <c r="AT525" s="20">
        <v>1800</v>
      </c>
      <c r="AU525" s="20">
        <v>1991.944946289062</v>
      </c>
      <c r="AV525" s="20">
        <f t="shared" si="70"/>
        <v>191.94494628906205</v>
      </c>
      <c r="AW525" s="21">
        <f t="shared" si="71"/>
        <v>0.10663608127170114</v>
      </c>
    </row>
    <row r="526" spans="1:49" x14ac:dyDescent="0.25">
      <c r="A526" t="s">
        <v>114</v>
      </c>
      <c r="B526" t="s">
        <v>340</v>
      </c>
      <c r="C526">
        <v>144645</v>
      </c>
      <c r="D526">
        <v>2014</v>
      </c>
      <c r="E526" t="s">
        <v>146</v>
      </c>
      <c r="F526" t="s">
        <v>279</v>
      </c>
      <c r="I526">
        <v>4</v>
      </c>
      <c r="J526" t="s">
        <v>106</v>
      </c>
      <c r="K526">
        <v>4</v>
      </c>
      <c r="L526" t="s">
        <v>44</v>
      </c>
      <c r="M526">
        <v>1.8</v>
      </c>
      <c r="N526" t="s">
        <v>45</v>
      </c>
      <c r="O526" t="s">
        <v>46</v>
      </c>
      <c r="P526">
        <v>3</v>
      </c>
      <c r="Q526" t="s">
        <v>47</v>
      </c>
      <c r="R526" t="s">
        <v>123</v>
      </c>
      <c r="S526" t="s">
        <v>49</v>
      </c>
      <c r="U526" t="s">
        <v>50</v>
      </c>
      <c r="X526" t="s">
        <v>125</v>
      </c>
      <c r="Y526" t="s">
        <v>126</v>
      </c>
      <c r="AA526">
        <v>0</v>
      </c>
      <c r="AB526" t="s">
        <v>79</v>
      </c>
      <c r="AC526" t="s">
        <v>127</v>
      </c>
      <c r="AD526">
        <v>36</v>
      </c>
      <c r="AE526">
        <v>9</v>
      </c>
      <c r="AF526">
        <v>3</v>
      </c>
      <c r="AG526">
        <v>2025</v>
      </c>
      <c r="AH526" s="2">
        <v>1100</v>
      </c>
      <c r="AI526" s="2">
        <v>1474.235107421875</v>
      </c>
      <c r="AJ526" s="2">
        <f t="shared" si="64"/>
        <v>374.235107421875</v>
      </c>
      <c r="AK526" s="6">
        <f t="shared" si="65"/>
        <v>0.34021373401988636</v>
      </c>
      <c r="AL526" s="12">
        <v>1100</v>
      </c>
      <c r="AM526" s="12">
        <v>1637.3471466214021</v>
      </c>
      <c r="AN526" s="12">
        <f t="shared" si="66"/>
        <v>537.34714662140209</v>
      </c>
      <c r="AO526" s="13">
        <f t="shared" si="67"/>
        <v>0.48849740601945646</v>
      </c>
      <c r="AP526" s="16">
        <v>1100</v>
      </c>
      <c r="AQ526" s="16">
        <v>1237.0071787789079</v>
      </c>
      <c r="AR526" s="16">
        <f t="shared" si="68"/>
        <v>137.00717877890793</v>
      </c>
      <c r="AS526" s="17">
        <f t="shared" si="69"/>
        <v>0.12455198070809811</v>
      </c>
      <c r="AT526" s="20">
        <v>1100</v>
      </c>
      <c r="AU526" s="20">
        <v>1452.725219726562</v>
      </c>
      <c r="AV526" s="20">
        <f t="shared" si="70"/>
        <v>352.72521972656205</v>
      </c>
      <c r="AW526" s="21">
        <f t="shared" si="71"/>
        <v>0.32065929066051096</v>
      </c>
    </row>
    <row r="527" spans="1:49" x14ac:dyDescent="0.25">
      <c r="A527" t="s">
        <v>38</v>
      </c>
      <c r="B527" t="s">
        <v>68</v>
      </c>
      <c r="C527">
        <v>19492</v>
      </c>
      <c r="D527">
        <v>2018</v>
      </c>
      <c r="E527" t="s">
        <v>69</v>
      </c>
      <c r="F527" t="s">
        <v>394</v>
      </c>
      <c r="H527" t="s">
        <v>856</v>
      </c>
      <c r="I527">
        <v>4</v>
      </c>
      <c r="J527" t="s">
        <v>106</v>
      </c>
      <c r="K527">
        <v>4</v>
      </c>
      <c r="L527" t="s">
        <v>44</v>
      </c>
      <c r="M527">
        <v>1.5</v>
      </c>
      <c r="N527" t="s">
        <v>45</v>
      </c>
      <c r="O527" t="s">
        <v>46</v>
      </c>
      <c r="P527">
        <v>4</v>
      </c>
      <c r="Q527" t="s">
        <v>47</v>
      </c>
      <c r="R527" t="s">
        <v>123</v>
      </c>
      <c r="S527" t="s">
        <v>101</v>
      </c>
      <c r="T527">
        <v>181</v>
      </c>
      <c r="U527" t="s">
        <v>50</v>
      </c>
      <c r="V527" t="s">
        <v>51</v>
      </c>
      <c r="X527" t="s">
        <v>125</v>
      </c>
      <c r="Y527" t="s">
        <v>126</v>
      </c>
      <c r="Z527">
        <v>23490</v>
      </c>
      <c r="AA527">
        <v>0</v>
      </c>
      <c r="AB527" t="s">
        <v>79</v>
      </c>
      <c r="AC527" t="s">
        <v>127</v>
      </c>
      <c r="AD527">
        <v>36</v>
      </c>
      <c r="AE527">
        <v>9</v>
      </c>
      <c r="AF527">
        <v>3</v>
      </c>
      <c r="AG527">
        <v>2025</v>
      </c>
      <c r="AH527" s="2">
        <v>14500</v>
      </c>
      <c r="AI527" s="2">
        <v>14497.693359375</v>
      </c>
      <c r="AJ527" s="2">
        <f t="shared" si="64"/>
        <v>2.306640625</v>
      </c>
      <c r="AK527" s="6">
        <f t="shared" si="65"/>
        <v>1.5907866379310346E-4</v>
      </c>
      <c r="AL527" s="12">
        <v>14500</v>
      </c>
      <c r="AM527" s="12">
        <v>15917.83945975065</v>
      </c>
      <c r="AN527" s="12">
        <f t="shared" si="66"/>
        <v>1417.8394597506503</v>
      </c>
      <c r="AO527" s="13">
        <f t="shared" si="67"/>
        <v>9.77820317069414E-2</v>
      </c>
      <c r="AP527" s="16">
        <v>14500</v>
      </c>
      <c r="AQ527" s="16">
        <v>14127.328564231009</v>
      </c>
      <c r="AR527" s="16">
        <f t="shared" si="68"/>
        <v>372.6714357689907</v>
      </c>
      <c r="AS527" s="17">
        <f t="shared" si="69"/>
        <v>2.570147832889591E-2</v>
      </c>
      <c r="AT527" s="20">
        <v>14500</v>
      </c>
      <c r="AU527" s="20">
        <v>14686.0693359375</v>
      </c>
      <c r="AV527" s="20">
        <f t="shared" si="70"/>
        <v>186.0693359375</v>
      </c>
      <c r="AW527" s="21">
        <f t="shared" si="71"/>
        <v>1.2832367995689655E-2</v>
      </c>
    </row>
    <row r="528" spans="1:49" x14ac:dyDescent="0.25">
      <c r="A528" t="s">
        <v>38</v>
      </c>
      <c r="B528" t="s">
        <v>110</v>
      </c>
      <c r="C528">
        <v>67529</v>
      </c>
      <c r="D528">
        <v>2021</v>
      </c>
      <c r="E528" t="s">
        <v>146</v>
      </c>
      <c r="F528" t="s">
        <v>334</v>
      </c>
      <c r="G528" t="s">
        <v>352</v>
      </c>
      <c r="I528">
        <v>4</v>
      </c>
      <c r="J528" t="s">
        <v>135</v>
      </c>
      <c r="K528">
        <v>4</v>
      </c>
      <c r="L528" t="s">
        <v>44</v>
      </c>
      <c r="M528">
        <v>2.5</v>
      </c>
      <c r="N528" t="s">
        <v>45</v>
      </c>
      <c r="O528" t="s">
        <v>46</v>
      </c>
      <c r="P528">
        <v>4</v>
      </c>
      <c r="Q528" t="s">
        <v>47</v>
      </c>
      <c r="R528" t="s">
        <v>123</v>
      </c>
      <c r="S528" t="s">
        <v>49</v>
      </c>
      <c r="U528" t="s">
        <v>50</v>
      </c>
      <c r="X528" t="s">
        <v>125</v>
      </c>
      <c r="Y528" t="s">
        <v>78</v>
      </c>
      <c r="AA528">
        <v>0</v>
      </c>
      <c r="AB528" t="s">
        <v>79</v>
      </c>
      <c r="AC528" t="s">
        <v>127</v>
      </c>
      <c r="AD528">
        <v>36</v>
      </c>
      <c r="AE528">
        <v>9</v>
      </c>
      <c r="AF528">
        <v>3</v>
      </c>
      <c r="AG528">
        <v>2025</v>
      </c>
      <c r="AH528" s="2">
        <v>14800</v>
      </c>
      <c r="AI528" s="2">
        <v>14789.39453125</v>
      </c>
      <c r="AJ528" s="2">
        <f t="shared" si="64"/>
        <v>10.60546875</v>
      </c>
      <c r="AK528" s="6">
        <f t="shared" si="65"/>
        <v>7.165857263513514E-4</v>
      </c>
      <c r="AL528" s="12">
        <v>14800</v>
      </c>
      <c r="AM528" s="12">
        <v>12370.776220248399</v>
      </c>
      <c r="AN528" s="12">
        <f t="shared" si="66"/>
        <v>2429.2237797516009</v>
      </c>
      <c r="AO528" s="13">
        <f t="shared" si="67"/>
        <v>0.16413674187510816</v>
      </c>
      <c r="AP528" s="16">
        <v>14800</v>
      </c>
      <c r="AQ528" s="16">
        <v>12572.564786152339</v>
      </c>
      <c r="AR528" s="16">
        <f t="shared" si="68"/>
        <v>2227.4352138476606</v>
      </c>
      <c r="AS528" s="17">
        <f t="shared" si="69"/>
        <v>0.15050237931403113</v>
      </c>
      <c r="AT528" s="20">
        <v>14800</v>
      </c>
      <c r="AU528" s="20">
        <v>14215.6767578125</v>
      </c>
      <c r="AV528" s="20">
        <f t="shared" si="70"/>
        <v>584.3232421875</v>
      </c>
      <c r="AW528" s="21">
        <f t="shared" si="71"/>
        <v>3.9481300147804051E-2</v>
      </c>
    </row>
    <row r="529" spans="1:49" x14ac:dyDescent="0.25">
      <c r="A529" t="s">
        <v>38</v>
      </c>
      <c r="B529" t="s">
        <v>110</v>
      </c>
      <c r="C529">
        <v>191082</v>
      </c>
      <c r="D529">
        <v>2007</v>
      </c>
      <c r="E529" t="s">
        <v>341</v>
      </c>
      <c r="F529" t="s">
        <v>857</v>
      </c>
      <c r="H529" t="s">
        <v>858</v>
      </c>
      <c r="I529">
        <v>6</v>
      </c>
      <c r="J529" t="s">
        <v>72</v>
      </c>
      <c r="K529">
        <v>4</v>
      </c>
      <c r="L529" t="s">
        <v>44</v>
      </c>
      <c r="M529">
        <v>3.5</v>
      </c>
      <c r="N529" t="s">
        <v>45</v>
      </c>
      <c r="Q529" t="s">
        <v>62</v>
      </c>
      <c r="R529" t="s">
        <v>63</v>
      </c>
      <c r="S529" t="s">
        <v>49</v>
      </c>
      <c r="U529" t="s">
        <v>50</v>
      </c>
      <c r="V529" t="s">
        <v>76</v>
      </c>
      <c r="W529" t="s">
        <v>859</v>
      </c>
      <c r="X529" t="s">
        <v>141</v>
      </c>
      <c r="Y529" t="s">
        <v>126</v>
      </c>
      <c r="AA529">
        <v>0</v>
      </c>
      <c r="AB529" t="s">
        <v>79</v>
      </c>
      <c r="AC529" t="s">
        <v>87</v>
      </c>
      <c r="AD529">
        <v>36</v>
      </c>
      <c r="AE529">
        <v>9</v>
      </c>
      <c r="AF529">
        <v>3</v>
      </c>
      <c r="AG529">
        <v>2025</v>
      </c>
      <c r="AH529" s="2">
        <v>1000</v>
      </c>
      <c r="AI529" s="2">
        <v>867.82879638671875</v>
      </c>
      <c r="AJ529" s="2">
        <f t="shared" si="64"/>
        <v>132.17120361328125</v>
      </c>
      <c r="AK529" s="6">
        <f t="shared" si="65"/>
        <v>0.13217120361328125</v>
      </c>
      <c r="AL529" s="12">
        <v>1000</v>
      </c>
      <c r="AM529" s="12">
        <v>1043.5796645065579</v>
      </c>
      <c r="AN529" s="12">
        <f t="shared" si="66"/>
        <v>43.579664506557947</v>
      </c>
      <c r="AO529" s="13">
        <f t="shared" si="67"/>
        <v>4.3579664506557945E-2</v>
      </c>
      <c r="AP529" s="16">
        <v>1000</v>
      </c>
      <c r="AQ529" s="16">
        <v>788.75130998833083</v>
      </c>
      <c r="AR529" s="16">
        <f t="shared" si="68"/>
        <v>211.24869001166917</v>
      </c>
      <c r="AS529" s="17">
        <f t="shared" si="69"/>
        <v>0.21124869001166918</v>
      </c>
      <c r="AT529" s="20">
        <v>1000</v>
      </c>
      <c r="AU529" s="20">
        <v>872.4866943359375</v>
      </c>
      <c r="AV529" s="20">
        <f t="shared" si="70"/>
        <v>127.5133056640625</v>
      </c>
      <c r="AW529" s="21">
        <f t="shared" si="71"/>
        <v>0.12751330566406249</v>
      </c>
    </row>
    <row r="530" spans="1:49" x14ac:dyDescent="0.25">
      <c r="A530" t="s">
        <v>38</v>
      </c>
      <c r="B530" t="s">
        <v>96</v>
      </c>
      <c r="C530">
        <v>174789</v>
      </c>
      <c r="D530">
        <v>2017</v>
      </c>
      <c r="E530" t="s">
        <v>116</v>
      </c>
      <c r="F530" t="s">
        <v>237</v>
      </c>
      <c r="G530" t="s">
        <v>396</v>
      </c>
      <c r="I530">
        <v>6</v>
      </c>
      <c r="J530" t="s">
        <v>135</v>
      </c>
      <c r="K530">
        <v>4</v>
      </c>
      <c r="L530" t="s">
        <v>44</v>
      </c>
      <c r="M530">
        <v>3.6</v>
      </c>
      <c r="N530" t="s">
        <v>73</v>
      </c>
      <c r="O530" t="s">
        <v>46</v>
      </c>
      <c r="P530">
        <v>2</v>
      </c>
      <c r="Q530" t="s">
        <v>47</v>
      </c>
      <c r="R530" t="s">
        <v>123</v>
      </c>
      <c r="S530" t="s">
        <v>179</v>
      </c>
      <c r="T530">
        <v>292</v>
      </c>
      <c r="U530" t="s">
        <v>50</v>
      </c>
      <c r="V530" t="s">
        <v>76</v>
      </c>
      <c r="X530" t="s">
        <v>125</v>
      </c>
      <c r="Y530" t="s">
        <v>103</v>
      </c>
      <c r="Z530">
        <v>29995</v>
      </c>
      <c r="AA530">
        <v>0</v>
      </c>
      <c r="AB530" t="s">
        <v>79</v>
      </c>
      <c r="AC530" t="s">
        <v>127</v>
      </c>
      <c r="AD530">
        <v>36</v>
      </c>
      <c r="AE530">
        <v>9</v>
      </c>
      <c r="AF530">
        <v>3</v>
      </c>
      <c r="AG530">
        <v>2025</v>
      </c>
      <c r="AH530" s="2">
        <v>4800</v>
      </c>
      <c r="AI530" s="2">
        <v>3877.225830078125</v>
      </c>
      <c r="AJ530" s="2">
        <f t="shared" si="64"/>
        <v>922.774169921875</v>
      </c>
      <c r="AK530" s="6">
        <f t="shared" si="65"/>
        <v>0.19224461873372395</v>
      </c>
      <c r="AL530" s="12">
        <v>4800</v>
      </c>
      <c r="AM530" s="12">
        <v>3894.2466216453722</v>
      </c>
      <c r="AN530" s="12">
        <f t="shared" si="66"/>
        <v>905.75337835462778</v>
      </c>
      <c r="AO530" s="13">
        <f t="shared" si="67"/>
        <v>0.18869862049054745</v>
      </c>
      <c r="AP530" s="16">
        <v>4800</v>
      </c>
      <c r="AQ530" s="16">
        <v>3501.8187652813081</v>
      </c>
      <c r="AR530" s="16">
        <f t="shared" si="68"/>
        <v>1298.1812347186919</v>
      </c>
      <c r="AS530" s="17">
        <f t="shared" si="69"/>
        <v>0.27045442389972751</v>
      </c>
      <c r="AT530" s="20">
        <v>4800</v>
      </c>
      <c r="AU530" s="20">
        <v>3935.752685546875</v>
      </c>
      <c r="AV530" s="20">
        <f t="shared" si="70"/>
        <v>864.247314453125</v>
      </c>
      <c r="AW530" s="21">
        <f t="shared" si="71"/>
        <v>0.18005152384440104</v>
      </c>
    </row>
    <row r="531" spans="1:49" x14ac:dyDescent="0.25">
      <c r="A531" t="s">
        <v>128</v>
      </c>
      <c r="B531" t="s">
        <v>860</v>
      </c>
      <c r="C531">
        <v>55095</v>
      </c>
      <c r="D531">
        <v>2005</v>
      </c>
      <c r="E531" t="s">
        <v>97</v>
      </c>
      <c r="F531" t="s">
        <v>159</v>
      </c>
      <c r="H531" t="s">
        <v>781</v>
      </c>
      <c r="I531">
        <v>6</v>
      </c>
      <c r="J531" t="s">
        <v>72</v>
      </c>
      <c r="K531">
        <v>2</v>
      </c>
      <c r="L531" t="s">
        <v>44</v>
      </c>
      <c r="M531">
        <v>4.3</v>
      </c>
      <c r="N531" t="s">
        <v>73</v>
      </c>
      <c r="O531" t="s">
        <v>190</v>
      </c>
      <c r="P531">
        <v>1</v>
      </c>
      <c r="Q531" t="s">
        <v>74</v>
      </c>
      <c r="R531" t="s">
        <v>92</v>
      </c>
      <c r="S531" t="s">
        <v>49</v>
      </c>
      <c r="U531" t="s">
        <v>50</v>
      </c>
      <c r="V531" t="s">
        <v>76</v>
      </c>
      <c r="W531" t="s">
        <v>861</v>
      </c>
      <c r="X531" t="s">
        <v>94</v>
      </c>
      <c r="Y531" t="s">
        <v>78</v>
      </c>
      <c r="AA531">
        <v>0</v>
      </c>
      <c r="AB531" t="s">
        <v>79</v>
      </c>
      <c r="AC531" t="s">
        <v>95</v>
      </c>
      <c r="AD531">
        <v>36</v>
      </c>
      <c r="AE531">
        <v>9</v>
      </c>
      <c r="AF531">
        <v>3</v>
      </c>
      <c r="AG531">
        <v>2025</v>
      </c>
      <c r="AH531" s="2">
        <v>1900</v>
      </c>
      <c r="AI531" s="2">
        <v>806.23663330078125</v>
      </c>
      <c r="AJ531" s="2">
        <f t="shared" si="64"/>
        <v>1093.7633666992188</v>
      </c>
      <c r="AK531" s="6">
        <f t="shared" si="65"/>
        <v>0.57566492984169404</v>
      </c>
      <c r="AL531" s="12">
        <v>1900</v>
      </c>
      <c r="AM531" s="12">
        <v>1106.2892246142351</v>
      </c>
      <c r="AN531" s="12">
        <f t="shared" si="66"/>
        <v>793.71077538576492</v>
      </c>
      <c r="AO531" s="13">
        <f t="shared" si="67"/>
        <v>0.41774251336092888</v>
      </c>
      <c r="AP531" s="16">
        <v>1900</v>
      </c>
      <c r="AQ531" s="16">
        <v>871.13728218559493</v>
      </c>
      <c r="AR531" s="16">
        <f t="shared" si="68"/>
        <v>1028.8627178144052</v>
      </c>
      <c r="AS531" s="17">
        <f t="shared" si="69"/>
        <v>0.54150669358652903</v>
      </c>
      <c r="AT531" s="20">
        <v>1900</v>
      </c>
      <c r="AU531" s="20">
        <v>827.09954833984375</v>
      </c>
      <c r="AV531" s="20">
        <f t="shared" si="70"/>
        <v>1072.9004516601563</v>
      </c>
      <c r="AW531" s="21">
        <f t="shared" si="71"/>
        <v>0.56468444824218755</v>
      </c>
    </row>
    <row r="532" spans="1:49" x14ac:dyDescent="0.25">
      <c r="A532" t="s">
        <v>38</v>
      </c>
      <c r="B532" t="s">
        <v>39</v>
      </c>
      <c r="C532">
        <v>137546</v>
      </c>
      <c r="D532">
        <v>2017</v>
      </c>
      <c r="E532" t="s">
        <v>146</v>
      </c>
      <c r="F532" t="s">
        <v>147</v>
      </c>
      <c r="I532">
        <v>4</v>
      </c>
      <c r="J532" t="s">
        <v>43</v>
      </c>
      <c r="K532">
        <v>4</v>
      </c>
      <c r="L532" t="s">
        <v>44</v>
      </c>
      <c r="M532">
        <v>2.5</v>
      </c>
      <c r="N532" t="s">
        <v>45</v>
      </c>
      <c r="O532" t="s">
        <v>46</v>
      </c>
      <c r="Q532" t="s">
        <v>62</v>
      </c>
      <c r="R532" t="s">
        <v>148</v>
      </c>
      <c r="S532" t="s">
        <v>49</v>
      </c>
      <c r="T532">
        <v>170</v>
      </c>
      <c r="U532" t="s">
        <v>50</v>
      </c>
      <c r="X532" t="s">
        <v>65</v>
      </c>
      <c r="Y532" t="s">
        <v>54</v>
      </c>
      <c r="AA532">
        <v>0</v>
      </c>
      <c r="AB532" t="s">
        <v>79</v>
      </c>
      <c r="AC532" t="s">
        <v>87</v>
      </c>
      <c r="AD532">
        <v>36</v>
      </c>
      <c r="AE532">
        <v>9</v>
      </c>
      <c r="AF532">
        <v>3</v>
      </c>
      <c r="AG532">
        <v>2025</v>
      </c>
      <c r="AH532" s="2">
        <v>6100</v>
      </c>
      <c r="AI532" s="2">
        <v>4115.2451171875</v>
      </c>
      <c r="AJ532" s="2">
        <f t="shared" si="64"/>
        <v>1984.7548828125</v>
      </c>
      <c r="AK532" s="6">
        <f t="shared" si="65"/>
        <v>0.32536965292008196</v>
      </c>
      <c r="AL532" s="12">
        <v>6100</v>
      </c>
      <c r="AM532" s="12">
        <v>3742.4396363738838</v>
      </c>
      <c r="AN532" s="12">
        <f t="shared" si="66"/>
        <v>2357.5603636261162</v>
      </c>
      <c r="AO532" s="13">
        <f t="shared" si="67"/>
        <v>0.38648530551247806</v>
      </c>
      <c r="AP532" s="16">
        <v>6100</v>
      </c>
      <c r="AQ532" s="16">
        <v>3624.2220072506079</v>
      </c>
      <c r="AR532" s="16">
        <f t="shared" si="68"/>
        <v>2475.7779927493921</v>
      </c>
      <c r="AS532" s="17">
        <f t="shared" si="69"/>
        <v>0.40586524471301511</v>
      </c>
      <c r="AT532" s="20">
        <v>6100</v>
      </c>
      <c r="AU532" s="20">
        <v>4139.02392578125</v>
      </c>
      <c r="AV532" s="20">
        <f t="shared" si="70"/>
        <v>1960.97607421875</v>
      </c>
      <c r="AW532" s="21">
        <f t="shared" si="71"/>
        <v>0.32147148757684424</v>
      </c>
    </row>
    <row r="533" spans="1:49" x14ac:dyDescent="0.25">
      <c r="A533" t="s">
        <v>128</v>
      </c>
      <c r="B533" t="s">
        <v>819</v>
      </c>
      <c r="C533">
        <v>121514</v>
      </c>
      <c r="D533">
        <v>2018</v>
      </c>
      <c r="E533" t="s">
        <v>166</v>
      </c>
      <c r="F533" t="s">
        <v>562</v>
      </c>
      <c r="G533" t="s">
        <v>581</v>
      </c>
      <c r="I533">
        <v>4</v>
      </c>
      <c r="J533" t="s">
        <v>122</v>
      </c>
      <c r="K533">
        <v>4</v>
      </c>
      <c r="L533" t="s">
        <v>44</v>
      </c>
      <c r="M533">
        <v>1.5</v>
      </c>
      <c r="N533" t="s">
        <v>45</v>
      </c>
      <c r="Q533" t="s">
        <v>47</v>
      </c>
      <c r="R533" t="s">
        <v>123</v>
      </c>
      <c r="S533" t="s">
        <v>49</v>
      </c>
      <c r="T533">
        <v>192</v>
      </c>
      <c r="U533" t="s">
        <v>50</v>
      </c>
      <c r="V533" t="s">
        <v>51</v>
      </c>
      <c r="W533" t="s">
        <v>249</v>
      </c>
      <c r="X533" t="s">
        <v>65</v>
      </c>
      <c r="Y533" t="s">
        <v>78</v>
      </c>
      <c r="Z533">
        <v>29970</v>
      </c>
      <c r="AA533">
        <v>0</v>
      </c>
      <c r="AB533" t="s">
        <v>79</v>
      </c>
      <c r="AC533" t="s">
        <v>127</v>
      </c>
      <c r="AD533">
        <v>36</v>
      </c>
      <c r="AE533">
        <v>9</v>
      </c>
      <c r="AF533">
        <v>3</v>
      </c>
      <c r="AG533">
        <v>2025</v>
      </c>
      <c r="AH533" s="2">
        <v>10375</v>
      </c>
      <c r="AI533" s="2">
        <v>14129.6953125</v>
      </c>
      <c r="AJ533" s="2">
        <f t="shared" si="64"/>
        <v>3754.6953125</v>
      </c>
      <c r="AK533" s="6">
        <f t="shared" si="65"/>
        <v>0.36189834337349397</v>
      </c>
      <c r="AL533" s="12">
        <v>10375</v>
      </c>
      <c r="AM533" s="12">
        <v>10732.72700439505</v>
      </c>
      <c r="AN533" s="12">
        <f t="shared" si="66"/>
        <v>357.72700439505024</v>
      </c>
      <c r="AO533" s="13">
        <f t="shared" si="67"/>
        <v>3.4479711266992792E-2</v>
      </c>
      <c r="AP533" s="16">
        <v>10375</v>
      </c>
      <c r="AQ533" s="16">
        <v>9955.2693871652864</v>
      </c>
      <c r="AR533" s="16">
        <f t="shared" si="68"/>
        <v>419.73061283471361</v>
      </c>
      <c r="AS533" s="17">
        <f t="shared" si="69"/>
        <v>4.0455962682863965E-2</v>
      </c>
      <c r="AT533" s="20">
        <v>10375</v>
      </c>
      <c r="AU533" s="20">
        <v>13471.3310546875</v>
      </c>
      <c r="AV533" s="20">
        <f t="shared" si="70"/>
        <v>3096.3310546875</v>
      </c>
      <c r="AW533" s="21">
        <f t="shared" si="71"/>
        <v>0.29844154743975904</v>
      </c>
    </row>
    <row r="534" spans="1:49" x14ac:dyDescent="0.25">
      <c r="A534" t="s">
        <v>38</v>
      </c>
      <c r="B534" t="s">
        <v>39</v>
      </c>
      <c r="C534">
        <v>143468</v>
      </c>
      <c r="D534">
        <v>2019</v>
      </c>
      <c r="E534" t="s">
        <v>40</v>
      </c>
      <c r="F534" t="s">
        <v>297</v>
      </c>
      <c r="G534" t="s">
        <v>862</v>
      </c>
      <c r="H534" t="s">
        <v>863</v>
      </c>
      <c r="I534">
        <v>4</v>
      </c>
      <c r="J534" t="s">
        <v>106</v>
      </c>
      <c r="K534">
        <v>4</v>
      </c>
      <c r="L534" t="s">
        <v>44</v>
      </c>
      <c r="M534">
        <v>2.5</v>
      </c>
      <c r="N534" t="s">
        <v>45</v>
      </c>
      <c r="O534" t="s">
        <v>46</v>
      </c>
      <c r="Q534" t="s">
        <v>47</v>
      </c>
      <c r="R534" t="s">
        <v>123</v>
      </c>
      <c r="S534" t="s">
        <v>49</v>
      </c>
      <c r="T534">
        <v>206</v>
      </c>
      <c r="U534" t="s">
        <v>50</v>
      </c>
      <c r="V534" t="s">
        <v>51</v>
      </c>
      <c r="W534" t="s">
        <v>449</v>
      </c>
      <c r="X534" t="s">
        <v>125</v>
      </c>
      <c r="Y534" t="s">
        <v>78</v>
      </c>
      <c r="AA534">
        <v>0</v>
      </c>
      <c r="AB534" t="s">
        <v>79</v>
      </c>
      <c r="AC534" t="s">
        <v>127</v>
      </c>
      <c r="AD534">
        <v>36</v>
      </c>
      <c r="AE534">
        <v>9</v>
      </c>
      <c r="AF534">
        <v>3</v>
      </c>
      <c r="AG534">
        <v>2025</v>
      </c>
      <c r="AH534" s="2">
        <v>13000</v>
      </c>
      <c r="AI534" s="2">
        <v>6685.1123046875</v>
      </c>
      <c r="AJ534" s="2">
        <f t="shared" si="64"/>
        <v>6314.8876953125</v>
      </c>
      <c r="AK534" s="6">
        <f t="shared" si="65"/>
        <v>0.48576059194711541</v>
      </c>
      <c r="AL534" s="12">
        <v>13000</v>
      </c>
      <c r="AM534" s="12">
        <v>7022.4536277137813</v>
      </c>
      <c r="AN534" s="12">
        <f t="shared" si="66"/>
        <v>5977.5463722862187</v>
      </c>
      <c r="AO534" s="13">
        <f t="shared" si="67"/>
        <v>0.4598112594066322</v>
      </c>
      <c r="AP534" s="16">
        <v>13000</v>
      </c>
      <c r="AQ534" s="16">
        <v>7880.6644848708156</v>
      </c>
      <c r="AR534" s="16">
        <f t="shared" si="68"/>
        <v>5119.3355151291844</v>
      </c>
      <c r="AS534" s="17">
        <f t="shared" si="69"/>
        <v>0.39379503962532186</v>
      </c>
      <c r="AT534" s="20">
        <v>13000</v>
      </c>
      <c r="AU534" s="20">
        <v>6755.60888671875</v>
      </c>
      <c r="AV534" s="20">
        <f t="shared" si="70"/>
        <v>6244.39111328125</v>
      </c>
      <c r="AW534" s="21">
        <f t="shared" si="71"/>
        <v>0.48033777794471155</v>
      </c>
    </row>
    <row r="535" spans="1:49" x14ac:dyDescent="0.25">
      <c r="A535" t="s">
        <v>114</v>
      </c>
      <c r="B535" t="s">
        <v>340</v>
      </c>
      <c r="C535">
        <v>133188</v>
      </c>
      <c r="D535">
        <v>2019</v>
      </c>
      <c r="E535" t="s">
        <v>69</v>
      </c>
      <c r="F535" t="s">
        <v>231</v>
      </c>
      <c r="I535">
        <v>6</v>
      </c>
      <c r="J535" t="s">
        <v>72</v>
      </c>
      <c r="K535">
        <v>4</v>
      </c>
      <c r="L535" t="s">
        <v>44</v>
      </c>
      <c r="M535">
        <v>3.3</v>
      </c>
      <c r="N535" t="s">
        <v>73</v>
      </c>
      <c r="O535" t="s">
        <v>46</v>
      </c>
      <c r="P535">
        <v>4</v>
      </c>
      <c r="Q535" t="s">
        <v>74</v>
      </c>
      <c r="R535" t="s">
        <v>92</v>
      </c>
      <c r="S535" t="s">
        <v>49</v>
      </c>
      <c r="T535">
        <v>290</v>
      </c>
      <c r="U535" t="s">
        <v>50</v>
      </c>
      <c r="V535" t="s">
        <v>76</v>
      </c>
      <c r="W535" t="s">
        <v>864</v>
      </c>
      <c r="X535" t="s">
        <v>94</v>
      </c>
      <c r="Y535" t="s">
        <v>78</v>
      </c>
      <c r="AA535">
        <v>0</v>
      </c>
      <c r="AB535" t="s">
        <v>79</v>
      </c>
      <c r="AC535" t="s">
        <v>95</v>
      </c>
      <c r="AD535">
        <v>36</v>
      </c>
      <c r="AE535">
        <v>9</v>
      </c>
      <c r="AF535">
        <v>3</v>
      </c>
      <c r="AG535">
        <v>2025</v>
      </c>
      <c r="AH535" s="2">
        <v>9000</v>
      </c>
      <c r="AI535" s="2">
        <v>8663.3466796875</v>
      </c>
      <c r="AJ535" s="2">
        <f t="shared" si="64"/>
        <v>336.6533203125</v>
      </c>
      <c r="AK535" s="6">
        <f t="shared" si="65"/>
        <v>3.7405924479166665E-2</v>
      </c>
      <c r="AL535" s="12">
        <v>9000</v>
      </c>
      <c r="AM535" s="12">
        <v>11194.14580556801</v>
      </c>
      <c r="AN535" s="12">
        <f t="shared" si="66"/>
        <v>2194.1458055680105</v>
      </c>
      <c r="AO535" s="13">
        <f t="shared" si="67"/>
        <v>0.24379397839644562</v>
      </c>
      <c r="AP535" s="16">
        <v>9000</v>
      </c>
      <c r="AQ535" s="16">
        <v>9171.3126260612644</v>
      </c>
      <c r="AR535" s="16">
        <f t="shared" si="68"/>
        <v>171.31262606126438</v>
      </c>
      <c r="AS535" s="17">
        <f t="shared" si="69"/>
        <v>1.9034736229029375E-2</v>
      </c>
      <c r="AT535" s="20">
        <v>9000</v>
      </c>
      <c r="AU535" s="20">
        <v>9219.7919921875</v>
      </c>
      <c r="AV535" s="20">
        <f t="shared" si="70"/>
        <v>219.7919921875</v>
      </c>
      <c r="AW535" s="21">
        <f t="shared" si="71"/>
        <v>2.4421332465277779E-2</v>
      </c>
    </row>
    <row r="536" spans="1:49" x14ac:dyDescent="0.25">
      <c r="A536" t="s">
        <v>128</v>
      </c>
      <c r="B536" t="s">
        <v>309</v>
      </c>
      <c r="C536">
        <v>135060</v>
      </c>
      <c r="D536">
        <v>2017</v>
      </c>
      <c r="E536" t="s">
        <v>116</v>
      </c>
      <c r="F536" t="s">
        <v>251</v>
      </c>
      <c r="G536" t="s">
        <v>865</v>
      </c>
      <c r="H536" t="s">
        <v>866</v>
      </c>
      <c r="I536">
        <v>4</v>
      </c>
      <c r="J536" t="s">
        <v>61</v>
      </c>
      <c r="K536">
        <v>4</v>
      </c>
      <c r="L536" t="s">
        <v>44</v>
      </c>
      <c r="M536">
        <v>2.4</v>
      </c>
      <c r="N536" t="s">
        <v>45</v>
      </c>
      <c r="O536" t="s">
        <v>46</v>
      </c>
      <c r="P536">
        <v>1</v>
      </c>
      <c r="Q536" t="s">
        <v>62</v>
      </c>
      <c r="R536" t="s">
        <v>63</v>
      </c>
      <c r="S536" t="s">
        <v>101</v>
      </c>
      <c r="T536">
        <v>173</v>
      </c>
      <c r="U536" t="s">
        <v>50</v>
      </c>
      <c r="V536" t="s">
        <v>51</v>
      </c>
      <c r="X536" t="s">
        <v>141</v>
      </c>
      <c r="Y536" t="s">
        <v>126</v>
      </c>
      <c r="Z536">
        <v>21195</v>
      </c>
      <c r="AA536">
        <v>0</v>
      </c>
      <c r="AB536" t="s">
        <v>79</v>
      </c>
      <c r="AC536" t="s">
        <v>87</v>
      </c>
      <c r="AD536">
        <v>36</v>
      </c>
      <c r="AE536">
        <v>9</v>
      </c>
      <c r="AF536">
        <v>3</v>
      </c>
      <c r="AG536">
        <v>2025</v>
      </c>
      <c r="AH536" s="2">
        <v>1800</v>
      </c>
      <c r="AI536" s="2">
        <v>2133.76123046875</v>
      </c>
      <c r="AJ536" s="2">
        <f t="shared" si="64"/>
        <v>333.76123046875</v>
      </c>
      <c r="AK536" s="6">
        <f t="shared" si="65"/>
        <v>0.18542290581597223</v>
      </c>
      <c r="AL536" s="12">
        <v>1800</v>
      </c>
      <c r="AM536" s="12">
        <v>2421.623147780379</v>
      </c>
      <c r="AN536" s="12">
        <f t="shared" si="66"/>
        <v>621.62314778037899</v>
      </c>
      <c r="AO536" s="13">
        <f t="shared" si="67"/>
        <v>0.34534619321132165</v>
      </c>
      <c r="AP536" s="16">
        <v>1800</v>
      </c>
      <c r="AQ536" s="16">
        <v>1882.733395144005</v>
      </c>
      <c r="AR536" s="16">
        <f t="shared" si="68"/>
        <v>82.733395144005044</v>
      </c>
      <c r="AS536" s="17">
        <f t="shared" si="69"/>
        <v>4.5962997302225021E-2</v>
      </c>
      <c r="AT536" s="20">
        <v>1800</v>
      </c>
      <c r="AU536" s="20">
        <v>2139.724365234375</v>
      </c>
      <c r="AV536" s="20">
        <f t="shared" si="70"/>
        <v>339.724365234375</v>
      </c>
      <c r="AW536" s="21">
        <f t="shared" si="71"/>
        <v>0.18873575846354165</v>
      </c>
    </row>
    <row r="537" spans="1:49" x14ac:dyDescent="0.25">
      <c r="A537" t="s">
        <v>38</v>
      </c>
      <c r="B537" t="s">
        <v>68</v>
      </c>
      <c r="C537">
        <v>160505</v>
      </c>
      <c r="D537">
        <v>2011</v>
      </c>
      <c r="E537" t="s">
        <v>403</v>
      </c>
      <c r="F537" t="s">
        <v>849</v>
      </c>
      <c r="G537" t="s">
        <v>405</v>
      </c>
      <c r="I537">
        <v>6</v>
      </c>
      <c r="J537" t="s">
        <v>106</v>
      </c>
      <c r="K537">
        <v>4</v>
      </c>
      <c r="L537" t="s">
        <v>44</v>
      </c>
      <c r="M537">
        <v>3</v>
      </c>
      <c r="N537" t="s">
        <v>45</v>
      </c>
      <c r="O537" t="s">
        <v>46</v>
      </c>
      <c r="Q537" t="s">
        <v>62</v>
      </c>
      <c r="R537" t="s">
        <v>63</v>
      </c>
      <c r="S537" t="s">
        <v>101</v>
      </c>
      <c r="U537" t="s">
        <v>50</v>
      </c>
      <c r="W537" t="s">
        <v>867</v>
      </c>
      <c r="X537" t="s">
        <v>141</v>
      </c>
      <c r="Y537" t="s">
        <v>126</v>
      </c>
      <c r="AA537">
        <v>0</v>
      </c>
      <c r="AB537" t="s">
        <v>79</v>
      </c>
      <c r="AC537" t="s">
        <v>87</v>
      </c>
      <c r="AD537">
        <v>36</v>
      </c>
      <c r="AE537">
        <v>9</v>
      </c>
      <c r="AF537">
        <v>3</v>
      </c>
      <c r="AG537">
        <v>2025</v>
      </c>
      <c r="AH537" s="2">
        <v>1900</v>
      </c>
      <c r="AI537" s="2">
        <v>1720.705688476562</v>
      </c>
      <c r="AJ537" s="2">
        <f t="shared" si="64"/>
        <v>179.29431152343795</v>
      </c>
      <c r="AK537" s="6">
        <f t="shared" si="65"/>
        <v>9.4365427117598918E-2</v>
      </c>
      <c r="AL537" s="12">
        <v>1900</v>
      </c>
      <c r="AM537" s="12">
        <v>2192.201298623555</v>
      </c>
      <c r="AN537" s="12">
        <f t="shared" si="66"/>
        <v>292.20129862355498</v>
      </c>
      <c r="AO537" s="13">
        <f t="shared" si="67"/>
        <v>0.1537901571702921</v>
      </c>
      <c r="AP537" s="16">
        <v>1900</v>
      </c>
      <c r="AQ537" s="16">
        <v>2094.3036141488228</v>
      </c>
      <c r="AR537" s="16">
        <f t="shared" si="68"/>
        <v>194.30361414882282</v>
      </c>
      <c r="AS537" s="17">
        <f t="shared" si="69"/>
        <v>0.10226506007832779</v>
      </c>
      <c r="AT537" s="20">
        <v>1900</v>
      </c>
      <c r="AU537" s="20">
        <v>1730.986938476562</v>
      </c>
      <c r="AV537" s="20">
        <f t="shared" si="70"/>
        <v>169.01306152343795</v>
      </c>
      <c r="AW537" s="21">
        <f t="shared" si="71"/>
        <v>8.8954242907072614E-2</v>
      </c>
    </row>
    <row r="538" spans="1:49" x14ac:dyDescent="0.25">
      <c r="A538" t="s">
        <v>114</v>
      </c>
      <c r="B538" t="s">
        <v>340</v>
      </c>
      <c r="C538">
        <v>128467</v>
      </c>
      <c r="D538">
        <v>2018</v>
      </c>
      <c r="E538" t="s">
        <v>146</v>
      </c>
      <c r="F538" t="s">
        <v>153</v>
      </c>
      <c r="I538">
        <v>6</v>
      </c>
      <c r="J538" t="s">
        <v>61</v>
      </c>
      <c r="K538">
        <v>4</v>
      </c>
      <c r="L538" t="s">
        <v>44</v>
      </c>
      <c r="M538">
        <v>3.5</v>
      </c>
      <c r="N538" t="s">
        <v>45</v>
      </c>
      <c r="O538" t="s">
        <v>46</v>
      </c>
      <c r="P538">
        <v>3</v>
      </c>
      <c r="Q538" t="s">
        <v>47</v>
      </c>
      <c r="R538" t="s">
        <v>123</v>
      </c>
      <c r="S538" t="s">
        <v>49</v>
      </c>
      <c r="U538" t="s">
        <v>50</v>
      </c>
      <c r="V538" t="s">
        <v>76</v>
      </c>
      <c r="X538" t="s">
        <v>125</v>
      </c>
      <c r="Y538" t="s">
        <v>78</v>
      </c>
      <c r="Z538">
        <v>33420</v>
      </c>
      <c r="AA538">
        <v>0</v>
      </c>
      <c r="AB538" t="s">
        <v>79</v>
      </c>
      <c r="AC538" t="s">
        <v>127</v>
      </c>
      <c r="AD538">
        <v>36</v>
      </c>
      <c r="AE538">
        <v>9</v>
      </c>
      <c r="AF538">
        <v>3</v>
      </c>
      <c r="AG538">
        <v>2025</v>
      </c>
      <c r="AH538" s="2">
        <v>3100</v>
      </c>
      <c r="AI538" s="2">
        <v>5736.66748046875</v>
      </c>
      <c r="AJ538" s="2">
        <f t="shared" si="64"/>
        <v>2636.66748046875</v>
      </c>
      <c r="AK538" s="6">
        <f t="shared" si="65"/>
        <v>0.85053789692540327</v>
      </c>
      <c r="AL538" s="12">
        <v>3100</v>
      </c>
      <c r="AM538" s="12">
        <v>5315.2278795650709</v>
      </c>
      <c r="AN538" s="12">
        <f t="shared" si="66"/>
        <v>2215.2278795650709</v>
      </c>
      <c r="AO538" s="13">
        <f t="shared" si="67"/>
        <v>0.71458963856937774</v>
      </c>
      <c r="AP538" s="16">
        <v>3100</v>
      </c>
      <c r="AQ538" s="16">
        <v>4086.0902931453761</v>
      </c>
      <c r="AR538" s="16">
        <f t="shared" si="68"/>
        <v>986.09029314537611</v>
      </c>
      <c r="AS538" s="17">
        <f t="shared" si="69"/>
        <v>0.31809364295012132</v>
      </c>
      <c r="AT538" s="20">
        <v>3100</v>
      </c>
      <c r="AU538" s="20">
        <v>5706.00341796875</v>
      </c>
      <c r="AV538" s="20">
        <f t="shared" si="70"/>
        <v>2606.00341796875</v>
      </c>
      <c r="AW538" s="21">
        <f t="shared" si="71"/>
        <v>0.84064626386088714</v>
      </c>
    </row>
    <row r="539" spans="1:49" x14ac:dyDescent="0.25">
      <c r="A539" t="s">
        <v>128</v>
      </c>
      <c r="B539" t="s">
        <v>210</v>
      </c>
      <c r="C539">
        <v>224307</v>
      </c>
      <c r="D539">
        <v>2006</v>
      </c>
      <c r="E539" t="s">
        <v>40</v>
      </c>
      <c r="F539" t="s">
        <v>524</v>
      </c>
      <c r="H539" t="s">
        <v>868</v>
      </c>
      <c r="I539">
        <v>6</v>
      </c>
      <c r="J539" t="s">
        <v>72</v>
      </c>
      <c r="K539">
        <v>4</v>
      </c>
      <c r="L539" t="s">
        <v>44</v>
      </c>
      <c r="M539">
        <v>3.5</v>
      </c>
      <c r="N539" t="s">
        <v>45</v>
      </c>
      <c r="O539" t="s">
        <v>46</v>
      </c>
      <c r="Q539" t="s">
        <v>47</v>
      </c>
      <c r="R539" t="s">
        <v>123</v>
      </c>
      <c r="S539" t="s">
        <v>49</v>
      </c>
      <c r="U539" t="s">
        <v>50</v>
      </c>
      <c r="V539" t="s">
        <v>76</v>
      </c>
      <c r="W539" t="s">
        <v>290</v>
      </c>
      <c r="X539" t="s">
        <v>125</v>
      </c>
      <c r="Y539" t="s">
        <v>78</v>
      </c>
      <c r="AA539">
        <v>0</v>
      </c>
      <c r="AB539" t="s">
        <v>79</v>
      </c>
      <c r="AC539" t="s">
        <v>127</v>
      </c>
      <c r="AD539">
        <v>36</v>
      </c>
      <c r="AE539">
        <v>9</v>
      </c>
      <c r="AF539">
        <v>3</v>
      </c>
      <c r="AG539">
        <v>2025</v>
      </c>
      <c r="AH539" s="2">
        <v>650</v>
      </c>
      <c r="AI539" s="2">
        <v>1168.961181640625</v>
      </c>
      <c r="AJ539" s="2">
        <f t="shared" si="64"/>
        <v>518.961181640625</v>
      </c>
      <c r="AK539" s="6">
        <f t="shared" si="65"/>
        <v>0.79840181790865383</v>
      </c>
      <c r="AL539" s="12">
        <v>650</v>
      </c>
      <c r="AM539" s="12">
        <v>1146.5434574140711</v>
      </c>
      <c r="AN539" s="12">
        <f t="shared" si="66"/>
        <v>496.5434574140711</v>
      </c>
      <c r="AO539" s="13">
        <f t="shared" si="67"/>
        <v>0.76391301140626322</v>
      </c>
      <c r="AP539" s="16">
        <v>650</v>
      </c>
      <c r="AQ539" s="16">
        <v>992.76923913455198</v>
      </c>
      <c r="AR539" s="16">
        <f t="shared" si="68"/>
        <v>342.76923913455198</v>
      </c>
      <c r="AS539" s="17">
        <f t="shared" si="69"/>
        <v>0.52733729097623383</v>
      </c>
      <c r="AT539" s="20">
        <v>650</v>
      </c>
      <c r="AU539" s="20">
        <v>1149.055419921875</v>
      </c>
      <c r="AV539" s="20">
        <f t="shared" si="70"/>
        <v>499.055419921875</v>
      </c>
      <c r="AW539" s="21">
        <f t="shared" si="71"/>
        <v>0.76777756911057693</v>
      </c>
    </row>
    <row r="540" spans="1:49" x14ac:dyDescent="0.25">
      <c r="A540" t="s">
        <v>128</v>
      </c>
      <c r="B540" t="s">
        <v>129</v>
      </c>
      <c r="C540">
        <v>253886</v>
      </c>
      <c r="D540">
        <v>2014</v>
      </c>
      <c r="E540" t="s">
        <v>40</v>
      </c>
      <c r="F540" t="s">
        <v>182</v>
      </c>
      <c r="G540" t="s">
        <v>112</v>
      </c>
      <c r="H540" t="s">
        <v>869</v>
      </c>
      <c r="I540">
        <v>6</v>
      </c>
      <c r="J540" t="s">
        <v>61</v>
      </c>
      <c r="K540">
        <v>4</v>
      </c>
      <c r="L540" t="s">
        <v>44</v>
      </c>
      <c r="M540">
        <v>4</v>
      </c>
      <c r="N540" t="s">
        <v>73</v>
      </c>
      <c r="Q540" t="s">
        <v>62</v>
      </c>
      <c r="R540" t="s">
        <v>63</v>
      </c>
      <c r="S540" t="s">
        <v>49</v>
      </c>
      <c r="T540">
        <v>270</v>
      </c>
      <c r="U540" t="s">
        <v>50</v>
      </c>
      <c r="V540" t="s">
        <v>76</v>
      </c>
      <c r="W540" t="s">
        <v>185</v>
      </c>
      <c r="X540" t="s">
        <v>94</v>
      </c>
      <c r="Y540" t="s">
        <v>54</v>
      </c>
      <c r="AA540">
        <v>0</v>
      </c>
      <c r="AB540" t="s">
        <v>79</v>
      </c>
      <c r="AC540" t="s">
        <v>87</v>
      </c>
      <c r="AD540">
        <v>36</v>
      </c>
      <c r="AE540">
        <v>9</v>
      </c>
      <c r="AF540">
        <v>3</v>
      </c>
      <c r="AG540">
        <v>2025</v>
      </c>
      <c r="AH540" s="2">
        <v>9000</v>
      </c>
      <c r="AI540" s="2">
        <v>6538.17529296875</v>
      </c>
      <c r="AJ540" s="2">
        <f t="shared" si="64"/>
        <v>2461.82470703125</v>
      </c>
      <c r="AK540" s="6">
        <f t="shared" si="65"/>
        <v>0.27353607855902778</v>
      </c>
      <c r="AL540" s="12">
        <v>9000</v>
      </c>
      <c r="AM540" s="12">
        <v>5165.5083928709291</v>
      </c>
      <c r="AN540" s="12">
        <f t="shared" si="66"/>
        <v>3834.4916071290709</v>
      </c>
      <c r="AO540" s="13">
        <f t="shared" si="67"/>
        <v>0.42605462301434122</v>
      </c>
      <c r="AP540" s="16">
        <v>9000</v>
      </c>
      <c r="AQ540" s="16">
        <v>4236.1304311073254</v>
      </c>
      <c r="AR540" s="16">
        <f t="shared" si="68"/>
        <v>4763.8695688926746</v>
      </c>
      <c r="AS540" s="17">
        <f t="shared" si="69"/>
        <v>0.52931884098807491</v>
      </c>
      <c r="AT540" s="20">
        <v>9000</v>
      </c>
      <c r="AU540" s="20">
        <v>6539.87158203125</v>
      </c>
      <c r="AV540" s="20">
        <f t="shared" si="70"/>
        <v>2460.12841796875</v>
      </c>
      <c r="AW540" s="21">
        <f t="shared" si="71"/>
        <v>0.2733476019965278</v>
      </c>
    </row>
    <row r="541" spans="1:49" x14ac:dyDescent="0.25">
      <c r="A541" t="s">
        <v>38</v>
      </c>
      <c r="B541" t="s">
        <v>96</v>
      </c>
      <c r="C541">
        <v>122616</v>
      </c>
      <c r="D541">
        <v>2018</v>
      </c>
      <c r="E541" t="s">
        <v>162</v>
      </c>
      <c r="F541" t="s">
        <v>736</v>
      </c>
      <c r="G541" t="s">
        <v>118</v>
      </c>
      <c r="I541">
        <v>4</v>
      </c>
      <c r="J541" t="s">
        <v>72</v>
      </c>
      <c r="K541">
        <v>4</v>
      </c>
      <c r="L541" t="s">
        <v>44</v>
      </c>
      <c r="M541">
        <v>1.6</v>
      </c>
      <c r="N541" t="s">
        <v>45</v>
      </c>
      <c r="O541" t="s">
        <v>46</v>
      </c>
      <c r="Q541" t="s">
        <v>62</v>
      </c>
      <c r="R541" t="s">
        <v>63</v>
      </c>
      <c r="S541" t="s">
        <v>49</v>
      </c>
      <c r="T541">
        <v>175</v>
      </c>
      <c r="U541" t="s">
        <v>50</v>
      </c>
      <c r="W541" t="s">
        <v>726</v>
      </c>
      <c r="X541" t="s">
        <v>65</v>
      </c>
      <c r="Y541" t="s">
        <v>66</v>
      </c>
      <c r="AA541">
        <v>0</v>
      </c>
      <c r="AB541" t="s">
        <v>79</v>
      </c>
      <c r="AC541" t="s">
        <v>87</v>
      </c>
      <c r="AD541">
        <v>36</v>
      </c>
      <c r="AE541">
        <v>9</v>
      </c>
      <c r="AF541">
        <v>3</v>
      </c>
      <c r="AG541">
        <v>2025</v>
      </c>
      <c r="AH541" s="2">
        <v>2700</v>
      </c>
      <c r="AI541" s="2">
        <v>5905.54833984375</v>
      </c>
      <c r="AJ541" s="2">
        <f t="shared" si="64"/>
        <v>3205.54833984375</v>
      </c>
      <c r="AK541" s="6">
        <f t="shared" si="65"/>
        <v>1.1872401258680556</v>
      </c>
      <c r="AL541" s="12">
        <v>2700</v>
      </c>
      <c r="AM541" s="12">
        <v>6009.9524692545319</v>
      </c>
      <c r="AN541" s="12">
        <f t="shared" si="66"/>
        <v>3309.9524692545319</v>
      </c>
      <c r="AO541" s="13">
        <f t="shared" si="67"/>
        <v>1.2259083219461229</v>
      </c>
      <c r="AP541" s="16">
        <v>2700</v>
      </c>
      <c r="AQ541" s="16">
        <v>5992.9479123080546</v>
      </c>
      <c r="AR541" s="16">
        <f t="shared" si="68"/>
        <v>3292.9479123080546</v>
      </c>
      <c r="AS541" s="17">
        <f t="shared" si="69"/>
        <v>1.2196103378918721</v>
      </c>
      <c r="AT541" s="20">
        <v>2700</v>
      </c>
      <c r="AU541" s="20">
        <v>5997.79638671875</v>
      </c>
      <c r="AV541" s="20">
        <f t="shared" si="70"/>
        <v>3297.79638671875</v>
      </c>
      <c r="AW541" s="21">
        <f t="shared" si="71"/>
        <v>1.2214060691550925</v>
      </c>
    </row>
    <row r="542" spans="1:49" x14ac:dyDescent="0.25">
      <c r="A542" t="s">
        <v>114</v>
      </c>
      <c r="B542" t="s">
        <v>115</v>
      </c>
      <c r="C542">
        <v>203724</v>
      </c>
      <c r="D542">
        <v>2010</v>
      </c>
      <c r="E542" t="s">
        <v>557</v>
      </c>
      <c r="F542" t="s">
        <v>870</v>
      </c>
      <c r="G542" t="s">
        <v>168</v>
      </c>
      <c r="H542" t="s">
        <v>871</v>
      </c>
      <c r="I542">
        <v>6</v>
      </c>
      <c r="J542" t="s">
        <v>122</v>
      </c>
      <c r="K542">
        <v>4</v>
      </c>
      <c r="L542" t="s">
        <v>44</v>
      </c>
      <c r="M542">
        <v>3.8</v>
      </c>
      <c r="N542" t="s">
        <v>45</v>
      </c>
      <c r="O542" t="s">
        <v>46</v>
      </c>
      <c r="Q542" t="s">
        <v>62</v>
      </c>
      <c r="R542" t="s">
        <v>225</v>
      </c>
      <c r="S542" t="s">
        <v>101</v>
      </c>
      <c r="U542" t="s">
        <v>50</v>
      </c>
      <c r="X542" t="s">
        <v>94</v>
      </c>
      <c r="Y542" t="s">
        <v>103</v>
      </c>
      <c r="AA542">
        <v>0</v>
      </c>
      <c r="AB542" t="s">
        <v>79</v>
      </c>
      <c r="AC542" t="s">
        <v>225</v>
      </c>
      <c r="AD542">
        <v>36</v>
      </c>
      <c r="AE542">
        <v>9</v>
      </c>
      <c r="AF542">
        <v>3</v>
      </c>
      <c r="AG542">
        <v>2025</v>
      </c>
      <c r="AH542" s="2">
        <v>450</v>
      </c>
      <c r="AI542" s="2">
        <v>890.73248291015625</v>
      </c>
      <c r="AJ542" s="2">
        <f t="shared" si="64"/>
        <v>440.73248291015625</v>
      </c>
      <c r="AK542" s="6">
        <f t="shared" si="65"/>
        <v>0.979405517578125</v>
      </c>
      <c r="AL542" s="12">
        <v>450</v>
      </c>
      <c r="AM542" s="12">
        <v>1027.5371307248431</v>
      </c>
      <c r="AN542" s="12">
        <f t="shared" si="66"/>
        <v>577.53713072484311</v>
      </c>
      <c r="AO542" s="13">
        <f t="shared" si="67"/>
        <v>1.283415846055207</v>
      </c>
      <c r="AP542" s="16">
        <v>450</v>
      </c>
      <c r="AQ542" s="16">
        <v>802.21621971831917</v>
      </c>
      <c r="AR542" s="16">
        <f t="shared" si="68"/>
        <v>352.21621971831917</v>
      </c>
      <c r="AS542" s="17">
        <f t="shared" si="69"/>
        <v>0.78270271048515372</v>
      </c>
      <c r="AT542" s="20">
        <v>450</v>
      </c>
      <c r="AU542" s="20">
        <v>872.4866943359375</v>
      </c>
      <c r="AV542" s="20">
        <f t="shared" si="70"/>
        <v>422.4866943359375</v>
      </c>
      <c r="AW542" s="21">
        <f t="shared" si="71"/>
        <v>0.93885932074652778</v>
      </c>
    </row>
    <row r="543" spans="1:49" x14ac:dyDescent="0.25">
      <c r="A543" t="s">
        <v>128</v>
      </c>
      <c r="B543" t="s">
        <v>210</v>
      </c>
      <c r="C543">
        <v>31372</v>
      </c>
      <c r="D543">
        <v>2022</v>
      </c>
      <c r="E543" t="s">
        <v>97</v>
      </c>
      <c r="F543" t="s">
        <v>154</v>
      </c>
      <c r="G543" t="s">
        <v>730</v>
      </c>
      <c r="I543">
        <v>6</v>
      </c>
      <c r="J543" t="s">
        <v>277</v>
      </c>
      <c r="K543">
        <v>4</v>
      </c>
      <c r="L543" t="s">
        <v>44</v>
      </c>
      <c r="M543">
        <v>3.6</v>
      </c>
      <c r="N543" t="s">
        <v>91</v>
      </c>
      <c r="O543" t="s">
        <v>46</v>
      </c>
      <c r="Q543" t="s">
        <v>74</v>
      </c>
      <c r="R543" t="s">
        <v>92</v>
      </c>
      <c r="S543" t="s">
        <v>93</v>
      </c>
      <c r="U543" t="s">
        <v>50</v>
      </c>
      <c r="V543" t="s">
        <v>76</v>
      </c>
      <c r="W543" t="s">
        <v>731</v>
      </c>
      <c r="X543" t="s">
        <v>141</v>
      </c>
      <c r="Y543" t="s">
        <v>78</v>
      </c>
      <c r="AA543">
        <v>0</v>
      </c>
      <c r="AB543" t="s">
        <v>79</v>
      </c>
      <c r="AC543" t="s">
        <v>95</v>
      </c>
      <c r="AD543">
        <v>36</v>
      </c>
      <c r="AE543">
        <v>9</v>
      </c>
      <c r="AF543">
        <v>3</v>
      </c>
      <c r="AG543">
        <v>2025</v>
      </c>
      <c r="AH543" s="2">
        <v>38900</v>
      </c>
      <c r="AI543" s="2">
        <v>33890.1171875</v>
      </c>
      <c r="AJ543" s="2">
        <f t="shared" si="64"/>
        <v>5009.8828125</v>
      </c>
      <c r="AK543" s="6">
        <f t="shared" si="65"/>
        <v>0.12878876124678662</v>
      </c>
      <c r="AL543" s="12">
        <v>38900</v>
      </c>
      <c r="AM543" s="12">
        <v>32980.559331153177</v>
      </c>
      <c r="AN543" s="12">
        <f t="shared" si="66"/>
        <v>5919.4406688468225</v>
      </c>
      <c r="AO543" s="13">
        <f t="shared" si="67"/>
        <v>0.15217071128140933</v>
      </c>
      <c r="AP543" s="16">
        <v>38900</v>
      </c>
      <c r="AQ543" s="16">
        <v>34919.418955828172</v>
      </c>
      <c r="AR543" s="16">
        <f t="shared" si="68"/>
        <v>3980.5810441718277</v>
      </c>
      <c r="AS543" s="17">
        <f t="shared" si="69"/>
        <v>0.10232856154683362</v>
      </c>
      <c r="AT543" s="20">
        <v>38900</v>
      </c>
      <c r="AU543" s="20">
        <v>33308.28125</v>
      </c>
      <c r="AV543" s="20">
        <f t="shared" si="70"/>
        <v>5591.71875</v>
      </c>
      <c r="AW543" s="21">
        <f t="shared" si="71"/>
        <v>0.14374598329048843</v>
      </c>
    </row>
    <row r="544" spans="1:49" x14ac:dyDescent="0.25">
      <c r="A544" t="s">
        <v>38</v>
      </c>
      <c r="B544" t="s">
        <v>96</v>
      </c>
      <c r="C544">
        <v>180450</v>
      </c>
      <c r="D544">
        <v>2013</v>
      </c>
      <c r="E544" t="s">
        <v>146</v>
      </c>
      <c r="F544" t="s">
        <v>872</v>
      </c>
      <c r="I544">
        <v>4</v>
      </c>
      <c r="J544" t="s">
        <v>122</v>
      </c>
      <c r="K544">
        <v>4</v>
      </c>
      <c r="L544" t="s">
        <v>44</v>
      </c>
      <c r="M544">
        <v>1.6</v>
      </c>
      <c r="N544" t="s">
        <v>45</v>
      </c>
      <c r="O544" t="s">
        <v>46</v>
      </c>
      <c r="Q544" t="s">
        <v>62</v>
      </c>
      <c r="R544" t="s">
        <v>148</v>
      </c>
      <c r="S544" t="s">
        <v>49</v>
      </c>
      <c r="U544" t="s">
        <v>50</v>
      </c>
      <c r="X544" t="s">
        <v>53</v>
      </c>
      <c r="Y544" t="s">
        <v>54</v>
      </c>
      <c r="AA544">
        <v>0</v>
      </c>
      <c r="AB544" t="s">
        <v>79</v>
      </c>
      <c r="AC544" t="s">
        <v>87</v>
      </c>
      <c r="AD544">
        <v>36</v>
      </c>
      <c r="AE544">
        <v>9</v>
      </c>
      <c r="AF544">
        <v>3</v>
      </c>
      <c r="AG544">
        <v>2025</v>
      </c>
      <c r="AH544" s="2">
        <v>1300</v>
      </c>
      <c r="AI544" s="2">
        <v>1484.270751953125</v>
      </c>
      <c r="AJ544" s="2">
        <f t="shared" si="64"/>
        <v>184.270751953125</v>
      </c>
      <c r="AK544" s="6">
        <f t="shared" si="65"/>
        <v>0.14174673227163462</v>
      </c>
      <c r="AL544" s="12">
        <v>1300</v>
      </c>
      <c r="AM544" s="12">
        <v>1671.617996328865</v>
      </c>
      <c r="AN544" s="12">
        <f t="shared" si="66"/>
        <v>371.61799632886505</v>
      </c>
      <c r="AO544" s="13">
        <f t="shared" si="67"/>
        <v>0.28585999717605004</v>
      </c>
      <c r="AP544" s="16">
        <v>1300</v>
      </c>
      <c r="AQ544" s="16">
        <v>1512.390366427906</v>
      </c>
      <c r="AR544" s="16">
        <f t="shared" si="68"/>
        <v>212.39036642790597</v>
      </c>
      <c r="AS544" s="17">
        <f t="shared" si="69"/>
        <v>0.16337720494454305</v>
      </c>
      <c r="AT544" s="20">
        <v>1300</v>
      </c>
      <c r="AU544" s="20">
        <v>1495.840698242188</v>
      </c>
      <c r="AV544" s="20">
        <f t="shared" si="70"/>
        <v>195.84069824218795</v>
      </c>
      <c r="AW544" s="21">
        <f t="shared" si="71"/>
        <v>0.15064669095552918</v>
      </c>
    </row>
    <row r="545" spans="1:49" x14ac:dyDescent="0.25">
      <c r="A545" t="s">
        <v>38</v>
      </c>
      <c r="B545" t="s">
        <v>110</v>
      </c>
      <c r="C545">
        <v>134727</v>
      </c>
      <c r="D545">
        <v>2014</v>
      </c>
      <c r="E545" t="s">
        <v>69</v>
      </c>
      <c r="F545" t="s">
        <v>873</v>
      </c>
      <c r="G545" t="s">
        <v>457</v>
      </c>
      <c r="I545">
        <v>6</v>
      </c>
      <c r="J545" t="s">
        <v>106</v>
      </c>
      <c r="K545">
        <v>4</v>
      </c>
      <c r="L545" t="s">
        <v>44</v>
      </c>
      <c r="M545">
        <v>3.7</v>
      </c>
      <c r="N545" t="s">
        <v>45</v>
      </c>
      <c r="O545" t="s">
        <v>46</v>
      </c>
      <c r="P545">
        <v>2</v>
      </c>
      <c r="Q545" t="s">
        <v>62</v>
      </c>
      <c r="R545" t="s">
        <v>63</v>
      </c>
      <c r="S545" t="s">
        <v>101</v>
      </c>
      <c r="T545">
        <v>305</v>
      </c>
      <c r="U545" t="s">
        <v>50</v>
      </c>
      <c r="V545" t="s">
        <v>76</v>
      </c>
      <c r="X545" t="s">
        <v>141</v>
      </c>
      <c r="Y545" t="s">
        <v>103</v>
      </c>
      <c r="AA545">
        <v>0</v>
      </c>
      <c r="AB545" t="s">
        <v>79</v>
      </c>
      <c r="AC545" t="s">
        <v>87</v>
      </c>
      <c r="AD545">
        <v>36</v>
      </c>
      <c r="AE545">
        <v>9</v>
      </c>
      <c r="AF545">
        <v>3</v>
      </c>
      <c r="AG545">
        <v>2025</v>
      </c>
      <c r="AH545" s="2">
        <v>2700</v>
      </c>
      <c r="AI545" s="2">
        <v>2723.043212890625</v>
      </c>
      <c r="AJ545" s="2">
        <f t="shared" si="64"/>
        <v>23.043212890625</v>
      </c>
      <c r="AK545" s="6">
        <f t="shared" si="65"/>
        <v>8.5345232928240745E-3</v>
      </c>
      <c r="AL545" s="12">
        <v>2700</v>
      </c>
      <c r="AM545" s="12">
        <v>2926.4638895277672</v>
      </c>
      <c r="AN545" s="12">
        <f t="shared" si="66"/>
        <v>226.46388952776715</v>
      </c>
      <c r="AO545" s="13">
        <f t="shared" si="67"/>
        <v>8.3875514639913759E-2</v>
      </c>
      <c r="AP545" s="16">
        <v>2700</v>
      </c>
      <c r="AQ545" s="16">
        <v>3033.2487428917912</v>
      </c>
      <c r="AR545" s="16">
        <f t="shared" si="68"/>
        <v>333.24874289179115</v>
      </c>
      <c r="AS545" s="17">
        <f t="shared" si="69"/>
        <v>0.12342546033029302</v>
      </c>
      <c r="AT545" s="20">
        <v>2700</v>
      </c>
      <c r="AU545" s="20">
        <v>2749.1748046875</v>
      </c>
      <c r="AV545" s="20">
        <f t="shared" si="70"/>
        <v>49.1748046875</v>
      </c>
      <c r="AW545" s="21">
        <f t="shared" si="71"/>
        <v>1.8212890624999999E-2</v>
      </c>
    </row>
    <row r="546" spans="1:49" x14ac:dyDescent="0.25">
      <c r="A546" t="s">
        <v>114</v>
      </c>
      <c r="B546" t="s">
        <v>340</v>
      </c>
      <c r="C546">
        <v>75970</v>
      </c>
      <c r="D546">
        <v>2019</v>
      </c>
      <c r="E546" t="s">
        <v>146</v>
      </c>
      <c r="F546" t="s">
        <v>874</v>
      </c>
      <c r="I546">
        <v>4</v>
      </c>
      <c r="J546" t="s">
        <v>72</v>
      </c>
      <c r="K546">
        <v>4</v>
      </c>
      <c r="L546" t="s">
        <v>44</v>
      </c>
      <c r="M546">
        <v>2</v>
      </c>
      <c r="N546" t="s">
        <v>44</v>
      </c>
      <c r="O546" t="s">
        <v>100</v>
      </c>
      <c r="P546">
        <v>1</v>
      </c>
      <c r="Q546" t="s">
        <v>47</v>
      </c>
      <c r="R546" t="s">
        <v>48</v>
      </c>
      <c r="S546" t="s">
        <v>93</v>
      </c>
      <c r="U546" t="s">
        <v>50</v>
      </c>
      <c r="X546" t="s">
        <v>125</v>
      </c>
      <c r="Y546" t="s">
        <v>54</v>
      </c>
      <c r="AA546">
        <v>0</v>
      </c>
      <c r="AB546" t="s">
        <v>79</v>
      </c>
      <c r="AC546" t="s">
        <v>359</v>
      </c>
      <c r="AD546">
        <v>36</v>
      </c>
      <c r="AE546">
        <v>9</v>
      </c>
      <c r="AF546">
        <v>3</v>
      </c>
      <c r="AG546">
        <v>2025</v>
      </c>
      <c r="AH546" s="2">
        <v>1500</v>
      </c>
      <c r="AI546" s="2">
        <v>4014.56982421875</v>
      </c>
      <c r="AJ546" s="2">
        <f t="shared" si="64"/>
        <v>2514.56982421875</v>
      </c>
      <c r="AK546" s="6">
        <f t="shared" si="65"/>
        <v>1.6763798828125001</v>
      </c>
      <c r="AL546" s="12">
        <v>1500</v>
      </c>
      <c r="AM546" s="12">
        <v>3933.2586627374649</v>
      </c>
      <c r="AN546" s="12">
        <f t="shared" si="66"/>
        <v>2433.2586627374649</v>
      </c>
      <c r="AO546" s="13">
        <f t="shared" si="67"/>
        <v>1.6221724418249766</v>
      </c>
      <c r="AP546" s="16">
        <v>1500</v>
      </c>
      <c r="AQ546" s="16">
        <v>3881.557721981294</v>
      </c>
      <c r="AR546" s="16">
        <f t="shared" si="68"/>
        <v>2381.557721981294</v>
      </c>
      <c r="AS546" s="17">
        <f t="shared" si="69"/>
        <v>1.5877051479875293</v>
      </c>
      <c r="AT546" s="20">
        <v>1500</v>
      </c>
      <c r="AU546" s="20">
        <v>4041.53955078125</v>
      </c>
      <c r="AV546" s="20">
        <f t="shared" si="70"/>
        <v>2541.53955078125</v>
      </c>
      <c r="AW546" s="21">
        <f t="shared" si="71"/>
        <v>1.6943597005208333</v>
      </c>
    </row>
    <row r="547" spans="1:49" x14ac:dyDescent="0.25">
      <c r="A547" t="s">
        <v>128</v>
      </c>
      <c r="B547" t="s">
        <v>210</v>
      </c>
      <c r="C547">
        <v>42682</v>
      </c>
      <c r="D547">
        <v>2020</v>
      </c>
      <c r="E547" t="s">
        <v>166</v>
      </c>
      <c r="F547" t="s">
        <v>628</v>
      </c>
      <c r="G547" t="s">
        <v>248</v>
      </c>
      <c r="I547">
        <v>4</v>
      </c>
      <c r="J547" t="s">
        <v>135</v>
      </c>
      <c r="K547">
        <v>4</v>
      </c>
      <c r="L547" t="s">
        <v>44</v>
      </c>
      <c r="M547">
        <v>1.5</v>
      </c>
      <c r="N547" t="s">
        <v>45</v>
      </c>
      <c r="O547" t="s">
        <v>46</v>
      </c>
      <c r="Q547" t="s">
        <v>47</v>
      </c>
      <c r="R547" t="s">
        <v>123</v>
      </c>
      <c r="S547" t="s">
        <v>49</v>
      </c>
      <c r="T547">
        <v>174</v>
      </c>
      <c r="U547" t="s">
        <v>50</v>
      </c>
      <c r="V547" t="s">
        <v>51</v>
      </c>
      <c r="W547" t="s">
        <v>875</v>
      </c>
      <c r="X547" t="s">
        <v>53</v>
      </c>
      <c r="Y547" t="s">
        <v>78</v>
      </c>
      <c r="AA547">
        <v>0</v>
      </c>
      <c r="AB547" t="s">
        <v>79</v>
      </c>
      <c r="AC547" t="s">
        <v>127</v>
      </c>
      <c r="AD547">
        <v>36</v>
      </c>
      <c r="AE547">
        <v>9</v>
      </c>
      <c r="AF547">
        <v>3</v>
      </c>
      <c r="AG547">
        <v>2025</v>
      </c>
      <c r="AH547" s="2">
        <v>12300</v>
      </c>
      <c r="AI547" s="2">
        <v>16878.775390625</v>
      </c>
      <c r="AJ547" s="2">
        <f t="shared" si="64"/>
        <v>4578.775390625</v>
      </c>
      <c r="AK547" s="6">
        <f t="shared" si="65"/>
        <v>0.37225816183943089</v>
      </c>
      <c r="AL547" s="12">
        <v>12300</v>
      </c>
      <c r="AM547" s="12">
        <v>20727.2239288032</v>
      </c>
      <c r="AN547" s="12">
        <f t="shared" si="66"/>
        <v>8427.2239288031997</v>
      </c>
      <c r="AO547" s="13">
        <f t="shared" si="67"/>
        <v>0.68514015681326823</v>
      </c>
      <c r="AP547" s="16">
        <v>12300</v>
      </c>
      <c r="AQ547" s="16">
        <v>17739.778248288188</v>
      </c>
      <c r="AR547" s="16">
        <f t="shared" si="68"/>
        <v>5439.7782482881885</v>
      </c>
      <c r="AS547" s="17">
        <f t="shared" si="69"/>
        <v>0.44225839416977142</v>
      </c>
      <c r="AT547" s="20">
        <v>12300</v>
      </c>
      <c r="AU547" s="20">
        <v>17152.345703125</v>
      </c>
      <c r="AV547" s="20">
        <f t="shared" si="70"/>
        <v>4852.345703125</v>
      </c>
      <c r="AW547" s="21">
        <f t="shared" si="71"/>
        <v>0.39449965066056908</v>
      </c>
    </row>
    <row r="548" spans="1:49" x14ac:dyDescent="0.25">
      <c r="A548" t="s">
        <v>128</v>
      </c>
      <c r="B548" t="s">
        <v>271</v>
      </c>
      <c r="C548">
        <v>164187</v>
      </c>
      <c r="D548">
        <v>2007</v>
      </c>
      <c r="E548" t="s">
        <v>69</v>
      </c>
      <c r="F548" t="s">
        <v>231</v>
      </c>
      <c r="G548" t="s">
        <v>831</v>
      </c>
      <c r="H548" t="s">
        <v>832</v>
      </c>
      <c r="I548">
        <v>8</v>
      </c>
      <c r="J548" t="s">
        <v>178</v>
      </c>
      <c r="K548">
        <v>4</v>
      </c>
      <c r="L548" t="s">
        <v>44</v>
      </c>
      <c r="M548">
        <v>5.4</v>
      </c>
      <c r="N548" t="s">
        <v>73</v>
      </c>
      <c r="O548" t="s">
        <v>46</v>
      </c>
      <c r="P548">
        <v>2</v>
      </c>
      <c r="Q548" t="s">
        <v>74</v>
      </c>
      <c r="R548" t="s">
        <v>92</v>
      </c>
      <c r="S548" t="s">
        <v>49</v>
      </c>
      <c r="U548" t="s">
        <v>180</v>
      </c>
      <c r="V548" t="s">
        <v>76</v>
      </c>
      <c r="X548" t="s">
        <v>108</v>
      </c>
      <c r="Y548" t="s">
        <v>78</v>
      </c>
      <c r="AA548">
        <v>0</v>
      </c>
      <c r="AB548" t="s">
        <v>79</v>
      </c>
      <c r="AC548" t="s">
        <v>95</v>
      </c>
      <c r="AD548">
        <v>36</v>
      </c>
      <c r="AE548">
        <v>9</v>
      </c>
      <c r="AF548">
        <v>3</v>
      </c>
      <c r="AG548">
        <v>2025</v>
      </c>
      <c r="AH548" s="2">
        <v>3200</v>
      </c>
      <c r="AI548" s="2">
        <v>3024.026611328125</v>
      </c>
      <c r="AJ548" s="2">
        <f t="shared" si="64"/>
        <v>175.973388671875</v>
      </c>
      <c r="AK548" s="6">
        <f t="shared" si="65"/>
        <v>5.4991683959960937E-2</v>
      </c>
      <c r="AL548" s="12">
        <v>3200</v>
      </c>
      <c r="AM548" s="12">
        <v>2533.3184487006979</v>
      </c>
      <c r="AN548" s="12">
        <f t="shared" si="66"/>
        <v>666.6815512993021</v>
      </c>
      <c r="AO548" s="13">
        <f t="shared" si="67"/>
        <v>0.20833798478103191</v>
      </c>
      <c r="AP548" s="16">
        <v>3200</v>
      </c>
      <c r="AQ548" s="16">
        <v>2173.267255990299</v>
      </c>
      <c r="AR548" s="16">
        <f t="shared" si="68"/>
        <v>1026.732744009701</v>
      </c>
      <c r="AS548" s="17">
        <f t="shared" si="69"/>
        <v>0.3208539825030316</v>
      </c>
      <c r="AT548" s="20">
        <v>3200</v>
      </c>
      <c r="AU548" s="20">
        <v>2977.697265625</v>
      </c>
      <c r="AV548" s="20">
        <f t="shared" si="70"/>
        <v>222.302734375</v>
      </c>
      <c r="AW548" s="21">
        <f t="shared" si="71"/>
        <v>6.9469604492187503E-2</v>
      </c>
    </row>
    <row r="549" spans="1:49" x14ac:dyDescent="0.25">
      <c r="A549" t="s">
        <v>38</v>
      </c>
      <c r="B549" t="s">
        <v>110</v>
      </c>
      <c r="C549">
        <v>139789</v>
      </c>
      <c r="D549">
        <v>2015</v>
      </c>
      <c r="E549" t="s">
        <v>97</v>
      </c>
      <c r="F549" t="s">
        <v>419</v>
      </c>
      <c r="G549" t="s">
        <v>380</v>
      </c>
      <c r="H549" t="s">
        <v>177</v>
      </c>
      <c r="I549">
        <v>8</v>
      </c>
      <c r="J549" t="s">
        <v>72</v>
      </c>
      <c r="K549">
        <v>4</v>
      </c>
      <c r="L549" t="s">
        <v>44</v>
      </c>
      <c r="M549">
        <v>5.3</v>
      </c>
      <c r="N549" t="s">
        <v>73</v>
      </c>
      <c r="O549" t="s">
        <v>46</v>
      </c>
      <c r="P549">
        <v>3</v>
      </c>
      <c r="Q549" t="s">
        <v>62</v>
      </c>
      <c r="R549" t="s">
        <v>63</v>
      </c>
      <c r="U549" t="s">
        <v>50</v>
      </c>
      <c r="W549" t="s">
        <v>473</v>
      </c>
      <c r="X549" t="s">
        <v>108</v>
      </c>
      <c r="Y549" t="s">
        <v>78</v>
      </c>
      <c r="AA549">
        <v>0</v>
      </c>
      <c r="AB549" t="s">
        <v>79</v>
      </c>
      <c r="AC549" t="s">
        <v>87</v>
      </c>
      <c r="AD549">
        <v>36</v>
      </c>
      <c r="AE549">
        <v>9</v>
      </c>
      <c r="AF549">
        <v>3</v>
      </c>
      <c r="AG549">
        <v>2025</v>
      </c>
      <c r="AH549" s="2">
        <v>13750</v>
      </c>
      <c r="AI549" s="2">
        <v>11026.416015625</v>
      </c>
      <c r="AJ549" s="2">
        <f t="shared" si="64"/>
        <v>2723.583984375</v>
      </c>
      <c r="AK549" s="6">
        <f t="shared" si="65"/>
        <v>0.19807883522727274</v>
      </c>
      <c r="AL549" s="12">
        <v>13750</v>
      </c>
      <c r="AM549" s="12">
        <v>11432.67647039827</v>
      </c>
      <c r="AN549" s="12">
        <f t="shared" si="66"/>
        <v>2317.3235296017301</v>
      </c>
      <c r="AO549" s="13">
        <f t="shared" si="67"/>
        <v>0.16853262033467128</v>
      </c>
      <c r="AP549" s="16">
        <v>13750</v>
      </c>
      <c r="AQ549" s="16">
        <v>9016.1537219506263</v>
      </c>
      <c r="AR549" s="16">
        <f t="shared" si="68"/>
        <v>4733.8462780493737</v>
      </c>
      <c r="AS549" s="17">
        <f t="shared" si="69"/>
        <v>0.34427972931268175</v>
      </c>
      <c r="AT549" s="20">
        <v>13750</v>
      </c>
      <c r="AU549" s="20">
        <v>11258.0771484375</v>
      </c>
      <c r="AV549" s="20">
        <f t="shared" si="70"/>
        <v>2491.9228515625</v>
      </c>
      <c r="AW549" s="21">
        <f t="shared" si="71"/>
        <v>0.18123075284090909</v>
      </c>
    </row>
    <row r="550" spans="1:49" x14ac:dyDescent="0.25">
      <c r="A550" t="s">
        <v>38</v>
      </c>
      <c r="B550" t="s">
        <v>110</v>
      </c>
      <c r="C550">
        <v>13366</v>
      </c>
      <c r="D550">
        <v>2024</v>
      </c>
      <c r="E550" t="s">
        <v>40</v>
      </c>
      <c r="F550" t="s">
        <v>201</v>
      </c>
      <c r="G550" t="s">
        <v>876</v>
      </c>
      <c r="H550" t="s">
        <v>877</v>
      </c>
      <c r="I550">
        <v>4</v>
      </c>
      <c r="J550" t="s">
        <v>122</v>
      </c>
      <c r="K550">
        <v>4</v>
      </c>
      <c r="L550" t="s">
        <v>44</v>
      </c>
      <c r="M550">
        <v>2</v>
      </c>
      <c r="N550" t="s">
        <v>45</v>
      </c>
      <c r="O550" t="s">
        <v>46</v>
      </c>
      <c r="P550">
        <v>3</v>
      </c>
      <c r="Q550" t="s">
        <v>47</v>
      </c>
      <c r="R550" t="s">
        <v>123</v>
      </c>
      <c r="S550" t="s">
        <v>49</v>
      </c>
      <c r="T550">
        <v>169</v>
      </c>
      <c r="U550" t="s">
        <v>50</v>
      </c>
      <c r="V550" t="s">
        <v>51</v>
      </c>
      <c r="W550" t="s">
        <v>354</v>
      </c>
      <c r="X550" t="s">
        <v>125</v>
      </c>
      <c r="Y550" t="s">
        <v>78</v>
      </c>
      <c r="AA550">
        <v>0</v>
      </c>
      <c r="AB550" t="s">
        <v>79</v>
      </c>
      <c r="AC550" t="s">
        <v>127</v>
      </c>
      <c r="AD550">
        <v>36</v>
      </c>
      <c r="AE550">
        <v>9</v>
      </c>
      <c r="AF550">
        <v>3</v>
      </c>
      <c r="AG550">
        <v>2025</v>
      </c>
      <c r="AH550" s="2">
        <v>18250</v>
      </c>
      <c r="AI550" s="2">
        <v>15601.845703125</v>
      </c>
      <c r="AJ550" s="2">
        <f t="shared" si="64"/>
        <v>2648.154296875</v>
      </c>
      <c r="AK550" s="6">
        <f t="shared" si="65"/>
        <v>0.14510434503424657</v>
      </c>
      <c r="AL550" s="12">
        <v>18250</v>
      </c>
      <c r="AM550" s="12">
        <v>16432.049327458979</v>
      </c>
      <c r="AN550" s="12">
        <f t="shared" si="66"/>
        <v>1817.950672541021</v>
      </c>
      <c r="AO550" s="13">
        <f t="shared" si="67"/>
        <v>9.9613735481699786E-2</v>
      </c>
      <c r="AP550" s="16">
        <v>18250</v>
      </c>
      <c r="AQ550" s="16">
        <v>17623.813289354559</v>
      </c>
      <c r="AR550" s="16">
        <f t="shared" si="68"/>
        <v>626.18671064544105</v>
      </c>
      <c r="AS550" s="17">
        <f t="shared" si="69"/>
        <v>3.4311600583311841E-2</v>
      </c>
      <c r="AT550" s="20">
        <v>18250</v>
      </c>
      <c r="AU550" s="20">
        <v>15693.76171875</v>
      </c>
      <c r="AV550" s="20">
        <f t="shared" si="70"/>
        <v>2556.23828125</v>
      </c>
      <c r="AW550" s="21">
        <f t="shared" si="71"/>
        <v>0.14006785102739727</v>
      </c>
    </row>
    <row r="551" spans="1:49" x14ac:dyDescent="0.25">
      <c r="A551" t="s">
        <v>38</v>
      </c>
      <c r="B551" t="s">
        <v>68</v>
      </c>
      <c r="C551">
        <v>160002</v>
      </c>
      <c r="D551">
        <v>2019</v>
      </c>
      <c r="E551" t="s">
        <v>69</v>
      </c>
      <c r="F551" t="s">
        <v>672</v>
      </c>
      <c r="I551">
        <v>4</v>
      </c>
      <c r="J551" t="s">
        <v>61</v>
      </c>
      <c r="K551">
        <v>4</v>
      </c>
      <c r="L551" t="s">
        <v>44</v>
      </c>
      <c r="M551">
        <v>2.2999999999999998</v>
      </c>
      <c r="N551" t="s">
        <v>73</v>
      </c>
      <c r="O551" t="s">
        <v>46</v>
      </c>
      <c r="P551">
        <v>4</v>
      </c>
      <c r="Q551" t="s">
        <v>74</v>
      </c>
      <c r="R551" t="s">
        <v>92</v>
      </c>
      <c r="S551" t="s">
        <v>49</v>
      </c>
      <c r="U551" t="s">
        <v>50</v>
      </c>
      <c r="X551" t="s">
        <v>94</v>
      </c>
      <c r="Y551" t="s">
        <v>78</v>
      </c>
      <c r="AA551">
        <v>0</v>
      </c>
      <c r="AB551" t="s">
        <v>79</v>
      </c>
      <c r="AC551" t="s">
        <v>95</v>
      </c>
      <c r="AD551">
        <v>36</v>
      </c>
      <c r="AE551">
        <v>9</v>
      </c>
      <c r="AF551">
        <v>3</v>
      </c>
      <c r="AG551">
        <v>2025</v>
      </c>
      <c r="AH551" s="2">
        <v>10400</v>
      </c>
      <c r="AI551" s="2">
        <v>9229.28515625</v>
      </c>
      <c r="AJ551" s="2">
        <f t="shared" si="64"/>
        <v>1170.71484375</v>
      </c>
      <c r="AK551" s="6">
        <f t="shared" si="65"/>
        <v>0.11256873497596154</v>
      </c>
      <c r="AL551" s="12">
        <v>10400</v>
      </c>
      <c r="AM551" s="12">
        <v>10404.83926934963</v>
      </c>
      <c r="AN551" s="12">
        <f t="shared" si="66"/>
        <v>4.8392693496298307</v>
      </c>
      <c r="AO551" s="13">
        <f t="shared" si="67"/>
        <v>4.6531436054132985E-4</v>
      </c>
      <c r="AP551" s="16">
        <v>10400</v>
      </c>
      <c r="AQ551" s="16">
        <v>9154.5008580046724</v>
      </c>
      <c r="AR551" s="16">
        <f t="shared" si="68"/>
        <v>1245.4991419953276</v>
      </c>
      <c r="AS551" s="17">
        <f t="shared" si="69"/>
        <v>0.11975953288416612</v>
      </c>
      <c r="AT551" s="20">
        <v>10400</v>
      </c>
      <c r="AU551" s="20">
        <v>9619.4296875</v>
      </c>
      <c r="AV551" s="20">
        <f t="shared" si="70"/>
        <v>780.5703125</v>
      </c>
      <c r="AW551" s="21">
        <f t="shared" si="71"/>
        <v>7.5054837740384614E-2</v>
      </c>
    </row>
    <row r="552" spans="1:49" x14ac:dyDescent="0.25">
      <c r="A552" t="s">
        <v>38</v>
      </c>
      <c r="B552" t="s">
        <v>68</v>
      </c>
      <c r="C552">
        <v>114390</v>
      </c>
      <c r="D552">
        <v>2020</v>
      </c>
      <c r="E552" t="s">
        <v>162</v>
      </c>
      <c r="F552" t="s">
        <v>674</v>
      </c>
      <c r="G552" t="s">
        <v>878</v>
      </c>
      <c r="I552">
        <v>4</v>
      </c>
      <c r="J552" t="s">
        <v>106</v>
      </c>
      <c r="K552">
        <v>4</v>
      </c>
      <c r="L552" t="s">
        <v>44</v>
      </c>
      <c r="M552">
        <v>2</v>
      </c>
      <c r="N552" t="s">
        <v>45</v>
      </c>
      <c r="O552" t="s">
        <v>46</v>
      </c>
      <c r="P552">
        <v>4</v>
      </c>
      <c r="Q552" t="s">
        <v>62</v>
      </c>
      <c r="R552" t="s">
        <v>63</v>
      </c>
      <c r="S552" t="s">
        <v>49</v>
      </c>
      <c r="T552">
        <v>164</v>
      </c>
      <c r="U552" t="s">
        <v>50</v>
      </c>
      <c r="W552" t="s">
        <v>729</v>
      </c>
      <c r="X552" t="s">
        <v>65</v>
      </c>
      <c r="Y552" t="s">
        <v>66</v>
      </c>
      <c r="AA552">
        <v>0</v>
      </c>
      <c r="AB552" t="s">
        <v>79</v>
      </c>
      <c r="AC552" t="s">
        <v>87</v>
      </c>
      <c r="AD552">
        <v>36</v>
      </c>
      <c r="AE552">
        <v>9</v>
      </c>
      <c r="AF552">
        <v>3</v>
      </c>
      <c r="AG552">
        <v>2025</v>
      </c>
      <c r="AH552" s="2">
        <v>6750</v>
      </c>
      <c r="AI552" s="2">
        <v>9400.11328125</v>
      </c>
      <c r="AJ552" s="2">
        <f t="shared" si="64"/>
        <v>2650.11328125</v>
      </c>
      <c r="AK552" s="6">
        <f t="shared" si="65"/>
        <v>0.39260937499999998</v>
      </c>
      <c r="AL552" s="12">
        <v>6750</v>
      </c>
      <c r="AM552" s="12">
        <v>8034.110877997633</v>
      </c>
      <c r="AN552" s="12">
        <f t="shared" si="66"/>
        <v>1284.110877997633</v>
      </c>
      <c r="AO552" s="13">
        <f t="shared" si="67"/>
        <v>0.19023864859224193</v>
      </c>
      <c r="AP552" s="16">
        <v>6750</v>
      </c>
      <c r="AQ552" s="16">
        <v>8819.0156472791186</v>
      </c>
      <c r="AR552" s="16">
        <f t="shared" si="68"/>
        <v>2069.0156472791186</v>
      </c>
      <c r="AS552" s="17">
        <f t="shared" si="69"/>
        <v>0.30652083663394353</v>
      </c>
      <c r="AT552" s="20">
        <v>6750</v>
      </c>
      <c r="AU552" s="20">
        <v>9185.0439453125</v>
      </c>
      <c r="AV552" s="20">
        <f t="shared" si="70"/>
        <v>2435.0439453125</v>
      </c>
      <c r="AW552" s="21">
        <f t="shared" si="71"/>
        <v>0.36074725115740741</v>
      </c>
    </row>
    <row r="553" spans="1:49" x14ac:dyDescent="0.25">
      <c r="A553" t="s">
        <v>38</v>
      </c>
      <c r="B553" t="s">
        <v>110</v>
      </c>
      <c r="C553">
        <v>85291</v>
      </c>
      <c r="D553">
        <v>2018</v>
      </c>
      <c r="E553" t="s">
        <v>97</v>
      </c>
      <c r="F553" t="s">
        <v>98</v>
      </c>
      <c r="G553" t="s">
        <v>199</v>
      </c>
      <c r="I553">
        <v>4</v>
      </c>
      <c r="J553" t="s">
        <v>241</v>
      </c>
      <c r="K553">
        <v>4</v>
      </c>
      <c r="L553" t="s">
        <v>44</v>
      </c>
      <c r="M553">
        <v>1.5</v>
      </c>
      <c r="N553" t="s">
        <v>45</v>
      </c>
      <c r="Q553" t="s">
        <v>62</v>
      </c>
      <c r="R553" t="s">
        <v>63</v>
      </c>
      <c r="S553" t="s">
        <v>101</v>
      </c>
      <c r="U553" t="s">
        <v>50</v>
      </c>
      <c r="V553" t="s">
        <v>51</v>
      </c>
      <c r="W553" t="s">
        <v>879</v>
      </c>
      <c r="X553" t="s">
        <v>65</v>
      </c>
      <c r="Y553" t="s">
        <v>103</v>
      </c>
      <c r="Z553">
        <v>25600</v>
      </c>
      <c r="AA553">
        <v>0</v>
      </c>
      <c r="AB553" t="s">
        <v>79</v>
      </c>
      <c r="AC553" t="s">
        <v>87</v>
      </c>
      <c r="AD553">
        <v>36</v>
      </c>
      <c r="AE553">
        <v>9</v>
      </c>
      <c r="AF553">
        <v>3</v>
      </c>
      <c r="AG553">
        <v>2025</v>
      </c>
      <c r="AH553" s="2">
        <v>10000</v>
      </c>
      <c r="AI553" s="2">
        <v>7864.111328125</v>
      </c>
      <c r="AJ553" s="2">
        <f t="shared" si="64"/>
        <v>2135.888671875</v>
      </c>
      <c r="AK553" s="6">
        <f t="shared" si="65"/>
        <v>0.2135888671875</v>
      </c>
      <c r="AL553" s="12">
        <v>10000</v>
      </c>
      <c r="AM553" s="12">
        <v>8156.5035255878574</v>
      </c>
      <c r="AN553" s="12">
        <f t="shared" si="66"/>
        <v>1843.4964744121426</v>
      </c>
      <c r="AO553" s="13">
        <f t="shared" si="67"/>
        <v>0.18434964744121426</v>
      </c>
      <c r="AP553" s="16">
        <v>10000</v>
      </c>
      <c r="AQ553" s="16">
        <v>7200.6490462214533</v>
      </c>
      <c r="AR553" s="16">
        <f t="shared" si="68"/>
        <v>2799.3509537785467</v>
      </c>
      <c r="AS553" s="17">
        <f t="shared" si="69"/>
        <v>0.27993509537785466</v>
      </c>
      <c r="AT553" s="20">
        <v>10000</v>
      </c>
      <c r="AU553" s="20">
        <v>7928.76171875</v>
      </c>
      <c r="AV553" s="20">
        <f t="shared" si="70"/>
        <v>2071.23828125</v>
      </c>
      <c r="AW553" s="21">
        <f t="shared" si="71"/>
        <v>0.20712382812499999</v>
      </c>
    </row>
    <row r="554" spans="1:49" x14ac:dyDescent="0.25">
      <c r="A554" t="s">
        <v>38</v>
      </c>
      <c r="B554" t="s">
        <v>880</v>
      </c>
      <c r="C554">
        <v>24627</v>
      </c>
      <c r="D554">
        <v>2022</v>
      </c>
      <c r="E554" t="s">
        <v>166</v>
      </c>
      <c r="F554" t="s">
        <v>247</v>
      </c>
      <c r="G554" t="s">
        <v>881</v>
      </c>
      <c r="I554">
        <v>4</v>
      </c>
      <c r="J554" t="s">
        <v>72</v>
      </c>
      <c r="K554">
        <v>4</v>
      </c>
      <c r="L554" t="s">
        <v>44</v>
      </c>
      <c r="M554">
        <v>2</v>
      </c>
      <c r="N554" t="s">
        <v>44</v>
      </c>
      <c r="O554" t="s">
        <v>46</v>
      </c>
      <c r="Q554" t="s">
        <v>62</v>
      </c>
      <c r="R554" t="s">
        <v>63</v>
      </c>
      <c r="S554" t="s">
        <v>93</v>
      </c>
      <c r="T554">
        <v>143</v>
      </c>
      <c r="U554" t="s">
        <v>50</v>
      </c>
      <c r="V554" t="s">
        <v>51</v>
      </c>
      <c r="W554" t="s">
        <v>882</v>
      </c>
      <c r="X554" t="s">
        <v>65</v>
      </c>
      <c r="Y554" t="s">
        <v>78</v>
      </c>
      <c r="AA554">
        <v>1</v>
      </c>
      <c r="AB554" t="s">
        <v>55</v>
      </c>
      <c r="AC554" t="s">
        <v>67</v>
      </c>
      <c r="AD554">
        <v>36</v>
      </c>
      <c r="AE554">
        <v>9</v>
      </c>
      <c r="AF554">
        <v>3</v>
      </c>
      <c r="AG554">
        <v>2025</v>
      </c>
      <c r="AH554" s="2">
        <v>28400</v>
      </c>
      <c r="AI554" s="2">
        <v>25485.265625</v>
      </c>
      <c r="AJ554" s="2">
        <f t="shared" si="64"/>
        <v>2914.734375</v>
      </c>
      <c r="AK554" s="6">
        <f t="shared" si="65"/>
        <v>0.10263149207746479</v>
      </c>
      <c r="AL554" s="12">
        <v>28400</v>
      </c>
      <c r="AM554" s="12">
        <v>24312.68050434949</v>
      </c>
      <c r="AN554" s="12">
        <f t="shared" si="66"/>
        <v>4087.3194956505104</v>
      </c>
      <c r="AO554" s="13">
        <f t="shared" si="67"/>
        <v>0.14391970055107431</v>
      </c>
      <c r="AP554" s="16">
        <v>28400</v>
      </c>
      <c r="AQ554" s="16">
        <v>27098.35452924958</v>
      </c>
      <c r="AR554" s="16">
        <f t="shared" si="68"/>
        <v>1301.6454707504199</v>
      </c>
      <c r="AS554" s="17">
        <f t="shared" si="69"/>
        <v>4.5832586998254224E-2</v>
      </c>
      <c r="AT554" s="20">
        <v>28400</v>
      </c>
      <c r="AU554" s="20">
        <v>24944.73828125</v>
      </c>
      <c r="AV554" s="20">
        <f t="shared" si="70"/>
        <v>3455.26171875</v>
      </c>
      <c r="AW554" s="21">
        <f t="shared" si="71"/>
        <v>0.12166414502640845</v>
      </c>
    </row>
    <row r="555" spans="1:49" x14ac:dyDescent="0.25">
      <c r="A555" t="s">
        <v>114</v>
      </c>
      <c r="B555" t="s">
        <v>340</v>
      </c>
      <c r="C555">
        <v>14986</v>
      </c>
      <c r="D555">
        <v>2009</v>
      </c>
      <c r="E555" t="s">
        <v>97</v>
      </c>
      <c r="F555" t="s">
        <v>171</v>
      </c>
      <c r="H555" t="s">
        <v>883</v>
      </c>
      <c r="I555">
        <v>8</v>
      </c>
      <c r="J555" t="s">
        <v>72</v>
      </c>
      <c r="K555">
        <v>2</v>
      </c>
      <c r="L555" t="s">
        <v>44</v>
      </c>
      <c r="M555">
        <v>4.8</v>
      </c>
      <c r="N555" t="s">
        <v>73</v>
      </c>
      <c r="O555" t="s">
        <v>46</v>
      </c>
      <c r="P555">
        <v>3</v>
      </c>
      <c r="Q555" t="s">
        <v>477</v>
      </c>
      <c r="R555" t="s">
        <v>884</v>
      </c>
      <c r="S555" t="s">
        <v>49</v>
      </c>
      <c r="U555" t="s">
        <v>50</v>
      </c>
      <c r="V555" t="s">
        <v>76</v>
      </c>
      <c r="W555" t="s">
        <v>885</v>
      </c>
      <c r="X555" t="s">
        <v>230</v>
      </c>
      <c r="Y555" t="s">
        <v>78</v>
      </c>
      <c r="AA555">
        <v>0</v>
      </c>
      <c r="AB555" t="s">
        <v>79</v>
      </c>
      <c r="AC555" t="s">
        <v>886</v>
      </c>
      <c r="AD555">
        <v>36</v>
      </c>
      <c r="AE555">
        <v>9</v>
      </c>
      <c r="AF555">
        <v>3</v>
      </c>
      <c r="AG555">
        <v>2025</v>
      </c>
      <c r="AH555" s="2">
        <v>4000</v>
      </c>
      <c r="AI555" s="2">
        <v>10324.2998046875</v>
      </c>
      <c r="AJ555" s="2">
        <f t="shared" si="64"/>
        <v>6324.2998046875</v>
      </c>
      <c r="AK555" s="6">
        <f t="shared" si="65"/>
        <v>1.5810749511718749</v>
      </c>
      <c r="AL555" s="12">
        <v>4000</v>
      </c>
      <c r="AM555" s="12">
        <v>12807.609729698641</v>
      </c>
      <c r="AN555" s="12">
        <f t="shared" si="66"/>
        <v>8807.6097296986409</v>
      </c>
      <c r="AO555" s="13">
        <f t="shared" si="67"/>
        <v>2.2019024324246601</v>
      </c>
      <c r="AP555" s="16">
        <v>4000</v>
      </c>
      <c r="AQ555" s="16">
        <v>8084.0358795552729</v>
      </c>
      <c r="AR555" s="16">
        <f t="shared" si="68"/>
        <v>4084.0358795552729</v>
      </c>
      <c r="AS555" s="17">
        <f t="shared" si="69"/>
        <v>1.0210089698888183</v>
      </c>
      <c r="AT555" s="20">
        <v>4000</v>
      </c>
      <c r="AU555" s="20">
        <v>10893.0693359375</v>
      </c>
      <c r="AV555" s="20">
        <f t="shared" si="70"/>
        <v>6893.0693359375</v>
      </c>
      <c r="AW555" s="21">
        <f t="shared" si="71"/>
        <v>1.7232673339843749</v>
      </c>
    </row>
    <row r="556" spans="1:49" x14ac:dyDescent="0.25">
      <c r="A556" t="s">
        <v>38</v>
      </c>
      <c r="B556" t="s">
        <v>96</v>
      </c>
      <c r="C556">
        <v>92618</v>
      </c>
      <c r="D556">
        <v>2020</v>
      </c>
      <c r="E556" t="s">
        <v>116</v>
      </c>
      <c r="F556" t="s">
        <v>117</v>
      </c>
      <c r="G556" t="s">
        <v>396</v>
      </c>
      <c r="I556">
        <v>6</v>
      </c>
      <c r="J556" t="s">
        <v>72</v>
      </c>
      <c r="K556">
        <v>4</v>
      </c>
      <c r="L556" t="s">
        <v>44</v>
      </c>
      <c r="M556">
        <v>3.6</v>
      </c>
      <c r="N556" t="s">
        <v>73</v>
      </c>
      <c r="O556" t="s">
        <v>46</v>
      </c>
      <c r="P556">
        <v>2</v>
      </c>
      <c r="Q556" t="s">
        <v>62</v>
      </c>
      <c r="R556" t="s">
        <v>63</v>
      </c>
      <c r="S556" t="s">
        <v>49</v>
      </c>
      <c r="T556">
        <v>295</v>
      </c>
      <c r="U556" t="s">
        <v>50</v>
      </c>
      <c r="V556" t="s">
        <v>76</v>
      </c>
      <c r="X556" t="s">
        <v>94</v>
      </c>
      <c r="Y556" t="s">
        <v>78</v>
      </c>
      <c r="AA556">
        <v>0</v>
      </c>
      <c r="AB556" t="s">
        <v>79</v>
      </c>
      <c r="AC556" t="s">
        <v>87</v>
      </c>
      <c r="AD556">
        <v>36</v>
      </c>
      <c r="AE556">
        <v>9</v>
      </c>
      <c r="AF556">
        <v>3</v>
      </c>
      <c r="AG556">
        <v>2025</v>
      </c>
      <c r="AH556" s="2">
        <v>12600</v>
      </c>
      <c r="AI556" s="2">
        <v>10827.1513671875</v>
      </c>
      <c r="AJ556" s="2">
        <f t="shared" si="64"/>
        <v>1772.8486328125</v>
      </c>
      <c r="AK556" s="6">
        <f t="shared" si="65"/>
        <v>0.14070227244543651</v>
      </c>
      <c r="AL556" s="12">
        <v>12600</v>
      </c>
      <c r="AM556" s="12">
        <v>12506.64014894327</v>
      </c>
      <c r="AN556" s="12">
        <f t="shared" si="66"/>
        <v>93.359851056729894</v>
      </c>
      <c r="AO556" s="13">
        <f t="shared" si="67"/>
        <v>7.4095119886293569E-3</v>
      </c>
      <c r="AP556" s="16">
        <v>12600</v>
      </c>
      <c r="AQ556" s="16">
        <v>11849.834167894909</v>
      </c>
      <c r="AR556" s="16">
        <f t="shared" si="68"/>
        <v>750.16583210509089</v>
      </c>
      <c r="AS556" s="17">
        <f t="shared" si="69"/>
        <v>5.9536970801991343E-2</v>
      </c>
      <c r="AT556" s="20">
        <v>12600</v>
      </c>
      <c r="AU556" s="20">
        <v>11321.4228515625</v>
      </c>
      <c r="AV556" s="20">
        <f t="shared" si="70"/>
        <v>1278.5771484375</v>
      </c>
      <c r="AW556" s="21">
        <f t="shared" si="71"/>
        <v>0.10147437686011905</v>
      </c>
    </row>
    <row r="557" spans="1:49" x14ac:dyDescent="0.25">
      <c r="A557" t="s">
        <v>128</v>
      </c>
      <c r="B557" t="s">
        <v>129</v>
      </c>
      <c r="C557">
        <v>76457</v>
      </c>
      <c r="D557">
        <v>2023</v>
      </c>
      <c r="E557" t="s">
        <v>162</v>
      </c>
      <c r="F557" t="s">
        <v>211</v>
      </c>
      <c r="G557" t="s">
        <v>224</v>
      </c>
      <c r="I557">
        <v>4</v>
      </c>
      <c r="J557" t="s">
        <v>122</v>
      </c>
      <c r="K557">
        <v>4</v>
      </c>
      <c r="L557" t="s">
        <v>44</v>
      </c>
      <c r="M557">
        <v>2</v>
      </c>
      <c r="N557" t="s">
        <v>45</v>
      </c>
      <c r="O557" t="s">
        <v>46</v>
      </c>
      <c r="P557">
        <v>4</v>
      </c>
      <c r="Q557" t="s">
        <v>47</v>
      </c>
      <c r="R557" t="s">
        <v>123</v>
      </c>
      <c r="S557" t="s">
        <v>101</v>
      </c>
      <c r="T557">
        <v>147</v>
      </c>
      <c r="U557" t="s">
        <v>50</v>
      </c>
      <c r="W557" t="s">
        <v>739</v>
      </c>
      <c r="X557" t="s">
        <v>53</v>
      </c>
      <c r="Y557" t="s">
        <v>78</v>
      </c>
      <c r="AA557">
        <v>0</v>
      </c>
      <c r="AB557" t="s">
        <v>79</v>
      </c>
      <c r="AC557" t="s">
        <v>127</v>
      </c>
      <c r="AD557">
        <v>36</v>
      </c>
      <c r="AE557">
        <v>9</v>
      </c>
      <c r="AF557">
        <v>3</v>
      </c>
      <c r="AG557">
        <v>2025</v>
      </c>
      <c r="AH557" s="2">
        <v>12400</v>
      </c>
      <c r="AI557" s="2">
        <v>13789.265625</v>
      </c>
      <c r="AJ557" s="2">
        <f t="shared" si="64"/>
        <v>1389.265625</v>
      </c>
      <c r="AK557" s="6">
        <f t="shared" si="65"/>
        <v>0.1120375504032258</v>
      </c>
      <c r="AL557" s="12">
        <v>12400</v>
      </c>
      <c r="AM557" s="12">
        <v>13932.899216221531</v>
      </c>
      <c r="AN557" s="12">
        <f t="shared" si="66"/>
        <v>1532.8992162215309</v>
      </c>
      <c r="AO557" s="13">
        <f t="shared" si="67"/>
        <v>0.12362090453399442</v>
      </c>
      <c r="AP557" s="16">
        <v>12400</v>
      </c>
      <c r="AQ557" s="16">
        <v>12544.16760743277</v>
      </c>
      <c r="AR557" s="16">
        <f t="shared" si="68"/>
        <v>144.16760743276973</v>
      </c>
      <c r="AS557" s="17">
        <f t="shared" si="69"/>
        <v>1.1626419954255623E-2</v>
      </c>
      <c r="AT557" s="20">
        <v>12400</v>
      </c>
      <c r="AU557" s="20">
        <v>13694.298828125</v>
      </c>
      <c r="AV557" s="20">
        <f t="shared" si="70"/>
        <v>1294.298828125</v>
      </c>
      <c r="AW557" s="21">
        <f t="shared" si="71"/>
        <v>0.10437893775201613</v>
      </c>
    </row>
    <row r="558" spans="1:49" x14ac:dyDescent="0.25">
      <c r="A558" t="s">
        <v>38</v>
      </c>
      <c r="B558" t="s">
        <v>110</v>
      </c>
      <c r="C558">
        <v>66037</v>
      </c>
      <c r="D558">
        <v>2022</v>
      </c>
      <c r="E558" t="s">
        <v>97</v>
      </c>
      <c r="F558" t="s">
        <v>752</v>
      </c>
      <c r="G558" t="s">
        <v>579</v>
      </c>
      <c r="H558" t="s">
        <v>312</v>
      </c>
      <c r="I558">
        <v>8</v>
      </c>
      <c r="J558" t="s">
        <v>106</v>
      </c>
      <c r="K558">
        <v>4</v>
      </c>
      <c r="L558" t="s">
        <v>44</v>
      </c>
      <c r="M558">
        <v>6.6</v>
      </c>
      <c r="N558" t="s">
        <v>91</v>
      </c>
      <c r="O558" t="s">
        <v>46</v>
      </c>
      <c r="P558">
        <v>4</v>
      </c>
      <c r="Q558" t="s">
        <v>74</v>
      </c>
      <c r="R558" t="s">
        <v>92</v>
      </c>
      <c r="S558" t="s">
        <v>93</v>
      </c>
      <c r="U558" t="s">
        <v>50</v>
      </c>
      <c r="W558" t="s">
        <v>753</v>
      </c>
      <c r="X558" t="s">
        <v>260</v>
      </c>
      <c r="Y558" t="s">
        <v>78</v>
      </c>
      <c r="AA558">
        <v>0</v>
      </c>
      <c r="AB558" t="s">
        <v>79</v>
      </c>
      <c r="AC558" t="s">
        <v>261</v>
      </c>
      <c r="AD558">
        <v>36</v>
      </c>
      <c r="AE558">
        <v>9</v>
      </c>
      <c r="AF558">
        <v>3</v>
      </c>
      <c r="AG558">
        <v>2025</v>
      </c>
      <c r="AH558" s="2">
        <v>35000</v>
      </c>
      <c r="AI558" s="2">
        <v>33478.76171875</v>
      </c>
      <c r="AJ558" s="2">
        <f t="shared" si="64"/>
        <v>1521.23828125</v>
      </c>
      <c r="AK558" s="6">
        <f t="shared" si="65"/>
        <v>4.3463950892857144E-2</v>
      </c>
      <c r="AL558" s="12">
        <v>35000</v>
      </c>
      <c r="AM558" s="12">
        <v>39941.135103221161</v>
      </c>
      <c r="AN558" s="12">
        <f t="shared" si="66"/>
        <v>4941.1351032211605</v>
      </c>
      <c r="AO558" s="13">
        <f t="shared" si="67"/>
        <v>0.14117528866346174</v>
      </c>
      <c r="AP558" s="16">
        <v>35000</v>
      </c>
      <c r="AQ558" s="16">
        <v>36827.449379530713</v>
      </c>
      <c r="AR558" s="16">
        <f t="shared" si="68"/>
        <v>1827.4493795307135</v>
      </c>
      <c r="AS558" s="17">
        <f t="shared" si="69"/>
        <v>5.2212839415163241E-2</v>
      </c>
      <c r="AT558" s="20">
        <v>35000</v>
      </c>
      <c r="AU558" s="20">
        <v>34034.640625</v>
      </c>
      <c r="AV558" s="20">
        <f t="shared" si="70"/>
        <v>965.359375</v>
      </c>
      <c r="AW558" s="21">
        <f t="shared" si="71"/>
        <v>2.7581696428571428E-2</v>
      </c>
    </row>
    <row r="559" spans="1:49" x14ac:dyDescent="0.25">
      <c r="A559" t="s">
        <v>81</v>
      </c>
      <c r="B559" t="s">
        <v>82</v>
      </c>
      <c r="C559">
        <v>192274</v>
      </c>
      <c r="D559">
        <v>2013</v>
      </c>
      <c r="E559" t="s">
        <v>69</v>
      </c>
      <c r="F559" t="s">
        <v>231</v>
      </c>
      <c r="I559">
        <v>6</v>
      </c>
      <c r="J559" t="s">
        <v>61</v>
      </c>
      <c r="K559">
        <v>4</v>
      </c>
      <c r="L559" t="s">
        <v>44</v>
      </c>
      <c r="M559">
        <v>3.5</v>
      </c>
      <c r="N559" t="s">
        <v>91</v>
      </c>
      <c r="O559" t="s">
        <v>46</v>
      </c>
      <c r="Q559" t="s">
        <v>74</v>
      </c>
      <c r="R559" t="s">
        <v>92</v>
      </c>
      <c r="S559" t="s">
        <v>93</v>
      </c>
      <c r="T559">
        <v>365</v>
      </c>
      <c r="U559" t="s">
        <v>50</v>
      </c>
      <c r="V559" t="s">
        <v>76</v>
      </c>
      <c r="X559" t="s">
        <v>108</v>
      </c>
      <c r="Y559" t="s">
        <v>78</v>
      </c>
      <c r="AA559">
        <v>0</v>
      </c>
      <c r="AB559" t="s">
        <v>79</v>
      </c>
      <c r="AC559" t="s">
        <v>95</v>
      </c>
      <c r="AD559">
        <v>36</v>
      </c>
      <c r="AE559">
        <v>9</v>
      </c>
      <c r="AF559">
        <v>3</v>
      </c>
      <c r="AG559">
        <v>2025</v>
      </c>
      <c r="AH559" s="2">
        <v>4900</v>
      </c>
      <c r="AI559" s="2">
        <v>4030.1708984375</v>
      </c>
      <c r="AJ559" s="2">
        <f t="shared" si="64"/>
        <v>869.8291015625</v>
      </c>
      <c r="AK559" s="6">
        <f t="shared" si="65"/>
        <v>0.17751614317602041</v>
      </c>
      <c r="AL559" s="12">
        <v>4900</v>
      </c>
      <c r="AM559" s="12">
        <v>4514.7991585572072</v>
      </c>
      <c r="AN559" s="12">
        <f t="shared" si="66"/>
        <v>385.20084144279281</v>
      </c>
      <c r="AO559" s="13">
        <f t="shared" si="67"/>
        <v>7.8612416620978121E-2</v>
      </c>
      <c r="AP559" s="16">
        <v>4900</v>
      </c>
      <c r="AQ559" s="16">
        <v>3678.0962870262442</v>
      </c>
      <c r="AR559" s="16">
        <f t="shared" si="68"/>
        <v>1221.9037129737558</v>
      </c>
      <c r="AS559" s="17">
        <f t="shared" si="69"/>
        <v>0.24936810468852158</v>
      </c>
      <c r="AT559" s="20">
        <v>4900</v>
      </c>
      <c r="AU559" s="20">
        <v>4108.5185546875</v>
      </c>
      <c r="AV559" s="20">
        <f t="shared" si="70"/>
        <v>791.4814453125</v>
      </c>
      <c r="AW559" s="21">
        <f t="shared" si="71"/>
        <v>0.1615268255739796</v>
      </c>
    </row>
    <row r="560" spans="1:49" x14ac:dyDescent="0.25">
      <c r="A560" t="s">
        <v>38</v>
      </c>
      <c r="B560" t="s">
        <v>96</v>
      </c>
      <c r="C560">
        <v>149895</v>
      </c>
      <c r="D560">
        <v>2015</v>
      </c>
      <c r="E560" t="s">
        <v>142</v>
      </c>
      <c r="F560" t="s">
        <v>630</v>
      </c>
      <c r="G560" t="s">
        <v>118</v>
      </c>
      <c r="I560">
        <v>4</v>
      </c>
      <c r="J560" t="s">
        <v>61</v>
      </c>
      <c r="K560">
        <v>4</v>
      </c>
      <c r="L560" t="s">
        <v>44</v>
      </c>
      <c r="M560">
        <v>2.4</v>
      </c>
      <c r="N560" t="s">
        <v>91</v>
      </c>
      <c r="O560" t="s">
        <v>46</v>
      </c>
      <c r="P560">
        <v>3</v>
      </c>
      <c r="Q560" t="s">
        <v>62</v>
      </c>
      <c r="R560" t="s">
        <v>63</v>
      </c>
      <c r="S560" t="s">
        <v>85</v>
      </c>
      <c r="T560">
        <v>184</v>
      </c>
      <c r="U560" t="s">
        <v>50</v>
      </c>
      <c r="X560" t="s">
        <v>65</v>
      </c>
      <c r="Y560" t="s">
        <v>632</v>
      </c>
      <c r="AA560">
        <v>0</v>
      </c>
      <c r="AB560" t="s">
        <v>79</v>
      </c>
      <c r="AC560" t="s">
        <v>87</v>
      </c>
      <c r="AD560">
        <v>36</v>
      </c>
      <c r="AE560">
        <v>9</v>
      </c>
      <c r="AF560">
        <v>3</v>
      </c>
      <c r="AG560">
        <v>2025</v>
      </c>
      <c r="AH560" s="2">
        <v>3600</v>
      </c>
      <c r="AI560" s="2">
        <v>3603.56591796875</v>
      </c>
      <c r="AJ560" s="2">
        <f t="shared" si="64"/>
        <v>3.56591796875</v>
      </c>
      <c r="AK560" s="6">
        <f t="shared" si="65"/>
        <v>9.9053276909722224E-4</v>
      </c>
      <c r="AL560" s="12">
        <v>3600</v>
      </c>
      <c r="AM560" s="12">
        <v>3413.6483092267999</v>
      </c>
      <c r="AN560" s="12">
        <f t="shared" si="66"/>
        <v>186.35169077320006</v>
      </c>
      <c r="AO560" s="13">
        <f t="shared" si="67"/>
        <v>5.1764358548111129E-2</v>
      </c>
      <c r="AP560" s="16">
        <v>3600</v>
      </c>
      <c r="AQ560" s="16">
        <v>3055.2042249423471</v>
      </c>
      <c r="AR560" s="16">
        <f t="shared" si="68"/>
        <v>544.79577505765292</v>
      </c>
      <c r="AS560" s="17">
        <f t="shared" si="69"/>
        <v>0.15133215973823691</v>
      </c>
      <c r="AT560" s="20">
        <v>3600</v>
      </c>
      <c r="AU560" s="20">
        <v>3602.56591796875</v>
      </c>
      <c r="AV560" s="20">
        <f t="shared" si="70"/>
        <v>2.56591796875</v>
      </c>
      <c r="AW560" s="21">
        <f t="shared" si="71"/>
        <v>7.1275499131944441E-4</v>
      </c>
    </row>
    <row r="561" spans="1:49" x14ac:dyDescent="0.25">
      <c r="A561" t="s">
        <v>38</v>
      </c>
      <c r="B561" t="s">
        <v>96</v>
      </c>
      <c r="C561">
        <v>32011</v>
      </c>
      <c r="D561">
        <v>2021</v>
      </c>
      <c r="E561" t="s">
        <v>146</v>
      </c>
      <c r="F561" t="s">
        <v>887</v>
      </c>
      <c r="G561" t="s">
        <v>280</v>
      </c>
      <c r="I561">
        <v>4</v>
      </c>
      <c r="J561" t="s">
        <v>72</v>
      </c>
      <c r="K561">
        <v>4</v>
      </c>
      <c r="L561" t="s">
        <v>44</v>
      </c>
      <c r="M561">
        <v>1.6</v>
      </c>
      <c r="N561" t="s">
        <v>45</v>
      </c>
      <c r="O561" t="s">
        <v>46</v>
      </c>
      <c r="P561">
        <v>4</v>
      </c>
      <c r="Q561" t="s">
        <v>47</v>
      </c>
      <c r="R561" t="s">
        <v>48</v>
      </c>
      <c r="S561" t="s">
        <v>49</v>
      </c>
      <c r="U561" t="s">
        <v>50</v>
      </c>
      <c r="X561" t="s">
        <v>125</v>
      </c>
      <c r="Y561" t="s">
        <v>126</v>
      </c>
      <c r="AA561">
        <v>0</v>
      </c>
      <c r="AB561" t="s">
        <v>79</v>
      </c>
      <c r="AC561" t="s">
        <v>359</v>
      </c>
      <c r="AD561">
        <v>36</v>
      </c>
      <c r="AE561">
        <v>9</v>
      </c>
      <c r="AF561">
        <v>3</v>
      </c>
      <c r="AG561">
        <v>2025</v>
      </c>
      <c r="AH561" s="2">
        <v>14400</v>
      </c>
      <c r="AI561" s="2">
        <v>16022.6318359375</v>
      </c>
      <c r="AJ561" s="2">
        <f t="shared" si="64"/>
        <v>1622.6318359375</v>
      </c>
      <c r="AK561" s="6">
        <f t="shared" si="65"/>
        <v>0.1126827663845486</v>
      </c>
      <c r="AL561" s="12">
        <v>14400</v>
      </c>
      <c r="AM561" s="12">
        <v>15217.242025551041</v>
      </c>
      <c r="AN561" s="12">
        <f t="shared" si="66"/>
        <v>817.24202555104057</v>
      </c>
      <c r="AO561" s="13">
        <f t="shared" si="67"/>
        <v>5.6752918441044485E-2</v>
      </c>
      <c r="AP561" s="16">
        <v>14400</v>
      </c>
      <c r="AQ561" s="16">
        <v>14745.218634407909</v>
      </c>
      <c r="AR561" s="16">
        <f t="shared" si="68"/>
        <v>345.21863440790912</v>
      </c>
      <c r="AS561" s="17">
        <f t="shared" si="69"/>
        <v>2.3973516278327021E-2</v>
      </c>
      <c r="AT561" s="20">
        <v>14400</v>
      </c>
      <c r="AU561" s="20">
        <v>15623.8095703125</v>
      </c>
      <c r="AV561" s="20">
        <f t="shared" si="70"/>
        <v>1223.8095703125</v>
      </c>
      <c r="AW561" s="21">
        <f t="shared" si="71"/>
        <v>8.4986775716145838E-2</v>
      </c>
    </row>
    <row r="562" spans="1:49" x14ac:dyDescent="0.25">
      <c r="A562" t="s">
        <v>38</v>
      </c>
      <c r="B562" t="s">
        <v>96</v>
      </c>
      <c r="C562">
        <v>77247</v>
      </c>
      <c r="D562">
        <v>2019</v>
      </c>
      <c r="E562" t="s">
        <v>69</v>
      </c>
      <c r="F562" t="s">
        <v>250</v>
      </c>
      <c r="H562" t="s">
        <v>285</v>
      </c>
      <c r="I562">
        <v>4</v>
      </c>
      <c r="J562" t="s">
        <v>206</v>
      </c>
      <c r="K562">
        <v>4</v>
      </c>
      <c r="L562" t="s">
        <v>44</v>
      </c>
      <c r="M562">
        <v>1.5</v>
      </c>
      <c r="N562" t="s">
        <v>91</v>
      </c>
      <c r="O562" t="s">
        <v>46</v>
      </c>
      <c r="P562">
        <v>5</v>
      </c>
      <c r="Q562" t="s">
        <v>62</v>
      </c>
      <c r="R562" t="s">
        <v>63</v>
      </c>
      <c r="S562" t="s">
        <v>93</v>
      </c>
      <c r="T562">
        <v>170</v>
      </c>
      <c r="U562" t="s">
        <v>50</v>
      </c>
      <c r="V562" t="s">
        <v>51</v>
      </c>
      <c r="W562" t="s">
        <v>598</v>
      </c>
      <c r="X562" t="s">
        <v>65</v>
      </c>
      <c r="Y562" t="s">
        <v>78</v>
      </c>
      <c r="Z562">
        <v>29945</v>
      </c>
      <c r="AA562">
        <v>0</v>
      </c>
      <c r="AB562" t="s">
        <v>79</v>
      </c>
      <c r="AC562" t="s">
        <v>87</v>
      </c>
      <c r="AD562">
        <v>36</v>
      </c>
      <c r="AE562">
        <v>9</v>
      </c>
      <c r="AF562">
        <v>3</v>
      </c>
      <c r="AG562">
        <v>2025</v>
      </c>
      <c r="AH562" s="2">
        <v>12500</v>
      </c>
      <c r="AI562" s="2">
        <v>10713.662109375</v>
      </c>
      <c r="AJ562" s="2">
        <f t="shared" si="64"/>
        <v>1786.337890625</v>
      </c>
      <c r="AK562" s="6">
        <f t="shared" si="65"/>
        <v>0.14290703125000001</v>
      </c>
      <c r="AL562" s="12">
        <v>12500</v>
      </c>
      <c r="AM562" s="12">
        <v>12350.894519799431</v>
      </c>
      <c r="AN562" s="12">
        <f t="shared" si="66"/>
        <v>149.10548020056922</v>
      </c>
      <c r="AO562" s="13">
        <f t="shared" si="67"/>
        <v>1.1928438416045538E-2</v>
      </c>
      <c r="AP562" s="16">
        <v>12500</v>
      </c>
      <c r="AQ562" s="16">
        <v>11095.540265853109</v>
      </c>
      <c r="AR562" s="16">
        <f t="shared" si="68"/>
        <v>1404.4597341468907</v>
      </c>
      <c r="AS562" s="17">
        <f t="shared" si="69"/>
        <v>0.11235677873175126</v>
      </c>
      <c r="AT562" s="20">
        <v>12500</v>
      </c>
      <c r="AU562" s="20">
        <v>11118.1103515625</v>
      </c>
      <c r="AV562" s="20">
        <f t="shared" si="70"/>
        <v>1381.8896484375</v>
      </c>
      <c r="AW562" s="21">
        <f t="shared" si="71"/>
        <v>0.11055117187500001</v>
      </c>
    </row>
    <row r="563" spans="1:49" x14ac:dyDescent="0.25">
      <c r="A563" t="s">
        <v>128</v>
      </c>
      <c r="B563" t="s">
        <v>210</v>
      </c>
      <c r="C563">
        <v>160086</v>
      </c>
      <c r="D563">
        <v>2007</v>
      </c>
      <c r="E563" t="s">
        <v>40</v>
      </c>
      <c r="F563" t="s">
        <v>297</v>
      </c>
      <c r="H563" t="s">
        <v>368</v>
      </c>
      <c r="I563">
        <v>4</v>
      </c>
      <c r="J563" t="s">
        <v>135</v>
      </c>
      <c r="K563">
        <v>4</v>
      </c>
      <c r="L563" t="s">
        <v>44</v>
      </c>
      <c r="M563">
        <v>2.4</v>
      </c>
      <c r="N563" t="s">
        <v>45</v>
      </c>
      <c r="O563" t="s">
        <v>46</v>
      </c>
      <c r="Q563" t="s">
        <v>47</v>
      </c>
      <c r="R563" t="s">
        <v>123</v>
      </c>
      <c r="S563" t="s">
        <v>49</v>
      </c>
      <c r="T563">
        <v>158</v>
      </c>
      <c r="U563" t="s">
        <v>50</v>
      </c>
      <c r="V563" t="s">
        <v>51</v>
      </c>
      <c r="W563" t="s">
        <v>369</v>
      </c>
      <c r="X563" t="s">
        <v>125</v>
      </c>
      <c r="Y563" t="s">
        <v>78</v>
      </c>
      <c r="AA563">
        <v>0</v>
      </c>
      <c r="AB563" t="s">
        <v>79</v>
      </c>
      <c r="AC563" t="s">
        <v>127</v>
      </c>
      <c r="AD563">
        <v>36</v>
      </c>
      <c r="AE563">
        <v>9</v>
      </c>
      <c r="AF563">
        <v>3</v>
      </c>
      <c r="AG563">
        <v>2025</v>
      </c>
      <c r="AH563" s="2">
        <v>400</v>
      </c>
      <c r="AI563" s="2">
        <v>1585.385009765625</v>
      </c>
      <c r="AJ563" s="2">
        <f t="shared" si="64"/>
        <v>1185.385009765625</v>
      </c>
      <c r="AK563" s="6">
        <f t="shared" si="65"/>
        <v>2.9634625244140627</v>
      </c>
      <c r="AL563" s="12">
        <v>400</v>
      </c>
      <c r="AM563" s="12">
        <v>1698.6714459384759</v>
      </c>
      <c r="AN563" s="12">
        <f t="shared" si="66"/>
        <v>1298.6714459384759</v>
      </c>
      <c r="AO563" s="13">
        <f t="shared" si="67"/>
        <v>3.2466786148461897</v>
      </c>
      <c r="AP563" s="16">
        <v>400</v>
      </c>
      <c r="AQ563" s="16">
        <v>1427.0252729875481</v>
      </c>
      <c r="AR563" s="16">
        <f t="shared" si="68"/>
        <v>1027.0252729875481</v>
      </c>
      <c r="AS563" s="17">
        <f t="shared" si="69"/>
        <v>2.5675631824688701</v>
      </c>
      <c r="AT563" s="20">
        <v>400</v>
      </c>
      <c r="AU563" s="20">
        <v>1589.842895507812</v>
      </c>
      <c r="AV563" s="20">
        <f t="shared" si="70"/>
        <v>1189.842895507812</v>
      </c>
      <c r="AW563" s="21">
        <f t="shared" si="71"/>
        <v>2.9746072387695301</v>
      </c>
    </row>
    <row r="564" spans="1:49" x14ac:dyDescent="0.25">
      <c r="A564" t="s">
        <v>114</v>
      </c>
      <c r="B564" t="s">
        <v>340</v>
      </c>
      <c r="C564">
        <v>116719</v>
      </c>
      <c r="D564">
        <v>2008</v>
      </c>
      <c r="E564" t="s">
        <v>557</v>
      </c>
      <c r="F564" t="s">
        <v>888</v>
      </c>
      <c r="G564" t="s">
        <v>240</v>
      </c>
      <c r="H564" t="s">
        <v>560</v>
      </c>
      <c r="I564">
        <v>4</v>
      </c>
      <c r="J564" t="s">
        <v>135</v>
      </c>
      <c r="K564">
        <v>2</v>
      </c>
      <c r="L564" t="s">
        <v>44</v>
      </c>
      <c r="M564">
        <v>2.4</v>
      </c>
      <c r="N564" t="s">
        <v>45</v>
      </c>
      <c r="O564" t="s">
        <v>46</v>
      </c>
      <c r="P564">
        <v>1</v>
      </c>
      <c r="Q564" t="s">
        <v>47</v>
      </c>
      <c r="R564" t="s">
        <v>530</v>
      </c>
      <c r="S564" t="s">
        <v>101</v>
      </c>
      <c r="U564" t="s">
        <v>50</v>
      </c>
      <c r="V564" t="s">
        <v>51</v>
      </c>
      <c r="X564" t="s">
        <v>125</v>
      </c>
      <c r="Y564" t="s">
        <v>78</v>
      </c>
      <c r="AA564">
        <v>0</v>
      </c>
      <c r="AB564" t="s">
        <v>79</v>
      </c>
      <c r="AC564" t="s">
        <v>531</v>
      </c>
      <c r="AD564">
        <v>36</v>
      </c>
      <c r="AE564">
        <v>9</v>
      </c>
      <c r="AF564">
        <v>3</v>
      </c>
      <c r="AG564">
        <v>2025</v>
      </c>
      <c r="AH564" s="2">
        <v>600</v>
      </c>
      <c r="AI564" s="2">
        <v>750.37066650390625</v>
      </c>
      <c r="AJ564" s="2">
        <f t="shared" si="64"/>
        <v>150.37066650390625</v>
      </c>
      <c r="AK564" s="6">
        <f t="shared" si="65"/>
        <v>0.25061777750651043</v>
      </c>
      <c r="AL564" s="12">
        <v>600</v>
      </c>
      <c r="AM564" s="12">
        <v>716.53975778389224</v>
      </c>
      <c r="AN564" s="12">
        <f t="shared" si="66"/>
        <v>116.53975778389224</v>
      </c>
      <c r="AO564" s="13">
        <f t="shared" si="67"/>
        <v>0.19423292963982039</v>
      </c>
      <c r="AP564" s="16">
        <v>600</v>
      </c>
      <c r="AQ564" s="16">
        <v>656.56169651051198</v>
      </c>
      <c r="AR564" s="16">
        <f t="shared" si="68"/>
        <v>56.561696510511979</v>
      </c>
      <c r="AS564" s="17">
        <f t="shared" si="69"/>
        <v>9.4269494184186634E-2</v>
      </c>
      <c r="AT564" s="20">
        <v>600</v>
      </c>
      <c r="AU564" s="20">
        <v>731.3951416015625</v>
      </c>
      <c r="AV564" s="20">
        <f t="shared" si="70"/>
        <v>131.3951416015625</v>
      </c>
      <c r="AW564" s="21">
        <f t="shared" si="71"/>
        <v>0.21899190266927082</v>
      </c>
    </row>
    <row r="565" spans="1:49" x14ac:dyDescent="0.25">
      <c r="A565" t="s">
        <v>128</v>
      </c>
      <c r="B565" t="s">
        <v>129</v>
      </c>
      <c r="C565">
        <v>138501</v>
      </c>
      <c r="D565">
        <v>2014</v>
      </c>
      <c r="E565" t="s">
        <v>69</v>
      </c>
      <c r="F565" t="s">
        <v>284</v>
      </c>
      <c r="G565" t="s">
        <v>118</v>
      </c>
      <c r="I565">
        <v>6</v>
      </c>
      <c r="J565" t="s">
        <v>72</v>
      </c>
      <c r="K565">
        <v>4</v>
      </c>
      <c r="L565" t="s">
        <v>44</v>
      </c>
      <c r="M565">
        <v>3.5</v>
      </c>
      <c r="N565" t="s">
        <v>45</v>
      </c>
      <c r="Q565" t="s">
        <v>62</v>
      </c>
      <c r="R565" t="s">
        <v>63</v>
      </c>
      <c r="S565" t="s">
        <v>101</v>
      </c>
      <c r="T565">
        <v>288</v>
      </c>
      <c r="U565" t="s">
        <v>50</v>
      </c>
      <c r="V565" t="s">
        <v>76</v>
      </c>
      <c r="X565" t="s">
        <v>141</v>
      </c>
      <c r="Y565" t="s">
        <v>103</v>
      </c>
      <c r="AA565">
        <v>0</v>
      </c>
      <c r="AB565" t="s">
        <v>79</v>
      </c>
      <c r="AC565" t="s">
        <v>87</v>
      </c>
      <c r="AD565">
        <v>36</v>
      </c>
      <c r="AE565">
        <v>9</v>
      </c>
      <c r="AF565">
        <v>3</v>
      </c>
      <c r="AG565">
        <v>2025</v>
      </c>
      <c r="AH565" s="2">
        <v>5800</v>
      </c>
      <c r="AI565" s="2">
        <v>3759.902587890625</v>
      </c>
      <c r="AJ565" s="2">
        <f t="shared" si="64"/>
        <v>2040.097412109375</v>
      </c>
      <c r="AK565" s="6">
        <f t="shared" si="65"/>
        <v>0.35174093312230603</v>
      </c>
      <c r="AL565" s="12">
        <v>5800</v>
      </c>
      <c r="AM565" s="12">
        <v>4106.0325282375125</v>
      </c>
      <c r="AN565" s="12">
        <f t="shared" si="66"/>
        <v>1693.9674717624875</v>
      </c>
      <c r="AO565" s="13">
        <f t="shared" si="67"/>
        <v>0.29206335720042886</v>
      </c>
      <c r="AP565" s="16">
        <v>5800</v>
      </c>
      <c r="AQ565" s="16">
        <v>3396.955441646347</v>
      </c>
      <c r="AR565" s="16">
        <f t="shared" si="68"/>
        <v>2403.044558353653</v>
      </c>
      <c r="AS565" s="17">
        <f t="shared" si="69"/>
        <v>0.41431802730235395</v>
      </c>
      <c r="AT565" s="20">
        <v>5800</v>
      </c>
      <c r="AU565" s="20">
        <v>3789.381591796875</v>
      </c>
      <c r="AV565" s="20">
        <f t="shared" si="70"/>
        <v>2010.618408203125</v>
      </c>
      <c r="AW565" s="21">
        <f t="shared" si="71"/>
        <v>0.3466583462419181</v>
      </c>
    </row>
    <row r="566" spans="1:49" x14ac:dyDescent="0.25">
      <c r="A566" t="s">
        <v>38</v>
      </c>
      <c r="B566" t="s">
        <v>39</v>
      </c>
      <c r="C566">
        <v>245031</v>
      </c>
      <c r="D566">
        <v>2012</v>
      </c>
      <c r="E566" t="s">
        <v>97</v>
      </c>
      <c r="F566" t="s">
        <v>159</v>
      </c>
      <c r="G566" t="s">
        <v>155</v>
      </c>
      <c r="H566" t="s">
        <v>312</v>
      </c>
      <c r="I566">
        <v>8</v>
      </c>
      <c r="J566" t="s">
        <v>122</v>
      </c>
      <c r="K566">
        <v>4</v>
      </c>
      <c r="L566" t="s">
        <v>44</v>
      </c>
      <c r="M566">
        <v>6</v>
      </c>
      <c r="N566" t="s">
        <v>91</v>
      </c>
      <c r="O566" t="s">
        <v>46</v>
      </c>
      <c r="Q566" t="s">
        <v>74</v>
      </c>
      <c r="R566" t="s">
        <v>92</v>
      </c>
      <c r="S566" t="s">
        <v>93</v>
      </c>
      <c r="U566" t="s">
        <v>50</v>
      </c>
      <c r="W566" t="s">
        <v>889</v>
      </c>
      <c r="X566" t="s">
        <v>230</v>
      </c>
      <c r="Y566" t="s">
        <v>78</v>
      </c>
      <c r="AA566">
        <v>0</v>
      </c>
      <c r="AB566" t="s">
        <v>79</v>
      </c>
      <c r="AC566" t="s">
        <v>95</v>
      </c>
      <c r="AD566">
        <v>36</v>
      </c>
      <c r="AE566">
        <v>9</v>
      </c>
      <c r="AF566">
        <v>3</v>
      </c>
      <c r="AG566">
        <v>2025</v>
      </c>
      <c r="AH566" s="2">
        <v>6600</v>
      </c>
      <c r="AI566" s="2">
        <v>5702.84765625</v>
      </c>
      <c r="AJ566" s="2">
        <f t="shared" si="64"/>
        <v>897.15234375</v>
      </c>
      <c r="AK566" s="6">
        <f t="shared" si="65"/>
        <v>0.13593217329545454</v>
      </c>
      <c r="AL566" s="12">
        <v>6600</v>
      </c>
      <c r="AM566" s="12">
        <v>4598.1807840546189</v>
      </c>
      <c r="AN566" s="12">
        <f t="shared" si="66"/>
        <v>2001.8192159453811</v>
      </c>
      <c r="AO566" s="13">
        <f t="shared" si="67"/>
        <v>0.30330594180990622</v>
      </c>
      <c r="AP566" s="16">
        <v>6600</v>
      </c>
      <c r="AQ566" s="16">
        <v>5352.9277608393922</v>
      </c>
      <c r="AR566" s="16">
        <f t="shared" si="68"/>
        <v>1247.0722391606078</v>
      </c>
      <c r="AS566" s="17">
        <f t="shared" si="69"/>
        <v>0.18895033926675875</v>
      </c>
      <c r="AT566" s="20">
        <v>6600</v>
      </c>
      <c r="AU566" s="20">
        <v>5629.2763671875</v>
      </c>
      <c r="AV566" s="20">
        <f t="shared" si="70"/>
        <v>970.7236328125</v>
      </c>
      <c r="AW566" s="21">
        <f t="shared" si="71"/>
        <v>0.14707933830492423</v>
      </c>
    </row>
    <row r="567" spans="1:49" x14ac:dyDescent="0.25">
      <c r="A567" t="s">
        <v>38</v>
      </c>
      <c r="B567" t="s">
        <v>110</v>
      </c>
      <c r="C567">
        <v>156296</v>
      </c>
      <c r="D567">
        <v>2014</v>
      </c>
      <c r="E567" t="s">
        <v>69</v>
      </c>
      <c r="F567" t="s">
        <v>250</v>
      </c>
      <c r="H567" t="s">
        <v>224</v>
      </c>
      <c r="I567">
        <v>4</v>
      </c>
      <c r="J567" t="s">
        <v>61</v>
      </c>
      <c r="K567">
        <v>4</v>
      </c>
      <c r="L567" t="s">
        <v>44</v>
      </c>
      <c r="M567">
        <v>1.6</v>
      </c>
      <c r="N567" t="s">
        <v>45</v>
      </c>
      <c r="Q567" t="s">
        <v>62</v>
      </c>
      <c r="R567" t="s">
        <v>63</v>
      </c>
      <c r="S567" t="s">
        <v>49</v>
      </c>
      <c r="T567">
        <v>178</v>
      </c>
      <c r="U567" t="s">
        <v>50</v>
      </c>
      <c r="V567" t="s">
        <v>51</v>
      </c>
      <c r="X567" t="s">
        <v>65</v>
      </c>
      <c r="Y567" t="s">
        <v>78</v>
      </c>
      <c r="AA567">
        <v>0</v>
      </c>
      <c r="AB567" t="s">
        <v>79</v>
      </c>
      <c r="AC567" t="s">
        <v>87</v>
      </c>
      <c r="AD567">
        <v>36</v>
      </c>
      <c r="AE567">
        <v>9</v>
      </c>
      <c r="AF567">
        <v>3</v>
      </c>
      <c r="AG567">
        <v>2025</v>
      </c>
      <c r="AH567" s="2">
        <v>1800</v>
      </c>
      <c r="AI567" s="2">
        <v>1576.395141601562</v>
      </c>
      <c r="AJ567" s="2">
        <f t="shared" si="64"/>
        <v>223.60485839843795</v>
      </c>
      <c r="AK567" s="6">
        <f t="shared" si="65"/>
        <v>0.12422492133246553</v>
      </c>
      <c r="AL567" s="12">
        <v>1800</v>
      </c>
      <c r="AM567" s="12">
        <v>2001.1926300203579</v>
      </c>
      <c r="AN567" s="12">
        <f t="shared" si="66"/>
        <v>201.19263002035791</v>
      </c>
      <c r="AO567" s="13">
        <f t="shared" si="67"/>
        <v>0.11177368334464328</v>
      </c>
      <c r="AP567" s="16">
        <v>1800</v>
      </c>
      <c r="AQ567" s="16">
        <v>1622.4666405265421</v>
      </c>
      <c r="AR567" s="16">
        <f t="shared" si="68"/>
        <v>177.53335947345795</v>
      </c>
      <c r="AS567" s="17">
        <f t="shared" si="69"/>
        <v>9.8629644151921089E-2</v>
      </c>
      <c r="AT567" s="20">
        <v>1800</v>
      </c>
      <c r="AU567" s="20">
        <v>1564.595336914062</v>
      </c>
      <c r="AV567" s="20">
        <f t="shared" si="70"/>
        <v>235.40466308593795</v>
      </c>
      <c r="AW567" s="21">
        <f t="shared" si="71"/>
        <v>0.13078036838107665</v>
      </c>
    </row>
    <row r="568" spans="1:49" x14ac:dyDescent="0.25">
      <c r="A568" t="s">
        <v>128</v>
      </c>
      <c r="B568" t="s">
        <v>309</v>
      </c>
      <c r="C568">
        <v>135839</v>
      </c>
      <c r="D568">
        <v>2011</v>
      </c>
      <c r="E568" t="s">
        <v>162</v>
      </c>
      <c r="F568" t="s">
        <v>674</v>
      </c>
      <c r="G568" t="s">
        <v>292</v>
      </c>
      <c r="I568">
        <v>4</v>
      </c>
      <c r="J568" t="s">
        <v>72</v>
      </c>
      <c r="K568">
        <v>4</v>
      </c>
      <c r="L568" t="s">
        <v>44</v>
      </c>
      <c r="M568">
        <v>2.4</v>
      </c>
      <c r="N568" t="s">
        <v>45</v>
      </c>
      <c r="O568" t="s">
        <v>46</v>
      </c>
      <c r="P568">
        <v>1</v>
      </c>
      <c r="Q568" t="s">
        <v>62</v>
      </c>
      <c r="R568" t="s">
        <v>63</v>
      </c>
      <c r="S568" t="s">
        <v>49</v>
      </c>
      <c r="U568" t="s">
        <v>50</v>
      </c>
      <c r="W568" t="s">
        <v>890</v>
      </c>
      <c r="X568" t="s">
        <v>65</v>
      </c>
      <c r="Y568" t="s">
        <v>66</v>
      </c>
      <c r="AA568">
        <v>0</v>
      </c>
      <c r="AB568" t="s">
        <v>79</v>
      </c>
      <c r="AC568" t="s">
        <v>87</v>
      </c>
      <c r="AD568">
        <v>36</v>
      </c>
      <c r="AE568">
        <v>9</v>
      </c>
      <c r="AF568">
        <v>3</v>
      </c>
      <c r="AG568">
        <v>2025</v>
      </c>
      <c r="AH568" s="2">
        <v>2600</v>
      </c>
      <c r="AI568" s="2">
        <v>1534.630981445312</v>
      </c>
      <c r="AJ568" s="2">
        <f t="shared" si="64"/>
        <v>1065.369018554688</v>
      </c>
      <c r="AK568" s="6">
        <f t="shared" si="65"/>
        <v>0.40975731482872613</v>
      </c>
      <c r="AL568" s="12">
        <v>2600</v>
      </c>
      <c r="AM568" s="12">
        <v>1486.338263093261</v>
      </c>
      <c r="AN568" s="12">
        <f t="shared" si="66"/>
        <v>1113.661736906739</v>
      </c>
      <c r="AO568" s="13">
        <f t="shared" si="67"/>
        <v>0.42833143727182266</v>
      </c>
      <c r="AP568" s="16">
        <v>2600</v>
      </c>
      <c r="AQ568" s="16">
        <v>1535.3686192703369</v>
      </c>
      <c r="AR568" s="16">
        <f t="shared" si="68"/>
        <v>1064.6313807296631</v>
      </c>
      <c r="AS568" s="17">
        <f t="shared" si="69"/>
        <v>0.40947360797294735</v>
      </c>
      <c r="AT568" s="20">
        <v>2600</v>
      </c>
      <c r="AU568" s="20">
        <v>1509.437622070312</v>
      </c>
      <c r="AV568" s="20">
        <f t="shared" si="70"/>
        <v>1090.562377929688</v>
      </c>
      <c r="AW568" s="21">
        <f t="shared" si="71"/>
        <v>0.41944706843449536</v>
      </c>
    </row>
    <row r="569" spans="1:49" x14ac:dyDescent="0.25">
      <c r="A569" t="s">
        <v>38</v>
      </c>
      <c r="B569" t="s">
        <v>110</v>
      </c>
      <c r="C569">
        <v>106107</v>
      </c>
      <c r="D569">
        <v>2017</v>
      </c>
      <c r="E569" t="s">
        <v>40</v>
      </c>
      <c r="F569" t="s">
        <v>891</v>
      </c>
      <c r="I569">
        <v>4</v>
      </c>
      <c r="J569" t="s">
        <v>72</v>
      </c>
      <c r="K569">
        <v>4</v>
      </c>
      <c r="L569" t="s">
        <v>44</v>
      </c>
      <c r="M569">
        <v>1.5</v>
      </c>
      <c r="N569" t="s">
        <v>45</v>
      </c>
      <c r="O569" t="s">
        <v>46</v>
      </c>
      <c r="P569">
        <v>3</v>
      </c>
      <c r="Q569" t="s">
        <v>47</v>
      </c>
      <c r="R569" t="s">
        <v>123</v>
      </c>
      <c r="T569">
        <v>106</v>
      </c>
      <c r="U569" t="s">
        <v>50</v>
      </c>
      <c r="V569" t="s">
        <v>51</v>
      </c>
      <c r="W569" t="s">
        <v>854</v>
      </c>
      <c r="X569" t="s">
        <v>125</v>
      </c>
      <c r="Y569" t="s">
        <v>126</v>
      </c>
      <c r="AA569">
        <v>0</v>
      </c>
      <c r="AB569" t="s">
        <v>79</v>
      </c>
      <c r="AC569" t="s">
        <v>127</v>
      </c>
      <c r="AD569">
        <v>36</v>
      </c>
      <c r="AE569">
        <v>9</v>
      </c>
      <c r="AF569">
        <v>3</v>
      </c>
      <c r="AG569">
        <v>2025</v>
      </c>
      <c r="AH569" s="2">
        <v>5900</v>
      </c>
      <c r="AI569" s="2">
        <v>2935.954345703125</v>
      </c>
      <c r="AJ569" s="2">
        <f t="shared" si="64"/>
        <v>2964.045654296875</v>
      </c>
      <c r="AK569" s="6">
        <f t="shared" si="65"/>
        <v>0.50238061937235168</v>
      </c>
      <c r="AL569" s="12">
        <v>5900</v>
      </c>
      <c r="AM569" s="12">
        <v>5671.9010291888098</v>
      </c>
      <c r="AN569" s="12">
        <f t="shared" si="66"/>
        <v>228.09897081119016</v>
      </c>
      <c r="AO569" s="13">
        <f t="shared" si="67"/>
        <v>3.8660842510371211E-2</v>
      </c>
      <c r="AP569" s="16">
        <v>5900</v>
      </c>
      <c r="AQ569" s="16">
        <v>4030.3843336320901</v>
      </c>
      <c r="AR569" s="16">
        <f t="shared" si="68"/>
        <v>1869.6156663679099</v>
      </c>
      <c r="AS569" s="17">
        <f t="shared" si="69"/>
        <v>0.31688401124879828</v>
      </c>
      <c r="AT569" s="20">
        <v>5900</v>
      </c>
      <c r="AU569" s="20">
        <v>3104.996826171875</v>
      </c>
      <c r="AV569" s="20">
        <f t="shared" si="70"/>
        <v>2795.003173828125</v>
      </c>
      <c r="AW569" s="21">
        <f t="shared" si="71"/>
        <v>0.47372935149629236</v>
      </c>
    </row>
    <row r="570" spans="1:49" x14ac:dyDescent="0.25">
      <c r="A570" t="s">
        <v>81</v>
      </c>
      <c r="B570" t="s">
        <v>82</v>
      </c>
      <c r="C570">
        <v>145828</v>
      </c>
      <c r="D570">
        <v>2007</v>
      </c>
      <c r="E570" t="s">
        <v>146</v>
      </c>
      <c r="F570" t="s">
        <v>232</v>
      </c>
      <c r="I570">
        <v>6</v>
      </c>
      <c r="J570" t="s">
        <v>61</v>
      </c>
      <c r="K570">
        <v>4</v>
      </c>
      <c r="L570" t="s">
        <v>44</v>
      </c>
      <c r="M570">
        <v>3.5</v>
      </c>
      <c r="N570" t="s">
        <v>44</v>
      </c>
      <c r="O570" t="s">
        <v>46</v>
      </c>
      <c r="Q570" t="s">
        <v>62</v>
      </c>
      <c r="R570" t="s">
        <v>63</v>
      </c>
      <c r="S570" t="s">
        <v>93</v>
      </c>
      <c r="U570" t="s">
        <v>50</v>
      </c>
      <c r="X570" t="s">
        <v>141</v>
      </c>
      <c r="Y570" t="s">
        <v>54</v>
      </c>
      <c r="AA570">
        <v>0</v>
      </c>
      <c r="AB570" t="s">
        <v>79</v>
      </c>
      <c r="AC570" t="s">
        <v>87</v>
      </c>
      <c r="AD570">
        <v>36</v>
      </c>
      <c r="AE570">
        <v>9</v>
      </c>
      <c r="AF570">
        <v>3</v>
      </c>
      <c r="AG570">
        <v>2025</v>
      </c>
      <c r="AH570" s="2">
        <v>1600</v>
      </c>
      <c r="AI570" s="2">
        <v>745.299560546875</v>
      </c>
      <c r="AJ570" s="2">
        <f t="shared" si="64"/>
        <v>854.700439453125</v>
      </c>
      <c r="AK570" s="6">
        <f t="shared" si="65"/>
        <v>0.53418777465820311</v>
      </c>
      <c r="AL570" s="12">
        <v>1600</v>
      </c>
      <c r="AM570" s="12">
        <v>1082.436293479285</v>
      </c>
      <c r="AN570" s="12">
        <f t="shared" si="66"/>
        <v>517.56370652071496</v>
      </c>
      <c r="AO570" s="13">
        <f t="shared" si="67"/>
        <v>0.32347731657544687</v>
      </c>
      <c r="AP570" s="16">
        <v>1600</v>
      </c>
      <c r="AQ570" s="16">
        <v>783.25557366316082</v>
      </c>
      <c r="AR570" s="16">
        <f t="shared" si="68"/>
        <v>816.74442633683918</v>
      </c>
      <c r="AS570" s="17">
        <f t="shared" si="69"/>
        <v>0.51046526646052448</v>
      </c>
      <c r="AT570" s="20">
        <v>1600</v>
      </c>
      <c r="AU570" s="20">
        <v>774.04248046875</v>
      </c>
      <c r="AV570" s="20">
        <f t="shared" si="70"/>
        <v>825.95751953125</v>
      </c>
      <c r="AW570" s="21">
        <f t="shared" si="71"/>
        <v>0.51622344970703127</v>
      </c>
    </row>
    <row r="571" spans="1:49" x14ac:dyDescent="0.25">
      <c r="A571" t="s">
        <v>81</v>
      </c>
      <c r="B571" t="s">
        <v>304</v>
      </c>
      <c r="C571">
        <v>46</v>
      </c>
      <c r="D571">
        <v>2026</v>
      </c>
      <c r="E571" t="s">
        <v>345</v>
      </c>
      <c r="F571" t="s">
        <v>892</v>
      </c>
      <c r="G571" t="s">
        <v>168</v>
      </c>
      <c r="H571" t="s">
        <v>710</v>
      </c>
      <c r="I571">
        <v>8</v>
      </c>
      <c r="J571" t="s">
        <v>206</v>
      </c>
      <c r="K571">
        <v>4</v>
      </c>
      <c r="L571" t="s">
        <v>44</v>
      </c>
      <c r="M571">
        <v>4.4000000000000004</v>
      </c>
      <c r="N571" t="s">
        <v>44</v>
      </c>
      <c r="O571" t="s">
        <v>46</v>
      </c>
      <c r="Q571" t="s">
        <v>47</v>
      </c>
      <c r="R571" t="s">
        <v>757</v>
      </c>
      <c r="T571">
        <v>717</v>
      </c>
      <c r="U571" t="s">
        <v>601</v>
      </c>
      <c r="Y571" t="s">
        <v>137</v>
      </c>
      <c r="AA571">
        <v>1</v>
      </c>
      <c r="AB571" t="s">
        <v>603</v>
      </c>
      <c r="AC571" t="s">
        <v>893</v>
      </c>
      <c r="AD571">
        <v>36</v>
      </c>
      <c r="AE571">
        <v>9</v>
      </c>
      <c r="AF571">
        <v>3</v>
      </c>
      <c r="AG571">
        <v>2025</v>
      </c>
      <c r="AH571" s="2">
        <v>146000</v>
      </c>
      <c r="AI571" s="2">
        <v>117808.3203125</v>
      </c>
      <c r="AJ571" s="2">
        <f t="shared" si="64"/>
        <v>28191.6796875</v>
      </c>
      <c r="AK571" s="6">
        <f t="shared" si="65"/>
        <v>0.19309369648972602</v>
      </c>
      <c r="AL571" s="12">
        <v>146000</v>
      </c>
      <c r="AM571" s="12">
        <v>92923.24585277705</v>
      </c>
      <c r="AN571" s="12">
        <f t="shared" si="66"/>
        <v>53076.75414722295</v>
      </c>
      <c r="AO571" s="13">
        <f t="shared" si="67"/>
        <v>0.36353941196728046</v>
      </c>
      <c r="AP571" s="16">
        <v>146000</v>
      </c>
      <c r="AQ571" s="16">
        <v>97464.928092824659</v>
      </c>
      <c r="AR571" s="16">
        <f t="shared" si="68"/>
        <v>48535.071907175341</v>
      </c>
      <c r="AS571" s="17">
        <f t="shared" si="69"/>
        <v>0.33243199936421469</v>
      </c>
      <c r="AT571" s="20">
        <v>146000</v>
      </c>
      <c r="AU571" s="20">
        <v>88943.4453125</v>
      </c>
      <c r="AV571" s="20">
        <f t="shared" si="70"/>
        <v>57056.5546875</v>
      </c>
      <c r="AW571" s="21">
        <f t="shared" si="71"/>
        <v>0.39079831977739726</v>
      </c>
    </row>
    <row r="572" spans="1:49" x14ac:dyDescent="0.25">
      <c r="A572" t="s">
        <v>38</v>
      </c>
      <c r="B572" t="s">
        <v>110</v>
      </c>
      <c r="C572">
        <v>155191</v>
      </c>
      <c r="D572">
        <v>2011</v>
      </c>
      <c r="E572" t="s">
        <v>146</v>
      </c>
      <c r="F572" t="s">
        <v>334</v>
      </c>
      <c r="I572">
        <v>4</v>
      </c>
      <c r="J572" t="s">
        <v>43</v>
      </c>
      <c r="K572">
        <v>2</v>
      </c>
      <c r="L572" t="s">
        <v>44</v>
      </c>
      <c r="M572">
        <v>2.5</v>
      </c>
      <c r="N572" t="s">
        <v>45</v>
      </c>
      <c r="Q572" t="s">
        <v>47</v>
      </c>
      <c r="R572" t="s">
        <v>197</v>
      </c>
      <c r="S572" t="s">
        <v>49</v>
      </c>
      <c r="T572">
        <v>170</v>
      </c>
      <c r="U572" t="s">
        <v>50</v>
      </c>
      <c r="X572" t="s">
        <v>125</v>
      </c>
      <c r="Y572" t="s">
        <v>78</v>
      </c>
      <c r="AA572">
        <v>0</v>
      </c>
      <c r="AB572" t="s">
        <v>79</v>
      </c>
      <c r="AC572" t="s">
        <v>197</v>
      </c>
      <c r="AD572">
        <v>36</v>
      </c>
      <c r="AE572">
        <v>9</v>
      </c>
      <c r="AF572">
        <v>3</v>
      </c>
      <c r="AG572">
        <v>2025</v>
      </c>
      <c r="AH572" s="2">
        <v>1300</v>
      </c>
      <c r="AI572" s="2">
        <v>1429.319458007812</v>
      </c>
      <c r="AJ572" s="2">
        <f t="shared" si="64"/>
        <v>129.31945800781205</v>
      </c>
      <c r="AK572" s="6">
        <f t="shared" si="65"/>
        <v>9.9476506159855413E-2</v>
      </c>
      <c r="AL572" s="12">
        <v>1300</v>
      </c>
      <c r="AM572" s="12">
        <v>1343.7463574853759</v>
      </c>
      <c r="AN572" s="12">
        <f t="shared" si="66"/>
        <v>43.746357485375938</v>
      </c>
      <c r="AO572" s="13">
        <f t="shared" si="67"/>
        <v>3.3651044219519956E-2</v>
      </c>
      <c r="AP572" s="16">
        <v>1300</v>
      </c>
      <c r="AQ572" s="16">
        <v>1207.937755969514</v>
      </c>
      <c r="AR572" s="16">
        <f t="shared" si="68"/>
        <v>92.062244030485999</v>
      </c>
      <c r="AS572" s="17">
        <f t="shared" si="69"/>
        <v>7.0817110792681534E-2</v>
      </c>
      <c r="AT572" s="20">
        <v>1300</v>
      </c>
      <c r="AU572" s="20">
        <v>1382.831176757812</v>
      </c>
      <c r="AV572" s="20">
        <f t="shared" si="70"/>
        <v>82.831176757812045</v>
      </c>
      <c r="AW572" s="21">
        <f t="shared" si="71"/>
        <v>6.3716289813701574E-2</v>
      </c>
    </row>
    <row r="573" spans="1:49" x14ac:dyDescent="0.25">
      <c r="A573" t="s">
        <v>38</v>
      </c>
      <c r="B573" t="s">
        <v>96</v>
      </c>
      <c r="C573">
        <v>192692</v>
      </c>
      <c r="D573">
        <v>2018</v>
      </c>
      <c r="E573" t="s">
        <v>69</v>
      </c>
      <c r="F573" t="s">
        <v>157</v>
      </c>
      <c r="G573" t="s">
        <v>105</v>
      </c>
      <c r="I573">
        <v>6</v>
      </c>
      <c r="J573" t="s">
        <v>72</v>
      </c>
      <c r="K573">
        <v>4</v>
      </c>
      <c r="L573" t="s">
        <v>44</v>
      </c>
      <c r="M573">
        <v>3.5</v>
      </c>
      <c r="N573" t="s">
        <v>45</v>
      </c>
      <c r="O573" t="s">
        <v>100</v>
      </c>
      <c r="P573">
        <v>2</v>
      </c>
      <c r="Q573" t="s">
        <v>62</v>
      </c>
      <c r="R573" t="s">
        <v>63</v>
      </c>
      <c r="S573" t="s">
        <v>101</v>
      </c>
      <c r="T573">
        <v>290</v>
      </c>
      <c r="U573" t="s">
        <v>50</v>
      </c>
      <c r="V573" t="s">
        <v>76</v>
      </c>
      <c r="W573" t="s">
        <v>609</v>
      </c>
      <c r="X573" t="s">
        <v>94</v>
      </c>
      <c r="Y573" t="s">
        <v>78</v>
      </c>
      <c r="Z573">
        <v>34175</v>
      </c>
      <c r="AA573">
        <v>0</v>
      </c>
      <c r="AB573" t="s">
        <v>79</v>
      </c>
      <c r="AC573" t="s">
        <v>109</v>
      </c>
      <c r="AD573">
        <v>36</v>
      </c>
      <c r="AE573">
        <v>9</v>
      </c>
      <c r="AF573">
        <v>3</v>
      </c>
      <c r="AG573">
        <v>2025</v>
      </c>
      <c r="AH573" s="2">
        <v>2900</v>
      </c>
      <c r="AI573" s="2">
        <v>3054.00390625</v>
      </c>
      <c r="AJ573" s="2">
        <f t="shared" si="64"/>
        <v>154.00390625</v>
      </c>
      <c r="AK573" s="6">
        <f t="shared" si="65"/>
        <v>5.3104795258620691E-2</v>
      </c>
      <c r="AL573" s="12">
        <v>2900</v>
      </c>
      <c r="AM573" s="12">
        <v>2374.8196988395289</v>
      </c>
      <c r="AN573" s="12">
        <f t="shared" si="66"/>
        <v>525.18030116047112</v>
      </c>
      <c r="AO573" s="13">
        <f t="shared" si="67"/>
        <v>0.18109665557257626</v>
      </c>
      <c r="AP573" s="16">
        <v>2900</v>
      </c>
      <c r="AQ573" s="16">
        <v>2337.883461326272</v>
      </c>
      <c r="AR573" s="16">
        <f t="shared" si="68"/>
        <v>562.11653867372797</v>
      </c>
      <c r="AS573" s="17">
        <f t="shared" si="69"/>
        <v>0.19383328919783724</v>
      </c>
      <c r="AT573" s="20">
        <v>2900</v>
      </c>
      <c r="AU573" s="20">
        <v>3036.53515625</v>
      </c>
      <c r="AV573" s="20">
        <f t="shared" si="70"/>
        <v>136.53515625</v>
      </c>
      <c r="AW573" s="21">
        <f t="shared" si="71"/>
        <v>4.7081088362068965E-2</v>
      </c>
    </row>
    <row r="574" spans="1:49" x14ac:dyDescent="0.25">
      <c r="A574" t="s">
        <v>38</v>
      </c>
      <c r="B574" t="s">
        <v>39</v>
      </c>
      <c r="C574">
        <v>210193</v>
      </c>
      <c r="D574">
        <v>2011</v>
      </c>
      <c r="E574" t="s">
        <v>162</v>
      </c>
      <c r="F574" t="s">
        <v>532</v>
      </c>
      <c r="G574" t="s">
        <v>894</v>
      </c>
      <c r="I574">
        <v>4</v>
      </c>
      <c r="J574" t="s">
        <v>43</v>
      </c>
      <c r="K574">
        <v>4</v>
      </c>
      <c r="L574" t="s">
        <v>44</v>
      </c>
      <c r="M574">
        <v>2.4</v>
      </c>
      <c r="N574" t="s">
        <v>45</v>
      </c>
      <c r="O574" t="s">
        <v>46</v>
      </c>
      <c r="P574">
        <v>2</v>
      </c>
      <c r="Q574" t="s">
        <v>62</v>
      </c>
      <c r="R574" t="s">
        <v>63</v>
      </c>
      <c r="S574" t="s">
        <v>49</v>
      </c>
      <c r="U574" t="s">
        <v>50</v>
      </c>
      <c r="W574" t="s">
        <v>895</v>
      </c>
      <c r="X574" t="s">
        <v>65</v>
      </c>
      <c r="Y574" t="s">
        <v>78</v>
      </c>
      <c r="AA574">
        <v>0</v>
      </c>
      <c r="AB574" t="s">
        <v>79</v>
      </c>
      <c r="AC574" t="s">
        <v>87</v>
      </c>
      <c r="AD574">
        <v>36</v>
      </c>
      <c r="AE574">
        <v>9</v>
      </c>
      <c r="AF574">
        <v>3</v>
      </c>
      <c r="AG574">
        <v>2025</v>
      </c>
      <c r="AH574" s="2">
        <v>1300</v>
      </c>
      <c r="AI574" s="2">
        <v>1172.233276367188</v>
      </c>
      <c r="AJ574" s="2">
        <f t="shared" si="64"/>
        <v>127.76672363281205</v>
      </c>
      <c r="AK574" s="6">
        <f t="shared" si="65"/>
        <v>9.8282095102163111E-2</v>
      </c>
      <c r="AL574" s="12">
        <v>1300</v>
      </c>
      <c r="AM574" s="12">
        <v>1252.3474547130479</v>
      </c>
      <c r="AN574" s="12">
        <f t="shared" si="66"/>
        <v>47.65254528695209</v>
      </c>
      <c r="AO574" s="13">
        <f t="shared" si="67"/>
        <v>3.6655804066886226E-2</v>
      </c>
      <c r="AP574" s="16">
        <v>1300</v>
      </c>
      <c r="AQ574" s="16">
        <v>928.76118764979412</v>
      </c>
      <c r="AR574" s="16">
        <f t="shared" si="68"/>
        <v>371.23881235020588</v>
      </c>
      <c r="AS574" s="17">
        <f t="shared" si="69"/>
        <v>0.28556831719246606</v>
      </c>
      <c r="AT574" s="20">
        <v>1300</v>
      </c>
      <c r="AU574" s="20">
        <v>1163.657836914062</v>
      </c>
      <c r="AV574" s="20">
        <f t="shared" si="70"/>
        <v>136.34216308593795</v>
      </c>
      <c r="AW574" s="21">
        <f t="shared" si="71"/>
        <v>0.10487858698918304</v>
      </c>
    </row>
    <row r="575" spans="1:49" x14ac:dyDescent="0.25">
      <c r="A575" t="s">
        <v>38</v>
      </c>
      <c r="B575" t="s">
        <v>110</v>
      </c>
      <c r="C575">
        <v>172348</v>
      </c>
      <c r="D575">
        <v>2020</v>
      </c>
      <c r="E575" t="s">
        <v>40</v>
      </c>
      <c r="F575" t="s">
        <v>201</v>
      </c>
      <c r="G575" t="s">
        <v>497</v>
      </c>
      <c r="H575" t="s">
        <v>498</v>
      </c>
      <c r="I575">
        <v>4</v>
      </c>
      <c r="J575" t="s">
        <v>72</v>
      </c>
      <c r="K575">
        <v>4</v>
      </c>
      <c r="L575" t="s">
        <v>44</v>
      </c>
      <c r="M575">
        <v>2</v>
      </c>
      <c r="N575" t="s">
        <v>45</v>
      </c>
      <c r="O575" t="s">
        <v>46</v>
      </c>
      <c r="Q575" t="s">
        <v>47</v>
      </c>
      <c r="R575" t="s">
        <v>123</v>
      </c>
      <c r="S575" t="s">
        <v>49</v>
      </c>
      <c r="T575">
        <v>169</v>
      </c>
      <c r="U575" t="s">
        <v>50</v>
      </c>
      <c r="V575" t="s">
        <v>51</v>
      </c>
      <c r="W575" t="s">
        <v>499</v>
      </c>
      <c r="X575" t="s">
        <v>125</v>
      </c>
      <c r="Y575" t="s">
        <v>78</v>
      </c>
      <c r="AA575">
        <v>0</v>
      </c>
      <c r="AB575" t="s">
        <v>79</v>
      </c>
      <c r="AC575" t="s">
        <v>127</v>
      </c>
      <c r="AD575">
        <v>36</v>
      </c>
      <c r="AE575">
        <v>9</v>
      </c>
      <c r="AF575">
        <v>3</v>
      </c>
      <c r="AG575">
        <v>2025</v>
      </c>
      <c r="AH575" s="2">
        <v>8200</v>
      </c>
      <c r="AI575" s="2">
        <v>4804.68701171875</v>
      </c>
      <c r="AJ575" s="2">
        <f t="shared" si="64"/>
        <v>3395.31298828125</v>
      </c>
      <c r="AK575" s="6">
        <f t="shared" si="65"/>
        <v>0.4140625595464939</v>
      </c>
      <c r="AL575" s="12">
        <v>8200</v>
      </c>
      <c r="AM575" s="12">
        <v>5711.2464291782389</v>
      </c>
      <c r="AN575" s="12">
        <f t="shared" si="66"/>
        <v>2488.7535708217611</v>
      </c>
      <c r="AO575" s="13">
        <f t="shared" si="67"/>
        <v>0.30350653302704406</v>
      </c>
      <c r="AP575" s="16">
        <v>8200</v>
      </c>
      <c r="AQ575" s="16">
        <v>5876.6432602071354</v>
      </c>
      <c r="AR575" s="16">
        <f t="shared" si="68"/>
        <v>2323.3567397928646</v>
      </c>
      <c r="AS575" s="17">
        <f t="shared" si="69"/>
        <v>0.28333618777961761</v>
      </c>
      <c r="AT575" s="20">
        <v>8200</v>
      </c>
      <c r="AU575" s="20">
        <v>4903.341796875</v>
      </c>
      <c r="AV575" s="20">
        <f t="shared" si="70"/>
        <v>3296.658203125</v>
      </c>
      <c r="AW575" s="21">
        <f t="shared" si="71"/>
        <v>0.40203148818597562</v>
      </c>
    </row>
    <row r="576" spans="1:49" x14ac:dyDescent="0.25">
      <c r="A576" t="s">
        <v>38</v>
      </c>
      <c r="B576" t="s">
        <v>39</v>
      </c>
      <c r="C576">
        <v>105223</v>
      </c>
      <c r="D576">
        <v>2016</v>
      </c>
      <c r="E576" t="s">
        <v>399</v>
      </c>
      <c r="F576" t="s">
        <v>896</v>
      </c>
      <c r="G576" t="s">
        <v>897</v>
      </c>
      <c r="I576">
        <v>4</v>
      </c>
      <c r="J576" t="s">
        <v>43</v>
      </c>
      <c r="K576">
        <v>4</v>
      </c>
      <c r="L576" t="s">
        <v>44</v>
      </c>
      <c r="M576">
        <v>2</v>
      </c>
      <c r="N576" t="s">
        <v>44</v>
      </c>
      <c r="O576" t="s">
        <v>46</v>
      </c>
      <c r="Q576" t="s">
        <v>62</v>
      </c>
      <c r="R576" t="s">
        <v>63</v>
      </c>
      <c r="S576" t="s">
        <v>85</v>
      </c>
      <c r="U576" t="s">
        <v>50</v>
      </c>
      <c r="W576" t="s">
        <v>898</v>
      </c>
      <c r="X576" t="s">
        <v>65</v>
      </c>
      <c r="Y576" t="s">
        <v>54</v>
      </c>
      <c r="AA576">
        <v>0</v>
      </c>
      <c r="AB576" t="s">
        <v>79</v>
      </c>
      <c r="AC576" t="s">
        <v>87</v>
      </c>
      <c r="AD576">
        <v>36</v>
      </c>
      <c r="AE576">
        <v>9</v>
      </c>
      <c r="AF576">
        <v>3</v>
      </c>
      <c r="AG576">
        <v>2025</v>
      </c>
      <c r="AH576" s="2">
        <v>8800</v>
      </c>
      <c r="AI576" s="2">
        <v>6229.09814453125</v>
      </c>
      <c r="AJ576" s="2">
        <f t="shared" si="64"/>
        <v>2570.90185546875</v>
      </c>
      <c r="AK576" s="6">
        <f t="shared" si="65"/>
        <v>0.29214793812144885</v>
      </c>
      <c r="AL576" s="12">
        <v>8800</v>
      </c>
      <c r="AM576" s="12">
        <v>5988.4506877622816</v>
      </c>
      <c r="AN576" s="12">
        <f t="shared" si="66"/>
        <v>2811.5493122377184</v>
      </c>
      <c r="AO576" s="13">
        <f t="shared" si="67"/>
        <v>0.31949424002701343</v>
      </c>
      <c r="AP576" s="16">
        <v>8800</v>
      </c>
      <c r="AQ576" s="16">
        <v>7295.3819464349062</v>
      </c>
      <c r="AR576" s="16">
        <f t="shared" si="68"/>
        <v>1504.6180535650938</v>
      </c>
      <c r="AS576" s="17">
        <f t="shared" si="69"/>
        <v>0.17097932426876064</v>
      </c>
      <c r="AT576" s="20">
        <v>8800</v>
      </c>
      <c r="AU576" s="20">
        <v>6209.107421875</v>
      </c>
      <c r="AV576" s="20">
        <f t="shared" si="70"/>
        <v>2590.892578125</v>
      </c>
      <c r="AW576" s="21">
        <f t="shared" si="71"/>
        <v>0.29441961115056819</v>
      </c>
    </row>
    <row r="577" spans="1:49" x14ac:dyDescent="0.25">
      <c r="A577" t="s">
        <v>38</v>
      </c>
      <c r="B577" t="s">
        <v>39</v>
      </c>
      <c r="C577">
        <v>214265</v>
      </c>
      <c r="D577">
        <v>2007</v>
      </c>
      <c r="E577" t="s">
        <v>132</v>
      </c>
      <c r="F577" t="s">
        <v>899</v>
      </c>
      <c r="G577" t="s">
        <v>900</v>
      </c>
      <c r="H577" t="s">
        <v>901</v>
      </c>
      <c r="I577">
        <v>6</v>
      </c>
      <c r="J577" t="s">
        <v>106</v>
      </c>
      <c r="K577">
        <v>4</v>
      </c>
      <c r="L577" t="s">
        <v>44</v>
      </c>
      <c r="M577">
        <v>3.5</v>
      </c>
      <c r="N577" t="s">
        <v>91</v>
      </c>
      <c r="O577" t="s">
        <v>789</v>
      </c>
      <c r="Q577" t="s">
        <v>62</v>
      </c>
      <c r="R577" t="s">
        <v>63</v>
      </c>
      <c r="S577" t="s">
        <v>85</v>
      </c>
      <c r="U577" t="s">
        <v>50</v>
      </c>
      <c r="V577" t="s">
        <v>76</v>
      </c>
      <c r="X577" t="s">
        <v>94</v>
      </c>
      <c r="Y577" t="s">
        <v>78</v>
      </c>
      <c r="AA577">
        <v>0</v>
      </c>
      <c r="AB577" t="s">
        <v>79</v>
      </c>
      <c r="AC577" t="s">
        <v>87</v>
      </c>
      <c r="AD577">
        <v>36</v>
      </c>
      <c r="AE577">
        <v>9</v>
      </c>
      <c r="AF577">
        <v>3</v>
      </c>
      <c r="AG577">
        <v>2025</v>
      </c>
      <c r="AH577" s="2">
        <v>200</v>
      </c>
      <c r="AI577" s="2">
        <v>500.05233764648438</v>
      </c>
      <c r="AJ577" s="2">
        <f t="shared" si="64"/>
        <v>300.05233764648438</v>
      </c>
      <c r="AK577" s="6">
        <f t="shared" si="65"/>
        <v>1.5002616882324218</v>
      </c>
      <c r="AL577" s="12">
        <v>200</v>
      </c>
      <c r="AM577" s="12">
        <v>520.20083918630053</v>
      </c>
      <c r="AN577" s="12">
        <f t="shared" si="66"/>
        <v>320.20083918630053</v>
      </c>
      <c r="AO577" s="13">
        <f t="shared" si="67"/>
        <v>1.6010041959315027</v>
      </c>
      <c r="AP577" s="16">
        <v>200</v>
      </c>
      <c r="AQ577" s="16">
        <v>432.61796607108607</v>
      </c>
      <c r="AR577" s="16">
        <f t="shared" si="68"/>
        <v>232.61796607108607</v>
      </c>
      <c r="AS577" s="17">
        <f t="shared" si="69"/>
        <v>1.1630898303554305</v>
      </c>
      <c r="AT577" s="20">
        <v>200</v>
      </c>
      <c r="AU577" s="20">
        <v>460.00308227539063</v>
      </c>
      <c r="AV577" s="20">
        <f t="shared" si="70"/>
        <v>260.00308227539063</v>
      </c>
      <c r="AW577" s="21">
        <f t="shared" si="71"/>
        <v>1.3000154113769531</v>
      </c>
    </row>
    <row r="578" spans="1:49" x14ac:dyDescent="0.25">
      <c r="A578" t="s">
        <v>38</v>
      </c>
      <c r="B578" t="s">
        <v>96</v>
      </c>
      <c r="C578">
        <v>32716</v>
      </c>
      <c r="D578">
        <v>2020</v>
      </c>
      <c r="E578" t="s">
        <v>142</v>
      </c>
      <c r="F578" t="s">
        <v>633</v>
      </c>
      <c r="G578" t="s">
        <v>902</v>
      </c>
      <c r="I578">
        <v>4</v>
      </c>
      <c r="J578" t="s">
        <v>135</v>
      </c>
      <c r="K578">
        <v>4</v>
      </c>
      <c r="L578" t="s">
        <v>44</v>
      </c>
      <c r="M578">
        <v>2</v>
      </c>
      <c r="N578" t="s">
        <v>91</v>
      </c>
      <c r="Q578" t="s">
        <v>62</v>
      </c>
      <c r="R578" t="s">
        <v>63</v>
      </c>
      <c r="S578" t="s">
        <v>93</v>
      </c>
      <c r="T578">
        <v>270</v>
      </c>
      <c r="U578" t="s">
        <v>50</v>
      </c>
      <c r="V578" t="s">
        <v>51</v>
      </c>
      <c r="X578" t="s">
        <v>141</v>
      </c>
      <c r="Y578" t="s">
        <v>78</v>
      </c>
      <c r="AA578">
        <v>0</v>
      </c>
      <c r="AB578" t="s">
        <v>79</v>
      </c>
      <c r="AC578" t="s">
        <v>87</v>
      </c>
      <c r="AD578">
        <v>36</v>
      </c>
      <c r="AE578">
        <v>9</v>
      </c>
      <c r="AF578">
        <v>3</v>
      </c>
      <c r="AG578">
        <v>2025</v>
      </c>
      <c r="AH578" s="2">
        <v>34500</v>
      </c>
      <c r="AI578" s="2">
        <v>35724.796875</v>
      </c>
      <c r="AJ578" s="2">
        <f t="shared" si="64"/>
        <v>1224.796875</v>
      </c>
      <c r="AK578" s="6">
        <f t="shared" si="65"/>
        <v>3.5501358695652172E-2</v>
      </c>
      <c r="AL578" s="12">
        <v>34500</v>
      </c>
      <c r="AM578" s="12">
        <v>27972.124588000261</v>
      </c>
      <c r="AN578" s="12">
        <f t="shared" si="66"/>
        <v>6527.8754119997393</v>
      </c>
      <c r="AO578" s="13">
        <f t="shared" si="67"/>
        <v>0.18921378005796347</v>
      </c>
      <c r="AP578" s="16">
        <v>34500</v>
      </c>
      <c r="AQ578" s="16">
        <v>29898.291516183948</v>
      </c>
      <c r="AR578" s="16">
        <f t="shared" si="68"/>
        <v>4601.7084838160517</v>
      </c>
      <c r="AS578" s="17">
        <f t="shared" si="69"/>
        <v>0.13338285460336383</v>
      </c>
      <c r="AT578" s="20">
        <v>34500</v>
      </c>
      <c r="AU578" s="20">
        <v>34498.03515625</v>
      </c>
      <c r="AV578" s="20">
        <f t="shared" si="70"/>
        <v>1.96484375</v>
      </c>
      <c r="AW578" s="21">
        <f t="shared" si="71"/>
        <v>5.6951992753623188E-5</v>
      </c>
    </row>
    <row r="579" spans="1:49" x14ac:dyDescent="0.25">
      <c r="A579" t="s">
        <v>81</v>
      </c>
      <c r="B579" t="s">
        <v>304</v>
      </c>
      <c r="C579">
        <v>5258</v>
      </c>
      <c r="D579">
        <v>2025</v>
      </c>
      <c r="E579" t="s">
        <v>69</v>
      </c>
      <c r="F579" t="s">
        <v>157</v>
      </c>
      <c r="G579" t="s">
        <v>903</v>
      </c>
      <c r="I579">
        <v>4</v>
      </c>
      <c r="J579" t="s">
        <v>61</v>
      </c>
      <c r="K579">
        <v>4</v>
      </c>
      <c r="L579" t="s">
        <v>44</v>
      </c>
      <c r="M579">
        <v>2.2999999999999998</v>
      </c>
      <c r="N579" t="s">
        <v>91</v>
      </c>
      <c r="O579" t="s">
        <v>46</v>
      </c>
      <c r="Q579" t="s">
        <v>62</v>
      </c>
      <c r="R579" t="s">
        <v>63</v>
      </c>
      <c r="S579" t="s">
        <v>93</v>
      </c>
      <c r="U579" t="s">
        <v>50</v>
      </c>
      <c r="V579" t="s">
        <v>51</v>
      </c>
      <c r="W579" t="s">
        <v>904</v>
      </c>
      <c r="X579" t="s">
        <v>141</v>
      </c>
      <c r="Y579" t="s">
        <v>78</v>
      </c>
      <c r="AA579">
        <v>0</v>
      </c>
      <c r="AB579" t="s">
        <v>79</v>
      </c>
      <c r="AC579" t="s">
        <v>87</v>
      </c>
      <c r="AD579">
        <v>36</v>
      </c>
      <c r="AE579">
        <v>9</v>
      </c>
      <c r="AF579">
        <v>3</v>
      </c>
      <c r="AG579">
        <v>2025</v>
      </c>
      <c r="AH579" s="2">
        <v>48000</v>
      </c>
      <c r="AI579" s="2">
        <v>34172.15234375</v>
      </c>
      <c r="AJ579" s="2">
        <f t="shared" ref="AJ579:AJ642" si="72">ABS(AH579-AI579)</f>
        <v>13827.84765625</v>
      </c>
      <c r="AK579" s="6">
        <f t="shared" ref="AK579:AK642" si="73">ABS($AH579-AI579)/$AH579</f>
        <v>0.28808015950520832</v>
      </c>
      <c r="AL579" s="12">
        <v>48000</v>
      </c>
      <c r="AM579" s="12">
        <v>29268.444674418752</v>
      </c>
      <c r="AN579" s="12">
        <f t="shared" ref="AN579:AN642" si="74">ABS(AL579-AM579)</f>
        <v>18731.555325581248</v>
      </c>
      <c r="AO579" s="13">
        <f t="shared" ref="AO579:AO642" si="75">ABS($AH579-AM579)/$AH579</f>
        <v>0.39024073594960934</v>
      </c>
      <c r="AP579" s="16">
        <v>48000</v>
      </c>
      <c r="AQ579" s="16">
        <v>29870.1273453996</v>
      </c>
      <c r="AR579" s="16">
        <f t="shared" ref="AR579:AR642" si="76">ABS(AP579-AQ579)</f>
        <v>18129.8726546004</v>
      </c>
      <c r="AS579" s="17">
        <f t="shared" ref="AS579:AS642" si="77">ABS($AH579-AQ579)/$AH579</f>
        <v>0.37770568030417501</v>
      </c>
      <c r="AT579" s="20">
        <v>48000</v>
      </c>
      <c r="AU579" s="20">
        <v>33862.81640625</v>
      </c>
      <c r="AV579" s="20">
        <f t="shared" ref="AV579:AV642" si="78">ABS(AT579-AU579)</f>
        <v>14137.18359375</v>
      </c>
      <c r="AW579" s="21">
        <f t="shared" ref="AW579:AW642" si="79">ABS($AH579-AU579)/$AH579</f>
        <v>0.29452465820312501</v>
      </c>
    </row>
    <row r="580" spans="1:49" x14ac:dyDescent="0.25">
      <c r="A580" t="s">
        <v>38</v>
      </c>
      <c r="B580" t="s">
        <v>68</v>
      </c>
      <c r="C580">
        <v>122792</v>
      </c>
      <c r="D580">
        <v>2017</v>
      </c>
      <c r="E580" t="s">
        <v>97</v>
      </c>
      <c r="F580" t="s">
        <v>159</v>
      </c>
      <c r="G580" t="s">
        <v>155</v>
      </c>
      <c r="H580" t="s">
        <v>89</v>
      </c>
      <c r="I580">
        <v>8</v>
      </c>
      <c r="J580" t="s">
        <v>135</v>
      </c>
      <c r="K580">
        <v>4</v>
      </c>
      <c r="L580" t="s">
        <v>44</v>
      </c>
      <c r="M580">
        <v>5.3</v>
      </c>
      <c r="N580" t="s">
        <v>73</v>
      </c>
      <c r="O580" t="s">
        <v>46</v>
      </c>
      <c r="P580">
        <v>4</v>
      </c>
      <c r="Q580" t="s">
        <v>74</v>
      </c>
      <c r="R580" t="s">
        <v>92</v>
      </c>
      <c r="S580" t="s">
        <v>49</v>
      </c>
      <c r="U580" t="s">
        <v>50</v>
      </c>
      <c r="W580" t="s">
        <v>424</v>
      </c>
      <c r="X580" t="s">
        <v>94</v>
      </c>
      <c r="Y580" t="s">
        <v>126</v>
      </c>
      <c r="Z580">
        <v>42905</v>
      </c>
      <c r="AA580">
        <v>0</v>
      </c>
      <c r="AB580" t="s">
        <v>79</v>
      </c>
      <c r="AC580" t="s">
        <v>95</v>
      </c>
      <c r="AD580">
        <v>36</v>
      </c>
      <c r="AE580">
        <v>9</v>
      </c>
      <c r="AF580">
        <v>3</v>
      </c>
      <c r="AG580">
        <v>2025</v>
      </c>
      <c r="AH580" s="2">
        <v>18500</v>
      </c>
      <c r="AI580" s="2">
        <v>15371.8310546875</v>
      </c>
      <c r="AJ580" s="2">
        <f t="shared" si="72"/>
        <v>3128.1689453125</v>
      </c>
      <c r="AK580" s="6">
        <f t="shared" si="73"/>
        <v>0.16909021326013512</v>
      </c>
      <c r="AL580" s="12">
        <v>18500</v>
      </c>
      <c r="AM580" s="12">
        <v>16931.574917046411</v>
      </c>
      <c r="AN580" s="12">
        <f t="shared" si="74"/>
        <v>1568.4250829535886</v>
      </c>
      <c r="AO580" s="13">
        <f t="shared" si="75"/>
        <v>8.4779734213707492E-2</v>
      </c>
      <c r="AP580" s="16">
        <v>18500</v>
      </c>
      <c r="AQ580" s="16">
        <v>15627.959889598431</v>
      </c>
      <c r="AR580" s="16">
        <f t="shared" si="76"/>
        <v>2872.0401104015691</v>
      </c>
      <c r="AS580" s="17">
        <f t="shared" si="77"/>
        <v>0.15524541137305778</v>
      </c>
      <c r="AT580" s="20">
        <v>18500</v>
      </c>
      <c r="AU580" s="20">
        <v>15652.02734375</v>
      </c>
      <c r="AV580" s="20">
        <f t="shared" si="78"/>
        <v>2847.97265625</v>
      </c>
      <c r="AW580" s="21">
        <f t="shared" si="79"/>
        <v>0.15394446790540542</v>
      </c>
    </row>
    <row r="581" spans="1:49" x14ac:dyDescent="0.25">
      <c r="A581" t="s">
        <v>81</v>
      </c>
      <c r="B581" t="s">
        <v>836</v>
      </c>
      <c r="C581">
        <v>10033</v>
      </c>
      <c r="D581">
        <v>2024</v>
      </c>
      <c r="E581" t="s">
        <v>40</v>
      </c>
      <c r="F581" t="s">
        <v>182</v>
      </c>
      <c r="G581" t="s">
        <v>905</v>
      </c>
      <c r="H581" t="s">
        <v>184</v>
      </c>
      <c r="I581">
        <v>6</v>
      </c>
      <c r="J581" t="s">
        <v>61</v>
      </c>
      <c r="K581">
        <v>4</v>
      </c>
      <c r="L581" t="s">
        <v>44</v>
      </c>
      <c r="M581">
        <v>4</v>
      </c>
      <c r="N581" t="s">
        <v>91</v>
      </c>
      <c r="Q581" t="s">
        <v>62</v>
      </c>
      <c r="R581" t="s">
        <v>63</v>
      </c>
      <c r="S581" t="s">
        <v>93</v>
      </c>
      <c r="T581">
        <v>270</v>
      </c>
      <c r="U581" t="s">
        <v>50</v>
      </c>
      <c r="V581" t="s">
        <v>76</v>
      </c>
      <c r="W581" t="s">
        <v>185</v>
      </c>
      <c r="X581" t="s">
        <v>94</v>
      </c>
      <c r="Y581" t="s">
        <v>54</v>
      </c>
      <c r="AA581">
        <v>0</v>
      </c>
      <c r="AB581" t="s">
        <v>79</v>
      </c>
      <c r="AC581" t="s">
        <v>87</v>
      </c>
      <c r="AD581">
        <v>36</v>
      </c>
      <c r="AE581">
        <v>9</v>
      </c>
      <c r="AF581">
        <v>3</v>
      </c>
      <c r="AG581">
        <v>2025</v>
      </c>
      <c r="AH581" s="2">
        <v>48200</v>
      </c>
      <c r="AI581" s="2">
        <v>47342.88671875</v>
      </c>
      <c r="AJ581" s="2">
        <f t="shared" si="72"/>
        <v>857.11328125</v>
      </c>
      <c r="AK581" s="6">
        <f t="shared" si="73"/>
        <v>1.7782433220954356E-2</v>
      </c>
      <c r="AL581" s="12">
        <v>48200</v>
      </c>
      <c r="AM581" s="12">
        <v>40503.131779125011</v>
      </c>
      <c r="AN581" s="12">
        <f t="shared" si="74"/>
        <v>7696.8682208749888</v>
      </c>
      <c r="AO581" s="13">
        <f t="shared" si="75"/>
        <v>0.15968606267375496</v>
      </c>
      <c r="AP581" s="16">
        <v>48200</v>
      </c>
      <c r="AQ581" s="16">
        <v>44666.226410974406</v>
      </c>
      <c r="AR581" s="16">
        <f t="shared" si="76"/>
        <v>3533.7735890255935</v>
      </c>
      <c r="AS581" s="17">
        <f t="shared" si="77"/>
        <v>7.3314804751568333E-2</v>
      </c>
      <c r="AT581" s="20">
        <v>48200</v>
      </c>
      <c r="AU581" s="20">
        <v>45128.8203125</v>
      </c>
      <c r="AV581" s="20">
        <f t="shared" si="78"/>
        <v>3071.1796875</v>
      </c>
      <c r="AW581" s="21">
        <f t="shared" si="79"/>
        <v>6.3717420902489622E-2</v>
      </c>
    </row>
    <row r="582" spans="1:49" x14ac:dyDescent="0.25">
      <c r="A582" t="s">
        <v>38</v>
      </c>
      <c r="B582" t="s">
        <v>39</v>
      </c>
      <c r="C582">
        <v>148440</v>
      </c>
      <c r="D582">
        <v>2021</v>
      </c>
      <c r="E582" t="s">
        <v>97</v>
      </c>
      <c r="F582" t="s">
        <v>419</v>
      </c>
      <c r="G582" t="s">
        <v>155</v>
      </c>
      <c r="I582">
        <v>8</v>
      </c>
      <c r="J582" t="s">
        <v>135</v>
      </c>
      <c r="K582">
        <v>4</v>
      </c>
      <c r="L582" t="s">
        <v>44</v>
      </c>
      <c r="M582">
        <v>5.3</v>
      </c>
      <c r="N582" t="s">
        <v>73</v>
      </c>
      <c r="O582" t="s">
        <v>46</v>
      </c>
      <c r="Q582" t="s">
        <v>62</v>
      </c>
      <c r="R582" t="s">
        <v>63</v>
      </c>
      <c r="S582" t="s">
        <v>49</v>
      </c>
      <c r="U582" t="s">
        <v>50</v>
      </c>
      <c r="W582" t="s">
        <v>339</v>
      </c>
      <c r="X582" t="s">
        <v>108</v>
      </c>
      <c r="Y582" t="s">
        <v>78</v>
      </c>
      <c r="AA582">
        <v>0</v>
      </c>
      <c r="AB582" t="s">
        <v>79</v>
      </c>
      <c r="AC582" t="s">
        <v>109</v>
      </c>
      <c r="AD582">
        <v>36</v>
      </c>
      <c r="AE582">
        <v>9</v>
      </c>
      <c r="AF582">
        <v>3</v>
      </c>
      <c r="AG582">
        <v>2025</v>
      </c>
      <c r="AH582" s="2">
        <v>23500</v>
      </c>
      <c r="AI582" s="2">
        <v>23236.953125</v>
      </c>
      <c r="AJ582" s="2">
        <f t="shared" si="72"/>
        <v>263.046875</v>
      </c>
      <c r="AK582" s="6">
        <f t="shared" si="73"/>
        <v>1.1193484042553192E-2</v>
      </c>
      <c r="AL582" s="12">
        <v>23500</v>
      </c>
      <c r="AM582" s="12">
        <v>22602.28272545799</v>
      </c>
      <c r="AN582" s="12">
        <f t="shared" si="74"/>
        <v>897.71727454201027</v>
      </c>
      <c r="AO582" s="13">
        <f t="shared" si="75"/>
        <v>3.8200735086894054E-2</v>
      </c>
      <c r="AP582" s="16">
        <v>23500</v>
      </c>
      <c r="AQ582" s="16">
        <v>19375.609677361161</v>
      </c>
      <c r="AR582" s="16">
        <f t="shared" si="76"/>
        <v>4124.3903226388393</v>
      </c>
      <c r="AS582" s="17">
        <f t="shared" si="77"/>
        <v>0.17550597117612082</v>
      </c>
      <c r="AT582" s="20">
        <v>23500</v>
      </c>
      <c r="AU582" s="20">
        <v>23054.970703125</v>
      </c>
      <c r="AV582" s="20">
        <f t="shared" si="78"/>
        <v>445.029296875</v>
      </c>
      <c r="AW582" s="21">
        <f t="shared" si="79"/>
        <v>1.8937416888297871E-2</v>
      </c>
    </row>
    <row r="583" spans="1:49" x14ac:dyDescent="0.25">
      <c r="A583" t="s">
        <v>38</v>
      </c>
      <c r="B583" t="s">
        <v>39</v>
      </c>
      <c r="C583">
        <v>154280</v>
      </c>
      <c r="D583">
        <v>2012</v>
      </c>
      <c r="E583" t="s">
        <v>69</v>
      </c>
      <c r="F583" t="s">
        <v>157</v>
      </c>
      <c r="G583" t="s">
        <v>105</v>
      </c>
      <c r="I583">
        <v>6</v>
      </c>
      <c r="J583" t="s">
        <v>106</v>
      </c>
      <c r="K583">
        <v>4</v>
      </c>
      <c r="L583" t="s">
        <v>44</v>
      </c>
      <c r="M583">
        <v>3.5</v>
      </c>
      <c r="N583" t="s">
        <v>45</v>
      </c>
      <c r="O583" t="s">
        <v>46</v>
      </c>
      <c r="Q583" t="s">
        <v>62</v>
      </c>
      <c r="R583" t="s">
        <v>63</v>
      </c>
      <c r="S583" t="s">
        <v>101</v>
      </c>
      <c r="T583">
        <v>290</v>
      </c>
      <c r="U583" t="s">
        <v>50</v>
      </c>
      <c r="V583" t="s">
        <v>76</v>
      </c>
      <c r="X583" t="s">
        <v>94</v>
      </c>
      <c r="Y583" t="s">
        <v>78</v>
      </c>
      <c r="AA583">
        <v>0</v>
      </c>
      <c r="AB583" t="s">
        <v>79</v>
      </c>
      <c r="AC583" t="s">
        <v>87</v>
      </c>
      <c r="AD583">
        <v>36</v>
      </c>
      <c r="AE583">
        <v>9</v>
      </c>
      <c r="AF583">
        <v>3</v>
      </c>
      <c r="AG583">
        <v>2025</v>
      </c>
      <c r="AH583" s="2">
        <v>2400</v>
      </c>
      <c r="AI583" s="2">
        <v>3389.115234375</v>
      </c>
      <c r="AJ583" s="2">
        <f t="shared" si="72"/>
        <v>989.115234375</v>
      </c>
      <c r="AK583" s="6">
        <f t="shared" si="73"/>
        <v>0.41213134765624998</v>
      </c>
      <c r="AL583" s="12">
        <v>2400</v>
      </c>
      <c r="AM583" s="12">
        <v>2919.0668693455591</v>
      </c>
      <c r="AN583" s="12">
        <f t="shared" si="74"/>
        <v>519.0668693455591</v>
      </c>
      <c r="AO583" s="13">
        <f t="shared" si="75"/>
        <v>0.21627786222731629</v>
      </c>
      <c r="AP583" s="16">
        <v>2400</v>
      </c>
      <c r="AQ583" s="16">
        <v>3110.3155720271129</v>
      </c>
      <c r="AR583" s="16">
        <f t="shared" si="76"/>
        <v>710.31557202711292</v>
      </c>
      <c r="AS583" s="17">
        <f t="shared" si="77"/>
        <v>0.29596482167796373</v>
      </c>
      <c r="AT583" s="20">
        <v>2400</v>
      </c>
      <c r="AU583" s="20">
        <v>3380.168212890625</v>
      </c>
      <c r="AV583" s="20">
        <f t="shared" si="78"/>
        <v>980.168212890625</v>
      </c>
      <c r="AW583" s="21">
        <f t="shared" si="79"/>
        <v>0.40840342203776042</v>
      </c>
    </row>
    <row r="584" spans="1:49" x14ac:dyDescent="0.25">
      <c r="A584" t="s">
        <v>38</v>
      </c>
      <c r="B584" t="s">
        <v>96</v>
      </c>
      <c r="C584">
        <v>96585</v>
      </c>
      <c r="D584">
        <v>2017</v>
      </c>
      <c r="E584" t="s">
        <v>116</v>
      </c>
      <c r="F584" t="s">
        <v>237</v>
      </c>
      <c r="G584" t="s">
        <v>906</v>
      </c>
      <c r="I584">
        <v>8</v>
      </c>
      <c r="J584" t="s">
        <v>135</v>
      </c>
      <c r="K584">
        <v>4</v>
      </c>
      <c r="L584" t="s">
        <v>44</v>
      </c>
      <c r="M584">
        <v>6.4</v>
      </c>
      <c r="N584" t="s">
        <v>73</v>
      </c>
      <c r="O584" t="s">
        <v>46</v>
      </c>
      <c r="Q584" t="s">
        <v>47</v>
      </c>
      <c r="R584" t="s">
        <v>123</v>
      </c>
      <c r="S584" t="s">
        <v>179</v>
      </c>
      <c r="T584">
        <v>485</v>
      </c>
      <c r="U584" t="s">
        <v>50</v>
      </c>
      <c r="V584" t="s">
        <v>76</v>
      </c>
      <c r="X584" t="s">
        <v>125</v>
      </c>
      <c r="Y584" t="s">
        <v>103</v>
      </c>
      <c r="AA584">
        <v>0</v>
      </c>
      <c r="AB584" t="s">
        <v>79</v>
      </c>
      <c r="AC584" t="s">
        <v>127</v>
      </c>
      <c r="AD584">
        <v>36</v>
      </c>
      <c r="AE584">
        <v>9</v>
      </c>
      <c r="AF584">
        <v>3</v>
      </c>
      <c r="AG584">
        <v>2025</v>
      </c>
      <c r="AH584" s="2">
        <v>24250</v>
      </c>
      <c r="AI584" s="2">
        <v>21345.5234375</v>
      </c>
      <c r="AJ584" s="2">
        <f t="shared" si="72"/>
        <v>2904.4765625</v>
      </c>
      <c r="AK584" s="6">
        <f t="shared" si="73"/>
        <v>0.1197722293814433</v>
      </c>
      <c r="AL584" s="12">
        <v>24250</v>
      </c>
      <c r="AM584" s="12">
        <v>15830.96936243981</v>
      </c>
      <c r="AN584" s="12">
        <f t="shared" si="74"/>
        <v>8419.0306375601904</v>
      </c>
      <c r="AO584" s="13">
        <f t="shared" si="75"/>
        <v>0.34717652113650271</v>
      </c>
      <c r="AP584" s="16">
        <v>24250</v>
      </c>
      <c r="AQ584" s="16">
        <v>16418.055116860469</v>
      </c>
      <c r="AR584" s="16">
        <f t="shared" si="76"/>
        <v>7831.9448831395312</v>
      </c>
      <c r="AS584" s="17">
        <f t="shared" si="77"/>
        <v>0.32296679930472294</v>
      </c>
      <c r="AT584" s="20">
        <v>24250</v>
      </c>
      <c r="AU584" s="20">
        <v>20328.8125</v>
      </c>
      <c r="AV584" s="20">
        <f t="shared" si="78"/>
        <v>3921.1875</v>
      </c>
      <c r="AW584" s="21">
        <f t="shared" si="79"/>
        <v>0.16169845360824742</v>
      </c>
    </row>
    <row r="585" spans="1:49" x14ac:dyDescent="0.25">
      <c r="A585" t="s">
        <v>38</v>
      </c>
      <c r="B585" t="s">
        <v>39</v>
      </c>
      <c r="C585">
        <v>108273</v>
      </c>
      <c r="D585">
        <v>2015</v>
      </c>
      <c r="E585" t="s">
        <v>286</v>
      </c>
      <c r="F585" t="s">
        <v>653</v>
      </c>
      <c r="G585" t="s">
        <v>288</v>
      </c>
      <c r="H585" t="s">
        <v>907</v>
      </c>
      <c r="I585">
        <v>6</v>
      </c>
      <c r="J585" t="s">
        <v>217</v>
      </c>
      <c r="K585">
        <v>4</v>
      </c>
      <c r="L585" t="s">
        <v>44</v>
      </c>
      <c r="M585">
        <v>3.5</v>
      </c>
      <c r="N585" t="s">
        <v>45</v>
      </c>
      <c r="O585" t="s">
        <v>46</v>
      </c>
      <c r="Q585" t="s">
        <v>47</v>
      </c>
      <c r="R585" t="s">
        <v>123</v>
      </c>
      <c r="S585" t="s">
        <v>49</v>
      </c>
      <c r="U585" t="s">
        <v>50</v>
      </c>
      <c r="V585" t="s">
        <v>76</v>
      </c>
      <c r="W585" t="s">
        <v>290</v>
      </c>
      <c r="X585" t="s">
        <v>125</v>
      </c>
      <c r="Y585" t="s">
        <v>54</v>
      </c>
      <c r="AA585">
        <v>0</v>
      </c>
      <c r="AB585" t="s">
        <v>79</v>
      </c>
      <c r="AC585" t="s">
        <v>127</v>
      </c>
      <c r="AD585">
        <v>36</v>
      </c>
      <c r="AE585">
        <v>9</v>
      </c>
      <c r="AF585">
        <v>3</v>
      </c>
      <c r="AG585">
        <v>2025</v>
      </c>
      <c r="AH585" s="2">
        <v>11750</v>
      </c>
      <c r="AI585" s="2">
        <v>13118.7939453125</v>
      </c>
      <c r="AJ585" s="2">
        <f t="shared" si="72"/>
        <v>1368.7939453125</v>
      </c>
      <c r="AK585" s="6">
        <f t="shared" si="73"/>
        <v>0.1164931017287234</v>
      </c>
      <c r="AL585" s="12">
        <v>11750</v>
      </c>
      <c r="AM585" s="12">
        <v>9730.7494073917733</v>
      </c>
      <c r="AN585" s="12">
        <f t="shared" si="74"/>
        <v>2019.2505926082267</v>
      </c>
      <c r="AO585" s="13">
        <f t="shared" si="75"/>
        <v>0.17185111426452993</v>
      </c>
      <c r="AP585" s="16">
        <v>11750</v>
      </c>
      <c r="AQ585" s="16">
        <v>8087.1463727275122</v>
      </c>
      <c r="AR585" s="16">
        <f t="shared" si="76"/>
        <v>3662.8536272724878</v>
      </c>
      <c r="AS585" s="17">
        <f t="shared" si="77"/>
        <v>0.31173222359765851</v>
      </c>
      <c r="AT585" s="20">
        <v>11750</v>
      </c>
      <c r="AU585" s="20">
        <v>12525.5068359375</v>
      </c>
      <c r="AV585" s="20">
        <f t="shared" si="78"/>
        <v>775.5068359375</v>
      </c>
      <c r="AW585" s="21">
        <f t="shared" si="79"/>
        <v>6.6000581781914897E-2</v>
      </c>
    </row>
    <row r="586" spans="1:49" x14ac:dyDescent="0.25">
      <c r="A586" t="s">
        <v>38</v>
      </c>
      <c r="B586" t="s">
        <v>39</v>
      </c>
      <c r="C586">
        <v>163386</v>
      </c>
      <c r="D586">
        <v>2014</v>
      </c>
      <c r="E586" t="s">
        <v>69</v>
      </c>
      <c r="F586" t="s">
        <v>873</v>
      </c>
      <c r="G586" t="s">
        <v>285</v>
      </c>
      <c r="I586">
        <v>6</v>
      </c>
      <c r="J586" t="s">
        <v>72</v>
      </c>
      <c r="K586">
        <v>4</v>
      </c>
      <c r="L586" t="s">
        <v>44</v>
      </c>
      <c r="M586">
        <v>3.5</v>
      </c>
      <c r="N586" t="s">
        <v>45</v>
      </c>
      <c r="O586" t="s">
        <v>46</v>
      </c>
      <c r="Q586" t="s">
        <v>62</v>
      </c>
      <c r="R586" t="s">
        <v>63</v>
      </c>
      <c r="S586" t="s">
        <v>101</v>
      </c>
      <c r="T586">
        <v>285</v>
      </c>
      <c r="U586" t="s">
        <v>50</v>
      </c>
      <c r="V586" t="s">
        <v>76</v>
      </c>
      <c r="X586" t="s">
        <v>141</v>
      </c>
      <c r="Y586" t="s">
        <v>103</v>
      </c>
      <c r="AA586">
        <v>0</v>
      </c>
      <c r="AB586" t="s">
        <v>79</v>
      </c>
      <c r="AC586" t="s">
        <v>87</v>
      </c>
      <c r="AD586">
        <v>36</v>
      </c>
      <c r="AE586">
        <v>9</v>
      </c>
      <c r="AF586">
        <v>3</v>
      </c>
      <c r="AG586">
        <v>2025</v>
      </c>
      <c r="AH586" s="2">
        <v>3200</v>
      </c>
      <c r="AI586" s="2">
        <v>3033.906005859375</v>
      </c>
      <c r="AJ586" s="2">
        <f t="shared" si="72"/>
        <v>166.093994140625</v>
      </c>
      <c r="AK586" s="6">
        <f t="shared" si="73"/>
        <v>5.1904373168945313E-2</v>
      </c>
      <c r="AL586" s="12">
        <v>3200</v>
      </c>
      <c r="AM586" s="12">
        <v>3163.285743918917</v>
      </c>
      <c r="AN586" s="12">
        <f t="shared" si="74"/>
        <v>36.714256081083022</v>
      </c>
      <c r="AO586" s="13">
        <f t="shared" si="75"/>
        <v>1.1473205025338445E-2</v>
      </c>
      <c r="AP586" s="16">
        <v>3200</v>
      </c>
      <c r="AQ586" s="16">
        <v>2818.6502735933282</v>
      </c>
      <c r="AR586" s="16">
        <f t="shared" si="76"/>
        <v>381.34972640667183</v>
      </c>
      <c r="AS586" s="17">
        <f t="shared" si="77"/>
        <v>0.11917178950208494</v>
      </c>
      <c r="AT586" s="20">
        <v>3200</v>
      </c>
      <c r="AU586" s="20">
        <v>3101.263916015625</v>
      </c>
      <c r="AV586" s="20">
        <f t="shared" si="78"/>
        <v>98.736083984375</v>
      </c>
      <c r="AW586" s="21">
        <f t="shared" si="79"/>
        <v>3.0855026245117188E-2</v>
      </c>
    </row>
    <row r="587" spans="1:49" x14ac:dyDescent="0.25">
      <c r="A587" t="s">
        <v>38</v>
      </c>
      <c r="B587" t="s">
        <v>96</v>
      </c>
      <c r="C587">
        <v>74460</v>
      </c>
      <c r="D587">
        <v>2021</v>
      </c>
      <c r="E587" t="s">
        <v>142</v>
      </c>
      <c r="F587" t="s">
        <v>633</v>
      </c>
      <c r="G587" t="s">
        <v>820</v>
      </c>
      <c r="I587">
        <v>4</v>
      </c>
      <c r="J587" t="s">
        <v>72</v>
      </c>
      <c r="K587">
        <v>4</v>
      </c>
      <c r="L587" t="s">
        <v>44</v>
      </c>
      <c r="M587">
        <v>2</v>
      </c>
      <c r="N587" t="s">
        <v>91</v>
      </c>
      <c r="Q587" t="s">
        <v>62</v>
      </c>
      <c r="R587" t="s">
        <v>63</v>
      </c>
      <c r="S587" t="s">
        <v>93</v>
      </c>
      <c r="T587">
        <v>270</v>
      </c>
      <c r="U587" t="s">
        <v>50</v>
      </c>
      <c r="V587" t="s">
        <v>51</v>
      </c>
      <c r="X587" t="s">
        <v>141</v>
      </c>
      <c r="Y587" t="s">
        <v>78</v>
      </c>
      <c r="AA587">
        <v>0</v>
      </c>
      <c r="AB587" t="s">
        <v>79</v>
      </c>
      <c r="AC587" t="s">
        <v>87</v>
      </c>
      <c r="AD587">
        <v>36</v>
      </c>
      <c r="AE587">
        <v>9</v>
      </c>
      <c r="AF587">
        <v>3</v>
      </c>
      <c r="AG587">
        <v>2025</v>
      </c>
      <c r="AH587" s="2">
        <v>25500</v>
      </c>
      <c r="AI587" s="2">
        <v>23598.171875</v>
      </c>
      <c r="AJ587" s="2">
        <f t="shared" si="72"/>
        <v>1901.828125</v>
      </c>
      <c r="AK587" s="6">
        <f t="shared" si="73"/>
        <v>7.4581495098039213E-2</v>
      </c>
      <c r="AL587" s="12">
        <v>25500</v>
      </c>
      <c r="AM587" s="12">
        <v>23616.320370073019</v>
      </c>
      <c r="AN587" s="12">
        <f t="shared" si="74"/>
        <v>1883.6796299269809</v>
      </c>
      <c r="AO587" s="13">
        <f t="shared" si="75"/>
        <v>7.386978940890121E-2</v>
      </c>
      <c r="AP587" s="16">
        <v>25500</v>
      </c>
      <c r="AQ587" s="16">
        <v>21691.655695307862</v>
      </c>
      <c r="AR587" s="16">
        <f t="shared" si="76"/>
        <v>3808.3443046921384</v>
      </c>
      <c r="AS587" s="17">
        <f t="shared" si="77"/>
        <v>0.14934683547812308</v>
      </c>
      <c r="AT587" s="20">
        <v>25500</v>
      </c>
      <c r="AU587" s="20">
        <v>23482.125</v>
      </c>
      <c r="AV587" s="20">
        <f t="shared" si="78"/>
        <v>2017.875</v>
      </c>
      <c r="AW587" s="21">
        <f t="shared" si="79"/>
        <v>7.9132352941176473E-2</v>
      </c>
    </row>
    <row r="588" spans="1:49" x14ac:dyDescent="0.25">
      <c r="A588" t="s">
        <v>128</v>
      </c>
      <c r="B588" t="s">
        <v>271</v>
      </c>
      <c r="C588">
        <v>141217</v>
      </c>
      <c r="D588">
        <v>2009</v>
      </c>
      <c r="E588" t="s">
        <v>69</v>
      </c>
      <c r="F588" t="s">
        <v>475</v>
      </c>
      <c r="H588" t="s">
        <v>259</v>
      </c>
      <c r="I588">
        <v>8</v>
      </c>
      <c r="J588" t="s">
        <v>178</v>
      </c>
      <c r="K588">
        <v>4</v>
      </c>
      <c r="L588" t="s">
        <v>44</v>
      </c>
      <c r="M588">
        <v>6.4</v>
      </c>
      <c r="N588" t="s">
        <v>91</v>
      </c>
      <c r="Q588" t="s">
        <v>74</v>
      </c>
      <c r="R588" t="s">
        <v>92</v>
      </c>
      <c r="S588" t="s">
        <v>93</v>
      </c>
      <c r="T588">
        <v>350</v>
      </c>
      <c r="U588" t="s">
        <v>229</v>
      </c>
      <c r="V588" t="s">
        <v>76</v>
      </c>
      <c r="X588" t="s">
        <v>230</v>
      </c>
      <c r="Y588" t="s">
        <v>78</v>
      </c>
      <c r="AA588">
        <v>0</v>
      </c>
      <c r="AB588" t="s">
        <v>79</v>
      </c>
      <c r="AC588" t="s">
        <v>95</v>
      </c>
      <c r="AD588">
        <v>36</v>
      </c>
      <c r="AE588">
        <v>9</v>
      </c>
      <c r="AF588">
        <v>3</v>
      </c>
      <c r="AG588">
        <v>2025</v>
      </c>
      <c r="AH588" s="2">
        <v>14800</v>
      </c>
      <c r="AI588" s="2">
        <v>10636.4765625</v>
      </c>
      <c r="AJ588" s="2">
        <f t="shared" si="72"/>
        <v>4163.5234375</v>
      </c>
      <c r="AK588" s="6">
        <f t="shared" si="73"/>
        <v>0.28131915118243245</v>
      </c>
      <c r="AL588" s="12">
        <v>14800</v>
      </c>
      <c r="AM588" s="12">
        <v>8048.623782524297</v>
      </c>
      <c r="AN588" s="12">
        <f t="shared" si="74"/>
        <v>6751.376217475703</v>
      </c>
      <c r="AO588" s="13">
        <f t="shared" si="75"/>
        <v>0.45617406874835831</v>
      </c>
      <c r="AP588" s="16">
        <v>14800</v>
      </c>
      <c r="AQ588" s="16">
        <v>9752.757482203433</v>
      </c>
      <c r="AR588" s="16">
        <f t="shared" si="76"/>
        <v>5047.242517796567</v>
      </c>
      <c r="AS588" s="17">
        <f t="shared" si="77"/>
        <v>0.34102989985111937</v>
      </c>
      <c r="AT588" s="20">
        <v>14800</v>
      </c>
      <c r="AU588" s="20">
        <v>10327.0966796875</v>
      </c>
      <c r="AV588" s="20">
        <f t="shared" si="78"/>
        <v>4472.9033203125</v>
      </c>
      <c r="AW588" s="21">
        <f t="shared" si="79"/>
        <v>0.30222319731841218</v>
      </c>
    </row>
    <row r="589" spans="1:49" x14ac:dyDescent="0.25">
      <c r="A589" t="s">
        <v>38</v>
      </c>
      <c r="B589" t="s">
        <v>68</v>
      </c>
      <c r="C589">
        <v>155864</v>
      </c>
      <c r="D589">
        <v>2018</v>
      </c>
      <c r="E589" t="s">
        <v>97</v>
      </c>
      <c r="F589" t="s">
        <v>159</v>
      </c>
      <c r="G589" t="s">
        <v>432</v>
      </c>
      <c r="H589" t="s">
        <v>89</v>
      </c>
      <c r="I589">
        <v>8</v>
      </c>
      <c r="J589" t="s">
        <v>122</v>
      </c>
      <c r="K589">
        <v>4</v>
      </c>
      <c r="L589" t="s">
        <v>44</v>
      </c>
      <c r="M589">
        <v>5.3</v>
      </c>
      <c r="N589" t="s">
        <v>91</v>
      </c>
      <c r="O589" t="s">
        <v>46</v>
      </c>
      <c r="P589">
        <v>3</v>
      </c>
      <c r="Q589" t="s">
        <v>74</v>
      </c>
      <c r="R589" t="s">
        <v>92</v>
      </c>
      <c r="S589" t="s">
        <v>93</v>
      </c>
      <c r="U589" t="s">
        <v>50</v>
      </c>
      <c r="W589" t="s">
        <v>424</v>
      </c>
      <c r="X589" t="s">
        <v>108</v>
      </c>
      <c r="Y589" t="s">
        <v>126</v>
      </c>
      <c r="AA589">
        <v>0</v>
      </c>
      <c r="AB589" t="s">
        <v>79</v>
      </c>
      <c r="AC589" t="s">
        <v>95</v>
      </c>
      <c r="AD589">
        <v>36</v>
      </c>
      <c r="AE589">
        <v>9</v>
      </c>
      <c r="AF589">
        <v>3</v>
      </c>
      <c r="AG589">
        <v>2025</v>
      </c>
      <c r="AH589" s="2">
        <v>18000</v>
      </c>
      <c r="AI589" s="2">
        <v>14719.7939453125</v>
      </c>
      <c r="AJ589" s="2">
        <f t="shared" si="72"/>
        <v>3280.2060546875</v>
      </c>
      <c r="AK589" s="6">
        <f t="shared" si="73"/>
        <v>0.1822336697048611</v>
      </c>
      <c r="AL589" s="12">
        <v>18000</v>
      </c>
      <c r="AM589" s="12">
        <v>15757.50485704225</v>
      </c>
      <c r="AN589" s="12">
        <f t="shared" si="74"/>
        <v>2242.4951429577504</v>
      </c>
      <c r="AO589" s="13">
        <f t="shared" si="75"/>
        <v>0.1245830634976528</v>
      </c>
      <c r="AP589" s="16">
        <v>18000</v>
      </c>
      <c r="AQ589" s="16">
        <v>13973.08611428855</v>
      </c>
      <c r="AR589" s="16">
        <f t="shared" si="76"/>
        <v>4026.9138857114503</v>
      </c>
      <c r="AS589" s="17">
        <f t="shared" si="77"/>
        <v>0.22371743809508057</v>
      </c>
      <c r="AT589" s="20">
        <v>18000</v>
      </c>
      <c r="AU589" s="20">
        <v>14948.91796875</v>
      </c>
      <c r="AV589" s="20">
        <f t="shared" si="78"/>
        <v>3051.08203125</v>
      </c>
      <c r="AW589" s="21">
        <f t="shared" si="79"/>
        <v>0.16950455729166666</v>
      </c>
    </row>
    <row r="590" spans="1:49" x14ac:dyDescent="0.25">
      <c r="A590" t="s">
        <v>128</v>
      </c>
      <c r="B590" t="s">
        <v>129</v>
      </c>
      <c r="C590">
        <v>133167</v>
      </c>
      <c r="D590">
        <v>2015</v>
      </c>
      <c r="E590" t="s">
        <v>213</v>
      </c>
      <c r="F590" t="s">
        <v>908</v>
      </c>
      <c r="I590">
        <v>6</v>
      </c>
      <c r="J590" t="s">
        <v>122</v>
      </c>
      <c r="K590">
        <v>4</v>
      </c>
      <c r="L590" t="s">
        <v>44</v>
      </c>
      <c r="M590">
        <v>3.5</v>
      </c>
      <c r="N590" t="s">
        <v>45</v>
      </c>
      <c r="O590" t="s">
        <v>46</v>
      </c>
      <c r="P590">
        <v>3</v>
      </c>
      <c r="Q590" t="s">
        <v>62</v>
      </c>
      <c r="R590" t="s">
        <v>148</v>
      </c>
      <c r="S590" t="s">
        <v>49</v>
      </c>
      <c r="U590" t="s">
        <v>50</v>
      </c>
      <c r="X590" t="s">
        <v>141</v>
      </c>
      <c r="Y590" t="s">
        <v>78</v>
      </c>
      <c r="AA590">
        <v>0</v>
      </c>
      <c r="AB590" t="s">
        <v>79</v>
      </c>
      <c r="AC590" t="s">
        <v>87</v>
      </c>
      <c r="AD590">
        <v>36</v>
      </c>
      <c r="AE590">
        <v>9</v>
      </c>
      <c r="AF590">
        <v>3</v>
      </c>
      <c r="AG590">
        <v>2025</v>
      </c>
      <c r="AH590" s="2">
        <v>3100</v>
      </c>
      <c r="AI590" s="2">
        <v>3463.28955078125</v>
      </c>
      <c r="AJ590" s="2">
        <f t="shared" si="72"/>
        <v>363.28955078125</v>
      </c>
      <c r="AK590" s="6">
        <f t="shared" si="73"/>
        <v>0.11719017767137097</v>
      </c>
      <c r="AL590" s="12">
        <v>3100</v>
      </c>
      <c r="AM590" s="12">
        <v>4003.2051746079019</v>
      </c>
      <c r="AN590" s="12">
        <f t="shared" si="74"/>
        <v>903.20517460790188</v>
      </c>
      <c r="AO590" s="13">
        <f t="shared" si="75"/>
        <v>0.29135650793803286</v>
      </c>
      <c r="AP590" s="16">
        <v>3100</v>
      </c>
      <c r="AQ590" s="16">
        <v>3757.759858080718</v>
      </c>
      <c r="AR590" s="16">
        <f t="shared" si="76"/>
        <v>657.759858080718</v>
      </c>
      <c r="AS590" s="17">
        <f t="shared" si="77"/>
        <v>0.21218059938087677</v>
      </c>
      <c r="AT590" s="20">
        <v>3100</v>
      </c>
      <c r="AU590" s="20">
        <v>3493.94140625</v>
      </c>
      <c r="AV590" s="20">
        <f t="shared" si="78"/>
        <v>393.94140625</v>
      </c>
      <c r="AW590" s="21">
        <f t="shared" si="79"/>
        <v>0.12707787298387097</v>
      </c>
    </row>
    <row r="591" spans="1:49" x14ac:dyDescent="0.25">
      <c r="A591" t="s">
        <v>128</v>
      </c>
      <c r="B591" t="s">
        <v>129</v>
      </c>
      <c r="C591">
        <v>184663</v>
      </c>
      <c r="D591">
        <v>2013</v>
      </c>
      <c r="E591" t="s">
        <v>146</v>
      </c>
      <c r="F591" t="s">
        <v>302</v>
      </c>
      <c r="I591">
        <v>6</v>
      </c>
      <c r="J591" t="s">
        <v>135</v>
      </c>
      <c r="K591">
        <v>4</v>
      </c>
      <c r="L591" t="s">
        <v>44</v>
      </c>
      <c r="M591">
        <v>3.5</v>
      </c>
      <c r="N591" t="s">
        <v>44</v>
      </c>
      <c r="Q591" t="s">
        <v>62</v>
      </c>
      <c r="R591" t="s">
        <v>148</v>
      </c>
      <c r="U591" t="s">
        <v>50</v>
      </c>
      <c r="X591" t="s">
        <v>141</v>
      </c>
      <c r="Y591" t="s">
        <v>78</v>
      </c>
      <c r="AA591">
        <v>0</v>
      </c>
      <c r="AB591" t="s">
        <v>79</v>
      </c>
      <c r="AC591" t="s">
        <v>87</v>
      </c>
      <c r="AD591">
        <v>36</v>
      </c>
      <c r="AE591">
        <v>9</v>
      </c>
      <c r="AF591">
        <v>3</v>
      </c>
      <c r="AG591">
        <v>2025</v>
      </c>
      <c r="AH591" s="2">
        <v>1000</v>
      </c>
      <c r="AI591" s="2">
        <v>1292.238159179688</v>
      </c>
      <c r="AJ591" s="2">
        <f t="shared" si="72"/>
        <v>292.23815917968795</v>
      </c>
      <c r="AK591" s="6">
        <f t="shared" si="73"/>
        <v>0.29223815917968793</v>
      </c>
      <c r="AL591" s="12">
        <v>1000</v>
      </c>
      <c r="AM591" s="12">
        <v>1897.1560594346381</v>
      </c>
      <c r="AN591" s="12">
        <f t="shared" si="74"/>
        <v>897.15605943463811</v>
      </c>
      <c r="AO591" s="13">
        <f t="shared" si="75"/>
        <v>0.89715605943463816</v>
      </c>
      <c r="AP591" s="16">
        <v>1000</v>
      </c>
      <c r="AQ591" s="16">
        <v>1429.0102699436991</v>
      </c>
      <c r="AR591" s="16">
        <f t="shared" si="76"/>
        <v>429.01026994369909</v>
      </c>
      <c r="AS591" s="17">
        <f t="shared" si="77"/>
        <v>0.42901026994369906</v>
      </c>
      <c r="AT591" s="20">
        <v>1000</v>
      </c>
      <c r="AU591" s="20">
        <v>1295.1533203125</v>
      </c>
      <c r="AV591" s="20">
        <f t="shared" si="78"/>
        <v>295.1533203125</v>
      </c>
      <c r="AW591" s="21">
        <f t="shared" si="79"/>
        <v>0.29515332031250002</v>
      </c>
    </row>
    <row r="592" spans="1:49" x14ac:dyDescent="0.25">
      <c r="A592" t="s">
        <v>38</v>
      </c>
      <c r="B592" t="s">
        <v>96</v>
      </c>
      <c r="C592">
        <v>158273</v>
      </c>
      <c r="D592">
        <v>2010</v>
      </c>
      <c r="E592" t="s">
        <v>146</v>
      </c>
      <c r="F592" t="s">
        <v>909</v>
      </c>
      <c r="I592">
        <v>6</v>
      </c>
      <c r="J592" t="s">
        <v>43</v>
      </c>
      <c r="K592">
        <v>4</v>
      </c>
      <c r="L592" t="s">
        <v>44</v>
      </c>
      <c r="M592">
        <v>4</v>
      </c>
      <c r="N592" t="s">
        <v>73</v>
      </c>
      <c r="O592" t="s">
        <v>46</v>
      </c>
      <c r="P592">
        <v>2</v>
      </c>
      <c r="Q592" t="s">
        <v>62</v>
      </c>
      <c r="R592" t="s">
        <v>63</v>
      </c>
      <c r="S592" t="s">
        <v>49</v>
      </c>
      <c r="U592" t="s">
        <v>50</v>
      </c>
      <c r="X592" t="s">
        <v>141</v>
      </c>
      <c r="Y592" t="s">
        <v>78</v>
      </c>
      <c r="AA592">
        <v>0</v>
      </c>
      <c r="AB592" t="s">
        <v>79</v>
      </c>
      <c r="AC592" t="s">
        <v>87</v>
      </c>
      <c r="AD592">
        <v>36</v>
      </c>
      <c r="AE592">
        <v>9</v>
      </c>
      <c r="AF592">
        <v>3</v>
      </c>
      <c r="AG592">
        <v>2025</v>
      </c>
      <c r="AH592" s="2">
        <v>1000</v>
      </c>
      <c r="AI592" s="2">
        <v>1507.3388671875</v>
      </c>
      <c r="AJ592" s="2">
        <f t="shared" si="72"/>
        <v>507.3388671875</v>
      </c>
      <c r="AK592" s="6">
        <f t="shared" si="73"/>
        <v>0.50733886718749999</v>
      </c>
      <c r="AL592" s="12">
        <v>1000</v>
      </c>
      <c r="AM592" s="12">
        <v>1407.608888199564</v>
      </c>
      <c r="AN592" s="12">
        <f t="shared" si="74"/>
        <v>407.60888819956403</v>
      </c>
      <c r="AO592" s="13">
        <f t="shared" si="75"/>
        <v>0.40760888819956403</v>
      </c>
      <c r="AP592" s="16">
        <v>1000</v>
      </c>
      <c r="AQ592" s="16">
        <v>1361.1605687088561</v>
      </c>
      <c r="AR592" s="16">
        <f t="shared" si="76"/>
        <v>361.16056870885609</v>
      </c>
      <c r="AS592" s="17">
        <f t="shared" si="77"/>
        <v>0.3611605687088561</v>
      </c>
      <c r="AT592" s="20">
        <v>1000</v>
      </c>
      <c r="AU592" s="20">
        <v>1472.963134765625</v>
      </c>
      <c r="AV592" s="20">
        <f t="shared" si="78"/>
        <v>472.963134765625</v>
      </c>
      <c r="AW592" s="21">
        <f t="shared" si="79"/>
        <v>0.47296313476562502</v>
      </c>
    </row>
    <row r="593" spans="1:49" x14ac:dyDescent="0.25">
      <c r="A593" t="s">
        <v>114</v>
      </c>
      <c r="B593" t="s">
        <v>115</v>
      </c>
      <c r="C593">
        <v>186660</v>
      </c>
      <c r="D593">
        <v>2010</v>
      </c>
      <c r="E593" t="s">
        <v>142</v>
      </c>
      <c r="F593" t="s">
        <v>649</v>
      </c>
      <c r="G593" t="s">
        <v>112</v>
      </c>
      <c r="H593" t="s">
        <v>775</v>
      </c>
      <c r="I593">
        <v>4</v>
      </c>
      <c r="J593" t="s">
        <v>61</v>
      </c>
      <c r="K593">
        <v>4</v>
      </c>
      <c r="L593" t="s">
        <v>44</v>
      </c>
      <c r="M593">
        <v>2.4</v>
      </c>
      <c r="N593" t="s">
        <v>91</v>
      </c>
      <c r="O593" t="s">
        <v>46</v>
      </c>
      <c r="P593">
        <v>1</v>
      </c>
      <c r="Q593" t="s">
        <v>62</v>
      </c>
      <c r="R593" t="s">
        <v>63</v>
      </c>
      <c r="S593" t="s">
        <v>93</v>
      </c>
      <c r="U593" t="s">
        <v>50</v>
      </c>
      <c r="X593" t="s">
        <v>65</v>
      </c>
      <c r="Y593" t="s">
        <v>78</v>
      </c>
      <c r="AA593">
        <v>0</v>
      </c>
      <c r="AB593" t="s">
        <v>79</v>
      </c>
      <c r="AC593" t="s">
        <v>87</v>
      </c>
      <c r="AD593">
        <v>36</v>
      </c>
      <c r="AE593">
        <v>9</v>
      </c>
      <c r="AF593">
        <v>3</v>
      </c>
      <c r="AG593">
        <v>2025</v>
      </c>
      <c r="AH593" s="2">
        <v>500</v>
      </c>
      <c r="AI593" s="2">
        <v>583.73797607421875</v>
      </c>
      <c r="AJ593" s="2">
        <f t="shared" si="72"/>
        <v>83.73797607421875</v>
      </c>
      <c r="AK593" s="6">
        <f t="shared" si="73"/>
        <v>0.1674759521484375</v>
      </c>
      <c r="AL593" s="12">
        <v>500</v>
      </c>
      <c r="AM593" s="12">
        <v>631.79177637575515</v>
      </c>
      <c r="AN593" s="12">
        <f t="shared" si="74"/>
        <v>131.79177637575515</v>
      </c>
      <c r="AO593" s="13">
        <f t="shared" si="75"/>
        <v>0.2635835527515103</v>
      </c>
      <c r="AP593" s="16">
        <v>500</v>
      </c>
      <c r="AQ593" s="16">
        <v>499.06717988470058</v>
      </c>
      <c r="AR593" s="16">
        <f t="shared" si="76"/>
        <v>0.9328201152994211</v>
      </c>
      <c r="AS593" s="17">
        <f t="shared" si="77"/>
        <v>1.8656402305988421E-3</v>
      </c>
      <c r="AT593" s="20">
        <v>500</v>
      </c>
      <c r="AU593" s="20">
        <v>590.930908203125</v>
      </c>
      <c r="AV593" s="20">
        <f t="shared" si="78"/>
        <v>90.930908203125</v>
      </c>
      <c r="AW593" s="21">
        <f t="shared" si="79"/>
        <v>0.18186181640624999</v>
      </c>
    </row>
    <row r="594" spans="1:49" x14ac:dyDescent="0.25">
      <c r="A594" t="s">
        <v>38</v>
      </c>
      <c r="B594" t="s">
        <v>110</v>
      </c>
      <c r="C594">
        <v>68605</v>
      </c>
      <c r="D594">
        <v>2019</v>
      </c>
      <c r="E594" t="s">
        <v>146</v>
      </c>
      <c r="F594" t="s">
        <v>279</v>
      </c>
      <c r="I594">
        <v>4</v>
      </c>
      <c r="J594" t="s">
        <v>135</v>
      </c>
      <c r="K594">
        <v>4</v>
      </c>
      <c r="L594" t="s">
        <v>44</v>
      </c>
      <c r="M594">
        <v>1.8</v>
      </c>
      <c r="N594" t="s">
        <v>45</v>
      </c>
      <c r="O594" t="s">
        <v>46</v>
      </c>
      <c r="P594">
        <v>2</v>
      </c>
      <c r="Q594" t="s">
        <v>47</v>
      </c>
      <c r="R594" t="s">
        <v>123</v>
      </c>
      <c r="S594" t="s">
        <v>49</v>
      </c>
      <c r="U594" t="s">
        <v>50</v>
      </c>
      <c r="X594" t="s">
        <v>125</v>
      </c>
      <c r="Y594" t="s">
        <v>126</v>
      </c>
      <c r="AA594">
        <v>0</v>
      </c>
      <c r="AB594" t="s">
        <v>79</v>
      </c>
      <c r="AC594" t="s">
        <v>127</v>
      </c>
      <c r="AD594">
        <v>36</v>
      </c>
      <c r="AE594">
        <v>9</v>
      </c>
      <c r="AF594">
        <v>3</v>
      </c>
      <c r="AG594">
        <v>2025</v>
      </c>
      <c r="AH594" s="2">
        <v>3400</v>
      </c>
      <c r="AI594" s="2">
        <v>4516.61328125</v>
      </c>
      <c r="AJ594" s="2">
        <f t="shared" si="72"/>
        <v>1116.61328125</v>
      </c>
      <c r="AK594" s="6">
        <f t="shared" si="73"/>
        <v>0.32841567095588237</v>
      </c>
      <c r="AL594" s="12">
        <v>3400</v>
      </c>
      <c r="AM594" s="12">
        <v>5557.1012006601422</v>
      </c>
      <c r="AN594" s="12">
        <f t="shared" si="74"/>
        <v>2157.1012006601422</v>
      </c>
      <c r="AO594" s="13">
        <f t="shared" si="75"/>
        <v>0.63444152960592415</v>
      </c>
      <c r="AP594" s="16">
        <v>3400</v>
      </c>
      <c r="AQ594" s="16">
        <v>4227.693310325787</v>
      </c>
      <c r="AR594" s="16">
        <f t="shared" si="76"/>
        <v>827.69331032578702</v>
      </c>
      <c r="AS594" s="17">
        <f t="shared" si="77"/>
        <v>0.24343920891934911</v>
      </c>
      <c r="AT594" s="20">
        <v>3400</v>
      </c>
      <c r="AU594" s="20">
        <v>4647.30419921875</v>
      </c>
      <c r="AV594" s="20">
        <f t="shared" si="78"/>
        <v>1247.30419921875</v>
      </c>
      <c r="AW594" s="21">
        <f t="shared" si="79"/>
        <v>0.36685417624080885</v>
      </c>
    </row>
    <row r="595" spans="1:49" x14ac:dyDescent="0.25">
      <c r="A595" t="s">
        <v>38</v>
      </c>
      <c r="B595" t="s">
        <v>96</v>
      </c>
      <c r="C595">
        <v>50162</v>
      </c>
      <c r="D595">
        <v>2022</v>
      </c>
      <c r="E595" t="s">
        <v>97</v>
      </c>
      <c r="F595" t="s">
        <v>159</v>
      </c>
      <c r="G595" t="s">
        <v>730</v>
      </c>
      <c r="H595" t="s">
        <v>89</v>
      </c>
      <c r="I595">
        <v>8</v>
      </c>
      <c r="J595" t="s">
        <v>72</v>
      </c>
      <c r="K595">
        <v>4</v>
      </c>
      <c r="L595" t="s">
        <v>44</v>
      </c>
      <c r="M595">
        <v>6.2</v>
      </c>
      <c r="N595" t="s">
        <v>91</v>
      </c>
      <c r="O595" t="s">
        <v>46</v>
      </c>
      <c r="Q595" t="s">
        <v>74</v>
      </c>
      <c r="R595" t="s">
        <v>92</v>
      </c>
      <c r="S595" t="s">
        <v>93</v>
      </c>
      <c r="U595" t="s">
        <v>50</v>
      </c>
      <c r="V595" t="s">
        <v>76</v>
      </c>
      <c r="W595" t="s">
        <v>910</v>
      </c>
      <c r="X595" t="s">
        <v>108</v>
      </c>
      <c r="Y595" t="s">
        <v>126</v>
      </c>
      <c r="AA595">
        <v>0</v>
      </c>
      <c r="AB595" t="s">
        <v>79</v>
      </c>
      <c r="AC595" t="s">
        <v>95</v>
      </c>
      <c r="AD595">
        <v>36</v>
      </c>
      <c r="AE595">
        <v>9</v>
      </c>
      <c r="AF595">
        <v>3</v>
      </c>
      <c r="AG595">
        <v>2025</v>
      </c>
      <c r="AH595" s="2">
        <v>45500</v>
      </c>
      <c r="AI595" s="2">
        <v>48493.03125</v>
      </c>
      <c r="AJ595" s="2">
        <f t="shared" si="72"/>
        <v>2993.03125</v>
      </c>
      <c r="AK595" s="6">
        <f t="shared" si="73"/>
        <v>6.5780906593406588E-2</v>
      </c>
      <c r="AL595" s="12">
        <v>45500</v>
      </c>
      <c r="AM595" s="12">
        <v>41763.154933885118</v>
      </c>
      <c r="AN595" s="12">
        <f t="shared" si="74"/>
        <v>3736.8450661148818</v>
      </c>
      <c r="AO595" s="13">
        <f t="shared" si="75"/>
        <v>8.2128462991535867E-2</v>
      </c>
      <c r="AP595" s="16">
        <v>45500</v>
      </c>
      <c r="AQ595" s="16">
        <v>39768.42249175765</v>
      </c>
      <c r="AR595" s="16">
        <f t="shared" si="76"/>
        <v>5731.5775082423497</v>
      </c>
      <c r="AS595" s="17">
        <f t="shared" si="77"/>
        <v>0.12596873644488682</v>
      </c>
      <c r="AT595" s="20">
        <v>45500</v>
      </c>
      <c r="AU595" s="20">
        <v>48158.16015625</v>
      </c>
      <c r="AV595" s="20">
        <f t="shared" si="78"/>
        <v>2658.16015625</v>
      </c>
      <c r="AW595" s="21">
        <f t="shared" si="79"/>
        <v>5.8421102335164836E-2</v>
      </c>
    </row>
    <row r="596" spans="1:49" x14ac:dyDescent="0.25">
      <c r="A596" t="s">
        <v>128</v>
      </c>
      <c r="B596" t="s">
        <v>129</v>
      </c>
      <c r="C596">
        <v>80352</v>
      </c>
      <c r="D596">
        <v>2014</v>
      </c>
      <c r="E596" t="s">
        <v>40</v>
      </c>
      <c r="F596" t="s">
        <v>233</v>
      </c>
      <c r="G596" t="s">
        <v>234</v>
      </c>
      <c r="H596" t="s">
        <v>235</v>
      </c>
      <c r="I596">
        <v>4</v>
      </c>
      <c r="J596" t="s">
        <v>106</v>
      </c>
      <c r="K596">
        <v>4</v>
      </c>
      <c r="L596" t="s">
        <v>44</v>
      </c>
      <c r="M596">
        <v>2.5</v>
      </c>
      <c r="N596" t="s">
        <v>45</v>
      </c>
      <c r="Q596" t="s">
        <v>62</v>
      </c>
      <c r="R596" t="s">
        <v>63</v>
      </c>
      <c r="S596" t="s">
        <v>49</v>
      </c>
      <c r="T596">
        <v>176</v>
      </c>
      <c r="U596" t="s">
        <v>50</v>
      </c>
      <c r="V596" t="s">
        <v>51</v>
      </c>
      <c r="W596" t="s">
        <v>236</v>
      </c>
      <c r="X596" t="s">
        <v>65</v>
      </c>
      <c r="Y596" t="s">
        <v>103</v>
      </c>
      <c r="AA596">
        <v>0</v>
      </c>
      <c r="AB596" t="s">
        <v>79</v>
      </c>
      <c r="AC596" t="s">
        <v>87</v>
      </c>
      <c r="AD596">
        <v>36</v>
      </c>
      <c r="AE596">
        <v>9</v>
      </c>
      <c r="AF596">
        <v>3</v>
      </c>
      <c r="AG596">
        <v>2025</v>
      </c>
      <c r="AH596" s="2">
        <v>9800</v>
      </c>
      <c r="AI596" s="2">
        <v>6967.90625</v>
      </c>
      <c r="AJ596" s="2">
        <f t="shared" si="72"/>
        <v>2832.09375</v>
      </c>
      <c r="AK596" s="6">
        <f t="shared" si="73"/>
        <v>0.28898915816326531</v>
      </c>
      <c r="AL596" s="12">
        <v>9800</v>
      </c>
      <c r="AM596" s="12">
        <v>7289.2546589497788</v>
      </c>
      <c r="AN596" s="12">
        <f t="shared" si="74"/>
        <v>2510.7453410502212</v>
      </c>
      <c r="AO596" s="13">
        <f t="shared" si="75"/>
        <v>0.25619850418879808</v>
      </c>
      <c r="AP596" s="16">
        <v>9800</v>
      </c>
      <c r="AQ596" s="16">
        <v>7156.0052711913258</v>
      </c>
      <c r="AR596" s="16">
        <f t="shared" si="76"/>
        <v>2643.9947288086742</v>
      </c>
      <c r="AS596" s="17">
        <f t="shared" si="77"/>
        <v>0.26979538049068102</v>
      </c>
      <c r="AT596" s="20">
        <v>9800</v>
      </c>
      <c r="AU596" s="20">
        <v>7100.3017578125</v>
      </c>
      <c r="AV596" s="20">
        <f t="shared" si="78"/>
        <v>2699.6982421875</v>
      </c>
      <c r="AW596" s="21">
        <f t="shared" si="79"/>
        <v>0.27547941246811225</v>
      </c>
    </row>
    <row r="597" spans="1:49" x14ac:dyDescent="0.25">
      <c r="A597" t="s">
        <v>114</v>
      </c>
      <c r="B597" t="s">
        <v>115</v>
      </c>
      <c r="C597">
        <v>172878</v>
      </c>
      <c r="D597">
        <v>2014</v>
      </c>
      <c r="E597" t="s">
        <v>166</v>
      </c>
      <c r="F597" t="s">
        <v>223</v>
      </c>
      <c r="G597" t="s">
        <v>248</v>
      </c>
      <c r="I597">
        <v>6</v>
      </c>
      <c r="J597" t="s">
        <v>122</v>
      </c>
      <c r="K597">
        <v>4</v>
      </c>
      <c r="L597" t="s">
        <v>44</v>
      </c>
      <c r="M597">
        <v>3.5</v>
      </c>
      <c r="N597" t="s">
        <v>45</v>
      </c>
      <c r="O597" t="s">
        <v>46</v>
      </c>
      <c r="Q597" t="s">
        <v>62</v>
      </c>
      <c r="R597" t="s">
        <v>225</v>
      </c>
      <c r="T597">
        <v>248</v>
      </c>
      <c r="U597" t="s">
        <v>50</v>
      </c>
      <c r="V597" t="s">
        <v>76</v>
      </c>
      <c r="W597" t="s">
        <v>226</v>
      </c>
      <c r="X597" t="s">
        <v>94</v>
      </c>
      <c r="Y597" t="s">
        <v>78</v>
      </c>
      <c r="AA597">
        <v>0</v>
      </c>
      <c r="AB597" t="s">
        <v>79</v>
      </c>
      <c r="AC597" t="s">
        <v>225</v>
      </c>
      <c r="AD597">
        <v>36</v>
      </c>
      <c r="AE597">
        <v>9</v>
      </c>
      <c r="AF597">
        <v>3</v>
      </c>
      <c r="AG597">
        <v>2025</v>
      </c>
      <c r="AH597" s="2">
        <v>4400</v>
      </c>
      <c r="AI597" s="2">
        <v>4545.6708984375</v>
      </c>
      <c r="AJ597" s="2">
        <f t="shared" si="72"/>
        <v>145.6708984375</v>
      </c>
      <c r="AK597" s="6">
        <f t="shared" si="73"/>
        <v>3.3107022372159088E-2</v>
      </c>
      <c r="AL597" s="12">
        <v>4400</v>
      </c>
      <c r="AM597" s="12">
        <v>4371.4302424011767</v>
      </c>
      <c r="AN597" s="12">
        <f t="shared" si="74"/>
        <v>28.569757598823344</v>
      </c>
      <c r="AO597" s="13">
        <f t="shared" si="75"/>
        <v>6.493126727005305E-3</v>
      </c>
      <c r="AP597" s="16">
        <v>4400</v>
      </c>
      <c r="AQ597" s="16">
        <v>2744.227126136851</v>
      </c>
      <c r="AR597" s="16">
        <f t="shared" si="76"/>
        <v>1655.772873863149</v>
      </c>
      <c r="AS597" s="17">
        <f t="shared" si="77"/>
        <v>0.37631201678707932</v>
      </c>
      <c r="AT597" s="20">
        <v>4400</v>
      </c>
      <c r="AU597" s="20">
        <v>4616.619140625</v>
      </c>
      <c r="AV597" s="20">
        <f t="shared" si="78"/>
        <v>216.619140625</v>
      </c>
      <c r="AW597" s="21">
        <f t="shared" si="79"/>
        <v>4.9231622869318183E-2</v>
      </c>
    </row>
    <row r="598" spans="1:49" x14ac:dyDescent="0.25">
      <c r="A598" t="s">
        <v>38</v>
      </c>
      <c r="B598" t="s">
        <v>370</v>
      </c>
      <c r="C598">
        <v>40980</v>
      </c>
      <c r="D598">
        <v>2024</v>
      </c>
      <c r="E598" t="s">
        <v>162</v>
      </c>
      <c r="F598" t="s">
        <v>674</v>
      </c>
      <c r="G598" t="s">
        <v>285</v>
      </c>
      <c r="I598">
        <v>4</v>
      </c>
      <c r="J598" t="s">
        <v>43</v>
      </c>
      <c r="K598">
        <v>4</v>
      </c>
      <c r="L598" t="s">
        <v>44</v>
      </c>
      <c r="M598">
        <v>2.5</v>
      </c>
      <c r="N598" t="s">
        <v>44</v>
      </c>
      <c r="O598" t="s">
        <v>46</v>
      </c>
      <c r="P598">
        <v>4</v>
      </c>
      <c r="Q598" t="s">
        <v>62</v>
      </c>
      <c r="R598" t="s">
        <v>63</v>
      </c>
      <c r="S598" t="s">
        <v>93</v>
      </c>
      <c r="T598">
        <v>187.6</v>
      </c>
      <c r="U598" t="s">
        <v>50</v>
      </c>
      <c r="W598" t="s">
        <v>911</v>
      </c>
      <c r="X598" t="s">
        <v>65</v>
      </c>
      <c r="Y598" t="s">
        <v>78</v>
      </c>
      <c r="AA598">
        <v>0</v>
      </c>
      <c r="AB598" t="s">
        <v>79</v>
      </c>
      <c r="AC598" t="s">
        <v>87</v>
      </c>
      <c r="AD598">
        <v>36</v>
      </c>
      <c r="AE598">
        <v>9</v>
      </c>
      <c r="AF598">
        <v>3</v>
      </c>
      <c r="AG598">
        <v>2025</v>
      </c>
      <c r="AH598" s="2">
        <v>20000</v>
      </c>
      <c r="AI598" s="2">
        <v>21053.935546875</v>
      </c>
      <c r="AJ598" s="2">
        <f t="shared" si="72"/>
        <v>1053.935546875</v>
      </c>
      <c r="AK598" s="6">
        <f t="shared" si="73"/>
        <v>5.2696777343750001E-2</v>
      </c>
      <c r="AL598" s="12">
        <v>20000</v>
      </c>
      <c r="AM598" s="12">
        <v>24708.726470414571</v>
      </c>
      <c r="AN598" s="12">
        <f t="shared" si="74"/>
        <v>4708.7264704145709</v>
      </c>
      <c r="AO598" s="13">
        <f t="shared" si="75"/>
        <v>0.23543632352072855</v>
      </c>
      <c r="AP598" s="16">
        <v>20000</v>
      </c>
      <c r="AQ598" s="16">
        <v>21640.96176635176</v>
      </c>
      <c r="AR598" s="16">
        <f t="shared" si="76"/>
        <v>1640.9617663517602</v>
      </c>
      <c r="AS598" s="17">
        <f t="shared" si="77"/>
        <v>8.2048088317588003E-2</v>
      </c>
      <c r="AT598" s="20">
        <v>20000</v>
      </c>
      <c r="AU598" s="20">
        <v>21760.900390625</v>
      </c>
      <c r="AV598" s="20">
        <f t="shared" si="78"/>
        <v>1760.900390625</v>
      </c>
      <c r="AW598" s="21">
        <f t="shared" si="79"/>
        <v>8.8045019531250004E-2</v>
      </c>
    </row>
    <row r="599" spans="1:49" x14ac:dyDescent="0.25">
      <c r="A599" t="s">
        <v>128</v>
      </c>
      <c r="B599" t="s">
        <v>129</v>
      </c>
      <c r="C599">
        <v>171980</v>
      </c>
      <c r="D599">
        <v>2016</v>
      </c>
      <c r="E599" t="s">
        <v>88</v>
      </c>
      <c r="F599" t="s">
        <v>89</v>
      </c>
      <c r="G599" t="s">
        <v>176</v>
      </c>
      <c r="H599" t="s">
        <v>313</v>
      </c>
      <c r="I599">
        <v>8</v>
      </c>
      <c r="J599" t="s">
        <v>61</v>
      </c>
      <c r="K599">
        <v>4</v>
      </c>
      <c r="L599" t="s">
        <v>44</v>
      </c>
      <c r="M599">
        <v>5.7</v>
      </c>
      <c r="N599" t="s">
        <v>91</v>
      </c>
      <c r="O599" t="s">
        <v>46</v>
      </c>
      <c r="P599">
        <v>2</v>
      </c>
      <c r="Q599" t="s">
        <v>74</v>
      </c>
      <c r="R599" t="s">
        <v>92</v>
      </c>
      <c r="S599" t="s">
        <v>93</v>
      </c>
      <c r="U599" t="s">
        <v>50</v>
      </c>
      <c r="X599" t="s">
        <v>94</v>
      </c>
      <c r="Y599" t="s">
        <v>78</v>
      </c>
      <c r="AA599">
        <v>0</v>
      </c>
      <c r="AB599" t="s">
        <v>79</v>
      </c>
      <c r="AC599" t="s">
        <v>95</v>
      </c>
      <c r="AD599">
        <v>36</v>
      </c>
      <c r="AE599">
        <v>9</v>
      </c>
      <c r="AF599">
        <v>3</v>
      </c>
      <c r="AG599">
        <v>2025</v>
      </c>
      <c r="AH599" s="2">
        <v>5200</v>
      </c>
      <c r="AI599" s="2">
        <v>5337.5498046875</v>
      </c>
      <c r="AJ599" s="2">
        <f t="shared" si="72"/>
        <v>137.5498046875</v>
      </c>
      <c r="AK599" s="6">
        <f t="shared" si="73"/>
        <v>2.6451885516826923E-2</v>
      </c>
      <c r="AL599" s="12">
        <v>5200</v>
      </c>
      <c r="AM599" s="12">
        <v>6552.6480617295774</v>
      </c>
      <c r="AN599" s="12">
        <f t="shared" si="74"/>
        <v>1352.6480617295774</v>
      </c>
      <c r="AO599" s="13">
        <f t="shared" si="75"/>
        <v>0.26012462725568797</v>
      </c>
      <c r="AP599" s="16">
        <v>5200</v>
      </c>
      <c r="AQ599" s="16">
        <v>6159.4372536042347</v>
      </c>
      <c r="AR599" s="16">
        <f t="shared" si="76"/>
        <v>959.43725360423468</v>
      </c>
      <c r="AS599" s="17">
        <f t="shared" si="77"/>
        <v>0.18450716415466051</v>
      </c>
      <c r="AT599" s="20">
        <v>5200</v>
      </c>
      <c r="AU599" s="20">
        <v>5463.8212890625</v>
      </c>
      <c r="AV599" s="20">
        <f t="shared" si="78"/>
        <v>263.8212890625</v>
      </c>
      <c r="AW599" s="21">
        <f t="shared" si="79"/>
        <v>5.0734863281250001E-2</v>
      </c>
    </row>
    <row r="600" spans="1:49" x14ac:dyDescent="0.25">
      <c r="A600" t="s">
        <v>128</v>
      </c>
      <c r="B600" t="s">
        <v>129</v>
      </c>
      <c r="C600">
        <v>129413</v>
      </c>
      <c r="D600">
        <v>2017</v>
      </c>
      <c r="E600" t="s">
        <v>132</v>
      </c>
      <c r="F600" t="s">
        <v>912</v>
      </c>
      <c r="G600" t="s">
        <v>913</v>
      </c>
      <c r="H600" t="s">
        <v>914</v>
      </c>
      <c r="I600">
        <v>4</v>
      </c>
      <c r="J600" t="s">
        <v>106</v>
      </c>
      <c r="K600">
        <v>4</v>
      </c>
      <c r="L600" t="s">
        <v>44</v>
      </c>
      <c r="M600">
        <v>2</v>
      </c>
      <c r="N600" t="s">
        <v>44</v>
      </c>
      <c r="O600" t="s">
        <v>100</v>
      </c>
      <c r="P600">
        <v>1</v>
      </c>
      <c r="Q600" t="s">
        <v>62</v>
      </c>
      <c r="R600" t="s">
        <v>63</v>
      </c>
      <c r="T600">
        <v>241</v>
      </c>
      <c r="U600" t="s">
        <v>50</v>
      </c>
      <c r="V600" t="s">
        <v>51</v>
      </c>
      <c r="W600" t="s">
        <v>915</v>
      </c>
      <c r="X600" t="s">
        <v>141</v>
      </c>
      <c r="Y600" t="s">
        <v>137</v>
      </c>
      <c r="AA600">
        <v>0</v>
      </c>
      <c r="AB600" t="s">
        <v>79</v>
      </c>
      <c r="AC600" t="s">
        <v>87</v>
      </c>
      <c r="AD600">
        <v>36</v>
      </c>
      <c r="AE600">
        <v>9</v>
      </c>
      <c r="AF600">
        <v>3</v>
      </c>
      <c r="AG600">
        <v>2025</v>
      </c>
      <c r="AH600" s="2">
        <v>6000</v>
      </c>
      <c r="AI600" s="2">
        <v>2545.744873046875</v>
      </c>
      <c r="AJ600" s="2">
        <f t="shared" si="72"/>
        <v>3454.255126953125</v>
      </c>
      <c r="AK600" s="6">
        <f t="shared" si="73"/>
        <v>0.57570918782552083</v>
      </c>
      <c r="AL600" s="12">
        <v>6000</v>
      </c>
      <c r="AM600" s="12">
        <v>2466.1438878019512</v>
      </c>
      <c r="AN600" s="12">
        <f t="shared" si="74"/>
        <v>3533.8561121980488</v>
      </c>
      <c r="AO600" s="13">
        <f t="shared" si="75"/>
        <v>0.58897601869967475</v>
      </c>
      <c r="AP600" s="16">
        <v>6000</v>
      </c>
      <c r="AQ600" s="16">
        <v>3597.977870416491</v>
      </c>
      <c r="AR600" s="16">
        <f t="shared" si="76"/>
        <v>2402.022129583509</v>
      </c>
      <c r="AS600" s="17">
        <f t="shared" si="77"/>
        <v>0.40033702159725149</v>
      </c>
      <c r="AT600" s="20">
        <v>6000</v>
      </c>
      <c r="AU600" s="20">
        <v>2532.138916015625</v>
      </c>
      <c r="AV600" s="20">
        <f t="shared" si="78"/>
        <v>3467.861083984375</v>
      </c>
      <c r="AW600" s="21">
        <f t="shared" si="79"/>
        <v>0.57797684733072918</v>
      </c>
    </row>
    <row r="601" spans="1:49" x14ac:dyDescent="0.25">
      <c r="A601" t="s">
        <v>128</v>
      </c>
      <c r="B601" t="s">
        <v>129</v>
      </c>
      <c r="C601">
        <v>238077</v>
      </c>
      <c r="D601">
        <v>2013</v>
      </c>
      <c r="E601" t="s">
        <v>69</v>
      </c>
      <c r="F601" t="s">
        <v>157</v>
      </c>
      <c r="G601" t="s">
        <v>118</v>
      </c>
      <c r="I601">
        <v>6</v>
      </c>
      <c r="J601" t="s">
        <v>241</v>
      </c>
      <c r="K601">
        <v>4</v>
      </c>
      <c r="L601" t="s">
        <v>44</v>
      </c>
      <c r="M601">
        <v>3.5</v>
      </c>
      <c r="N601" t="s">
        <v>91</v>
      </c>
      <c r="Q601" t="s">
        <v>62</v>
      </c>
      <c r="R601" t="s">
        <v>63</v>
      </c>
      <c r="T601">
        <v>290</v>
      </c>
      <c r="U601" t="s">
        <v>50</v>
      </c>
      <c r="V601" t="s">
        <v>76</v>
      </c>
      <c r="X601" t="s">
        <v>94</v>
      </c>
      <c r="Y601" t="s">
        <v>78</v>
      </c>
      <c r="AA601">
        <v>0</v>
      </c>
      <c r="AB601" t="s">
        <v>79</v>
      </c>
      <c r="AC601" t="s">
        <v>87</v>
      </c>
      <c r="AD601">
        <v>36</v>
      </c>
      <c r="AE601">
        <v>9</v>
      </c>
      <c r="AF601">
        <v>3</v>
      </c>
      <c r="AG601">
        <v>2025</v>
      </c>
      <c r="AH601" s="2">
        <v>1300</v>
      </c>
      <c r="AI601" s="2">
        <v>1841.340698242188</v>
      </c>
      <c r="AJ601" s="2">
        <f t="shared" si="72"/>
        <v>541.34069824218795</v>
      </c>
      <c r="AK601" s="6">
        <f t="shared" si="73"/>
        <v>0.41641592172475994</v>
      </c>
      <c r="AL601" s="12">
        <v>1300</v>
      </c>
      <c r="AM601" s="12">
        <v>2212.5980076069059</v>
      </c>
      <c r="AN601" s="12">
        <f t="shared" si="74"/>
        <v>912.59800760690587</v>
      </c>
      <c r="AO601" s="13">
        <f t="shared" si="75"/>
        <v>0.70199846738992755</v>
      </c>
      <c r="AP601" s="16">
        <v>1300</v>
      </c>
      <c r="AQ601" s="16">
        <v>1964.7407368404211</v>
      </c>
      <c r="AR601" s="16">
        <f t="shared" si="76"/>
        <v>664.74073684042105</v>
      </c>
      <c r="AS601" s="17">
        <f t="shared" si="77"/>
        <v>0.51133902833878542</v>
      </c>
      <c r="AT601" s="20">
        <v>1300</v>
      </c>
      <c r="AU601" s="20">
        <v>1862.837158203125</v>
      </c>
      <c r="AV601" s="20">
        <f t="shared" si="78"/>
        <v>562.837158203125</v>
      </c>
      <c r="AW601" s="21">
        <f t="shared" si="79"/>
        <v>0.43295166015624997</v>
      </c>
    </row>
    <row r="602" spans="1:49" x14ac:dyDescent="0.25">
      <c r="A602" t="s">
        <v>81</v>
      </c>
      <c r="B602" t="s">
        <v>170</v>
      </c>
      <c r="C602">
        <v>32063</v>
      </c>
      <c r="D602">
        <v>2022</v>
      </c>
      <c r="E602" t="s">
        <v>88</v>
      </c>
      <c r="F602" t="s">
        <v>89</v>
      </c>
      <c r="G602" t="s">
        <v>262</v>
      </c>
      <c r="H602" t="s">
        <v>916</v>
      </c>
      <c r="I602">
        <v>8</v>
      </c>
      <c r="J602" t="s">
        <v>122</v>
      </c>
      <c r="K602">
        <v>4</v>
      </c>
      <c r="L602" t="s">
        <v>44</v>
      </c>
      <c r="M602">
        <v>5.7</v>
      </c>
      <c r="N602" t="s">
        <v>91</v>
      </c>
      <c r="Q602" t="s">
        <v>74</v>
      </c>
      <c r="R602" t="s">
        <v>92</v>
      </c>
      <c r="S602" t="s">
        <v>93</v>
      </c>
      <c r="T602">
        <v>395</v>
      </c>
      <c r="U602" t="s">
        <v>50</v>
      </c>
      <c r="V602" t="s">
        <v>76</v>
      </c>
      <c r="X602" t="s">
        <v>108</v>
      </c>
      <c r="Y602" t="s">
        <v>78</v>
      </c>
      <c r="AA602">
        <v>0</v>
      </c>
      <c r="AB602" t="s">
        <v>79</v>
      </c>
      <c r="AC602" t="s">
        <v>95</v>
      </c>
      <c r="AD602">
        <v>36</v>
      </c>
      <c r="AE602">
        <v>9</v>
      </c>
      <c r="AF602">
        <v>3</v>
      </c>
      <c r="AG602">
        <v>2025</v>
      </c>
      <c r="AH602" s="2">
        <v>43000</v>
      </c>
      <c r="AI602" s="2">
        <v>41002.8359375</v>
      </c>
      <c r="AJ602" s="2">
        <f t="shared" si="72"/>
        <v>1997.1640625</v>
      </c>
      <c r="AK602" s="6">
        <f t="shared" si="73"/>
        <v>4.6445675872093022E-2</v>
      </c>
      <c r="AL602" s="12">
        <v>43000</v>
      </c>
      <c r="AM602" s="12">
        <v>40498.39338279629</v>
      </c>
      <c r="AN602" s="12">
        <f t="shared" si="74"/>
        <v>2501.6066172037099</v>
      </c>
      <c r="AO602" s="13">
        <f t="shared" si="75"/>
        <v>5.8176898074504879E-2</v>
      </c>
      <c r="AP602" s="16">
        <v>43000</v>
      </c>
      <c r="AQ602" s="16">
        <v>42060.501743717527</v>
      </c>
      <c r="AR602" s="16">
        <f t="shared" si="76"/>
        <v>939.49825628247345</v>
      </c>
      <c r="AS602" s="17">
        <f t="shared" si="77"/>
        <v>2.1848796657731942E-2</v>
      </c>
      <c r="AT602" s="20">
        <v>43000</v>
      </c>
      <c r="AU602" s="20">
        <v>40867.171875</v>
      </c>
      <c r="AV602" s="20">
        <f t="shared" si="78"/>
        <v>2132.828125</v>
      </c>
      <c r="AW602" s="21">
        <f t="shared" si="79"/>
        <v>4.9600654069767443E-2</v>
      </c>
    </row>
    <row r="603" spans="1:49" x14ac:dyDescent="0.25">
      <c r="A603" t="s">
        <v>38</v>
      </c>
      <c r="B603" t="s">
        <v>96</v>
      </c>
      <c r="C603">
        <v>100707</v>
      </c>
      <c r="D603">
        <v>2020</v>
      </c>
      <c r="E603" t="s">
        <v>88</v>
      </c>
      <c r="F603" t="s">
        <v>89</v>
      </c>
      <c r="G603" t="s">
        <v>685</v>
      </c>
      <c r="H603" t="s">
        <v>686</v>
      </c>
      <c r="I603">
        <v>8</v>
      </c>
      <c r="J603" t="s">
        <v>61</v>
      </c>
      <c r="K603">
        <v>4</v>
      </c>
      <c r="L603" t="s">
        <v>44</v>
      </c>
      <c r="M603">
        <v>5.7</v>
      </c>
      <c r="N603" t="s">
        <v>73</v>
      </c>
      <c r="O603" t="s">
        <v>46</v>
      </c>
      <c r="P603">
        <v>2</v>
      </c>
      <c r="Q603" t="s">
        <v>74</v>
      </c>
      <c r="R603" t="s">
        <v>92</v>
      </c>
      <c r="S603" t="s">
        <v>49</v>
      </c>
      <c r="T603">
        <v>395</v>
      </c>
      <c r="U603" t="s">
        <v>50</v>
      </c>
      <c r="V603" t="s">
        <v>76</v>
      </c>
      <c r="X603" t="s">
        <v>94</v>
      </c>
      <c r="Y603" t="s">
        <v>78</v>
      </c>
      <c r="AA603">
        <v>0</v>
      </c>
      <c r="AB603" t="s">
        <v>79</v>
      </c>
      <c r="AC603" t="s">
        <v>95</v>
      </c>
      <c r="AD603">
        <v>36</v>
      </c>
      <c r="AE603">
        <v>9</v>
      </c>
      <c r="AF603">
        <v>3</v>
      </c>
      <c r="AG603">
        <v>2025</v>
      </c>
      <c r="AH603" s="2">
        <v>18000</v>
      </c>
      <c r="AI603" s="2">
        <v>14490.435546875</v>
      </c>
      <c r="AJ603" s="2">
        <f t="shared" si="72"/>
        <v>3509.564453125</v>
      </c>
      <c r="AK603" s="6">
        <f t="shared" si="73"/>
        <v>0.19497580295138889</v>
      </c>
      <c r="AL603" s="12">
        <v>18000</v>
      </c>
      <c r="AM603" s="12">
        <v>14008.51342594231</v>
      </c>
      <c r="AN603" s="12">
        <f t="shared" si="74"/>
        <v>3991.4865740576897</v>
      </c>
      <c r="AO603" s="13">
        <f t="shared" si="75"/>
        <v>0.22174925411431609</v>
      </c>
      <c r="AP603" s="16">
        <v>18000</v>
      </c>
      <c r="AQ603" s="16">
        <v>14184.344804030619</v>
      </c>
      <c r="AR603" s="16">
        <f t="shared" si="76"/>
        <v>3815.6551959693807</v>
      </c>
      <c r="AS603" s="17">
        <f t="shared" si="77"/>
        <v>0.21198084422052116</v>
      </c>
      <c r="AT603" s="20">
        <v>18000</v>
      </c>
      <c r="AU603" s="20">
        <v>14226.080078125</v>
      </c>
      <c r="AV603" s="20">
        <f t="shared" si="78"/>
        <v>3773.919921875</v>
      </c>
      <c r="AW603" s="21">
        <f t="shared" si="79"/>
        <v>0.20966221788194445</v>
      </c>
    </row>
    <row r="604" spans="1:49" x14ac:dyDescent="0.25">
      <c r="A604" t="s">
        <v>38</v>
      </c>
      <c r="B604" t="s">
        <v>68</v>
      </c>
      <c r="C604">
        <v>123489</v>
      </c>
      <c r="D604">
        <v>2018</v>
      </c>
      <c r="E604" t="s">
        <v>69</v>
      </c>
      <c r="F604" t="s">
        <v>231</v>
      </c>
      <c r="I604">
        <v>6</v>
      </c>
      <c r="J604" t="s">
        <v>135</v>
      </c>
      <c r="K604">
        <v>4</v>
      </c>
      <c r="L604" t="s">
        <v>44</v>
      </c>
      <c r="M604">
        <v>2.7</v>
      </c>
      <c r="N604" t="s">
        <v>73</v>
      </c>
      <c r="O604" t="s">
        <v>46</v>
      </c>
      <c r="P604">
        <v>4</v>
      </c>
      <c r="Q604" t="s">
        <v>74</v>
      </c>
      <c r="R604" t="s">
        <v>92</v>
      </c>
      <c r="S604" t="s">
        <v>49</v>
      </c>
      <c r="T604">
        <v>325</v>
      </c>
      <c r="U604" t="s">
        <v>50</v>
      </c>
      <c r="V604" t="s">
        <v>76</v>
      </c>
      <c r="W604" t="s">
        <v>512</v>
      </c>
      <c r="X604" t="s">
        <v>94</v>
      </c>
      <c r="Y604" t="s">
        <v>78</v>
      </c>
      <c r="AA604">
        <v>0</v>
      </c>
      <c r="AB604" t="s">
        <v>79</v>
      </c>
      <c r="AC604" t="s">
        <v>95</v>
      </c>
      <c r="AD604">
        <v>36</v>
      </c>
      <c r="AE604">
        <v>9</v>
      </c>
      <c r="AF604">
        <v>3</v>
      </c>
      <c r="AG604">
        <v>2025</v>
      </c>
      <c r="AH604" s="2">
        <v>18500</v>
      </c>
      <c r="AI604" s="2">
        <v>14003.9462890625</v>
      </c>
      <c r="AJ604" s="2">
        <f t="shared" si="72"/>
        <v>4496.0537109375</v>
      </c>
      <c r="AK604" s="6">
        <f t="shared" si="73"/>
        <v>0.24302993032094594</v>
      </c>
      <c r="AL604" s="12">
        <v>18500</v>
      </c>
      <c r="AM604" s="12">
        <v>13696.099691809801</v>
      </c>
      <c r="AN604" s="12">
        <f t="shared" si="74"/>
        <v>4803.9003081901992</v>
      </c>
      <c r="AO604" s="13">
        <f t="shared" si="75"/>
        <v>0.25967028692919997</v>
      </c>
      <c r="AP604" s="16">
        <v>18500</v>
      </c>
      <c r="AQ604" s="16">
        <v>13506.70564839187</v>
      </c>
      <c r="AR604" s="16">
        <f t="shared" si="76"/>
        <v>4993.2943516081305</v>
      </c>
      <c r="AS604" s="17">
        <f t="shared" si="77"/>
        <v>0.26990780278962867</v>
      </c>
      <c r="AT604" s="20">
        <v>18500</v>
      </c>
      <c r="AU604" s="20">
        <v>13985.673828125</v>
      </c>
      <c r="AV604" s="20">
        <f t="shared" si="78"/>
        <v>4514.326171875</v>
      </c>
      <c r="AW604" s="21">
        <f t="shared" si="79"/>
        <v>0.24401763091216216</v>
      </c>
    </row>
    <row r="605" spans="1:49" x14ac:dyDescent="0.25">
      <c r="A605" t="s">
        <v>38</v>
      </c>
      <c r="B605" t="s">
        <v>96</v>
      </c>
      <c r="C605">
        <v>184693</v>
      </c>
      <c r="D605">
        <v>2012</v>
      </c>
      <c r="E605" t="s">
        <v>116</v>
      </c>
      <c r="F605" t="s">
        <v>697</v>
      </c>
      <c r="G605" t="s">
        <v>917</v>
      </c>
      <c r="I605">
        <v>8</v>
      </c>
      <c r="J605" t="s">
        <v>61</v>
      </c>
      <c r="K605">
        <v>4</v>
      </c>
      <c r="L605" t="s">
        <v>44</v>
      </c>
      <c r="M605">
        <v>5.7</v>
      </c>
      <c r="N605" t="s">
        <v>73</v>
      </c>
      <c r="O605" t="s">
        <v>46</v>
      </c>
      <c r="P605">
        <v>1</v>
      </c>
      <c r="Q605" t="s">
        <v>74</v>
      </c>
      <c r="R605" t="s">
        <v>92</v>
      </c>
      <c r="S605" t="s">
        <v>49</v>
      </c>
      <c r="U605" t="s">
        <v>50</v>
      </c>
      <c r="X605" t="s">
        <v>94</v>
      </c>
      <c r="Y605" t="s">
        <v>78</v>
      </c>
      <c r="AA605">
        <v>0</v>
      </c>
      <c r="AB605" t="s">
        <v>79</v>
      </c>
      <c r="AC605" t="s">
        <v>95</v>
      </c>
      <c r="AD605">
        <v>36</v>
      </c>
      <c r="AE605">
        <v>9</v>
      </c>
      <c r="AF605">
        <v>3</v>
      </c>
      <c r="AG605">
        <v>2025</v>
      </c>
      <c r="AH605" s="2">
        <v>2200</v>
      </c>
      <c r="AI605" s="2">
        <v>3203.921875</v>
      </c>
      <c r="AJ605" s="2">
        <f t="shared" si="72"/>
        <v>1003.921875</v>
      </c>
      <c r="AK605" s="6">
        <f t="shared" si="73"/>
        <v>0.45632812499999997</v>
      </c>
      <c r="AL605" s="12">
        <v>2200</v>
      </c>
      <c r="AM605" s="12">
        <v>2735.0450526858631</v>
      </c>
      <c r="AN605" s="12">
        <f t="shared" si="74"/>
        <v>535.04505268586308</v>
      </c>
      <c r="AO605" s="13">
        <f t="shared" si="75"/>
        <v>0.24320229667539231</v>
      </c>
      <c r="AP605" s="16">
        <v>2200</v>
      </c>
      <c r="AQ605" s="16">
        <v>2806.736186804636</v>
      </c>
      <c r="AR605" s="16">
        <f t="shared" si="76"/>
        <v>606.73618680463596</v>
      </c>
      <c r="AS605" s="17">
        <f t="shared" si="77"/>
        <v>0.27578917582028906</v>
      </c>
      <c r="AT605" s="20">
        <v>2200</v>
      </c>
      <c r="AU605" s="20">
        <v>3184.392822265625</v>
      </c>
      <c r="AV605" s="20">
        <f t="shared" si="78"/>
        <v>984.392822265625</v>
      </c>
      <c r="AW605" s="21">
        <f t="shared" si="79"/>
        <v>0.44745128284801139</v>
      </c>
    </row>
    <row r="606" spans="1:49" x14ac:dyDescent="0.25">
      <c r="A606" t="s">
        <v>38</v>
      </c>
      <c r="B606" t="s">
        <v>39</v>
      </c>
      <c r="C606">
        <v>114370</v>
      </c>
      <c r="D606">
        <v>2017</v>
      </c>
      <c r="E606" t="s">
        <v>142</v>
      </c>
      <c r="F606" t="s">
        <v>373</v>
      </c>
      <c r="G606" t="s">
        <v>118</v>
      </c>
      <c r="H606" t="s">
        <v>375</v>
      </c>
      <c r="I606">
        <v>6</v>
      </c>
      <c r="J606" t="s">
        <v>61</v>
      </c>
      <c r="K606">
        <v>4</v>
      </c>
      <c r="L606" t="s">
        <v>44</v>
      </c>
      <c r="M606">
        <v>3.6</v>
      </c>
      <c r="N606" t="s">
        <v>73</v>
      </c>
      <c r="O606" t="s">
        <v>46</v>
      </c>
      <c r="Q606" t="s">
        <v>62</v>
      </c>
      <c r="R606" t="s">
        <v>63</v>
      </c>
      <c r="S606" t="s">
        <v>49</v>
      </c>
      <c r="T606">
        <v>295</v>
      </c>
      <c r="U606" t="s">
        <v>50</v>
      </c>
      <c r="V606" t="s">
        <v>76</v>
      </c>
      <c r="X606" t="s">
        <v>94</v>
      </c>
      <c r="Y606" t="s">
        <v>78</v>
      </c>
      <c r="Z606">
        <v>37995</v>
      </c>
      <c r="AA606">
        <v>0</v>
      </c>
      <c r="AB606" t="s">
        <v>79</v>
      </c>
      <c r="AC606" t="s">
        <v>87</v>
      </c>
      <c r="AD606">
        <v>36</v>
      </c>
      <c r="AE606">
        <v>9</v>
      </c>
      <c r="AF606">
        <v>3</v>
      </c>
      <c r="AG606">
        <v>2025</v>
      </c>
      <c r="AH606" s="2">
        <v>10400</v>
      </c>
      <c r="AI606" s="2">
        <v>9654.412109375</v>
      </c>
      <c r="AJ606" s="2">
        <f t="shared" si="72"/>
        <v>745.587890625</v>
      </c>
      <c r="AK606" s="6">
        <f t="shared" si="73"/>
        <v>7.1691143329326926E-2</v>
      </c>
      <c r="AL606" s="12">
        <v>10400</v>
      </c>
      <c r="AM606" s="12">
        <v>10545.425789980751</v>
      </c>
      <c r="AN606" s="12">
        <f t="shared" si="74"/>
        <v>145.42578998075078</v>
      </c>
      <c r="AO606" s="13">
        <f t="shared" si="75"/>
        <v>1.3983249036610652E-2</v>
      </c>
      <c r="AP606" s="16">
        <v>10400</v>
      </c>
      <c r="AQ606" s="16">
        <v>8154.0351905514972</v>
      </c>
      <c r="AR606" s="16">
        <f t="shared" si="76"/>
        <v>2245.9648094485028</v>
      </c>
      <c r="AS606" s="17">
        <f t="shared" si="77"/>
        <v>0.21595815475466373</v>
      </c>
      <c r="AT606" s="20">
        <v>10400</v>
      </c>
      <c r="AU606" s="20">
        <v>10005.345703125</v>
      </c>
      <c r="AV606" s="20">
        <f t="shared" si="78"/>
        <v>394.654296875</v>
      </c>
      <c r="AW606" s="21">
        <f t="shared" si="79"/>
        <v>3.7947528545673077E-2</v>
      </c>
    </row>
    <row r="607" spans="1:49" x14ac:dyDescent="0.25">
      <c r="A607" t="s">
        <v>38</v>
      </c>
      <c r="B607" t="s">
        <v>110</v>
      </c>
      <c r="C607">
        <v>216039</v>
      </c>
      <c r="D607">
        <v>2013</v>
      </c>
      <c r="E607" t="s">
        <v>97</v>
      </c>
      <c r="F607" t="s">
        <v>159</v>
      </c>
      <c r="G607" t="s">
        <v>380</v>
      </c>
      <c r="H607" t="s">
        <v>89</v>
      </c>
      <c r="I607">
        <v>8</v>
      </c>
      <c r="J607" t="s">
        <v>106</v>
      </c>
      <c r="K607">
        <v>2</v>
      </c>
      <c r="L607" t="s">
        <v>44</v>
      </c>
      <c r="M607">
        <v>4.8</v>
      </c>
      <c r="N607" t="s">
        <v>73</v>
      </c>
      <c r="Q607" t="s">
        <v>74</v>
      </c>
      <c r="R607" t="s">
        <v>92</v>
      </c>
      <c r="S607" t="s">
        <v>49</v>
      </c>
      <c r="U607" t="s">
        <v>50</v>
      </c>
      <c r="W607" t="s">
        <v>918</v>
      </c>
      <c r="X607" t="s">
        <v>94</v>
      </c>
      <c r="Y607" t="s">
        <v>78</v>
      </c>
      <c r="AA607">
        <v>0</v>
      </c>
      <c r="AB607" t="s">
        <v>79</v>
      </c>
      <c r="AC607" t="s">
        <v>95</v>
      </c>
      <c r="AD607">
        <v>36</v>
      </c>
      <c r="AE607">
        <v>9</v>
      </c>
      <c r="AF607">
        <v>3</v>
      </c>
      <c r="AG607">
        <v>2025</v>
      </c>
      <c r="AH607" s="2">
        <v>4400</v>
      </c>
      <c r="AI607" s="2">
        <v>4126.77880859375</v>
      </c>
      <c r="AJ607" s="2">
        <f t="shared" si="72"/>
        <v>273.22119140625</v>
      </c>
      <c r="AK607" s="6">
        <f t="shared" si="73"/>
        <v>6.2095725319602273E-2</v>
      </c>
      <c r="AL607" s="12">
        <v>4400</v>
      </c>
      <c r="AM607" s="12">
        <v>4301.4036808570208</v>
      </c>
      <c r="AN607" s="12">
        <f t="shared" si="74"/>
        <v>98.596319142979155</v>
      </c>
      <c r="AO607" s="13">
        <f t="shared" si="75"/>
        <v>2.240825435067708E-2</v>
      </c>
      <c r="AP607" s="16">
        <v>4400</v>
      </c>
      <c r="AQ607" s="16">
        <v>3874.2442191149189</v>
      </c>
      <c r="AR607" s="16">
        <f t="shared" si="76"/>
        <v>525.75578088508109</v>
      </c>
      <c r="AS607" s="17">
        <f t="shared" si="77"/>
        <v>0.1194899502011548</v>
      </c>
      <c r="AT607" s="20">
        <v>4400</v>
      </c>
      <c r="AU607" s="20">
        <v>4170.48388671875</v>
      </c>
      <c r="AV607" s="20">
        <f t="shared" si="78"/>
        <v>229.51611328125</v>
      </c>
      <c r="AW607" s="21">
        <f t="shared" si="79"/>
        <v>5.2162753018465909E-2</v>
      </c>
    </row>
    <row r="608" spans="1:49" x14ac:dyDescent="0.25">
      <c r="A608" t="s">
        <v>38</v>
      </c>
      <c r="B608" t="s">
        <v>39</v>
      </c>
      <c r="C608">
        <v>166454</v>
      </c>
      <c r="D608">
        <v>2017</v>
      </c>
      <c r="E608" t="s">
        <v>97</v>
      </c>
      <c r="F608" t="s">
        <v>159</v>
      </c>
      <c r="G608" t="s">
        <v>380</v>
      </c>
      <c r="H608" t="s">
        <v>89</v>
      </c>
      <c r="I608">
        <v>8</v>
      </c>
      <c r="J608" t="s">
        <v>241</v>
      </c>
      <c r="K608">
        <v>4</v>
      </c>
      <c r="L608" t="s">
        <v>44</v>
      </c>
      <c r="M608">
        <v>5.3</v>
      </c>
      <c r="N608" t="s">
        <v>73</v>
      </c>
      <c r="O608" t="s">
        <v>46</v>
      </c>
      <c r="Q608" t="s">
        <v>74</v>
      </c>
      <c r="R608" t="s">
        <v>92</v>
      </c>
      <c r="S608" t="s">
        <v>49</v>
      </c>
      <c r="U608" t="s">
        <v>50</v>
      </c>
      <c r="W608" t="s">
        <v>424</v>
      </c>
      <c r="X608" t="s">
        <v>94</v>
      </c>
      <c r="Y608" t="s">
        <v>126</v>
      </c>
      <c r="Z608">
        <v>44400</v>
      </c>
      <c r="AA608">
        <v>0</v>
      </c>
      <c r="AB608" t="s">
        <v>79</v>
      </c>
      <c r="AC608" t="s">
        <v>95</v>
      </c>
      <c r="AD608">
        <v>36</v>
      </c>
      <c r="AE608">
        <v>9</v>
      </c>
      <c r="AF608">
        <v>3</v>
      </c>
      <c r="AG608">
        <v>2025</v>
      </c>
      <c r="AH608" s="2">
        <v>15250</v>
      </c>
      <c r="AI608" s="2">
        <v>11408.13671875</v>
      </c>
      <c r="AJ608" s="2">
        <f t="shared" si="72"/>
        <v>3841.86328125</v>
      </c>
      <c r="AK608" s="6">
        <f t="shared" si="73"/>
        <v>0.25192546106557379</v>
      </c>
      <c r="AL608" s="12">
        <v>15250</v>
      </c>
      <c r="AM608" s="12">
        <v>12590.31100471681</v>
      </c>
      <c r="AN608" s="12">
        <f t="shared" si="74"/>
        <v>2659.6889952831898</v>
      </c>
      <c r="AO608" s="13">
        <f t="shared" si="75"/>
        <v>0.17440583575627475</v>
      </c>
      <c r="AP608" s="16">
        <v>15250</v>
      </c>
      <c r="AQ608" s="16">
        <v>11443.59477986483</v>
      </c>
      <c r="AR608" s="16">
        <f t="shared" si="76"/>
        <v>3806.4052201351697</v>
      </c>
      <c r="AS608" s="17">
        <f t="shared" si="77"/>
        <v>0.24960034230394554</v>
      </c>
      <c r="AT608" s="20">
        <v>15250</v>
      </c>
      <c r="AU608" s="20">
        <v>11836.26953125</v>
      </c>
      <c r="AV608" s="20">
        <f t="shared" si="78"/>
        <v>3413.73046875</v>
      </c>
      <c r="AW608" s="21">
        <f t="shared" si="79"/>
        <v>0.22385117827868853</v>
      </c>
    </row>
    <row r="609" spans="1:49" x14ac:dyDescent="0.25">
      <c r="A609" t="s">
        <v>128</v>
      </c>
      <c r="B609" t="s">
        <v>129</v>
      </c>
      <c r="C609">
        <v>74377</v>
      </c>
      <c r="D609">
        <v>2017</v>
      </c>
      <c r="E609" t="s">
        <v>162</v>
      </c>
      <c r="F609" t="s">
        <v>688</v>
      </c>
      <c r="G609" t="s">
        <v>533</v>
      </c>
      <c r="I609">
        <v>4</v>
      </c>
      <c r="J609" t="s">
        <v>122</v>
      </c>
      <c r="K609">
        <v>4</v>
      </c>
      <c r="L609" t="s">
        <v>44</v>
      </c>
      <c r="M609">
        <v>1.6</v>
      </c>
      <c r="N609" t="s">
        <v>45</v>
      </c>
      <c r="Q609" t="s">
        <v>47</v>
      </c>
      <c r="R609" t="s">
        <v>123</v>
      </c>
      <c r="T609">
        <v>138</v>
      </c>
      <c r="U609" t="s">
        <v>50</v>
      </c>
      <c r="X609" t="s">
        <v>125</v>
      </c>
      <c r="Y609" t="s">
        <v>66</v>
      </c>
      <c r="Z609">
        <v>14745</v>
      </c>
      <c r="AA609">
        <v>0</v>
      </c>
      <c r="AB609" t="s">
        <v>79</v>
      </c>
      <c r="AC609" t="s">
        <v>127</v>
      </c>
      <c r="AD609">
        <v>36</v>
      </c>
      <c r="AE609">
        <v>9</v>
      </c>
      <c r="AF609">
        <v>3</v>
      </c>
      <c r="AG609">
        <v>2025</v>
      </c>
      <c r="AH609" s="2">
        <v>6500</v>
      </c>
      <c r="AI609" s="2">
        <v>3780.250732421875</v>
      </c>
      <c r="AJ609" s="2">
        <f t="shared" si="72"/>
        <v>2719.749267578125</v>
      </c>
      <c r="AK609" s="6">
        <f t="shared" si="73"/>
        <v>0.41842296424278846</v>
      </c>
      <c r="AL609" s="12">
        <v>6500</v>
      </c>
      <c r="AM609" s="12">
        <v>4959.0448307464358</v>
      </c>
      <c r="AN609" s="12">
        <f t="shared" si="74"/>
        <v>1540.9551692535642</v>
      </c>
      <c r="AO609" s="13">
        <f t="shared" si="75"/>
        <v>0.2370700260390099</v>
      </c>
      <c r="AP609" s="16">
        <v>6500</v>
      </c>
      <c r="AQ609" s="16">
        <v>4090.3845242704342</v>
      </c>
      <c r="AR609" s="16">
        <f t="shared" si="76"/>
        <v>2409.6154757295658</v>
      </c>
      <c r="AS609" s="17">
        <f t="shared" si="77"/>
        <v>0.37071007318916399</v>
      </c>
      <c r="AT609" s="20">
        <v>6500</v>
      </c>
      <c r="AU609" s="20">
        <v>3890.544921875</v>
      </c>
      <c r="AV609" s="20">
        <f t="shared" si="78"/>
        <v>2609.455078125</v>
      </c>
      <c r="AW609" s="21">
        <f t="shared" si="79"/>
        <v>0.40145462740384613</v>
      </c>
    </row>
    <row r="610" spans="1:49" x14ac:dyDescent="0.25">
      <c r="A610" t="s">
        <v>38</v>
      </c>
      <c r="B610" t="s">
        <v>110</v>
      </c>
      <c r="C610">
        <v>198232</v>
      </c>
      <c r="D610">
        <v>2013</v>
      </c>
      <c r="E610" t="s">
        <v>69</v>
      </c>
      <c r="F610" t="s">
        <v>157</v>
      </c>
      <c r="G610" t="s">
        <v>105</v>
      </c>
      <c r="I610">
        <v>6</v>
      </c>
      <c r="J610" t="s">
        <v>135</v>
      </c>
      <c r="K610">
        <v>4</v>
      </c>
      <c r="L610" t="s">
        <v>44</v>
      </c>
      <c r="M610">
        <v>3.5</v>
      </c>
      <c r="N610" t="s">
        <v>45</v>
      </c>
      <c r="Q610" t="s">
        <v>62</v>
      </c>
      <c r="R610" t="s">
        <v>63</v>
      </c>
      <c r="T610">
        <v>290</v>
      </c>
      <c r="U610" t="s">
        <v>50</v>
      </c>
      <c r="V610" t="s">
        <v>76</v>
      </c>
      <c r="X610" t="s">
        <v>94</v>
      </c>
      <c r="Y610" t="s">
        <v>78</v>
      </c>
      <c r="AA610">
        <v>0</v>
      </c>
      <c r="AB610" t="s">
        <v>79</v>
      </c>
      <c r="AC610" t="s">
        <v>87</v>
      </c>
      <c r="AD610">
        <v>36</v>
      </c>
      <c r="AE610">
        <v>9</v>
      </c>
      <c r="AF610">
        <v>3</v>
      </c>
      <c r="AG610">
        <v>2025</v>
      </c>
      <c r="AH610" s="2">
        <v>2100</v>
      </c>
      <c r="AI610" s="2">
        <v>2311.638427734375</v>
      </c>
      <c r="AJ610" s="2">
        <f t="shared" si="72"/>
        <v>211.638427734375</v>
      </c>
      <c r="AK610" s="6">
        <f t="shared" si="73"/>
        <v>0.10078020368303571</v>
      </c>
      <c r="AL610" s="12">
        <v>2100</v>
      </c>
      <c r="AM610" s="12">
        <v>2141.3591266563089</v>
      </c>
      <c r="AN610" s="12">
        <f t="shared" si="74"/>
        <v>41.359126656308945</v>
      </c>
      <c r="AO610" s="13">
        <f t="shared" si="75"/>
        <v>1.9694822217289975E-2</v>
      </c>
      <c r="AP610" s="16">
        <v>2100</v>
      </c>
      <c r="AQ610" s="16">
        <v>2320.9543711827469</v>
      </c>
      <c r="AR610" s="16">
        <f t="shared" si="76"/>
        <v>220.95437118274685</v>
      </c>
      <c r="AS610" s="17">
        <f t="shared" si="77"/>
        <v>0.10521636722987945</v>
      </c>
      <c r="AT610" s="20">
        <v>2100</v>
      </c>
      <c r="AU610" s="20">
        <v>2310.789306640625</v>
      </c>
      <c r="AV610" s="20">
        <f t="shared" si="78"/>
        <v>210.789306640625</v>
      </c>
      <c r="AW610" s="21">
        <f t="shared" si="79"/>
        <v>0.10037586030505953</v>
      </c>
    </row>
    <row r="611" spans="1:49" x14ac:dyDescent="0.25">
      <c r="A611" t="s">
        <v>128</v>
      </c>
      <c r="B611" t="s">
        <v>309</v>
      </c>
      <c r="C611">
        <v>127499</v>
      </c>
      <c r="D611">
        <v>2018</v>
      </c>
      <c r="E611" t="s">
        <v>97</v>
      </c>
      <c r="F611" t="s">
        <v>444</v>
      </c>
      <c r="G611" t="s">
        <v>919</v>
      </c>
      <c r="I611">
        <v>4</v>
      </c>
      <c r="J611" t="s">
        <v>61</v>
      </c>
      <c r="K611">
        <v>2</v>
      </c>
      <c r="L611" t="s">
        <v>44</v>
      </c>
      <c r="M611">
        <v>2</v>
      </c>
      <c r="N611" t="s">
        <v>73</v>
      </c>
      <c r="O611" t="s">
        <v>46</v>
      </c>
      <c r="P611">
        <v>2</v>
      </c>
      <c r="Q611" t="s">
        <v>47</v>
      </c>
      <c r="R611" t="s">
        <v>197</v>
      </c>
      <c r="S611" t="s">
        <v>179</v>
      </c>
      <c r="U611" t="s">
        <v>50</v>
      </c>
      <c r="V611" t="s">
        <v>51</v>
      </c>
      <c r="W611" t="s">
        <v>920</v>
      </c>
      <c r="X611" t="s">
        <v>125</v>
      </c>
      <c r="Y611" t="s">
        <v>78</v>
      </c>
      <c r="Z611">
        <v>25905</v>
      </c>
      <c r="AA611">
        <v>0</v>
      </c>
      <c r="AB611" t="s">
        <v>79</v>
      </c>
      <c r="AC611" t="s">
        <v>197</v>
      </c>
      <c r="AD611">
        <v>36</v>
      </c>
      <c r="AE611">
        <v>9</v>
      </c>
      <c r="AF611">
        <v>3</v>
      </c>
      <c r="AG611">
        <v>2025</v>
      </c>
      <c r="AH611" s="2">
        <v>5400</v>
      </c>
      <c r="AI611" s="2">
        <v>7726.8515625</v>
      </c>
      <c r="AJ611" s="2">
        <f t="shared" si="72"/>
        <v>2326.8515625</v>
      </c>
      <c r="AK611" s="6">
        <f t="shared" si="73"/>
        <v>0.43089843750000001</v>
      </c>
      <c r="AL611" s="12">
        <v>5400</v>
      </c>
      <c r="AM611" s="12">
        <v>6381.5886474487952</v>
      </c>
      <c r="AN611" s="12">
        <f t="shared" si="74"/>
        <v>981.5886474487952</v>
      </c>
      <c r="AO611" s="13">
        <f t="shared" si="75"/>
        <v>0.18177567545348058</v>
      </c>
      <c r="AP611" s="16">
        <v>5400</v>
      </c>
      <c r="AQ611" s="16">
        <v>6734.3569367959999</v>
      </c>
      <c r="AR611" s="16">
        <f t="shared" si="76"/>
        <v>1334.3569367959999</v>
      </c>
      <c r="AS611" s="17">
        <f t="shared" si="77"/>
        <v>0.24710313644370369</v>
      </c>
      <c r="AT611" s="20">
        <v>5400</v>
      </c>
      <c r="AU611" s="20">
        <v>7557.84228515625</v>
      </c>
      <c r="AV611" s="20">
        <f t="shared" si="78"/>
        <v>2157.84228515625</v>
      </c>
      <c r="AW611" s="21">
        <f t="shared" si="79"/>
        <v>0.39960042317708333</v>
      </c>
    </row>
    <row r="612" spans="1:49" x14ac:dyDescent="0.25">
      <c r="A612" t="s">
        <v>38</v>
      </c>
      <c r="B612" t="s">
        <v>110</v>
      </c>
      <c r="C612">
        <v>158163</v>
      </c>
      <c r="D612">
        <v>2013</v>
      </c>
      <c r="E612" t="s">
        <v>69</v>
      </c>
      <c r="F612" t="s">
        <v>607</v>
      </c>
      <c r="G612" t="s">
        <v>285</v>
      </c>
      <c r="I612">
        <v>6</v>
      </c>
      <c r="J612" t="s">
        <v>106</v>
      </c>
      <c r="K612">
        <v>4</v>
      </c>
      <c r="L612" t="s">
        <v>44</v>
      </c>
      <c r="M612">
        <v>3.5</v>
      </c>
      <c r="N612" t="s">
        <v>45</v>
      </c>
      <c r="Q612" t="s">
        <v>47</v>
      </c>
      <c r="R612" t="s">
        <v>123</v>
      </c>
      <c r="S612" t="s">
        <v>101</v>
      </c>
      <c r="T612">
        <v>288</v>
      </c>
      <c r="U612" t="s">
        <v>50</v>
      </c>
      <c r="V612" t="s">
        <v>76</v>
      </c>
      <c r="X612" t="s">
        <v>125</v>
      </c>
      <c r="Y612" t="s">
        <v>78</v>
      </c>
      <c r="AA612">
        <v>0</v>
      </c>
      <c r="AB612" t="s">
        <v>79</v>
      </c>
      <c r="AC612" t="s">
        <v>127</v>
      </c>
      <c r="AD612">
        <v>36</v>
      </c>
      <c r="AE612">
        <v>9</v>
      </c>
      <c r="AF612">
        <v>3</v>
      </c>
      <c r="AG612">
        <v>2025</v>
      </c>
      <c r="AH612" s="2">
        <v>2500</v>
      </c>
      <c r="AI612" s="2">
        <v>1831.877319335938</v>
      </c>
      <c r="AJ612" s="2">
        <f t="shared" si="72"/>
        <v>668.12268066406205</v>
      </c>
      <c r="AK612" s="6">
        <f t="shared" si="73"/>
        <v>0.26724907226562483</v>
      </c>
      <c r="AL612" s="12">
        <v>2500</v>
      </c>
      <c r="AM612" s="12">
        <v>2236.8270732313808</v>
      </c>
      <c r="AN612" s="12">
        <f t="shared" si="74"/>
        <v>263.17292676861916</v>
      </c>
      <c r="AO612" s="13">
        <f t="shared" si="75"/>
        <v>0.10526917070744767</v>
      </c>
      <c r="AP612" s="16">
        <v>2500</v>
      </c>
      <c r="AQ612" s="16">
        <v>1642.5571204272139</v>
      </c>
      <c r="AR612" s="16">
        <f t="shared" si="76"/>
        <v>857.44287957278607</v>
      </c>
      <c r="AS612" s="17">
        <f t="shared" si="77"/>
        <v>0.34297715182911442</v>
      </c>
      <c r="AT612" s="20">
        <v>2500</v>
      </c>
      <c r="AU612" s="20">
        <v>1862.837158203125</v>
      </c>
      <c r="AV612" s="20">
        <f t="shared" si="78"/>
        <v>637.162841796875</v>
      </c>
      <c r="AW612" s="21">
        <f t="shared" si="79"/>
        <v>0.25486513671875</v>
      </c>
    </row>
    <row r="613" spans="1:49" x14ac:dyDescent="0.25">
      <c r="A613" t="s">
        <v>38</v>
      </c>
      <c r="B613" t="s">
        <v>39</v>
      </c>
      <c r="C613">
        <v>67087</v>
      </c>
      <c r="D613">
        <v>2018</v>
      </c>
      <c r="E613" t="s">
        <v>132</v>
      </c>
      <c r="F613" t="s">
        <v>327</v>
      </c>
      <c r="H613" t="s">
        <v>328</v>
      </c>
      <c r="I613">
        <v>4</v>
      </c>
      <c r="J613" t="s">
        <v>135</v>
      </c>
      <c r="K613">
        <v>4</v>
      </c>
      <c r="L613" t="s">
        <v>44</v>
      </c>
      <c r="M613">
        <v>2</v>
      </c>
      <c r="N613" t="s">
        <v>45</v>
      </c>
      <c r="O613" t="s">
        <v>46</v>
      </c>
      <c r="Q613" t="s">
        <v>47</v>
      </c>
      <c r="R613" t="s">
        <v>123</v>
      </c>
      <c r="T613">
        <v>208</v>
      </c>
      <c r="U613" t="s">
        <v>50</v>
      </c>
      <c r="V613" t="s">
        <v>51</v>
      </c>
      <c r="W613" t="s">
        <v>329</v>
      </c>
      <c r="X613" t="s">
        <v>125</v>
      </c>
      <c r="Y613" t="s">
        <v>330</v>
      </c>
      <c r="Z613">
        <v>32700</v>
      </c>
      <c r="AA613">
        <v>0</v>
      </c>
      <c r="AB613" t="s">
        <v>79</v>
      </c>
      <c r="AC613" t="s">
        <v>127</v>
      </c>
      <c r="AD613">
        <v>36</v>
      </c>
      <c r="AE613">
        <v>9</v>
      </c>
      <c r="AF613">
        <v>3</v>
      </c>
      <c r="AG613">
        <v>2025</v>
      </c>
      <c r="AH613" s="2">
        <v>13250</v>
      </c>
      <c r="AI613" s="2">
        <v>10930.6181640625</v>
      </c>
      <c r="AJ613" s="2">
        <f t="shared" si="72"/>
        <v>2319.3818359375</v>
      </c>
      <c r="AK613" s="6">
        <f t="shared" si="73"/>
        <v>0.17504768573113208</v>
      </c>
      <c r="AL613" s="12">
        <v>13250</v>
      </c>
      <c r="AM613" s="12">
        <v>10365.67271940003</v>
      </c>
      <c r="AN613" s="12">
        <f t="shared" si="74"/>
        <v>2884.3272805999695</v>
      </c>
      <c r="AO613" s="13">
        <f t="shared" si="75"/>
        <v>0.21768507778112978</v>
      </c>
      <c r="AP613" s="16">
        <v>13250</v>
      </c>
      <c r="AQ613" s="16">
        <v>11292.494588818539</v>
      </c>
      <c r="AR613" s="16">
        <f t="shared" si="76"/>
        <v>1957.5054111814607</v>
      </c>
      <c r="AS613" s="17">
        <f t="shared" si="77"/>
        <v>0.14773625744765742</v>
      </c>
      <c r="AT613" s="20">
        <v>13250</v>
      </c>
      <c r="AU613" s="20">
        <v>10804.2607421875</v>
      </c>
      <c r="AV613" s="20">
        <f t="shared" si="78"/>
        <v>2445.7392578125</v>
      </c>
      <c r="AW613" s="21">
        <f t="shared" si="79"/>
        <v>0.1845840949292453</v>
      </c>
    </row>
    <row r="614" spans="1:49" x14ac:dyDescent="0.25">
      <c r="A614" t="s">
        <v>38</v>
      </c>
      <c r="B614" t="s">
        <v>68</v>
      </c>
      <c r="C614">
        <v>40792</v>
      </c>
      <c r="D614">
        <v>2022</v>
      </c>
      <c r="E614" t="s">
        <v>88</v>
      </c>
      <c r="F614" t="s">
        <v>89</v>
      </c>
      <c r="G614" t="s">
        <v>262</v>
      </c>
      <c r="H614" t="s">
        <v>921</v>
      </c>
      <c r="I614">
        <v>6</v>
      </c>
      <c r="J614" t="s">
        <v>72</v>
      </c>
      <c r="K614">
        <v>4</v>
      </c>
      <c r="L614" t="s">
        <v>44</v>
      </c>
      <c r="M614">
        <v>3.6</v>
      </c>
      <c r="N614" t="s">
        <v>91</v>
      </c>
      <c r="O614" t="s">
        <v>46</v>
      </c>
      <c r="P614">
        <v>3</v>
      </c>
      <c r="Q614" t="s">
        <v>74</v>
      </c>
      <c r="R614" t="s">
        <v>92</v>
      </c>
      <c r="S614" t="s">
        <v>93</v>
      </c>
      <c r="T614">
        <v>291</v>
      </c>
      <c r="U614" t="s">
        <v>50</v>
      </c>
      <c r="V614" t="s">
        <v>76</v>
      </c>
      <c r="X614" t="s">
        <v>94</v>
      </c>
      <c r="Y614" t="s">
        <v>126</v>
      </c>
      <c r="AA614">
        <v>0</v>
      </c>
      <c r="AB614" t="s">
        <v>79</v>
      </c>
      <c r="AC614" t="s">
        <v>95</v>
      </c>
      <c r="AD614">
        <v>36</v>
      </c>
      <c r="AE614">
        <v>9</v>
      </c>
      <c r="AF614">
        <v>3</v>
      </c>
      <c r="AG614">
        <v>2025</v>
      </c>
      <c r="AH614" s="2">
        <v>21000</v>
      </c>
      <c r="AI614" s="2">
        <v>21085.50390625</v>
      </c>
      <c r="AJ614" s="2">
        <f t="shared" si="72"/>
        <v>85.50390625</v>
      </c>
      <c r="AK614" s="6">
        <f t="shared" si="73"/>
        <v>4.0716145833333333E-3</v>
      </c>
      <c r="AL614" s="12">
        <v>21000</v>
      </c>
      <c r="AM614" s="12">
        <v>26823.918235380668</v>
      </c>
      <c r="AN614" s="12">
        <f t="shared" si="74"/>
        <v>5823.9182353806682</v>
      </c>
      <c r="AO614" s="13">
        <f t="shared" si="75"/>
        <v>0.27732943978003183</v>
      </c>
      <c r="AP614" s="16">
        <v>21000</v>
      </c>
      <c r="AQ614" s="16">
        <v>24079.61263421578</v>
      </c>
      <c r="AR614" s="16">
        <f t="shared" si="76"/>
        <v>3079.6126342157804</v>
      </c>
      <c r="AS614" s="17">
        <f t="shared" si="77"/>
        <v>0.14664822067694191</v>
      </c>
      <c r="AT614" s="20">
        <v>21000</v>
      </c>
      <c r="AU614" s="20">
        <v>21897.158203125</v>
      </c>
      <c r="AV614" s="20">
        <f t="shared" si="78"/>
        <v>897.158203125</v>
      </c>
      <c r="AW614" s="21">
        <f t="shared" si="79"/>
        <v>4.2721819196428569E-2</v>
      </c>
    </row>
    <row r="615" spans="1:49" x14ac:dyDescent="0.25">
      <c r="A615" t="s">
        <v>38</v>
      </c>
      <c r="B615" t="s">
        <v>110</v>
      </c>
      <c r="C615">
        <v>197893</v>
      </c>
      <c r="D615">
        <v>2010</v>
      </c>
      <c r="E615" t="s">
        <v>174</v>
      </c>
      <c r="F615" t="s">
        <v>774</v>
      </c>
      <c r="G615" t="s">
        <v>922</v>
      </c>
      <c r="H615" t="s">
        <v>420</v>
      </c>
      <c r="I615">
        <v>8</v>
      </c>
      <c r="J615" t="s">
        <v>135</v>
      </c>
      <c r="K615">
        <v>4</v>
      </c>
      <c r="L615" t="s">
        <v>44</v>
      </c>
      <c r="M615">
        <v>5.3</v>
      </c>
      <c r="N615" t="s">
        <v>91</v>
      </c>
      <c r="Q615" t="s">
        <v>62</v>
      </c>
      <c r="R615" t="s">
        <v>63</v>
      </c>
      <c r="S615" t="s">
        <v>93</v>
      </c>
      <c r="U615" t="s">
        <v>180</v>
      </c>
      <c r="V615" t="s">
        <v>76</v>
      </c>
      <c r="W615" t="s">
        <v>316</v>
      </c>
      <c r="X615" t="s">
        <v>108</v>
      </c>
      <c r="Y615" t="s">
        <v>78</v>
      </c>
      <c r="AA615">
        <v>0</v>
      </c>
      <c r="AB615" t="s">
        <v>79</v>
      </c>
      <c r="AC615" t="s">
        <v>87</v>
      </c>
      <c r="AD615">
        <v>36</v>
      </c>
      <c r="AE615">
        <v>9</v>
      </c>
      <c r="AF615">
        <v>3</v>
      </c>
      <c r="AG615">
        <v>2025</v>
      </c>
      <c r="AH615" s="2">
        <v>4200</v>
      </c>
      <c r="AI615" s="2">
        <v>2925.899658203125</v>
      </c>
      <c r="AJ615" s="2">
        <f t="shared" si="72"/>
        <v>1274.100341796875</v>
      </c>
      <c r="AK615" s="6">
        <f t="shared" si="73"/>
        <v>0.30335722423735118</v>
      </c>
      <c r="AL615" s="12">
        <v>4200</v>
      </c>
      <c r="AM615" s="12">
        <v>3290.6099226307028</v>
      </c>
      <c r="AN615" s="12">
        <f t="shared" si="74"/>
        <v>909.39007736929716</v>
      </c>
      <c r="AO615" s="13">
        <f t="shared" si="75"/>
        <v>0.2165214469926898</v>
      </c>
      <c r="AP615" s="16">
        <v>4200</v>
      </c>
      <c r="AQ615" s="16">
        <v>2594.039203413402</v>
      </c>
      <c r="AR615" s="16">
        <f t="shared" si="76"/>
        <v>1605.960796586598</v>
      </c>
      <c r="AS615" s="17">
        <f t="shared" si="77"/>
        <v>0.38237161823490429</v>
      </c>
      <c r="AT615" s="20">
        <v>4200</v>
      </c>
      <c r="AU615" s="20">
        <v>2965.8935546875</v>
      </c>
      <c r="AV615" s="20">
        <f t="shared" si="78"/>
        <v>1234.1064453125</v>
      </c>
      <c r="AW615" s="21">
        <f t="shared" si="79"/>
        <v>0.29383486793154762</v>
      </c>
    </row>
    <row r="616" spans="1:49" x14ac:dyDescent="0.25">
      <c r="A616" t="s">
        <v>114</v>
      </c>
      <c r="B616" t="s">
        <v>115</v>
      </c>
      <c r="C616">
        <v>100089</v>
      </c>
      <c r="D616">
        <v>2014</v>
      </c>
      <c r="E616" t="s">
        <v>162</v>
      </c>
      <c r="F616" t="s">
        <v>211</v>
      </c>
      <c r="G616" t="s">
        <v>923</v>
      </c>
      <c r="I616">
        <v>4</v>
      </c>
      <c r="J616" t="s">
        <v>43</v>
      </c>
      <c r="K616">
        <v>4</v>
      </c>
      <c r="L616" t="s">
        <v>44</v>
      </c>
      <c r="M616">
        <v>2</v>
      </c>
      <c r="N616" t="s">
        <v>45</v>
      </c>
      <c r="O616" t="s">
        <v>46</v>
      </c>
      <c r="Q616" t="s">
        <v>47</v>
      </c>
      <c r="R616" t="s">
        <v>48</v>
      </c>
      <c r="U616" t="s">
        <v>50</v>
      </c>
      <c r="W616" t="s">
        <v>924</v>
      </c>
      <c r="X616" t="s">
        <v>125</v>
      </c>
      <c r="Y616" t="s">
        <v>66</v>
      </c>
      <c r="AA616">
        <v>0</v>
      </c>
      <c r="AB616" t="s">
        <v>79</v>
      </c>
      <c r="AC616" t="s">
        <v>359</v>
      </c>
      <c r="AD616">
        <v>36</v>
      </c>
      <c r="AE616">
        <v>9</v>
      </c>
      <c r="AF616">
        <v>3</v>
      </c>
      <c r="AG616">
        <v>2025</v>
      </c>
      <c r="AH616" s="2">
        <v>4200</v>
      </c>
      <c r="AI616" s="2">
        <v>3043.033935546875</v>
      </c>
      <c r="AJ616" s="2">
        <f t="shared" si="72"/>
        <v>1156.966064453125</v>
      </c>
      <c r="AK616" s="6">
        <f t="shared" si="73"/>
        <v>0.27546811058407739</v>
      </c>
      <c r="AL616" s="12">
        <v>4200</v>
      </c>
      <c r="AM616" s="12">
        <v>3027.1431502534988</v>
      </c>
      <c r="AN616" s="12">
        <f t="shared" si="74"/>
        <v>1172.8568497465012</v>
      </c>
      <c r="AO616" s="13">
        <f t="shared" si="75"/>
        <v>0.27925163089202409</v>
      </c>
      <c r="AP616" s="16">
        <v>4200</v>
      </c>
      <c r="AQ616" s="16">
        <v>2420.1018869954601</v>
      </c>
      <c r="AR616" s="16">
        <f t="shared" si="76"/>
        <v>1779.8981130045399</v>
      </c>
      <c r="AS616" s="17">
        <f t="shared" si="77"/>
        <v>0.42378526500108094</v>
      </c>
      <c r="AT616" s="20">
        <v>4200</v>
      </c>
      <c r="AU616" s="20">
        <v>3089.443359375</v>
      </c>
      <c r="AV616" s="20">
        <f t="shared" si="78"/>
        <v>1110.556640625</v>
      </c>
      <c r="AW616" s="21">
        <f t="shared" si="79"/>
        <v>0.26441824776785716</v>
      </c>
    </row>
    <row r="617" spans="1:49" x14ac:dyDescent="0.25">
      <c r="A617" t="s">
        <v>38</v>
      </c>
      <c r="B617" t="s">
        <v>68</v>
      </c>
      <c r="C617">
        <v>144628</v>
      </c>
      <c r="D617">
        <v>2016</v>
      </c>
      <c r="E617" t="s">
        <v>40</v>
      </c>
      <c r="F617" t="s">
        <v>149</v>
      </c>
      <c r="G617" t="s">
        <v>925</v>
      </c>
      <c r="H617" t="s">
        <v>434</v>
      </c>
      <c r="I617">
        <v>4</v>
      </c>
      <c r="J617" t="s">
        <v>72</v>
      </c>
      <c r="K617">
        <v>4</v>
      </c>
      <c r="L617" t="s">
        <v>44</v>
      </c>
      <c r="M617">
        <v>2.7</v>
      </c>
      <c r="N617" t="s">
        <v>73</v>
      </c>
      <c r="O617" t="s">
        <v>46</v>
      </c>
      <c r="P617">
        <v>4</v>
      </c>
      <c r="Q617" t="s">
        <v>74</v>
      </c>
      <c r="R617" t="s">
        <v>92</v>
      </c>
      <c r="S617" t="s">
        <v>49</v>
      </c>
      <c r="T617">
        <v>159</v>
      </c>
      <c r="U617" t="s">
        <v>50</v>
      </c>
      <c r="V617" t="s">
        <v>51</v>
      </c>
      <c r="W617" t="s">
        <v>435</v>
      </c>
      <c r="X617" t="s">
        <v>141</v>
      </c>
      <c r="Y617" t="s">
        <v>78</v>
      </c>
      <c r="AA617">
        <v>0</v>
      </c>
      <c r="AB617" t="s">
        <v>79</v>
      </c>
      <c r="AC617" t="s">
        <v>95</v>
      </c>
      <c r="AD617">
        <v>36</v>
      </c>
      <c r="AE617">
        <v>9</v>
      </c>
      <c r="AF617">
        <v>3</v>
      </c>
      <c r="AG617">
        <v>2025</v>
      </c>
      <c r="AH617" s="2">
        <v>8500</v>
      </c>
      <c r="AI617" s="2">
        <v>10083.8642578125</v>
      </c>
      <c r="AJ617" s="2">
        <f t="shared" si="72"/>
        <v>1583.8642578125</v>
      </c>
      <c r="AK617" s="6">
        <f t="shared" si="73"/>
        <v>0.18633697150735293</v>
      </c>
      <c r="AL617" s="12">
        <v>8500</v>
      </c>
      <c r="AM617" s="12">
        <v>9775.760575993565</v>
      </c>
      <c r="AN617" s="12">
        <f t="shared" si="74"/>
        <v>1275.760575993565</v>
      </c>
      <c r="AO617" s="13">
        <f t="shared" si="75"/>
        <v>0.1500894795286547</v>
      </c>
      <c r="AP617" s="16">
        <v>8500</v>
      </c>
      <c r="AQ617" s="16">
        <v>9146.7445166258167</v>
      </c>
      <c r="AR617" s="16">
        <f t="shared" si="76"/>
        <v>646.74451662581669</v>
      </c>
      <c r="AS617" s="17">
        <f t="shared" si="77"/>
        <v>7.608759019127255E-2</v>
      </c>
      <c r="AT617" s="20">
        <v>8500</v>
      </c>
      <c r="AU617" s="20">
        <v>10120.6708984375</v>
      </c>
      <c r="AV617" s="20">
        <f t="shared" si="78"/>
        <v>1620.6708984375</v>
      </c>
      <c r="AW617" s="21">
        <f t="shared" si="79"/>
        <v>0.19066716452205881</v>
      </c>
    </row>
    <row r="618" spans="1:49" x14ac:dyDescent="0.25">
      <c r="A618" t="s">
        <v>128</v>
      </c>
      <c r="B618" t="s">
        <v>129</v>
      </c>
      <c r="C618">
        <v>211318</v>
      </c>
      <c r="D618">
        <v>2006</v>
      </c>
      <c r="E618" t="s">
        <v>317</v>
      </c>
      <c r="F618" t="s">
        <v>318</v>
      </c>
      <c r="G618" t="s">
        <v>749</v>
      </c>
      <c r="I618">
        <v>5</v>
      </c>
      <c r="J618" t="s">
        <v>135</v>
      </c>
      <c r="K618">
        <v>4</v>
      </c>
      <c r="L618" t="s">
        <v>44</v>
      </c>
      <c r="M618">
        <v>2.5</v>
      </c>
      <c r="N618" t="s">
        <v>44</v>
      </c>
      <c r="Q618" t="s">
        <v>62</v>
      </c>
      <c r="R618" t="s">
        <v>63</v>
      </c>
      <c r="S618" t="s">
        <v>85</v>
      </c>
      <c r="W618" t="s">
        <v>926</v>
      </c>
      <c r="X618" t="s">
        <v>125</v>
      </c>
      <c r="Y618" t="s">
        <v>322</v>
      </c>
      <c r="AA618">
        <v>0</v>
      </c>
      <c r="AB618" t="s">
        <v>79</v>
      </c>
      <c r="AC618" t="s">
        <v>87</v>
      </c>
      <c r="AD618">
        <v>36</v>
      </c>
      <c r="AE618">
        <v>9</v>
      </c>
      <c r="AF618">
        <v>3</v>
      </c>
      <c r="AG618">
        <v>2025</v>
      </c>
      <c r="AH618" s="2">
        <v>1000</v>
      </c>
      <c r="AI618" s="2">
        <v>748.3680419921875</v>
      </c>
      <c r="AJ618" s="2">
        <f t="shared" si="72"/>
        <v>251.6319580078125</v>
      </c>
      <c r="AK618" s="6">
        <f t="shared" si="73"/>
        <v>0.25163195800781252</v>
      </c>
      <c r="AL618" s="12">
        <v>1000</v>
      </c>
      <c r="AM618" s="12">
        <v>727.02669892765812</v>
      </c>
      <c r="AN618" s="12">
        <f t="shared" si="74"/>
        <v>272.97330107234188</v>
      </c>
      <c r="AO618" s="13">
        <f t="shared" si="75"/>
        <v>0.27297330107234186</v>
      </c>
      <c r="AP618" s="16">
        <v>1000</v>
      </c>
      <c r="AQ618" s="16">
        <v>631.55708285257367</v>
      </c>
      <c r="AR618" s="16">
        <f t="shared" si="76"/>
        <v>368.44291714742633</v>
      </c>
      <c r="AS618" s="17">
        <f t="shared" si="77"/>
        <v>0.36844291714742633</v>
      </c>
      <c r="AT618" s="20">
        <v>1000</v>
      </c>
      <c r="AU618" s="20">
        <v>731.3951416015625</v>
      </c>
      <c r="AV618" s="20">
        <f t="shared" si="78"/>
        <v>268.6048583984375</v>
      </c>
      <c r="AW618" s="21">
        <f t="shared" si="79"/>
        <v>0.26860485839843751</v>
      </c>
    </row>
    <row r="619" spans="1:49" x14ac:dyDescent="0.25">
      <c r="A619" t="s">
        <v>38</v>
      </c>
      <c r="B619" t="s">
        <v>39</v>
      </c>
      <c r="C619">
        <v>55819</v>
      </c>
      <c r="D619">
        <v>2021</v>
      </c>
      <c r="E619" t="s">
        <v>388</v>
      </c>
      <c r="F619" t="s">
        <v>668</v>
      </c>
      <c r="H619" t="s">
        <v>669</v>
      </c>
      <c r="I619">
        <v>3</v>
      </c>
      <c r="J619" t="s">
        <v>43</v>
      </c>
      <c r="K619">
        <v>4</v>
      </c>
      <c r="L619" t="s">
        <v>358</v>
      </c>
      <c r="M619">
        <v>1.2</v>
      </c>
      <c r="N619" t="s">
        <v>45</v>
      </c>
      <c r="O619" t="s">
        <v>46</v>
      </c>
      <c r="P619">
        <v>2</v>
      </c>
      <c r="Q619" t="s">
        <v>47</v>
      </c>
      <c r="R619" t="s">
        <v>123</v>
      </c>
      <c r="S619" t="s">
        <v>101</v>
      </c>
      <c r="T619">
        <v>78</v>
      </c>
      <c r="U619" t="s">
        <v>50</v>
      </c>
      <c r="V619" t="s">
        <v>51</v>
      </c>
      <c r="W619" t="s">
        <v>438</v>
      </c>
      <c r="X619" t="s">
        <v>125</v>
      </c>
      <c r="Y619" t="s">
        <v>439</v>
      </c>
      <c r="Z619">
        <v>15295</v>
      </c>
      <c r="AA619">
        <v>0</v>
      </c>
      <c r="AB619" t="s">
        <v>79</v>
      </c>
      <c r="AC619" t="s">
        <v>127</v>
      </c>
      <c r="AD619">
        <v>36</v>
      </c>
      <c r="AE619">
        <v>9</v>
      </c>
      <c r="AF619">
        <v>3</v>
      </c>
      <c r="AG619">
        <v>2025</v>
      </c>
      <c r="AH619" s="2">
        <v>4300</v>
      </c>
      <c r="AI619" s="2">
        <v>3398.23828125</v>
      </c>
      <c r="AJ619" s="2">
        <f t="shared" si="72"/>
        <v>901.76171875</v>
      </c>
      <c r="AK619" s="6">
        <f t="shared" si="73"/>
        <v>0.20971202761627908</v>
      </c>
      <c r="AL619" s="12">
        <v>4300</v>
      </c>
      <c r="AM619" s="12">
        <v>4561.658739699843</v>
      </c>
      <c r="AN619" s="12">
        <f t="shared" si="74"/>
        <v>261.65873969984295</v>
      </c>
      <c r="AO619" s="13">
        <f t="shared" si="75"/>
        <v>6.0850869697637894E-2</v>
      </c>
      <c r="AP619" s="16">
        <v>4300</v>
      </c>
      <c r="AQ619" s="16">
        <v>4020.383015137978</v>
      </c>
      <c r="AR619" s="16">
        <f t="shared" si="76"/>
        <v>279.61698486202204</v>
      </c>
      <c r="AS619" s="17">
        <f t="shared" si="77"/>
        <v>6.5027205781865591E-2</v>
      </c>
      <c r="AT619" s="20">
        <v>4300</v>
      </c>
      <c r="AU619" s="20">
        <v>3510.69677734375</v>
      </c>
      <c r="AV619" s="20">
        <f t="shared" si="78"/>
        <v>789.30322265625</v>
      </c>
      <c r="AW619" s="21">
        <f t="shared" si="79"/>
        <v>0.18355888898982559</v>
      </c>
    </row>
    <row r="620" spans="1:49" x14ac:dyDescent="0.25">
      <c r="A620" t="s">
        <v>81</v>
      </c>
      <c r="B620" t="s">
        <v>927</v>
      </c>
      <c r="C620">
        <v>91652</v>
      </c>
      <c r="D620">
        <v>2017</v>
      </c>
      <c r="E620" t="s">
        <v>69</v>
      </c>
      <c r="F620" t="s">
        <v>250</v>
      </c>
      <c r="H620" t="s">
        <v>224</v>
      </c>
      <c r="I620">
        <v>4</v>
      </c>
      <c r="J620" t="s">
        <v>72</v>
      </c>
      <c r="K620">
        <v>4</v>
      </c>
      <c r="L620" t="s">
        <v>44</v>
      </c>
      <c r="M620">
        <v>1.5</v>
      </c>
      <c r="N620" t="s">
        <v>45</v>
      </c>
      <c r="O620" t="s">
        <v>46</v>
      </c>
      <c r="P620">
        <v>2</v>
      </c>
      <c r="Q620" t="s">
        <v>62</v>
      </c>
      <c r="R620" t="s">
        <v>63</v>
      </c>
      <c r="S620" t="s">
        <v>49</v>
      </c>
      <c r="T620">
        <v>170</v>
      </c>
      <c r="U620" t="s">
        <v>50</v>
      </c>
      <c r="V620" t="s">
        <v>51</v>
      </c>
      <c r="W620" t="s">
        <v>928</v>
      </c>
      <c r="X620" t="s">
        <v>65</v>
      </c>
      <c r="Y620" t="s">
        <v>78</v>
      </c>
      <c r="Z620">
        <v>25250</v>
      </c>
      <c r="AA620">
        <v>0</v>
      </c>
      <c r="AB620" t="s">
        <v>79</v>
      </c>
      <c r="AC620" t="s">
        <v>87</v>
      </c>
      <c r="AD620">
        <v>36</v>
      </c>
      <c r="AE620">
        <v>9</v>
      </c>
      <c r="AF620">
        <v>3</v>
      </c>
      <c r="AG620">
        <v>2025</v>
      </c>
      <c r="AH620" s="2">
        <v>5400</v>
      </c>
      <c r="AI620" s="2">
        <v>4303.24169921875</v>
      </c>
      <c r="AJ620" s="2">
        <f t="shared" si="72"/>
        <v>1096.75830078125</v>
      </c>
      <c r="AK620" s="6">
        <f t="shared" si="73"/>
        <v>0.20310338903356481</v>
      </c>
      <c r="AL620" s="12">
        <v>5400</v>
      </c>
      <c r="AM620" s="12">
        <v>4485.1814727425153</v>
      </c>
      <c r="AN620" s="12">
        <f t="shared" si="74"/>
        <v>914.81852725748467</v>
      </c>
      <c r="AO620" s="13">
        <f t="shared" si="75"/>
        <v>0.16941083838101567</v>
      </c>
      <c r="AP620" s="16">
        <v>5400</v>
      </c>
      <c r="AQ620" s="16">
        <v>3917.6471750636729</v>
      </c>
      <c r="AR620" s="16">
        <f t="shared" si="76"/>
        <v>1482.3528249363271</v>
      </c>
      <c r="AS620" s="17">
        <f t="shared" si="77"/>
        <v>0.27450978239561613</v>
      </c>
      <c r="AT620" s="20">
        <v>5400</v>
      </c>
      <c r="AU620" s="20">
        <v>4364.75341796875</v>
      </c>
      <c r="AV620" s="20">
        <f t="shared" si="78"/>
        <v>1035.24658203125</v>
      </c>
      <c r="AW620" s="21">
        <f t="shared" si="79"/>
        <v>0.19171233000578702</v>
      </c>
    </row>
    <row r="621" spans="1:49" x14ac:dyDescent="0.25">
      <c r="A621" t="s">
        <v>114</v>
      </c>
      <c r="B621" t="s">
        <v>158</v>
      </c>
      <c r="C621">
        <v>25824</v>
      </c>
      <c r="D621">
        <v>2020</v>
      </c>
      <c r="E621" t="s">
        <v>174</v>
      </c>
      <c r="F621" t="s">
        <v>254</v>
      </c>
      <c r="H621" t="s">
        <v>176</v>
      </c>
      <c r="I621">
        <v>4</v>
      </c>
      <c r="J621" t="s">
        <v>61</v>
      </c>
      <c r="K621">
        <v>4</v>
      </c>
      <c r="L621" t="s">
        <v>44</v>
      </c>
      <c r="M621">
        <v>2</v>
      </c>
      <c r="N621" t="s">
        <v>44</v>
      </c>
      <c r="Q621" t="s">
        <v>62</v>
      </c>
      <c r="R621" t="s">
        <v>63</v>
      </c>
      <c r="S621" t="s">
        <v>85</v>
      </c>
      <c r="U621" t="s">
        <v>50</v>
      </c>
      <c r="V621" t="s">
        <v>51</v>
      </c>
      <c r="W621" t="s">
        <v>537</v>
      </c>
      <c r="X621" t="s">
        <v>65</v>
      </c>
      <c r="Y621" t="s">
        <v>126</v>
      </c>
      <c r="AA621">
        <v>0</v>
      </c>
      <c r="AB621" t="s">
        <v>79</v>
      </c>
      <c r="AC621" t="s">
        <v>87</v>
      </c>
      <c r="AD621">
        <v>36</v>
      </c>
      <c r="AE621">
        <v>9</v>
      </c>
      <c r="AF621">
        <v>3</v>
      </c>
      <c r="AG621">
        <v>2025</v>
      </c>
      <c r="AH621" s="2">
        <v>19200</v>
      </c>
      <c r="AI621" s="2">
        <v>20288.912109375</v>
      </c>
      <c r="AJ621" s="2">
        <f t="shared" si="72"/>
        <v>1088.912109375</v>
      </c>
      <c r="AK621" s="6">
        <f t="shared" si="73"/>
        <v>5.6714172363281252E-2</v>
      </c>
      <c r="AL621" s="12">
        <v>19200</v>
      </c>
      <c r="AM621" s="12">
        <v>21186.279805947641</v>
      </c>
      <c r="AN621" s="12">
        <f t="shared" si="74"/>
        <v>1986.2798059476409</v>
      </c>
      <c r="AO621" s="13">
        <f t="shared" si="75"/>
        <v>0.10345207322643962</v>
      </c>
      <c r="AP621" s="16">
        <v>19200</v>
      </c>
      <c r="AQ621" s="16">
        <v>18965.04706073687</v>
      </c>
      <c r="AR621" s="16">
        <f t="shared" si="76"/>
        <v>234.95293926313025</v>
      </c>
      <c r="AS621" s="17">
        <f t="shared" si="77"/>
        <v>1.2237132253288034E-2</v>
      </c>
      <c r="AT621" s="20">
        <v>19200</v>
      </c>
      <c r="AU621" s="20">
        <v>20299.88671875</v>
      </c>
      <c r="AV621" s="20">
        <f t="shared" si="78"/>
        <v>1099.88671875</v>
      </c>
      <c r="AW621" s="21">
        <f t="shared" si="79"/>
        <v>5.7285766601562503E-2</v>
      </c>
    </row>
    <row r="622" spans="1:49" x14ac:dyDescent="0.25">
      <c r="A622" t="s">
        <v>38</v>
      </c>
      <c r="B622" t="s">
        <v>110</v>
      </c>
      <c r="C622">
        <v>129050</v>
      </c>
      <c r="D622">
        <v>2014</v>
      </c>
      <c r="E622" t="s">
        <v>174</v>
      </c>
      <c r="F622" t="s">
        <v>314</v>
      </c>
      <c r="G622" t="s">
        <v>548</v>
      </c>
      <c r="H622" t="s">
        <v>89</v>
      </c>
      <c r="I622">
        <v>8</v>
      </c>
      <c r="J622" t="s">
        <v>61</v>
      </c>
      <c r="K622">
        <v>4</v>
      </c>
      <c r="L622" t="s">
        <v>44</v>
      </c>
      <c r="M622">
        <v>6.2</v>
      </c>
      <c r="N622" t="s">
        <v>91</v>
      </c>
      <c r="Q622" t="s">
        <v>74</v>
      </c>
      <c r="R622" t="s">
        <v>92</v>
      </c>
      <c r="S622" t="s">
        <v>93</v>
      </c>
      <c r="U622" t="s">
        <v>50</v>
      </c>
      <c r="W622" t="s">
        <v>929</v>
      </c>
      <c r="X622" t="s">
        <v>108</v>
      </c>
      <c r="Y622" t="s">
        <v>126</v>
      </c>
      <c r="AA622">
        <v>0</v>
      </c>
      <c r="AB622" t="s">
        <v>79</v>
      </c>
      <c r="AC622" t="s">
        <v>95</v>
      </c>
      <c r="AD622">
        <v>36</v>
      </c>
      <c r="AE622">
        <v>9</v>
      </c>
      <c r="AF622">
        <v>3</v>
      </c>
      <c r="AG622">
        <v>2025</v>
      </c>
      <c r="AH622" s="2">
        <v>13200</v>
      </c>
      <c r="AI622" s="2">
        <v>13051.140625</v>
      </c>
      <c r="AJ622" s="2">
        <f t="shared" si="72"/>
        <v>148.859375</v>
      </c>
      <c r="AK622" s="6">
        <f t="shared" si="73"/>
        <v>1.127722537878788E-2</v>
      </c>
      <c r="AL622" s="12">
        <v>13200</v>
      </c>
      <c r="AM622" s="12">
        <v>11942.300571045749</v>
      </c>
      <c r="AN622" s="12">
        <f t="shared" si="74"/>
        <v>1257.6994289542508</v>
      </c>
      <c r="AO622" s="13">
        <f t="shared" si="75"/>
        <v>9.5280259769261424E-2</v>
      </c>
      <c r="AP622" s="16">
        <v>13200</v>
      </c>
      <c r="AQ622" s="16">
        <v>13294.40026937221</v>
      </c>
      <c r="AR622" s="16">
        <f t="shared" si="76"/>
        <v>94.40026937221046</v>
      </c>
      <c r="AS622" s="17">
        <f t="shared" si="77"/>
        <v>7.1515355585007922E-3</v>
      </c>
      <c r="AT622" s="20">
        <v>13200</v>
      </c>
      <c r="AU622" s="20">
        <v>12791.1484375</v>
      </c>
      <c r="AV622" s="20">
        <f t="shared" si="78"/>
        <v>408.8515625</v>
      </c>
      <c r="AW622" s="21">
        <f t="shared" si="79"/>
        <v>3.0973603219696971E-2</v>
      </c>
    </row>
    <row r="623" spans="1:49" x14ac:dyDescent="0.25">
      <c r="A623" t="s">
        <v>38</v>
      </c>
      <c r="B623" t="s">
        <v>68</v>
      </c>
      <c r="C623">
        <v>87002</v>
      </c>
      <c r="D623">
        <v>2019</v>
      </c>
      <c r="E623" t="s">
        <v>69</v>
      </c>
      <c r="F623" t="s">
        <v>250</v>
      </c>
      <c r="H623" t="s">
        <v>224</v>
      </c>
      <c r="I623">
        <v>4</v>
      </c>
      <c r="J623" t="s">
        <v>43</v>
      </c>
      <c r="K623">
        <v>4</v>
      </c>
      <c r="L623" t="s">
        <v>44</v>
      </c>
      <c r="M623">
        <v>1.5</v>
      </c>
      <c r="N623" t="s">
        <v>45</v>
      </c>
      <c r="O623" t="s">
        <v>46</v>
      </c>
      <c r="P623">
        <v>3</v>
      </c>
      <c r="Q623" t="s">
        <v>62</v>
      </c>
      <c r="R623" t="s">
        <v>63</v>
      </c>
      <c r="S623" t="s">
        <v>49</v>
      </c>
      <c r="T623">
        <v>170</v>
      </c>
      <c r="U623" t="s">
        <v>50</v>
      </c>
      <c r="V623" t="s">
        <v>51</v>
      </c>
      <c r="W623" t="s">
        <v>598</v>
      </c>
      <c r="X623" t="s">
        <v>65</v>
      </c>
      <c r="Y623" t="s">
        <v>78</v>
      </c>
      <c r="Z623">
        <v>26500</v>
      </c>
      <c r="AA623">
        <v>0</v>
      </c>
      <c r="AB623" t="s">
        <v>79</v>
      </c>
      <c r="AC623" t="s">
        <v>87</v>
      </c>
      <c r="AD623">
        <v>36</v>
      </c>
      <c r="AE623">
        <v>9</v>
      </c>
      <c r="AF623">
        <v>3</v>
      </c>
      <c r="AG623">
        <v>2025</v>
      </c>
      <c r="AH623" s="2">
        <v>5300</v>
      </c>
      <c r="AI623" s="2">
        <v>7350.6103515625</v>
      </c>
      <c r="AJ623" s="2">
        <f t="shared" si="72"/>
        <v>2050.6103515625</v>
      </c>
      <c r="AK623" s="6">
        <f t="shared" si="73"/>
        <v>0.38690761350235847</v>
      </c>
      <c r="AL623" s="12">
        <v>5300</v>
      </c>
      <c r="AM623" s="12">
        <v>7624.2436708629157</v>
      </c>
      <c r="AN623" s="12">
        <f t="shared" si="74"/>
        <v>2324.2436708629157</v>
      </c>
      <c r="AO623" s="13">
        <f t="shared" si="75"/>
        <v>0.43853654167224826</v>
      </c>
      <c r="AP623" s="16">
        <v>5300</v>
      </c>
      <c r="AQ623" s="16">
        <v>6344.0492688823751</v>
      </c>
      <c r="AR623" s="16">
        <f t="shared" si="76"/>
        <v>1044.0492688823751</v>
      </c>
      <c r="AS623" s="17">
        <f t="shared" si="77"/>
        <v>0.19699042809101419</v>
      </c>
      <c r="AT623" s="20">
        <v>5300</v>
      </c>
      <c r="AU623" s="20">
        <v>7484.6845703125</v>
      </c>
      <c r="AV623" s="20">
        <f t="shared" si="78"/>
        <v>2184.6845703125</v>
      </c>
      <c r="AW623" s="21">
        <f t="shared" si="79"/>
        <v>0.41220463590801887</v>
      </c>
    </row>
    <row r="624" spans="1:49" x14ac:dyDescent="0.25">
      <c r="A624" t="s">
        <v>38</v>
      </c>
      <c r="B624" t="s">
        <v>110</v>
      </c>
      <c r="C624">
        <v>185492</v>
      </c>
      <c r="D624">
        <v>2010</v>
      </c>
      <c r="E624" t="s">
        <v>116</v>
      </c>
      <c r="F624" t="s">
        <v>237</v>
      </c>
      <c r="G624" t="s">
        <v>396</v>
      </c>
      <c r="H624" t="s">
        <v>240</v>
      </c>
      <c r="I624">
        <v>6</v>
      </c>
      <c r="J624" t="s">
        <v>61</v>
      </c>
      <c r="K624">
        <v>4</v>
      </c>
      <c r="L624" t="s">
        <v>44</v>
      </c>
      <c r="M624">
        <v>3.5</v>
      </c>
      <c r="N624" t="s">
        <v>73</v>
      </c>
      <c r="Q624" t="s">
        <v>47</v>
      </c>
      <c r="R624" t="s">
        <v>123</v>
      </c>
      <c r="S624" t="s">
        <v>179</v>
      </c>
      <c r="U624" t="s">
        <v>50</v>
      </c>
      <c r="X624" t="s">
        <v>125</v>
      </c>
      <c r="Y624" t="s">
        <v>103</v>
      </c>
      <c r="AA624">
        <v>0</v>
      </c>
      <c r="AB624" t="s">
        <v>79</v>
      </c>
      <c r="AC624" t="s">
        <v>127</v>
      </c>
      <c r="AD624">
        <v>36</v>
      </c>
      <c r="AE624">
        <v>9</v>
      </c>
      <c r="AF624">
        <v>3</v>
      </c>
      <c r="AG624">
        <v>2025</v>
      </c>
      <c r="AH624" s="2">
        <v>900</v>
      </c>
      <c r="AI624" s="2">
        <v>1175.9072265625</v>
      </c>
      <c r="AJ624" s="2">
        <f t="shared" si="72"/>
        <v>275.9072265625</v>
      </c>
      <c r="AK624" s="6">
        <f t="shared" si="73"/>
        <v>0.30656358506944442</v>
      </c>
      <c r="AL624" s="12">
        <v>900</v>
      </c>
      <c r="AM624" s="12">
        <v>1429.7290139381671</v>
      </c>
      <c r="AN624" s="12">
        <f t="shared" si="74"/>
        <v>529.7290139381671</v>
      </c>
      <c r="AO624" s="13">
        <f t="shared" si="75"/>
        <v>0.58858779326463007</v>
      </c>
      <c r="AP624" s="16">
        <v>900</v>
      </c>
      <c r="AQ624" s="16">
        <v>1248.077289878561</v>
      </c>
      <c r="AR624" s="16">
        <f t="shared" si="76"/>
        <v>348.07728987856103</v>
      </c>
      <c r="AS624" s="17">
        <f t="shared" si="77"/>
        <v>0.38675254430951228</v>
      </c>
      <c r="AT624" s="20">
        <v>900</v>
      </c>
      <c r="AU624" s="20">
        <v>1173.422729492188</v>
      </c>
      <c r="AV624" s="20">
        <f t="shared" si="78"/>
        <v>273.42272949218795</v>
      </c>
      <c r="AW624" s="21">
        <f t="shared" si="79"/>
        <v>0.3038030327690977</v>
      </c>
    </row>
    <row r="625" spans="1:49" x14ac:dyDescent="0.25">
      <c r="A625" t="s">
        <v>38</v>
      </c>
      <c r="B625" t="s">
        <v>110</v>
      </c>
      <c r="C625">
        <v>133825</v>
      </c>
      <c r="D625">
        <v>2018</v>
      </c>
      <c r="E625" t="s">
        <v>97</v>
      </c>
      <c r="F625" t="s">
        <v>98</v>
      </c>
      <c r="G625" t="s">
        <v>930</v>
      </c>
      <c r="I625">
        <v>4</v>
      </c>
      <c r="J625" t="s">
        <v>72</v>
      </c>
      <c r="K625">
        <v>4</v>
      </c>
      <c r="L625" t="s">
        <v>44</v>
      </c>
      <c r="M625">
        <v>2</v>
      </c>
      <c r="N625" t="s">
        <v>45</v>
      </c>
      <c r="O625" t="s">
        <v>46</v>
      </c>
      <c r="P625">
        <v>2</v>
      </c>
      <c r="Q625" t="s">
        <v>62</v>
      </c>
      <c r="R625" t="s">
        <v>63</v>
      </c>
      <c r="S625" t="s">
        <v>101</v>
      </c>
      <c r="U625" t="s">
        <v>50</v>
      </c>
      <c r="V625" t="s">
        <v>51</v>
      </c>
      <c r="W625" t="s">
        <v>931</v>
      </c>
      <c r="X625" t="s">
        <v>65</v>
      </c>
      <c r="Y625" t="s">
        <v>103</v>
      </c>
      <c r="Z625">
        <v>30800</v>
      </c>
      <c r="AA625">
        <v>0</v>
      </c>
      <c r="AB625" t="s">
        <v>79</v>
      </c>
      <c r="AC625" t="s">
        <v>87</v>
      </c>
      <c r="AD625">
        <v>36</v>
      </c>
      <c r="AE625">
        <v>9</v>
      </c>
      <c r="AF625">
        <v>3</v>
      </c>
      <c r="AG625">
        <v>2025</v>
      </c>
      <c r="AH625" s="2">
        <v>3600</v>
      </c>
      <c r="AI625" s="2">
        <v>4649.11767578125</v>
      </c>
      <c r="AJ625" s="2">
        <f t="shared" si="72"/>
        <v>1049.11767578125</v>
      </c>
      <c r="AK625" s="6">
        <f t="shared" si="73"/>
        <v>0.29142157660590279</v>
      </c>
      <c r="AL625" s="12">
        <v>3600</v>
      </c>
      <c r="AM625" s="12">
        <v>4187.8139082700163</v>
      </c>
      <c r="AN625" s="12">
        <f t="shared" si="74"/>
        <v>587.81390827001633</v>
      </c>
      <c r="AO625" s="13">
        <f t="shared" si="75"/>
        <v>0.16328164118611566</v>
      </c>
      <c r="AP625" s="16">
        <v>3600</v>
      </c>
      <c r="AQ625" s="16">
        <v>4533.3240858923382</v>
      </c>
      <c r="AR625" s="16">
        <f t="shared" si="76"/>
        <v>933.32408589233819</v>
      </c>
      <c r="AS625" s="17">
        <f t="shared" si="77"/>
        <v>0.25925669052564948</v>
      </c>
      <c r="AT625" s="20">
        <v>3600</v>
      </c>
      <c r="AU625" s="20">
        <v>4652.25830078125</v>
      </c>
      <c r="AV625" s="20">
        <f t="shared" si="78"/>
        <v>1052.25830078125</v>
      </c>
      <c r="AW625" s="21">
        <f t="shared" si="79"/>
        <v>0.2922939724392361</v>
      </c>
    </row>
    <row r="626" spans="1:49" x14ac:dyDescent="0.25">
      <c r="A626" t="s">
        <v>38</v>
      </c>
      <c r="B626" t="s">
        <v>39</v>
      </c>
      <c r="C626">
        <v>146164</v>
      </c>
      <c r="D626">
        <v>2010</v>
      </c>
      <c r="E626" t="s">
        <v>162</v>
      </c>
      <c r="F626" t="s">
        <v>688</v>
      </c>
      <c r="G626" t="s">
        <v>221</v>
      </c>
      <c r="I626">
        <v>4</v>
      </c>
      <c r="J626" t="s">
        <v>72</v>
      </c>
      <c r="K626">
        <v>2</v>
      </c>
      <c r="L626" t="s">
        <v>44</v>
      </c>
      <c r="M626">
        <v>1.6</v>
      </c>
      <c r="N626" t="s">
        <v>45</v>
      </c>
      <c r="O626" t="s">
        <v>46</v>
      </c>
      <c r="Q626" t="s">
        <v>47</v>
      </c>
      <c r="R626" t="s">
        <v>48</v>
      </c>
      <c r="U626" t="s">
        <v>50</v>
      </c>
      <c r="W626" t="s">
        <v>932</v>
      </c>
      <c r="X626" t="s">
        <v>125</v>
      </c>
      <c r="Y626" t="s">
        <v>66</v>
      </c>
      <c r="AA626">
        <v>0</v>
      </c>
      <c r="AB626" t="s">
        <v>79</v>
      </c>
      <c r="AC626" t="s">
        <v>359</v>
      </c>
      <c r="AD626">
        <v>36</v>
      </c>
      <c r="AE626">
        <v>9</v>
      </c>
      <c r="AF626">
        <v>3</v>
      </c>
      <c r="AG626">
        <v>2025</v>
      </c>
      <c r="AH626" s="2">
        <v>1000</v>
      </c>
      <c r="AI626" s="2">
        <v>1295.988037109375</v>
      </c>
      <c r="AJ626" s="2">
        <f t="shared" si="72"/>
        <v>295.988037109375</v>
      </c>
      <c r="AK626" s="6">
        <f t="shared" si="73"/>
        <v>0.29598803710937499</v>
      </c>
      <c r="AL626" s="12">
        <v>1000</v>
      </c>
      <c r="AM626" s="12">
        <v>1253.453593372619</v>
      </c>
      <c r="AN626" s="12">
        <f t="shared" si="74"/>
        <v>253.45359337261903</v>
      </c>
      <c r="AO626" s="13">
        <f t="shared" si="75"/>
        <v>0.25345359337261902</v>
      </c>
      <c r="AP626" s="16">
        <v>1000</v>
      </c>
      <c r="AQ626" s="16">
        <v>1140.2646190321791</v>
      </c>
      <c r="AR626" s="16">
        <f t="shared" si="76"/>
        <v>140.2646190321791</v>
      </c>
      <c r="AS626" s="17">
        <f t="shared" si="77"/>
        <v>0.1402646190321791</v>
      </c>
      <c r="AT626" s="20">
        <v>1000</v>
      </c>
      <c r="AU626" s="20">
        <v>1255.55712890625</v>
      </c>
      <c r="AV626" s="20">
        <f t="shared" si="78"/>
        <v>255.55712890625</v>
      </c>
      <c r="AW626" s="21">
        <f t="shared" si="79"/>
        <v>0.25555712890624999</v>
      </c>
    </row>
    <row r="627" spans="1:49" x14ac:dyDescent="0.25">
      <c r="A627" t="s">
        <v>38</v>
      </c>
      <c r="B627" t="s">
        <v>110</v>
      </c>
      <c r="C627">
        <v>292092</v>
      </c>
      <c r="D627">
        <v>2015</v>
      </c>
      <c r="E627" t="s">
        <v>174</v>
      </c>
      <c r="F627" t="s">
        <v>314</v>
      </c>
      <c r="G627" t="s">
        <v>315</v>
      </c>
      <c r="H627" t="s">
        <v>312</v>
      </c>
      <c r="I627">
        <v>8</v>
      </c>
      <c r="J627" t="s">
        <v>72</v>
      </c>
      <c r="K627">
        <v>4</v>
      </c>
      <c r="L627" t="s">
        <v>44</v>
      </c>
      <c r="M627">
        <v>6.6</v>
      </c>
      <c r="N627" t="s">
        <v>91</v>
      </c>
      <c r="Q627" t="s">
        <v>74</v>
      </c>
      <c r="R627" t="s">
        <v>92</v>
      </c>
      <c r="S627" t="s">
        <v>93</v>
      </c>
      <c r="U627" t="s">
        <v>229</v>
      </c>
      <c r="V627" t="s">
        <v>76</v>
      </c>
      <c r="W627" t="s">
        <v>933</v>
      </c>
      <c r="X627" t="s">
        <v>230</v>
      </c>
      <c r="Y627" t="s">
        <v>78</v>
      </c>
      <c r="AA627">
        <v>0</v>
      </c>
      <c r="AB627" t="s">
        <v>79</v>
      </c>
      <c r="AC627" t="s">
        <v>95</v>
      </c>
      <c r="AD627">
        <v>36</v>
      </c>
      <c r="AE627">
        <v>9</v>
      </c>
      <c r="AF627">
        <v>3</v>
      </c>
      <c r="AG627">
        <v>2025</v>
      </c>
      <c r="AH627" s="2">
        <v>7250</v>
      </c>
      <c r="AI627" s="2">
        <v>12062.1435546875</v>
      </c>
      <c r="AJ627" s="2">
        <f t="shared" si="72"/>
        <v>4812.1435546875</v>
      </c>
      <c r="AK627" s="6">
        <f t="shared" si="73"/>
        <v>0.66374393857758618</v>
      </c>
      <c r="AL627" s="12">
        <v>7250</v>
      </c>
      <c r="AM627" s="12">
        <v>9907.6477413060638</v>
      </c>
      <c r="AN627" s="12">
        <f t="shared" si="74"/>
        <v>2657.6477413060638</v>
      </c>
      <c r="AO627" s="13">
        <f t="shared" si="75"/>
        <v>0.36657210224911224</v>
      </c>
      <c r="AP627" s="16">
        <v>7250</v>
      </c>
      <c r="AQ627" s="16">
        <v>9760.4663820760416</v>
      </c>
      <c r="AR627" s="16">
        <f t="shared" si="76"/>
        <v>2510.4663820760416</v>
      </c>
      <c r="AS627" s="17">
        <f t="shared" si="77"/>
        <v>0.34627122511393676</v>
      </c>
      <c r="AT627" s="20">
        <v>7250</v>
      </c>
      <c r="AU627" s="20">
        <v>11688.134765625</v>
      </c>
      <c r="AV627" s="20">
        <f t="shared" si="78"/>
        <v>4438.134765625</v>
      </c>
      <c r="AW627" s="21">
        <f t="shared" si="79"/>
        <v>0.61215651939655169</v>
      </c>
    </row>
    <row r="628" spans="1:49" x14ac:dyDescent="0.25">
      <c r="A628" t="s">
        <v>38</v>
      </c>
      <c r="B628" t="s">
        <v>96</v>
      </c>
      <c r="C628">
        <v>80383</v>
      </c>
      <c r="D628">
        <v>2020</v>
      </c>
      <c r="E628" t="s">
        <v>97</v>
      </c>
      <c r="F628" t="s">
        <v>363</v>
      </c>
      <c r="G628" t="s">
        <v>199</v>
      </c>
      <c r="I628">
        <v>4</v>
      </c>
      <c r="J628" t="s">
        <v>135</v>
      </c>
      <c r="K628">
        <v>4</v>
      </c>
      <c r="L628" t="s">
        <v>44</v>
      </c>
      <c r="M628">
        <v>1.4</v>
      </c>
      <c r="N628" t="s">
        <v>45</v>
      </c>
      <c r="O628" t="s">
        <v>100</v>
      </c>
      <c r="Q628" t="s">
        <v>62</v>
      </c>
      <c r="R628" t="s">
        <v>63</v>
      </c>
      <c r="S628" t="s">
        <v>101</v>
      </c>
      <c r="U628" t="s">
        <v>50</v>
      </c>
      <c r="W628" t="s">
        <v>365</v>
      </c>
      <c r="X628" t="s">
        <v>65</v>
      </c>
      <c r="Y628" t="s">
        <v>66</v>
      </c>
      <c r="Z628">
        <v>21300</v>
      </c>
      <c r="AA628">
        <v>0</v>
      </c>
      <c r="AB628" t="s">
        <v>79</v>
      </c>
      <c r="AC628" t="s">
        <v>87</v>
      </c>
      <c r="AD628">
        <v>36</v>
      </c>
      <c r="AE628">
        <v>9</v>
      </c>
      <c r="AF628">
        <v>3</v>
      </c>
      <c r="AG628">
        <v>2025</v>
      </c>
      <c r="AH628" s="2">
        <v>4800</v>
      </c>
      <c r="AI628" s="2">
        <v>2936.635009765625</v>
      </c>
      <c r="AJ628" s="2">
        <f t="shared" si="72"/>
        <v>1863.364990234375</v>
      </c>
      <c r="AK628" s="6">
        <f t="shared" si="73"/>
        <v>0.38820103963216146</v>
      </c>
      <c r="AL628" s="12">
        <v>4800</v>
      </c>
      <c r="AM628" s="12">
        <v>4097.2955963831037</v>
      </c>
      <c r="AN628" s="12">
        <f t="shared" si="74"/>
        <v>702.70440361689634</v>
      </c>
      <c r="AO628" s="13">
        <f t="shared" si="75"/>
        <v>0.14639675075352007</v>
      </c>
      <c r="AP628" s="16">
        <v>4800</v>
      </c>
      <c r="AQ628" s="16">
        <v>3351.1211284974011</v>
      </c>
      <c r="AR628" s="16">
        <f t="shared" si="76"/>
        <v>1448.8788715025989</v>
      </c>
      <c r="AS628" s="17">
        <f t="shared" si="77"/>
        <v>0.30184976489637477</v>
      </c>
      <c r="AT628" s="20">
        <v>4800</v>
      </c>
      <c r="AU628" s="20">
        <v>2997.921875</v>
      </c>
      <c r="AV628" s="20">
        <f t="shared" si="78"/>
        <v>1802.078125</v>
      </c>
      <c r="AW628" s="21">
        <f t="shared" si="79"/>
        <v>0.37543294270833333</v>
      </c>
    </row>
    <row r="629" spans="1:49" x14ac:dyDescent="0.25">
      <c r="A629" t="s">
        <v>128</v>
      </c>
      <c r="B629" t="s">
        <v>129</v>
      </c>
      <c r="C629">
        <v>158979</v>
      </c>
      <c r="D629">
        <v>2000</v>
      </c>
      <c r="E629" t="s">
        <v>69</v>
      </c>
      <c r="F629" t="s">
        <v>258</v>
      </c>
      <c r="I629">
        <v>8</v>
      </c>
      <c r="J629" t="s">
        <v>72</v>
      </c>
      <c r="K629">
        <v>2</v>
      </c>
      <c r="L629" t="s">
        <v>934</v>
      </c>
      <c r="M629">
        <v>5.4</v>
      </c>
      <c r="N629" t="s">
        <v>91</v>
      </c>
      <c r="Q629" t="s">
        <v>477</v>
      </c>
      <c r="R629" t="s">
        <v>935</v>
      </c>
      <c r="S629" t="s">
        <v>93</v>
      </c>
      <c r="T629">
        <v>255</v>
      </c>
      <c r="U629" t="s">
        <v>50</v>
      </c>
      <c r="V629" t="s">
        <v>76</v>
      </c>
      <c r="X629" t="s">
        <v>260</v>
      </c>
      <c r="Y629" t="s">
        <v>78</v>
      </c>
      <c r="AA629">
        <v>0</v>
      </c>
      <c r="AB629" t="s">
        <v>79</v>
      </c>
      <c r="AC629" t="s">
        <v>886</v>
      </c>
      <c r="AD629">
        <v>36</v>
      </c>
      <c r="AE629">
        <v>9</v>
      </c>
      <c r="AF629">
        <v>3</v>
      </c>
      <c r="AG629">
        <v>2025</v>
      </c>
      <c r="AH629" s="2">
        <v>800</v>
      </c>
      <c r="AI629" s="2">
        <v>1734.054565429688</v>
      </c>
      <c r="AJ629" s="2">
        <f t="shared" si="72"/>
        <v>934.05456542968795</v>
      </c>
      <c r="AK629" s="6">
        <f t="shared" si="73"/>
        <v>1.16756820678711</v>
      </c>
      <c r="AL629" s="12">
        <v>800</v>
      </c>
      <c r="AM629" s="12">
        <v>1550.590483910275</v>
      </c>
      <c r="AN629" s="12">
        <f t="shared" si="74"/>
        <v>750.590483910275</v>
      </c>
      <c r="AO629" s="13">
        <f t="shared" si="75"/>
        <v>0.93823810488784376</v>
      </c>
      <c r="AP629" s="16">
        <v>800</v>
      </c>
      <c r="AQ629" s="16">
        <v>2461.9667525989798</v>
      </c>
      <c r="AR629" s="16">
        <f t="shared" si="76"/>
        <v>1661.9667525989798</v>
      </c>
      <c r="AS629" s="17">
        <f t="shared" si="77"/>
        <v>2.0774584407487247</v>
      </c>
      <c r="AT629" s="20">
        <v>800</v>
      </c>
      <c r="AU629" s="20">
        <v>1696.2705078125</v>
      </c>
      <c r="AV629" s="20">
        <f t="shared" si="78"/>
        <v>896.2705078125</v>
      </c>
      <c r="AW629" s="21">
        <f t="shared" si="79"/>
        <v>1.1203381347656249</v>
      </c>
    </row>
    <row r="630" spans="1:49" x14ac:dyDescent="0.25">
      <c r="A630" t="s">
        <v>81</v>
      </c>
      <c r="B630" t="s">
        <v>936</v>
      </c>
      <c r="C630">
        <v>35821</v>
      </c>
      <c r="D630">
        <v>2024</v>
      </c>
      <c r="E630" t="s">
        <v>263</v>
      </c>
      <c r="F630" t="s">
        <v>264</v>
      </c>
      <c r="G630" t="s">
        <v>742</v>
      </c>
      <c r="I630">
        <v>4</v>
      </c>
      <c r="J630" t="s">
        <v>277</v>
      </c>
      <c r="K630">
        <v>4</v>
      </c>
      <c r="L630" t="s">
        <v>44</v>
      </c>
      <c r="M630">
        <v>2.5</v>
      </c>
      <c r="N630" t="s">
        <v>44</v>
      </c>
      <c r="O630" t="s">
        <v>46</v>
      </c>
      <c r="P630">
        <v>4</v>
      </c>
      <c r="Q630" t="s">
        <v>62</v>
      </c>
      <c r="R630" t="s">
        <v>63</v>
      </c>
      <c r="S630" t="s">
        <v>93</v>
      </c>
      <c r="T630">
        <v>187</v>
      </c>
      <c r="U630" t="s">
        <v>50</v>
      </c>
      <c r="V630" t="s">
        <v>51</v>
      </c>
      <c r="W630" t="s">
        <v>266</v>
      </c>
      <c r="X630" t="s">
        <v>65</v>
      </c>
      <c r="Y630" t="s">
        <v>54</v>
      </c>
      <c r="AA630">
        <v>0</v>
      </c>
      <c r="AB630" t="s">
        <v>79</v>
      </c>
      <c r="AC630" t="s">
        <v>87</v>
      </c>
      <c r="AD630">
        <v>36</v>
      </c>
      <c r="AE630">
        <v>9</v>
      </c>
      <c r="AF630">
        <v>3</v>
      </c>
      <c r="AG630">
        <v>2025</v>
      </c>
      <c r="AH630" s="2">
        <v>22200</v>
      </c>
      <c r="AI630" s="2">
        <v>23153.48828125</v>
      </c>
      <c r="AJ630" s="2">
        <f t="shared" si="72"/>
        <v>953.48828125</v>
      </c>
      <c r="AK630" s="6">
        <f t="shared" si="73"/>
        <v>4.2949922578828827E-2</v>
      </c>
      <c r="AL630" s="12">
        <v>22200</v>
      </c>
      <c r="AM630" s="12">
        <v>26522.74432046416</v>
      </c>
      <c r="AN630" s="12">
        <f t="shared" si="74"/>
        <v>4322.7443204641604</v>
      </c>
      <c r="AO630" s="13">
        <f t="shared" si="75"/>
        <v>0.19471821263352074</v>
      </c>
      <c r="AP630" s="16">
        <v>22200</v>
      </c>
      <c r="AQ630" s="16">
        <v>20775.73932955624</v>
      </c>
      <c r="AR630" s="16">
        <f t="shared" si="76"/>
        <v>1424.2606704437603</v>
      </c>
      <c r="AS630" s="17">
        <f t="shared" si="77"/>
        <v>6.4155886056025235E-2</v>
      </c>
      <c r="AT630" s="20">
        <v>22200</v>
      </c>
      <c r="AU630" s="20">
        <v>23599.341796875</v>
      </c>
      <c r="AV630" s="20">
        <f t="shared" si="78"/>
        <v>1399.341796875</v>
      </c>
      <c r="AW630" s="21">
        <f t="shared" si="79"/>
        <v>6.3033414273648655E-2</v>
      </c>
    </row>
    <row r="631" spans="1:49" x14ac:dyDescent="0.25">
      <c r="A631" t="s">
        <v>38</v>
      </c>
      <c r="B631" t="s">
        <v>39</v>
      </c>
      <c r="C631">
        <v>42624</v>
      </c>
      <c r="D631">
        <v>2024</v>
      </c>
      <c r="E631" t="s">
        <v>97</v>
      </c>
      <c r="F631" t="s">
        <v>159</v>
      </c>
      <c r="G631" t="s">
        <v>937</v>
      </c>
      <c r="H631" t="s">
        <v>89</v>
      </c>
      <c r="I631">
        <v>8</v>
      </c>
      <c r="J631" t="s">
        <v>72</v>
      </c>
      <c r="K631">
        <v>4</v>
      </c>
      <c r="L631" t="s">
        <v>44</v>
      </c>
      <c r="M631">
        <v>6.2</v>
      </c>
      <c r="N631" t="s">
        <v>91</v>
      </c>
      <c r="O631" t="s">
        <v>46</v>
      </c>
      <c r="Q631" t="s">
        <v>74</v>
      </c>
      <c r="R631" t="s">
        <v>92</v>
      </c>
      <c r="S631" t="s">
        <v>93</v>
      </c>
      <c r="U631" t="s">
        <v>50</v>
      </c>
      <c r="V631" t="s">
        <v>76</v>
      </c>
      <c r="W631" t="s">
        <v>910</v>
      </c>
      <c r="X631" t="s">
        <v>108</v>
      </c>
      <c r="Y631" t="s">
        <v>126</v>
      </c>
      <c r="AA631">
        <v>0</v>
      </c>
      <c r="AB631" t="s">
        <v>79</v>
      </c>
      <c r="AC631" t="s">
        <v>95</v>
      </c>
      <c r="AD631">
        <v>36</v>
      </c>
      <c r="AE631">
        <v>9</v>
      </c>
      <c r="AF631">
        <v>3</v>
      </c>
      <c r="AG631">
        <v>2025</v>
      </c>
      <c r="AH631" s="2">
        <v>44750</v>
      </c>
      <c r="AI631" s="2">
        <v>65006.39453125</v>
      </c>
      <c r="AJ631" s="2">
        <f t="shared" si="72"/>
        <v>20256.39453125</v>
      </c>
      <c r="AK631" s="6">
        <f t="shared" si="73"/>
        <v>0.45265686103351954</v>
      </c>
      <c r="AL631" s="12">
        <v>44750</v>
      </c>
      <c r="AM631" s="12">
        <v>52333.699942177263</v>
      </c>
      <c r="AN631" s="12">
        <f t="shared" si="74"/>
        <v>7583.6999421772634</v>
      </c>
      <c r="AO631" s="13">
        <f t="shared" si="75"/>
        <v>0.16946815513245281</v>
      </c>
      <c r="AP631" s="16">
        <v>44750</v>
      </c>
      <c r="AQ631" s="16">
        <v>41328.369321263723</v>
      </c>
      <c r="AR631" s="16">
        <f t="shared" si="76"/>
        <v>3421.6306787362773</v>
      </c>
      <c r="AS631" s="17">
        <f t="shared" si="77"/>
        <v>7.6461020753883294E-2</v>
      </c>
      <c r="AT631" s="20">
        <v>44750</v>
      </c>
      <c r="AU631" s="20">
        <v>60039.70703125</v>
      </c>
      <c r="AV631" s="20">
        <f t="shared" si="78"/>
        <v>15289.70703125</v>
      </c>
      <c r="AW631" s="21">
        <f t="shared" si="79"/>
        <v>0.34166943086592177</v>
      </c>
    </row>
    <row r="632" spans="1:49" x14ac:dyDescent="0.25">
      <c r="A632" t="s">
        <v>38</v>
      </c>
      <c r="B632" t="s">
        <v>110</v>
      </c>
      <c r="C632">
        <v>141414</v>
      </c>
      <c r="D632">
        <v>2019</v>
      </c>
      <c r="E632" t="s">
        <v>142</v>
      </c>
      <c r="F632" t="s">
        <v>143</v>
      </c>
      <c r="H632" t="s">
        <v>938</v>
      </c>
      <c r="I632">
        <v>4</v>
      </c>
      <c r="J632" t="s">
        <v>72</v>
      </c>
      <c r="K632">
        <v>4</v>
      </c>
      <c r="L632" t="s">
        <v>44</v>
      </c>
      <c r="M632">
        <v>2.4</v>
      </c>
      <c r="N632" t="s">
        <v>45</v>
      </c>
      <c r="Q632" t="s">
        <v>62</v>
      </c>
      <c r="R632" t="s">
        <v>63</v>
      </c>
      <c r="S632" t="s">
        <v>49</v>
      </c>
      <c r="T632">
        <v>184</v>
      </c>
      <c r="U632" t="s">
        <v>50</v>
      </c>
      <c r="V632" t="s">
        <v>51</v>
      </c>
      <c r="X632" t="s">
        <v>141</v>
      </c>
      <c r="Y632" t="s">
        <v>78</v>
      </c>
      <c r="Z632">
        <v>27395</v>
      </c>
      <c r="AA632">
        <v>0</v>
      </c>
      <c r="AB632" t="s">
        <v>79</v>
      </c>
      <c r="AC632" t="s">
        <v>87</v>
      </c>
      <c r="AD632">
        <v>36</v>
      </c>
      <c r="AE632">
        <v>9</v>
      </c>
      <c r="AF632">
        <v>3</v>
      </c>
      <c r="AG632">
        <v>2025</v>
      </c>
      <c r="AH632" s="2">
        <v>2200</v>
      </c>
      <c r="AI632" s="2">
        <v>4267.50244140625</v>
      </c>
      <c r="AJ632" s="2">
        <f t="shared" si="72"/>
        <v>2067.50244140625</v>
      </c>
      <c r="AK632" s="6">
        <f t="shared" si="73"/>
        <v>0.93977383700284089</v>
      </c>
      <c r="AL632" s="12">
        <v>2200</v>
      </c>
      <c r="AM632" s="12">
        <v>5146.1196654938494</v>
      </c>
      <c r="AN632" s="12">
        <f t="shared" si="74"/>
        <v>2946.1196654938494</v>
      </c>
      <c r="AO632" s="13">
        <f t="shared" si="75"/>
        <v>1.3391453024972042</v>
      </c>
      <c r="AP632" s="16">
        <v>2200</v>
      </c>
      <c r="AQ632" s="16">
        <v>4949.3133317663815</v>
      </c>
      <c r="AR632" s="16">
        <f t="shared" si="76"/>
        <v>2749.3133317663815</v>
      </c>
      <c r="AS632" s="17">
        <f t="shared" si="77"/>
        <v>1.249687878075628</v>
      </c>
      <c r="AT632" s="20">
        <v>2200</v>
      </c>
      <c r="AU632" s="20">
        <v>4379.41650390625</v>
      </c>
      <c r="AV632" s="20">
        <f t="shared" si="78"/>
        <v>2179.41650390625</v>
      </c>
      <c r="AW632" s="21">
        <f t="shared" si="79"/>
        <v>0.99064386541193183</v>
      </c>
    </row>
    <row r="633" spans="1:49" x14ac:dyDescent="0.25">
      <c r="A633" t="s">
        <v>38</v>
      </c>
      <c r="B633" t="s">
        <v>39</v>
      </c>
      <c r="C633">
        <v>160405</v>
      </c>
      <c r="D633">
        <v>2017</v>
      </c>
      <c r="E633" t="s">
        <v>40</v>
      </c>
      <c r="F633" t="s">
        <v>550</v>
      </c>
      <c r="G633" t="s">
        <v>939</v>
      </c>
      <c r="H633" t="s">
        <v>722</v>
      </c>
      <c r="I633">
        <v>6</v>
      </c>
      <c r="J633" t="s">
        <v>135</v>
      </c>
      <c r="K633">
        <v>4</v>
      </c>
      <c r="L633" t="s">
        <v>44</v>
      </c>
      <c r="M633">
        <v>3.5</v>
      </c>
      <c r="N633" t="s">
        <v>45</v>
      </c>
      <c r="O633" t="s">
        <v>46</v>
      </c>
      <c r="Q633" t="s">
        <v>62</v>
      </c>
      <c r="R633" t="s">
        <v>63</v>
      </c>
      <c r="S633" t="s">
        <v>49</v>
      </c>
      <c r="T633">
        <v>295</v>
      </c>
      <c r="U633" t="s">
        <v>50</v>
      </c>
      <c r="V633" t="s">
        <v>76</v>
      </c>
      <c r="W633" t="s">
        <v>152</v>
      </c>
      <c r="X633" t="s">
        <v>141</v>
      </c>
      <c r="Y633" t="s">
        <v>78</v>
      </c>
      <c r="Z633">
        <v>38520</v>
      </c>
      <c r="AA633">
        <v>0</v>
      </c>
      <c r="AB633" t="s">
        <v>79</v>
      </c>
      <c r="AC633" t="s">
        <v>109</v>
      </c>
      <c r="AD633">
        <v>36</v>
      </c>
      <c r="AE633">
        <v>9</v>
      </c>
      <c r="AF633">
        <v>3</v>
      </c>
      <c r="AG633">
        <v>2025</v>
      </c>
      <c r="AH633" s="2">
        <v>11000</v>
      </c>
      <c r="AI633" s="2">
        <v>9444.1923828125</v>
      </c>
      <c r="AJ633" s="2">
        <f t="shared" si="72"/>
        <v>1555.8076171875</v>
      </c>
      <c r="AK633" s="6">
        <f t="shared" si="73"/>
        <v>0.14143705610795454</v>
      </c>
      <c r="AL633" s="12">
        <v>11000</v>
      </c>
      <c r="AM633" s="12">
        <v>8534.2028956333143</v>
      </c>
      <c r="AN633" s="12">
        <f t="shared" si="74"/>
        <v>2465.7971043666857</v>
      </c>
      <c r="AO633" s="13">
        <f t="shared" si="75"/>
        <v>0.22416337312424417</v>
      </c>
      <c r="AP633" s="16">
        <v>11000</v>
      </c>
      <c r="AQ633" s="16">
        <v>8213.8859704971019</v>
      </c>
      <c r="AR633" s="16">
        <f t="shared" si="76"/>
        <v>2786.1140295028981</v>
      </c>
      <c r="AS633" s="17">
        <f t="shared" si="77"/>
        <v>0.25328309359117257</v>
      </c>
      <c r="AT633" s="20">
        <v>11000</v>
      </c>
      <c r="AU633" s="20">
        <v>9411.06640625</v>
      </c>
      <c r="AV633" s="20">
        <f t="shared" si="78"/>
        <v>1588.93359375</v>
      </c>
      <c r="AW633" s="21">
        <f t="shared" si="79"/>
        <v>0.14444850852272728</v>
      </c>
    </row>
    <row r="634" spans="1:49" x14ac:dyDescent="0.25">
      <c r="A634" t="s">
        <v>38</v>
      </c>
      <c r="B634" t="s">
        <v>39</v>
      </c>
      <c r="C634">
        <v>216023</v>
      </c>
      <c r="D634">
        <v>2013</v>
      </c>
      <c r="E634" t="s">
        <v>69</v>
      </c>
      <c r="F634" t="s">
        <v>231</v>
      </c>
      <c r="I634">
        <v>6</v>
      </c>
      <c r="J634" t="s">
        <v>72</v>
      </c>
      <c r="K634">
        <v>4</v>
      </c>
      <c r="L634" t="s">
        <v>44</v>
      </c>
      <c r="M634">
        <v>3.5</v>
      </c>
      <c r="N634" t="s">
        <v>91</v>
      </c>
      <c r="O634" t="s">
        <v>46</v>
      </c>
      <c r="Q634" t="s">
        <v>74</v>
      </c>
      <c r="R634" t="s">
        <v>92</v>
      </c>
      <c r="S634" t="s">
        <v>93</v>
      </c>
      <c r="T634">
        <v>365</v>
      </c>
      <c r="U634" t="s">
        <v>50</v>
      </c>
      <c r="V634" t="s">
        <v>76</v>
      </c>
      <c r="X634" t="s">
        <v>108</v>
      </c>
      <c r="Y634" t="s">
        <v>78</v>
      </c>
      <c r="AA634">
        <v>0</v>
      </c>
      <c r="AB634" t="s">
        <v>79</v>
      </c>
      <c r="AC634" t="s">
        <v>95</v>
      </c>
      <c r="AD634">
        <v>36</v>
      </c>
      <c r="AE634">
        <v>9</v>
      </c>
      <c r="AF634">
        <v>3</v>
      </c>
      <c r="AG634">
        <v>2025</v>
      </c>
      <c r="AH634" s="2">
        <v>5750</v>
      </c>
      <c r="AI634" s="2">
        <v>5000.443359375</v>
      </c>
      <c r="AJ634" s="2">
        <f t="shared" si="72"/>
        <v>749.556640625</v>
      </c>
      <c r="AK634" s="6">
        <f t="shared" si="73"/>
        <v>0.13035767663043479</v>
      </c>
      <c r="AL634" s="12">
        <v>5750</v>
      </c>
      <c r="AM634" s="12">
        <v>5050.378082199838</v>
      </c>
      <c r="AN634" s="12">
        <f t="shared" si="74"/>
        <v>699.62191780016201</v>
      </c>
      <c r="AO634" s="13">
        <f t="shared" si="75"/>
        <v>0.12167337700872383</v>
      </c>
      <c r="AP634" s="16">
        <v>5750</v>
      </c>
      <c r="AQ634" s="16">
        <v>5334.6627233149529</v>
      </c>
      <c r="AR634" s="16">
        <f t="shared" si="76"/>
        <v>415.33727668504707</v>
      </c>
      <c r="AS634" s="17">
        <f t="shared" si="77"/>
        <v>7.223256985826905E-2</v>
      </c>
      <c r="AT634" s="20">
        <v>5750</v>
      </c>
      <c r="AU634" s="20">
        <v>5060.9287109375</v>
      </c>
      <c r="AV634" s="20">
        <f t="shared" si="78"/>
        <v>689.0712890625</v>
      </c>
      <c r="AW634" s="21">
        <f t="shared" si="79"/>
        <v>0.11983848505434783</v>
      </c>
    </row>
    <row r="635" spans="1:49" x14ac:dyDescent="0.25">
      <c r="A635" t="s">
        <v>38</v>
      </c>
      <c r="B635" t="s">
        <v>68</v>
      </c>
      <c r="C635">
        <v>141335</v>
      </c>
      <c r="D635">
        <v>2016</v>
      </c>
      <c r="E635" t="s">
        <v>116</v>
      </c>
      <c r="F635" t="s">
        <v>237</v>
      </c>
      <c r="G635" t="s">
        <v>224</v>
      </c>
      <c r="I635">
        <v>6</v>
      </c>
      <c r="J635" t="s">
        <v>72</v>
      </c>
      <c r="K635">
        <v>4</v>
      </c>
      <c r="L635" t="s">
        <v>44</v>
      </c>
      <c r="M635">
        <v>3.6</v>
      </c>
      <c r="N635" t="s">
        <v>73</v>
      </c>
      <c r="O635" t="s">
        <v>46</v>
      </c>
      <c r="P635">
        <v>4</v>
      </c>
      <c r="Q635" t="s">
        <v>47</v>
      </c>
      <c r="R635" t="s">
        <v>123</v>
      </c>
      <c r="S635" t="s">
        <v>179</v>
      </c>
      <c r="T635">
        <v>292</v>
      </c>
      <c r="U635" t="s">
        <v>50</v>
      </c>
      <c r="V635" t="s">
        <v>76</v>
      </c>
      <c r="X635" t="s">
        <v>125</v>
      </c>
      <c r="Y635" t="s">
        <v>103</v>
      </c>
      <c r="AA635">
        <v>0</v>
      </c>
      <c r="AB635" t="s">
        <v>79</v>
      </c>
      <c r="AC635" t="s">
        <v>127</v>
      </c>
      <c r="AD635">
        <v>36</v>
      </c>
      <c r="AE635">
        <v>9</v>
      </c>
      <c r="AF635">
        <v>3</v>
      </c>
      <c r="AG635">
        <v>2025</v>
      </c>
      <c r="AH635" s="2">
        <v>5250</v>
      </c>
      <c r="AI635" s="2">
        <v>6189.34033203125</v>
      </c>
      <c r="AJ635" s="2">
        <f t="shared" si="72"/>
        <v>939.34033203125</v>
      </c>
      <c r="AK635" s="6">
        <f t="shared" si="73"/>
        <v>0.17892196800595239</v>
      </c>
      <c r="AL635" s="12">
        <v>5250</v>
      </c>
      <c r="AM635" s="12">
        <v>6454.6051029498658</v>
      </c>
      <c r="AN635" s="12">
        <f t="shared" si="74"/>
        <v>1204.6051029498658</v>
      </c>
      <c r="AO635" s="13">
        <f t="shared" si="75"/>
        <v>0.22944859103806967</v>
      </c>
      <c r="AP635" s="16">
        <v>5250</v>
      </c>
      <c r="AQ635" s="16">
        <v>5692.5383943216357</v>
      </c>
      <c r="AR635" s="16">
        <f t="shared" si="76"/>
        <v>442.53839432163568</v>
      </c>
      <c r="AS635" s="17">
        <f t="shared" si="77"/>
        <v>8.4293027489835373E-2</v>
      </c>
      <c r="AT635" s="20">
        <v>5250</v>
      </c>
      <c r="AU635" s="20">
        <v>6245.58349609375</v>
      </c>
      <c r="AV635" s="20">
        <f t="shared" si="78"/>
        <v>995.58349609375</v>
      </c>
      <c r="AW635" s="21">
        <f t="shared" si="79"/>
        <v>0.18963495163690477</v>
      </c>
    </row>
    <row r="636" spans="1:49" x14ac:dyDescent="0.25">
      <c r="A636" t="s">
        <v>38</v>
      </c>
      <c r="B636" t="s">
        <v>110</v>
      </c>
      <c r="C636">
        <v>128298</v>
      </c>
      <c r="D636">
        <v>2013</v>
      </c>
      <c r="E636" t="s">
        <v>69</v>
      </c>
      <c r="F636" t="s">
        <v>607</v>
      </c>
      <c r="G636" t="s">
        <v>285</v>
      </c>
      <c r="I636">
        <v>6</v>
      </c>
      <c r="J636" t="s">
        <v>72</v>
      </c>
      <c r="K636">
        <v>4</v>
      </c>
      <c r="L636" t="s">
        <v>44</v>
      </c>
      <c r="M636">
        <v>3.5</v>
      </c>
      <c r="N636" t="s">
        <v>45</v>
      </c>
      <c r="O636" t="s">
        <v>46</v>
      </c>
      <c r="P636">
        <v>3</v>
      </c>
      <c r="Q636" t="s">
        <v>47</v>
      </c>
      <c r="R636" t="s">
        <v>123</v>
      </c>
      <c r="S636" t="s">
        <v>101</v>
      </c>
      <c r="T636">
        <v>288</v>
      </c>
      <c r="U636" t="s">
        <v>50</v>
      </c>
      <c r="V636" t="s">
        <v>76</v>
      </c>
      <c r="X636" t="s">
        <v>125</v>
      </c>
      <c r="Y636" t="s">
        <v>78</v>
      </c>
      <c r="AA636">
        <v>0</v>
      </c>
      <c r="AB636" t="s">
        <v>79</v>
      </c>
      <c r="AC636" t="s">
        <v>127</v>
      </c>
      <c r="AD636">
        <v>36</v>
      </c>
      <c r="AE636">
        <v>9</v>
      </c>
      <c r="AF636">
        <v>3</v>
      </c>
      <c r="AG636">
        <v>2025</v>
      </c>
      <c r="AH636" s="2">
        <v>5750</v>
      </c>
      <c r="AI636" s="2">
        <v>3129.390380859375</v>
      </c>
      <c r="AJ636" s="2">
        <f t="shared" si="72"/>
        <v>2620.609619140625</v>
      </c>
      <c r="AK636" s="6">
        <f t="shared" si="73"/>
        <v>0.45575819463315215</v>
      </c>
      <c r="AL636" s="12">
        <v>5750</v>
      </c>
      <c r="AM636" s="12">
        <v>3073.2814436979311</v>
      </c>
      <c r="AN636" s="12">
        <f t="shared" si="74"/>
        <v>2676.7185563020689</v>
      </c>
      <c r="AO636" s="13">
        <f t="shared" si="75"/>
        <v>0.46551627066122936</v>
      </c>
      <c r="AP636" s="16">
        <v>5750</v>
      </c>
      <c r="AQ636" s="16">
        <v>2305.682800898478</v>
      </c>
      <c r="AR636" s="16">
        <f t="shared" si="76"/>
        <v>3444.317199101522</v>
      </c>
      <c r="AS636" s="17">
        <f t="shared" si="77"/>
        <v>0.59901168680026473</v>
      </c>
      <c r="AT636" s="20">
        <v>5750</v>
      </c>
      <c r="AU636" s="20">
        <v>3158.3955078125</v>
      </c>
      <c r="AV636" s="20">
        <f t="shared" si="78"/>
        <v>2591.6044921875</v>
      </c>
      <c r="AW636" s="21">
        <f t="shared" si="79"/>
        <v>0.45071382472826088</v>
      </c>
    </row>
    <row r="637" spans="1:49" x14ac:dyDescent="0.25">
      <c r="A637" t="s">
        <v>81</v>
      </c>
      <c r="B637" t="s">
        <v>82</v>
      </c>
      <c r="C637">
        <v>156024</v>
      </c>
      <c r="D637">
        <v>2012</v>
      </c>
      <c r="E637" t="s">
        <v>69</v>
      </c>
      <c r="F637" t="s">
        <v>250</v>
      </c>
      <c r="H637" t="s">
        <v>105</v>
      </c>
      <c r="I637">
        <v>6</v>
      </c>
      <c r="J637" t="s">
        <v>43</v>
      </c>
      <c r="K637">
        <v>4</v>
      </c>
      <c r="L637" t="s">
        <v>44</v>
      </c>
      <c r="M637">
        <v>3</v>
      </c>
      <c r="N637" t="s">
        <v>91</v>
      </c>
      <c r="O637" t="s">
        <v>46</v>
      </c>
      <c r="Q637" t="s">
        <v>62</v>
      </c>
      <c r="R637" t="s">
        <v>63</v>
      </c>
      <c r="T637">
        <v>240</v>
      </c>
      <c r="U637" t="s">
        <v>50</v>
      </c>
      <c r="V637" t="s">
        <v>76</v>
      </c>
      <c r="X637" t="s">
        <v>65</v>
      </c>
      <c r="Y637" t="s">
        <v>78</v>
      </c>
      <c r="AA637">
        <v>0</v>
      </c>
      <c r="AB637" t="s">
        <v>79</v>
      </c>
      <c r="AC637" t="s">
        <v>87</v>
      </c>
      <c r="AD637">
        <v>36</v>
      </c>
      <c r="AE637">
        <v>9</v>
      </c>
      <c r="AF637">
        <v>3</v>
      </c>
      <c r="AG637">
        <v>2025</v>
      </c>
      <c r="AH637" s="2">
        <v>1800</v>
      </c>
      <c r="AI637" s="2">
        <v>1479.589599609375</v>
      </c>
      <c r="AJ637" s="2">
        <f t="shared" si="72"/>
        <v>320.410400390625</v>
      </c>
      <c r="AK637" s="6">
        <f t="shared" si="73"/>
        <v>0.17800577799479167</v>
      </c>
      <c r="AL637" s="12">
        <v>1800</v>
      </c>
      <c r="AM637" s="12">
        <v>1852.411561743759</v>
      </c>
      <c r="AN637" s="12">
        <f t="shared" si="74"/>
        <v>52.411561743758966</v>
      </c>
      <c r="AO637" s="13">
        <f t="shared" si="75"/>
        <v>2.9117534302088313E-2</v>
      </c>
      <c r="AP637" s="16">
        <v>1800</v>
      </c>
      <c r="AQ637" s="16">
        <v>1135.6510310283691</v>
      </c>
      <c r="AR637" s="16">
        <f t="shared" si="76"/>
        <v>664.34896897163094</v>
      </c>
      <c r="AS637" s="17">
        <f t="shared" si="77"/>
        <v>0.36908276053979494</v>
      </c>
      <c r="AT637" s="20">
        <v>1800</v>
      </c>
      <c r="AU637" s="20">
        <v>1498.891479492188</v>
      </c>
      <c r="AV637" s="20">
        <f t="shared" si="78"/>
        <v>301.10852050781205</v>
      </c>
      <c r="AW637" s="21">
        <f t="shared" si="79"/>
        <v>0.16728251139322892</v>
      </c>
    </row>
    <row r="638" spans="1:49" x14ac:dyDescent="0.25">
      <c r="A638" t="s">
        <v>38</v>
      </c>
      <c r="B638" t="s">
        <v>39</v>
      </c>
      <c r="C638">
        <v>58286</v>
      </c>
      <c r="D638">
        <v>2017</v>
      </c>
      <c r="E638" t="s">
        <v>557</v>
      </c>
      <c r="F638" t="s">
        <v>940</v>
      </c>
      <c r="G638" t="s">
        <v>240</v>
      </c>
      <c r="I638">
        <v>6</v>
      </c>
      <c r="J638" t="s">
        <v>122</v>
      </c>
      <c r="K638">
        <v>4</v>
      </c>
      <c r="L638" t="s">
        <v>44</v>
      </c>
      <c r="M638">
        <v>3.6</v>
      </c>
      <c r="N638" t="s">
        <v>45</v>
      </c>
      <c r="O638" t="s">
        <v>46</v>
      </c>
      <c r="Q638" t="s">
        <v>62</v>
      </c>
      <c r="R638" t="s">
        <v>225</v>
      </c>
      <c r="S638" t="s">
        <v>101</v>
      </c>
      <c r="T638">
        <v>287</v>
      </c>
      <c r="U638" t="s">
        <v>50</v>
      </c>
      <c r="V638" t="s">
        <v>76</v>
      </c>
      <c r="X638" t="s">
        <v>94</v>
      </c>
      <c r="Y638" t="s">
        <v>103</v>
      </c>
      <c r="Z638">
        <v>28995</v>
      </c>
      <c r="AA638">
        <v>0</v>
      </c>
      <c r="AB638" t="s">
        <v>79</v>
      </c>
      <c r="AC638" t="s">
        <v>225</v>
      </c>
      <c r="AD638">
        <v>36</v>
      </c>
      <c r="AE638">
        <v>9</v>
      </c>
      <c r="AF638">
        <v>3</v>
      </c>
      <c r="AG638">
        <v>2025</v>
      </c>
      <c r="AH638" s="2">
        <v>7000</v>
      </c>
      <c r="AI638" s="2">
        <v>11924.7197265625</v>
      </c>
      <c r="AJ638" s="2">
        <f t="shared" si="72"/>
        <v>4924.7197265625</v>
      </c>
      <c r="AK638" s="6">
        <f t="shared" si="73"/>
        <v>0.70353138950892857</v>
      </c>
      <c r="AL638" s="12">
        <v>7000</v>
      </c>
      <c r="AM638" s="12">
        <v>12112.643502045319</v>
      </c>
      <c r="AN638" s="12">
        <f t="shared" si="74"/>
        <v>5112.6435020453191</v>
      </c>
      <c r="AO638" s="13">
        <f t="shared" si="75"/>
        <v>0.73037764314933129</v>
      </c>
      <c r="AP638" s="16">
        <v>7000</v>
      </c>
      <c r="AQ638" s="16">
        <v>12653.81808841792</v>
      </c>
      <c r="AR638" s="16">
        <f t="shared" si="76"/>
        <v>5653.8180884179201</v>
      </c>
      <c r="AS638" s="17">
        <f t="shared" si="77"/>
        <v>0.80768829834541711</v>
      </c>
      <c r="AT638" s="20">
        <v>7000</v>
      </c>
      <c r="AU638" s="20">
        <v>12000.6728515625</v>
      </c>
      <c r="AV638" s="20">
        <f t="shared" si="78"/>
        <v>5000.6728515625</v>
      </c>
      <c r="AW638" s="21">
        <f t="shared" si="79"/>
        <v>0.71438183593750004</v>
      </c>
    </row>
    <row r="639" spans="1:49" x14ac:dyDescent="0.25">
      <c r="A639" t="s">
        <v>128</v>
      </c>
      <c r="B639" t="s">
        <v>210</v>
      </c>
      <c r="C639">
        <v>37540</v>
      </c>
      <c r="D639">
        <v>2021</v>
      </c>
      <c r="E639" t="s">
        <v>69</v>
      </c>
      <c r="F639" t="s">
        <v>566</v>
      </c>
      <c r="G639" t="s">
        <v>941</v>
      </c>
      <c r="H639" t="s">
        <v>942</v>
      </c>
      <c r="I639">
        <v>6</v>
      </c>
      <c r="J639" t="s">
        <v>122</v>
      </c>
      <c r="K639">
        <v>4</v>
      </c>
      <c r="L639" t="s">
        <v>44</v>
      </c>
      <c r="M639">
        <v>2.7</v>
      </c>
      <c r="N639" t="s">
        <v>44</v>
      </c>
      <c r="O639" t="s">
        <v>46</v>
      </c>
      <c r="Q639" t="s">
        <v>62</v>
      </c>
      <c r="R639" t="s">
        <v>63</v>
      </c>
      <c r="S639" t="s">
        <v>85</v>
      </c>
      <c r="T639">
        <v>310</v>
      </c>
      <c r="U639" t="s">
        <v>50</v>
      </c>
      <c r="V639" t="s">
        <v>76</v>
      </c>
      <c r="X639" t="s">
        <v>94</v>
      </c>
      <c r="Y639" t="s">
        <v>78</v>
      </c>
      <c r="AA639">
        <v>0</v>
      </c>
      <c r="AB639" t="s">
        <v>79</v>
      </c>
      <c r="AC639" t="s">
        <v>87</v>
      </c>
      <c r="AD639">
        <v>36</v>
      </c>
      <c r="AE639">
        <v>9</v>
      </c>
      <c r="AF639">
        <v>3</v>
      </c>
      <c r="AG639">
        <v>2025</v>
      </c>
      <c r="AH639" s="2">
        <v>48800</v>
      </c>
      <c r="AI639" s="2">
        <v>33310.88671875</v>
      </c>
      <c r="AJ639" s="2">
        <f t="shared" si="72"/>
        <v>15489.11328125</v>
      </c>
      <c r="AK639" s="6">
        <f t="shared" si="73"/>
        <v>0.31739986232069672</v>
      </c>
      <c r="AL639" s="12">
        <v>48800</v>
      </c>
      <c r="AM639" s="12">
        <v>37088.220627504117</v>
      </c>
      <c r="AN639" s="12">
        <f t="shared" si="74"/>
        <v>11711.779372495883</v>
      </c>
      <c r="AO639" s="13">
        <f t="shared" si="75"/>
        <v>0.23999547894458775</v>
      </c>
      <c r="AP639" s="16">
        <v>48800</v>
      </c>
      <c r="AQ639" s="16">
        <v>36601.228533703979</v>
      </c>
      <c r="AR639" s="16">
        <f t="shared" si="76"/>
        <v>12198.771466296021</v>
      </c>
      <c r="AS639" s="17">
        <f t="shared" si="77"/>
        <v>0.24997482512901681</v>
      </c>
      <c r="AT639" s="20">
        <v>48800</v>
      </c>
      <c r="AU639" s="20">
        <v>33791.48828125</v>
      </c>
      <c r="AV639" s="20">
        <f t="shared" si="78"/>
        <v>15008.51171875</v>
      </c>
      <c r="AW639" s="21">
        <f t="shared" si="79"/>
        <v>0.30755146964651642</v>
      </c>
    </row>
    <row r="640" spans="1:49" x14ac:dyDescent="0.25">
      <c r="A640" t="s">
        <v>128</v>
      </c>
      <c r="B640" t="s">
        <v>129</v>
      </c>
      <c r="C640">
        <v>49673</v>
      </c>
      <c r="D640">
        <v>2022</v>
      </c>
      <c r="E640" t="s">
        <v>116</v>
      </c>
      <c r="F640" t="s">
        <v>194</v>
      </c>
      <c r="H640" t="s">
        <v>396</v>
      </c>
      <c r="I640">
        <v>6</v>
      </c>
      <c r="J640" t="s">
        <v>122</v>
      </c>
      <c r="K640">
        <v>2</v>
      </c>
      <c r="L640" t="s">
        <v>44</v>
      </c>
      <c r="M640">
        <v>3.6</v>
      </c>
      <c r="N640" t="s">
        <v>73</v>
      </c>
      <c r="O640" t="s">
        <v>46</v>
      </c>
      <c r="P640">
        <v>2</v>
      </c>
      <c r="Q640" t="s">
        <v>47</v>
      </c>
      <c r="R640" t="s">
        <v>123</v>
      </c>
      <c r="S640" t="s">
        <v>179</v>
      </c>
      <c r="T640">
        <v>303</v>
      </c>
      <c r="U640" t="s">
        <v>50</v>
      </c>
      <c r="V640" t="s">
        <v>76</v>
      </c>
      <c r="X640" t="s">
        <v>125</v>
      </c>
      <c r="Y640" t="s">
        <v>103</v>
      </c>
      <c r="AA640">
        <v>0</v>
      </c>
      <c r="AB640" t="s">
        <v>79</v>
      </c>
      <c r="AC640" t="s">
        <v>127</v>
      </c>
      <c r="AD640">
        <v>36</v>
      </c>
      <c r="AE640">
        <v>9</v>
      </c>
      <c r="AF640">
        <v>3</v>
      </c>
      <c r="AG640">
        <v>2025</v>
      </c>
      <c r="AH640" s="2">
        <v>16400</v>
      </c>
      <c r="AI640" s="2">
        <v>15360.1513671875</v>
      </c>
      <c r="AJ640" s="2">
        <f t="shared" si="72"/>
        <v>1039.8486328125</v>
      </c>
      <c r="AK640" s="6">
        <f t="shared" si="73"/>
        <v>6.3405404439786581E-2</v>
      </c>
      <c r="AL640" s="12">
        <v>16400</v>
      </c>
      <c r="AM640" s="12">
        <v>16571.83334151165</v>
      </c>
      <c r="AN640" s="12">
        <f t="shared" si="74"/>
        <v>171.83334151165036</v>
      </c>
      <c r="AO640" s="13">
        <f t="shared" si="75"/>
        <v>1.0477642775100632E-2</v>
      </c>
      <c r="AP640" s="16">
        <v>16400</v>
      </c>
      <c r="AQ640" s="16">
        <v>14722.43733139807</v>
      </c>
      <c r="AR640" s="16">
        <f t="shared" si="76"/>
        <v>1677.5626686019295</v>
      </c>
      <c r="AS640" s="17">
        <f t="shared" si="77"/>
        <v>0.10229040662206887</v>
      </c>
      <c r="AT640" s="20">
        <v>16400</v>
      </c>
      <c r="AU640" s="20">
        <v>15619.96484375</v>
      </c>
      <c r="AV640" s="20">
        <f t="shared" si="78"/>
        <v>780.03515625</v>
      </c>
      <c r="AW640" s="21">
        <f t="shared" si="79"/>
        <v>4.7563119283536584E-2</v>
      </c>
    </row>
    <row r="641" spans="1:49" x14ac:dyDescent="0.25">
      <c r="A641" t="s">
        <v>128</v>
      </c>
      <c r="B641" t="s">
        <v>309</v>
      </c>
      <c r="C641">
        <v>110990</v>
      </c>
      <c r="D641">
        <v>2019</v>
      </c>
      <c r="E641" t="s">
        <v>116</v>
      </c>
      <c r="F641" t="s">
        <v>943</v>
      </c>
      <c r="H641" t="s">
        <v>396</v>
      </c>
      <c r="I641">
        <v>6</v>
      </c>
      <c r="J641" t="s">
        <v>106</v>
      </c>
      <c r="K641">
        <v>4</v>
      </c>
      <c r="L641" t="s">
        <v>44</v>
      </c>
      <c r="M641">
        <v>3.6</v>
      </c>
      <c r="N641" t="s">
        <v>45</v>
      </c>
      <c r="O641" t="s">
        <v>46</v>
      </c>
      <c r="P641">
        <v>1</v>
      </c>
      <c r="Q641" t="s">
        <v>62</v>
      </c>
      <c r="R641" t="s">
        <v>225</v>
      </c>
      <c r="S641" t="s">
        <v>101</v>
      </c>
      <c r="T641">
        <v>283</v>
      </c>
      <c r="U641" t="s">
        <v>50</v>
      </c>
      <c r="V641" t="s">
        <v>76</v>
      </c>
      <c r="X641" t="s">
        <v>94</v>
      </c>
      <c r="Y641" t="s">
        <v>103</v>
      </c>
      <c r="AA641">
        <v>0</v>
      </c>
      <c r="AB641" t="s">
        <v>79</v>
      </c>
      <c r="AC641" t="s">
        <v>225</v>
      </c>
      <c r="AD641">
        <v>36</v>
      </c>
      <c r="AE641">
        <v>9</v>
      </c>
      <c r="AF641">
        <v>3</v>
      </c>
      <c r="AG641">
        <v>2025</v>
      </c>
      <c r="AH641" s="2">
        <v>4200</v>
      </c>
      <c r="AI641" s="2">
        <v>5032.2626953125</v>
      </c>
      <c r="AJ641" s="2">
        <f t="shared" si="72"/>
        <v>832.2626953125</v>
      </c>
      <c r="AK641" s="6">
        <f t="shared" si="73"/>
        <v>0.19815778459821429</v>
      </c>
      <c r="AL641" s="12">
        <v>4200</v>
      </c>
      <c r="AM641" s="12">
        <v>5380.4404433529944</v>
      </c>
      <c r="AN641" s="12">
        <f t="shared" si="74"/>
        <v>1180.4404433529944</v>
      </c>
      <c r="AO641" s="13">
        <f t="shared" si="75"/>
        <v>0.28105724841737961</v>
      </c>
      <c r="AP641" s="16">
        <v>4200</v>
      </c>
      <c r="AQ641" s="16">
        <v>4600.7317150965428</v>
      </c>
      <c r="AR641" s="16">
        <f t="shared" si="76"/>
        <v>400.73171509654276</v>
      </c>
      <c r="AS641" s="17">
        <f t="shared" si="77"/>
        <v>9.541231311822447E-2</v>
      </c>
      <c r="AT641" s="20">
        <v>4200</v>
      </c>
      <c r="AU641" s="20">
        <v>5105.93115234375</v>
      </c>
      <c r="AV641" s="20">
        <f t="shared" si="78"/>
        <v>905.93115234375</v>
      </c>
      <c r="AW641" s="21">
        <f t="shared" si="79"/>
        <v>0.21569789341517856</v>
      </c>
    </row>
    <row r="642" spans="1:49" x14ac:dyDescent="0.25">
      <c r="A642" t="s">
        <v>38</v>
      </c>
      <c r="B642" t="s">
        <v>39</v>
      </c>
      <c r="C642">
        <v>203263</v>
      </c>
      <c r="D642">
        <v>2008</v>
      </c>
      <c r="E642" t="s">
        <v>146</v>
      </c>
      <c r="F642" t="s">
        <v>279</v>
      </c>
      <c r="I642">
        <v>4</v>
      </c>
      <c r="J642" t="s">
        <v>61</v>
      </c>
      <c r="K642">
        <v>4</v>
      </c>
      <c r="L642" t="s">
        <v>44</v>
      </c>
      <c r="M642">
        <v>2</v>
      </c>
      <c r="N642" t="s">
        <v>45</v>
      </c>
      <c r="O642" t="s">
        <v>46</v>
      </c>
      <c r="Q642" t="s">
        <v>47</v>
      </c>
      <c r="R642" t="s">
        <v>123</v>
      </c>
      <c r="S642" t="s">
        <v>49</v>
      </c>
      <c r="T642">
        <v>140</v>
      </c>
      <c r="U642" t="s">
        <v>50</v>
      </c>
      <c r="W642" t="s">
        <v>944</v>
      </c>
      <c r="X642" t="s">
        <v>125</v>
      </c>
      <c r="Y642" t="s">
        <v>126</v>
      </c>
      <c r="AA642">
        <v>0</v>
      </c>
      <c r="AB642" t="s">
        <v>79</v>
      </c>
      <c r="AC642" t="s">
        <v>127</v>
      </c>
      <c r="AD642">
        <v>36</v>
      </c>
      <c r="AE642">
        <v>9</v>
      </c>
      <c r="AF642">
        <v>3</v>
      </c>
      <c r="AG642">
        <v>2025</v>
      </c>
      <c r="AH642" s="2">
        <v>1000</v>
      </c>
      <c r="AI642" s="2">
        <v>783.936767578125</v>
      </c>
      <c r="AJ642" s="2">
        <f t="shared" si="72"/>
        <v>216.063232421875</v>
      </c>
      <c r="AK642" s="6">
        <f t="shared" si="73"/>
        <v>0.216063232421875</v>
      </c>
      <c r="AL642" s="12">
        <v>1000</v>
      </c>
      <c r="AM642" s="12">
        <v>847.30380949128153</v>
      </c>
      <c r="AN642" s="12">
        <f t="shared" si="74"/>
        <v>152.69619050871847</v>
      </c>
      <c r="AO642" s="13">
        <f t="shared" si="75"/>
        <v>0.15269619050871847</v>
      </c>
      <c r="AP642" s="16">
        <v>1000</v>
      </c>
      <c r="AQ642" s="16">
        <v>783.09503239484764</v>
      </c>
      <c r="AR642" s="16">
        <f t="shared" si="76"/>
        <v>216.90496760515236</v>
      </c>
      <c r="AS642" s="17">
        <f t="shared" si="77"/>
        <v>0.21690496760515238</v>
      </c>
      <c r="AT642" s="20">
        <v>1000</v>
      </c>
      <c r="AU642" s="20">
        <v>752.505859375</v>
      </c>
      <c r="AV642" s="20">
        <f t="shared" si="78"/>
        <v>247.494140625</v>
      </c>
      <c r="AW642" s="21">
        <f t="shared" si="79"/>
        <v>0.247494140625</v>
      </c>
    </row>
    <row r="643" spans="1:49" x14ac:dyDescent="0.25">
      <c r="A643" t="s">
        <v>114</v>
      </c>
      <c r="B643" t="s">
        <v>340</v>
      </c>
      <c r="C643">
        <v>44726</v>
      </c>
      <c r="D643">
        <v>2023</v>
      </c>
      <c r="E643" t="s">
        <v>263</v>
      </c>
      <c r="F643" t="s">
        <v>611</v>
      </c>
      <c r="G643" t="s">
        <v>945</v>
      </c>
      <c r="I643">
        <v>4</v>
      </c>
      <c r="J643" t="s">
        <v>61</v>
      </c>
      <c r="K643">
        <v>4</v>
      </c>
      <c r="L643" t="s">
        <v>44</v>
      </c>
      <c r="M643">
        <v>2.5</v>
      </c>
      <c r="N643" t="s">
        <v>45</v>
      </c>
      <c r="O643" t="s">
        <v>46</v>
      </c>
      <c r="P643">
        <v>3</v>
      </c>
      <c r="Q643" t="s">
        <v>47</v>
      </c>
      <c r="R643" t="s">
        <v>48</v>
      </c>
      <c r="S643" t="s">
        <v>49</v>
      </c>
      <c r="T643">
        <v>186</v>
      </c>
      <c r="U643" t="s">
        <v>50</v>
      </c>
      <c r="V643" t="s">
        <v>51</v>
      </c>
      <c r="W643" t="s">
        <v>946</v>
      </c>
      <c r="X643" t="s">
        <v>125</v>
      </c>
      <c r="Y643" t="s">
        <v>54</v>
      </c>
      <c r="AA643">
        <v>0</v>
      </c>
      <c r="AB643" t="s">
        <v>79</v>
      </c>
      <c r="AC643" t="s">
        <v>359</v>
      </c>
      <c r="AD643">
        <v>36</v>
      </c>
      <c r="AE643">
        <v>9</v>
      </c>
      <c r="AF643">
        <v>3</v>
      </c>
      <c r="AG643">
        <v>2025</v>
      </c>
      <c r="AH643" s="2">
        <v>16500</v>
      </c>
      <c r="AI643" s="2">
        <v>17711.40625</v>
      </c>
      <c r="AJ643" s="2">
        <f t="shared" ref="AJ643:AJ706" si="80">ABS(AH643-AI643)</f>
        <v>1211.40625</v>
      </c>
      <c r="AK643" s="6">
        <f t="shared" ref="AK643:AK706" si="81">ABS($AH643-AI643)/$AH643</f>
        <v>7.3418560606060612E-2</v>
      </c>
      <c r="AL643" s="12">
        <v>16500</v>
      </c>
      <c r="AM643" s="12">
        <v>16303.12606564849</v>
      </c>
      <c r="AN643" s="12">
        <f t="shared" ref="AN643:AN706" si="82">ABS(AL643-AM643)</f>
        <v>196.87393435150989</v>
      </c>
      <c r="AO643" s="13">
        <f t="shared" ref="AO643:AO706" si="83">ABS($AH643-AM643)/$AH643</f>
        <v>1.1931753597061206E-2</v>
      </c>
      <c r="AP643" s="16">
        <v>16500</v>
      </c>
      <c r="AQ643" s="16">
        <v>15772.617209637219</v>
      </c>
      <c r="AR643" s="16">
        <f t="shared" ref="AR643:AR706" si="84">ABS(AP643-AQ643)</f>
        <v>727.38279036278072</v>
      </c>
      <c r="AS643" s="17">
        <f t="shared" ref="AS643:AS706" si="85">ABS($AH643-AQ643)/$AH643</f>
        <v>4.4083805476532165E-2</v>
      </c>
      <c r="AT643" s="20">
        <v>16500</v>
      </c>
      <c r="AU643" s="20">
        <v>17158.0546875</v>
      </c>
      <c r="AV643" s="20">
        <f t="shared" ref="AV643:AV706" si="86">ABS(AT643-AU643)</f>
        <v>658.0546875</v>
      </c>
      <c r="AW643" s="21">
        <f t="shared" ref="AW643:AW706" si="87">ABS($AH643-AU643)/$AH643</f>
        <v>3.9882102272727274E-2</v>
      </c>
    </row>
    <row r="644" spans="1:49" x14ac:dyDescent="0.25">
      <c r="A644" t="s">
        <v>38</v>
      </c>
      <c r="B644" t="s">
        <v>110</v>
      </c>
      <c r="C644">
        <v>111628</v>
      </c>
      <c r="D644">
        <v>2019</v>
      </c>
      <c r="E644" t="s">
        <v>116</v>
      </c>
      <c r="F644" t="s">
        <v>237</v>
      </c>
      <c r="G644" t="s">
        <v>396</v>
      </c>
      <c r="I644">
        <v>6</v>
      </c>
      <c r="J644" t="s">
        <v>61</v>
      </c>
      <c r="K644">
        <v>4</v>
      </c>
      <c r="L644" t="s">
        <v>44</v>
      </c>
      <c r="M644">
        <v>3.6</v>
      </c>
      <c r="N644" t="s">
        <v>73</v>
      </c>
      <c r="O644" t="s">
        <v>46</v>
      </c>
      <c r="P644">
        <v>3</v>
      </c>
      <c r="Q644" t="s">
        <v>47</v>
      </c>
      <c r="R644" t="s">
        <v>123</v>
      </c>
      <c r="S644" t="s">
        <v>179</v>
      </c>
      <c r="T644">
        <v>292</v>
      </c>
      <c r="U644" t="s">
        <v>50</v>
      </c>
      <c r="V644" t="s">
        <v>76</v>
      </c>
      <c r="X644" t="s">
        <v>125</v>
      </c>
      <c r="Y644" t="s">
        <v>103</v>
      </c>
      <c r="AA644">
        <v>0</v>
      </c>
      <c r="AB644" t="s">
        <v>79</v>
      </c>
      <c r="AC644" t="s">
        <v>127</v>
      </c>
      <c r="AD644">
        <v>36</v>
      </c>
      <c r="AE644">
        <v>9</v>
      </c>
      <c r="AF644">
        <v>3</v>
      </c>
      <c r="AG644">
        <v>2025</v>
      </c>
      <c r="AH644" s="2">
        <v>12000</v>
      </c>
      <c r="AI644" s="2">
        <v>8068.57666015625</v>
      </c>
      <c r="AJ644" s="2">
        <f t="shared" si="80"/>
        <v>3931.42333984375</v>
      </c>
      <c r="AK644" s="6">
        <f t="shared" si="81"/>
        <v>0.32761861165364581</v>
      </c>
      <c r="AL644" s="12">
        <v>12000</v>
      </c>
      <c r="AM644" s="12">
        <v>9950.2299241901183</v>
      </c>
      <c r="AN644" s="12">
        <f t="shared" si="82"/>
        <v>2049.7700758098817</v>
      </c>
      <c r="AO644" s="13">
        <f t="shared" si="83"/>
        <v>0.17081417298415683</v>
      </c>
      <c r="AP644" s="16">
        <v>12000</v>
      </c>
      <c r="AQ644" s="16">
        <v>7996.5852490106436</v>
      </c>
      <c r="AR644" s="16">
        <f t="shared" si="84"/>
        <v>4003.4147509893564</v>
      </c>
      <c r="AS644" s="17">
        <f t="shared" si="85"/>
        <v>0.33361789591577973</v>
      </c>
      <c r="AT644" s="20">
        <v>12000</v>
      </c>
      <c r="AU644" s="20">
        <v>8403.767578125</v>
      </c>
      <c r="AV644" s="20">
        <f t="shared" si="86"/>
        <v>3596.232421875</v>
      </c>
      <c r="AW644" s="21">
        <f t="shared" si="87"/>
        <v>0.29968603515624997</v>
      </c>
    </row>
    <row r="645" spans="1:49" x14ac:dyDescent="0.25">
      <c r="A645" t="s">
        <v>38</v>
      </c>
      <c r="B645" t="s">
        <v>110</v>
      </c>
      <c r="C645">
        <v>112410</v>
      </c>
      <c r="D645">
        <v>2015</v>
      </c>
      <c r="E645" t="s">
        <v>557</v>
      </c>
      <c r="F645" t="s">
        <v>558</v>
      </c>
      <c r="G645" t="s">
        <v>118</v>
      </c>
      <c r="I645">
        <v>4</v>
      </c>
      <c r="J645" t="s">
        <v>106</v>
      </c>
      <c r="K645">
        <v>4</v>
      </c>
      <c r="L645" t="s">
        <v>44</v>
      </c>
      <c r="M645">
        <v>2.4</v>
      </c>
      <c r="N645" t="s">
        <v>45</v>
      </c>
      <c r="Q645" t="s">
        <v>47</v>
      </c>
      <c r="R645" t="s">
        <v>123</v>
      </c>
      <c r="S645" t="s">
        <v>101</v>
      </c>
      <c r="U645" t="s">
        <v>50</v>
      </c>
      <c r="X645" t="s">
        <v>125</v>
      </c>
      <c r="Y645" t="s">
        <v>78</v>
      </c>
      <c r="AA645">
        <v>0</v>
      </c>
      <c r="AB645" t="s">
        <v>79</v>
      </c>
      <c r="AC645" t="s">
        <v>127</v>
      </c>
      <c r="AD645">
        <v>36</v>
      </c>
      <c r="AE645">
        <v>9</v>
      </c>
      <c r="AF645">
        <v>3</v>
      </c>
      <c r="AG645">
        <v>2025</v>
      </c>
      <c r="AH645" s="2">
        <v>3200</v>
      </c>
      <c r="AI645" s="2">
        <v>3030.05322265625</v>
      </c>
      <c r="AJ645" s="2">
        <f t="shared" si="80"/>
        <v>169.94677734375</v>
      </c>
      <c r="AK645" s="6">
        <f t="shared" si="81"/>
        <v>5.3108367919921878E-2</v>
      </c>
      <c r="AL645" s="12">
        <v>3200</v>
      </c>
      <c r="AM645" s="12">
        <v>3359.119312893984</v>
      </c>
      <c r="AN645" s="12">
        <f t="shared" si="82"/>
        <v>159.11931289398399</v>
      </c>
      <c r="AO645" s="13">
        <f t="shared" si="83"/>
        <v>4.9724785279369993E-2</v>
      </c>
      <c r="AP645" s="16">
        <v>3200</v>
      </c>
      <c r="AQ645" s="16">
        <v>2506.7972158802208</v>
      </c>
      <c r="AR645" s="16">
        <f t="shared" si="84"/>
        <v>693.20278411977915</v>
      </c>
      <c r="AS645" s="17">
        <f t="shared" si="85"/>
        <v>0.21662587003743097</v>
      </c>
      <c r="AT645" s="20">
        <v>3200</v>
      </c>
      <c r="AU645" s="20">
        <v>3109.49658203125</v>
      </c>
      <c r="AV645" s="20">
        <f t="shared" si="86"/>
        <v>90.50341796875</v>
      </c>
      <c r="AW645" s="21">
        <f t="shared" si="87"/>
        <v>2.8282318115234375E-2</v>
      </c>
    </row>
    <row r="646" spans="1:49" x14ac:dyDescent="0.25">
      <c r="A646" t="s">
        <v>128</v>
      </c>
      <c r="B646" t="s">
        <v>129</v>
      </c>
      <c r="C646">
        <v>231396</v>
      </c>
      <c r="D646">
        <v>2005</v>
      </c>
      <c r="E646" t="s">
        <v>146</v>
      </c>
      <c r="F646" t="s">
        <v>565</v>
      </c>
      <c r="I646">
        <v>8</v>
      </c>
      <c r="J646" t="s">
        <v>72</v>
      </c>
      <c r="K646">
        <v>4</v>
      </c>
      <c r="L646" t="s">
        <v>44</v>
      </c>
      <c r="M646">
        <v>5.6</v>
      </c>
      <c r="N646" t="s">
        <v>73</v>
      </c>
      <c r="Q646" t="s">
        <v>74</v>
      </c>
      <c r="R646" t="s">
        <v>92</v>
      </c>
      <c r="S646" t="s">
        <v>49</v>
      </c>
      <c r="U646" t="s">
        <v>180</v>
      </c>
      <c r="X646" t="s">
        <v>94</v>
      </c>
      <c r="Y646" t="s">
        <v>78</v>
      </c>
      <c r="AA646">
        <v>0</v>
      </c>
      <c r="AB646" t="s">
        <v>79</v>
      </c>
      <c r="AC646" t="s">
        <v>95</v>
      </c>
      <c r="AD646">
        <v>36</v>
      </c>
      <c r="AE646">
        <v>9</v>
      </c>
      <c r="AF646">
        <v>3</v>
      </c>
      <c r="AG646">
        <v>2025</v>
      </c>
      <c r="AH646" s="2">
        <v>800</v>
      </c>
      <c r="AI646" s="2">
        <v>1466.637817382812</v>
      </c>
      <c r="AJ646" s="2">
        <f t="shared" si="80"/>
        <v>666.63781738281205</v>
      </c>
      <c r="AK646" s="6">
        <f t="shared" si="81"/>
        <v>0.83329727172851509</v>
      </c>
      <c r="AL646" s="12">
        <v>800</v>
      </c>
      <c r="AM646" s="12">
        <v>1512.729425604279</v>
      </c>
      <c r="AN646" s="12">
        <f t="shared" si="82"/>
        <v>712.72942560427896</v>
      </c>
      <c r="AO646" s="13">
        <f t="shared" si="83"/>
        <v>0.89091178200534871</v>
      </c>
      <c r="AP646" s="16">
        <v>800</v>
      </c>
      <c r="AQ646" s="16">
        <v>1632.902766653546</v>
      </c>
      <c r="AR646" s="16">
        <f t="shared" si="84"/>
        <v>832.902766653546</v>
      </c>
      <c r="AS646" s="17">
        <f t="shared" si="85"/>
        <v>1.0411284583169325</v>
      </c>
      <c r="AT646" s="20">
        <v>800</v>
      </c>
      <c r="AU646" s="20">
        <v>1440.486083984375</v>
      </c>
      <c r="AV646" s="20">
        <f t="shared" si="86"/>
        <v>640.486083984375</v>
      </c>
      <c r="AW646" s="21">
        <f t="shared" si="87"/>
        <v>0.80060760498046879</v>
      </c>
    </row>
    <row r="647" spans="1:49" x14ac:dyDescent="0.25">
      <c r="A647" t="s">
        <v>38</v>
      </c>
      <c r="B647" t="s">
        <v>110</v>
      </c>
      <c r="C647">
        <v>209834</v>
      </c>
      <c r="D647">
        <v>2012</v>
      </c>
      <c r="E647" t="s">
        <v>97</v>
      </c>
      <c r="F647" t="s">
        <v>154</v>
      </c>
      <c r="G647" t="s">
        <v>160</v>
      </c>
      <c r="I647">
        <v>5</v>
      </c>
      <c r="J647" t="s">
        <v>72</v>
      </c>
      <c r="K647">
        <v>2</v>
      </c>
      <c r="L647" t="s">
        <v>44</v>
      </c>
      <c r="M647">
        <v>3.7</v>
      </c>
      <c r="N647" t="s">
        <v>91</v>
      </c>
      <c r="Q647" t="s">
        <v>74</v>
      </c>
      <c r="R647" t="s">
        <v>92</v>
      </c>
      <c r="S647" t="s">
        <v>93</v>
      </c>
      <c r="W647" t="s">
        <v>947</v>
      </c>
      <c r="X647" t="s">
        <v>141</v>
      </c>
      <c r="Y647" t="s">
        <v>78</v>
      </c>
      <c r="AA647">
        <v>0</v>
      </c>
      <c r="AB647" t="s">
        <v>79</v>
      </c>
      <c r="AC647" t="s">
        <v>95</v>
      </c>
      <c r="AD647">
        <v>36</v>
      </c>
      <c r="AE647">
        <v>9</v>
      </c>
      <c r="AF647">
        <v>3</v>
      </c>
      <c r="AG647">
        <v>2025</v>
      </c>
      <c r="AH647" s="2">
        <v>1600</v>
      </c>
      <c r="AI647" s="2">
        <v>3115.9462890625</v>
      </c>
      <c r="AJ647" s="2">
        <f t="shared" si="80"/>
        <v>1515.9462890625</v>
      </c>
      <c r="AK647" s="6">
        <f t="shared" si="81"/>
        <v>0.94746643066406255</v>
      </c>
      <c r="AL647" s="12">
        <v>1600</v>
      </c>
      <c r="AM647" s="12">
        <v>2709.5144180266411</v>
      </c>
      <c r="AN647" s="12">
        <f t="shared" si="82"/>
        <v>1109.5144180266411</v>
      </c>
      <c r="AO647" s="13">
        <f t="shared" si="83"/>
        <v>0.69344651126665069</v>
      </c>
      <c r="AP647" s="16">
        <v>1600</v>
      </c>
      <c r="AQ647" s="16">
        <v>3014.0530559861959</v>
      </c>
      <c r="AR647" s="16">
        <f t="shared" si="84"/>
        <v>1414.0530559861959</v>
      </c>
      <c r="AS647" s="17">
        <f t="shared" si="85"/>
        <v>0.88378315999137247</v>
      </c>
      <c r="AT647" s="20">
        <v>1600</v>
      </c>
      <c r="AU647" s="20">
        <v>3115.111083984375</v>
      </c>
      <c r="AV647" s="20">
        <f t="shared" si="86"/>
        <v>1515.111083984375</v>
      </c>
      <c r="AW647" s="21">
        <f t="shared" si="87"/>
        <v>0.94694442749023433</v>
      </c>
    </row>
    <row r="648" spans="1:49" x14ac:dyDescent="0.25">
      <c r="A648" t="s">
        <v>38</v>
      </c>
      <c r="B648" t="s">
        <v>68</v>
      </c>
      <c r="C648">
        <v>129313</v>
      </c>
      <c r="D648">
        <v>2019</v>
      </c>
      <c r="E648" t="s">
        <v>403</v>
      </c>
      <c r="F648" t="s">
        <v>554</v>
      </c>
      <c r="I648">
        <v>8</v>
      </c>
      <c r="J648" t="s">
        <v>61</v>
      </c>
      <c r="K648">
        <v>4</v>
      </c>
      <c r="L648" t="s">
        <v>44</v>
      </c>
      <c r="M648">
        <v>6.2</v>
      </c>
      <c r="N648" t="s">
        <v>73</v>
      </c>
      <c r="O648" t="s">
        <v>46</v>
      </c>
      <c r="P648">
        <v>5</v>
      </c>
      <c r="Q648" t="s">
        <v>62</v>
      </c>
      <c r="R648" t="s">
        <v>63</v>
      </c>
      <c r="S648" t="s">
        <v>49</v>
      </c>
      <c r="U648" t="s">
        <v>50</v>
      </c>
      <c r="W648" t="s">
        <v>948</v>
      </c>
      <c r="X648" t="s">
        <v>108</v>
      </c>
      <c r="Y648" t="s">
        <v>78</v>
      </c>
      <c r="AA648">
        <v>0</v>
      </c>
      <c r="AB648" t="s">
        <v>79</v>
      </c>
      <c r="AC648" t="s">
        <v>87</v>
      </c>
      <c r="AD648">
        <v>36</v>
      </c>
      <c r="AE648">
        <v>9</v>
      </c>
      <c r="AF648">
        <v>3</v>
      </c>
      <c r="AG648">
        <v>2025</v>
      </c>
      <c r="AH648" s="2">
        <v>16000</v>
      </c>
      <c r="AI648" s="2">
        <v>27488.21484375</v>
      </c>
      <c r="AJ648" s="2">
        <f t="shared" si="80"/>
        <v>11488.21484375</v>
      </c>
      <c r="AK648" s="6">
        <f t="shared" si="81"/>
        <v>0.71801342773437504</v>
      </c>
      <c r="AL648" s="12">
        <v>16000</v>
      </c>
      <c r="AM648" s="12">
        <v>21246.203024157949</v>
      </c>
      <c r="AN648" s="12">
        <f t="shared" si="82"/>
        <v>5246.2030241579487</v>
      </c>
      <c r="AO648" s="13">
        <f t="shared" si="83"/>
        <v>0.32788768900987181</v>
      </c>
      <c r="AP648" s="16">
        <v>16000</v>
      </c>
      <c r="AQ648" s="16">
        <v>16893.088329534639</v>
      </c>
      <c r="AR648" s="16">
        <f t="shared" si="84"/>
        <v>893.08832953463934</v>
      </c>
      <c r="AS648" s="17">
        <f t="shared" si="85"/>
        <v>5.5818020595914959E-2</v>
      </c>
      <c r="AT648" s="20">
        <v>16000</v>
      </c>
      <c r="AU648" s="20">
        <v>26551.423828125</v>
      </c>
      <c r="AV648" s="20">
        <f t="shared" si="86"/>
        <v>10551.423828125</v>
      </c>
      <c r="AW648" s="21">
        <f t="shared" si="87"/>
        <v>0.65946398925781247</v>
      </c>
    </row>
    <row r="649" spans="1:49" x14ac:dyDescent="0.25">
      <c r="A649" t="s">
        <v>38</v>
      </c>
      <c r="B649" t="s">
        <v>110</v>
      </c>
      <c r="C649">
        <v>199973</v>
      </c>
      <c r="D649">
        <v>2011</v>
      </c>
      <c r="E649" t="s">
        <v>146</v>
      </c>
      <c r="F649" t="s">
        <v>147</v>
      </c>
      <c r="I649">
        <v>4</v>
      </c>
      <c r="J649" t="s">
        <v>106</v>
      </c>
      <c r="K649">
        <v>4</v>
      </c>
      <c r="L649" t="s">
        <v>44</v>
      </c>
      <c r="M649">
        <v>2.5</v>
      </c>
      <c r="N649" t="s">
        <v>45</v>
      </c>
      <c r="Q649" t="s">
        <v>62</v>
      </c>
      <c r="R649" t="s">
        <v>148</v>
      </c>
      <c r="S649" t="s">
        <v>49</v>
      </c>
      <c r="U649" t="s">
        <v>50</v>
      </c>
      <c r="X649" t="s">
        <v>65</v>
      </c>
      <c r="Y649" t="s">
        <v>54</v>
      </c>
      <c r="AA649">
        <v>0</v>
      </c>
      <c r="AB649" t="s">
        <v>79</v>
      </c>
      <c r="AC649" t="s">
        <v>87</v>
      </c>
      <c r="AD649">
        <v>36</v>
      </c>
      <c r="AE649">
        <v>9</v>
      </c>
      <c r="AF649">
        <v>3</v>
      </c>
      <c r="AG649">
        <v>2025</v>
      </c>
      <c r="AH649" s="2">
        <v>800</v>
      </c>
      <c r="AI649" s="2">
        <v>1035.228271484375</v>
      </c>
      <c r="AJ649" s="2">
        <f t="shared" si="80"/>
        <v>235.228271484375</v>
      </c>
      <c r="AK649" s="6">
        <f t="shared" si="81"/>
        <v>0.29403533935546877</v>
      </c>
      <c r="AL649" s="12">
        <v>800</v>
      </c>
      <c r="AM649" s="12">
        <v>1136.397892312443</v>
      </c>
      <c r="AN649" s="12">
        <f t="shared" si="82"/>
        <v>336.39789231244299</v>
      </c>
      <c r="AO649" s="13">
        <f t="shared" si="83"/>
        <v>0.42049736539055371</v>
      </c>
      <c r="AP649" s="16">
        <v>800</v>
      </c>
      <c r="AQ649" s="16">
        <v>1000.595260314936</v>
      </c>
      <c r="AR649" s="16">
        <f t="shared" si="84"/>
        <v>200.59526031493601</v>
      </c>
      <c r="AS649" s="17">
        <f t="shared" si="85"/>
        <v>0.25074407539367</v>
      </c>
      <c r="AT649" s="20">
        <v>800</v>
      </c>
      <c r="AU649" s="20">
        <v>1044.317016601562</v>
      </c>
      <c r="AV649" s="20">
        <f t="shared" si="86"/>
        <v>244.31701660156205</v>
      </c>
      <c r="AW649" s="21">
        <f t="shared" si="87"/>
        <v>0.30539627075195258</v>
      </c>
    </row>
    <row r="650" spans="1:49" x14ac:dyDescent="0.25">
      <c r="A650" t="s">
        <v>38</v>
      </c>
      <c r="B650" t="s">
        <v>68</v>
      </c>
      <c r="C650">
        <v>96849</v>
      </c>
      <c r="D650">
        <v>2020</v>
      </c>
      <c r="E650" t="s">
        <v>69</v>
      </c>
      <c r="F650" t="s">
        <v>104</v>
      </c>
      <c r="H650" t="s">
        <v>118</v>
      </c>
      <c r="I650">
        <v>6</v>
      </c>
      <c r="J650" t="s">
        <v>61</v>
      </c>
      <c r="K650">
        <v>4</v>
      </c>
      <c r="L650" t="s">
        <v>44</v>
      </c>
      <c r="M650">
        <v>3.5</v>
      </c>
      <c r="N650" t="s">
        <v>91</v>
      </c>
      <c r="O650" t="s">
        <v>46</v>
      </c>
      <c r="P650">
        <v>4</v>
      </c>
      <c r="Q650" t="s">
        <v>62</v>
      </c>
      <c r="R650" t="s">
        <v>63</v>
      </c>
      <c r="S650" t="s">
        <v>93</v>
      </c>
      <c r="T650">
        <v>310</v>
      </c>
      <c r="U650" t="s">
        <v>50</v>
      </c>
      <c r="V650" t="s">
        <v>76</v>
      </c>
      <c r="W650" t="s">
        <v>107</v>
      </c>
      <c r="X650" t="s">
        <v>108</v>
      </c>
      <c r="Y650" t="s">
        <v>78</v>
      </c>
      <c r="AA650">
        <v>0</v>
      </c>
      <c r="AB650" t="s">
        <v>79</v>
      </c>
      <c r="AC650" t="s">
        <v>109</v>
      </c>
      <c r="AD650">
        <v>36</v>
      </c>
      <c r="AE650">
        <v>9</v>
      </c>
      <c r="AF650">
        <v>3</v>
      </c>
      <c r="AG650">
        <v>2025</v>
      </c>
      <c r="AH650" s="2">
        <v>24500</v>
      </c>
      <c r="AI650" s="2">
        <v>22888.70703125</v>
      </c>
      <c r="AJ650" s="2">
        <f t="shared" si="80"/>
        <v>1611.29296875</v>
      </c>
      <c r="AK650" s="6">
        <f t="shared" si="81"/>
        <v>6.5767059948979592E-2</v>
      </c>
      <c r="AL650" s="12">
        <v>24500</v>
      </c>
      <c r="AM650" s="12">
        <v>24420.966608286049</v>
      </c>
      <c r="AN650" s="12">
        <f t="shared" si="82"/>
        <v>79.03339171395055</v>
      </c>
      <c r="AO650" s="13">
        <f t="shared" si="83"/>
        <v>3.2258527230183899E-3</v>
      </c>
      <c r="AP650" s="16">
        <v>24500</v>
      </c>
      <c r="AQ650" s="16">
        <v>23758.432415254931</v>
      </c>
      <c r="AR650" s="16">
        <f t="shared" si="84"/>
        <v>741.56758474506933</v>
      </c>
      <c r="AS650" s="17">
        <f t="shared" si="85"/>
        <v>3.0268064683472217E-2</v>
      </c>
      <c r="AT650" s="20">
        <v>24500</v>
      </c>
      <c r="AU650" s="20">
        <v>23239.45703125</v>
      </c>
      <c r="AV650" s="20">
        <f t="shared" si="86"/>
        <v>1260.54296875</v>
      </c>
      <c r="AW650" s="21">
        <f t="shared" si="87"/>
        <v>5.1450733418367346E-2</v>
      </c>
    </row>
    <row r="651" spans="1:49" x14ac:dyDescent="0.25">
      <c r="A651" t="s">
        <v>128</v>
      </c>
      <c r="B651" t="s">
        <v>129</v>
      </c>
      <c r="C651">
        <v>166729</v>
      </c>
      <c r="D651">
        <v>2020</v>
      </c>
      <c r="E651" t="s">
        <v>69</v>
      </c>
      <c r="F651" t="s">
        <v>231</v>
      </c>
      <c r="I651">
        <v>6</v>
      </c>
      <c r="J651" t="s">
        <v>135</v>
      </c>
      <c r="K651">
        <v>4</v>
      </c>
      <c r="L651" t="s">
        <v>44</v>
      </c>
      <c r="M651">
        <v>2.7</v>
      </c>
      <c r="N651" t="s">
        <v>91</v>
      </c>
      <c r="O651" t="s">
        <v>46</v>
      </c>
      <c r="P651">
        <v>3</v>
      </c>
      <c r="Q651" t="s">
        <v>74</v>
      </c>
      <c r="R651" t="s">
        <v>92</v>
      </c>
      <c r="S651" t="s">
        <v>93</v>
      </c>
      <c r="T651">
        <v>325</v>
      </c>
      <c r="U651" t="s">
        <v>50</v>
      </c>
      <c r="V651" t="s">
        <v>76</v>
      </c>
      <c r="W651" t="s">
        <v>512</v>
      </c>
      <c r="X651" t="s">
        <v>94</v>
      </c>
      <c r="Y651" t="s">
        <v>78</v>
      </c>
      <c r="AA651">
        <v>0</v>
      </c>
      <c r="AB651" t="s">
        <v>79</v>
      </c>
      <c r="AC651" t="s">
        <v>95</v>
      </c>
      <c r="AD651">
        <v>36</v>
      </c>
      <c r="AE651">
        <v>9</v>
      </c>
      <c r="AF651">
        <v>3</v>
      </c>
      <c r="AG651">
        <v>2025</v>
      </c>
      <c r="AH651" s="2">
        <v>11000</v>
      </c>
      <c r="AI651" s="2">
        <v>10550.32421875</v>
      </c>
      <c r="AJ651" s="2">
        <f t="shared" si="80"/>
        <v>449.67578125</v>
      </c>
      <c r="AK651" s="6">
        <f t="shared" si="81"/>
        <v>4.0879616477272729E-2</v>
      </c>
      <c r="AL651" s="12">
        <v>11000</v>
      </c>
      <c r="AM651" s="12">
        <v>14045.05406312064</v>
      </c>
      <c r="AN651" s="12">
        <f t="shared" si="82"/>
        <v>3045.0540631206404</v>
      </c>
      <c r="AO651" s="13">
        <f t="shared" si="83"/>
        <v>0.27682309664733096</v>
      </c>
      <c r="AP651" s="16">
        <v>11000</v>
      </c>
      <c r="AQ651" s="16">
        <v>11357.577926866979</v>
      </c>
      <c r="AR651" s="16">
        <f t="shared" si="84"/>
        <v>357.5779268669794</v>
      </c>
      <c r="AS651" s="17">
        <f t="shared" si="85"/>
        <v>3.2507084260634492E-2</v>
      </c>
      <c r="AT651" s="20">
        <v>11000</v>
      </c>
      <c r="AU651" s="20">
        <v>11294.5146484375</v>
      </c>
      <c r="AV651" s="20">
        <f t="shared" si="86"/>
        <v>294.5146484375</v>
      </c>
      <c r="AW651" s="21">
        <f t="shared" si="87"/>
        <v>2.6774058948863637E-2</v>
      </c>
    </row>
    <row r="652" spans="1:49" x14ac:dyDescent="0.25">
      <c r="A652" t="s">
        <v>38</v>
      </c>
      <c r="B652" t="s">
        <v>96</v>
      </c>
      <c r="C652">
        <v>231043</v>
      </c>
      <c r="D652">
        <v>2011</v>
      </c>
      <c r="E652" t="s">
        <v>40</v>
      </c>
      <c r="F652" t="s">
        <v>182</v>
      </c>
      <c r="H652" t="s">
        <v>949</v>
      </c>
      <c r="I652">
        <v>6</v>
      </c>
      <c r="J652" t="s">
        <v>72</v>
      </c>
      <c r="K652">
        <v>4</v>
      </c>
      <c r="L652" t="s">
        <v>44</v>
      </c>
      <c r="M652">
        <v>4</v>
      </c>
      <c r="N652" t="s">
        <v>91</v>
      </c>
      <c r="O652" t="s">
        <v>46</v>
      </c>
      <c r="Q652" t="s">
        <v>62</v>
      </c>
      <c r="R652" t="s">
        <v>63</v>
      </c>
      <c r="S652" t="s">
        <v>93</v>
      </c>
      <c r="T652">
        <v>270</v>
      </c>
      <c r="U652" t="s">
        <v>50</v>
      </c>
      <c r="V652" t="s">
        <v>76</v>
      </c>
      <c r="W652" t="s">
        <v>185</v>
      </c>
      <c r="X652" t="s">
        <v>94</v>
      </c>
      <c r="Y652" t="s">
        <v>54</v>
      </c>
      <c r="AA652">
        <v>0</v>
      </c>
      <c r="AB652" t="s">
        <v>79</v>
      </c>
      <c r="AC652" t="s">
        <v>87</v>
      </c>
      <c r="AD652">
        <v>36</v>
      </c>
      <c r="AE652">
        <v>9</v>
      </c>
      <c r="AF652">
        <v>3</v>
      </c>
      <c r="AG652">
        <v>2025</v>
      </c>
      <c r="AH652" s="2">
        <v>9400</v>
      </c>
      <c r="AI652" s="2">
        <v>8022.02099609375</v>
      </c>
      <c r="AJ652" s="2">
        <f t="shared" si="80"/>
        <v>1377.97900390625</v>
      </c>
      <c r="AK652" s="6">
        <f t="shared" si="81"/>
        <v>0.14659351105385637</v>
      </c>
      <c r="AL652" s="12">
        <v>9400</v>
      </c>
      <c r="AM652" s="12">
        <v>4760.7735622625878</v>
      </c>
      <c r="AN652" s="12">
        <f t="shared" si="82"/>
        <v>4639.2264377374122</v>
      </c>
      <c r="AO652" s="13">
        <f t="shared" si="83"/>
        <v>0.49353472741887366</v>
      </c>
      <c r="AP652" s="16">
        <v>9400</v>
      </c>
      <c r="AQ652" s="16">
        <v>4724.3209121079308</v>
      </c>
      <c r="AR652" s="16">
        <f t="shared" si="84"/>
        <v>4675.6790878920692</v>
      </c>
      <c r="AS652" s="17">
        <f t="shared" si="85"/>
        <v>0.49741266892468822</v>
      </c>
      <c r="AT652" s="20">
        <v>9400</v>
      </c>
      <c r="AU652" s="20">
        <v>7788.5986328125</v>
      </c>
      <c r="AV652" s="20">
        <f t="shared" si="86"/>
        <v>1611.4013671875</v>
      </c>
      <c r="AW652" s="21">
        <f t="shared" si="87"/>
        <v>0.17142567736037234</v>
      </c>
    </row>
    <row r="653" spans="1:49" x14ac:dyDescent="0.25">
      <c r="A653" t="s">
        <v>128</v>
      </c>
      <c r="B653" t="s">
        <v>129</v>
      </c>
      <c r="C653">
        <v>139445</v>
      </c>
      <c r="D653">
        <v>2017</v>
      </c>
      <c r="E653" t="s">
        <v>97</v>
      </c>
      <c r="F653" t="s">
        <v>159</v>
      </c>
      <c r="G653" t="s">
        <v>155</v>
      </c>
      <c r="H653" t="s">
        <v>89</v>
      </c>
      <c r="I653">
        <v>8</v>
      </c>
      <c r="J653" t="s">
        <v>135</v>
      </c>
      <c r="K653">
        <v>4</v>
      </c>
      <c r="L653" t="s">
        <v>44</v>
      </c>
      <c r="M653">
        <v>5.3</v>
      </c>
      <c r="N653" t="s">
        <v>91</v>
      </c>
      <c r="O653" t="s">
        <v>46</v>
      </c>
      <c r="P653">
        <v>4</v>
      </c>
      <c r="Q653" t="s">
        <v>74</v>
      </c>
      <c r="R653" t="s">
        <v>92</v>
      </c>
      <c r="S653" t="s">
        <v>93</v>
      </c>
      <c r="U653" t="s">
        <v>50</v>
      </c>
      <c r="W653" t="s">
        <v>424</v>
      </c>
      <c r="X653" t="s">
        <v>108</v>
      </c>
      <c r="Y653" t="s">
        <v>78</v>
      </c>
      <c r="Z653">
        <v>35790</v>
      </c>
      <c r="AA653">
        <v>0</v>
      </c>
      <c r="AB653" t="s">
        <v>79</v>
      </c>
      <c r="AC653" t="s">
        <v>95</v>
      </c>
      <c r="AD653">
        <v>36</v>
      </c>
      <c r="AE653">
        <v>9</v>
      </c>
      <c r="AF653">
        <v>3</v>
      </c>
      <c r="AG653">
        <v>2025</v>
      </c>
      <c r="AH653" s="2">
        <v>12400</v>
      </c>
      <c r="AI653" s="2">
        <v>13638.837890625</v>
      </c>
      <c r="AJ653" s="2">
        <f t="shared" si="80"/>
        <v>1238.837890625</v>
      </c>
      <c r="AK653" s="6">
        <f t="shared" si="81"/>
        <v>9.9906281502016123E-2</v>
      </c>
      <c r="AL653" s="12">
        <v>12400</v>
      </c>
      <c r="AM653" s="12">
        <v>15278.709186419919</v>
      </c>
      <c r="AN653" s="12">
        <f t="shared" si="82"/>
        <v>2878.7091864199192</v>
      </c>
      <c r="AO653" s="13">
        <f t="shared" si="83"/>
        <v>0.23215396664676768</v>
      </c>
      <c r="AP653" s="16">
        <v>12400</v>
      </c>
      <c r="AQ653" s="16">
        <v>12364.938979065701</v>
      </c>
      <c r="AR653" s="16">
        <f t="shared" si="84"/>
        <v>35.061020934299449</v>
      </c>
      <c r="AS653" s="17">
        <f t="shared" si="85"/>
        <v>2.8275016882499558E-3</v>
      </c>
      <c r="AT653" s="20">
        <v>12400</v>
      </c>
      <c r="AU653" s="20">
        <v>13894.7734375</v>
      </c>
      <c r="AV653" s="20">
        <f t="shared" si="86"/>
        <v>1494.7734375</v>
      </c>
      <c r="AW653" s="21">
        <f t="shared" si="87"/>
        <v>0.12054624495967742</v>
      </c>
    </row>
    <row r="654" spans="1:49" x14ac:dyDescent="0.25">
      <c r="A654" t="s">
        <v>128</v>
      </c>
      <c r="B654" t="s">
        <v>129</v>
      </c>
      <c r="C654">
        <v>189395</v>
      </c>
      <c r="D654">
        <v>2010</v>
      </c>
      <c r="E654" t="s">
        <v>69</v>
      </c>
      <c r="F654" t="s">
        <v>231</v>
      </c>
      <c r="G654" t="s">
        <v>831</v>
      </c>
      <c r="H654" t="s">
        <v>832</v>
      </c>
      <c r="I654">
        <v>8</v>
      </c>
      <c r="J654" t="s">
        <v>72</v>
      </c>
      <c r="K654">
        <v>2</v>
      </c>
      <c r="L654" t="s">
        <v>44</v>
      </c>
      <c r="M654">
        <v>4.5999999999999996</v>
      </c>
      <c r="N654" t="s">
        <v>73</v>
      </c>
      <c r="Q654" t="s">
        <v>74</v>
      </c>
      <c r="R654" t="s">
        <v>92</v>
      </c>
      <c r="S654" t="s">
        <v>49</v>
      </c>
      <c r="T654">
        <v>248</v>
      </c>
      <c r="U654" t="s">
        <v>50</v>
      </c>
      <c r="V654" t="s">
        <v>76</v>
      </c>
      <c r="W654" t="s">
        <v>625</v>
      </c>
      <c r="X654" t="s">
        <v>94</v>
      </c>
      <c r="Y654" t="s">
        <v>78</v>
      </c>
      <c r="AA654">
        <v>0</v>
      </c>
      <c r="AB654" t="s">
        <v>79</v>
      </c>
      <c r="AC654" t="s">
        <v>95</v>
      </c>
      <c r="AD654">
        <v>36</v>
      </c>
      <c r="AE654">
        <v>9</v>
      </c>
      <c r="AF654">
        <v>3</v>
      </c>
      <c r="AG654">
        <v>2025</v>
      </c>
      <c r="AH654" s="2">
        <v>2800</v>
      </c>
      <c r="AI654" s="2">
        <v>3087.62255859375</v>
      </c>
      <c r="AJ654" s="2">
        <f t="shared" si="80"/>
        <v>287.62255859375</v>
      </c>
      <c r="AK654" s="6">
        <f t="shared" si="81"/>
        <v>0.10272234235491072</v>
      </c>
      <c r="AL654" s="12">
        <v>2800</v>
      </c>
      <c r="AM654" s="12">
        <v>2923.4045135070091</v>
      </c>
      <c r="AN654" s="12">
        <f t="shared" si="82"/>
        <v>123.40451350700914</v>
      </c>
      <c r="AO654" s="13">
        <f t="shared" si="83"/>
        <v>4.4073040538217548E-2</v>
      </c>
      <c r="AP654" s="16">
        <v>2800</v>
      </c>
      <c r="AQ654" s="16">
        <v>2860.0137190802511</v>
      </c>
      <c r="AR654" s="16">
        <f t="shared" si="84"/>
        <v>60.013719080251121</v>
      </c>
      <c r="AS654" s="17">
        <f t="shared" si="85"/>
        <v>2.1433471100089686E-2</v>
      </c>
      <c r="AT654" s="20">
        <v>2800</v>
      </c>
      <c r="AU654" s="20">
        <v>3100.642822265625</v>
      </c>
      <c r="AV654" s="20">
        <f t="shared" si="86"/>
        <v>300.642822265625</v>
      </c>
      <c r="AW654" s="21">
        <f t="shared" si="87"/>
        <v>0.1073724365234375</v>
      </c>
    </row>
    <row r="655" spans="1:49" x14ac:dyDescent="0.25">
      <c r="A655" t="s">
        <v>38</v>
      </c>
      <c r="B655" t="s">
        <v>370</v>
      </c>
      <c r="C655">
        <v>51028</v>
      </c>
      <c r="D655">
        <v>2020</v>
      </c>
      <c r="E655" t="s">
        <v>146</v>
      </c>
      <c r="F655" t="s">
        <v>887</v>
      </c>
      <c r="I655">
        <v>4</v>
      </c>
      <c r="J655" t="s">
        <v>61</v>
      </c>
      <c r="K655">
        <v>4</v>
      </c>
      <c r="L655" t="s">
        <v>44</v>
      </c>
      <c r="M655">
        <v>1.6</v>
      </c>
      <c r="N655" t="s">
        <v>45</v>
      </c>
      <c r="O655" t="s">
        <v>46</v>
      </c>
      <c r="P655">
        <v>3</v>
      </c>
      <c r="Q655" t="s">
        <v>47</v>
      </c>
      <c r="R655" t="s">
        <v>48</v>
      </c>
      <c r="S655" t="s">
        <v>49</v>
      </c>
      <c r="U655" t="s">
        <v>50</v>
      </c>
      <c r="X655" t="s">
        <v>125</v>
      </c>
      <c r="Y655" t="s">
        <v>126</v>
      </c>
      <c r="AA655">
        <v>0</v>
      </c>
      <c r="AB655" t="s">
        <v>79</v>
      </c>
      <c r="AC655" t="s">
        <v>359</v>
      </c>
      <c r="AD655">
        <v>36</v>
      </c>
      <c r="AE655">
        <v>9</v>
      </c>
      <c r="AF655">
        <v>3</v>
      </c>
      <c r="AG655">
        <v>2025</v>
      </c>
      <c r="AH655" s="2">
        <v>9300</v>
      </c>
      <c r="AI655" s="2">
        <v>10561.34765625</v>
      </c>
      <c r="AJ655" s="2">
        <f t="shared" si="80"/>
        <v>1261.34765625</v>
      </c>
      <c r="AK655" s="6">
        <f t="shared" si="81"/>
        <v>0.13562878024193548</v>
      </c>
      <c r="AL655" s="12">
        <v>9300</v>
      </c>
      <c r="AM655" s="12">
        <v>10349.63362319642</v>
      </c>
      <c r="AN655" s="12">
        <f t="shared" si="82"/>
        <v>1049.6336231964196</v>
      </c>
      <c r="AO655" s="13">
        <f t="shared" si="83"/>
        <v>0.11286383045122791</v>
      </c>
      <c r="AP655" s="16">
        <v>9300</v>
      </c>
      <c r="AQ655" s="16">
        <v>10208.823368645801</v>
      </c>
      <c r="AR655" s="16">
        <f t="shared" si="84"/>
        <v>908.82336864580066</v>
      </c>
      <c r="AS655" s="17">
        <f t="shared" si="85"/>
        <v>9.7722942865139856E-2</v>
      </c>
      <c r="AT655" s="20">
        <v>9300</v>
      </c>
      <c r="AU655" s="20">
        <v>10529.9765625</v>
      </c>
      <c r="AV655" s="20">
        <f t="shared" si="86"/>
        <v>1229.9765625</v>
      </c>
      <c r="AW655" s="21">
        <f t="shared" si="87"/>
        <v>0.13225554435483872</v>
      </c>
    </row>
    <row r="656" spans="1:49" x14ac:dyDescent="0.25">
      <c r="A656" t="s">
        <v>114</v>
      </c>
      <c r="B656" t="s">
        <v>115</v>
      </c>
      <c r="C656">
        <v>110381</v>
      </c>
      <c r="D656">
        <v>2015</v>
      </c>
      <c r="E656" t="s">
        <v>174</v>
      </c>
      <c r="F656" t="s">
        <v>254</v>
      </c>
      <c r="H656" t="s">
        <v>950</v>
      </c>
      <c r="I656">
        <v>4</v>
      </c>
      <c r="J656" t="s">
        <v>106</v>
      </c>
      <c r="K656">
        <v>4</v>
      </c>
      <c r="L656" t="s">
        <v>44</v>
      </c>
      <c r="M656">
        <v>2.4</v>
      </c>
      <c r="N656" t="s">
        <v>45</v>
      </c>
      <c r="O656" t="s">
        <v>46</v>
      </c>
      <c r="Q656" t="s">
        <v>62</v>
      </c>
      <c r="R656" t="s">
        <v>63</v>
      </c>
      <c r="S656" t="s">
        <v>101</v>
      </c>
      <c r="U656" t="s">
        <v>50</v>
      </c>
      <c r="W656" t="s">
        <v>131</v>
      </c>
      <c r="X656" t="s">
        <v>65</v>
      </c>
      <c r="Y656" t="s">
        <v>103</v>
      </c>
      <c r="AA656">
        <v>0</v>
      </c>
      <c r="AB656" t="s">
        <v>79</v>
      </c>
      <c r="AC656" t="s">
        <v>87</v>
      </c>
      <c r="AD656">
        <v>36</v>
      </c>
      <c r="AE656">
        <v>9</v>
      </c>
      <c r="AF656">
        <v>3</v>
      </c>
      <c r="AG656">
        <v>2025</v>
      </c>
      <c r="AH656" s="2">
        <v>5500</v>
      </c>
      <c r="AI656" s="2">
        <v>4878.87158203125</v>
      </c>
      <c r="AJ656" s="2">
        <f t="shared" si="80"/>
        <v>621.12841796875</v>
      </c>
      <c r="AK656" s="6">
        <f t="shared" si="81"/>
        <v>0.11293243963068182</v>
      </c>
      <c r="AL656" s="12">
        <v>5500</v>
      </c>
      <c r="AM656" s="12">
        <v>4471.5250460714606</v>
      </c>
      <c r="AN656" s="12">
        <f t="shared" si="82"/>
        <v>1028.4749539285394</v>
      </c>
      <c r="AO656" s="13">
        <f t="shared" si="83"/>
        <v>0.18699544616882535</v>
      </c>
      <c r="AP656" s="16">
        <v>5500</v>
      </c>
      <c r="AQ656" s="16">
        <v>3715.8445363979131</v>
      </c>
      <c r="AR656" s="16">
        <f t="shared" si="84"/>
        <v>1784.1554636020869</v>
      </c>
      <c r="AS656" s="17">
        <f t="shared" si="85"/>
        <v>0.32439190247310673</v>
      </c>
      <c r="AT656" s="20">
        <v>5500</v>
      </c>
      <c r="AU656" s="20">
        <v>4925.74951171875</v>
      </c>
      <c r="AV656" s="20">
        <f t="shared" si="86"/>
        <v>574.25048828125</v>
      </c>
      <c r="AW656" s="21">
        <f t="shared" si="87"/>
        <v>0.10440917968750001</v>
      </c>
    </row>
    <row r="657" spans="1:49" x14ac:dyDescent="0.25">
      <c r="A657" t="s">
        <v>38</v>
      </c>
      <c r="B657" t="s">
        <v>39</v>
      </c>
      <c r="C657">
        <v>87320</v>
      </c>
      <c r="D657">
        <v>2019</v>
      </c>
      <c r="E657" t="s">
        <v>88</v>
      </c>
      <c r="F657" t="s">
        <v>89</v>
      </c>
      <c r="H657" t="s">
        <v>90</v>
      </c>
      <c r="I657">
        <v>8</v>
      </c>
      <c r="J657" t="s">
        <v>135</v>
      </c>
      <c r="K657">
        <v>4</v>
      </c>
      <c r="L657" t="s">
        <v>44</v>
      </c>
      <c r="M657">
        <v>5.7</v>
      </c>
      <c r="N657" t="s">
        <v>91</v>
      </c>
      <c r="O657" t="s">
        <v>46</v>
      </c>
      <c r="Q657" t="s">
        <v>74</v>
      </c>
      <c r="R657" t="s">
        <v>92</v>
      </c>
      <c r="S657" t="s">
        <v>93</v>
      </c>
      <c r="T657">
        <v>395</v>
      </c>
      <c r="U657" t="s">
        <v>50</v>
      </c>
      <c r="V657" t="s">
        <v>76</v>
      </c>
      <c r="X657" t="s">
        <v>108</v>
      </c>
      <c r="Y657" t="s">
        <v>78</v>
      </c>
      <c r="AA657">
        <v>0</v>
      </c>
      <c r="AB657" t="s">
        <v>79</v>
      </c>
      <c r="AC657" t="s">
        <v>95</v>
      </c>
      <c r="AD657">
        <v>36</v>
      </c>
      <c r="AE657">
        <v>9</v>
      </c>
      <c r="AF657">
        <v>3</v>
      </c>
      <c r="AG657">
        <v>2025</v>
      </c>
      <c r="AH657" s="2">
        <v>25500</v>
      </c>
      <c r="AI657" s="2">
        <v>24233.244140625</v>
      </c>
      <c r="AJ657" s="2">
        <f t="shared" si="80"/>
        <v>1266.755859375</v>
      </c>
      <c r="AK657" s="6">
        <f t="shared" si="81"/>
        <v>4.9676700367647056E-2</v>
      </c>
      <c r="AL657" s="12">
        <v>25500</v>
      </c>
      <c r="AM657" s="12">
        <v>22125.546300867671</v>
      </c>
      <c r="AN657" s="12">
        <f t="shared" si="82"/>
        <v>3374.4536991323293</v>
      </c>
      <c r="AO657" s="13">
        <f t="shared" si="83"/>
        <v>0.13233151761303252</v>
      </c>
      <c r="AP657" s="16">
        <v>25500</v>
      </c>
      <c r="AQ657" s="16">
        <v>22554.41241896071</v>
      </c>
      <c r="AR657" s="16">
        <f t="shared" si="84"/>
        <v>2945.5875810392899</v>
      </c>
      <c r="AS657" s="17">
        <f t="shared" si="85"/>
        <v>0.11551323847212902</v>
      </c>
      <c r="AT657" s="20">
        <v>25500</v>
      </c>
      <c r="AU657" s="20">
        <v>23519.576171875</v>
      </c>
      <c r="AV657" s="20">
        <f t="shared" si="86"/>
        <v>1980.423828125</v>
      </c>
      <c r="AW657" s="21">
        <f t="shared" si="87"/>
        <v>7.7663679534313732E-2</v>
      </c>
    </row>
    <row r="658" spans="1:49" x14ac:dyDescent="0.25">
      <c r="A658" t="s">
        <v>38</v>
      </c>
      <c r="B658" t="s">
        <v>39</v>
      </c>
      <c r="C658">
        <v>113590</v>
      </c>
      <c r="D658">
        <v>2012</v>
      </c>
      <c r="E658" t="s">
        <v>97</v>
      </c>
      <c r="F658" t="s">
        <v>198</v>
      </c>
      <c r="G658" t="s">
        <v>951</v>
      </c>
      <c r="I658">
        <v>6</v>
      </c>
      <c r="J658" t="s">
        <v>135</v>
      </c>
      <c r="K658">
        <v>4</v>
      </c>
      <c r="L658" t="s">
        <v>44</v>
      </c>
      <c r="M658">
        <v>3.6</v>
      </c>
      <c r="N658" t="s">
        <v>45</v>
      </c>
      <c r="O658" t="s">
        <v>46</v>
      </c>
      <c r="Q658" t="s">
        <v>62</v>
      </c>
      <c r="R658" t="s">
        <v>63</v>
      </c>
      <c r="S658" t="s">
        <v>101</v>
      </c>
      <c r="U658" t="s">
        <v>50</v>
      </c>
      <c r="V658" t="s">
        <v>76</v>
      </c>
      <c r="W658" t="s">
        <v>200</v>
      </c>
      <c r="X658" t="s">
        <v>94</v>
      </c>
      <c r="Y658" t="s">
        <v>78</v>
      </c>
      <c r="AA658">
        <v>0</v>
      </c>
      <c r="AB658" t="s">
        <v>79</v>
      </c>
      <c r="AC658" t="s">
        <v>87</v>
      </c>
      <c r="AD658">
        <v>36</v>
      </c>
      <c r="AE658">
        <v>9</v>
      </c>
      <c r="AF658">
        <v>3</v>
      </c>
      <c r="AG658">
        <v>2025</v>
      </c>
      <c r="AH658" s="2">
        <v>4750</v>
      </c>
      <c r="AI658" s="2">
        <v>3621.326904296875</v>
      </c>
      <c r="AJ658" s="2">
        <f t="shared" si="80"/>
        <v>1128.673095703125</v>
      </c>
      <c r="AK658" s="6">
        <f t="shared" si="81"/>
        <v>0.23761538856907893</v>
      </c>
      <c r="AL658" s="12">
        <v>4750</v>
      </c>
      <c r="AM658" s="12">
        <v>3599.349280557823</v>
      </c>
      <c r="AN658" s="12">
        <f t="shared" si="82"/>
        <v>1150.650719442177</v>
      </c>
      <c r="AO658" s="13">
        <f t="shared" si="83"/>
        <v>0.24224225672466884</v>
      </c>
      <c r="AP658" s="16">
        <v>4750</v>
      </c>
      <c r="AQ658" s="16">
        <v>2497.8111642773192</v>
      </c>
      <c r="AR658" s="16">
        <f t="shared" si="84"/>
        <v>2252.1888357226808</v>
      </c>
      <c r="AS658" s="17">
        <f t="shared" si="85"/>
        <v>0.47414501804688014</v>
      </c>
      <c r="AT658" s="20">
        <v>4750</v>
      </c>
      <c r="AU658" s="20">
        <v>3698.16455078125</v>
      </c>
      <c r="AV658" s="20">
        <f t="shared" si="86"/>
        <v>1051.83544921875</v>
      </c>
      <c r="AW658" s="21">
        <f t="shared" si="87"/>
        <v>0.22143904194078948</v>
      </c>
    </row>
    <row r="659" spans="1:49" x14ac:dyDescent="0.25">
      <c r="A659" t="s">
        <v>38</v>
      </c>
      <c r="B659" t="s">
        <v>68</v>
      </c>
      <c r="C659">
        <v>94602</v>
      </c>
      <c r="D659">
        <v>2017</v>
      </c>
      <c r="E659" t="s">
        <v>69</v>
      </c>
      <c r="F659" t="s">
        <v>231</v>
      </c>
      <c r="G659" t="s">
        <v>764</v>
      </c>
      <c r="I659">
        <v>6</v>
      </c>
      <c r="J659" t="s">
        <v>135</v>
      </c>
      <c r="K659">
        <v>4</v>
      </c>
      <c r="L659" t="s">
        <v>44</v>
      </c>
      <c r="M659">
        <v>2.7</v>
      </c>
      <c r="N659" t="s">
        <v>73</v>
      </c>
      <c r="O659" t="s">
        <v>46</v>
      </c>
      <c r="P659">
        <v>4</v>
      </c>
      <c r="Q659" t="s">
        <v>74</v>
      </c>
      <c r="R659" t="s">
        <v>92</v>
      </c>
      <c r="S659" t="s">
        <v>49</v>
      </c>
      <c r="T659">
        <v>325</v>
      </c>
      <c r="U659" t="s">
        <v>50</v>
      </c>
      <c r="V659" t="s">
        <v>76</v>
      </c>
      <c r="W659" t="s">
        <v>512</v>
      </c>
      <c r="X659" t="s">
        <v>94</v>
      </c>
      <c r="Y659" t="s">
        <v>78</v>
      </c>
      <c r="Z659">
        <v>33650</v>
      </c>
      <c r="AA659">
        <v>0</v>
      </c>
      <c r="AB659" t="s">
        <v>79</v>
      </c>
      <c r="AC659" t="s">
        <v>95</v>
      </c>
      <c r="AD659">
        <v>36</v>
      </c>
      <c r="AE659">
        <v>9</v>
      </c>
      <c r="AF659">
        <v>3</v>
      </c>
      <c r="AG659">
        <v>2025</v>
      </c>
      <c r="AH659" s="2">
        <v>21000</v>
      </c>
      <c r="AI659" s="2">
        <v>14918.125</v>
      </c>
      <c r="AJ659" s="2">
        <f t="shared" si="80"/>
        <v>6081.875</v>
      </c>
      <c r="AK659" s="6">
        <f t="shared" si="81"/>
        <v>0.28961309523809525</v>
      </c>
      <c r="AL659" s="12">
        <v>21000</v>
      </c>
      <c r="AM659" s="12">
        <v>15183.11266314895</v>
      </c>
      <c r="AN659" s="12">
        <f t="shared" si="82"/>
        <v>5816.8873368510503</v>
      </c>
      <c r="AO659" s="13">
        <f t="shared" si="83"/>
        <v>0.27699463508814526</v>
      </c>
      <c r="AP659" s="16">
        <v>21000</v>
      </c>
      <c r="AQ659" s="16">
        <v>16591.569796507782</v>
      </c>
      <c r="AR659" s="16">
        <f t="shared" si="84"/>
        <v>4408.4302034922184</v>
      </c>
      <c r="AS659" s="17">
        <f t="shared" si="85"/>
        <v>0.20992524778534374</v>
      </c>
      <c r="AT659" s="20">
        <v>21000</v>
      </c>
      <c r="AU659" s="20">
        <v>14940.4228515625</v>
      </c>
      <c r="AV659" s="20">
        <f t="shared" si="86"/>
        <v>6059.5771484375</v>
      </c>
      <c r="AW659" s="21">
        <f t="shared" si="87"/>
        <v>0.28855129278273811</v>
      </c>
    </row>
    <row r="660" spans="1:49" x14ac:dyDescent="0.25">
      <c r="A660" t="s">
        <v>38</v>
      </c>
      <c r="B660" t="s">
        <v>96</v>
      </c>
      <c r="C660">
        <v>22700</v>
      </c>
      <c r="D660">
        <v>2015</v>
      </c>
      <c r="E660" t="s">
        <v>69</v>
      </c>
      <c r="F660" t="s">
        <v>310</v>
      </c>
      <c r="H660" t="s">
        <v>952</v>
      </c>
      <c r="I660">
        <v>4</v>
      </c>
      <c r="J660" t="s">
        <v>61</v>
      </c>
      <c r="K660">
        <v>2</v>
      </c>
      <c r="L660" t="s">
        <v>44</v>
      </c>
      <c r="M660">
        <v>2.2999999999999998</v>
      </c>
      <c r="N660" t="s">
        <v>73</v>
      </c>
      <c r="O660" t="s">
        <v>46</v>
      </c>
      <c r="P660">
        <v>1</v>
      </c>
      <c r="Q660" t="s">
        <v>47</v>
      </c>
      <c r="R660" t="s">
        <v>197</v>
      </c>
      <c r="U660" t="s">
        <v>50</v>
      </c>
      <c r="V660" t="s">
        <v>51</v>
      </c>
      <c r="X660" t="s">
        <v>125</v>
      </c>
      <c r="Y660" t="s">
        <v>78</v>
      </c>
      <c r="AA660">
        <v>0</v>
      </c>
      <c r="AB660" t="s">
        <v>79</v>
      </c>
      <c r="AC660" t="s">
        <v>197</v>
      </c>
      <c r="AD660">
        <v>36</v>
      </c>
      <c r="AE660">
        <v>9</v>
      </c>
      <c r="AF660">
        <v>3</v>
      </c>
      <c r="AG660">
        <v>2025</v>
      </c>
      <c r="AH660" s="2">
        <v>12750</v>
      </c>
      <c r="AI660" s="2">
        <v>8326.6298828125</v>
      </c>
      <c r="AJ660" s="2">
        <f t="shared" si="80"/>
        <v>4423.3701171875</v>
      </c>
      <c r="AK660" s="6">
        <f t="shared" si="81"/>
        <v>0.34693098958333335</v>
      </c>
      <c r="AL660" s="12">
        <v>12750</v>
      </c>
      <c r="AM660" s="12">
        <v>8393.93561253798</v>
      </c>
      <c r="AN660" s="12">
        <f t="shared" si="82"/>
        <v>4356.06438746202</v>
      </c>
      <c r="AO660" s="13">
        <f t="shared" si="83"/>
        <v>0.34165210882055058</v>
      </c>
      <c r="AP660" s="16">
        <v>12750</v>
      </c>
      <c r="AQ660" s="16">
        <v>9072.5037131937115</v>
      </c>
      <c r="AR660" s="16">
        <f t="shared" si="84"/>
        <v>3677.4962868062885</v>
      </c>
      <c r="AS660" s="17">
        <f t="shared" si="85"/>
        <v>0.28843108131814027</v>
      </c>
      <c r="AT660" s="20">
        <v>12750</v>
      </c>
      <c r="AU660" s="20">
        <v>8386.095703125</v>
      </c>
      <c r="AV660" s="20">
        <f t="shared" si="86"/>
        <v>4363.904296875</v>
      </c>
      <c r="AW660" s="21">
        <f t="shared" si="87"/>
        <v>0.34226700367647062</v>
      </c>
    </row>
    <row r="661" spans="1:49" x14ac:dyDescent="0.25">
      <c r="A661" t="s">
        <v>128</v>
      </c>
      <c r="B661" t="s">
        <v>129</v>
      </c>
      <c r="C661">
        <v>160111</v>
      </c>
      <c r="D661">
        <v>2015</v>
      </c>
      <c r="E661" t="s">
        <v>146</v>
      </c>
      <c r="F661" t="s">
        <v>334</v>
      </c>
      <c r="I661">
        <v>4</v>
      </c>
      <c r="J661" t="s">
        <v>72</v>
      </c>
      <c r="K661">
        <v>4</v>
      </c>
      <c r="L661" t="s">
        <v>44</v>
      </c>
      <c r="M661">
        <v>2.5</v>
      </c>
      <c r="N661" t="s">
        <v>45</v>
      </c>
      <c r="Q661" t="s">
        <v>47</v>
      </c>
      <c r="R661" t="s">
        <v>123</v>
      </c>
      <c r="S661" t="s">
        <v>101</v>
      </c>
      <c r="U661" t="s">
        <v>50</v>
      </c>
      <c r="X661" t="s">
        <v>125</v>
      </c>
      <c r="Y661" t="s">
        <v>78</v>
      </c>
      <c r="AA661">
        <v>0</v>
      </c>
      <c r="AB661" t="s">
        <v>79</v>
      </c>
      <c r="AC661" t="s">
        <v>127</v>
      </c>
      <c r="AD661">
        <v>36</v>
      </c>
      <c r="AE661">
        <v>9</v>
      </c>
      <c r="AF661">
        <v>3</v>
      </c>
      <c r="AG661">
        <v>2025</v>
      </c>
      <c r="AH661" s="2">
        <v>3100</v>
      </c>
      <c r="AI661" s="2">
        <v>1686.705444335938</v>
      </c>
      <c r="AJ661" s="2">
        <f t="shared" si="80"/>
        <v>1413.294555664062</v>
      </c>
      <c r="AK661" s="6">
        <f t="shared" si="81"/>
        <v>0.45590146956905225</v>
      </c>
      <c r="AL661" s="12">
        <v>3100</v>
      </c>
      <c r="AM661" s="12">
        <v>1905.722131509068</v>
      </c>
      <c r="AN661" s="12">
        <f t="shared" si="82"/>
        <v>1194.277868490932</v>
      </c>
      <c r="AO661" s="13">
        <f t="shared" si="83"/>
        <v>0.38525092531965549</v>
      </c>
      <c r="AP661" s="16">
        <v>3100</v>
      </c>
      <c r="AQ661" s="16">
        <v>1671.5182082771009</v>
      </c>
      <c r="AR661" s="16">
        <f t="shared" si="84"/>
        <v>1428.4817917228991</v>
      </c>
      <c r="AS661" s="17">
        <f t="shared" si="85"/>
        <v>0.46080057797512874</v>
      </c>
      <c r="AT661" s="20">
        <v>3100</v>
      </c>
      <c r="AU661" s="20">
        <v>1693.953369140625</v>
      </c>
      <c r="AV661" s="20">
        <f t="shared" si="86"/>
        <v>1406.046630859375</v>
      </c>
      <c r="AW661" s="21">
        <f t="shared" si="87"/>
        <v>0.4535634293094758</v>
      </c>
    </row>
    <row r="662" spans="1:49" x14ac:dyDescent="0.25">
      <c r="A662" t="s">
        <v>38</v>
      </c>
      <c r="B662" t="s">
        <v>110</v>
      </c>
      <c r="C662">
        <v>151796</v>
      </c>
      <c r="D662">
        <v>2013</v>
      </c>
      <c r="E662" t="s">
        <v>162</v>
      </c>
      <c r="F662" t="s">
        <v>953</v>
      </c>
      <c r="G662" t="s">
        <v>954</v>
      </c>
      <c r="I662">
        <v>6</v>
      </c>
      <c r="J662" t="s">
        <v>135</v>
      </c>
      <c r="K662">
        <v>4</v>
      </c>
      <c r="L662" t="s">
        <v>44</v>
      </c>
      <c r="M662">
        <v>3.3</v>
      </c>
      <c r="N662" t="s">
        <v>45</v>
      </c>
      <c r="Q662" t="s">
        <v>47</v>
      </c>
      <c r="R662" t="s">
        <v>123</v>
      </c>
      <c r="U662" t="s">
        <v>50</v>
      </c>
      <c r="W662" t="s">
        <v>955</v>
      </c>
      <c r="X662" t="s">
        <v>125</v>
      </c>
      <c r="Y662" t="s">
        <v>66</v>
      </c>
      <c r="AA662">
        <v>0</v>
      </c>
      <c r="AB662" t="s">
        <v>79</v>
      </c>
      <c r="AC662" t="s">
        <v>127</v>
      </c>
      <c r="AD662">
        <v>36</v>
      </c>
      <c r="AE662">
        <v>9</v>
      </c>
      <c r="AF662">
        <v>3</v>
      </c>
      <c r="AG662">
        <v>2025</v>
      </c>
      <c r="AH662" s="2">
        <v>900</v>
      </c>
      <c r="AI662" s="2">
        <v>1574.640625</v>
      </c>
      <c r="AJ662" s="2">
        <f t="shared" si="80"/>
        <v>674.640625</v>
      </c>
      <c r="AK662" s="6">
        <f t="shared" si="81"/>
        <v>0.74960069444444444</v>
      </c>
      <c r="AL662" s="12">
        <v>900</v>
      </c>
      <c r="AM662" s="12">
        <v>1843.038911812477</v>
      </c>
      <c r="AN662" s="12">
        <f t="shared" si="82"/>
        <v>943.03891181247695</v>
      </c>
      <c r="AO662" s="13">
        <f t="shared" si="83"/>
        <v>1.0478210131249743</v>
      </c>
      <c r="AP662" s="16">
        <v>900</v>
      </c>
      <c r="AQ662" s="16">
        <v>1305.218816534893</v>
      </c>
      <c r="AR662" s="16">
        <f t="shared" si="84"/>
        <v>405.21881653489299</v>
      </c>
      <c r="AS662" s="17">
        <f t="shared" si="85"/>
        <v>0.45024312948321443</v>
      </c>
      <c r="AT662" s="20">
        <v>900</v>
      </c>
      <c r="AU662" s="20">
        <v>1559.468994140625</v>
      </c>
      <c r="AV662" s="20">
        <f t="shared" si="86"/>
        <v>659.468994140625</v>
      </c>
      <c r="AW662" s="21">
        <f t="shared" si="87"/>
        <v>0.73274332682291665</v>
      </c>
    </row>
    <row r="663" spans="1:49" x14ac:dyDescent="0.25">
      <c r="A663" t="s">
        <v>38</v>
      </c>
      <c r="B663" t="s">
        <v>370</v>
      </c>
      <c r="C663">
        <v>19093</v>
      </c>
      <c r="D663">
        <v>2024</v>
      </c>
      <c r="E663" t="s">
        <v>162</v>
      </c>
      <c r="F663" t="s">
        <v>211</v>
      </c>
      <c r="G663" t="s">
        <v>285</v>
      </c>
      <c r="I663">
        <v>4</v>
      </c>
      <c r="J663" t="s">
        <v>135</v>
      </c>
      <c r="K663">
        <v>4</v>
      </c>
      <c r="L663" t="s">
        <v>44</v>
      </c>
      <c r="M663">
        <v>2</v>
      </c>
      <c r="N663" t="s">
        <v>45</v>
      </c>
      <c r="O663" t="s">
        <v>46</v>
      </c>
      <c r="Q663" t="s">
        <v>47</v>
      </c>
      <c r="R663" t="s">
        <v>123</v>
      </c>
      <c r="U663" t="s">
        <v>50</v>
      </c>
      <c r="W663" t="s">
        <v>739</v>
      </c>
      <c r="X663" t="s">
        <v>53</v>
      </c>
      <c r="Y663" t="s">
        <v>66</v>
      </c>
      <c r="AA663">
        <v>0</v>
      </c>
      <c r="AB663" t="s">
        <v>79</v>
      </c>
      <c r="AC663" t="s">
        <v>127</v>
      </c>
      <c r="AD663">
        <v>36</v>
      </c>
      <c r="AE663">
        <v>9</v>
      </c>
      <c r="AF663">
        <v>3</v>
      </c>
      <c r="AG663">
        <v>2025</v>
      </c>
      <c r="AH663" s="2">
        <v>17900</v>
      </c>
      <c r="AI663" s="2">
        <v>20244.6875</v>
      </c>
      <c r="AJ663" s="2">
        <f t="shared" si="80"/>
        <v>2344.6875</v>
      </c>
      <c r="AK663" s="6">
        <f t="shared" si="81"/>
        <v>0.13098812849162011</v>
      </c>
      <c r="AL663" s="12">
        <v>17900</v>
      </c>
      <c r="AM663" s="12">
        <v>19384.221021221321</v>
      </c>
      <c r="AN663" s="12">
        <f t="shared" si="82"/>
        <v>1484.2210212213213</v>
      </c>
      <c r="AO663" s="13">
        <f t="shared" si="83"/>
        <v>8.2917375487224651E-2</v>
      </c>
      <c r="AP663" s="16">
        <v>17900</v>
      </c>
      <c r="AQ663" s="16">
        <v>15834.127560172279</v>
      </c>
      <c r="AR663" s="16">
        <f t="shared" si="84"/>
        <v>2065.8724398277209</v>
      </c>
      <c r="AS663" s="17">
        <f t="shared" si="85"/>
        <v>0.11541186814680005</v>
      </c>
      <c r="AT663" s="20">
        <v>17900</v>
      </c>
      <c r="AU663" s="20">
        <v>19933.087890625</v>
      </c>
      <c r="AV663" s="20">
        <f t="shared" si="86"/>
        <v>2033.087890625</v>
      </c>
      <c r="AW663" s="21">
        <f t="shared" si="87"/>
        <v>0.11358032908519552</v>
      </c>
    </row>
    <row r="664" spans="1:49" x14ac:dyDescent="0.25">
      <c r="A664" t="s">
        <v>128</v>
      </c>
      <c r="B664" t="s">
        <v>129</v>
      </c>
      <c r="C664">
        <v>129161</v>
      </c>
      <c r="D664">
        <v>2016</v>
      </c>
      <c r="E664" t="s">
        <v>69</v>
      </c>
      <c r="F664" t="s">
        <v>104</v>
      </c>
      <c r="H664" t="s">
        <v>118</v>
      </c>
      <c r="I664">
        <v>6</v>
      </c>
      <c r="J664" t="s">
        <v>61</v>
      </c>
      <c r="K664">
        <v>4</v>
      </c>
      <c r="L664" t="s">
        <v>44</v>
      </c>
      <c r="M664">
        <v>3.5</v>
      </c>
      <c r="N664" t="s">
        <v>73</v>
      </c>
      <c r="O664" t="s">
        <v>46</v>
      </c>
      <c r="Q664" t="s">
        <v>62</v>
      </c>
      <c r="R664" t="s">
        <v>63</v>
      </c>
      <c r="S664" t="s">
        <v>49</v>
      </c>
      <c r="T664">
        <v>365</v>
      </c>
      <c r="U664" t="s">
        <v>50</v>
      </c>
      <c r="V664" t="s">
        <v>76</v>
      </c>
      <c r="W664" t="s">
        <v>308</v>
      </c>
      <c r="X664" t="s">
        <v>108</v>
      </c>
      <c r="Y664" t="s">
        <v>78</v>
      </c>
      <c r="AA664">
        <v>0</v>
      </c>
      <c r="AB664" t="s">
        <v>79</v>
      </c>
      <c r="AC664" t="s">
        <v>87</v>
      </c>
      <c r="AD664">
        <v>36</v>
      </c>
      <c r="AE664">
        <v>9</v>
      </c>
      <c r="AF664">
        <v>3</v>
      </c>
      <c r="AG664">
        <v>2025</v>
      </c>
      <c r="AH664" s="2">
        <v>8200</v>
      </c>
      <c r="AI664" s="2">
        <v>8240.8818359375</v>
      </c>
      <c r="AJ664" s="2">
        <f t="shared" si="80"/>
        <v>40.8818359375</v>
      </c>
      <c r="AK664" s="6">
        <f t="shared" si="81"/>
        <v>4.98558974847561E-3</v>
      </c>
      <c r="AL664" s="12">
        <v>8200</v>
      </c>
      <c r="AM664" s="12">
        <v>9010.9624165131609</v>
      </c>
      <c r="AN664" s="12">
        <f t="shared" si="82"/>
        <v>810.96241651316086</v>
      </c>
      <c r="AO664" s="13">
        <f t="shared" si="83"/>
        <v>9.8897855672336693E-2</v>
      </c>
      <c r="AP664" s="16">
        <v>8200</v>
      </c>
      <c r="AQ664" s="16">
        <v>7319.4705356020559</v>
      </c>
      <c r="AR664" s="16">
        <f t="shared" si="84"/>
        <v>880.52946439794414</v>
      </c>
      <c r="AS664" s="17">
        <f t="shared" si="85"/>
        <v>0.10738164199974928</v>
      </c>
      <c r="AT664" s="20">
        <v>8200</v>
      </c>
      <c r="AU664" s="20">
        <v>8549.3466796875</v>
      </c>
      <c r="AV664" s="20">
        <f t="shared" si="86"/>
        <v>349.3466796875</v>
      </c>
      <c r="AW664" s="21">
        <f t="shared" si="87"/>
        <v>4.2603253620426829E-2</v>
      </c>
    </row>
    <row r="665" spans="1:49" x14ac:dyDescent="0.25">
      <c r="A665" t="s">
        <v>38</v>
      </c>
      <c r="B665" t="s">
        <v>57</v>
      </c>
      <c r="C665">
        <v>219735</v>
      </c>
      <c r="D665">
        <v>2016</v>
      </c>
      <c r="E665" t="s">
        <v>88</v>
      </c>
      <c r="F665" t="s">
        <v>312</v>
      </c>
      <c r="G665" t="s">
        <v>956</v>
      </c>
      <c r="H665" t="s">
        <v>313</v>
      </c>
      <c r="I665">
        <v>8</v>
      </c>
      <c r="J665" t="s">
        <v>106</v>
      </c>
      <c r="K665">
        <v>4</v>
      </c>
      <c r="L665" t="s">
        <v>44</v>
      </c>
      <c r="M665">
        <v>5.7</v>
      </c>
      <c r="N665" t="s">
        <v>91</v>
      </c>
      <c r="O665" t="s">
        <v>46</v>
      </c>
      <c r="P665">
        <v>4</v>
      </c>
      <c r="Q665" t="s">
        <v>74</v>
      </c>
      <c r="R665" t="s">
        <v>92</v>
      </c>
      <c r="S665" t="s">
        <v>93</v>
      </c>
      <c r="U665" t="s">
        <v>50</v>
      </c>
      <c r="X665" t="s">
        <v>77</v>
      </c>
      <c r="Y665" t="s">
        <v>126</v>
      </c>
      <c r="AA665">
        <v>0</v>
      </c>
      <c r="AB665" t="s">
        <v>79</v>
      </c>
      <c r="AC665" t="s">
        <v>95</v>
      </c>
      <c r="AD665">
        <v>36</v>
      </c>
      <c r="AE665">
        <v>9</v>
      </c>
      <c r="AF665">
        <v>3</v>
      </c>
      <c r="AG665">
        <v>2025</v>
      </c>
      <c r="AH665" s="2">
        <v>8800</v>
      </c>
      <c r="AI665" s="2">
        <v>7422.7197265625</v>
      </c>
      <c r="AJ665" s="2">
        <f t="shared" si="80"/>
        <v>1377.2802734375</v>
      </c>
      <c r="AK665" s="6">
        <f t="shared" si="81"/>
        <v>0.15650912198153408</v>
      </c>
      <c r="AL665" s="12">
        <v>8800</v>
      </c>
      <c r="AM665" s="12">
        <v>7922.5634693145566</v>
      </c>
      <c r="AN665" s="12">
        <f t="shared" si="82"/>
        <v>877.43653068544336</v>
      </c>
      <c r="AO665" s="13">
        <f t="shared" si="83"/>
        <v>9.9708696668800376E-2</v>
      </c>
      <c r="AP665" s="16">
        <v>8800</v>
      </c>
      <c r="AQ665" s="16">
        <v>8980.1599233434954</v>
      </c>
      <c r="AR665" s="16">
        <f t="shared" si="84"/>
        <v>180.15992334349539</v>
      </c>
      <c r="AS665" s="17">
        <f t="shared" si="85"/>
        <v>2.047271856176084E-2</v>
      </c>
      <c r="AT665" s="20">
        <v>8800</v>
      </c>
      <c r="AU665" s="20">
        <v>7540.8056640625</v>
      </c>
      <c r="AV665" s="20">
        <f t="shared" si="86"/>
        <v>1259.1943359375</v>
      </c>
      <c r="AW665" s="21">
        <f t="shared" si="87"/>
        <v>0.14309026544744319</v>
      </c>
    </row>
    <row r="666" spans="1:49" x14ac:dyDescent="0.25">
      <c r="A666" t="s">
        <v>114</v>
      </c>
      <c r="B666" t="s">
        <v>340</v>
      </c>
      <c r="C666">
        <v>82735</v>
      </c>
      <c r="D666">
        <v>2021</v>
      </c>
      <c r="E666" t="s">
        <v>97</v>
      </c>
      <c r="F666" t="s">
        <v>159</v>
      </c>
      <c r="G666" t="s">
        <v>380</v>
      </c>
      <c r="H666" t="s">
        <v>312</v>
      </c>
      <c r="I666">
        <v>8</v>
      </c>
      <c r="J666" t="s">
        <v>72</v>
      </c>
      <c r="K666">
        <v>4</v>
      </c>
      <c r="L666" t="s">
        <v>44</v>
      </c>
      <c r="M666">
        <v>6.6</v>
      </c>
      <c r="N666" t="s">
        <v>91</v>
      </c>
      <c r="O666" t="s">
        <v>46</v>
      </c>
      <c r="P666">
        <v>3</v>
      </c>
      <c r="Q666" t="s">
        <v>74</v>
      </c>
      <c r="R666" t="s">
        <v>92</v>
      </c>
      <c r="S666" t="s">
        <v>93</v>
      </c>
      <c r="U666" t="s">
        <v>229</v>
      </c>
      <c r="V666" t="s">
        <v>76</v>
      </c>
      <c r="W666" t="s">
        <v>957</v>
      </c>
      <c r="X666" t="s">
        <v>260</v>
      </c>
      <c r="Y666" t="s">
        <v>78</v>
      </c>
      <c r="AA666">
        <v>0</v>
      </c>
      <c r="AB666" t="s">
        <v>79</v>
      </c>
      <c r="AC666" t="s">
        <v>261</v>
      </c>
      <c r="AD666">
        <v>36</v>
      </c>
      <c r="AE666">
        <v>9</v>
      </c>
      <c r="AF666">
        <v>3</v>
      </c>
      <c r="AG666">
        <v>2025</v>
      </c>
      <c r="AH666" s="2">
        <v>30300</v>
      </c>
      <c r="AI666" s="2">
        <v>45462.828125</v>
      </c>
      <c r="AJ666" s="2">
        <f t="shared" si="80"/>
        <v>15162.828125</v>
      </c>
      <c r="AK666" s="6">
        <f t="shared" si="81"/>
        <v>0.50042337046204621</v>
      </c>
      <c r="AL666" s="12">
        <v>30300</v>
      </c>
      <c r="AM666" s="12">
        <v>39699.957752215007</v>
      </c>
      <c r="AN666" s="12">
        <f t="shared" si="82"/>
        <v>9399.9577522150066</v>
      </c>
      <c r="AO666" s="13">
        <f t="shared" si="83"/>
        <v>0.31022962878597382</v>
      </c>
      <c r="AP666" s="16">
        <v>30300</v>
      </c>
      <c r="AQ666" s="16">
        <v>37672.611764178917</v>
      </c>
      <c r="AR666" s="16">
        <f t="shared" si="84"/>
        <v>7372.6117641789169</v>
      </c>
      <c r="AS666" s="17">
        <f t="shared" si="85"/>
        <v>0.24332052026993126</v>
      </c>
      <c r="AT666" s="20">
        <v>30300</v>
      </c>
      <c r="AU666" s="20">
        <v>45128.8203125</v>
      </c>
      <c r="AV666" s="20">
        <f t="shared" si="86"/>
        <v>14828.8203125</v>
      </c>
      <c r="AW666" s="21">
        <f t="shared" si="87"/>
        <v>0.48940001031353136</v>
      </c>
    </row>
    <row r="667" spans="1:49" x14ac:dyDescent="0.25">
      <c r="A667" t="s">
        <v>114</v>
      </c>
      <c r="B667" t="s">
        <v>340</v>
      </c>
      <c r="C667">
        <v>162857</v>
      </c>
      <c r="D667">
        <v>2001</v>
      </c>
      <c r="E667" t="s">
        <v>69</v>
      </c>
      <c r="F667" t="s">
        <v>672</v>
      </c>
      <c r="I667">
        <v>6</v>
      </c>
      <c r="J667" t="s">
        <v>72</v>
      </c>
      <c r="K667">
        <v>2</v>
      </c>
      <c r="L667" t="s">
        <v>44</v>
      </c>
      <c r="M667">
        <v>4</v>
      </c>
      <c r="N667" t="s">
        <v>73</v>
      </c>
      <c r="O667" t="s">
        <v>46</v>
      </c>
      <c r="P667">
        <v>3</v>
      </c>
      <c r="Q667" t="s">
        <v>74</v>
      </c>
      <c r="R667" t="s">
        <v>92</v>
      </c>
      <c r="S667" t="s">
        <v>49</v>
      </c>
      <c r="T667">
        <v>205</v>
      </c>
      <c r="U667" t="s">
        <v>50</v>
      </c>
      <c r="V667" t="s">
        <v>76</v>
      </c>
      <c r="X667" t="s">
        <v>65</v>
      </c>
      <c r="Y667" t="s">
        <v>78</v>
      </c>
      <c r="AA667">
        <v>0</v>
      </c>
      <c r="AB667" t="s">
        <v>79</v>
      </c>
      <c r="AC667" t="s">
        <v>95</v>
      </c>
      <c r="AD667">
        <v>36</v>
      </c>
      <c r="AE667">
        <v>9</v>
      </c>
      <c r="AF667">
        <v>3</v>
      </c>
      <c r="AG667">
        <v>2025</v>
      </c>
      <c r="AH667" s="2">
        <v>650</v>
      </c>
      <c r="AI667" s="2">
        <v>990.27838134765625</v>
      </c>
      <c r="AJ667" s="2">
        <f t="shared" si="80"/>
        <v>340.27838134765625</v>
      </c>
      <c r="AK667" s="6">
        <f t="shared" si="81"/>
        <v>0.5235052020733173</v>
      </c>
      <c r="AL667" s="12">
        <v>650</v>
      </c>
      <c r="AM667" s="12">
        <v>1080.0339145423679</v>
      </c>
      <c r="AN667" s="12">
        <f t="shared" si="82"/>
        <v>430.03391454236794</v>
      </c>
      <c r="AO667" s="13">
        <f t="shared" si="83"/>
        <v>0.66159063775748916</v>
      </c>
      <c r="AP667" s="16">
        <v>650</v>
      </c>
      <c r="AQ667" s="16">
        <v>936.45092635485753</v>
      </c>
      <c r="AR667" s="16">
        <f t="shared" si="84"/>
        <v>286.45092635485753</v>
      </c>
      <c r="AS667" s="17">
        <f t="shared" si="85"/>
        <v>0.44069373285362695</v>
      </c>
      <c r="AT667" s="20">
        <v>650</v>
      </c>
      <c r="AU667" s="20">
        <v>946.81951904296875</v>
      </c>
      <c r="AV667" s="20">
        <f t="shared" si="86"/>
        <v>296.81951904296875</v>
      </c>
      <c r="AW667" s="21">
        <f t="shared" si="87"/>
        <v>0.4566454139122596</v>
      </c>
    </row>
    <row r="668" spans="1:49" x14ac:dyDescent="0.25">
      <c r="A668" t="s">
        <v>81</v>
      </c>
      <c r="B668" t="s">
        <v>304</v>
      </c>
      <c r="C668">
        <v>43075</v>
      </c>
      <c r="D668">
        <v>2023</v>
      </c>
      <c r="E668" t="s">
        <v>116</v>
      </c>
      <c r="F668" t="s">
        <v>194</v>
      </c>
      <c r="H668" t="s">
        <v>396</v>
      </c>
      <c r="I668">
        <v>6</v>
      </c>
      <c r="J668" t="s">
        <v>61</v>
      </c>
      <c r="K668">
        <v>2</v>
      </c>
      <c r="L668" t="s">
        <v>44</v>
      </c>
      <c r="M668">
        <v>3.6</v>
      </c>
      <c r="N668" t="s">
        <v>73</v>
      </c>
      <c r="O668" t="s">
        <v>46</v>
      </c>
      <c r="Q668" t="s">
        <v>47</v>
      </c>
      <c r="R668" t="s">
        <v>123</v>
      </c>
      <c r="S668" t="s">
        <v>179</v>
      </c>
      <c r="T668">
        <v>303</v>
      </c>
      <c r="U668" t="s">
        <v>50</v>
      </c>
      <c r="V668" t="s">
        <v>76</v>
      </c>
      <c r="X668" t="s">
        <v>125</v>
      </c>
      <c r="Y668" t="s">
        <v>103</v>
      </c>
      <c r="AA668">
        <v>0</v>
      </c>
      <c r="AB668" t="s">
        <v>79</v>
      </c>
      <c r="AC668" t="s">
        <v>127</v>
      </c>
      <c r="AD668">
        <v>36</v>
      </c>
      <c r="AE668">
        <v>9</v>
      </c>
      <c r="AF668">
        <v>3</v>
      </c>
      <c r="AG668">
        <v>2025</v>
      </c>
      <c r="AH668" s="2">
        <v>23600</v>
      </c>
      <c r="AI668" s="2">
        <v>24144.51953125</v>
      </c>
      <c r="AJ668" s="2">
        <f t="shared" si="80"/>
        <v>544.51953125</v>
      </c>
      <c r="AK668" s="6">
        <f t="shared" si="81"/>
        <v>2.3072861493644067E-2</v>
      </c>
      <c r="AL668" s="12">
        <v>23600</v>
      </c>
      <c r="AM668" s="12">
        <v>26152.797642850452</v>
      </c>
      <c r="AN668" s="12">
        <f t="shared" si="82"/>
        <v>2552.7976428504517</v>
      </c>
      <c r="AO668" s="13">
        <f t="shared" si="83"/>
        <v>0.10816939164620558</v>
      </c>
      <c r="AP668" s="16">
        <v>23600</v>
      </c>
      <c r="AQ668" s="16">
        <v>23946.425013167802</v>
      </c>
      <c r="AR668" s="16">
        <f t="shared" si="84"/>
        <v>346.42501316780181</v>
      </c>
      <c r="AS668" s="17">
        <f t="shared" si="85"/>
        <v>1.4679025981686517E-2</v>
      </c>
      <c r="AT668" s="20">
        <v>23600</v>
      </c>
      <c r="AU668" s="20">
        <v>24452.09765625</v>
      </c>
      <c r="AV668" s="20">
        <f t="shared" si="86"/>
        <v>852.09765625</v>
      </c>
      <c r="AW668" s="21">
        <f t="shared" si="87"/>
        <v>3.6105832891949151E-2</v>
      </c>
    </row>
    <row r="669" spans="1:49" x14ac:dyDescent="0.25">
      <c r="A669" t="s">
        <v>128</v>
      </c>
      <c r="B669" t="s">
        <v>129</v>
      </c>
      <c r="C669">
        <v>118709</v>
      </c>
      <c r="D669">
        <v>2016</v>
      </c>
      <c r="E669" t="s">
        <v>146</v>
      </c>
      <c r="F669" t="s">
        <v>147</v>
      </c>
      <c r="I669">
        <v>4</v>
      </c>
      <c r="J669" t="s">
        <v>106</v>
      </c>
      <c r="K669">
        <v>4</v>
      </c>
      <c r="L669" t="s">
        <v>44</v>
      </c>
      <c r="M669">
        <v>2.5</v>
      </c>
      <c r="N669" t="s">
        <v>45</v>
      </c>
      <c r="Q669" t="s">
        <v>62</v>
      </c>
      <c r="R669" t="s">
        <v>148</v>
      </c>
      <c r="S669" t="s">
        <v>49</v>
      </c>
      <c r="U669" t="s">
        <v>50</v>
      </c>
      <c r="X669" t="s">
        <v>65</v>
      </c>
      <c r="Y669" t="s">
        <v>66</v>
      </c>
      <c r="AA669">
        <v>0</v>
      </c>
      <c r="AB669" t="s">
        <v>79</v>
      </c>
      <c r="AC669" t="s">
        <v>87</v>
      </c>
      <c r="AD669">
        <v>36</v>
      </c>
      <c r="AE669">
        <v>9</v>
      </c>
      <c r="AF669">
        <v>3</v>
      </c>
      <c r="AG669">
        <v>2025</v>
      </c>
      <c r="AH669" s="2">
        <v>6000</v>
      </c>
      <c r="AI669" s="2">
        <v>3867.8759765625</v>
      </c>
      <c r="AJ669" s="2">
        <f t="shared" si="80"/>
        <v>2132.1240234375</v>
      </c>
      <c r="AK669" s="6">
        <f t="shared" si="81"/>
        <v>0.35535400390624999</v>
      </c>
      <c r="AL669" s="12">
        <v>6000</v>
      </c>
      <c r="AM669" s="12">
        <v>3596.831083452857</v>
      </c>
      <c r="AN669" s="12">
        <f t="shared" si="82"/>
        <v>2403.168916547143</v>
      </c>
      <c r="AO669" s="13">
        <f t="shared" si="83"/>
        <v>0.40052815275785719</v>
      </c>
      <c r="AP669" s="16">
        <v>6000</v>
      </c>
      <c r="AQ669" s="16">
        <v>3807.0205658083478</v>
      </c>
      <c r="AR669" s="16">
        <f t="shared" si="84"/>
        <v>2192.9794341916522</v>
      </c>
      <c r="AS669" s="17">
        <f t="shared" si="85"/>
        <v>0.36549657236527539</v>
      </c>
      <c r="AT669" s="20">
        <v>6000</v>
      </c>
      <c r="AU669" s="20">
        <v>3875.9130859375</v>
      </c>
      <c r="AV669" s="20">
        <f t="shared" si="86"/>
        <v>2124.0869140625</v>
      </c>
      <c r="AW669" s="21">
        <f t="shared" si="87"/>
        <v>0.35401448567708332</v>
      </c>
    </row>
    <row r="670" spans="1:49" x14ac:dyDescent="0.25">
      <c r="A670" t="s">
        <v>128</v>
      </c>
      <c r="B670" t="s">
        <v>210</v>
      </c>
      <c r="C670">
        <v>187592</v>
      </c>
      <c r="D670">
        <v>2013</v>
      </c>
      <c r="E670" t="s">
        <v>119</v>
      </c>
      <c r="F670" t="s">
        <v>958</v>
      </c>
      <c r="I670">
        <v>4</v>
      </c>
      <c r="J670" t="s">
        <v>72</v>
      </c>
      <c r="K670">
        <v>4</v>
      </c>
      <c r="L670" t="s">
        <v>44</v>
      </c>
      <c r="M670">
        <v>2</v>
      </c>
      <c r="N670" t="s">
        <v>45</v>
      </c>
      <c r="O670" t="s">
        <v>46</v>
      </c>
      <c r="Q670" t="s">
        <v>62</v>
      </c>
      <c r="R670" t="s">
        <v>63</v>
      </c>
      <c r="T670">
        <v>200</v>
      </c>
      <c r="U670" t="s">
        <v>50</v>
      </c>
      <c r="X670" t="s">
        <v>65</v>
      </c>
      <c r="Y670" t="s">
        <v>137</v>
      </c>
      <c r="AA670">
        <v>0</v>
      </c>
      <c r="AB670" t="s">
        <v>79</v>
      </c>
      <c r="AC670" t="s">
        <v>87</v>
      </c>
      <c r="AD670">
        <v>36</v>
      </c>
      <c r="AE670">
        <v>9</v>
      </c>
      <c r="AF670">
        <v>3</v>
      </c>
      <c r="AG670">
        <v>2025</v>
      </c>
      <c r="AH670" s="2">
        <v>600</v>
      </c>
      <c r="AI670" s="2">
        <v>1203.282104492188</v>
      </c>
      <c r="AJ670" s="2">
        <f t="shared" si="80"/>
        <v>603.28210449218795</v>
      </c>
      <c r="AK670" s="6">
        <f t="shared" si="81"/>
        <v>1.0054701741536467</v>
      </c>
      <c r="AL670" s="12">
        <v>600</v>
      </c>
      <c r="AM670" s="12">
        <v>1497.6183545675669</v>
      </c>
      <c r="AN670" s="12">
        <f t="shared" si="82"/>
        <v>897.61835456756694</v>
      </c>
      <c r="AO670" s="13">
        <f t="shared" si="83"/>
        <v>1.4960305909459448</v>
      </c>
      <c r="AP670" s="16">
        <v>600</v>
      </c>
      <c r="AQ670" s="16">
        <v>1325.5060030545501</v>
      </c>
      <c r="AR670" s="16">
        <f t="shared" si="84"/>
        <v>725.50600305455009</v>
      </c>
      <c r="AS670" s="17">
        <f t="shared" si="85"/>
        <v>1.2091766717575836</v>
      </c>
      <c r="AT670" s="20">
        <v>600</v>
      </c>
      <c r="AU670" s="20">
        <v>1212.611694335938</v>
      </c>
      <c r="AV670" s="20">
        <f t="shared" si="86"/>
        <v>612.61169433593795</v>
      </c>
      <c r="AW670" s="21">
        <f t="shared" si="87"/>
        <v>1.0210194905598966</v>
      </c>
    </row>
    <row r="671" spans="1:49" x14ac:dyDescent="0.25">
      <c r="A671" t="s">
        <v>128</v>
      </c>
      <c r="B671" t="s">
        <v>129</v>
      </c>
      <c r="C671">
        <v>149844</v>
      </c>
      <c r="D671">
        <v>2018</v>
      </c>
      <c r="E671" t="s">
        <v>116</v>
      </c>
      <c r="F671" t="s">
        <v>251</v>
      </c>
      <c r="H671" t="s">
        <v>224</v>
      </c>
      <c r="I671">
        <v>4</v>
      </c>
      <c r="J671" t="s">
        <v>106</v>
      </c>
      <c r="K671">
        <v>4</v>
      </c>
      <c r="L671" t="s">
        <v>44</v>
      </c>
      <c r="M671">
        <v>2.4</v>
      </c>
      <c r="N671" t="s">
        <v>45</v>
      </c>
      <c r="Q671" t="s">
        <v>62</v>
      </c>
      <c r="R671" t="s">
        <v>63</v>
      </c>
      <c r="S671" t="s">
        <v>101</v>
      </c>
      <c r="T671">
        <v>173</v>
      </c>
      <c r="U671" t="s">
        <v>50</v>
      </c>
      <c r="V671" t="s">
        <v>51</v>
      </c>
      <c r="X671" t="s">
        <v>141</v>
      </c>
      <c r="Y671" t="s">
        <v>126</v>
      </c>
      <c r="Z671">
        <v>22995</v>
      </c>
      <c r="AA671">
        <v>0</v>
      </c>
      <c r="AB671" t="s">
        <v>79</v>
      </c>
      <c r="AC671" t="s">
        <v>87</v>
      </c>
      <c r="AD671">
        <v>36</v>
      </c>
      <c r="AE671">
        <v>9</v>
      </c>
      <c r="AF671">
        <v>3</v>
      </c>
      <c r="AG671">
        <v>2025</v>
      </c>
      <c r="AH671" s="2">
        <v>1600</v>
      </c>
      <c r="AI671" s="2">
        <v>2883.374755859375</v>
      </c>
      <c r="AJ671" s="2">
        <f t="shared" si="80"/>
        <v>1283.374755859375</v>
      </c>
      <c r="AK671" s="6">
        <f t="shared" si="81"/>
        <v>0.80210922241210936</v>
      </c>
      <c r="AL671" s="12">
        <v>1600</v>
      </c>
      <c r="AM671" s="12">
        <v>3471.4317936976609</v>
      </c>
      <c r="AN671" s="12">
        <f t="shared" si="82"/>
        <v>1871.4317936976609</v>
      </c>
      <c r="AO671" s="13">
        <f t="shared" si="83"/>
        <v>1.1696448710610381</v>
      </c>
      <c r="AP671" s="16">
        <v>1600</v>
      </c>
      <c r="AQ671" s="16">
        <v>2656.3797231693138</v>
      </c>
      <c r="AR671" s="16">
        <f t="shared" si="84"/>
        <v>1056.3797231693138</v>
      </c>
      <c r="AS671" s="17">
        <f t="shared" si="85"/>
        <v>0.66023732698082116</v>
      </c>
      <c r="AT671" s="20">
        <v>1600</v>
      </c>
      <c r="AU671" s="20">
        <v>2914.740234375</v>
      </c>
      <c r="AV671" s="20">
        <f t="shared" si="86"/>
        <v>1314.740234375</v>
      </c>
      <c r="AW671" s="21">
        <f t="shared" si="87"/>
        <v>0.82171264648437503</v>
      </c>
    </row>
    <row r="672" spans="1:49" x14ac:dyDescent="0.25">
      <c r="A672" t="s">
        <v>81</v>
      </c>
      <c r="B672" t="s">
        <v>186</v>
      </c>
      <c r="C672">
        <v>4401</v>
      </c>
      <c r="D672">
        <v>2025</v>
      </c>
      <c r="E672" t="s">
        <v>162</v>
      </c>
      <c r="F672" t="s">
        <v>211</v>
      </c>
      <c r="G672" t="s">
        <v>959</v>
      </c>
      <c r="I672">
        <v>4</v>
      </c>
      <c r="J672" t="s">
        <v>122</v>
      </c>
      <c r="K672">
        <v>4</v>
      </c>
      <c r="L672" t="s">
        <v>44</v>
      </c>
      <c r="M672">
        <v>2</v>
      </c>
      <c r="N672" t="s">
        <v>45</v>
      </c>
      <c r="O672" t="s">
        <v>46</v>
      </c>
      <c r="Q672" t="s">
        <v>47</v>
      </c>
      <c r="R672" t="s">
        <v>123</v>
      </c>
      <c r="U672" t="s">
        <v>50</v>
      </c>
      <c r="W672" t="s">
        <v>739</v>
      </c>
      <c r="X672" t="s">
        <v>53</v>
      </c>
      <c r="Y672" t="s">
        <v>66</v>
      </c>
      <c r="AA672">
        <v>0</v>
      </c>
      <c r="AB672" t="s">
        <v>79</v>
      </c>
      <c r="AC672" t="s">
        <v>127</v>
      </c>
      <c r="AD672">
        <v>36</v>
      </c>
      <c r="AE672">
        <v>9</v>
      </c>
      <c r="AF672">
        <v>3</v>
      </c>
      <c r="AG672">
        <v>2025</v>
      </c>
      <c r="AH672" s="2">
        <v>21200</v>
      </c>
      <c r="AI672" s="2">
        <v>17225.70703125</v>
      </c>
      <c r="AJ672" s="2">
        <f t="shared" si="80"/>
        <v>3974.29296875</v>
      </c>
      <c r="AK672" s="6">
        <f t="shared" si="81"/>
        <v>0.18746664946933964</v>
      </c>
      <c r="AL672" s="12">
        <v>21200</v>
      </c>
      <c r="AM672" s="12">
        <v>18379.09108482095</v>
      </c>
      <c r="AN672" s="12">
        <f t="shared" si="82"/>
        <v>2820.9089151790504</v>
      </c>
      <c r="AO672" s="13">
        <f t="shared" si="83"/>
        <v>0.13306174128203069</v>
      </c>
      <c r="AP672" s="16">
        <v>21200</v>
      </c>
      <c r="AQ672" s="16">
        <v>19343.287794448439</v>
      </c>
      <c r="AR672" s="16">
        <f t="shared" si="84"/>
        <v>1856.7122055515611</v>
      </c>
      <c r="AS672" s="17">
        <f t="shared" si="85"/>
        <v>8.7580764412809486E-2</v>
      </c>
      <c r="AT672" s="20">
        <v>21200</v>
      </c>
      <c r="AU672" s="20">
        <v>17333.486328125</v>
      </c>
      <c r="AV672" s="20">
        <f t="shared" si="86"/>
        <v>3866.513671875</v>
      </c>
      <c r="AW672" s="21">
        <f t="shared" si="87"/>
        <v>0.18238272037146228</v>
      </c>
    </row>
    <row r="673" spans="1:49" x14ac:dyDescent="0.25">
      <c r="A673" t="s">
        <v>38</v>
      </c>
      <c r="B673" t="s">
        <v>68</v>
      </c>
      <c r="C673">
        <v>122171</v>
      </c>
      <c r="D673">
        <v>2019</v>
      </c>
      <c r="E673" t="s">
        <v>97</v>
      </c>
      <c r="F673" t="s">
        <v>159</v>
      </c>
      <c r="G673" t="s">
        <v>160</v>
      </c>
      <c r="H673" t="s">
        <v>89</v>
      </c>
      <c r="I673">
        <v>8</v>
      </c>
      <c r="J673" t="s">
        <v>72</v>
      </c>
      <c r="K673">
        <v>4</v>
      </c>
      <c r="L673" t="s">
        <v>44</v>
      </c>
      <c r="M673">
        <v>5.3</v>
      </c>
      <c r="N673" t="s">
        <v>91</v>
      </c>
      <c r="O673" t="s">
        <v>46</v>
      </c>
      <c r="P673">
        <v>2</v>
      </c>
      <c r="Q673" t="s">
        <v>74</v>
      </c>
      <c r="R673" t="s">
        <v>92</v>
      </c>
      <c r="S673" t="s">
        <v>93</v>
      </c>
      <c r="U673" t="s">
        <v>50</v>
      </c>
      <c r="W673" t="s">
        <v>960</v>
      </c>
      <c r="X673" t="s">
        <v>108</v>
      </c>
      <c r="Y673" t="s">
        <v>126</v>
      </c>
      <c r="Z673">
        <v>34495</v>
      </c>
      <c r="AA673">
        <v>0</v>
      </c>
      <c r="AB673" t="s">
        <v>79</v>
      </c>
      <c r="AC673" t="s">
        <v>95</v>
      </c>
      <c r="AD673">
        <v>36</v>
      </c>
      <c r="AE673">
        <v>9</v>
      </c>
      <c r="AF673">
        <v>3</v>
      </c>
      <c r="AG673">
        <v>2025</v>
      </c>
      <c r="AH673" s="2">
        <v>12000</v>
      </c>
      <c r="AI673" s="2">
        <v>14968.03515625</v>
      </c>
      <c r="AJ673" s="2">
        <f t="shared" si="80"/>
        <v>2968.03515625</v>
      </c>
      <c r="AK673" s="6">
        <f t="shared" si="81"/>
        <v>0.24733626302083334</v>
      </c>
      <c r="AL673" s="12">
        <v>12000</v>
      </c>
      <c r="AM673" s="12">
        <v>14970.61487692325</v>
      </c>
      <c r="AN673" s="12">
        <f t="shared" si="82"/>
        <v>2970.6148769232495</v>
      </c>
      <c r="AO673" s="13">
        <f t="shared" si="83"/>
        <v>0.24755123974360413</v>
      </c>
      <c r="AP673" s="16">
        <v>12000</v>
      </c>
      <c r="AQ673" s="16">
        <v>14261.52336251865</v>
      </c>
      <c r="AR673" s="16">
        <f t="shared" si="84"/>
        <v>2261.5233625186502</v>
      </c>
      <c r="AS673" s="17">
        <f t="shared" si="85"/>
        <v>0.1884602802098875</v>
      </c>
      <c r="AT673" s="20">
        <v>12000</v>
      </c>
      <c r="AU673" s="20">
        <v>14940.4228515625</v>
      </c>
      <c r="AV673" s="20">
        <f t="shared" si="86"/>
        <v>2940.4228515625</v>
      </c>
      <c r="AW673" s="21">
        <f t="shared" si="87"/>
        <v>0.24503523763020835</v>
      </c>
    </row>
    <row r="674" spans="1:49" x14ac:dyDescent="0.25">
      <c r="A674" t="s">
        <v>128</v>
      </c>
      <c r="B674" t="s">
        <v>129</v>
      </c>
      <c r="C674">
        <v>109914</v>
      </c>
      <c r="D674">
        <v>2020</v>
      </c>
      <c r="E674" t="s">
        <v>142</v>
      </c>
      <c r="F674" t="s">
        <v>373</v>
      </c>
      <c r="H674" t="s">
        <v>118</v>
      </c>
      <c r="I674">
        <v>6</v>
      </c>
      <c r="J674" t="s">
        <v>122</v>
      </c>
      <c r="K674">
        <v>4</v>
      </c>
      <c r="L674" t="s">
        <v>44</v>
      </c>
      <c r="M674">
        <v>3.6</v>
      </c>
      <c r="N674" t="s">
        <v>73</v>
      </c>
      <c r="Q674" t="s">
        <v>62</v>
      </c>
      <c r="R674" t="s">
        <v>63</v>
      </c>
      <c r="S674" t="s">
        <v>49</v>
      </c>
      <c r="T674">
        <v>295</v>
      </c>
      <c r="U674" t="s">
        <v>50</v>
      </c>
      <c r="V674" t="s">
        <v>76</v>
      </c>
      <c r="X674" t="s">
        <v>94</v>
      </c>
      <c r="Y674" t="s">
        <v>78</v>
      </c>
      <c r="AA674">
        <v>0</v>
      </c>
      <c r="AB674" t="s">
        <v>79</v>
      </c>
      <c r="AC674" t="s">
        <v>87</v>
      </c>
      <c r="AD674">
        <v>36</v>
      </c>
      <c r="AE674">
        <v>9</v>
      </c>
      <c r="AF674">
        <v>3</v>
      </c>
      <c r="AG674">
        <v>2025</v>
      </c>
      <c r="AH674" s="2">
        <v>13000</v>
      </c>
      <c r="AI674" s="2">
        <v>13190.34375</v>
      </c>
      <c r="AJ674" s="2">
        <f t="shared" si="80"/>
        <v>190.34375</v>
      </c>
      <c r="AK674" s="6">
        <f t="shared" si="81"/>
        <v>1.4641826923076922E-2</v>
      </c>
      <c r="AL674" s="12">
        <v>13000</v>
      </c>
      <c r="AM674" s="12">
        <v>13669.15642370255</v>
      </c>
      <c r="AN674" s="12">
        <f t="shared" si="82"/>
        <v>669.15642370255046</v>
      </c>
      <c r="AO674" s="13">
        <f t="shared" si="83"/>
        <v>5.1473571054042343E-2</v>
      </c>
      <c r="AP674" s="16">
        <v>13000</v>
      </c>
      <c r="AQ674" s="16">
        <v>12638.76119913927</v>
      </c>
      <c r="AR674" s="16">
        <f t="shared" si="84"/>
        <v>361.23880086073041</v>
      </c>
      <c r="AS674" s="17">
        <f t="shared" si="85"/>
        <v>2.778760006621003E-2</v>
      </c>
      <c r="AT674" s="20">
        <v>13000</v>
      </c>
      <c r="AU674" s="20">
        <v>13377.876953125</v>
      </c>
      <c r="AV674" s="20">
        <f t="shared" si="86"/>
        <v>377.876953125</v>
      </c>
      <c r="AW674" s="21">
        <f t="shared" si="87"/>
        <v>2.9067457932692307E-2</v>
      </c>
    </row>
    <row r="675" spans="1:49" x14ac:dyDescent="0.25">
      <c r="A675" t="s">
        <v>38</v>
      </c>
      <c r="B675" t="s">
        <v>110</v>
      </c>
      <c r="C675">
        <v>113828</v>
      </c>
      <c r="D675">
        <v>2009</v>
      </c>
      <c r="E675" t="s">
        <v>345</v>
      </c>
      <c r="F675" t="s">
        <v>585</v>
      </c>
      <c r="G675" t="s">
        <v>586</v>
      </c>
      <c r="H675" t="s">
        <v>587</v>
      </c>
      <c r="I675">
        <v>6</v>
      </c>
      <c r="J675" t="s">
        <v>135</v>
      </c>
      <c r="K675">
        <v>4</v>
      </c>
      <c r="L675" t="s">
        <v>44</v>
      </c>
      <c r="M675">
        <v>3</v>
      </c>
      <c r="N675" t="s">
        <v>73</v>
      </c>
      <c r="Q675" t="s">
        <v>47</v>
      </c>
      <c r="R675" t="s">
        <v>123</v>
      </c>
      <c r="T675">
        <v>230</v>
      </c>
      <c r="U675" t="s">
        <v>50</v>
      </c>
      <c r="X675" t="s">
        <v>125</v>
      </c>
      <c r="Y675" t="s">
        <v>588</v>
      </c>
      <c r="AA675">
        <v>0</v>
      </c>
      <c r="AB675" t="s">
        <v>79</v>
      </c>
      <c r="AC675" t="s">
        <v>127</v>
      </c>
      <c r="AD675">
        <v>36</v>
      </c>
      <c r="AE675">
        <v>9</v>
      </c>
      <c r="AF675">
        <v>3</v>
      </c>
      <c r="AG675">
        <v>2025</v>
      </c>
      <c r="AH675" s="2">
        <v>800</v>
      </c>
      <c r="AI675" s="2">
        <v>2203.21630859375</v>
      </c>
      <c r="AJ675" s="2">
        <f t="shared" si="80"/>
        <v>1403.21630859375</v>
      </c>
      <c r="AK675" s="6">
        <f t="shared" si="81"/>
        <v>1.7540203857421874</v>
      </c>
      <c r="AL675" s="12">
        <v>800</v>
      </c>
      <c r="AM675" s="12">
        <v>2393.2423405787799</v>
      </c>
      <c r="AN675" s="12">
        <f t="shared" si="82"/>
        <v>1593.2423405787799</v>
      </c>
      <c r="AO675" s="13">
        <f t="shared" si="83"/>
        <v>1.991552925723475</v>
      </c>
      <c r="AP675" s="16">
        <v>800</v>
      </c>
      <c r="AQ675" s="16">
        <v>1975.9958613730289</v>
      </c>
      <c r="AR675" s="16">
        <f t="shared" si="84"/>
        <v>1175.9958613730289</v>
      </c>
      <c r="AS675" s="17">
        <f t="shared" si="85"/>
        <v>1.4699948267162861</v>
      </c>
      <c r="AT675" s="20">
        <v>800</v>
      </c>
      <c r="AU675" s="20">
        <v>2230.213623046875</v>
      </c>
      <c r="AV675" s="20">
        <f t="shared" si="86"/>
        <v>1430.213623046875</v>
      </c>
      <c r="AW675" s="21">
        <f t="shared" si="87"/>
        <v>1.7877670288085938</v>
      </c>
    </row>
    <row r="676" spans="1:49" x14ac:dyDescent="0.25">
      <c r="A676" t="s">
        <v>81</v>
      </c>
      <c r="B676" t="s">
        <v>304</v>
      </c>
      <c r="C676">
        <v>5509</v>
      </c>
      <c r="D676">
        <v>2023</v>
      </c>
      <c r="E676" t="s">
        <v>305</v>
      </c>
      <c r="F676" t="s">
        <v>961</v>
      </c>
      <c r="H676" t="s">
        <v>307</v>
      </c>
      <c r="I676">
        <v>4</v>
      </c>
      <c r="J676" t="s">
        <v>135</v>
      </c>
      <c r="K676">
        <v>4</v>
      </c>
      <c r="L676" t="s">
        <v>44</v>
      </c>
      <c r="M676">
        <v>2</v>
      </c>
      <c r="N676" t="s">
        <v>44</v>
      </c>
      <c r="O676" t="s">
        <v>46</v>
      </c>
      <c r="Q676" t="s">
        <v>62</v>
      </c>
      <c r="R676" t="s">
        <v>63</v>
      </c>
      <c r="S676" t="s">
        <v>93</v>
      </c>
      <c r="U676" t="s">
        <v>50</v>
      </c>
      <c r="W676" t="s">
        <v>962</v>
      </c>
      <c r="X676" t="s">
        <v>65</v>
      </c>
      <c r="Y676" t="s">
        <v>78</v>
      </c>
      <c r="AA676">
        <v>0</v>
      </c>
      <c r="AB676" t="s">
        <v>79</v>
      </c>
      <c r="AC676" t="s">
        <v>87</v>
      </c>
      <c r="AD676">
        <v>36</v>
      </c>
      <c r="AE676">
        <v>9</v>
      </c>
      <c r="AF676">
        <v>3</v>
      </c>
      <c r="AG676">
        <v>2025</v>
      </c>
      <c r="AH676" s="2">
        <v>34700</v>
      </c>
      <c r="AI676" s="2">
        <v>33422.26171875</v>
      </c>
      <c r="AJ676" s="2">
        <f t="shared" si="80"/>
        <v>1277.73828125</v>
      </c>
      <c r="AK676" s="6">
        <f t="shared" si="81"/>
        <v>3.6822428854466856E-2</v>
      </c>
      <c r="AL676" s="12">
        <v>34700</v>
      </c>
      <c r="AM676" s="12">
        <v>28772.14083552637</v>
      </c>
      <c r="AN676" s="12">
        <f t="shared" si="82"/>
        <v>5927.8591644736298</v>
      </c>
      <c r="AO676" s="13">
        <f t="shared" si="83"/>
        <v>0.1708316762096147</v>
      </c>
      <c r="AP676" s="16">
        <v>34700</v>
      </c>
      <c r="AQ676" s="16">
        <v>35281.01422824675</v>
      </c>
      <c r="AR676" s="16">
        <f t="shared" si="84"/>
        <v>581.01422824674955</v>
      </c>
      <c r="AS676" s="17">
        <f t="shared" si="85"/>
        <v>1.6743925886073475E-2</v>
      </c>
      <c r="AT676" s="20">
        <v>34700</v>
      </c>
      <c r="AU676" s="20">
        <v>32853.19140625</v>
      </c>
      <c r="AV676" s="20">
        <f t="shared" si="86"/>
        <v>1846.80859375</v>
      </c>
      <c r="AW676" s="21">
        <f t="shared" si="87"/>
        <v>5.3222149675792509E-2</v>
      </c>
    </row>
    <row r="677" spans="1:49" x14ac:dyDescent="0.25">
      <c r="A677" t="s">
        <v>38</v>
      </c>
      <c r="B677" t="s">
        <v>39</v>
      </c>
      <c r="C677">
        <v>239951</v>
      </c>
      <c r="D677">
        <v>2017</v>
      </c>
      <c r="E677" t="s">
        <v>40</v>
      </c>
      <c r="F677" t="s">
        <v>233</v>
      </c>
      <c r="G677" t="s">
        <v>963</v>
      </c>
      <c r="H677" t="s">
        <v>453</v>
      </c>
      <c r="I677">
        <v>4</v>
      </c>
      <c r="J677" t="s">
        <v>135</v>
      </c>
      <c r="K677">
        <v>4</v>
      </c>
      <c r="L677" t="s">
        <v>44</v>
      </c>
      <c r="M677">
        <v>2.5</v>
      </c>
      <c r="N677" t="s">
        <v>45</v>
      </c>
      <c r="O677" t="s">
        <v>46</v>
      </c>
      <c r="Q677" t="s">
        <v>62</v>
      </c>
      <c r="R677" t="s">
        <v>63</v>
      </c>
      <c r="S677" t="s">
        <v>49</v>
      </c>
      <c r="T677">
        <v>176</v>
      </c>
      <c r="U677" t="s">
        <v>50</v>
      </c>
      <c r="V677" t="s">
        <v>51</v>
      </c>
      <c r="W677" t="s">
        <v>236</v>
      </c>
      <c r="X677" t="s">
        <v>65</v>
      </c>
      <c r="Y677" t="s">
        <v>54</v>
      </c>
      <c r="Z677">
        <v>30905</v>
      </c>
      <c r="AA677">
        <v>0</v>
      </c>
      <c r="AB677" t="s">
        <v>79</v>
      </c>
      <c r="AC677" t="s">
        <v>87</v>
      </c>
      <c r="AD677">
        <v>36</v>
      </c>
      <c r="AE677">
        <v>9</v>
      </c>
      <c r="AF677">
        <v>3</v>
      </c>
      <c r="AG677">
        <v>2025</v>
      </c>
      <c r="AH677" s="2">
        <v>8700</v>
      </c>
      <c r="AI677" s="2">
        <v>5316.6201171875</v>
      </c>
      <c r="AJ677" s="2">
        <f t="shared" si="80"/>
        <v>3383.3798828125</v>
      </c>
      <c r="AK677" s="6">
        <f t="shared" si="81"/>
        <v>0.38889423940373563</v>
      </c>
      <c r="AL677" s="12">
        <v>8700</v>
      </c>
      <c r="AM677" s="12">
        <v>4222.4074953790723</v>
      </c>
      <c r="AN677" s="12">
        <f t="shared" si="82"/>
        <v>4477.5925046209277</v>
      </c>
      <c r="AO677" s="13">
        <f t="shared" si="83"/>
        <v>0.5146658051288423</v>
      </c>
      <c r="AP677" s="16">
        <v>8700</v>
      </c>
      <c r="AQ677" s="16">
        <v>5091.7189906289523</v>
      </c>
      <c r="AR677" s="16">
        <f t="shared" si="84"/>
        <v>3608.2810093710477</v>
      </c>
      <c r="AS677" s="17">
        <f t="shared" si="85"/>
        <v>0.41474494360586756</v>
      </c>
      <c r="AT677" s="20">
        <v>8700</v>
      </c>
      <c r="AU677" s="20">
        <v>5267.69580078125</v>
      </c>
      <c r="AV677" s="20">
        <f t="shared" si="86"/>
        <v>3432.30419921875</v>
      </c>
      <c r="AW677" s="21">
        <f t="shared" si="87"/>
        <v>0.39451772404813218</v>
      </c>
    </row>
    <row r="678" spans="1:49" x14ac:dyDescent="0.25">
      <c r="A678" t="s">
        <v>38</v>
      </c>
      <c r="B678" t="s">
        <v>39</v>
      </c>
      <c r="C678">
        <v>229718</v>
      </c>
      <c r="D678">
        <v>2010</v>
      </c>
      <c r="E678" t="s">
        <v>146</v>
      </c>
      <c r="F678" t="s">
        <v>441</v>
      </c>
      <c r="I678">
        <v>8</v>
      </c>
      <c r="J678" t="s">
        <v>122</v>
      </c>
      <c r="K678">
        <v>4</v>
      </c>
      <c r="L678" t="s">
        <v>44</v>
      </c>
      <c r="M678">
        <v>5.6</v>
      </c>
      <c r="N678" t="s">
        <v>73</v>
      </c>
      <c r="O678" t="s">
        <v>46</v>
      </c>
      <c r="Q678" t="s">
        <v>62</v>
      </c>
      <c r="R678" t="s">
        <v>63</v>
      </c>
      <c r="S678" t="s">
        <v>49</v>
      </c>
      <c r="U678" t="s">
        <v>180</v>
      </c>
      <c r="X678" t="s">
        <v>108</v>
      </c>
      <c r="Y678" t="s">
        <v>78</v>
      </c>
      <c r="AA678">
        <v>0</v>
      </c>
      <c r="AB678" t="s">
        <v>79</v>
      </c>
      <c r="AC678" t="s">
        <v>87</v>
      </c>
      <c r="AD678">
        <v>36</v>
      </c>
      <c r="AE678">
        <v>9</v>
      </c>
      <c r="AF678">
        <v>3</v>
      </c>
      <c r="AG678">
        <v>2025</v>
      </c>
      <c r="AH678" s="2">
        <v>2100</v>
      </c>
      <c r="AI678" s="2">
        <v>1599.334350585938</v>
      </c>
      <c r="AJ678" s="2">
        <f t="shared" si="80"/>
        <v>500.66564941406205</v>
      </c>
      <c r="AK678" s="6">
        <f t="shared" si="81"/>
        <v>0.23841221400669621</v>
      </c>
      <c r="AL678" s="12">
        <v>2100</v>
      </c>
      <c r="AM678" s="12">
        <v>1897.8924260353949</v>
      </c>
      <c r="AN678" s="12">
        <f t="shared" si="82"/>
        <v>202.10757396460508</v>
      </c>
      <c r="AO678" s="13">
        <f t="shared" si="83"/>
        <v>9.6241701887907177E-2</v>
      </c>
      <c r="AP678" s="16">
        <v>2100</v>
      </c>
      <c r="AQ678" s="16">
        <v>1719.3674965518121</v>
      </c>
      <c r="AR678" s="16">
        <f t="shared" si="84"/>
        <v>380.63250344818789</v>
      </c>
      <c r="AS678" s="17">
        <f t="shared" si="85"/>
        <v>0.18125357307056567</v>
      </c>
      <c r="AT678" s="20">
        <v>2100</v>
      </c>
      <c r="AU678" s="20">
        <v>1592.009399414062</v>
      </c>
      <c r="AV678" s="20">
        <f t="shared" si="86"/>
        <v>507.99060058593795</v>
      </c>
      <c r="AW678" s="21">
        <f t="shared" si="87"/>
        <v>0.24190028599330379</v>
      </c>
    </row>
    <row r="679" spans="1:49" x14ac:dyDescent="0.25">
      <c r="A679" t="s">
        <v>38</v>
      </c>
      <c r="B679" t="s">
        <v>39</v>
      </c>
      <c r="C679">
        <v>180336</v>
      </c>
      <c r="D679">
        <v>2012</v>
      </c>
      <c r="E679" t="s">
        <v>146</v>
      </c>
      <c r="F679" t="s">
        <v>279</v>
      </c>
      <c r="I679">
        <v>4</v>
      </c>
      <c r="J679" t="s">
        <v>106</v>
      </c>
      <c r="K679">
        <v>4</v>
      </c>
      <c r="L679" t="s">
        <v>44</v>
      </c>
      <c r="M679">
        <v>2</v>
      </c>
      <c r="N679" t="s">
        <v>45</v>
      </c>
      <c r="O679" t="s">
        <v>46</v>
      </c>
      <c r="Q679" t="s">
        <v>47</v>
      </c>
      <c r="R679" t="s">
        <v>123</v>
      </c>
      <c r="S679" t="s">
        <v>49</v>
      </c>
      <c r="T679">
        <v>140</v>
      </c>
      <c r="U679" t="s">
        <v>50</v>
      </c>
      <c r="X679" t="s">
        <v>125</v>
      </c>
      <c r="Y679" t="s">
        <v>126</v>
      </c>
      <c r="AA679">
        <v>0</v>
      </c>
      <c r="AB679" t="s">
        <v>79</v>
      </c>
      <c r="AC679" t="s">
        <v>127</v>
      </c>
      <c r="AD679">
        <v>36</v>
      </c>
      <c r="AE679">
        <v>9</v>
      </c>
      <c r="AF679">
        <v>3</v>
      </c>
      <c r="AG679">
        <v>2025</v>
      </c>
      <c r="AH679" s="2">
        <v>1100</v>
      </c>
      <c r="AI679" s="2">
        <v>1127.33642578125</v>
      </c>
      <c r="AJ679" s="2">
        <f t="shared" si="80"/>
        <v>27.33642578125</v>
      </c>
      <c r="AK679" s="6">
        <f t="shared" si="81"/>
        <v>2.4851296164772729E-2</v>
      </c>
      <c r="AL679" s="12">
        <v>1100</v>
      </c>
      <c r="AM679" s="12">
        <v>1150.896674497139</v>
      </c>
      <c r="AN679" s="12">
        <f t="shared" si="82"/>
        <v>50.896674497138974</v>
      </c>
      <c r="AO679" s="13">
        <f t="shared" si="83"/>
        <v>4.6269704088308161E-2</v>
      </c>
      <c r="AP679" s="16">
        <v>1100</v>
      </c>
      <c r="AQ679" s="16">
        <v>1077.5277356831241</v>
      </c>
      <c r="AR679" s="16">
        <f t="shared" si="84"/>
        <v>22.472264316875908</v>
      </c>
      <c r="AS679" s="17">
        <f t="shared" si="85"/>
        <v>2.0429331197159915E-2</v>
      </c>
      <c r="AT679" s="20">
        <v>1100</v>
      </c>
      <c r="AU679" s="20">
        <v>1106.470458984375</v>
      </c>
      <c r="AV679" s="20">
        <f t="shared" si="86"/>
        <v>6.470458984375</v>
      </c>
      <c r="AW679" s="21">
        <f t="shared" si="87"/>
        <v>5.8822354403409091E-3</v>
      </c>
    </row>
    <row r="680" spans="1:49" x14ac:dyDescent="0.25">
      <c r="A680" t="s">
        <v>81</v>
      </c>
      <c r="B680" t="s">
        <v>304</v>
      </c>
      <c r="C680">
        <v>16826</v>
      </c>
      <c r="D680">
        <v>2023</v>
      </c>
      <c r="E680" t="s">
        <v>88</v>
      </c>
      <c r="F680" t="s">
        <v>637</v>
      </c>
      <c r="G680" t="s">
        <v>638</v>
      </c>
      <c r="I680">
        <v>6</v>
      </c>
      <c r="J680" t="s">
        <v>72</v>
      </c>
      <c r="K680">
        <v>3</v>
      </c>
      <c r="L680" t="s">
        <v>44</v>
      </c>
      <c r="M680">
        <v>3.6</v>
      </c>
      <c r="N680" t="s">
        <v>45</v>
      </c>
      <c r="O680" t="s">
        <v>46</v>
      </c>
      <c r="P680">
        <v>5</v>
      </c>
      <c r="Q680" t="s">
        <v>74</v>
      </c>
      <c r="R680" t="s">
        <v>75</v>
      </c>
      <c r="S680" t="s">
        <v>101</v>
      </c>
      <c r="T680">
        <v>280</v>
      </c>
      <c r="U680" t="s">
        <v>50</v>
      </c>
      <c r="V680" t="s">
        <v>76</v>
      </c>
      <c r="X680" t="s">
        <v>77</v>
      </c>
      <c r="Y680" t="s">
        <v>126</v>
      </c>
      <c r="AA680">
        <v>0</v>
      </c>
      <c r="AB680" t="s">
        <v>79</v>
      </c>
      <c r="AC680" t="s">
        <v>80</v>
      </c>
      <c r="AD680">
        <v>36</v>
      </c>
      <c r="AE680">
        <v>9</v>
      </c>
      <c r="AF680">
        <v>3</v>
      </c>
      <c r="AG680">
        <v>2025</v>
      </c>
      <c r="AH680" s="2">
        <v>24500</v>
      </c>
      <c r="AI680" s="2">
        <v>26043.962890625</v>
      </c>
      <c r="AJ680" s="2">
        <f t="shared" si="80"/>
        <v>1543.962890625</v>
      </c>
      <c r="AK680" s="6">
        <f t="shared" si="81"/>
        <v>6.3018893494897962E-2</v>
      </c>
      <c r="AL680" s="12">
        <v>24500</v>
      </c>
      <c r="AM680" s="12">
        <v>30204.622458251419</v>
      </c>
      <c r="AN680" s="12">
        <f t="shared" si="82"/>
        <v>5704.6224582514187</v>
      </c>
      <c r="AO680" s="13">
        <f t="shared" si="83"/>
        <v>0.23284173298985383</v>
      </c>
      <c r="AP680" s="16">
        <v>24500</v>
      </c>
      <c r="AQ680" s="16">
        <v>32320.461247417199</v>
      </c>
      <c r="AR680" s="16">
        <f t="shared" si="84"/>
        <v>7820.461247417199</v>
      </c>
      <c r="AS680" s="17">
        <f t="shared" si="85"/>
        <v>0.31920249989457955</v>
      </c>
      <c r="AT680" s="20">
        <v>24500</v>
      </c>
      <c r="AU680" s="20">
        <v>26868.2578125</v>
      </c>
      <c r="AV680" s="20">
        <f t="shared" si="86"/>
        <v>2368.2578125</v>
      </c>
      <c r="AW680" s="21">
        <f t="shared" si="87"/>
        <v>9.6663584183673476E-2</v>
      </c>
    </row>
    <row r="681" spans="1:49" x14ac:dyDescent="0.25">
      <c r="A681" t="s">
        <v>38</v>
      </c>
      <c r="B681" t="s">
        <v>110</v>
      </c>
      <c r="C681">
        <v>133842</v>
      </c>
      <c r="D681">
        <v>2013</v>
      </c>
      <c r="E681" t="s">
        <v>162</v>
      </c>
      <c r="F681" t="s">
        <v>800</v>
      </c>
      <c r="G681" t="s">
        <v>964</v>
      </c>
      <c r="I681">
        <v>4</v>
      </c>
      <c r="J681" t="s">
        <v>72</v>
      </c>
      <c r="K681">
        <v>3</v>
      </c>
      <c r="L681" t="s">
        <v>44</v>
      </c>
      <c r="M681">
        <v>1.6</v>
      </c>
      <c r="N681" t="s">
        <v>45</v>
      </c>
      <c r="Q681" t="s">
        <v>47</v>
      </c>
      <c r="R681" t="s">
        <v>197</v>
      </c>
      <c r="U681" t="s">
        <v>50</v>
      </c>
      <c r="W681" t="s">
        <v>965</v>
      </c>
      <c r="X681" t="s">
        <v>125</v>
      </c>
      <c r="Y681" t="s">
        <v>66</v>
      </c>
      <c r="AA681">
        <v>0</v>
      </c>
      <c r="AB681" t="s">
        <v>79</v>
      </c>
      <c r="AC681" t="s">
        <v>197</v>
      </c>
      <c r="AD681">
        <v>36</v>
      </c>
      <c r="AE681">
        <v>9</v>
      </c>
      <c r="AF681">
        <v>3</v>
      </c>
      <c r="AG681">
        <v>2025</v>
      </c>
      <c r="AH681" s="2">
        <v>700</v>
      </c>
      <c r="AI681" s="2">
        <v>1999.852905273438</v>
      </c>
      <c r="AJ681" s="2">
        <f t="shared" si="80"/>
        <v>1299.852905273438</v>
      </c>
      <c r="AK681" s="6">
        <f t="shared" si="81"/>
        <v>1.8569327218191971</v>
      </c>
      <c r="AL681" s="12">
        <v>700</v>
      </c>
      <c r="AM681" s="12">
        <v>2059.0644275120071</v>
      </c>
      <c r="AN681" s="12">
        <f t="shared" si="82"/>
        <v>1359.0644275120071</v>
      </c>
      <c r="AO681" s="13">
        <f t="shared" si="83"/>
        <v>1.9415206107314387</v>
      </c>
      <c r="AP681" s="16">
        <v>700</v>
      </c>
      <c r="AQ681" s="16">
        <v>1477.136514629188</v>
      </c>
      <c r="AR681" s="16">
        <f t="shared" si="84"/>
        <v>777.13651462918801</v>
      </c>
      <c r="AS681" s="17">
        <f t="shared" si="85"/>
        <v>1.11019502089884</v>
      </c>
      <c r="AT681" s="20">
        <v>700</v>
      </c>
      <c r="AU681" s="20">
        <v>1991.944946289062</v>
      </c>
      <c r="AV681" s="20">
        <f t="shared" si="86"/>
        <v>1291.944946289062</v>
      </c>
      <c r="AW681" s="21">
        <f t="shared" si="87"/>
        <v>1.845635637555803</v>
      </c>
    </row>
    <row r="682" spans="1:49" x14ac:dyDescent="0.25">
      <c r="A682" t="s">
        <v>38</v>
      </c>
      <c r="B682" t="s">
        <v>96</v>
      </c>
      <c r="C682">
        <v>85284</v>
      </c>
      <c r="D682">
        <v>2017</v>
      </c>
      <c r="E682" t="s">
        <v>119</v>
      </c>
      <c r="F682" t="s">
        <v>966</v>
      </c>
      <c r="G682" t="s">
        <v>967</v>
      </c>
      <c r="I682">
        <v>4</v>
      </c>
      <c r="J682" t="s">
        <v>135</v>
      </c>
      <c r="K682">
        <v>4</v>
      </c>
      <c r="L682" t="s">
        <v>402</v>
      </c>
      <c r="M682">
        <v>2</v>
      </c>
      <c r="N682" t="s">
        <v>45</v>
      </c>
      <c r="O682" t="s">
        <v>100</v>
      </c>
      <c r="P682">
        <v>1</v>
      </c>
      <c r="Q682" t="s">
        <v>47</v>
      </c>
      <c r="R682" t="s">
        <v>48</v>
      </c>
      <c r="S682" t="s">
        <v>101</v>
      </c>
      <c r="T682">
        <v>211</v>
      </c>
      <c r="U682" t="s">
        <v>50</v>
      </c>
      <c r="W682" t="s">
        <v>325</v>
      </c>
      <c r="X682" t="s">
        <v>125</v>
      </c>
      <c r="Y682" t="s">
        <v>126</v>
      </c>
      <c r="Z682">
        <v>27995</v>
      </c>
      <c r="AA682">
        <v>0</v>
      </c>
      <c r="AB682" t="s">
        <v>79</v>
      </c>
      <c r="AC682" t="s">
        <v>359</v>
      </c>
      <c r="AD682">
        <v>36</v>
      </c>
      <c r="AE682">
        <v>9</v>
      </c>
      <c r="AF682">
        <v>3</v>
      </c>
      <c r="AG682">
        <v>2025</v>
      </c>
      <c r="AH682" s="2">
        <v>5200</v>
      </c>
      <c r="AI682" s="2">
        <v>2385.0869140625</v>
      </c>
      <c r="AJ682" s="2">
        <f t="shared" si="80"/>
        <v>2814.9130859375</v>
      </c>
      <c r="AK682" s="6">
        <f t="shared" si="81"/>
        <v>0.54132943960336544</v>
      </c>
      <c r="AL682" s="12">
        <v>5200</v>
      </c>
      <c r="AM682" s="12">
        <v>2152.703062493104</v>
      </c>
      <c r="AN682" s="12">
        <f t="shared" si="82"/>
        <v>3047.296937506896</v>
      </c>
      <c r="AO682" s="13">
        <f t="shared" si="83"/>
        <v>0.58601864182824925</v>
      </c>
      <c r="AP682" s="16">
        <v>5200</v>
      </c>
      <c r="AQ682" s="16">
        <v>3569.489535754894</v>
      </c>
      <c r="AR682" s="16">
        <f t="shared" si="84"/>
        <v>1630.510464245106</v>
      </c>
      <c r="AS682" s="17">
        <f t="shared" si="85"/>
        <v>0.31355970466252037</v>
      </c>
      <c r="AT682" s="20">
        <v>5200</v>
      </c>
      <c r="AU682" s="20">
        <v>2363.189208984375</v>
      </c>
      <c r="AV682" s="20">
        <f t="shared" si="86"/>
        <v>2836.810791015625</v>
      </c>
      <c r="AW682" s="21">
        <f t="shared" si="87"/>
        <v>0.54554053673377401</v>
      </c>
    </row>
    <row r="683" spans="1:49" x14ac:dyDescent="0.25">
      <c r="A683" t="s">
        <v>38</v>
      </c>
      <c r="B683" t="s">
        <v>96</v>
      </c>
      <c r="C683">
        <v>11246</v>
      </c>
      <c r="D683">
        <v>2025</v>
      </c>
      <c r="E683" t="s">
        <v>97</v>
      </c>
      <c r="F683" t="s">
        <v>363</v>
      </c>
      <c r="G683" t="s">
        <v>199</v>
      </c>
      <c r="I683">
        <v>3</v>
      </c>
      <c r="J683" t="s">
        <v>135</v>
      </c>
      <c r="K683">
        <v>4</v>
      </c>
      <c r="L683" t="s">
        <v>44</v>
      </c>
      <c r="M683">
        <v>1.2</v>
      </c>
      <c r="N683" t="s">
        <v>45</v>
      </c>
      <c r="O683" t="s">
        <v>46</v>
      </c>
      <c r="P683">
        <v>4</v>
      </c>
      <c r="Q683" t="s">
        <v>62</v>
      </c>
      <c r="R683" t="s">
        <v>63</v>
      </c>
      <c r="S683" t="s">
        <v>101</v>
      </c>
      <c r="U683" t="s">
        <v>50</v>
      </c>
      <c r="W683" t="s">
        <v>968</v>
      </c>
      <c r="X683" t="s">
        <v>65</v>
      </c>
      <c r="Y683" t="s">
        <v>66</v>
      </c>
      <c r="AA683">
        <v>0</v>
      </c>
      <c r="AB683" t="s">
        <v>79</v>
      </c>
      <c r="AC683" t="s">
        <v>87</v>
      </c>
      <c r="AD683">
        <v>36</v>
      </c>
      <c r="AE683">
        <v>9</v>
      </c>
      <c r="AF683">
        <v>3</v>
      </c>
      <c r="AG683">
        <v>2025</v>
      </c>
      <c r="AH683" s="2">
        <v>19800</v>
      </c>
      <c r="AI683" s="2">
        <v>17668.09765625</v>
      </c>
      <c r="AJ683" s="2">
        <f t="shared" si="80"/>
        <v>2131.90234375</v>
      </c>
      <c r="AK683" s="6">
        <f t="shared" si="81"/>
        <v>0.10767183554292929</v>
      </c>
      <c r="AL683" s="12">
        <v>19800</v>
      </c>
      <c r="AM683" s="12">
        <v>17054.726298710979</v>
      </c>
      <c r="AN683" s="12">
        <f t="shared" si="82"/>
        <v>2745.2737012890211</v>
      </c>
      <c r="AO683" s="13">
        <f t="shared" si="83"/>
        <v>0.13865018693378894</v>
      </c>
      <c r="AP683" s="16">
        <v>19800</v>
      </c>
      <c r="AQ683" s="16">
        <v>16503.100746517131</v>
      </c>
      <c r="AR683" s="16">
        <f t="shared" si="84"/>
        <v>3296.8992534828685</v>
      </c>
      <c r="AS683" s="17">
        <f t="shared" si="85"/>
        <v>0.16651006330721557</v>
      </c>
      <c r="AT683" s="20">
        <v>19800</v>
      </c>
      <c r="AU683" s="20">
        <v>17312.35546875</v>
      </c>
      <c r="AV683" s="20">
        <f t="shared" si="86"/>
        <v>2487.64453125</v>
      </c>
      <c r="AW683" s="21">
        <f t="shared" si="87"/>
        <v>0.12563861268939394</v>
      </c>
    </row>
    <row r="684" spans="1:49" x14ac:dyDescent="0.25">
      <c r="A684" t="s">
        <v>114</v>
      </c>
      <c r="B684" t="s">
        <v>340</v>
      </c>
      <c r="C684">
        <v>313318</v>
      </c>
      <c r="D684">
        <v>2008</v>
      </c>
      <c r="E684" t="s">
        <v>116</v>
      </c>
      <c r="F684" t="s">
        <v>969</v>
      </c>
      <c r="H684" t="s">
        <v>970</v>
      </c>
      <c r="I684">
        <v>6</v>
      </c>
      <c r="J684" t="s">
        <v>72</v>
      </c>
      <c r="K684">
        <v>2</v>
      </c>
      <c r="L684" t="s">
        <v>44</v>
      </c>
      <c r="M684">
        <v>3.9</v>
      </c>
      <c r="N684" t="s">
        <v>73</v>
      </c>
      <c r="O684" t="s">
        <v>46</v>
      </c>
      <c r="P684">
        <v>2</v>
      </c>
      <c r="Q684" t="s">
        <v>74</v>
      </c>
      <c r="R684" t="s">
        <v>75</v>
      </c>
      <c r="S684" t="s">
        <v>49</v>
      </c>
      <c r="U684" t="s">
        <v>229</v>
      </c>
      <c r="V684" t="s">
        <v>76</v>
      </c>
      <c r="W684" t="s">
        <v>971</v>
      </c>
      <c r="X684" t="s">
        <v>230</v>
      </c>
      <c r="Y684" t="s">
        <v>137</v>
      </c>
      <c r="AA684">
        <v>0</v>
      </c>
      <c r="AB684" t="s">
        <v>79</v>
      </c>
      <c r="AC684" t="s">
        <v>80</v>
      </c>
      <c r="AD684">
        <v>36</v>
      </c>
      <c r="AE684">
        <v>9</v>
      </c>
      <c r="AF684">
        <v>3</v>
      </c>
      <c r="AG684">
        <v>2025</v>
      </c>
      <c r="AH684" s="2">
        <v>1000</v>
      </c>
      <c r="AI684" s="2">
        <v>1624.79248046875</v>
      </c>
      <c r="AJ684" s="2">
        <f t="shared" si="80"/>
        <v>624.79248046875</v>
      </c>
      <c r="AK684" s="6">
        <f t="shared" si="81"/>
        <v>0.62479248046875002</v>
      </c>
      <c r="AL684" s="12">
        <v>1000</v>
      </c>
      <c r="AM684" s="12">
        <v>1912.916212912666</v>
      </c>
      <c r="AN684" s="12">
        <f t="shared" si="82"/>
        <v>912.91621291266597</v>
      </c>
      <c r="AO684" s="13">
        <f t="shared" si="83"/>
        <v>0.912916212912666</v>
      </c>
      <c r="AP684" s="16">
        <v>1000</v>
      </c>
      <c r="AQ684" s="16">
        <v>1434.3709562683589</v>
      </c>
      <c r="AR684" s="16">
        <f t="shared" si="84"/>
        <v>434.3709562683589</v>
      </c>
      <c r="AS684" s="17">
        <f t="shared" si="85"/>
        <v>0.43437095626835892</v>
      </c>
      <c r="AT684" s="20">
        <v>1000</v>
      </c>
      <c r="AU684" s="20">
        <v>1638.917846679688</v>
      </c>
      <c r="AV684" s="20">
        <f t="shared" si="86"/>
        <v>638.91784667968795</v>
      </c>
      <c r="AW684" s="21">
        <f t="shared" si="87"/>
        <v>0.63891784667968798</v>
      </c>
    </row>
    <row r="685" spans="1:49" x14ac:dyDescent="0.25">
      <c r="A685" t="s">
        <v>128</v>
      </c>
      <c r="B685" t="s">
        <v>129</v>
      </c>
      <c r="C685">
        <v>115695</v>
      </c>
      <c r="D685">
        <v>2017</v>
      </c>
      <c r="E685" t="s">
        <v>69</v>
      </c>
      <c r="F685" t="s">
        <v>231</v>
      </c>
      <c r="G685" t="s">
        <v>386</v>
      </c>
      <c r="I685">
        <v>6</v>
      </c>
      <c r="J685" t="s">
        <v>43</v>
      </c>
      <c r="K685">
        <v>4</v>
      </c>
      <c r="L685" t="s">
        <v>44</v>
      </c>
      <c r="M685">
        <v>2.7</v>
      </c>
      <c r="N685" t="s">
        <v>91</v>
      </c>
      <c r="O685" t="s">
        <v>46</v>
      </c>
      <c r="P685">
        <v>2</v>
      </c>
      <c r="Q685" t="s">
        <v>74</v>
      </c>
      <c r="R685" t="s">
        <v>92</v>
      </c>
      <c r="S685" t="s">
        <v>93</v>
      </c>
      <c r="T685">
        <v>325</v>
      </c>
      <c r="U685" t="s">
        <v>50</v>
      </c>
      <c r="V685" t="s">
        <v>76</v>
      </c>
      <c r="W685" t="s">
        <v>512</v>
      </c>
      <c r="X685" t="s">
        <v>94</v>
      </c>
      <c r="Y685" t="s">
        <v>78</v>
      </c>
      <c r="Z685">
        <v>31195</v>
      </c>
      <c r="AA685">
        <v>0</v>
      </c>
      <c r="AB685" t="s">
        <v>79</v>
      </c>
      <c r="AC685" t="s">
        <v>95</v>
      </c>
      <c r="AD685">
        <v>36</v>
      </c>
      <c r="AE685">
        <v>9</v>
      </c>
      <c r="AF685">
        <v>3</v>
      </c>
      <c r="AG685">
        <v>2025</v>
      </c>
      <c r="AH685" s="2">
        <v>9200</v>
      </c>
      <c r="AI685" s="2">
        <v>9533.4453125</v>
      </c>
      <c r="AJ685" s="2">
        <f t="shared" si="80"/>
        <v>333.4453125</v>
      </c>
      <c r="AK685" s="6">
        <f t="shared" si="81"/>
        <v>3.6244055706521741E-2</v>
      </c>
      <c r="AL685" s="12">
        <v>9200</v>
      </c>
      <c r="AM685" s="12">
        <v>10937.846893106151</v>
      </c>
      <c r="AN685" s="12">
        <f t="shared" si="82"/>
        <v>1737.8468931061507</v>
      </c>
      <c r="AO685" s="13">
        <f t="shared" si="83"/>
        <v>0.18889640142458158</v>
      </c>
      <c r="AP685" s="16">
        <v>9200</v>
      </c>
      <c r="AQ685" s="16">
        <v>9883.4697358960966</v>
      </c>
      <c r="AR685" s="16">
        <f t="shared" si="84"/>
        <v>683.46973589609661</v>
      </c>
      <c r="AS685" s="17">
        <f t="shared" si="85"/>
        <v>7.4290188684358327E-2</v>
      </c>
      <c r="AT685" s="20">
        <v>9200</v>
      </c>
      <c r="AU685" s="20">
        <v>9905.4384765625</v>
      </c>
      <c r="AV685" s="20">
        <f t="shared" si="86"/>
        <v>705.4384765625</v>
      </c>
      <c r="AW685" s="21">
        <f t="shared" si="87"/>
        <v>7.6678095278532615E-2</v>
      </c>
    </row>
    <row r="686" spans="1:49" x14ac:dyDescent="0.25">
      <c r="A686" t="s">
        <v>38</v>
      </c>
      <c r="B686" t="s">
        <v>68</v>
      </c>
      <c r="C686">
        <v>71881</v>
      </c>
      <c r="D686">
        <v>2022</v>
      </c>
      <c r="E686" t="s">
        <v>69</v>
      </c>
      <c r="F686" t="s">
        <v>157</v>
      </c>
      <c r="G686" t="s">
        <v>972</v>
      </c>
      <c r="I686">
        <v>6</v>
      </c>
      <c r="J686" t="s">
        <v>135</v>
      </c>
      <c r="K686">
        <v>4</v>
      </c>
      <c r="L686" t="s">
        <v>44</v>
      </c>
      <c r="M686">
        <v>3</v>
      </c>
      <c r="N686" t="s">
        <v>73</v>
      </c>
      <c r="O686" t="s">
        <v>46</v>
      </c>
      <c r="P686">
        <v>3</v>
      </c>
      <c r="Q686" t="s">
        <v>62</v>
      </c>
      <c r="R686" t="s">
        <v>63</v>
      </c>
      <c r="S686" t="s">
        <v>179</v>
      </c>
      <c r="T686">
        <v>400</v>
      </c>
      <c r="U686" t="s">
        <v>50</v>
      </c>
      <c r="V686" t="s">
        <v>76</v>
      </c>
      <c r="W686" t="s">
        <v>308</v>
      </c>
      <c r="X686" t="s">
        <v>94</v>
      </c>
      <c r="Y686" t="s">
        <v>78</v>
      </c>
      <c r="AA686">
        <v>0</v>
      </c>
      <c r="AB686" t="s">
        <v>79</v>
      </c>
      <c r="AC686" t="s">
        <v>109</v>
      </c>
      <c r="AD686">
        <v>36</v>
      </c>
      <c r="AE686">
        <v>9</v>
      </c>
      <c r="AF686">
        <v>3</v>
      </c>
      <c r="AG686">
        <v>2025</v>
      </c>
      <c r="AH686" s="2">
        <v>26750</v>
      </c>
      <c r="AI686" s="2">
        <v>23139.736328125</v>
      </c>
      <c r="AJ686" s="2">
        <f t="shared" si="80"/>
        <v>3610.263671875</v>
      </c>
      <c r="AK686" s="6">
        <f t="shared" si="81"/>
        <v>0.13496312792056075</v>
      </c>
      <c r="AL686" s="12">
        <v>26750</v>
      </c>
      <c r="AM686" s="12">
        <v>28403.638128212111</v>
      </c>
      <c r="AN686" s="12">
        <f t="shared" si="82"/>
        <v>1653.638128212111</v>
      </c>
      <c r="AO686" s="13">
        <f t="shared" si="83"/>
        <v>6.181824778363032E-2</v>
      </c>
      <c r="AP686" s="16">
        <v>26750</v>
      </c>
      <c r="AQ686" s="16">
        <v>25841.27427829117</v>
      </c>
      <c r="AR686" s="16">
        <f t="shared" si="84"/>
        <v>908.72572170882995</v>
      </c>
      <c r="AS686" s="17">
        <f t="shared" si="85"/>
        <v>3.3971055017152522E-2</v>
      </c>
      <c r="AT686" s="20">
        <v>26750</v>
      </c>
      <c r="AU686" s="20">
        <v>23831.033203125</v>
      </c>
      <c r="AV686" s="20">
        <f t="shared" si="86"/>
        <v>2918.966796875</v>
      </c>
      <c r="AW686" s="21">
        <f t="shared" si="87"/>
        <v>0.10912025408878505</v>
      </c>
    </row>
    <row r="687" spans="1:49" x14ac:dyDescent="0.25">
      <c r="A687" t="s">
        <v>81</v>
      </c>
      <c r="B687" t="s">
        <v>82</v>
      </c>
      <c r="C687">
        <v>137308</v>
      </c>
      <c r="D687">
        <v>2001</v>
      </c>
      <c r="E687" t="s">
        <v>116</v>
      </c>
      <c r="F687" t="s">
        <v>697</v>
      </c>
      <c r="G687" t="s">
        <v>89</v>
      </c>
      <c r="I687">
        <v>8</v>
      </c>
      <c r="J687" t="s">
        <v>43</v>
      </c>
      <c r="K687">
        <v>2</v>
      </c>
      <c r="L687" t="s">
        <v>44</v>
      </c>
      <c r="M687">
        <v>5.2</v>
      </c>
      <c r="N687" t="s">
        <v>91</v>
      </c>
      <c r="O687" t="s">
        <v>100</v>
      </c>
      <c r="Q687" t="s">
        <v>74</v>
      </c>
      <c r="R687" t="s">
        <v>92</v>
      </c>
      <c r="S687" t="s">
        <v>93</v>
      </c>
      <c r="U687" t="s">
        <v>50</v>
      </c>
      <c r="V687" t="s">
        <v>76</v>
      </c>
      <c r="X687" t="s">
        <v>94</v>
      </c>
      <c r="Y687" t="s">
        <v>78</v>
      </c>
      <c r="AA687">
        <v>0</v>
      </c>
      <c r="AB687" t="s">
        <v>79</v>
      </c>
      <c r="AC687" t="s">
        <v>95</v>
      </c>
      <c r="AD687">
        <v>36</v>
      </c>
      <c r="AE687">
        <v>9</v>
      </c>
      <c r="AF687">
        <v>3</v>
      </c>
      <c r="AG687">
        <v>2025</v>
      </c>
      <c r="AH687" s="2">
        <v>350</v>
      </c>
      <c r="AI687" s="2">
        <v>628.64288330078125</v>
      </c>
      <c r="AJ687" s="2">
        <f t="shared" si="80"/>
        <v>278.64288330078125</v>
      </c>
      <c r="AK687" s="6">
        <f t="shared" si="81"/>
        <v>0.79612252371651782</v>
      </c>
      <c r="AL687" s="12">
        <v>350</v>
      </c>
      <c r="AM687" s="12">
        <v>664.56721801041408</v>
      </c>
      <c r="AN687" s="12">
        <f t="shared" si="82"/>
        <v>314.56721801041408</v>
      </c>
      <c r="AO687" s="13">
        <f t="shared" si="83"/>
        <v>0.89876348002975448</v>
      </c>
      <c r="AP687" s="16">
        <v>350</v>
      </c>
      <c r="AQ687" s="16">
        <v>446.64236995076652</v>
      </c>
      <c r="AR687" s="16">
        <f t="shared" si="84"/>
        <v>96.642369950766522</v>
      </c>
      <c r="AS687" s="17">
        <f t="shared" si="85"/>
        <v>0.27612105700219008</v>
      </c>
      <c r="AT687" s="20">
        <v>350</v>
      </c>
      <c r="AU687" s="20">
        <v>590.930908203125</v>
      </c>
      <c r="AV687" s="20">
        <f t="shared" si="86"/>
        <v>240.930908203125</v>
      </c>
      <c r="AW687" s="21">
        <f t="shared" si="87"/>
        <v>0.68837402343749998</v>
      </c>
    </row>
    <row r="688" spans="1:49" x14ac:dyDescent="0.25">
      <c r="A688" t="s">
        <v>38</v>
      </c>
      <c r="B688" t="s">
        <v>39</v>
      </c>
      <c r="C688">
        <v>200364</v>
      </c>
      <c r="D688">
        <v>2012</v>
      </c>
      <c r="E688" t="s">
        <v>97</v>
      </c>
      <c r="F688" t="s">
        <v>701</v>
      </c>
      <c r="G688" t="s">
        <v>380</v>
      </c>
      <c r="I688">
        <v>6</v>
      </c>
      <c r="J688" t="s">
        <v>106</v>
      </c>
      <c r="K688">
        <v>4</v>
      </c>
      <c r="L688" t="s">
        <v>44</v>
      </c>
      <c r="M688">
        <v>3.6</v>
      </c>
      <c r="N688" t="s">
        <v>45</v>
      </c>
      <c r="O688" t="s">
        <v>46</v>
      </c>
      <c r="Q688" t="s">
        <v>47</v>
      </c>
      <c r="R688" t="s">
        <v>123</v>
      </c>
      <c r="U688" t="s">
        <v>50</v>
      </c>
      <c r="W688" t="s">
        <v>406</v>
      </c>
      <c r="X688" t="s">
        <v>125</v>
      </c>
      <c r="Y688" t="s">
        <v>103</v>
      </c>
      <c r="AA688">
        <v>0</v>
      </c>
      <c r="AB688" t="s">
        <v>79</v>
      </c>
      <c r="AC688" t="s">
        <v>127</v>
      </c>
      <c r="AD688">
        <v>36</v>
      </c>
      <c r="AE688">
        <v>9</v>
      </c>
      <c r="AF688">
        <v>3</v>
      </c>
      <c r="AG688">
        <v>2025</v>
      </c>
      <c r="AH688" s="2">
        <v>1200</v>
      </c>
      <c r="AI688" s="2">
        <v>1294.400756835938</v>
      </c>
      <c r="AJ688" s="2">
        <f t="shared" si="80"/>
        <v>94.400756835937955</v>
      </c>
      <c r="AK688" s="6">
        <f t="shared" si="81"/>
        <v>7.8667297363281624E-2</v>
      </c>
      <c r="AL688" s="12">
        <v>1200</v>
      </c>
      <c r="AM688" s="12">
        <v>1382.2376789760481</v>
      </c>
      <c r="AN688" s="12">
        <f t="shared" si="82"/>
        <v>182.23767897604807</v>
      </c>
      <c r="AO688" s="13">
        <f t="shared" si="83"/>
        <v>0.15186473248004007</v>
      </c>
      <c r="AP688" s="16">
        <v>1200</v>
      </c>
      <c r="AQ688" s="16">
        <v>1252.1369172813729</v>
      </c>
      <c r="AR688" s="16">
        <f t="shared" si="84"/>
        <v>52.136917281372916</v>
      </c>
      <c r="AS688" s="17">
        <f t="shared" si="85"/>
        <v>4.3447431067810766E-2</v>
      </c>
      <c r="AT688" s="20">
        <v>1200</v>
      </c>
      <c r="AU688" s="20">
        <v>1268.626098632812</v>
      </c>
      <c r="AV688" s="20">
        <f t="shared" si="86"/>
        <v>68.626098632812045</v>
      </c>
      <c r="AW688" s="21">
        <f t="shared" si="87"/>
        <v>5.718841552734337E-2</v>
      </c>
    </row>
    <row r="689" spans="1:49" x14ac:dyDescent="0.25">
      <c r="A689" t="s">
        <v>38</v>
      </c>
      <c r="B689" t="s">
        <v>39</v>
      </c>
      <c r="C689">
        <v>104939</v>
      </c>
      <c r="D689">
        <v>2020</v>
      </c>
      <c r="E689" t="s">
        <v>69</v>
      </c>
      <c r="F689" t="s">
        <v>394</v>
      </c>
      <c r="H689" t="s">
        <v>224</v>
      </c>
      <c r="I689">
        <v>4</v>
      </c>
      <c r="J689" t="s">
        <v>61</v>
      </c>
      <c r="K689">
        <v>4</v>
      </c>
      <c r="L689" t="s">
        <v>44</v>
      </c>
      <c r="M689">
        <v>1.5</v>
      </c>
      <c r="N689" t="s">
        <v>45</v>
      </c>
      <c r="O689" t="s">
        <v>46</v>
      </c>
      <c r="Q689" t="s">
        <v>47</v>
      </c>
      <c r="R689" t="s">
        <v>123</v>
      </c>
      <c r="S689" t="s">
        <v>101</v>
      </c>
      <c r="T689">
        <v>181</v>
      </c>
      <c r="U689" t="s">
        <v>50</v>
      </c>
      <c r="V689" t="s">
        <v>51</v>
      </c>
      <c r="X689" t="s">
        <v>125</v>
      </c>
      <c r="Y689" t="s">
        <v>126</v>
      </c>
      <c r="AA689">
        <v>0</v>
      </c>
      <c r="AB689" t="s">
        <v>79</v>
      </c>
      <c r="AC689" t="s">
        <v>127</v>
      </c>
      <c r="AD689">
        <v>36</v>
      </c>
      <c r="AE689">
        <v>9</v>
      </c>
      <c r="AF689">
        <v>3</v>
      </c>
      <c r="AG689">
        <v>2025</v>
      </c>
      <c r="AH689" s="2">
        <v>11100</v>
      </c>
      <c r="AI689" s="2">
        <v>7391.697265625</v>
      </c>
      <c r="AJ689" s="2">
        <f t="shared" si="80"/>
        <v>3708.302734375</v>
      </c>
      <c r="AK689" s="6">
        <f t="shared" si="81"/>
        <v>0.33408132742117119</v>
      </c>
      <c r="AL689" s="12">
        <v>11100</v>
      </c>
      <c r="AM689" s="12">
        <v>7808.1574202224228</v>
      </c>
      <c r="AN689" s="12">
        <f t="shared" si="82"/>
        <v>3291.8425797775772</v>
      </c>
      <c r="AO689" s="13">
        <f t="shared" si="83"/>
        <v>0.29656239457455652</v>
      </c>
      <c r="AP689" s="16">
        <v>11100</v>
      </c>
      <c r="AQ689" s="16">
        <v>6366.5518198867921</v>
      </c>
      <c r="AR689" s="16">
        <f t="shared" si="84"/>
        <v>4733.4481801132079</v>
      </c>
      <c r="AS689" s="17">
        <f t="shared" si="85"/>
        <v>0.4264367729831719</v>
      </c>
      <c r="AT689" s="20">
        <v>11100</v>
      </c>
      <c r="AU689" s="20">
        <v>7541.251953125</v>
      </c>
      <c r="AV689" s="20">
        <f t="shared" si="86"/>
        <v>3558.748046875</v>
      </c>
      <c r="AW689" s="21">
        <f t="shared" si="87"/>
        <v>0.32060793215090089</v>
      </c>
    </row>
    <row r="690" spans="1:49" x14ac:dyDescent="0.25">
      <c r="A690" t="s">
        <v>38</v>
      </c>
      <c r="B690" t="s">
        <v>39</v>
      </c>
      <c r="C690">
        <v>254718</v>
      </c>
      <c r="D690">
        <v>2014</v>
      </c>
      <c r="E690" t="s">
        <v>40</v>
      </c>
      <c r="F690" t="s">
        <v>215</v>
      </c>
      <c r="G690" t="s">
        <v>903</v>
      </c>
      <c r="H690" t="s">
        <v>679</v>
      </c>
      <c r="I690">
        <v>8</v>
      </c>
      <c r="J690" t="s">
        <v>106</v>
      </c>
      <c r="K690">
        <v>4</v>
      </c>
      <c r="L690" t="s">
        <v>44</v>
      </c>
      <c r="M690">
        <v>5.7</v>
      </c>
      <c r="N690" t="s">
        <v>91</v>
      </c>
      <c r="O690" t="s">
        <v>46</v>
      </c>
      <c r="Q690" t="s">
        <v>74</v>
      </c>
      <c r="R690" t="s">
        <v>92</v>
      </c>
      <c r="S690" t="s">
        <v>93</v>
      </c>
      <c r="T690">
        <v>381</v>
      </c>
      <c r="U690" t="s">
        <v>50</v>
      </c>
      <c r="V690" t="s">
        <v>76</v>
      </c>
      <c r="W690" t="s">
        <v>713</v>
      </c>
      <c r="X690" t="s">
        <v>219</v>
      </c>
      <c r="Y690" t="s">
        <v>78</v>
      </c>
      <c r="AA690">
        <v>0</v>
      </c>
      <c r="AB690" t="s">
        <v>79</v>
      </c>
      <c r="AC690" t="s">
        <v>95</v>
      </c>
      <c r="AD690">
        <v>36</v>
      </c>
      <c r="AE690">
        <v>9</v>
      </c>
      <c r="AF690">
        <v>3</v>
      </c>
      <c r="AG690">
        <v>2025</v>
      </c>
      <c r="AH690" s="2">
        <v>10250</v>
      </c>
      <c r="AI690" s="2">
        <v>7611.31005859375</v>
      </c>
      <c r="AJ690" s="2">
        <f t="shared" si="80"/>
        <v>2638.68994140625</v>
      </c>
      <c r="AK690" s="6">
        <f t="shared" si="81"/>
        <v>0.25743316501524388</v>
      </c>
      <c r="AL690" s="12">
        <v>10250</v>
      </c>
      <c r="AM690" s="12">
        <v>7492.0758136676914</v>
      </c>
      <c r="AN690" s="12">
        <f t="shared" si="82"/>
        <v>2757.9241863323086</v>
      </c>
      <c r="AO690" s="13">
        <f t="shared" si="83"/>
        <v>0.26906577427632278</v>
      </c>
      <c r="AP690" s="16">
        <v>10250</v>
      </c>
      <c r="AQ690" s="16">
        <v>7525.8796818069186</v>
      </c>
      <c r="AR690" s="16">
        <f t="shared" si="84"/>
        <v>2724.1203181930814</v>
      </c>
      <c r="AS690" s="17">
        <f t="shared" si="85"/>
        <v>0.26576783592127623</v>
      </c>
      <c r="AT690" s="20">
        <v>10250</v>
      </c>
      <c r="AU690" s="20">
        <v>7682.919921875</v>
      </c>
      <c r="AV690" s="20">
        <f t="shared" si="86"/>
        <v>2567.080078125</v>
      </c>
      <c r="AW690" s="21">
        <f t="shared" si="87"/>
        <v>0.25044683689024388</v>
      </c>
    </row>
    <row r="691" spans="1:49" x14ac:dyDescent="0.25">
      <c r="A691" t="s">
        <v>128</v>
      </c>
      <c r="B691" t="s">
        <v>860</v>
      </c>
      <c r="C691">
        <v>67135</v>
      </c>
      <c r="D691">
        <v>2022</v>
      </c>
      <c r="E691" t="s">
        <v>116</v>
      </c>
      <c r="F691" t="s">
        <v>117</v>
      </c>
      <c r="G691" t="s">
        <v>238</v>
      </c>
      <c r="I691">
        <v>6</v>
      </c>
      <c r="J691" t="s">
        <v>61</v>
      </c>
      <c r="K691">
        <v>4</v>
      </c>
      <c r="L691" t="s">
        <v>44</v>
      </c>
      <c r="M691">
        <v>3.6</v>
      </c>
      <c r="N691" t="s">
        <v>44</v>
      </c>
      <c r="Q691" t="s">
        <v>62</v>
      </c>
      <c r="R691" t="s">
        <v>63</v>
      </c>
      <c r="S691" t="s">
        <v>85</v>
      </c>
      <c r="T691">
        <v>295</v>
      </c>
      <c r="U691" t="s">
        <v>50</v>
      </c>
      <c r="V691" t="s">
        <v>76</v>
      </c>
      <c r="X691" t="s">
        <v>94</v>
      </c>
      <c r="Y691" t="s">
        <v>78</v>
      </c>
      <c r="AA691">
        <v>0</v>
      </c>
      <c r="AB691" t="s">
        <v>79</v>
      </c>
      <c r="AC691" t="s">
        <v>109</v>
      </c>
      <c r="AD691">
        <v>36</v>
      </c>
      <c r="AE691">
        <v>9</v>
      </c>
      <c r="AF691">
        <v>3</v>
      </c>
      <c r="AG691">
        <v>2025</v>
      </c>
      <c r="AH691" s="2">
        <v>23800</v>
      </c>
      <c r="AI691" s="2">
        <v>20981.111328125</v>
      </c>
      <c r="AJ691" s="2">
        <f t="shared" si="80"/>
        <v>2818.888671875</v>
      </c>
      <c r="AK691" s="6">
        <f t="shared" si="81"/>
        <v>0.11844070049894959</v>
      </c>
      <c r="AL691" s="12">
        <v>23800</v>
      </c>
      <c r="AM691" s="12">
        <v>27075.62286544677</v>
      </c>
      <c r="AN691" s="12">
        <f t="shared" si="82"/>
        <v>3275.6228654467704</v>
      </c>
      <c r="AO691" s="13">
        <f t="shared" si="83"/>
        <v>0.13763121283389793</v>
      </c>
      <c r="AP691" s="16">
        <v>23800</v>
      </c>
      <c r="AQ691" s="16">
        <v>22542.96200447097</v>
      </c>
      <c r="AR691" s="16">
        <f t="shared" si="84"/>
        <v>1257.03799552903</v>
      </c>
      <c r="AS691" s="17">
        <f t="shared" si="85"/>
        <v>5.281672250121975E-2</v>
      </c>
      <c r="AT691" s="20">
        <v>23800</v>
      </c>
      <c r="AU691" s="20">
        <v>21604.708984375</v>
      </c>
      <c r="AV691" s="20">
        <f t="shared" si="86"/>
        <v>2195.291015625</v>
      </c>
      <c r="AW691" s="21">
        <f t="shared" si="87"/>
        <v>9.2239118303571427E-2</v>
      </c>
    </row>
    <row r="692" spans="1:49" x14ac:dyDescent="0.25">
      <c r="A692" t="s">
        <v>38</v>
      </c>
      <c r="B692" t="s">
        <v>68</v>
      </c>
      <c r="C692">
        <v>77082</v>
      </c>
      <c r="D692">
        <v>2019</v>
      </c>
      <c r="E692" t="s">
        <v>119</v>
      </c>
      <c r="F692" t="s">
        <v>138</v>
      </c>
      <c r="G692" t="s">
        <v>973</v>
      </c>
      <c r="I692">
        <v>6</v>
      </c>
      <c r="J692" t="s">
        <v>61</v>
      </c>
      <c r="K692">
        <v>4</v>
      </c>
      <c r="L692" t="s">
        <v>44</v>
      </c>
      <c r="M692">
        <v>3.6</v>
      </c>
      <c r="N692" t="s">
        <v>44</v>
      </c>
      <c r="O692" t="s">
        <v>46</v>
      </c>
      <c r="P692">
        <v>4</v>
      </c>
      <c r="Q692" t="s">
        <v>62</v>
      </c>
      <c r="R692" t="s">
        <v>63</v>
      </c>
      <c r="S692" t="s">
        <v>85</v>
      </c>
      <c r="T692">
        <v>276</v>
      </c>
      <c r="U692" t="s">
        <v>50</v>
      </c>
      <c r="X692" t="s">
        <v>94</v>
      </c>
      <c r="Y692" t="s">
        <v>78</v>
      </c>
      <c r="Z692">
        <v>48395</v>
      </c>
      <c r="AA692">
        <v>0</v>
      </c>
      <c r="AB692" t="s">
        <v>79</v>
      </c>
      <c r="AC692" t="s">
        <v>109</v>
      </c>
      <c r="AD692">
        <v>36</v>
      </c>
      <c r="AE692">
        <v>9</v>
      </c>
      <c r="AF692">
        <v>3</v>
      </c>
      <c r="AG692">
        <v>2025</v>
      </c>
      <c r="AH692" s="2">
        <v>17500</v>
      </c>
      <c r="AI692" s="2">
        <v>15342.3623046875</v>
      </c>
      <c r="AJ692" s="2">
        <f t="shared" si="80"/>
        <v>2157.6376953125</v>
      </c>
      <c r="AK692" s="6">
        <f t="shared" si="81"/>
        <v>0.12329358258928572</v>
      </c>
      <c r="AL692" s="12">
        <v>17500</v>
      </c>
      <c r="AM692" s="12">
        <v>17525.89458869406</v>
      </c>
      <c r="AN692" s="12">
        <f t="shared" si="82"/>
        <v>25.894588694060076</v>
      </c>
      <c r="AO692" s="13">
        <f t="shared" si="83"/>
        <v>1.4796907825177187E-3</v>
      </c>
      <c r="AP692" s="16">
        <v>17500</v>
      </c>
      <c r="AQ692" s="16">
        <v>23012.49960847116</v>
      </c>
      <c r="AR692" s="16">
        <f t="shared" si="84"/>
        <v>5512.4996084711602</v>
      </c>
      <c r="AS692" s="17">
        <f t="shared" si="85"/>
        <v>0.31499997762692344</v>
      </c>
      <c r="AT692" s="20">
        <v>17500</v>
      </c>
      <c r="AU692" s="20">
        <v>15816.5703125</v>
      </c>
      <c r="AV692" s="20">
        <f t="shared" si="86"/>
        <v>1683.4296875</v>
      </c>
      <c r="AW692" s="21">
        <f t="shared" si="87"/>
        <v>9.6195982142857142E-2</v>
      </c>
    </row>
    <row r="693" spans="1:49" x14ac:dyDescent="0.25">
      <c r="A693" t="s">
        <v>38</v>
      </c>
      <c r="B693" t="s">
        <v>110</v>
      </c>
      <c r="C693">
        <v>123751</v>
      </c>
      <c r="D693">
        <v>2019</v>
      </c>
      <c r="E693" t="s">
        <v>213</v>
      </c>
      <c r="F693" t="s">
        <v>974</v>
      </c>
      <c r="H693" t="s">
        <v>272</v>
      </c>
      <c r="I693">
        <v>8</v>
      </c>
      <c r="J693" t="s">
        <v>61</v>
      </c>
      <c r="K693">
        <v>4</v>
      </c>
      <c r="L693" t="s">
        <v>44</v>
      </c>
      <c r="M693">
        <v>5.6</v>
      </c>
      <c r="N693" t="s">
        <v>73</v>
      </c>
      <c r="O693" t="s">
        <v>46</v>
      </c>
      <c r="P693">
        <v>3</v>
      </c>
      <c r="Q693" t="s">
        <v>62</v>
      </c>
      <c r="R693" t="s">
        <v>63</v>
      </c>
      <c r="S693" t="s">
        <v>49</v>
      </c>
      <c r="U693" t="s">
        <v>50</v>
      </c>
      <c r="X693" t="s">
        <v>108</v>
      </c>
      <c r="Y693" t="s">
        <v>54</v>
      </c>
      <c r="AA693">
        <v>0</v>
      </c>
      <c r="AB693" t="s">
        <v>79</v>
      </c>
      <c r="AC693" t="s">
        <v>87</v>
      </c>
      <c r="AD693">
        <v>36</v>
      </c>
      <c r="AE693">
        <v>9</v>
      </c>
      <c r="AF693">
        <v>3</v>
      </c>
      <c r="AG693">
        <v>2025</v>
      </c>
      <c r="AH693" s="2">
        <v>13500</v>
      </c>
      <c r="AI693" s="2">
        <v>14110.921875</v>
      </c>
      <c r="AJ693" s="2">
        <f t="shared" si="80"/>
        <v>610.921875</v>
      </c>
      <c r="AK693" s="6">
        <f t="shared" si="81"/>
        <v>4.5253472222222223E-2</v>
      </c>
      <c r="AL693" s="12">
        <v>13500</v>
      </c>
      <c r="AM693" s="12">
        <v>13706.011002388001</v>
      </c>
      <c r="AN693" s="12">
        <f t="shared" si="82"/>
        <v>206.01100238800063</v>
      </c>
      <c r="AO693" s="13">
        <f t="shared" si="83"/>
        <v>1.5260074250963009E-2</v>
      </c>
      <c r="AP693" s="16">
        <v>13500</v>
      </c>
      <c r="AQ693" s="16">
        <v>12231.55889822175</v>
      </c>
      <c r="AR693" s="16">
        <f t="shared" si="84"/>
        <v>1268.4411017782495</v>
      </c>
      <c r="AS693" s="17">
        <f t="shared" si="85"/>
        <v>9.3958600131722192E-2</v>
      </c>
      <c r="AT693" s="20">
        <v>13500</v>
      </c>
      <c r="AU693" s="20">
        <v>13985.673828125</v>
      </c>
      <c r="AV693" s="20">
        <f t="shared" si="86"/>
        <v>485.673828125</v>
      </c>
      <c r="AW693" s="21">
        <f t="shared" si="87"/>
        <v>3.5975839120370369E-2</v>
      </c>
    </row>
    <row r="694" spans="1:49" x14ac:dyDescent="0.25">
      <c r="A694" t="s">
        <v>38</v>
      </c>
      <c r="B694" t="s">
        <v>110</v>
      </c>
      <c r="C694">
        <v>99606</v>
      </c>
      <c r="D694">
        <v>2019</v>
      </c>
      <c r="E694" t="s">
        <v>162</v>
      </c>
      <c r="F694" t="s">
        <v>674</v>
      </c>
      <c r="G694" t="s">
        <v>224</v>
      </c>
      <c r="I694">
        <v>4</v>
      </c>
      <c r="J694" t="s">
        <v>72</v>
      </c>
      <c r="K694">
        <v>4</v>
      </c>
      <c r="L694" t="s">
        <v>44</v>
      </c>
      <c r="M694">
        <v>2</v>
      </c>
      <c r="N694" t="s">
        <v>45</v>
      </c>
      <c r="O694" t="s">
        <v>46</v>
      </c>
      <c r="P694">
        <v>3</v>
      </c>
      <c r="Q694" t="s">
        <v>62</v>
      </c>
      <c r="R694" t="s">
        <v>63</v>
      </c>
      <c r="S694" t="s">
        <v>49</v>
      </c>
      <c r="T694">
        <v>164</v>
      </c>
      <c r="U694" t="s">
        <v>50</v>
      </c>
      <c r="W694" t="s">
        <v>729</v>
      </c>
      <c r="X694" t="s">
        <v>65</v>
      </c>
      <c r="Y694" t="s">
        <v>66</v>
      </c>
      <c r="AA694">
        <v>0</v>
      </c>
      <c r="AB694" t="s">
        <v>79</v>
      </c>
      <c r="AC694" t="s">
        <v>87</v>
      </c>
      <c r="AD694">
        <v>36</v>
      </c>
      <c r="AE694">
        <v>9</v>
      </c>
      <c r="AF694">
        <v>3</v>
      </c>
      <c r="AG694">
        <v>2025</v>
      </c>
      <c r="AH694" s="2">
        <v>8500</v>
      </c>
      <c r="AI694" s="2">
        <v>7532.74755859375</v>
      </c>
      <c r="AJ694" s="2">
        <f t="shared" si="80"/>
        <v>967.25244140625</v>
      </c>
      <c r="AK694" s="6">
        <f t="shared" si="81"/>
        <v>0.11379440487132353</v>
      </c>
      <c r="AL694" s="12">
        <v>8500</v>
      </c>
      <c r="AM694" s="12">
        <v>7463.8464234527737</v>
      </c>
      <c r="AN694" s="12">
        <f t="shared" si="82"/>
        <v>1036.1535765472263</v>
      </c>
      <c r="AO694" s="13">
        <f t="shared" si="83"/>
        <v>0.12190042077026192</v>
      </c>
      <c r="AP694" s="16">
        <v>8500</v>
      </c>
      <c r="AQ694" s="16">
        <v>6224.315264107654</v>
      </c>
      <c r="AR694" s="16">
        <f t="shared" si="84"/>
        <v>2275.684735892346</v>
      </c>
      <c r="AS694" s="17">
        <f t="shared" si="85"/>
        <v>0.2677276159873348</v>
      </c>
      <c r="AT694" s="20">
        <v>8500</v>
      </c>
      <c r="AU694" s="20">
        <v>7613.69873046875</v>
      </c>
      <c r="AV694" s="20">
        <f t="shared" si="86"/>
        <v>886.30126953125</v>
      </c>
      <c r="AW694" s="21">
        <f t="shared" si="87"/>
        <v>0.10427073759191176</v>
      </c>
    </row>
    <row r="695" spans="1:49" x14ac:dyDescent="0.25">
      <c r="A695" t="s">
        <v>38</v>
      </c>
      <c r="B695" t="s">
        <v>39</v>
      </c>
      <c r="C695">
        <v>252731</v>
      </c>
      <c r="D695">
        <v>2012</v>
      </c>
      <c r="E695" t="s">
        <v>116</v>
      </c>
      <c r="F695" t="s">
        <v>697</v>
      </c>
      <c r="G695" t="s">
        <v>917</v>
      </c>
      <c r="I695">
        <v>8</v>
      </c>
      <c r="J695" t="s">
        <v>72</v>
      </c>
      <c r="K695">
        <v>4</v>
      </c>
      <c r="L695" t="s">
        <v>44</v>
      </c>
      <c r="M695">
        <v>5.7</v>
      </c>
      <c r="N695" t="s">
        <v>73</v>
      </c>
      <c r="O695" t="s">
        <v>46</v>
      </c>
      <c r="Q695" t="s">
        <v>74</v>
      </c>
      <c r="R695" t="s">
        <v>92</v>
      </c>
      <c r="S695" t="s">
        <v>49</v>
      </c>
      <c r="U695" t="s">
        <v>50</v>
      </c>
      <c r="X695" t="s">
        <v>94</v>
      </c>
      <c r="Y695" t="s">
        <v>78</v>
      </c>
      <c r="AA695">
        <v>0</v>
      </c>
      <c r="AB695" t="s">
        <v>79</v>
      </c>
      <c r="AC695" t="s">
        <v>95</v>
      </c>
      <c r="AD695">
        <v>36</v>
      </c>
      <c r="AE695">
        <v>9</v>
      </c>
      <c r="AF695">
        <v>3</v>
      </c>
      <c r="AG695">
        <v>2025</v>
      </c>
      <c r="AH695" s="2">
        <v>3000</v>
      </c>
      <c r="AI695" s="2">
        <v>3543.863525390625</v>
      </c>
      <c r="AJ695" s="2">
        <f t="shared" si="80"/>
        <v>543.863525390625</v>
      </c>
      <c r="AK695" s="6">
        <f t="shared" si="81"/>
        <v>0.18128784179687499</v>
      </c>
      <c r="AL695" s="12">
        <v>3000</v>
      </c>
      <c r="AM695" s="12">
        <v>3139.067157572395</v>
      </c>
      <c r="AN695" s="12">
        <f t="shared" si="82"/>
        <v>139.06715757239499</v>
      </c>
      <c r="AO695" s="13">
        <f t="shared" si="83"/>
        <v>4.6355719190798332E-2</v>
      </c>
      <c r="AP695" s="16">
        <v>3000</v>
      </c>
      <c r="AQ695" s="16">
        <v>2899.7308163533062</v>
      </c>
      <c r="AR695" s="16">
        <f t="shared" si="84"/>
        <v>100.26918364669382</v>
      </c>
      <c r="AS695" s="17">
        <f t="shared" si="85"/>
        <v>3.3423061215564605E-2</v>
      </c>
      <c r="AT695" s="20">
        <v>3000</v>
      </c>
      <c r="AU695" s="20">
        <v>3573.677001953125</v>
      </c>
      <c r="AV695" s="20">
        <f t="shared" si="86"/>
        <v>573.677001953125</v>
      </c>
      <c r="AW695" s="21">
        <f t="shared" si="87"/>
        <v>0.19122566731770832</v>
      </c>
    </row>
    <row r="696" spans="1:49" x14ac:dyDescent="0.25">
      <c r="A696" t="s">
        <v>38</v>
      </c>
      <c r="B696" t="s">
        <v>96</v>
      </c>
      <c r="C696">
        <v>93359</v>
      </c>
      <c r="D696">
        <v>2012</v>
      </c>
      <c r="E696" t="s">
        <v>174</v>
      </c>
      <c r="F696" t="s">
        <v>254</v>
      </c>
      <c r="H696" t="s">
        <v>975</v>
      </c>
      <c r="I696">
        <v>4</v>
      </c>
      <c r="J696" t="s">
        <v>106</v>
      </c>
      <c r="K696">
        <v>4</v>
      </c>
      <c r="L696" t="s">
        <v>44</v>
      </c>
      <c r="M696">
        <v>2.4</v>
      </c>
      <c r="N696" t="s">
        <v>45</v>
      </c>
      <c r="O696" t="s">
        <v>46</v>
      </c>
      <c r="P696">
        <v>3</v>
      </c>
      <c r="Q696" t="s">
        <v>62</v>
      </c>
      <c r="R696" t="s">
        <v>63</v>
      </c>
      <c r="S696" t="s">
        <v>85</v>
      </c>
      <c r="U696" t="s">
        <v>50</v>
      </c>
      <c r="W696" t="s">
        <v>479</v>
      </c>
      <c r="X696" t="s">
        <v>65</v>
      </c>
      <c r="Y696" t="s">
        <v>103</v>
      </c>
      <c r="AA696">
        <v>0</v>
      </c>
      <c r="AB696" t="s">
        <v>79</v>
      </c>
      <c r="AC696" t="s">
        <v>87</v>
      </c>
      <c r="AD696">
        <v>36</v>
      </c>
      <c r="AE696">
        <v>9</v>
      </c>
      <c r="AF696">
        <v>3</v>
      </c>
      <c r="AG696">
        <v>2025</v>
      </c>
      <c r="AH696" s="2">
        <v>3800</v>
      </c>
      <c r="AI696" s="2">
        <v>4091.985595703125</v>
      </c>
      <c r="AJ696" s="2">
        <f t="shared" si="80"/>
        <v>291.985595703125</v>
      </c>
      <c r="AK696" s="6">
        <f t="shared" si="81"/>
        <v>7.68383146587171E-2</v>
      </c>
      <c r="AL696" s="12">
        <v>3800</v>
      </c>
      <c r="AM696" s="12">
        <v>3873.272721245823</v>
      </c>
      <c r="AN696" s="12">
        <f t="shared" si="82"/>
        <v>73.27272124582305</v>
      </c>
      <c r="AO696" s="13">
        <f t="shared" si="83"/>
        <v>1.9282295064690275E-2</v>
      </c>
      <c r="AP696" s="16">
        <v>3800</v>
      </c>
      <c r="AQ696" s="16">
        <v>3344.2411456568921</v>
      </c>
      <c r="AR696" s="16">
        <f t="shared" si="84"/>
        <v>455.75885434310794</v>
      </c>
      <c r="AS696" s="17">
        <f t="shared" si="85"/>
        <v>0.11993654061660736</v>
      </c>
      <c r="AT696" s="20">
        <v>3800</v>
      </c>
      <c r="AU696" s="20">
        <v>4142.12451171875</v>
      </c>
      <c r="AV696" s="20">
        <f t="shared" si="86"/>
        <v>342.12451171875</v>
      </c>
      <c r="AW696" s="21">
        <f t="shared" si="87"/>
        <v>9.0032766241776321E-2</v>
      </c>
    </row>
    <row r="697" spans="1:49" x14ac:dyDescent="0.25">
      <c r="A697" t="s">
        <v>81</v>
      </c>
      <c r="B697" t="s">
        <v>170</v>
      </c>
      <c r="C697">
        <v>44889</v>
      </c>
      <c r="D697">
        <v>2021</v>
      </c>
      <c r="E697" t="s">
        <v>97</v>
      </c>
      <c r="F697" t="s">
        <v>154</v>
      </c>
      <c r="G697" t="s">
        <v>155</v>
      </c>
      <c r="I697">
        <v>4</v>
      </c>
      <c r="J697" t="s">
        <v>72</v>
      </c>
      <c r="K697">
        <v>2</v>
      </c>
      <c r="L697" t="s">
        <v>44</v>
      </c>
      <c r="M697">
        <v>2.5</v>
      </c>
      <c r="N697" t="s">
        <v>73</v>
      </c>
      <c r="O697" t="s">
        <v>46</v>
      </c>
      <c r="P697">
        <v>2</v>
      </c>
      <c r="Q697" t="s">
        <v>74</v>
      </c>
      <c r="R697" t="s">
        <v>92</v>
      </c>
      <c r="S697" t="s">
        <v>49</v>
      </c>
      <c r="U697" t="s">
        <v>50</v>
      </c>
      <c r="V697" t="s">
        <v>51</v>
      </c>
      <c r="W697" t="s">
        <v>976</v>
      </c>
      <c r="X697" t="s">
        <v>141</v>
      </c>
      <c r="Y697" t="s">
        <v>78</v>
      </c>
      <c r="AA697">
        <v>0</v>
      </c>
      <c r="AB697" t="s">
        <v>79</v>
      </c>
      <c r="AC697" t="s">
        <v>95</v>
      </c>
      <c r="AD697">
        <v>36</v>
      </c>
      <c r="AE697">
        <v>9</v>
      </c>
      <c r="AF697">
        <v>3</v>
      </c>
      <c r="AG697">
        <v>2025</v>
      </c>
      <c r="AH697" s="2">
        <v>10200</v>
      </c>
      <c r="AI697" s="2">
        <v>15071.7626953125</v>
      </c>
      <c r="AJ697" s="2">
        <f t="shared" si="80"/>
        <v>4871.7626953125</v>
      </c>
      <c r="AK697" s="6">
        <f t="shared" si="81"/>
        <v>0.47762379365808821</v>
      </c>
      <c r="AL697" s="12">
        <v>10200</v>
      </c>
      <c r="AM697" s="12">
        <v>14192.40969397942</v>
      </c>
      <c r="AN697" s="12">
        <f t="shared" si="82"/>
        <v>3992.4096939794199</v>
      </c>
      <c r="AO697" s="13">
        <f t="shared" si="83"/>
        <v>0.39141271509602155</v>
      </c>
      <c r="AP697" s="16">
        <v>10200</v>
      </c>
      <c r="AQ697" s="16">
        <v>13041.141155488969</v>
      </c>
      <c r="AR697" s="16">
        <f t="shared" si="84"/>
        <v>2841.1411554889692</v>
      </c>
      <c r="AS697" s="17">
        <f t="shared" si="85"/>
        <v>0.27854325053813422</v>
      </c>
      <c r="AT697" s="20">
        <v>10200</v>
      </c>
      <c r="AU697" s="20">
        <v>14679.3759765625</v>
      </c>
      <c r="AV697" s="20">
        <f t="shared" si="86"/>
        <v>4479.3759765625</v>
      </c>
      <c r="AW697" s="21">
        <f t="shared" si="87"/>
        <v>0.43915450750612745</v>
      </c>
    </row>
    <row r="698" spans="1:49" x14ac:dyDescent="0.25">
      <c r="A698" t="s">
        <v>114</v>
      </c>
      <c r="B698" t="s">
        <v>340</v>
      </c>
      <c r="C698">
        <v>219794</v>
      </c>
      <c r="D698">
        <v>2010</v>
      </c>
      <c r="E698" t="s">
        <v>166</v>
      </c>
      <c r="F698" t="s">
        <v>562</v>
      </c>
      <c r="G698" t="s">
        <v>248</v>
      </c>
      <c r="I698">
        <v>4</v>
      </c>
      <c r="J698" t="s">
        <v>43</v>
      </c>
      <c r="K698">
        <v>4</v>
      </c>
      <c r="L698" t="s">
        <v>44</v>
      </c>
      <c r="M698">
        <v>2.4</v>
      </c>
      <c r="N698" t="s">
        <v>45</v>
      </c>
      <c r="O698" t="s">
        <v>46</v>
      </c>
      <c r="P698">
        <v>3</v>
      </c>
      <c r="Q698" t="s">
        <v>47</v>
      </c>
      <c r="R698" t="s">
        <v>123</v>
      </c>
      <c r="T698">
        <v>190</v>
      </c>
      <c r="U698" t="s">
        <v>50</v>
      </c>
      <c r="V698" t="s">
        <v>51</v>
      </c>
      <c r="W698" t="s">
        <v>766</v>
      </c>
      <c r="X698" t="s">
        <v>65</v>
      </c>
      <c r="Y698" t="s">
        <v>78</v>
      </c>
      <c r="AA698">
        <v>0</v>
      </c>
      <c r="AB698" t="s">
        <v>79</v>
      </c>
      <c r="AC698" t="s">
        <v>127</v>
      </c>
      <c r="AD698">
        <v>36</v>
      </c>
      <c r="AE698">
        <v>9</v>
      </c>
      <c r="AF698">
        <v>3</v>
      </c>
      <c r="AG698">
        <v>2025</v>
      </c>
      <c r="AH698" s="2">
        <v>1500</v>
      </c>
      <c r="AI698" s="2">
        <v>1545.561889648438</v>
      </c>
      <c r="AJ698" s="2">
        <f t="shared" si="80"/>
        <v>45.561889648437955</v>
      </c>
      <c r="AK698" s="6">
        <f t="shared" si="81"/>
        <v>3.0374593098958635E-2</v>
      </c>
      <c r="AL698" s="12">
        <v>1500</v>
      </c>
      <c r="AM698" s="12">
        <v>1708.738894271349</v>
      </c>
      <c r="AN698" s="12">
        <f t="shared" si="82"/>
        <v>208.73889427134895</v>
      </c>
      <c r="AO698" s="13">
        <f t="shared" si="83"/>
        <v>0.13915926284756597</v>
      </c>
      <c r="AP698" s="16">
        <v>1500</v>
      </c>
      <c r="AQ698" s="16">
        <v>1362.5447908355191</v>
      </c>
      <c r="AR698" s="16">
        <f t="shared" si="84"/>
        <v>137.45520916448095</v>
      </c>
      <c r="AS698" s="17">
        <f t="shared" si="85"/>
        <v>9.1636806109653968E-2</v>
      </c>
      <c r="AT698" s="20">
        <v>1500</v>
      </c>
      <c r="AU698" s="20">
        <v>1557.346801757812</v>
      </c>
      <c r="AV698" s="20">
        <f t="shared" si="86"/>
        <v>57.346801757812045</v>
      </c>
      <c r="AW698" s="21">
        <f t="shared" si="87"/>
        <v>3.8231201171874694E-2</v>
      </c>
    </row>
    <row r="699" spans="1:49" x14ac:dyDescent="0.25">
      <c r="A699" t="s">
        <v>128</v>
      </c>
      <c r="B699" t="s">
        <v>309</v>
      </c>
      <c r="C699">
        <v>77649</v>
      </c>
      <c r="D699">
        <v>2018</v>
      </c>
      <c r="E699" t="s">
        <v>399</v>
      </c>
      <c r="F699" t="s">
        <v>492</v>
      </c>
      <c r="G699" t="s">
        <v>977</v>
      </c>
      <c r="I699">
        <v>4</v>
      </c>
      <c r="J699" t="s">
        <v>135</v>
      </c>
      <c r="K699">
        <v>4</v>
      </c>
      <c r="L699" t="s">
        <v>44</v>
      </c>
      <c r="M699">
        <v>2.5</v>
      </c>
      <c r="N699" t="s">
        <v>44</v>
      </c>
      <c r="O699" t="s">
        <v>46</v>
      </c>
      <c r="Q699" t="s">
        <v>62</v>
      </c>
      <c r="R699" t="s">
        <v>63</v>
      </c>
      <c r="S699" t="s">
        <v>85</v>
      </c>
      <c r="T699">
        <v>170</v>
      </c>
      <c r="U699" t="s">
        <v>50</v>
      </c>
      <c r="W699" t="s">
        <v>978</v>
      </c>
      <c r="X699" t="s">
        <v>65</v>
      </c>
      <c r="Y699" t="s">
        <v>54</v>
      </c>
      <c r="Z699">
        <v>29395</v>
      </c>
      <c r="AA699">
        <v>0</v>
      </c>
      <c r="AB699" t="s">
        <v>79</v>
      </c>
      <c r="AC699" t="s">
        <v>87</v>
      </c>
      <c r="AD699">
        <v>36</v>
      </c>
      <c r="AE699">
        <v>9</v>
      </c>
      <c r="AF699">
        <v>3</v>
      </c>
      <c r="AG699">
        <v>2025</v>
      </c>
      <c r="AH699" s="2">
        <v>15200</v>
      </c>
      <c r="AI699" s="2">
        <v>8532.1591796875</v>
      </c>
      <c r="AJ699" s="2">
        <f t="shared" si="80"/>
        <v>6667.8408203125</v>
      </c>
      <c r="AK699" s="6">
        <f t="shared" si="81"/>
        <v>0.43867373817845395</v>
      </c>
      <c r="AL699" s="12">
        <v>15200</v>
      </c>
      <c r="AM699" s="12">
        <v>9267.5590055265311</v>
      </c>
      <c r="AN699" s="12">
        <f t="shared" si="82"/>
        <v>5932.4409944734689</v>
      </c>
      <c r="AO699" s="13">
        <f t="shared" si="83"/>
        <v>0.39029217068904398</v>
      </c>
      <c r="AP699" s="16">
        <v>15200</v>
      </c>
      <c r="AQ699" s="16">
        <v>11625.485816212729</v>
      </c>
      <c r="AR699" s="16">
        <f t="shared" si="84"/>
        <v>3574.5141837872707</v>
      </c>
      <c r="AS699" s="17">
        <f t="shared" si="85"/>
        <v>0.23516540682810991</v>
      </c>
      <c r="AT699" s="20">
        <v>15200</v>
      </c>
      <c r="AU699" s="20">
        <v>8809.2041015625</v>
      </c>
      <c r="AV699" s="20">
        <f t="shared" si="86"/>
        <v>6390.7958984375</v>
      </c>
      <c r="AW699" s="21">
        <f t="shared" si="87"/>
        <v>0.42044709858141449</v>
      </c>
    </row>
    <row r="700" spans="1:49" x14ac:dyDescent="0.25">
      <c r="A700" t="s">
        <v>38</v>
      </c>
      <c r="B700" t="s">
        <v>68</v>
      </c>
      <c r="C700">
        <v>117833</v>
      </c>
      <c r="D700">
        <v>2020</v>
      </c>
      <c r="E700" t="s">
        <v>174</v>
      </c>
      <c r="F700" t="s">
        <v>314</v>
      </c>
      <c r="G700" t="s">
        <v>176</v>
      </c>
      <c r="H700" t="s">
        <v>89</v>
      </c>
      <c r="I700">
        <v>8</v>
      </c>
      <c r="J700" t="s">
        <v>135</v>
      </c>
      <c r="K700">
        <v>4</v>
      </c>
      <c r="L700" t="s">
        <v>44</v>
      </c>
      <c r="M700">
        <v>5.3</v>
      </c>
      <c r="N700" t="s">
        <v>73</v>
      </c>
      <c r="O700" t="s">
        <v>46</v>
      </c>
      <c r="P700">
        <v>4</v>
      </c>
      <c r="Q700" t="s">
        <v>74</v>
      </c>
      <c r="R700" t="s">
        <v>92</v>
      </c>
      <c r="S700" t="s">
        <v>49</v>
      </c>
      <c r="U700" t="s">
        <v>50</v>
      </c>
      <c r="W700" t="s">
        <v>577</v>
      </c>
      <c r="X700" t="s">
        <v>94</v>
      </c>
      <c r="Y700" t="s">
        <v>126</v>
      </c>
      <c r="AA700">
        <v>0</v>
      </c>
      <c r="AB700" t="s">
        <v>79</v>
      </c>
      <c r="AC700" t="s">
        <v>95</v>
      </c>
      <c r="AD700">
        <v>36</v>
      </c>
      <c r="AE700">
        <v>9</v>
      </c>
      <c r="AF700">
        <v>3</v>
      </c>
      <c r="AG700">
        <v>2025</v>
      </c>
      <c r="AH700" s="2">
        <v>21500</v>
      </c>
      <c r="AI700" s="2">
        <v>24419.44921875</v>
      </c>
      <c r="AJ700" s="2">
        <f t="shared" si="80"/>
        <v>2919.44921875</v>
      </c>
      <c r="AK700" s="6">
        <f t="shared" si="81"/>
        <v>0.13578833575581395</v>
      </c>
      <c r="AL700" s="12">
        <v>21500</v>
      </c>
      <c r="AM700" s="12">
        <v>21067.775987712379</v>
      </c>
      <c r="AN700" s="12">
        <f t="shared" si="82"/>
        <v>432.22401228762101</v>
      </c>
      <c r="AO700" s="13">
        <f t="shared" si="83"/>
        <v>2.0103442431982373E-2</v>
      </c>
      <c r="AP700" s="16">
        <v>21500</v>
      </c>
      <c r="AQ700" s="16">
        <v>20194.460938417109</v>
      </c>
      <c r="AR700" s="16">
        <f t="shared" si="84"/>
        <v>1305.539061582891</v>
      </c>
      <c r="AS700" s="17">
        <f t="shared" si="85"/>
        <v>6.0722747050367024E-2</v>
      </c>
      <c r="AT700" s="20">
        <v>21500</v>
      </c>
      <c r="AU700" s="20">
        <v>23804.70703125</v>
      </c>
      <c r="AV700" s="20">
        <f t="shared" si="86"/>
        <v>2304.70703125</v>
      </c>
      <c r="AW700" s="21">
        <f t="shared" si="87"/>
        <v>0.10719567587209303</v>
      </c>
    </row>
    <row r="701" spans="1:49" x14ac:dyDescent="0.25">
      <c r="A701" t="s">
        <v>128</v>
      </c>
      <c r="B701" t="s">
        <v>210</v>
      </c>
      <c r="C701">
        <v>48687</v>
      </c>
      <c r="D701">
        <v>2015</v>
      </c>
      <c r="E701" t="s">
        <v>979</v>
      </c>
      <c r="F701" t="s">
        <v>980</v>
      </c>
      <c r="H701" t="s">
        <v>981</v>
      </c>
      <c r="I701">
        <v>6</v>
      </c>
      <c r="J701" t="s">
        <v>72</v>
      </c>
      <c r="K701">
        <v>4</v>
      </c>
      <c r="L701" t="s">
        <v>44</v>
      </c>
      <c r="M701">
        <v>3</v>
      </c>
      <c r="N701" t="s">
        <v>44</v>
      </c>
      <c r="O701" t="s">
        <v>46</v>
      </c>
      <c r="Q701" t="s">
        <v>47</v>
      </c>
      <c r="R701" t="s">
        <v>123</v>
      </c>
      <c r="S701" t="s">
        <v>85</v>
      </c>
      <c r="T701">
        <v>404</v>
      </c>
      <c r="U701" t="s">
        <v>50</v>
      </c>
      <c r="V701" t="s">
        <v>76</v>
      </c>
      <c r="W701" t="s">
        <v>982</v>
      </c>
      <c r="X701" t="s">
        <v>125</v>
      </c>
      <c r="Y701" t="s">
        <v>632</v>
      </c>
      <c r="AA701">
        <v>0</v>
      </c>
      <c r="AB701" t="s">
        <v>79</v>
      </c>
      <c r="AC701" t="s">
        <v>127</v>
      </c>
      <c r="AD701">
        <v>36</v>
      </c>
      <c r="AE701">
        <v>9</v>
      </c>
      <c r="AF701">
        <v>3</v>
      </c>
      <c r="AG701">
        <v>2025</v>
      </c>
      <c r="AH701" s="2">
        <v>14000</v>
      </c>
      <c r="AI701" s="2">
        <v>18475.0078125</v>
      </c>
      <c r="AJ701" s="2">
        <f t="shared" si="80"/>
        <v>4475.0078125</v>
      </c>
      <c r="AK701" s="6">
        <f t="shared" si="81"/>
        <v>0.31964341517857142</v>
      </c>
      <c r="AL701" s="12">
        <v>14000</v>
      </c>
      <c r="AM701" s="12">
        <v>15852.13424840697</v>
      </c>
      <c r="AN701" s="12">
        <f t="shared" si="82"/>
        <v>1852.1342484069701</v>
      </c>
      <c r="AO701" s="13">
        <f t="shared" si="83"/>
        <v>0.13229530345764071</v>
      </c>
      <c r="AP701" s="16">
        <v>14000</v>
      </c>
      <c r="AQ701" s="16">
        <v>16096.021564068031</v>
      </c>
      <c r="AR701" s="16">
        <f t="shared" si="84"/>
        <v>2096.0215640680308</v>
      </c>
      <c r="AS701" s="17">
        <f t="shared" si="85"/>
        <v>0.14971582600485933</v>
      </c>
      <c r="AT701" s="20">
        <v>14000</v>
      </c>
      <c r="AU701" s="20">
        <v>17916.998046875</v>
      </c>
      <c r="AV701" s="20">
        <f t="shared" si="86"/>
        <v>3916.998046875</v>
      </c>
      <c r="AW701" s="21">
        <f t="shared" si="87"/>
        <v>0.27978557477678573</v>
      </c>
    </row>
    <row r="702" spans="1:49" x14ac:dyDescent="0.25">
      <c r="A702" t="s">
        <v>38</v>
      </c>
      <c r="B702" t="s">
        <v>57</v>
      </c>
      <c r="C702">
        <v>85313</v>
      </c>
      <c r="D702">
        <v>2019</v>
      </c>
      <c r="E702" t="s">
        <v>116</v>
      </c>
      <c r="F702" t="s">
        <v>117</v>
      </c>
      <c r="G702" t="s">
        <v>238</v>
      </c>
      <c r="I702">
        <v>6</v>
      </c>
      <c r="J702" t="s">
        <v>72</v>
      </c>
      <c r="K702">
        <v>4</v>
      </c>
      <c r="L702" t="s">
        <v>44</v>
      </c>
      <c r="M702">
        <v>3.6</v>
      </c>
      <c r="N702" t="s">
        <v>44</v>
      </c>
      <c r="O702" t="s">
        <v>46</v>
      </c>
      <c r="P702">
        <v>3</v>
      </c>
      <c r="Q702" t="s">
        <v>62</v>
      </c>
      <c r="R702" t="s">
        <v>63</v>
      </c>
      <c r="S702" t="s">
        <v>85</v>
      </c>
      <c r="T702">
        <v>295</v>
      </c>
      <c r="U702" t="s">
        <v>50</v>
      </c>
      <c r="V702" t="s">
        <v>76</v>
      </c>
      <c r="X702" t="s">
        <v>94</v>
      </c>
      <c r="Y702" t="s">
        <v>78</v>
      </c>
      <c r="AA702">
        <v>0</v>
      </c>
      <c r="AB702" t="s">
        <v>79</v>
      </c>
      <c r="AC702" t="s">
        <v>87</v>
      </c>
      <c r="AD702">
        <v>36</v>
      </c>
      <c r="AE702">
        <v>9</v>
      </c>
      <c r="AF702">
        <v>3</v>
      </c>
      <c r="AG702">
        <v>2025</v>
      </c>
      <c r="AH702" s="2">
        <v>18300</v>
      </c>
      <c r="AI702" s="2">
        <v>14594.59765625</v>
      </c>
      <c r="AJ702" s="2">
        <f t="shared" si="80"/>
        <v>3705.40234375</v>
      </c>
      <c r="AK702" s="6">
        <f t="shared" si="81"/>
        <v>0.20248100239071037</v>
      </c>
      <c r="AL702" s="12">
        <v>18300</v>
      </c>
      <c r="AM702" s="12">
        <v>15852.561897626951</v>
      </c>
      <c r="AN702" s="12">
        <f t="shared" si="82"/>
        <v>2447.4381023730493</v>
      </c>
      <c r="AO702" s="13">
        <f t="shared" si="83"/>
        <v>0.13373978701492073</v>
      </c>
      <c r="AP702" s="16">
        <v>18300</v>
      </c>
      <c r="AQ702" s="16">
        <v>13710.016546710091</v>
      </c>
      <c r="AR702" s="16">
        <f t="shared" si="84"/>
        <v>4589.9834532899094</v>
      </c>
      <c r="AS702" s="17">
        <f t="shared" si="85"/>
        <v>0.25081876793933933</v>
      </c>
      <c r="AT702" s="20">
        <v>18300</v>
      </c>
      <c r="AU702" s="20">
        <v>14767.462890625</v>
      </c>
      <c r="AV702" s="20">
        <f t="shared" si="86"/>
        <v>3532.537109375</v>
      </c>
      <c r="AW702" s="21">
        <f t="shared" si="87"/>
        <v>0.19303481471994535</v>
      </c>
    </row>
    <row r="703" spans="1:49" x14ac:dyDescent="0.25">
      <c r="A703" t="s">
        <v>38</v>
      </c>
      <c r="B703" t="s">
        <v>110</v>
      </c>
      <c r="C703">
        <v>36864</v>
      </c>
      <c r="D703">
        <v>2024</v>
      </c>
      <c r="E703" t="s">
        <v>166</v>
      </c>
      <c r="F703" t="s">
        <v>562</v>
      </c>
      <c r="G703" t="s">
        <v>983</v>
      </c>
      <c r="I703">
        <v>4</v>
      </c>
      <c r="J703" t="s">
        <v>61</v>
      </c>
      <c r="K703">
        <v>4</v>
      </c>
      <c r="L703" t="s">
        <v>44</v>
      </c>
      <c r="M703">
        <v>1.5</v>
      </c>
      <c r="N703" t="s">
        <v>45</v>
      </c>
      <c r="Q703" t="s">
        <v>47</v>
      </c>
      <c r="R703" t="s">
        <v>123</v>
      </c>
      <c r="S703" t="s">
        <v>49</v>
      </c>
      <c r="T703">
        <v>192</v>
      </c>
      <c r="U703" t="s">
        <v>50</v>
      </c>
      <c r="V703" t="s">
        <v>51</v>
      </c>
      <c r="W703" t="s">
        <v>249</v>
      </c>
      <c r="X703" t="s">
        <v>65</v>
      </c>
      <c r="Y703" t="s">
        <v>78</v>
      </c>
      <c r="AA703">
        <v>0</v>
      </c>
      <c r="AB703" t="s">
        <v>79</v>
      </c>
      <c r="AC703" t="s">
        <v>127</v>
      </c>
      <c r="AD703">
        <v>36</v>
      </c>
      <c r="AE703">
        <v>9</v>
      </c>
      <c r="AF703">
        <v>3</v>
      </c>
      <c r="AG703">
        <v>2025</v>
      </c>
      <c r="AH703" s="2">
        <v>24000</v>
      </c>
      <c r="AI703" s="2">
        <v>24350.517578125</v>
      </c>
      <c r="AJ703" s="2">
        <f t="shared" si="80"/>
        <v>350.517578125</v>
      </c>
      <c r="AK703" s="6">
        <f t="shared" si="81"/>
        <v>1.4604899088541666E-2</v>
      </c>
      <c r="AL703" s="12">
        <v>24000</v>
      </c>
      <c r="AM703" s="12">
        <v>24192.149227530819</v>
      </c>
      <c r="AN703" s="12">
        <f t="shared" si="82"/>
        <v>192.14922753081919</v>
      </c>
      <c r="AO703" s="13">
        <f t="shared" si="83"/>
        <v>8.0062178137841333E-3</v>
      </c>
      <c r="AP703" s="16">
        <v>24000</v>
      </c>
      <c r="AQ703" s="16">
        <v>23157.53290860197</v>
      </c>
      <c r="AR703" s="16">
        <f t="shared" si="84"/>
        <v>842.46709139802988</v>
      </c>
      <c r="AS703" s="17">
        <f t="shared" si="85"/>
        <v>3.510279547491791E-2</v>
      </c>
      <c r="AT703" s="20">
        <v>24000</v>
      </c>
      <c r="AU703" s="20">
        <v>24265.9921875</v>
      </c>
      <c r="AV703" s="20">
        <f t="shared" si="86"/>
        <v>265.9921875</v>
      </c>
      <c r="AW703" s="21">
        <f t="shared" si="87"/>
        <v>1.10830078125E-2</v>
      </c>
    </row>
    <row r="704" spans="1:49" x14ac:dyDescent="0.25">
      <c r="A704" t="s">
        <v>128</v>
      </c>
      <c r="B704" t="s">
        <v>129</v>
      </c>
      <c r="C704">
        <v>127121</v>
      </c>
      <c r="D704">
        <v>2016</v>
      </c>
      <c r="E704" t="s">
        <v>116</v>
      </c>
      <c r="F704" t="s">
        <v>251</v>
      </c>
      <c r="G704" t="s">
        <v>984</v>
      </c>
      <c r="H704" t="s">
        <v>866</v>
      </c>
      <c r="I704">
        <v>6</v>
      </c>
      <c r="J704" t="s">
        <v>61</v>
      </c>
      <c r="K704">
        <v>4</v>
      </c>
      <c r="L704" t="s">
        <v>44</v>
      </c>
      <c r="M704">
        <v>3.6</v>
      </c>
      <c r="N704" t="s">
        <v>45</v>
      </c>
      <c r="Q704" t="s">
        <v>62</v>
      </c>
      <c r="R704" t="s">
        <v>63</v>
      </c>
      <c r="S704" t="s">
        <v>101</v>
      </c>
      <c r="U704" t="s">
        <v>50</v>
      </c>
      <c r="X704" t="s">
        <v>141</v>
      </c>
      <c r="Y704" t="s">
        <v>126</v>
      </c>
      <c r="AA704">
        <v>0</v>
      </c>
      <c r="AB704" t="s">
        <v>79</v>
      </c>
      <c r="AC704" t="s">
        <v>87</v>
      </c>
      <c r="AD704">
        <v>36</v>
      </c>
      <c r="AE704">
        <v>9</v>
      </c>
      <c r="AF704">
        <v>3</v>
      </c>
      <c r="AG704">
        <v>2025</v>
      </c>
      <c r="AH704" s="2">
        <v>2300</v>
      </c>
      <c r="AI704" s="2">
        <v>3196.997314453125</v>
      </c>
      <c r="AJ704" s="2">
        <f t="shared" si="80"/>
        <v>896.997314453125</v>
      </c>
      <c r="AK704" s="6">
        <f t="shared" si="81"/>
        <v>0.38999883237092392</v>
      </c>
      <c r="AL704" s="12">
        <v>2300</v>
      </c>
      <c r="AM704" s="12">
        <v>3885.1378706102291</v>
      </c>
      <c r="AN704" s="12">
        <f t="shared" si="82"/>
        <v>1585.1378706102291</v>
      </c>
      <c r="AO704" s="13">
        <f t="shared" si="83"/>
        <v>0.68919037852618659</v>
      </c>
      <c r="AP704" s="16">
        <v>2300</v>
      </c>
      <c r="AQ704" s="16">
        <v>2736.0433239271479</v>
      </c>
      <c r="AR704" s="16">
        <f t="shared" si="84"/>
        <v>436.04332392714787</v>
      </c>
      <c r="AS704" s="17">
        <f t="shared" si="85"/>
        <v>0.18958405388136865</v>
      </c>
      <c r="AT704" s="20">
        <v>2300</v>
      </c>
      <c r="AU704" s="20">
        <v>3257.98291015625</v>
      </c>
      <c r="AV704" s="20">
        <f t="shared" si="86"/>
        <v>957.98291015625</v>
      </c>
      <c r="AW704" s="21">
        <f t="shared" si="87"/>
        <v>0.41651430876358697</v>
      </c>
    </row>
    <row r="705" spans="1:49" x14ac:dyDescent="0.25">
      <c r="A705" t="s">
        <v>38</v>
      </c>
      <c r="B705" t="s">
        <v>68</v>
      </c>
      <c r="C705">
        <v>112492</v>
      </c>
      <c r="D705">
        <v>2021</v>
      </c>
      <c r="E705" t="s">
        <v>166</v>
      </c>
      <c r="F705" t="s">
        <v>628</v>
      </c>
      <c r="G705" t="s">
        <v>457</v>
      </c>
      <c r="I705">
        <v>4</v>
      </c>
      <c r="J705" t="s">
        <v>135</v>
      </c>
      <c r="K705">
        <v>4</v>
      </c>
      <c r="L705" t="s">
        <v>44</v>
      </c>
      <c r="M705">
        <v>2</v>
      </c>
      <c r="N705" t="s">
        <v>45</v>
      </c>
      <c r="O705" t="s">
        <v>46</v>
      </c>
      <c r="P705">
        <v>4</v>
      </c>
      <c r="Q705" t="s">
        <v>47</v>
      </c>
      <c r="R705" t="s">
        <v>123</v>
      </c>
      <c r="S705" t="s">
        <v>49</v>
      </c>
      <c r="T705">
        <v>158</v>
      </c>
      <c r="U705" t="s">
        <v>50</v>
      </c>
      <c r="V705" t="s">
        <v>51</v>
      </c>
      <c r="W705" t="s">
        <v>795</v>
      </c>
      <c r="X705" t="s">
        <v>53</v>
      </c>
      <c r="Y705" t="s">
        <v>78</v>
      </c>
      <c r="Z705">
        <v>23050</v>
      </c>
      <c r="AA705">
        <v>0</v>
      </c>
      <c r="AB705" t="s">
        <v>79</v>
      </c>
      <c r="AC705" t="s">
        <v>127</v>
      </c>
      <c r="AD705">
        <v>36</v>
      </c>
      <c r="AE705">
        <v>9</v>
      </c>
      <c r="AF705">
        <v>3</v>
      </c>
      <c r="AG705">
        <v>2025</v>
      </c>
      <c r="AH705" s="2">
        <v>10250</v>
      </c>
      <c r="AI705" s="2">
        <v>11935.07421875</v>
      </c>
      <c r="AJ705" s="2">
        <f t="shared" si="80"/>
        <v>1685.07421875</v>
      </c>
      <c r="AK705" s="6">
        <f t="shared" si="81"/>
        <v>0.16439748475609756</v>
      </c>
      <c r="AL705" s="12">
        <v>10250</v>
      </c>
      <c r="AM705" s="12">
        <v>12808.498552112411</v>
      </c>
      <c r="AN705" s="12">
        <f t="shared" si="82"/>
        <v>2558.4985521124108</v>
      </c>
      <c r="AO705" s="13">
        <f t="shared" si="83"/>
        <v>0.24960961484023519</v>
      </c>
      <c r="AP705" s="16">
        <v>10250</v>
      </c>
      <c r="AQ705" s="16">
        <v>12932.02647197953</v>
      </c>
      <c r="AR705" s="16">
        <f t="shared" si="84"/>
        <v>2682.0264719795305</v>
      </c>
      <c r="AS705" s="17">
        <f t="shared" si="85"/>
        <v>0.26166111921751517</v>
      </c>
      <c r="AT705" s="20">
        <v>10250</v>
      </c>
      <c r="AU705" s="20">
        <v>12158.9013671875</v>
      </c>
      <c r="AV705" s="20">
        <f t="shared" si="86"/>
        <v>1908.9013671875</v>
      </c>
      <c r="AW705" s="21">
        <f t="shared" si="87"/>
        <v>0.18623427972560977</v>
      </c>
    </row>
    <row r="706" spans="1:49" x14ac:dyDescent="0.25">
      <c r="A706" t="s">
        <v>128</v>
      </c>
      <c r="B706" t="s">
        <v>129</v>
      </c>
      <c r="C706">
        <v>157432</v>
      </c>
      <c r="D706">
        <v>2004</v>
      </c>
      <c r="E706" t="s">
        <v>69</v>
      </c>
      <c r="F706" t="s">
        <v>258</v>
      </c>
      <c r="I706">
        <v>8</v>
      </c>
      <c r="J706" t="s">
        <v>178</v>
      </c>
      <c r="K706">
        <v>4</v>
      </c>
      <c r="L706" t="s">
        <v>44</v>
      </c>
      <c r="M706">
        <v>6</v>
      </c>
      <c r="N706" t="s">
        <v>91</v>
      </c>
      <c r="Q706" t="s">
        <v>74</v>
      </c>
      <c r="R706" t="s">
        <v>92</v>
      </c>
      <c r="S706" t="s">
        <v>93</v>
      </c>
      <c r="T706">
        <v>325</v>
      </c>
      <c r="U706" t="s">
        <v>229</v>
      </c>
      <c r="V706" t="s">
        <v>76</v>
      </c>
      <c r="X706" t="s">
        <v>260</v>
      </c>
      <c r="Y706" t="s">
        <v>78</v>
      </c>
      <c r="AA706">
        <v>0</v>
      </c>
      <c r="AB706" t="s">
        <v>79</v>
      </c>
      <c r="AC706" t="s">
        <v>261</v>
      </c>
      <c r="AD706">
        <v>36</v>
      </c>
      <c r="AE706">
        <v>9</v>
      </c>
      <c r="AF706">
        <v>3</v>
      </c>
      <c r="AG706">
        <v>2025</v>
      </c>
      <c r="AH706" s="2">
        <v>9100</v>
      </c>
      <c r="AI706" s="2">
        <v>6902.35400390625</v>
      </c>
      <c r="AJ706" s="2">
        <f t="shared" si="80"/>
        <v>2197.64599609375</v>
      </c>
      <c r="AK706" s="6">
        <f t="shared" si="81"/>
        <v>0.24149956001030221</v>
      </c>
      <c r="AL706" s="12">
        <v>9100</v>
      </c>
      <c r="AM706" s="12">
        <v>5104.3221379554452</v>
      </c>
      <c r="AN706" s="12">
        <f t="shared" si="82"/>
        <v>3995.6778620445548</v>
      </c>
      <c r="AO706" s="13">
        <f t="shared" si="83"/>
        <v>0.43908547934555547</v>
      </c>
      <c r="AP706" s="16">
        <v>9100</v>
      </c>
      <c r="AQ706" s="16">
        <v>5515.1701137653272</v>
      </c>
      <c r="AR706" s="16">
        <f t="shared" si="84"/>
        <v>3584.8298862346728</v>
      </c>
      <c r="AS706" s="17">
        <f t="shared" si="85"/>
        <v>0.39393735013567832</v>
      </c>
      <c r="AT706" s="20">
        <v>9100</v>
      </c>
      <c r="AU706" s="20">
        <v>6776.27294921875</v>
      </c>
      <c r="AV706" s="20">
        <f t="shared" si="86"/>
        <v>2323.72705078125</v>
      </c>
      <c r="AW706" s="21">
        <f t="shared" si="87"/>
        <v>0.25535462096497252</v>
      </c>
    </row>
    <row r="707" spans="1:49" x14ac:dyDescent="0.25">
      <c r="A707" t="s">
        <v>38</v>
      </c>
      <c r="B707" t="s">
        <v>39</v>
      </c>
      <c r="C707">
        <v>205773</v>
      </c>
      <c r="D707">
        <v>2010</v>
      </c>
      <c r="E707" t="s">
        <v>388</v>
      </c>
      <c r="F707" t="s">
        <v>389</v>
      </c>
      <c r="H707" t="s">
        <v>985</v>
      </c>
      <c r="I707">
        <v>4</v>
      </c>
      <c r="J707" t="s">
        <v>106</v>
      </c>
      <c r="K707">
        <v>4</v>
      </c>
      <c r="L707" t="s">
        <v>44</v>
      </c>
      <c r="M707">
        <v>2.4</v>
      </c>
      <c r="N707" t="s">
        <v>91</v>
      </c>
      <c r="O707" t="s">
        <v>46</v>
      </c>
      <c r="Q707" t="s">
        <v>62</v>
      </c>
      <c r="R707" t="s">
        <v>63</v>
      </c>
      <c r="S707" t="s">
        <v>93</v>
      </c>
      <c r="U707" t="s">
        <v>50</v>
      </c>
      <c r="X707" t="s">
        <v>141</v>
      </c>
      <c r="Y707" t="s">
        <v>54</v>
      </c>
      <c r="AA707">
        <v>0</v>
      </c>
      <c r="AB707" t="s">
        <v>79</v>
      </c>
      <c r="AC707" t="s">
        <v>87</v>
      </c>
      <c r="AD707">
        <v>36</v>
      </c>
      <c r="AE707">
        <v>9</v>
      </c>
      <c r="AF707">
        <v>3</v>
      </c>
      <c r="AG707">
        <v>2025</v>
      </c>
      <c r="AH707" s="2">
        <v>1800</v>
      </c>
      <c r="AI707" s="2">
        <v>1182.005859375</v>
      </c>
      <c r="AJ707" s="2">
        <f t="shared" ref="AJ707:AJ770" si="88">ABS(AH707-AI707)</f>
        <v>617.994140625</v>
      </c>
      <c r="AK707" s="6">
        <f t="shared" ref="AK707:AK770" si="89">ABS($AH707-AI707)/$AH707</f>
        <v>0.34333007812499999</v>
      </c>
      <c r="AL707" s="12">
        <v>1800</v>
      </c>
      <c r="AM707" s="12">
        <v>1035.440178996254</v>
      </c>
      <c r="AN707" s="12">
        <f t="shared" ref="AN707:AN770" si="90">ABS(AL707-AM707)</f>
        <v>764.55982100374604</v>
      </c>
      <c r="AO707" s="13">
        <f t="shared" ref="AO707:AO770" si="91">ABS($AH707-AM707)/$AH707</f>
        <v>0.42475545611319226</v>
      </c>
      <c r="AP707" s="16">
        <v>1800</v>
      </c>
      <c r="AQ707" s="16">
        <v>1233.202355022471</v>
      </c>
      <c r="AR707" s="16">
        <f t="shared" ref="AR707:AR770" si="92">ABS(AP707-AQ707)</f>
        <v>566.79764497752899</v>
      </c>
      <c r="AS707" s="17">
        <f t="shared" ref="AS707:AS770" si="93">ABS($AH707-AQ707)/$AH707</f>
        <v>0.31488758054307164</v>
      </c>
      <c r="AT707" s="20">
        <v>1800</v>
      </c>
      <c r="AU707" s="20">
        <v>1113.561401367188</v>
      </c>
      <c r="AV707" s="20">
        <f t="shared" ref="AV707:AV770" si="94">ABS(AT707-AU707)</f>
        <v>686.43859863281205</v>
      </c>
      <c r="AW707" s="21">
        <f t="shared" ref="AW707:AW770" si="95">ABS($AH707-AU707)/$AH707</f>
        <v>0.3813547770182289</v>
      </c>
    </row>
    <row r="708" spans="1:49" x14ac:dyDescent="0.25">
      <c r="A708" t="s">
        <v>128</v>
      </c>
      <c r="B708" t="s">
        <v>129</v>
      </c>
      <c r="C708">
        <v>87749</v>
      </c>
      <c r="D708">
        <v>2018</v>
      </c>
      <c r="E708" t="s">
        <v>97</v>
      </c>
      <c r="F708" t="s">
        <v>470</v>
      </c>
      <c r="G708" t="s">
        <v>513</v>
      </c>
      <c r="I708">
        <v>4</v>
      </c>
      <c r="J708" t="s">
        <v>61</v>
      </c>
      <c r="K708">
        <v>4</v>
      </c>
      <c r="L708" t="s">
        <v>44</v>
      </c>
      <c r="M708">
        <v>1.5</v>
      </c>
      <c r="N708" t="s">
        <v>45</v>
      </c>
      <c r="O708" t="s">
        <v>46</v>
      </c>
      <c r="P708">
        <v>3</v>
      </c>
      <c r="Q708" t="s">
        <v>47</v>
      </c>
      <c r="R708" t="s">
        <v>123</v>
      </c>
      <c r="S708" t="s">
        <v>101</v>
      </c>
      <c r="U708" t="s">
        <v>50</v>
      </c>
      <c r="V708" t="s">
        <v>51</v>
      </c>
      <c r="W708" t="s">
        <v>687</v>
      </c>
      <c r="X708" t="s">
        <v>125</v>
      </c>
      <c r="Y708" t="s">
        <v>78</v>
      </c>
      <c r="Z708">
        <v>25220</v>
      </c>
      <c r="AA708">
        <v>0</v>
      </c>
      <c r="AB708" t="s">
        <v>79</v>
      </c>
      <c r="AC708" t="s">
        <v>127</v>
      </c>
      <c r="AD708">
        <v>36</v>
      </c>
      <c r="AE708">
        <v>9</v>
      </c>
      <c r="AF708">
        <v>3</v>
      </c>
      <c r="AG708">
        <v>2025</v>
      </c>
      <c r="AH708" s="2">
        <v>7100</v>
      </c>
      <c r="AI708" s="2">
        <v>7849.7978515625</v>
      </c>
      <c r="AJ708" s="2">
        <f t="shared" si="88"/>
        <v>749.7978515625</v>
      </c>
      <c r="AK708" s="6">
        <f t="shared" si="89"/>
        <v>0.10560533120598592</v>
      </c>
      <c r="AL708" s="12">
        <v>7100</v>
      </c>
      <c r="AM708" s="12">
        <v>7691.7295253017137</v>
      </c>
      <c r="AN708" s="12">
        <f t="shared" si="90"/>
        <v>591.72952530171369</v>
      </c>
      <c r="AO708" s="13">
        <f t="shared" si="91"/>
        <v>8.33421866622132E-2</v>
      </c>
      <c r="AP708" s="16">
        <v>7100</v>
      </c>
      <c r="AQ708" s="16">
        <v>6254.7243695439902</v>
      </c>
      <c r="AR708" s="16">
        <f t="shared" si="92"/>
        <v>845.27563045600982</v>
      </c>
      <c r="AS708" s="17">
        <f t="shared" si="93"/>
        <v>0.11905290569802955</v>
      </c>
      <c r="AT708" s="20">
        <v>7100</v>
      </c>
      <c r="AU708" s="20">
        <v>7909.47119140625</v>
      </c>
      <c r="AV708" s="20">
        <f t="shared" si="94"/>
        <v>809.47119140625</v>
      </c>
      <c r="AW708" s="21">
        <f t="shared" si="95"/>
        <v>0.11401002695862676</v>
      </c>
    </row>
    <row r="709" spans="1:49" x14ac:dyDescent="0.25">
      <c r="A709" t="s">
        <v>128</v>
      </c>
      <c r="B709" t="s">
        <v>129</v>
      </c>
      <c r="C709">
        <v>330011</v>
      </c>
      <c r="D709">
        <v>2006</v>
      </c>
      <c r="E709" t="s">
        <v>166</v>
      </c>
      <c r="F709" t="s">
        <v>167</v>
      </c>
      <c r="G709" t="s">
        <v>248</v>
      </c>
      <c r="I709">
        <v>6</v>
      </c>
      <c r="J709" t="s">
        <v>43</v>
      </c>
      <c r="K709">
        <v>4</v>
      </c>
      <c r="L709" t="s">
        <v>44</v>
      </c>
      <c r="M709">
        <v>3.5</v>
      </c>
      <c r="N709" t="s">
        <v>45</v>
      </c>
      <c r="O709" t="s">
        <v>46</v>
      </c>
      <c r="Q709" t="s">
        <v>62</v>
      </c>
      <c r="R709" t="s">
        <v>63</v>
      </c>
      <c r="S709" t="s">
        <v>101</v>
      </c>
      <c r="T709">
        <v>244</v>
      </c>
      <c r="U709" t="s">
        <v>50</v>
      </c>
      <c r="V709" t="s">
        <v>76</v>
      </c>
      <c r="W709" t="s">
        <v>986</v>
      </c>
      <c r="X709" t="s">
        <v>141</v>
      </c>
      <c r="Y709" t="s">
        <v>78</v>
      </c>
      <c r="AA709">
        <v>0</v>
      </c>
      <c r="AB709" t="s">
        <v>79</v>
      </c>
      <c r="AC709" t="s">
        <v>87</v>
      </c>
      <c r="AD709">
        <v>36</v>
      </c>
      <c r="AE709">
        <v>9</v>
      </c>
      <c r="AF709">
        <v>3</v>
      </c>
      <c r="AG709">
        <v>2025</v>
      </c>
      <c r="AH709" s="2">
        <v>700</v>
      </c>
      <c r="AI709" s="2">
        <v>743.461669921875</v>
      </c>
      <c r="AJ709" s="2">
        <f t="shared" si="88"/>
        <v>43.461669921875</v>
      </c>
      <c r="AK709" s="6">
        <f t="shared" si="89"/>
        <v>6.208809988839286E-2</v>
      </c>
      <c r="AL709" s="12">
        <v>700</v>
      </c>
      <c r="AM709" s="12">
        <v>822.56250582881887</v>
      </c>
      <c r="AN709" s="12">
        <f t="shared" si="90"/>
        <v>122.56250582881887</v>
      </c>
      <c r="AO709" s="13">
        <f t="shared" si="91"/>
        <v>0.17508929404116982</v>
      </c>
      <c r="AP709" s="16">
        <v>700</v>
      </c>
      <c r="AQ709" s="16">
        <v>696.77899993629455</v>
      </c>
      <c r="AR709" s="16">
        <f t="shared" si="92"/>
        <v>3.2210000637054463</v>
      </c>
      <c r="AS709" s="17">
        <f t="shared" si="93"/>
        <v>4.6014286624363517E-3</v>
      </c>
      <c r="AT709" s="20">
        <v>700</v>
      </c>
      <c r="AU709" s="20">
        <v>746.439208984375</v>
      </c>
      <c r="AV709" s="20">
        <f t="shared" si="94"/>
        <v>46.439208984375</v>
      </c>
      <c r="AW709" s="21">
        <f t="shared" si="95"/>
        <v>6.634172712053571E-2</v>
      </c>
    </row>
    <row r="710" spans="1:49" x14ac:dyDescent="0.25">
      <c r="A710" t="s">
        <v>38</v>
      </c>
      <c r="B710" t="s">
        <v>110</v>
      </c>
      <c r="C710">
        <v>160914</v>
      </c>
      <c r="D710">
        <v>2015</v>
      </c>
      <c r="E710" t="s">
        <v>40</v>
      </c>
      <c r="F710" t="s">
        <v>508</v>
      </c>
      <c r="H710" t="s">
        <v>509</v>
      </c>
      <c r="I710">
        <v>4</v>
      </c>
      <c r="J710" t="s">
        <v>72</v>
      </c>
      <c r="K710">
        <v>2</v>
      </c>
      <c r="L710" t="s">
        <v>44</v>
      </c>
      <c r="M710">
        <v>2.5</v>
      </c>
      <c r="N710" t="s">
        <v>45</v>
      </c>
      <c r="O710" t="s">
        <v>46</v>
      </c>
      <c r="P710">
        <v>2</v>
      </c>
      <c r="Q710" t="s">
        <v>47</v>
      </c>
      <c r="R710" t="s">
        <v>48</v>
      </c>
      <c r="S710" t="s">
        <v>49</v>
      </c>
      <c r="U710" t="s">
        <v>50</v>
      </c>
      <c r="V710" t="s">
        <v>51</v>
      </c>
      <c r="W710" t="s">
        <v>236</v>
      </c>
      <c r="X710" t="s">
        <v>125</v>
      </c>
      <c r="Y710" t="s">
        <v>54</v>
      </c>
      <c r="AA710">
        <v>0</v>
      </c>
      <c r="AB710" t="s">
        <v>79</v>
      </c>
      <c r="AC710" t="s">
        <v>359</v>
      </c>
      <c r="AD710">
        <v>36</v>
      </c>
      <c r="AE710">
        <v>9</v>
      </c>
      <c r="AF710">
        <v>3</v>
      </c>
      <c r="AG710">
        <v>2025</v>
      </c>
      <c r="AH710" s="2">
        <v>2000</v>
      </c>
      <c r="AI710" s="2">
        <v>2011.431640625</v>
      </c>
      <c r="AJ710" s="2">
        <f t="shared" si="88"/>
        <v>11.431640625</v>
      </c>
      <c r="AK710" s="6">
        <f t="shared" si="89"/>
        <v>5.7158203124999998E-3</v>
      </c>
      <c r="AL710" s="12">
        <v>2000</v>
      </c>
      <c r="AM710" s="12">
        <v>2482.5724191590598</v>
      </c>
      <c r="AN710" s="12">
        <f t="shared" si="90"/>
        <v>482.57241915905979</v>
      </c>
      <c r="AO710" s="13">
        <f t="shared" si="91"/>
        <v>0.2412862095795299</v>
      </c>
      <c r="AP710" s="16">
        <v>2000</v>
      </c>
      <c r="AQ710" s="16">
        <v>1580.2964130588491</v>
      </c>
      <c r="AR710" s="16">
        <f t="shared" si="92"/>
        <v>419.70358694115089</v>
      </c>
      <c r="AS710" s="17">
        <f t="shared" si="93"/>
        <v>0.20985179347057545</v>
      </c>
      <c r="AT710" s="20">
        <v>2000</v>
      </c>
      <c r="AU710" s="20">
        <v>2013.146240234375</v>
      </c>
      <c r="AV710" s="20">
        <f t="shared" si="94"/>
        <v>13.146240234375</v>
      </c>
      <c r="AW710" s="21">
        <f t="shared" si="95"/>
        <v>6.5731201171875002E-3</v>
      </c>
    </row>
    <row r="711" spans="1:49" x14ac:dyDescent="0.25">
      <c r="A711" t="s">
        <v>38</v>
      </c>
      <c r="B711" t="s">
        <v>39</v>
      </c>
      <c r="C711">
        <v>121917</v>
      </c>
      <c r="D711">
        <v>2017</v>
      </c>
      <c r="E711" t="s">
        <v>213</v>
      </c>
      <c r="F711" t="s">
        <v>855</v>
      </c>
      <c r="I711">
        <v>6</v>
      </c>
      <c r="J711" t="s">
        <v>61</v>
      </c>
      <c r="K711">
        <v>4</v>
      </c>
      <c r="L711" t="s">
        <v>44</v>
      </c>
      <c r="M711">
        <v>3.7</v>
      </c>
      <c r="N711" t="s">
        <v>73</v>
      </c>
      <c r="Q711" t="s">
        <v>47</v>
      </c>
      <c r="R711" t="s">
        <v>757</v>
      </c>
      <c r="S711" t="s">
        <v>49</v>
      </c>
      <c r="U711" t="s">
        <v>50</v>
      </c>
      <c r="X711" t="s">
        <v>125</v>
      </c>
      <c r="Y711" t="s">
        <v>54</v>
      </c>
      <c r="AA711">
        <v>0</v>
      </c>
      <c r="AB711" t="s">
        <v>79</v>
      </c>
      <c r="AC711" t="s">
        <v>757</v>
      </c>
      <c r="AD711">
        <v>36</v>
      </c>
      <c r="AE711">
        <v>9</v>
      </c>
      <c r="AF711">
        <v>3</v>
      </c>
      <c r="AG711">
        <v>2025</v>
      </c>
      <c r="AH711" s="2">
        <v>3000</v>
      </c>
      <c r="AI711" s="2">
        <v>7016.27099609375</v>
      </c>
      <c r="AJ711" s="2">
        <f t="shared" si="88"/>
        <v>4016.27099609375</v>
      </c>
      <c r="AK711" s="6">
        <f t="shared" si="89"/>
        <v>1.3387569986979166</v>
      </c>
      <c r="AL711" s="12">
        <v>3000</v>
      </c>
      <c r="AM711" s="12">
        <v>7544.1216863425452</v>
      </c>
      <c r="AN711" s="12">
        <f t="shared" si="90"/>
        <v>4544.1216863425452</v>
      </c>
      <c r="AO711" s="13">
        <f t="shared" si="91"/>
        <v>1.5147072287808485</v>
      </c>
      <c r="AP711" s="16">
        <v>3000</v>
      </c>
      <c r="AQ711" s="16">
        <v>7327.59061718878</v>
      </c>
      <c r="AR711" s="16">
        <f t="shared" si="92"/>
        <v>4327.59061718878</v>
      </c>
      <c r="AS711" s="17">
        <f t="shared" si="93"/>
        <v>1.4425302057295932</v>
      </c>
      <c r="AT711" s="20">
        <v>3000</v>
      </c>
      <c r="AU711" s="20">
        <v>7122.7265625</v>
      </c>
      <c r="AV711" s="20">
        <f t="shared" si="94"/>
        <v>4122.7265625</v>
      </c>
      <c r="AW711" s="21">
        <f t="shared" si="95"/>
        <v>1.3742421874999999</v>
      </c>
    </row>
    <row r="712" spans="1:49" x14ac:dyDescent="0.25">
      <c r="A712" t="s">
        <v>38</v>
      </c>
      <c r="B712" t="s">
        <v>96</v>
      </c>
      <c r="C712">
        <v>112296</v>
      </c>
      <c r="D712">
        <v>2008</v>
      </c>
      <c r="E712" t="s">
        <v>97</v>
      </c>
      <c r="F712" t="s">
        <v>701</v>
      </c>
      <c r="G712" t="s">
        <v>987</v>
      </c>
      <c r="I712">
        <v>6</v>
      </c>
      <c r="J712" t="s">
        <v>122</v>
      </c>
      <c r="K712">
        <v>4</v>
      </c>
      <c r="L712" t="s">
        <v>44</v>
      </c>
      <c r="M712">
        <v>3.9</v>
      </c>
      <c r="N712" t="s">
        <v>45</v>
      </c>
      <c r="O712" t="s">
        <v>46</v>
      </c>
      <c r="Q712" t="s">
        <v>47</v>
      </c>
      <c r="R712" t="s">
        <v>123</v>
      </c>
      <c r="U712" t="s">
        <v>180</v>
      </c>
      <c r="V712" t="s">
        <v>76</v>
      </c>
      <c r="W712" t="s">
        <v>988</v>
      </c>
      <c r="X712" t="s">
        <v>125</v>
      </c>
      <c r="Y712" t="s">
        <v>103</v>
      </c>
      <c r="AA712">
        <v>0</v>
      </c>
      <c r="AB712" t="s">
        <v>79</v>
      </c>
      <c r="AC712" t="s">
        <v>127</v>
      </c>
      <c r="AD712">
        <v>36</v>
      </c>
      <c r="AE712">
        <v>9</v>
      </c>
      <c r="AF712">
        <v>3</v>
      </c>
      <c r="AG712">
        <v>2025</v>
      </c>
      <c r="AH712" s="2">
        <v>1000</v>
      </c>
      <c r="AI712" s="2">
        <v>2113.688720703125</v>
      </c>
      <c r="AJ712" s="2">
        <f t="shared" si="88"/>
        <v>1113.688720703125</v>
      </c>
      <c r="AK712" s="6">
        <f t="shared" si="89"/>
        <v>1.113688720703125</v>
      </c>
      <c r="AL712" s="12">
        <v>1000</v>
      </c>
      <c r="AM712" s="12">
        <v>1920.8509179616101</v>
      </c>
      <c r="AN712" s="12">
        <f t="shared" si="90"/>
        <v>920.85091796161009</v>
      </c>
      <c r="AO712" s="13">
        <f t="shared" si="91"/>
        <v>0.92085091796161012</v>
      </c>
      <c r="AP712" s="16">
        <v>1000</v>
      </c>
      <c r="AQ712" s="16">
        <v>1558.994871901207</v>
      </c>
      <c r="AR712" s="16">
        <f t="shared" si="92"/>
        <v>558.99487190120703</v>
      </c>
      <c r="AS712" s="17">
        <f t="shared" si="93"/>
        <v>0.558994871901207</v>
      </c>
      <c r="AT712" s="20">
        <v>1000</v>
      </c>
      <c r="AU712" s="20">
        <v>2079.432861328125</v>
      </c>
      <c r="AV712" s="20">
        <f t="shared" si="94"/>
        <v>1079.432861328125</v>
      </c>
      <c r="AW712" s="21">
        <f t="shared" si="95"/>
        <v>1.079432861328125</v>
      </c>
    </row>
    <row r="713" spans="1:49" x14ac:dyDescent="0.25">
      <c r="A713" t="s">
        <v>38</v>
      </c>
      <c r="B713" t="s">
        <v>96</v>
      </c>
      <c r="C713">
        <v>142437</v>
      </c>
      <c r="D713">
        <v>2015</v>
      </c>
      <c r="E713" t="s">
        <v>142</v>
      </c>
      <c r="F713" t="s">
        <v>335</v>
      </c>
      <c r="G713" t="s">
        <v>457</v>
      </c>
      <c r="I713">
        <v>4</v>
      </c>
      <c r="J713" t="s">
        <v>122</v>
      </c>
      <c r="K713">
        <v>4</v>
      </c>
      <c r="L713" t="s">
        <v>44</v>
      </c>
      <c r="M713">
        <v>2.4</v>
      </c>
      <c r="N713" t="s">
        <v>91</v>
      </c>
      <c r="O713" t="s">
        <v>46</v>
      </c>
      <c r="P713">
        <v>1</v>
      </c>
      <c r="Q713" t="s">
        <v>62</v>
      </c>
      <c r="R713" t="s">
        <v>63</v>
      </c>
      <c r="S713" t="s">
        <v>93</v>
      </c>
      <c r="U713" t="s">
        <v>50</v>
      </c>
      <c r="X713" t="s">
        <v>65</v>
      </c>
      <c r="Y713" t="s">
        <v>78</v>
      </c>
      <c r="AA713">
        <v>0</v>
      </c>
      <c r="AB713" t="s">
        <v>79</v>
      </c>
      <c r="AC713" t="s">
        <v>87</v>
      </c>
      <c r="AD713">
        <v>36</v>
      </c>
      <c r="AE713">
        <v>9</v>
      </c>
      <c r="AF713">
        <v>3</v>
      </c>
      <c r="AG713">
        <v>2025</v>
      </c>
      <c r="AH713" s="2">
        <v>1700</v>
      </c>
      <c r="AI713" s="2">
        <v>1508.485717773438</v>
      </c>
      <c r="AJ713" s="2">
        <f t="shared" si="88"/>
        <v>191.51428222656205</v>
      </c>
      <c r="AK713" s="6">
        <f t="shared" si="89"/>
        <v>0.1126554601332718</v>
      </c>
      <c r="AL713" s="12">
        <v>1700</v>
      </c>
      <c r="AM713" s="12">
        <v>1975.314551401063</v>
      </c>
      <c r="AN713" s="12">
        <f t="shared" si="90"/>
        <v>275.314551401063</v>
      </c>
      <c r="AO713" s="13">
        <f t="shared" si="91"/>
        <v>0.16194973611827235</v>
      </c>
      <c r="AP713" s="16">
        <v>1700</v>
      </c>
      <c r="AQ713" s="16">
        <v>1693.5957858696761</v>
      </c>
      <c r="AR713" s="16">
        <f t="shared" si="92"/>
        <v>6.4042141303239077</v>
      </c>
      <c r="AS713" s="17">
        <f t="shared" si="93"/>
        <v>3.7671847825434751E-3</v>
      </c>
      <c r="AT713" s="20">
        <v>1700</v>
      </c>
      <c r="AU713" s="20">
        <v>1503.818725585938</v>
      </c>
      <c r="AV713" s="20">
        <f t="shared" si="94"/>
        <v>196.18127441406205</v>
      </c>
      <c r="AW713" s="21">
        <f t="shared" si="95"/>
        <v>0.11540074965533062</v>
      </c>
    </row>
    <row r="714" spans="1:49" x14ac:dyDescent="0.25">
      <c r="A714" t="s">
        <v>114</v>
      </c>
      <c r="B714" t="s">
        <v>340</v>
      </c>
      <c r="C714">
        <v>122332</v>
      </c>
      <c r="D714">
        <v>2017</v>
      </c>
      <c r="E714" t="s">
        <v>146</v>
      </c>
      <c r="F714" t="s">
        <v>451</v>
      </c>
      <c r="I714">
        <v>4</v>
      </c>
      <c r="J714" t="s">
        <v>72</v>
      </c>
      <c r="K714">
        <v>4</v>
      </c>
      <c r="L714" t="s">
        <v>44</v>
      </c>
      <c r="M714">
        <v>1.6</v>
      </c>
      <c r="N714" t="s">
        <v>45</v>
      </c>
      <c r="Q714" t="s">
        <v>47</v>
      </c>
      <c r="R714" t="s">
        <v>123</v>
      </c>
      <c r="S714" t="s">
        <v>49</v>
      </c>
      <c r="T714">
        <v>109</v>
      </c>
      <c r="U714" t="s">
        <v>50</v>
      </c>
      <c r="V714" t="s">
        <v>51</v>
      </c>
      <c r="X714" t="s">
        <v>125</v>
      </c>
      <c r="Y714" t="s">
        <v>126</v>
      </c>
      <c r="AA714">
        <v>0</v>
      </c>
      <c r="AB714" t="s">
        <v>79</v>
      </c>
      <c r="AC714" t="s">
        <v>127</v>
      </c>
      <c r="AD714">
        <v>36</v>
      </c>
      <c r="AE714">
        <v>9</v>
      </c>
      <c r="AF714">
        <v>3</v>
      </c>
      <c r="AG714">
        <v>2025</v>
      </c>
      <c r="AH714" s="2">
        <v>1800</v>
      </c>
      <c r="AI714" s="2">
        <v>1500.419921875</v>
      </c>
      <c r="AJ714" s="2">
        <f t="shared" si="88"/>
        <v>299.580078125</v>
      </c>
      <c r="AK714" s="6">
        <f t="shared" si="89"/>
        <v>0.16643337673611111</v>
      </c>
      <c r="AL714" s="12">
        <v>1800</v>
      </c>
      <c r="AM714" s="12">
        <v>2145.5029056480998</v>
      </c>
      <c r="AN714" s="12">
        <f t="shared" si="90"/>
        <v>345.50290564809984</v>
      </c>
      <c r="AO714" s="13">
        <f t="shared" si="91"/>
        <v>0.19194605869338879</v>
      </c>
      <c r="AP714" s="16">
        <v>1800</v>
      </c>
      <c r="AQ714" s="16">
        <v>1945.2765692421899</v>
      </c>
      <c r="AR714" s="16">
        <f t="shared" si="92"/>
        <v>145.27656924218991</v>
      </c>
      <c r="AS714" s="17">
        <f t="shared" si="93"/>
        <v>8.0709205134549947E-2</v>
      </c>
      <c r="AT714" s="20">
        <v>1800</v>
      </c>
      <c r="AU714" s="20">
        <v>1503.818725585938</v>
      </c>
      <c r="AV714" s="20">
        <f t="shared" si="94"/>
        <v>296.18127441406205</v>
      </c>
      <c r="AW714" s="21">
        <f t="shared" si="95"/>
        <v>0.1645451524522567</v>
      </c>
    </row>
    <row r="715" spans="1:49" x14ac:dyDescent="0.25">
      <c r="A715" t="s">
        <v>38</v>
      </c>
      <c r="B715" t="s">
        <v>96</v>
      </c>
      <c r="C715">
        <v>42823</v>
      </c>
      <c r="D715">
        <v>2023</v>
      </c>
      <c r="E715" t="s">
        <v>88</v>
      </c>
      <c r="F715" t="s">
        <v>89</v>
      </c>
      <c r="G715" t="s">
        <v>262</v>
      </c>
      <c r="H715" t="s">
        <v>90</v>
      </c>
      <c r="I715">
        <v>8</v>
      </c>
      <c r="J715" t="s">
        <v>61</v>
      </c>
      <c r="K715">
        <v>4</v>
      </c>
      <c r="L715" t="s">
        <v>44</v>
      </c>
      <c r="M715">
        <v>5.7</v>
      </c>
      <c r="N715" t="s">
        <v>91</v>
      </c>
      <c r="Q715" t="s">
        <v>74</v>
      </c>
      <c r="R715" t="s">
        <v>92</v>
      </c>
      <c r="S715" t="s">
        <v>93</v>
      </c>
      <c r="T715">
        <v>395</v>
      </c>
      <c r="U715" t="s">
        <v>50</v>
      </c>
      <c r="V715" t="s">
        <v>76</v>
      </c>
      <c r="X715" t="s">
        <v>108</v>
      </c>
      <c r="Y715" t="s">
        <v>78</v>
      </c>
      <c r="AA715">
        <v>0</v>
      </c>
      <c r="AB715" t="s">
        <v>79</v>
      </c>
      <c r="AC715" t="s">
        <v>95</v>
      </c>
      <c r="AD715">
        <v>36</v>
      </c>
      <c r="AE715">
        <v>9</v>
      </c>
      <c r="AF715">
        <v>3</v>
      </c>
      <c r="AG715">
        <v>2025</v>
      </c>
      <c r="AH715" s="2">
        <v>38800</v>
      </c>
      <c r="AI715" s="2">
        <v>43483.23828125</v>
      </c>
      <c r="AJ715" s="2">
        <f t="shared" si="88"/>
        <v>4683.23828125</v>
      </c>
      <c r="AK715" s="6">
        <f t="shared" si="89"/>
        <v>0.12070201755798969</v>
      </c>
      <c r="AL715" s="12">
        <v>38800</v>
      </c>
      <c r="AM715" s="12">
        <v>40933.031330759201</v>
      </c>
      <c r="AN715" s="12">
        <f t="shared" si="90"/>
        <v>2133.0313307592005</v>
      </c>
      <c r="AO715" s="13">
        <f t="shared" si="91"/>
        <v>5.4975034297917537E-2</v>
      </c>
      <c r="AP715" s="16">
        <v>38800</v>
      </c>
      <c r="AQ715" s="16">
        <v>38385.270146013783</v>
      </c>
      <c r="AR715" s="16">
        <f t="shared" si="92"/>
        <v>414.72985398621677</v>
      </c>
      <c r="AS715" s="17">
        <f t="shared" si="93"/>
        <v>1.0688913762531361E-2</v>
      </c>
      <c r="AT715" s="20">
        <v>38800</v>
      </c>
      <c r="AU715" s="20">
        <v>42858.8359375</v>
      </c>
      <c r="AV715" s="20">
        <f t="shared" si="94"/>
        <v>4058.8359375</v>
      </c>
      <c r="AW715" s="21">
        <f t="shared" si="95"/>
        <v>0.10460917364690722</v>
      </c>
    </row>
    <row r="716" spans="1:49" x14ac:dyDescent="0.25">
      <c r="A716" t="s">
        <v>38</v>
      </c>
      <c r="B716" t="s">
        <v>39</v>
      </c>
      <c r="C716">
        <v>157360</v>
      </c>
      <c r="D716">
        <v>2018</v>
      </c>
      <c r="E716" t="s">
        <v>40</v>
      </c>
      <c r="F716" t="s">
        <v>182</v>
      </c>
      <c r="G716" t="s">
        <v>989</v>
      </c>
      <c r="H716" t="s">
        <v>869</v>
      </c>
      <c r="I716">
        <v>6</v>
      </c>
      <c r="J716" t="s">
        <v>72</v>
      </c>
      <c r="K716">
        <v>4</v>
      </c>
      <c r="L716" t="s">
        <v>44</v>
      </c>
      <c r="M716">
        <v>4</v>
      </c>
      <c r="N716" t="s">
        <v>91</v>
      </c>
      <c r="O716" t="s">
        <v>46</v>
      </c>
      <c r="Q716" t="s">
        <v>62</v>
      </c>
      <c r="R716" t="s">
        <v>63</v>
      </c>
      <c r="S716" t="s">
        <v>93</v>
      </c>
      <c r="T716">
        <v>270</v>
      </c>
      <c r="U716" t="s">
        <v>50</v>
      </c>
      <c r="V716" t="s">
        <v>76</v>
      </c>
      <c r="W716" t="s">
        <v>185</v>
      </c>
      <c r="X716" t="s">
        <v>94</v>
      </c>
      <c r="Y716" t="s">
        <v>54</v>
      </c>
      <c r="Z716">
        <v>34810</v>
      </c>
      <c r="AA716">
        <v>0</v>
      </c>
      <c r="AB716" t="s">
        <v>79</v>
      </c>
      <c r="AC716" t="s">
        <v>87</v>
      </c>
      <c r="AD716">
        <v>36</v>
      </c>
      <c r="AE716">
        <v>9</v>
      </c>
      <c r="AF716">
        <v>3</v>
      </c>
      <c r="AG716">
        <v>2025</v>
      </c>
      <c r="AH716" s="2">
        <v>18750</v>
      </c>
      <c r="AI716" s="2">
        <v>17422.986328125</v>
      </c>
      <c r="AJ716" s="2">
        <f t="shared" si="88"/>
        <v>1327.013671875</v>
      </c>
      <c r="AK716" s="6">
        <f t="shared" si="89"/>
        <v>7.0774062499999998E-2</v>
      </c>
      <c r="AL716" s="12">
        <v>18750</v>
      </c>
      <c r="AM716" s="12">
        <v>13599.955294506801</v>
      </c>
      <c r="AN716" s="12">
        <f t="shared" si="90"/>
        <v>5150.0447054931992</v>
      </c>
      <c r="AO716" s="13">
        <f t="shared" si="91"/>
        <v>0.27466905095963728</v>
      </c>
      <c r="AP716" s="16">
        <v>18750</v>
      </c>
      <c r="AQ716" s="16">
        <v>12134.56074285736</v>
      </c>
      <c r="AR716" s="16">
        <f t="shared" si="92"/>
        <v>6615.4392571426397</v>
      </c>
      <c r="AS716" s="17">
        <f t="shared" si="93"/>
        <v>0.35282342704760744</v>
      </c>
      <c r="AT716" s="20">
        <v>18750</v>
      </c>
      <c r="AU716" s="20">
        <v>16835.3828125</v>
      </c>
      <c r="AV716" s="20">
        <f t="shared" si="94"/>
        <v>1914.6171875</v>
      </c>
      <c r="AW716" s="21">
        <f t="shared" si="95"/>
        <v>0.10211291666666666</v>
      </c>
    </row>
    <row r="717" spans="1:49" x14ac:dyDescent="0.25">
      <c r="A717" t="s">
        <v>38</v>
      </c>
      <c r="B717" t="s">
        <v>39</v>
      </c>
      <c r="C717">
        <v>182735</v>
      </c>
      <c r="D717">
        <v>2013</v>
      </c>
      <c r="E717" t="s">
        <v>97</v>
      </c>
      <c r="F717" t="s">
        <v>159</v>
      </c>
      <c r="G717" t="s">
        <v>380</v>
      </c>
      <c r="H717" t="s">
        <v>89</v>
      </c>
      <c r="I717">
        <v>8</v>
      </c>
      <c r="J717" t="s">
        <v>61</v>
      </c>
      <c r="K717">
        <v>4</v>
      </c>
      <c r="L717" t="s">
        <v>44</v>
      </c>
      <c r="M717">
        <v>5.3</v>
      </c>
      <c r="N717" t="s">
        <v>73</v>
      </c>
      <c r="O717" t="s">
        <v>46</v>
      </c>
      <c r="Q717" t="s">
        <v>74</v>
      </c>
      <c r="R717" t="s">
        <v>92</v>
      </c>
      <c r="S717" t="s">
        <v>49</v>
      </c>
      <c r="U717" t="s">
        <v>180</v>
      </c>
      <c r="V717" t="s">
        <v>76</v>
      </c>
      <c r="W717" t="s">
        <v>181</v>
      </c>
      <c r="X717" t="s">
        <v>94</v>
      </c>
      <c r="Y717" t="s">
        <v>126</v>
      </c>
      <c r="AA717">
        <v>0</v>
      </c>
      <c r="AB717" t="s">
        <v>79</v>
      </c>
      <c r="AC717" t="s">
        <v>95</v>
      </c>
      <c r="AD717">
        <v>36</v>
      </c>
      <c r="AE717">
        <v>9</v>
      </c>
      <c r="AF717">
        <v>3</v>
      </c>
      <c r="AG717">
        <v>2025</v>
      </c>
      <c r="AH717" s="2">
        <v>7500</v>
      </c>
      <c r="AI717" s="2">
        <v>6008.2119140625</v>
      </c>
      <c r="AJ717" s="2">
        <f t="shared" si="88"/>
        <v>1491.7880859375</v>
      </c>
      <c r="AK717" s="6">
        <f t="shared" si="89"/>
        <v>0.198905078125</v>
      </c>
      <c r="AL717" s="12">
        <v>7500</v>
      </c>
      <c r="AM717" s="12">
        <v>6886.2324000014869</v>
      </c>
      <c r="AN717" s="12">
        <f t="shared" si="90"/>
        <v>613.76759999851311</v>
      </c>
      <c r="AO717" s="13">
        <f t="shared" si="91"/>
        <v>8.183567999980175E-2</v>
      </c>
      <c r="AP717" s="16">
        <v>7500</v>
      </c>
      <c r="AQ717" s="16">
        <v>5709.5452191210534</v>
      </c>
      <c r="AR717" s="16">
        <f t="shared" si="92"/>
        <v>1790.4547808789466</v>
      </c>
      <c r="AS717" s="17">
        <f t="shared" si="93"/>
        <v>0.2387273041171929</v>
      </c>
      <c r="AT717" s="20">
        <v>7500</v>
      </c>
      <c r="AU717" s="20">
        <v>6134.42822265625</v>
      </c>
      <c r="AV717" s="20">
        <f t="shared" si="94"/>
        <v>1365.57177734375</v>
      </c>
      <c r="AW717" s="21">
        <f t="shared" si="95"/>
        <v>0.18207623697916667</v>
      </c>
    </row>
    <row r="718" spans="1:49" x14ac:dyDescent="0.25">
      <c r="A718" t="s">
        <v>38</v>
      </c>
      <c r="B718" t="s">
        <v>39</v>
      </c>
      <c r="C718">
        <v>87929</v>
      </c>
      <c r="D718">
        <v>2015</v>
      </c>
      <c r="E718" t="s">
        <v>388</v>
      </c>
      <c r="F718" t="s">
        <v>389</v>
      </c>
      <c r="G718" t="s">
        <v>990</v>
      </c>
      <c r="H718" t="s">
        <v>669</v>
      </c>
      <c r="I718">
        <v>4</v>
      </c>
      <c r="J718" t="s">
        <v>106</v>
      </c>
      <c r="K718">
        <v>4</v>
      </c>
      <c r="L718" t="s">
        <v>44</v>
      </c>
      <c r="M718">
        <v>2.4</v>
      </c>
      <c r="N718" t="s">
        <v>45</v>
      </c>
      <c r="O718" t="s">
        <v>46</v>
      </c>
      <c r="Q718" t="s">
        <v>62</v>
      </c>
      <c r="R718" t="s">
        <v>63</v>
      </c>
      <c r="S718" t="s">
        <v>49</v>
      </c>
      <c r="U718" t="s">
        <v>50</v>
      </c>
      <c r="W718" t="s">
        <v>438</v>
      </c>
      <c r="X718" t="s">
        <v>65</v>
      </c>
      <c r="Y718" t="s">
        <v>54</v>
      </c>
      <c r="AA718">
        <v>0</v>
      </c>
      <c r="AB718" t="s">
        <v>79</v>
      </c>
      <c r="AC718" t="s">
        <v>87</v>
      </c>
      <c r="AD718">
        <v>36</v>
      </c>
      <c r="AE718">
        <v>9</v>
      </c>
      <c r="AF718">
        <v>3</v>
      </c>
      <c r="AG718">
        <v>2025</v>
      </c>
      <c r="AH718" s="2">
        <v>4000</v>
      </c>
      <c r="AI718" s="2">
        <v>4556.2763671875</v>
      </c>
      <c r="AJ718" s="2">
        <f t="shared" si="88"/>
        <v>556.2763671875</v>
      </c>
      <c r="AK718" s="6">
        <f t="shared" si="89"/>
        <v>0.13906909179687499</v>
      </c>
      <c r="AL718" s="12">
        <v>4000</v>
      </c>
      <c r="AM718" s="12">
        <v>4705.7492744661258</v>
      </c>
      <c r="AN718" s="12">
        <f t="shared" si="90"/>
        <v>705.74927446612583</v>
      </c>
      <c r="AO718" s="13">
        <f t="shared" si="91"/>
        <v>0.17643731861653145</v>
      </c>
      <c r="AP718" s="16">
        <v>4000</v>
      </c>
      <c r="AQ718" s="16">
        <v>4663.5603964779848</v>
      </c>
      <c r="AR718" s="16">
        <f t="shared" si="92"/>
        <v>663.5603964779848</v>
      </c>
      <c r="AS718" s="17">
        <f t="shared" si="93"/>
        <v>0.1658900991194962</v>
      </c>
      <c r="AT718" s="20">
        <v>4000</v>
      </c>
      <c r="AU718" s="20">
        <v>4627.7783203125</v>
      </c>
      <c r="AV718" s="20">
        <f t="shared" si="94"/>
        <v>627.7783203125</v>
      </c>
      <c r="AW718" s="21">
        <f t="shared" si="95"/>
        <v>0.15694458007812501</v>
      </c>
    </row>
    <row r="719" spans="1:49" x14ac:dyDescent="0.25">
      <c r="A719" t="s">
        <v>38</v>
      </c>
      <c r="B719" t="s">
        <v>96</v>
      </c>
      <c r="C719">
        <v>112423</v>
      </c>
      <c r="D719">
        <v>2019</v>
      </c>
      <c r="E719" t="s">
        <v>97</v>
      </c>
      <c r="F719" t="s">
        <v>154</v>
      </c>
      <c r="G719" t="s">
        <v>155</v>
      </c>
      <c r="I719">
        <v>6</v>
      </c>
      <c r="J719" t="s">
        <v>43</v>
      </c>
      <c r="K719">
        <v>4</v>
      </c>
      <c r="L719" t="s">
        <v>44</v>
      </c>
      <c r="M719">
        <v>3.6</v>
      </c>
      <c r="N719" t="s">
        <v>73</v>
      </c>
      <c r="O719" t="s">
        <v>46</v>
      </c>
      <c r="P719">
        <v>1</v>
      </c>
      <c r="Q719" t="s">
        <v>74</v>
      </c>
      <c r="R719" t="s">
        <v>92</v>
      </c>
      <c r="S719" t="s">
        <v>49</v>
      </c>
      <c r="U719" t="s">
        <v>50</v>
      </c>
      <c r="V719" t="s">
        <v>76</v>
      </c>
      <c r="W719" t="s">
        <v>461</v>
      </c>
      <c r="X719" t="s">
        <v>141</v>
      </c>
      <c r="Y719" t="s">
        <v>78</v>
      </c>
      <c r="Z719">
        <v>30795</v>
      </c>
      <c r="AA719">
        <v>0</v>
      </c>
      <c r="AB719" t="s">
        <v>79</v>
      </c>
      <c r="AC719" t="s">
        <v>95</v>
      </c>
      <c r="AD719">
        <v>36</v>
      </c>
      <c r="AE719">
        <v>9</v>
      </c>
      <c r="AF719">
        <v>3</v>
      </c>
      <c r="AG719">
        <v>2025</v>
      </c>
      <c r="AH719" s="2">
        <v>7400</v>
      </c>
      <c r="AI719" s="2">
        <v>8869.4580078125</v>
      </c>
      <c r="AJ719" s="2">
        <f t="shared" si="88"/>
        <v>1469.4580078125</v>
      </c>
      <c r="AK719" s="6">
        <f t="shared" si="89"/>
        <v>0.19857540646114866</v>
      </c>
      <c r="AL719" s="12">
        <v>7400</v>
      </c>
      <c r="AM719" s="12">
        <v>9260.2857080323647</v>
      </c>
      <c r="AN719" s="12">
        <f t="shared" si="90"/>
        <v>1860.2857080323647</v>
      </c>
      <c r="AO719" s="13">
        <f t="shared" si="91"/>
        <v>0.25138996054491414</v>
      </c>
      <c r="AP719" s="16">
        <v>7400</v>
      </c>
      <c r="AQ719" s="16">
        <v>8909.1349446437816</v>
      </c>
      <c r="AR719" s="16">
        <f t="shared" si="92"/>
        <v>1509.1349446437816</v>
      </c>
      <c r="AS719" s="17">
        <f t="shared" si="93"/>
        <v>0.20393715468159213</v>
      </c>
      <c r="AT719" s="20">
        <v>7400</v>
      </c>
      <c r="AU719" s="20">
        <v>9005.8056640625</v>
      </c>
      <c r="AV719" s="20">
        <f t="shared" si="94"/>
        <v>1605.8056640625</v>
      </c>
      <c r="AW719" s="21">
        <f t="shared" si="95"/>
        <v>0.21700076541385135</v>
      </c>
    </row>
    <row r="720" spans="1:49" x14ac:dyDescent="0.25">
      <c r="A720" t="s">
        <v>114</v>
      </c>
      <c r="B720" t="s">
        <v>340</v>
      </c>
      <c r="C720">
        <v>176006</v>
      </c>
      <c r="D720">
        <v>2008</v>
      </c>
      <c r="E720" t="s">
        <v>146</v>
      </c>
      <c r="F720" t="s">
        <v>334</v>
      </c>
      <c r="I720">
        <v>6</v>
      </c>
      <c r="J720" t="s">
        <v>61</v>
      </c>
      <c r="K720">
        <v>4</v>
      </c>
      <c r="L720" t="s">
        <v>44</v>
      </c>
      <c r="M720">
        <v>3.5</v>
      </c>
      <c r="N720" t="s">
        <v>45</v>
      </c>
      <c r="O720" t="s">
        <v>46</v>
      </c>
      <c r="P720">
        <v>2</v>
      </c>
      <c r="Q720" t="s">
        <v>47</v>
      </c>
      <c r="R720" t="s">
        <v>123</v>
      </c>
      <c r="S720" t="s">
        <v>49</v>
      </c>
      <c r="U720" t="s">
        <v>50</v>
      </c>
      <c r="V720" t="s">
        <v>76</v>
      </c>
      <c r="W720" t="s">
        <v>553</v>
      </c>
      <c r="X720" t="s">
        <v>125</v>
      </c>
      <c r="Y720" t="s">
        <v>78</v>
      </c>
      <c r="AA720">
        <v>0</v>
      </c>
      <c r="AB720" t="s">
        <v>79</v>
      </c>
      <c r="AC720" t="s">
        <v>127</v>
      </c>
      <c r="AD720">
        <v>36</v>
      </c>
      <c r="AE720">
        <v>9</v>
      </c>
      <c r="AF720">
        <v>3</v>
      </c>
      <c r="AG720">
        <v>2025</v>
      </c>
      <c r="AH720" s="2">
        <v>900</v>
      </c>
      <c r="AI720" s="2">
        <v>713.979736328125</v>
      </c>
      <c r="AJ720" s="2">
        <f t="shared" si="88"/>
        <v>186.020263671875</v>
      </c>
      <c r="AK720" s="6">
        <f t="shared" si="89"/>
        <v>0.20668918185763888</v>
      </c>
      <c r="AL720" s="12">
        <v>900</v>
      </c>
      <c r="AM720" s="12">
        <v>738.31526274242003</v>
      </c>
      <c r="AN720" s="12">
        <f t="shared" si="90"/>
        <v>161.68473725757997</v>
      </c>
      <c r="AO720" s="13">
        <f t="shared" si="91"/>
        <v>0.17964970806397773</v>
      </c>
      <c r="AP720" s="16">
        <v>900</v>
      </c>
      <c r="AQ720" s="16">
        <v>670.76468795410835</v>
      </c>
      <c r="AR720" s="16">
        <f t="shared" si="92"/>
        <v>229.23531204589165</v>
      </c>
      <c r="AS720" s="17">
        <f t="shared" si="93"/>
        <v>0.25470590227321294</v>
      </c>
      <c r="AT720" s="20">
        <v>900</v>
      </c>
      <c r="AU720" s="20">
        <v>676.7608642578125</v>
      </c>
      <c r="AV720" s="20">
        <f t="shared" si="94"/>
        <v>223.2391357421875</v>
      </c>
      <c r="AW720" s="21">
        <f t="shared" si="95"/>
        <v>0.2480434841579861</v>
      </c>
    </row>
    <row r="721" spans="1:49" x14ac:dyDescent="0.25">
      <c r="A721" t="s">
        <v>38</v>
      </c>
      <c r="B721" t="s">
        <v>68</v>
      </c>
      <c r="C721">
        <v>128623</v>
      </c>
      <c r="D721">
        <v>2018</v>
      </c>
      <c r="E721" t="s">
        <v>40</v>
      </c>
      <c r="F721" t="s">
        <v>297</v>
      </c>
      <c r="G721" t="s">
        <v>991</v>
      </c>
      <c r="H721" t="s">
        <v>863</v>
      </c>
      <c r="I721">
        <v>4</v>
      </c>
      <c r="J721" t="s">
        <v>106</v>
      </c>
      <c r="K721">
        <v>4</v>
      </c>
      <c r="L721" t="s">
        <v>44</v>
      </c>
      <c r="M721">
        <v>2.5</v>
      </c>
      <c r="N721" t="s">
        <v>45</v>
      </c>
      <c r="O721" t="s">
        <v>46</v>
      </c>
      <c r="P721">
        <v>3</v>
      </c>
      <c r="Q721" t="s">
        <v>47</v>
      </c>
      <c r="R721" t="s">
        <v>123</v>
      </c>
      <c r="S721" t="s">
        <v>49</v>
      </c>
      <c r="T721">
        <v>203</v>
      </c>
      <c r="U721" t="s">
        <v>50</v>
      </c>
      <c r="V721" t="s">
        <v>51</v>
      </c>
      <c r="W721" t="s">
        <v>449</v>
      </c>
      <c r="X721" t="s">
        <v>125</v>
      </c>
      <c r="Y721" t="s">
        <v>78</v>
      </c>
      <c r="Z721">
        <v>23645</v>
      </c>
      <c r="AA721">
        <v>0</v>
      </c>
      <c r="AB721" t="s">
        <v>79</v>
      </c>
      <c r="AC721" t="s">
        <v>127</v>
      </c>
      <c r="AD721">
        <v>36</v>
      </c>
      <c r="AE721">
        <v>9</v>
      </c>
      <c r="AF721">
        <v>3</v>
      </c>
      <c r="AG721">
        <v>2025</v>
      </c>
      <c r="AH721" s="2">
        <v>8800</v>
      </c>
      <c r="AI721" s="2">
        <v>6068.8671875</v>
      </c>
      <c r="AJ721" s="2">
        <f t="shared" si="88"/>
        <v>2731.1328125</v>
      </c>
      <c r="AK721" s="6">
        <f t="shared" si="89"/>
        <v>0.31035600142045455</v>
      </c>
      <c r="AL721" s="12">
        <v>8800</v>
      </c>
      <c r="AM721" s="12">
        <v>6819.6962627705661</v>
      </c>
      <c r="AN721" s="12">
        <f t="shared" si="90"/>
        <v>1980.3037372294339</v>
      </c>
      <c r="AO721" s="13">
        <f t="shared" si="91"/>
        <v>0.22503451559425386</v>
      </c>
      <c r="AP721" s="16">
        <v>8800</v>
      </c>
      <c r="AQ721" s="16">
        <v>6750.5641973705324</v>
      </c>
      <c r="AR721" s="16">
        <f t="shared" si="92"/>
        <v>2049.4358026294676</v>
      </c>
      <c r="AS721" s="17">
        <f t="shared" si="93"/>
        <v>0.23289043211698496</v>
      </c>
      <c r="AT721" s="20">
        <v>8800</v>
      </c>
      <c r="AU721" s="20">
        <v>6267.7958984375</v>
      </c>
      <c r="AV721" s="20">
        <f t="shared" si="94"/>
        <v>2532.2041015625</v>
      </c>
      <c r="AW721" s="21">
        <f t="shared" si="95"/>
        <v>0.28775046608664773</v>
      </c>
    </row>
    <row r="722" spans="1:49" x14ac:dyDescent="0.25">
      <c r="A722" t="s">
        <v>38</v>
      </c>
      <c r="B722" t="s">
        <v>68</v>
      </c>
      <c r="C722">
        <v>85067</v>
      </c>
      <c r="D722">
        <v>2018</v>
      </c>
      <c r="E722" t="s">
        <v>166</v>
      </c>
      <c r="F722" t="s">
        <v>247</v>
      </c>
      <c r="G722" t="s">
        <v>248</v>
      </c>
      <c r="I722">
        <v>4</v>
      </c>
      <c r="J722" t="s">
        <v>72</v>
      </c>
      <c r="K722">
        <v>4</v>
      </c>
      <c r="L722" t="s">
        <v>44</v>
      </c>
      <c r="M722">
        <v>1.5</v>
      </c>
      <c r="N722" t="s">
        <v>44</v>
      </c>
      <c r="O722" t="s">
        <v>46</v>
      </c>
      <c r="P722">
        <v>4</v>
      </c>
      <c r="Q722" t="s">
        <v>62</v>
      </c>
      <c r="R722" t="s">
        <v>63</v>
      </c>
      <c r="T722">
        <v>190</v>
      </c>
      <c r="U722" t="s">
        <v>50</v>
      </c>
      <c r="V722" t="s">
        <v>51</v>
      </c>
      <c r="W722" t="s">
        <v>249</v>
      </c>
      <c r="X722" t="s">
        <v>65</v>
      </c>
      <c r="Y722" t="s">
        <v>103</v>
      </c>
      <c r="Z722">
        <v>27050</v>
      </c>
      <c r="AA722">
        <v>0</v>
      </c>
      <c r="AB722" t="s">
        <v>79</v>
      </c>
      <c r="AC722" t="s">
        <v>87</v>
      </c>
      <c r="AD722">
        <v>36</v>
      </c>
      <c r="AE722">
        <v>9</v>
      </c>
      <c r="AF722">
        <v>3</v>
      </c>
      <c r="AG722">
        <v>2025</v>
      </c>
      <c r="AH722" s="2">
        <v>16250</v>
      </c>
      <c r="AI722" s="2">
        <v>13808.2958984375</v>
      </c>
      <c r="AJ722" s="2">
        <f t="shared" si="88"/>
        <v>2441.7041015625</v>
      </c>
      <c r="AK722" s="6">
        <f t="shared" si="89"/>
        <v>0.15025871394230769</v>
      </c>
      <c r="AL722" s="12">
        <v>16250</v>
      </c>
      <c r="AM722" s="12">
        <v>15069.035472818299</v>
      </c>
      <c r="AN722" s="12">
        <f t="shared" si="90"/>
        <v>1180.9645271817008</v>
      </c>
      <c r="AO722" s="13">
        <f t="shared" si="91"/>
        <v>7.2674740134258509E-2</v>
      </c>
      <c r="AP722" s="16">
        <v>16250</v>
      </c>
      <c r="AQ722" s="16">
        <v>13661.8203698773</v>
      </c>
      <c r="AR722" s="16">
        <f t="shared" si="92"/>
        <v>2588.1796301227005</v>
      </c>
      <c r="AS722" s="17">
        <f t="shared" si="93"/>
        <v>0.15927259262293542</v>
      </c>
      <c r="AT722" s="20">
        <v>16250</v>
      </c>
      <c r="AU722" s="20">
        <v>13965.7998046875</v>
      </c>
      <c r="AV722" s="20">
        <f t="shared" si="94"/>
        <v>2284.2001953125</v>
      </c>
      <c r="AW722" s="21">
        <f t="shared" si="95"/>
        <v>0.14056616586538462</v>
      </c>
    </row>
    <row r="723" spans="1:49" x14ac:dyDescent="0.25">
      <c r="A723" t="s">
        <v>38</v>
      </c>
      <c r="B723" t="s">
        <v>110</v>
      </c>
      <c r="C723">
        <v>150307</v>
      </c>
      <c r="D723">
        <v>2016</v>
      </c>
      <c r="E723" t="s">
        <v>166</v>
      </c>
      <c r="F723" t="s">
        <v>167</v>
      </c>
      <c r="G723" t="s">
        <v>992</v>
      </c>
      <c r="I723">
        <v>6</v>
      </c>
      <c r="J723" t="s">
        <v>106</v>
      </c>
      <c r="K723">
        <v>4</v>
      </c>
      <c r="L723" t="s">
        <v>44</v>
      </c>
      <c r="M723">
        <v>3.5</v>
      </c>
      <c r="N723" t="s">
        <v>45</v>
      </c>
      <c r="Q723" t="s">
        <v>62</v>
      </c>
      <c r="R723" t="s">
        <v>63</v>
      </c>
      <c r="S723" t="s">
        <v>49</v>
      </c>
      <c r="T723">
        <v>280</v>
      </c>
      <c r="U723" t="s">
        <v>50</v>
      </c>
      <c r="V723" t="s">
        <v>76</v>
      </c>
      <c r="W723" t="s">
        <v>412</v>
      </c>
      <c r="X723" t="s">
        <v>141</v>
      </c>
      <c r="Y723" t="s">
        <v>78</v>
      </c>
      <c r="AA723">
        <v>0</v>
      </c>
      <c r="AB723" t="s">
        <v>79</v>
      </c>
      <c r="AC723" t="s">
        <v>87</v>
      </c>
      <c r="AD723">
        <v>36</v>
      </c>
      <c r="AE723">
        <v>9</v>
      </c>
      <c r="AF723">
        <v>3</v>
      </c>
      <c r="AG723">
        <v>2025</v>
      </c>
      <c r="AH723" s="2">
        <v>6600</v>
      </c>
      <c r="AI723" s="2">
        <v>7311.02783203125</v>
      </c>
      <c r="AJ723" s="2">
        <f t="shared" si="88"/>
        <v>711.02783203125</v>
      </c>
      <c r="AK723" s="6">
        <f t="shared" si="89"/>
        <v>0.10773148970170454</v>
      </c>
      <c r="AL723" s="12">
        <v>6600</v>
      </c>
      <c r="AM723" s="12">
        <v>6443.9136152921483</v>
      </c>
      <c r="AN723" s="12">
        <f t="shared" si="90"/>
        <v>156.08638470785172</v>
      </c>
      <c r="AO723" s="13">
        <f t="shared" si="91"/>
        <v>2.3649452228462382E-2</v>
      </c>
      <c r="AP723" s="16">
        <v>6600</v>
      </c>
      <c r="AQ723" s="16">
        <v>5519.4116129882732</v>
      </c>
      <c r="AR723" s="16">
        <f t="shared" si="92"/>
        <v>1080.5883870117268</v>
      </c>
      <c r="AS723" s="17">
        <f t="shared" si="93"/>
        <v>0.16372551318359496</v>
      </c>
      <c r="AT723" s="20">
        <v>6600</v>
      </c>
      <c r="AU723" s="20">
        <v>7308.3505859375</v>
      </c>
      <c r="AV723" s="20">
        <f t="shared" si="94"/>
        <v>708.3505859375</v>
      </c>
      <c r="AW723" s="21">
        <f t="shared" si="95"/>
        <v>0.10732584635416667</v>
      </c>
    </row>
    <row r="724" spans="1:49" x14ac:dyDescent="0.25">
      <c r="A724" t="s">
        <v>38</v>
      </c>
      <c r="B724" t="s">
        <v>96</v>
      </c>
      <c r="C724">
        <v>107519</v>
      </c>
      <c r="D724">
        <v>2020</v>
      </c>
      <c r="E724" t="s">
        <v>97</v>
      </c>
      <c r="F724" t="s">
        <v>159</v>
      </c>
      <c r="G724" t="s">
        <v>155</v>
      </c>
      <c r="H724" t="s">
        <v>89</v>
      </c>
      <c r="I724">
        <v>4</v>
      </c>
      <c r="J724" t="s">
        <v>122</v>
      </c>
      <c r="K724">
        <v>4</v>
      </c>
      <c r="L724" t="s">
        <v>44</v>
      </c>
      <c r="M724">
        <v>2.7</v>
      </c>
      <c r="N724" t="s">
        <v>73</v>
      </c>
      <c r="O724" t="s">
        <v>46</v>
      </c>
      <c r="P724">
        <v>3</v>
      </c>
      <c r="Q724" t="s">
        <v>74</v>
      </c>
      <c r="R724" t="s">
        <v>92</v>
      </c>
      <c r="S724" t="s">
        <v>49</v>
      </c>
      <c r="U724" t="s">
        <v>50</v>
      </c>
      <c r="V724" t="s">
        <v>51</v>
      </c>
      <c r="W724" t="s">
        <v>993</v>
      </c>
      <c r="X724" t="s">
        <v>94</v>
      </c>
      <c r="Y724" t="s">
        <v>126</v>
      </c>
      <c r="AA724">
        <v>0</v>
      </c>
      <c r="AB724" t="s">
        <v>79</v>
      </c>
      <c r="AC724" t="s">
        <v>95</v>
      </c>
      <c r="AD724">
        <v>36</v>
      </c>
      <c r="AE724">
        <v>9</v>
      </c>
      <c r="AF724">
        <v>3</v>
      </c>
      <c r="AG724">
        <v>2025</v>
      </c>
      <c r="AH724" s="2">
        <v>16200</v>
      </c>
      <c r="AI724" s="2">
        <v>15492.2685546875</v>
      </c>
      <c r="AJ724" s="2">
        <f t="shared" si="88"/>
        <v>707.7314453125</v>
      </c>
      <c r="AK724" s="6">
        <f t="shared" si="89"/>
        <v>4.3687126253858025E-2</v>
      </c>
      <c r="AL724" s="12">
        <v>16200</v>
      </c>
      <c r="AM724" s="12">
        <v>13577.265713592489</v>
      </c>
      <c r="AN724" s="12">
        <f t="shared" si="90"/>
        <v>2622.7342864075108</v>
      </c>
      <c r="AO724" s="13">
        <f t="shared" si="91"/>
        <v>0.16189717817330312</v>
      </c>
      <c r="AP724" s="16">
        <v>16200</v>
      </c>
      <c r="AQ724" s="16">
        <v>14657.928676499299</v>
      </c>
      <c r="AR724" s="16">
        <f t="shared" si="92"/>
        <v>1542.0713235007006</v>
      </c>
      <c r="AS724" s="17">
        <f t="shared" si="93"/>
        <v>9.5189587870413622E-2</v>
      </c>
      <c r="AT724" s="20">
        <v>16200</v>
      </c>
      <c r="AU724" s="20">
        <v>15134.9404296875</v>
      </c>
      <c r="AV724" s="20">
        <f t="shared" si="94"/>
        <v>1065.0595703125</v>
      </c>
      <c r="AW724" s="21">
        <f t="shared" si="95"/>
        <v>6.5744417920524698E-2</v>
      </c>
    </row>
    <row r="725" spans="1:49" x14ac:dyDescent="0.25">
      <c r="A725" t="s">
        <v>38</v>
      </c>
      <c r="B725" t="s">
        <v>96</v>
      </c>
      <c r="C725">
        <v>85240</v>
      </c>
      <c r="D725">
        <v>2015</v>
      </c>
      <c r="E725" t="s">
        <v>69</v>
      </c>
      <c r="F725" t="s">
        <v>258</v>
      </c>
      <c r="H725" t="s">
        <v>994</v>
      </c>
      <c r="I725">
        <v>8</v>
      </c>
      <c r="J725" t="s">
        <v>72</v>
      </c>
      <c r="K725">
        <v>2</v>
      </c>
      <c r="L725" t="s">
        <v>44</v>
      </c>
      <c r="M725">
        <v>6.7</v>
      </c>
      <c r="N725" t="s">
        <v>73</v>
      </c>
      <c r="O725" t="s">
        <v>46</v>
      </c>
      <c r="Q725" t="s">
        <v>477</v>
      </c>
      <c r="R725" t="s">
        <v>995</v>
      </c>
      <c r="S725" t="s">
        <v>49</v>
      </c>
      <c r="T725">
        <v>440</v>
      </c>
      <c r="U725" t="s">
        <v>229</v>
      </c>
      <c r="V725" t="s">
        <v>76</v>
      </c>
      <c r="X725" t="s">
        <v>260</v>
      </c>
      <c r="Y725" t="s">
        <v>78</v>
      </c>
      <c r="AA725">
        <v>0</v>
      </c>
      <c r="AB725" t="s">
        <v>79</v>
      </c>
      <c r="AC725" t="s">
        <v>886</v>
      </c>
      <c r="AD725">
        <v>36</v>
      </c>
      <c r="AE725">
        <v>9</v>
      </c>
      <c r="AF725">
        <v>3</v>
      </c>
      <c r="AG725">
        <v>2025</v>
      </c>
      <c r="AH725" s="2">
        <v>21800</v>
      </c>
      <c r="AI725" s="2">
        <v>22474.1484375</v>
      </c>
      <c r="AJ725" s="2">
        <f t="shared" si="88"/>
        <v>674.1484375</v>
      </c>
      <c r="AK725" s="6">
        <f t="shared" si="89"/>
        <v>3.0924240252293577E-2</v>
      </c>
      <c r="AL725" s="12">
        <v>21800</v>
      </c>
      <c r="AM725" s="12">
        <v>23602.681109437679</v>
      </c>
      <c r="AN725" s="12">
        <f t="shared" si="90"/>
        <v>1802.681109437679</v>
      </c>
      <c r="AO725" s="13">
        <f t="shared" si="91"/>
        <v>8.2691794010902708E-2</v>
      </c>
      <c r="AP725" s="16">
        <v>21800</v>
      </c>
      <c r="AQ725" s="16">
        <v>21293.14928764314</v>
      </c>
      <c r="AR725" s="16">
        <f t="shared" si="92"/>
        <v>506.85071235685973</v>
      </c>
      <c r="AS725" s="17">
        <f t="shared" si="93"/>
        <v>2.325003267692017E-2</v>
      </c>
      <c r="AT725" s="20">
        <v>21800</v>
      </c>
      <c r="AU725" s="20">
        <v>22502.5234375</v>
      </c>
      <c r="AV725" s="20">
        <f t="shared" si="94"/>
        <v>702.5234375</v>
      </c>
      <c r="AW725" s="21">
        <f t="shared" si="95"/>
        <v>3.2225845756880735E-2</v>
      </c>
    </row>
    <row r="726" spans="1:49" x14ac:dyDescent="0.25">
      <c r="A726" t="s">
        <v>81</v>
      </c>
      <c r="B726" t="s">
        <v>82</v>
      </c>
      <c r="C726">
        <v>175519</v>
      </c>
      <c r="D726">
        <v>1999</v>
      </c>
      <c r="E726" t="s">
        <v>40</v>
      </c>
      <c r="F726" t="s">
        <v>297</v>
      </c>
      <c r="H726" t="s">
        <v>996</v>
      </c>
      <c r="I726">
        <v>4</v>
      </c>
      <c r="J726" t="s">
        <v>178</v>
      </c>
      <c r="K726">
        <v>4</v>
      </c>
      <c r="L726" t="s">
        <v>44</v>
      </c>
      <c r="M726">
        <v>2.2000000000000002</v>
      </c>
      <c r="N726" t="s">
        <v>45</v>
      </c>
      <c r="O726" t="s">
        <v>46</v>
      </c>
      <c r="Q726" t="s">
        <v>47</v>
      </c>
      <c r="R726" t="s">
        <v>123</v>
      </c>
      <c r="S726" t="s">
        <v>49</v>
      </c>
      <c r="T726">
        <v>130</v>
      </c>
      <c r="U726" t="s">
        <v>50</v>
      </c>
      <c r="V726" t="s">
        <v>51</v>
      </c>
      <c r="W726" t="s">
        <v>997</v>
      </c>
      <c r="X726" t="s">
        <v>125</v>
      </c>
      <c r="Y726" t="s">
        <v>78</v>
      </c>
      <c r="AA726">
        <v>0</v>
      </c>
      <c r="AB726" t="s">
        <v>79</v>
      </c>
      <c r="AC726" t="s">
        <v>127</v>
      </c>
      <c r="AD726">
        <v>36</v>
      </c>
      <c r="AE726">
        <v>9</v>
      </c>
      <c r="AF726">
        <v>3</v>
      </c>
      <c r="AG726">
        <v>2025</v>
      </c>
      <c r="AH726" s="2">
        <v>550</v>
      </c>
      <c r="AI726" s="2">
        <v>600.1123046875</v>
      </c>
      <c r="AJ726" s="2">
        <f t="shared" si="88"/>
        <v>50.1123046875</v>
      </c>
      <c r="AK726" s="6">
        <f t="shared" si="89"/>
        <v>9.1113281249999997E-2</v>
      </c>
      <c r="AL726" s="12">
        <v>550</v>
      </c>
      <c r="AM726" s="12">
        <v>692.91389581035332</v>
      </c>
      <c r="AN726" s="12">
        <f t="shared" si="90"/>
        <v>142.91389581035332</v>
      </c>
      <c r="AO726" s="13">
        <f t="shared" si="91"/>
        <v>0.25984344692791511</v>
      </c>
      <c r="AP726" s="16">
        <v>550</v>
      </c>
      <c r="AQ726" s="16">
        <v>496.80878766887457</v>
      </c>
      <c r="AR726" s="16">
        <f t="shared" si="92"/>
        <v>53.191212331125428</v>
      </c>
      <c r="AS726" s="17">
        <f t="shared" si="93"/>
        <v>9.6711295147500778E-2</v>
      </c>
      <c r="AT726" s="20">
        <v>550</v>
      </c>
      <c r="AU726" s="20">
        <v>616.9681396484375</v>
      </c>
      <c r="AV726" s="20">
        <f t="shared" si="94"/>
        <v>66.9681396484375</v>
      </c>
      <c r="AW726" s="21">
        <f t="shared" si="95"/>
        <v>0.12176025390625</v>
      </c>
    </row>
    <row r="727" spans="1:49" x14ac:dyDescent="0.25">
      <c r="A727" t="s">
        <v>81</v>
      </c>
      <c r="B727" t="s">
        <v>304</v>
      </c>
      <c r="C727">
        <v>13889</v>
      </c>
      <c r="D727">
        <v>2023</v>
      </c>
      <c r="E727" t="s">
        <v>132</v>
      </c>
      <c r="F727" t="s">
        <v>998</v>
      </c>
      <c r="H727" t="s">
        <v>999</v>
      </c>
      <c r="J727" t="s">
        <v>72</v>
      </c>
      <c r="K727">
        <v>4</v>
      </c>
      <c r="L727" t="s">
        <v>44</v>
      </c>
      <c r="N727" t="s">
        <v>44</v>
      </c>
      <c r="O727" t="s">
        <v>46</v>
      </c>
      <c r="Q727" t="s">
        <v>62</v>
      </c>
      <c r="R727" t="s">
        <v>63</v>
      </c>
      <c r="S727" t="s">
        <v>85</v>
      </c>
      <c r="T727">
        <v>288</v>
      </c>
      <c r="U727" t="s">
        <v>601</v>
      </c>
      <c r="W727" t="s">
        <v>1000</v>
      </c>
      <c r="X727" t="s">
        <v>94</v>
      </c>
      <c r="Y727" t="s">
        <v>78</v>
      </c>
      <c r="AA727">
        <v>1</v>
      </c>
      <c r="AB727" t="s">
        <v>603</v>
      </c>
      <c r="AC727" t="s">
        <v>67</v>
      </c>
      <c r="AD727">
        <v>36</v>
      </c>
      <c r="AE727">
        <v>9</v>
      </c>
      <c r="AF727">
        <v>3</v>
      </c>
      <c r="AG727">
        <v>2025</v>
      </c>
      <c r="AH727" s="2">
        <v>35900</v>
      </c>
      <c r="AI727" s="2">
        <v>46171.29296875</v>
      </c>
      <c r="AJ727" s="2">
        <f t="shared" si="88"/>
        <v>10271.29296875</v>
      </c>
      <c r="AK727" s="6">
        <f t="shared" si="89"/>
        <v>0.28610843924094709</v>
      </c>
      <c r="AL727" s="12">
        <v>35900</v>
      </c>
      <c r="AM727" s="12">
        <v>46795.887637583481</v>
      </c>
      <c r="AN727" s="12">
        <f t="shared" si="90"/>
        <v>10895.887637583481</v>
      </c>
      <c r="AO727" s="13">
        <f t="shared" si="91"/>
        <v>0.3035066194312947</v>
      </c>
      <c r="AP727" s="16">
        <v>35900</v>
      </c>
      <c r="AQ727" s="16">
        <v>46173.680781276133</v>
      </c>
      <c r="AR727" s="16">
        <f t="shared" si="92"/>
        <v>10273.680781276133</v>
      </c>
      <c r="AS727" s="17">
        <f t="shared" si="93"/>
        <v>0.28617495212468336</v>
      </c>
      <c r="AT727" s="20">
        <v>35900</v>
      </c>
      <c r="AU727" s="20">
        <v>45646.296875</v>
      </c>
      <c r="AV727" s="20">
        <f t="shared" si="94"/>
        <v>9746.296875</v>
      </c>
      <c r="AW727" s="21">
        <f t="shared" si="95"/>
        <v>0.27148459261838442</v>
      </c>
    </row>
    <row r="728" spans="1:49" x14ac:dyDescent="0.25">
      <c r="A728" t="s">
        <v>128</v>
      </c>
      <c r="B728" t="s">
        <v>210</v>
      </c>
      <c r="C728">
        <v>1592</v>
      </c>
      <c r="D728">
        <v>2025</v>
      </c>
      <c r="E728" t="s">
        <v>69</v>
      </c>
      <c r="F728" t="s">
        <v>157</v>
      </c>
      <c r="G728" t="s">
        <v>903</v>
      </c>
      <c r="I728">
        <v>4</v>
      </c>
      <c r="J728" t="s">
        <v>135</v>
      </c>
      <c r="K728">
        <v>4</v>
      </c>
      <c r="L728" t="s">
        <v>44</v>
      </c>
      <c r="M728">
        <v>2.2999999999999998</v>
      </c>
      <c r="N728" t="s">
        <v>91</v>
      </c>
      <c r="O728" t="s">
        <v>46</v>
      </c>
      <c r="Q728" t="s">
        <v>62</v>
      </c>
      <c r="R728" t="s">
        <v>63</v>
      </c>
      <c r="S728" t="s">
        <v>93</v>
      </c>
      <c r="U728" t="s">
        <v>50</v>
      </c>
      <c r="V728" t="s">
        <v>51</v>
      </c>
      <c r="W728" t="s">
        <v>904</v>
      </c>
      <c r="X728" t="s">
        <v>141</v>
      </c>
      <c r="Y728" t="s">
        <v>78</v>
      </c>
      <c r="AA728">
        <v>0</v>
      </c>
      <c r="AB728" t="s">
        <v>79</v>
      </c>
      <c r="AC728" t="s">
        <v>87</v>
      </c>
      <c r="AD728">
        <v>36</v>
      </c>
      <c r="AE728">
        <v>9</v>
      </c>
      <c r="AF728">
        <v>3</v>
      </c>
      <c r="AG728">
        <v>2025</v>
      </c>
      <c r="AH728" s="2">
        <v>47900</v>
      </c>
      <c r="AI728" s="2">
        <v>36838.9296875</v>
      </c>
      <c r="AJ728" s="2">
        <f t="shared" si="88"/>
        <v>11061.0703125</v>
      </c>
      <c r="AK728" s="6">
        <f t="shared" si="89"/>
        <v>0.2309200482776618</v>
      </c>
      <c r="AL728" s="12">
        <v>47900</v>
      </c>
      <c r="AM728" s="12">
        <v>31208.018104386199</v>
      </c>
      <c r="AN728" s="12">
        <f t="shared" si="90"/>
        <v>16691.981895613801</v>
      </c>
      <c r="AO728" s="13">
        <f t="shared" si="91"/>
        <v>0.3484756136871357</v>
      </c>
      <c r="AP728" s="16">
        <v>47900</v>
      </c>
      <c r="AQ728" s="16">
        <v>30315.478682961191</v>
      </c>
      <c r="AR728" s="16">
        <f t="shared" si="92"/>
        <v>17584.521317038809</v>
      </c>
      <c r="AS728" s="17">
        <f t="shared" si="93"/>
        <v>0.36710900453108158</v>
      </c>
      <c r="AT728" s="20">
        <v>47900</v>
      </c>
      <c r="AU728" s="20">
        <v>36003.453125</v>
      </c>
      <c r="AV728" s="20">
        <f t="shared" si="94"/>
        <v>11896.546875</v>
      </c>
      <c r="AW728" s="21">
        <f t="shared" si="95"/>
        <v>0.24836214770354906</v>
      </c>
    </row>
    <row r="729" spans="1:49" x14ac:dyDescent="0.25">
      <c r="A729" t="s">
        <v>114</v>
      </c>
      <c r="B729" t="s">
        <v>340</v>
      </c>
      <c r="C729">
        <v>98809</v>
      </c>
      <c r="D729">
        <v>2004</v>
      </c>
      <c r="E729" t="s">
        <v>403</v>
      </c>
      <c r="F729" t="s">
        <v>1001</v>
      </c>
      <c r="G729" t="s">
        <v>1002</v>
      </c>
      <c r="I729">
        <v>8</v>
      </c>
      <c r="J729" t="s">
        <v>135</v>
      </c>
      <c r="K729">
        <v>4</v>
      </c>
      <c r="L729" t="s">
        <v>44</v>
      </c>
      <c r="M729">
        <v>4.5999999999999996</v>
      </c>
      <c r="N729" t="s">
        <v>45</v>
      </c>
      <c r="O729" t="s">
        <v>46</v>
      </c>
      <c r="P729">
        <v>3</v>
      </c>
      <c r="Q729" t="s">
        <v>47</v>
      </c>
      <c r="R729" t="s">
        <v>123</v>
      </c>
      <c r="U729" t="s">
        <v>50</v>
      </c>
      <c r="V729" t="s">
        <v>76</v>
      </c>
      <c r="W729" t="s">
        <v>1003</v>
      </c>
      <c r="X729" t="s">
        <v>125</v>
      </c>
      <c r="Y729" t="s">
        <v>78</v>
      </c>
      <c r="AA729">
        <v>0</v>
      </c>
      <c r="AB729" t="s">
        <v>79</v>
      </c>
      <c r="AC729" t="s">
        <v>127</v>
      </c>
      <c r="AD729">
        <v>36</v>
      </c>
      <c r="AE729">
        <v>9</v>
      </c>
      <c r="AF729">
        <v>3</v>
      </c>
      <c r="AG729">
        <v>2025</v>
      </c>
      <c r="AH729" s="2">
        <v>800</v>
      </c>
      <c r="AI729" s="2">
        <v>783.39984130859375</v>
      </c>
      <c r="AJ729" s="2">
        <f t="shared" si="88"/>
        <v>16.60015869140625</v>
      </c>
      <c r="AK729" s="6">
        <f t="shared" si="89"/>
        <v>2.0750198364257812E-2</v>
      </c>
      <c r="AL729" s="12">
        <v>800</v>
      </c>
      <c r="AM729" s="12">
        <v>1215.322162643979</v>
      </c>
      <c r="AN729" s="12">
        <f t="shared" si="90"/>
        <v>415.32216264397903</v>
      </c>
      <c r="AO729" s="13">
        <f t="shared" si="91"/>
        <v>0.51915270330497376</v>
      </c>
      <c r="AP729" s="16">
        <v>800</v>
      </c>
      <c r="AQ729" s="16">
        <v>892.29556450290795</v>
      </c>
      <c r="AR729" s="16">
        <f t="shared" si="92"/>
        <v>92.295564502907951</v>
      </c>
      <c r="AS729" s="17">
        <f t="shared" si="93"/>
        <v>0.11536945562863493</v>
      </c>
      <c r="AT729" s="20">
        <v>800</v>
      </c>
      <c r="AU729" s="20">
        <v>789.03082275390625</v>
      </c>
      <c r="AV729" s="20">
        <f t="shared" si="94"/>
        <v>10.96917724609375</v>
      </c>
      <c r="AW729" s="21">
        <f t="shared" si="95"/>
        <v>1.3711471557617188E-2</v>
      </c>
    </row>
    <row r="730" spans="1:49" x14ac:dyDescent="0.25">
      <c r="A730" t="s">
        <v>128</v>
      </c>
      <c r="B730" t="s">
        <v>210</v>
      </c>
      <c r="C730">
        <v>118350</v>
      </c>
      <c r="D730">
        <v>2012</v>
      </c>
      <c r="E730" t="s">
        <v>40</v>
      </c>
      <c r="F730" t="s">
        <v>201</v>
      </c>
      <c r="H730" t="s">
        <v>496</v>
      </c>
      <c r="I730">
        <v>4</v>
      </c>
      <c r="J730" t="s">
        <v>61</v>
      </c>
      <c r="K730">
        <v>4</v>
      </c>
      <c r="L730" t="s">
        <v>44</v>
      </c>
      <c r="M730">
        <v>1.8</v>
      </c>
      <c r="N730" t="s">
        <v>45</v>
      </c>
      <c r="O730" t="s">
        <v>46</v>
      </c>
      <c r="Q730" t="s">
        <v>47</v>
      </c>
      <c r="R730" t="s">
        <v>123</v>
      </c>
      <c r="S730" t="s">
        <v>49</v>
      </c>
      <c r="T730">
        <v>132</v>
      </c>
      <c r="U730" t="s">
        <v>50</v>
      </c>
      <c r="V730" t="s">
        <v>51</v>
      </c>
      <c r="W730" t="s">
        <v>204</v>
      </c>
      <c r="X730" t="s">
        <v>125</v>
      </c>
      <c r="Y730" t="s">
        <v>78</v>
      </c>
      <c r="AA730">
        <v>0</v>
      </c>
      <c r="AB730" t="s">
        <v>79</v>
      </c>
      <c r="AC730" t="s">
        <v>127</v>
      </c>
      <c r="AD730">
        <v>36</v>
      </c>
      <c r="AE730">
        <v>9</v>
      </c>
      <c r="AF730">
        <v>3</v>
      </c>
      <c r="AG730">
        <v>2025</v>
      </c>
      <c r="AH730" s="2">
        <v>5200</v>
      </c>
      <c r="AI730" s="2">
        <v>3385.92236328125</v>
      </c>
      <c r="AJ730" s="2">
        <f t="shared" si="88"/>
        <v>1814.07763671875</v>
      </c>
      <c r="AK730" s="6">
        <f t="shared" si="89"/>
        <v>0.34886108398437499</v>
      </c>
      <c r="AL730" s="12">
        <v>5200</v>
      </c>
      <c r="AM730" s="12">
        <v>3506.9922738797468</v>
      </c>
      <c r="AN730" s="12">
        <f t="shared" si="90"/>
        <v>1693.0077261202532</v>
      </c>
      <c r="AO730" s="13">
        <f t="shared" si="91"/>
        <v>0.32557840886927947</v>
      </c>
      <c r="AP730" s="16">
        <v>5200</v>
      </c>
      <c r="AQ730" s="16">
        <v>3086.887532358603</v>
      </c>
      <c r="AR730" s="16">
        <f t="shared" si="92"/>
        <v>2113.112467641397</v>
      </c>
      <c r="AS730" s="17">
        <f t="shared" si="93"/>
        <v>0.40636778223873016</v>
      </c>
      <c r="AT730" s="20">
        <v>5200</v>
      </c>
      <c r="AU730" s="20">
        <v>3429.9306640625</v>
      </c>
      <c r="AV730" s="20">
        <f t="shared" si="94"/>
        <v>1770.0693359375</v>
      </c>
      <c r="AW730" s="21">
        <f t="shared" si="95"/>
        <v>0.34039794921875</v>
      </c>
    </row>
    <row r="731" spans="1:49" x14ac:dyDescent="0.25">
      <c r="A731" t="s">
        <v>38</v>
      </c>
      <c r="B731" t="s">
        <v>110</v>
      </c>
      <c r="C731">
        <v>123509</v>
      </c>
      <c r="D731">
        <v>2017</v>
      </c>
      <c r="E731" t="s">
        <v>142</v>
      </c>
      <c r="F731" t="s">
        <v>633</v>
      </c>
      <c r="G731" t="s">
        <v>1004</v>
      </c>
      <c r="H731" t="s">
        <v>635</v>
      </c>
      <c r="I731">
        <v>6</v>
      </c>
      <c r="J731" t="s">
        <v>106</v>
      </c>
      <c r="K731">
        <v>4</v>
      </c>
      <c r="L731" t="s">
        <v>44</v>
      </c>
      <c r="M731">
        <v>3.6</v>
      </c>
      <c r="N731" t="s">
        <v>91</v>
      </c>
      <c r="Q731" t="s">
        <v>62</v>
      </c>
      <c r="R731" t="s">
        <v>63</v>
      </c>
      <c r="S731" t="s">
        <v>93</v>
      </c>
      <c r="T731">
        <v>285</v>
      </c>
      <c r="U731" t="s">
        <v>50</v>
      </c>
      <c r="V731" t="s">
        <v>76</v>
      </c>
      <c r="X731" t="s">
        <v>141</v>
      </c>
      <c r="Y731" t="s">
        <v>78</v>
      </c>
      <c r="Z731">
        <v>34245</v>
      </c>
      <c r="AA731">
        <v>0</v>
      </c>
      <c r="AB731" t="s">
        <v>79</v>
      </c>
      <c r="AC731" t="s">
        <v>87</v>
      </c>
      <c r="AD731">
        <v>36</v>
      </c>
      <c r="AE731">
        <v>9</v>
      </c>
      <c r="AF731">
        <v>3</v>
      </c>
      <c r="AG731">
        <v>2025</v>
      </c>
      <c r="AH731" s="2">
        <v>14750</v>
      </c>
      <c r="AI731" s="2">
        <v>11794.720703125</v>
      </c>
      <c r="AJ731" s="2">
        <f t="shared" si="88"/>
        <v>2955.279296875</v>
      </c>
      <c r="AK731" s="6">
        <f t="shared" si="89"/>
        <v>0.20035791843220338</v>
      </c>
      <c r="AL731" s="12">
        <v>14750</v>
      </c>
      <c r="AM731" s="12">
        <v>13058.089482651279</v>
      </c>
      <c r="AN731" s="12">
        <f t="shared" si="90"/>
        <v>1691.9105173487205</v>
      </c>
      <c r="AO731" s="13">
        <f t="shared" si="91"/>
        <v>0.11470579778635394</v>
      </c>
      <c r="AP731" s="16">
        <v>14750</v>
      </c>
      <c r="AQ731" s="16">
        <v>11717.55059075138</v>
      </c>
      <c r="AR731" s="16">
        <f t="shared" si="92"/>
        <v>3032.4494092486202</v>
      </c>
      <c r="AS731" s="17">
        <f t="shared" si="93"/>
        <v>0.20558979045753356</v>
      </c>
      <c r="AT731" s="20">
        <v>14750</v>
      </c>
      <c r="AU731" s="20">
        <v>12106.2509765625</v>
      </c>
      <c r="AV731" s="20">
        <f t="shared" si="94"/>
        <v>2643.7490234375</v>
      </c>
      <c r="AW731" s="21">
        <f t="shared" si="95"/>
        <v>0.17923722192796609</v>
      </c>
    </row>
    <row r="732" spans="1:49" x14ac:dyDescent="0.25">
      <c r="A732" t="s">
        <v>128</v>
      </c>
      <c r="B732" t="s">
        <v>129</v>
      </c>
      <c r="C732">
        <v>135910</v>
      </c>
      <c r="D732">
        <v>2014</v>
      </c>
      <c r="E732" t="s">
        <v>345</v>
      </c>
      <c r="F732" t="s">
        <v>1005</v>
      </c>
      <c r="H732" t="s">
        <v>587</v>
      </c>
      <c r="I732">
        <v>4</v>
      </c>
      <c r="J732" t="s">
        <v>61</v>
      </c>
      <c r="K732">
        <v>2</v>
      </c>
      <c r="L732" t="s">
        <v>44</v>
      </c>
      <c r="M732">
        <v>2</v>
      </c>
      <c r="N732" t="s">
        <v>73</v>
      </c>
      <c r="Q732" t="s">
        <v>47</v>
      </c>
      <c r="R732" t="s">
        <v>197</v>
      </c>
      <c r="T732">
        <v>240</v>
      </c>
      <c r="U732" t="s">
        <v>50</v>
      </c>
      <c r="X732" t="s">
        <v>125</v>
      </c>
      <c r="Y732" t="s">
        <v>137</v>
      </c>
      <c r="AA732">
        <v>0</v>
      </c>
      <c r="AB732" t="s">
        <v>79</v>
      </c>
      <c r="AC732" t="s">
        <v>197</v>
      </c>
      <c r="AD732">
        <v>36</v>
      </c>
      <c r="AE732">
        <v>9</v>
      </c>
      <c r="AF732">
        <v>3</v>
      </c>
      <c r="AG732">
        <v>2025</v>
      </c>
      <c r="AH732" s="2">
        <v>4600</v>
      </c>
      <c r="AI732" s="2">
        <v>3823.965576171875</v>
      </c>
      <c r="AJ732" s="2">
        <f t="shared" si="88"/>
        <v>776.034423828125</v>
      </c>
      <c r="AK732" s="6">
        <f t="shared" si="89"/>
        <v>0.16870313561480979</v>
      </c>
      <c r="AL732" s="12">
        <v>4600</v>
      </c>
      <c r="AM732" s="12">
        <v>3966.4844642707781</v>
      </c>
      <c r="AN732" s="12">
        <f t="shared" si="90"/>
        <v>633.51553572922194</v>
      </c>
      <c r="AO732" s="13">
        <f t="shared" si="91"/>
        <v>0.13772076863678737</v>
      </c>
      <c r="AP732" s="16">
        <v>4600</v>
      </c>
      <c r="AQ732" s="16">
        <v>4104.56892388094</v>
      </c>
      <c r="AR732" s="16">
        <f t="shared" si="92"/>
        <v>495.43107611905998</v>
      </c>
      <c r="AS732" s="17">
        <f t="shared" si="93"/>
        <v>0.10770240785196956</v>
      </c>
      <c r="AT732" s="20">
        <v>4600</v>
      </c>
      <c r="AU732" s="20">
        <v>3875.9130859375</v>
      </c>
      <c r="AV732" s="20">
        <f t="shared" si="94"/>
        <v>724.0869140625</v>
      </c>
      <c r="AW732" s="21">
        <f t="shared" si="95"/>
        <v>0.15741019870923914</v>
      </c>
    </row>
    <row r="733" spans="1:49" x14ac:dyDescent="0.25">
      <c r="A733" t="s">
        <v>128</v>
      </c>
      <c r="B733" t="s">
        <v>129</v>
      </c>
      <c r="C733">
        <v>262921</v>
      </c>
      <c r="D733">
        <v>2011</v>
      </c>
      <c r="E733" t="s">
        <v>166</v>
      </c>
      <c r="F733" t="s">
        <v>247</v>
      </c>
      <c r="G733" t="s">
        <v>224</v>
      </c>
      <c r="I733">
        <v>4</v>
      </c>
      <c r="J733" t="s">
        <v>43</v>
      </c>
      <c r="K733">
        <v>4</v>
      </c>
      <c r="L733" t="s">
        <v>44</v>
      </c>
      <c r="M733">
        <v>2.4</v>
      </c>
      <c r="N733" t="s">
        <v>91</v>
      </c>
      <c r="O733" t="s">
        <v>46</v>
      </c>
      <c r="Q733" t="s">
        <v>62</v>
      </c>
      <c r="R733" t="s">
        <v>63</v>
      </c>
      <c r="S733" t="s">
        <v>93</v>
      </c>
      <c r="T733">
        <v>180</v>
      </c>
      <c r="U733" t="s">
        <v>50</v>
      </c>
      <c r="V733" t="s">
        <v>51</v>
      </c>
      <c r="W733" t="s">
        <v>582</v>
      </c>
      <c r="X733" t="s">
        <v>65</v>
      </c>
      <c r="Y733" t="s">
        <v>78</v>
      </c>
      <c r="AA733">
        <v>0</v>
      </c>
      <c r="AB733" t="s">
        <v>79</v>
      </c>
      <c r="AC733" t="s">
        <v>87</v>
      </c>
      <c r="AD733">
        <v>36</v>
      </c>
      <c r="AE733">
        <v>9</v>
      </c>
      <c r="AF733">
        <v>3</v>
      </c>
      <c r="AG733">
        <v>2025</v>
      </c>
      <c r="AH733" s="2">
        <v>2300</v>
      </c>
      <c r="AI733" s="2">
        <v>1832.629150390625</v>
      </c>
      <c r="AJ733" s="2">
        <f t="shared" si="88"/>
        <v>467.370849609375</v>
      </c>
      <c r="AK733" s="6">
        <f t="shared" si="89"/>
        <v>0.20320471722146738</v>
      </c>
      <c r="AL733" s="12">
        <v>2300</v>
      </c>
      <c r="AM733" s="12">
        <v>2071.4419770391651</v>
      </c>
      <c r="AN733" s="12">
        <f t="shared" si="90"/>
        <v>228.55802296083493</v>
      </c>
      <c r="AO733" s="13">
        <f t="shared" si="91"/>
        <v>9.9373053461232583E-2</v>
      </c>
      <c r="AP733" s="16">
        <v>2300</v>
      </c>
      <c r="AQ733" s="16">
        <v>1620.7738571996899</v>
      </c>
      <c r="AR733" s="16">
        <f t="shared" si="92"/>
        <v>679.22614280031007</v>
      </c>
      <c r="AS733" s="17">
        <f t="shared" si="93"/>
        <v>0.29531571426100439</v>
      </c>
      <c r="AT733" s="20">
        <v>2300</v>
      </c>
      <c r="AU733" s="20">
        <v>1849.65234375</v>
      </c>
      <c r="AV733" s="20">
        <f t="shared" si="94"/>
        <v>450.34765625</v>
      </c>
      <c r="AW733" s="21">
        <f t="shared" si="95"/>
        <v>0.19580332880434784</v>
      </c>
    </row>
    <row r="734" spans="1:49" x14ac:dyDescent="0.25">
      <c r="A734" t="s">
        <v>38</v>
      </c>
      <c r="B734" t="s">
        <v>96</v>
      </c>
      <c r="C734">
        <v>194231</v>
      </c>
      <c r="D734">
        <v>2020</v>
      </c>
      <c r="E734" t="s">
        <v>97</v>
      </c>
      <c r="F734" t="s">
        <v>470</v>
      </c>
      <c r="G734" t="s">
        <v>1006</v>
      </c>
      <c r="I734">
        <v>4</v>
      </c>
      <c r="J734" t="s">
        <v>106</v>
      </c>
      <c r="K734">
        <v>4</v>
      </c>
      <c r="L734" t="s">
        <v>44</v>
      </c>
      <c r="M734">
        <v>1.5</v>
      </c>
      <c r="N734" t="s">
        <v>45</v>
      </c>
      <c r="O734" t="s">
        <v>46</v>
      </c>
      <c r="Q734" t="s">
        <v>47</v>
      </c>
      <c r="R734" t="s">
        <v>123</v>
      </c>
      <c r="S734" t="s">
        <v>101</v>
      </c>
      <c r="U734" t="s">
        <v>50</v>
      </c>
      <c r="V734" t="s">
        <v>51</v>
      </c>
      <c r="W734" t="s">
        <v>687</v>
      </c>
      <c r="X734" t="s">
        <v>125</v>
      </c>
      <c r="Y734" t="s">
        <v>78</v>
      </c>
      <c r="AA734">
        <v>0</v>
      </c>
      <c r="AB734" t="s">
        <v>79</v>
      </c>
      <c r="AC734" t="s">
        <v>127</v>
      </c>
      <c r="AD734">
        <v>36</v>
      </c>
      <c r="AE734">
        <v>9</v>
      </c>
      <c r="AF734">
        <v>3</v>
      </c>
      <c r="AG734">
        <v>2025</v>
      </c>
      <c r="AH734" s="2">
        <v>2000</v>
      </c>
      <c r="AI734" s="2">
        <v>4171.96044921875</v>
      </c>
      <c r="AJ734" s="2">
        <f t="shared" si="88"/>
        <v>2171.96044921875</v>
      </c>
      <c r="AK734" s="6">
        <f t="shared" si="89"/>
        <v>1.085980224609375</v>
      </c>
      <c r="AL734" s="12">
        <v>2000</v>
      </c>
      <c r="AM734" s="12">
        <v>4373.8593485949768</v>
      </c>
      <c r="AN734" s="12">
        <f t="shared" si="90"/>
        <v>2373.8593485949768</v>
      </c>
      <c r="AO734" s="13">
        <f t="shared" si="91"/>
        <v>1.1869296742974884</v>
      </c>
      <c r="AP734" s="16">
        <v>2000</v>
      </c>
      <c r="AQ734" s="16">
        <v>3717.6410963059111</v>
      </c>
      <c r="AR734" s="16">
        <f t="shared" si="92"/>
        <v>1717.6410963059111</v>
      </c>
      <c r="AS734" s="17">
        <f t="shared" si="93"/>
        <v>0.8588205481529555</v>
      </c>
      <c r="AT734" s="20">
        <v>2000</v>
      </c>
      <c r="AU734" s="20">
        <v>4259.59619140625</v>
      </c>
      <c r="AV734" s="20">
        <f t="shared" si="94"/>
        <v>2259.59619140625</v>
      </c>
      <c r="AW734" s="21">
        <f t="shared" si="95"/>
        <v>1.1297980957031251</v>
      </c>
    </row>
    <row r="735" spans="1:49" x14ac:dyDescent="0.25">
      <c r="A735" t="s">
        <v>38</v>
      </c>
      <c r="B735" t="s">
        <v>39</v>
      </c>
      <c r="C735">
        <v>227647</v>
      </c>
      <c r="D735">
        <v>2016</v>
      </c>
      <c r="E735" t="s">
        <v>97</v>
      </c>
      <c r="F735" t="s">
        <v>98</v>
      </c>
      <c r="G735" t="s">
        <v>155</v>
      </c>
      <c r="I735">
        <v>4</v>
      </c>
      <c r="J735" t="s">
        <v>106</v>
      </c>
      <c r="K735">
        <v>4</v>
      </c>
      <c r="L735" t="s">
        <v>44</v>
      </c>
      <c r="M735">
        <v>2.4</v>
      </c>
      <c r="N735" t="s">
        <v>45</v>
      </c>
      <c r="O735" t="s">
        <v>789</v>
      </c>
      <c r="Q735" t="s">
        <v>62</v>
      </c>
      <c r="R735" t="s">
        <v>63</v>
      </c>
      <c r="S735" t="s">
        <v>101</v>
      </c>
      <c r="U735" t="s">
        <v>50</v>
      </c>
      <c r="W735" t="s">
        <v>743</v>
      </c>
      <c r="X735" t="s">
        <v>65</v>
      </c>
      <c r="Y735" t="s">
        <v>103</v>
      </c>
      <c r="AA735">
        <v>0</v>
      </c>
      <c r="AB735" t="s">
        <v>79</v>
      </c>
      <c r="AC735" t="s">
        <v>87</v>
      </c>
      <c r="AD735">
        <v>36</v>
      </c>
      <c r="AE735">
        <v>9</v>
      </c>
      <c r="AF735">
        <v>3</v>
      </c>
      <c r="AG735">
        <v>2025</v>
      </c>
      <c r="AH735" s="2">
        <v>1100</v>
      </c>
      <c r="AI735" s="2">
        <v>1063.91796875</v>
      </c>
      <c r="AJ735" s="2">
        <f t="shared" si="88"/>
        <v>36.08203125</v>
      </c>
      <c r="AK735" s="6">
        <f t="shared" si="89"/>
        <v>3.2801846590909088E-2</v>
      </c>
      <c r="AL735" s="12">
        <v>1100</v>
      </c>
      <c r="AM735" s="12">
        <v>1098.1574814923661</v>
      </c>
      <c r="AN735" s="12">
        <f t="shared" si="90"/>
        <v>1.8425185076339403</v>
      </c>
      <c r="AO735" s="13">
        <f t="shared" si="91"/>
        <v>1.675016825121764E-3</v>
      </c>
      <c r="AP735" s="16">
        <v>1100</v>
      </c>
      <c r="AQ735" s="16">
        <v>942.19578788106264</v>
      </c>
      <c r="AR735" s="16">
        <f t="shared" si="92"/>
        <v>157.80421211893736</v>
      </c>
      <c r="AS735" s="17">
        <f t="shared" si="93"/>
        <v>0.14345837465357941</v>
      </c>
      <c r="AT735" s="20">
        <v>1100</v>
      </c>
      <c r="AU735" s="20">
        <v>1027.039672851562</v>
      </c>
      <c r="AV735" s="20">
        <f t="shared" si="94"/>
        <v>72.960327148437955</v>
      </c>
      <c r="AW735" s="21">
        <f t="shared" si="95"/>
        <v>6.63275701349436E-2</v>
      </c>
    </row>
    <row r="736" spans="1:49" x14ac:dyDescent="0.25">
      <c r="A736" t="s">
        <v>81</v>
      </c>
      <c r="B736" t="s">
        <v>836</v>
      </c>
      <c r="C736">
        <v>86838</v>
      </c>
      <c r="D736">
        <v>2018</v>
      </c>
      <c r="E736" t="s">
        <v>97</v>
      </c>
      <c r="F736" t="s">
        <v>159</v>
      </c>
      <c r="G736" t="s">
        <v>155</v>
      </c>
      <c r="H736" t="s">
        <v>89</v>
      </c>
      <c r="I736">
        <v>8</v>
      </c>
      <c r="J736" t="s">
        <v>122</v>
      </c>
      <c r="K736">
        <v>4</v>
      </c>
      <c r="L736" t="s">
        <v>44</v>
      </c>
      <c r="M736">
        <v>5.3</v>
      </c>
      <c r="N736" t="s">
        <v>91</v>
      </c>
      <c r="Q736" t="s">
        <v>74</v>
      </c>
      <c r="R736" t="s">
        <v>92</v>
      </c>
      <c r="S736" t="s">
        <v>93</v>
      </c>
      <c r="U736" t="s">
        <v>50</v>
      </c>
      <c r="W736" t="s">
        <v>424</v>
      </c>
      <c r="X736" t="s">
        <v>108</v>
      </c>
      <c r="Y736" t="s">
        <v>78</v>
      </c>
      <c r="AA736">
        <v>0</v>
      </c>
      <c r="AB736" t="s">
        <v>79</v>
      </c>
      <c r="AC736" t="s">
        <v>95</v>
      </c>
      <c r="AD736">
        <v>36</v>
      </c>
      <c r="AE736">
        <v>9</v>
      </c>
      <c r="AF736">
        <v>3</v>
      </c>
      <c r="AG736">
        <v>2025</v>
      </c>
      <c r="AH736" s="2">
        <v>17500</v>
      </c>
      <c r="AI736" s="2">
        <v>21653.205078125</v>
      </c>
      <c r="AJ736" s="2">
        <f t="shared" si="88"/>
        <v>4153.205078125</v>
      </c>
      <c r="AK736" s="6">
        <f t="shared" si="89"/>
        <v>0.23732600446428573</v>
      </c>
      <c r="AL736" s="12">
        <v>17500</v>
      </c>
      <c r="AM736" s="12">
        <v>22636.15889122754</v>
      </c>
      <c r="AN736" s="12">
        <f t="shared" si="90"/>
        <v>5136.1588912275402</v>
      </c>
      <c r="AO736" s="13">
        <f t="shared" si="91"/>
        <v>0.29349479378443089</v>
      </c>
      <c r="AP736" s="16">
        <v>17500</v>
      </c>
      <c r="AQ736" s="16">
        <v>18877.87151729278</v>
      </c>
      <c r="AR736" s="16">
        <f t="shared" si="92"/>
        <v>1377.8715172927805</v>
      </c>
      <c r="AS736" s="17">
        <f t="shared" si="93"/>
        <v>7.8735515273873166E-2</v>
      </c>
      <c r="AT736" s="20">
        <v>17500</v>
      </c>
      <c r="AU736" s="20">
        <v>21858.453125</v>
      </c>
      <c r="AV736" s="20">
        <f t="shared" si="94"/>
        <v>4358.453125</v>
      </c>
      <c r="AW736" s="21">
        <f t="shared" si="95"/>
        <v>0.24905446428571429</v>
      </c>
    </row>
    <row r="737" spans="1:49" x14ac:dyDescent="0.25">
      <c r="A737" t="s">
        <v>81</v>
      </c>
      <c r="B737" t="s">
        <v>304</v>
      </c>
      <c r="C737">
        <v>61855</v>
      </c>
      <c r="D737">
        <v>2020</v>
      </c>
      <c r="E737" t="s">
        <v>97</v>
      </c>
      <c r="F737" t="s">
        <v>98</v>
      </c>
      <c r="G737" t="s">
        <v>1007</v>
      </c>
      <c r="I737">
        <v>4</v>
      </c>
      <c r="J737" t="s">
        <v>43</v>
      </c>
      <c r="K737">
        <v>4</v>
      </c>
      <c r="L737" t="s">
        <v>44</v>
      </c>
      <c r="M737">
        <v>1.5</v>
      </c>
      <c r="N737" t="s">
        <v>44</v>
      </c>
      <c r="O737" t="s">
        <v>46</v>
      </c>
      <c r="Q737" t="s">
        <v>62</v>
      </c>
      <c r="R737" t="s">
        <v>63</v>
      </c>
      <c r="S737" t="s">
        <v>85</v>
      </c>
      <c r="U737" t="s">
        <v>50</v>
      </c>
      <c r="V737" t="s">
        <v>51</v>
      </c>
      <c r="W737" t="s">
        <v>879</v>
      </c>
      <c r="X737" t="s">
        <v>65</v>
      </c>
      <c r="Y737" t="s">
        <v>126</v>
      </c>
      <c r="AA737">
        <v>0</v>
      </c>
      <c r="AB737" t="s">
        <v>79</v>
      </c>
      <c r="AC737" t="s">
        <v>87</v>
      </c>
      <c r="AD737">
        <v>36</v>
      </c>
      <c r="AE737">
        <v>9</v>
      </c>
      <c r="AF737">
        <v>3</v>
      </c>
      <c r="AG737">
        <v>2025</v>
      </c>
      <c r="AH737" s="2">
        <v>16000</v>
      </c>
      <c r="AI737" s="2">
        <v>15176.2802734375</v>
      </c>
      <c r="AJ737" s="2">
        <f t="shared" si="88"/>
        <v>823.7197265625</v>
      </c>
      <c r="AK737" s="6">
        <f t="shared" si="89"/>
        <v>5.1482482910156252E-2</v>
      </c>
      <c r="AL737" s="12">
        <v>16000</v>
      </c>
      <c r="AM737" s="12">
        <v>15848.310742384179</v>
      </c>
      <c r="AN737" s="12">
        <f t="shared" si="90"/>
        <v>151.68925761582068</v>
      </c>
      <c r="AO737" s="13">
        <f t="shared" si="91"/>
        <v>9.4805786009887916E-3</v>
      </c>
      <c r="AP737" s="16">
        <v>16000</v>
      </c>
      <c r="AQ737" s="16">
        <v>14598.447034727449</v>
      </c>
      <c r="AR737" s="16">
        <f t="shared" si="92"/>
        <v>1401.5529652725509</v>
      </c>
      <c r="AS737" s="17">
        <f t="shared" si="93"/>
        <v>8.7597060329534432E-2</v>
      </c>
      <c r="AT737" s="20">
        <v>16000</v>
      </c>
      <c r="AU737" s="20">
        <v>15182.505859375</v>
      </c>
      <c r="AV737" s="20">
        <f t="shared" si="94"/>
        <v>817.494140625</v>
      </c>
      <c r="AW737" s="21">
        <f t="shared" si="95"/>
        <v>5.1093383789062502E-2</v>
      </c>
    </row>
    <row r="738" spans="1:49" x14ac:dyDescent="0.25">
      <c r="A738" t="s">
        <v>38</v>
      </c>
      <c r="B738" t="s">
        <v>110</v>
      </c>
      <c r="C738">
        <v>208954</v>
      </c>
      <c r="D738">
        <v>2008</v>
      </c>
      <c r="E738" t="s">
        <v>166</v>
      </c>
      <c r="F738" t="s">
        <v>247</v>
      </c>
      <c r="G738" t="s">
        <v>240</v>
      </c>
      <c r="I738">
        <v>4</v>
      </c>
      <c r="J738" t="s">
        <v>106</v>
      </c>
      <c r="K738">
        <v>4</v>
      </c>
      <c r="L738" t="s">
        <v>44</v>
      </c>
      <c r="M738">
        <v>2.4</v>
      </c>
      <c r="N738" t="s">
        <v>45</v>
      </c>
      <c r="Q738" t="s">
        <v>62</v>
      </c>
      <c r="R738" t="s">
        <v>63</v>
      </c>
      <c r="S738" t="s">
        <v>101</v>
      </c>
      <c r="T738">
        <v>166</v>
      </c>
      <c r="U738" t="s">
        <v>50</v>
      </c>
      <c r="V738" t="s">
        <v>51</v>
      </c>
      <c r="W738" t="s">
        <v>1008</v>
      </c>
      <c r="X738" t="s">
        <v>65</v>
      </c>
      <c r="Y738" t="s">
        <v>126</v>
      </c>
      <c r="AA738">
        <v>0</v>
      </c>
      <c r="AB738" t="s">
        <v>79</v>
      </c>
      <c r="AC738" t="s">
        <v>87</v>
      </c>
      <c r="AD738">
        <v>36</v>
      </c>
      <c r="AE738">
        <v>9</v>
      </c>
      <c r="AF738">
        <v>3</v>
      </c>
      <c r="AG738">
        <v>2025</v>
      </c>
      <c r="AH738" s="2">
        <v>3600</v>
      </c>
      <c r="AI738" s="2">
        <v>1495.402465820312</v>
      </c>
      <c r="AJ738" s="2">
        <f t="shared" si="88"/>
        <v>2104.597534179688</v>
      </c>
      <c r="AK738" s="6">
        <f t="shared" si="89"/>
        <v>0.58461042616102443</v>
      </c>
      <c r="AL738" s="12">
        <v>3600</v>
      </c>
      <c r="AM738" s="12">
        <v>1733.857057128685</v>
      </c>
      <c r="AN738" s="12">
        <f t="shared" si="90"/>
        <v>1866.142942871315</v>
      </c>
      <c r="AO738" s="13">
        <f t="shared" si="91"/>
        <v>0.51837303968647641</v>
      </c>
      <c r="AP738" s="16">
        <v>3600</v>
      </c>
      <c r="AQ738" s="16">
        <v>1370.880682579831</v>
      </c>
      <c r="AR738" s="16">
        <f t="shared" si="92"/>
        <v>2229.119317420169</v>
      </c>
      <c r="AS738" s="17">
        <f t="shared" si="93"/>
        <v>0.61919981039449135</v>
      </c>
      <c r="AT738" s="20">
        <v>3600</v>
      </c>
      <c r="AU738" s="20">
        <v>1495.840698242188</v>
      </c>
      <c r="AV738" s="20">
        <f t="shared" si="94"/>
        <v>2104.159301757812</v>
      </c>
      <c r="AW738" s="21">
        <f t="shared" si="95"/>
        <v>0.58448869493272559</v>
      </c>
    </row>
    <row r="739" spans="1:49" x14ac:dyDescent="0.25">
      <c r="A739" t="s">
        <v>128</v>
      </c>
      <c r="B739" t="s">
        <v>309</v>
      </c>
      <c r="C739">
        <v>68097</v>
      </c>
      <c r="D739">
        <v>2021</v>
      </c>
      <c r="E739" t="s">
        <v>97</v>
      </c>
      <c r="F739" t="s">
        <v>419</v>
      </c>
      <c r="G739" t="s">
        <v>797</v>
      </c>
      <c r="I739">
        <v>8</v>
      </c>
      <c r="J739" t="s">
        <v>135</v>
      </c>
      <c r="K739">
        <v>4</v>
      </c>
      <c r="L739" t="s">
        <v>44</v>
      </c>
      <c r="M739">
        <v>5.3</v>
      </c>
      <c r="N739" t="s">
        <v>91</v>
      </c>
      <c r="O739" t="s">
        <v>46</v>
      </c>
      <c r="P739">
        <v>4</v>
      </c>
      <c r="Q739" t="s">
        <v>62</v>
      </c>
      <c r="R739" t="s">
        <v>63</v>
      </c>
      <c r="S739" t="s">
        <v>93</v>
      </c>
      <c r="U739" t="s">
        <v>50</v>
      </c>
      <c r="W739" t="s">
        <v>339</v>
      </c>
      <c r="X739" t="s">
        <v>108</v>
      </c>
      <c r="Y739" t="s">
        <v>78</v>
      </c>
      <c r="AA739">
        <v>0</v>
      </c>
      <c r="AB739" t="s">
        <v>79</v>
      </c>
      <c r="AC739" t="s">
        <v>109</v>
      </c>
      <c r="AD739">
        <v>36</v>
      </c>
      <c r="AE739">
        <v>9</v>
      </c>
      <c r="AF739">
        <v>3</v>
      </c>
      <c r="AG739">
        <v>2025</v>
      </c>
      <c r="AH739" s="2">
        <v>43000</v>
      </c>
      <c r="AI739" s="2">
        <v>45483.86328125</v>
      </c>
      <c r="AJ739" s="2">
        <f t="shared" si="88"/>
        <v>2483.86328125</v>
      </c>
      <c r="AK739" s="6">
        <f t="shared" si="89"/>
        <v>5.7764262354651159E-2</v>
      </c>
      <c r="AL739" s="12">
        <v>43000</v>
      </c>
      <c r="AM739" s="12">
        <v>45845.864502790493</v>
      </c>
      <c r="AN739" s="12">
        <f t="shared" si="90"/>
        <v>2845.8645027904931</v>
      </c>
      <c r="AO739" s="13">
        <f t="shared" si="91"/>
        <v>6.6182895413732401E-2</v>
      </c>
      <c r="AP739" s="16">
        <v>43000</v>
      </c>
      <c r="AQ739" s="16">
        <v>39052.397877695119</v>
      </c>
      <c r="AR739" s="16">
        <f t="shared" si="92"/>
        <v>3947.602122304881</v>
      </c>
      <c r="AS739" s="17">
        <f t="shared" si="93"/>
        <v>9.1804700518718169E-2</v>
      </c>
      <c r="AT739" s="20">
        <v>43000</v>
      </c>
      <c r="AU739" s="20">
        <v>45363.2578125</v>
      </c>
      <c r="AV739" s="20">
        <f t="shared" si="94"/>
        <v>2363.2578125</v>
      </c>
      <c r="AW739" s="21">
        <f t="shared" si="95"/>
        <v>5.495948401162791E-2</v>
      </c>
    </row>
    <row r="740" spans="1:49" x14ac:dyDescent="0.25">
      <c r="A740" t="s">
        <v>38</v>
      </c>
      <c r="B740" t="s">
        <v>39</v>
      </c>
      <c r="C740">
        <v>64975</v>
      </c>
      <c r="D740">
        <v>2015</v>
      </c>
      <c r="E740" t="s">
        <v>355</v>
      </c>
      <c r="F740" t="s">
        <v>356</v>
      </c>
      <c r="G740" t="s">
        <v>357</v>
      </c>
      <c r="I740">
        <v>4</v>
      </c>
      <c r="J740" t="s">
        <v>122</v>
      </c>
      <c r="K740">
        <v>2</v>
      </c>
      <c r="L740" t="s">
        <v>358</v>
      </c>
      <c r="M740">
        <v>1.4</v>
      </c>
      <c r="N740" t="s">
        <v>45</v>
      </c>
      <c r="O740" t="s">
        <v>46</v>
      </c>
      <c r="Q740" t="s">
        <v>47</v>
      </c>
      <c r="R740" t="s">
        <v>48</v>
      </c>
      <c r="S740" t="s">
        <v>101</v>
      </c>
      <c r="U740" t="s">
        <v>50</v>
      </c>
      <c r="X740" t="s">
        <v>125</v>
      </c>
      <c r="Y740" t="s">
        <v>126</v>
      </c>
      <c r="AA740">
        <v>0</v>
      </c>
      <c r="AB740" t="s">
        <v>79</v>
      </c>
      <c r="AC740" t="s">
        <v>359</v>
      </c>
      <c r="AD740">
        <v>36</v>
      </c>
      <c r="AE740">
        <v>9</v>
      </c>
      <c r="AF740">
        <v>3</v>
      </c>
      <c r="AG740">
        <v>2025</v>
      </c>
      <c r="AH740" s="2">
        <v>3200</v>
      </c>
      <c r="AI740" s="2">
        <v>3533.220458984375</v>
      </c>
      <c r="AJ740" s="2">
        <f t="shared" si="88"/>
        <v>333.220458984375</v>
      </c>
      <c r="AK740" s="6">
        <f t="shared" si="89"/>
        <v>0.10413139343261718</v>
      </c>
      <c r="AL740" s="12">
        <v>3200</v>
      </c>
      <c r="AM740" s="12">
        <v>4398.5232233139086</v>
      </c>
      <c r="AN740" s="12">
        <f t="shared" si="90"/>
        <v>1198.5232233139086</v>
      </c>
      <c r="AO740" s="13">
        <f t="shared" si="91"/>
        <v>0.37453850728559646</v>
      </c>
      <c r="AP740" s="16">
        <v>3200</v>
      </c>
      <c r="AQ740" s="16">
        <v>2797.2258147974439</v>
      </c>
      <c r="AR740" s="16">
        <f t="shared" si="92"/>
        <v>402.77418520255605</v>
      </c>
      <c r="AS740" s="17">
        <f t="shared" si="93"/>
        <v>0.12586693287579875</v>
      </c>
      <c r="AT740" s="20">
        <v>3200</v>
      </c>
      <c r="AU740" s="20">
        <v>3643.5556640625</v>
      </c>
      <c r="AV740" s="20">
        <f t="shared" si="94"/>
        <v>443.5556640625</v>
      </c>
      <c r="AW740" s="21">
        <f t="shared" si="95"/>
        <v>0.13861114501953126</v>
      </c>
    </row>
    <row r="741" spans="1:49" x14ac:dyDescent="0.25">
      <c r="A741" t="s">
        <v>38</v>
      </c>
      <c r="B741" t="s">
        <v>39</v>
      </c>
      <c r="C741">
        <v>116221</v>
      </c>
      <c r="D741">
        <v>2015</v>
      </c>
      <c r="E741" t="s">
        <v>40</v>
      </c>
      <c r="F741" t="s">
        <v>233</v>
      </c>
      <c r="G741" t="s">
        <v>1009</v>
      </c>
      <c r="H741" t="s">
        <v>453</v>
      </c>
      <c r="I741">
        <v>4</v>
      </c>
      <c r="J741" t="s">
        <v>61</v>
      </c>
      <c r="K741">
        <v>4</v>
      </c>
      <c r="L741" t="s">
        <v>44</v>
      </c>
      <c r="M741">
        <v>2.5</v>
      </c>
      <c r="N741" t="s">
        <v>45</v>
      </c>
      <c r="O741" t="s">
        <v>46</v>
      </c>
      <c r="Q741" t="s">
        <v>62</v>
      </c>
      <c r="R741" t="s">
        <v>63</v>
      </c>
      <c r="S741" t="s">
        <v>49</v>
      </c>
      <c r="T741">
        <v>176</v>
      </c>
      <c r="U741" t="s">
        <v>50</v>
      </c>
      <c r="V741" t="s">
        <v>51</v>
      </c>
      <c r="W741" t="s">
        <v>236</v>
      </c>
      <c r="X741" t="s">
        <v>65</v>
      </c>
      <c r="Y741" t="s">
        <v>103</v>
      </c>
      <c r="AA741">
        <v>0</v>
      </c>
      <c r="AB741" t="s">
        <v>79</v>
      </c>
      <c r="AC741" t="s">
        <v>87</v>
      </c>
      <c r="AD741">
        <v>36</v>
      </c>
      <c r="AE741">
        <v>9</v>
      </c>
      <c r="AF741">
        <v>3</v>
      </c>
      <c r="AG741">
        <v>2025</v>
      </c>
      <c r="AH741" s="2">
        <v>10250</v>
      </c>
      <c r="AI741" s="2">
        <v>6942.5185546875</v>
      </c>
      <c r="AJ741" s="2">
        <f t="shared" si="88"/>
        <v>3307.4814453125</v>
      </c>
      <c r="AK741" s="6">
        <f t="shared" si="89"/>
        <v>0.32268111661585364</v>
      </c>
      <c r="AL741" s="12">
        <v>10250</v>
      </c>
      <c r="AM741" s="12">
        <v>6986.9737368794667</v>
      </c>
      <c r="AN741" s="12">
        <f t="shared" si="90"/>
        <v>3263.0262631205333</v>
      </c>
      <c r="AO741" s="13">
        <f t="shared" si="91"/>
        <v>0.3183440256702959</v>
      </c>
      <c r="AP741" s="16">
        <v>10250</v>
      </c>
      <c r="AQ741" s="16">
        <v>6573.4968363225444</v>
      </c>
      <c r="AR741" s="16">
        <f t="shared" si="92"/>
        <v>3676.5031636774556</v>
      </c>
      <c r="AS741" s="17">
        <f t="shared" si="93"/>
        <v>0.35868323548072739</v>
      </c>
      <c r="AT741" s="20">
        <v>10250</v>
      </c>
      <c r="AU741" s="20">
        <v>6999.47998046875</v>
      </c>
      <c r="AV741" s="20">
        <f t="shared" si="94"/>
        <v>3250.52001953125</v>
      </c>
      <c r="AW741" s="21">
        <f t="shared" si="95"/>
        <v>0.31712390434451221</v>
      </c>
    </row>
    <row r="742" spans="1:49" x14ac:dyDescent="0.25">
      <c r="A742" t="s">
        <v>38</v>
      </c>
      <c r="B742" t="s">
        <v>39</v>
      </c>
      <c r="C742">
        <v>158624</v>
      </c>
      <c r="D742">
        <v>2014</v>
      </c>
      <c r="E742" t="s">
        <v>69</v>
      </c>
      <c r="F742" t="s">
        <v>690</v>
      </c>
      <c r="G742" t="s">
        <v>956</v>
      </c>
      <c r="I742">
        <v>4</v>
      </c>
      <c r="J742" t="s">
        <v>72</v>
      </c>
      <c r="K742">
        <v>4</v>
      </c>
      <c r="L742" t="s">
        <v>402</v>
      </c>
      <c r="M742">
        <v>2</v>
      </c>
      <c r="N742" t="s">
        <v>45</v>
      </c>
      <c r="O742" t="s">
        <v>46</v>
      </c>
      <c r="Q742" t="s">
        <v>47</v>
      </c>
      <c r="R742" t="s">
        <v>48</v>
      </c>
      <c r="T742">
        <v>252</v>
      </c>
      <c r="U742" t="s">
        <v>50</v>
      </c>
      <c r="V742" t="s">
        <v>51</v>
      </c>
      <c r="X742" t="s">
        <v>125</v>
      </c>
      <c r="Y742" t="s">
        <v>78</v>
      </c>
      <c r="AA742">
        <v>0</v>
      </c>
      <c r="AB742" t="s">
        <v>79</v>
      </c>
      <c r="AC742" t="s">
        <v>359</v>
      </c>
      <c r="AD742">
        <v>36</v>
      </c>
      <c r="AE742">
        <v>9</v>
      </c>
      <c r="AF742">
        <v>3</v>
      </c>
      <c r="AG742">
        <v>2025</v>
      </c>
      <c r="AH742" s="2">
        <v>4000</v>
      </c>
      <c r="AI742" s="2">
        <v>2486.432861328125</v>
      </c>
      <c r="AJ742" s="2">
        <f t="shared" si="88"/>
        <v>1513.567138671875</v>
      </c>
      <c r="AK742" s="6">
        <f t="shared" si="89"/>
        <v>0.37839178466796874</v>
      </c>
      <c r="AL742" s="12">
        <v>4000</v>
      </c>
      <c r="AM742" s="12">
        <v>2653.246467004516</v>
      </c>
      <c r="AN742" s="12">
        <f t="shared" si="90"/>
        <v>1346.753532995484</v>
      </c>
      <c r="AO742" s="13">
        <f t="shared" si="91"/>
        <v>0.33668838324887101</v>
      </c>
      <c r="AP742" s="16">
        <v>4000</v>
      </c>
      <c r="AQ742" s="16">
        <v>2559.599785034326</v>
      </c>
      <c r="AR742" s="16">
        <f t="shared" si="92"/>
        <v>1440.400214965674</v>
      </c>
      <c r="AS742" s="17">
        <f t="shared" si="93"/>
        <v>0.36010005374141851</v>
      </c>
      <c r="AT742" s="20">
        <v>4000</v>
      </c>
      <c r="AU742" s="20">
        <v>2520.761962890625</v>
      </c>
      <c r="AV742" s="20">
        <f t="shared" si="94"/>
        <v>1479.238037109375</v>
      </c>
      <c r="AW742" s="21">
        <f t="shared" si="95"/>
        <v>0.36980950927734374</v>
      </c>
    </row>
    <row r="743" spans="1:49" x14ac:dyDescent="0.25">
      <c r="A743" t="s">
        <v>128</v>
      </c>
      <c r="B743" t="s">
        <v>484</v>
      </c>
      <c r="C743">
        <v>108853</v>
      </c>
      <c r="D743">
        <v>2018</v>
      </c>
      <c r="E743" t="s">
        <v>97</v>
      </c>
      <c r="F743" t="s">
        <v>159</v>
      </c>
      <c r="G743" t="s">
        <v>155</v>
      </c>
      <c r="H743" t="s">
        <v>89</v>
      </c>
      <c r="I743">
        <v>8</v>
      </c>
      <c r="J743" t="s">
        <v>61</v>
      </c>
      <c r="K743">
        <v>4</v>
      </c>
      <c r="L743" t="s">
        <v>44</v>
      </c>
      <c r="M743">
        <v>5.3</v>
      </c>
      <c r="N743" t="s">
        <v>91</v>
      </c>
      <c r="O743" t="s">
        <v>46</v>
      </c>
      <c r="P743">
        <v>4</v>
      </c>
      <c r="Q743" t="s">
        <v>74</v>
      </c>
      <c r="R743" t="s">
        <v>92</v>
      </c>
      <c r="S743" t="s">
        <v>93</v>
      </c>
      <c r="U743" t="s">
        <v>50</v>
      </c>
      <c r="W743" t="s">
        <v>424</v>
      </c>
      <c r="X743" t="s">
        <v>108</v>
      </c>
      <c r="Y743" t="s">
        <v>126</v>
      </c>
      <c r="AA743">
        <v>0</v>
      </c>
      <c r="AB743" t="s">
        <v>79</v>
      </c>
      <c r="AC743" t="s">
        <v>95</v>
      </c>
      <c r="AD743">
        <v>36</v>
      </c>
      <c r="AE743">
        <v>9</v>
      </c>
      <c r="AF743">
        <v>3</v>
      </c>
      <c r="AG743">
        <v>2025</v>
      </c>
      <c r="AH743" s="2">
        <v>23000</v>
      </c>
      <c r="AI743" s="2">
        <v>23581.455078125</v>
      </c>
      <c r="AJ743" s="2">
        <f t="shared" si="88"/>
        <v>581.455078125</v>
      </c>
      <c r="AK743" s="6">
        <f t="shared" si="89"/>
        <v>2.5280655570652174E-2</v>
      </c>
      <c r="AL743" s="12">
        <v>23000</v>
      </c>
      <c r="AM743" s="12">
        <v>21760.351417128189</v>
      </c>
      <c r="AN743" s="12">
        <f t="shared" si="90"/>
        <v>1239.6485828718105</v>
      </c>
      <c r="AO743" s="13">
        <f t="shared" si="91"/>
        <v>5.3897764472687411E-2</v>
      </c>
      <c r="AP743" s="16">
        <v>23000</v>
      </c>
      <c r="AQ743" s="16">
        <v>20206.935200284741</v>
      </c>
      <c r="AR743" s="16">
        <f t="shared" si="92"/>
        <v>2793.0647997152591</v>
      </c>
      <c r="AS743" s="17">
        <f t="shared" si="93"/>
        <v>0.12143759998761997</v>
      </c>
      <c r="AT743" s="20">
        <v>23000</v>
      </c>
      <c r="AU743" s="20">
        <v>23209.77734375</v>
      </c>
      <c r="AV743" s="20">
        <f t="shared" si="94"/>
        <v>209.77734375</v>
      </c>
      <c r="AW743" s="21">
        <f t="shared" si="95"/>
        <v>9.1207540760869562E-3</v>
      </c>
    </row>
    <row r="744" spans="1:49" x14ac:dyDescent="0.25">
      <c r="A744" t="s">
        <v>81</v>
      </c>
      <c r="B744" t="s">
        <v>82</v>
      </c>
      <c r="C744">
        <v>129576</v>
      </c>
      <c r="D744">
        <v>2015</v>
      </c>
      <c r="E744" t="s">
        <v>166</v>
      </c>
      <c r="F744" t="s">
        <v>562</v>
      </c>
      <c r="G744" t="s">
        <v>240</v>
      </c>
      <c r="I744">
        <v>4</v>
      </c>
      <c r="J744" t="s">
        <v>61</v>
      </c>
      <c r="K744">
        <v>4</v>
      </c>
      <c r="L744" t="s">
        <v>44</v>
      </c>
      <c r="M744">
        <v>2.4</v>
      </c>
      <c r="N744" t="s">
        <v>45</v>
      </c>
      <c r="O744" t="s">
        <v>46</v>
      </c>
      <c r="Q744" t="s">
        <v>47</v>
      </c>
      <c r="R744" t="s">
        <v>123</v>
      </c>
      <c r="T744">
        <v>185</v>
      </c>
      <c r="U744" t="s">
        <v>50</v>
      </c>
      <c r="V744" t="s">
        <v>51</v>
      </c>
      <c r="W744" t="s">
        <v>614</v>
      </c>
      <c r="X744" t="s">
        <v>65</v>
      </c>
      <c r="Y744" t="s">
        <v>78</v>
      </c>
      <c r="AA744">
        <v>0</v>
      </c>
      <c r="AB744" t="s">
        <v>79</v>
      </c>
      <c r="AC744" t="s">
        <v>127</v>
      </c>
      <c r="AD744">
        <v>36</v>
      </c>
      <c r="AE744">
        <v>9</v>
      </c>
      <c r="AF744">
        <v>3</v>
      </c>
      <c r="AG744">
        <v>2025</v>
      </c>
      <c r="AH744" s="2">
        <v>6400</v>
      </c>
      <c r="AI744" s="2">
        <v>7340.94873046875</v>
      </c>
      <c r="AJ744" s="2">
        <f t="shared" si="88"/>
        <v>940.94873046875</v>
      </c>
      <c r="AK744" s="6">
        <f t="shared" si="89"/>
        <v>0.1470232391357422</v>
      </c>
      <c r="AL744" s="12">
        <v>6400</v>
      </c>
      <c r="AM744" s="12">
        <v>5897.1269376130904</v>
      </c>
      <c r="AN744" s="12">
        <f t="shared" si="90"/>
        <v>502.87306238690962</v>
      </c>
      <c r="AO744" s="13">
        <f t="shared" si="91"/>
        <v>7.857391599795463E-2</v>
      </c>
      <c r="AP744" s="16">
        <v>6400</v>
      </c>
      <c r="AQ744" s="16">
        <v>4312.2277015629734</v>
      </c>
      <c r="AR744" s="16">
        <f t="shared" si="92"/>
        <v>2087.7722984370266</v>
      </c>
      <c r="AS744" s="17">
        <f t="shared" si="93"/>
        <v>0.3262144216307854</v>
      </c>
      <c r="AT744" s="20">
        <v>6400</v>
      </c>
      <c r="AU744" s="20">
        <v>7235.0263671875</v>
      </c>
      <c r="AV744" s="20">
        <f t="shared" si="94"/>
        <v>835.0263671875</v>
      </c>
      <c r="AW744" s="21">
        <f t="shared" si="95"/>
        <v>0.13047286987304688</v>
      </c>
    </row>
    <row r="745" spans="1:49" x14ac:dyDescent="0.25">
      <c r="A745" t="s">
        <v>38</v>
      </c>
      <c r="B745" t="s">
        <v>96</v>
      </c>
      <c r="C745">
        <v>88567</v>
      </c>
      <c r="D745">
        <v>2018</v>
      </c>
      <c r="E745" t="s">
        <v>174</v>
      </c>
      <c r="F745" t="s">
        <v>254</v>
      </c>
      <c r="H745" t="s">
        <v>176</v>
      </c>
      <c r="I745">
        <v>4</v>
      </c>
      <c r="J745" t="s">
        <v>106</v>
      </c>
      <c r="K745">
        <v>4</v>
      </c>
      <c r="L745" t="s">
        <v>44</v>
      </c>
      <c r="M745">
        <v>2</v>
      </c>
      <c r="N745" t="s">
        <v>45</v>
      </c>
      <c r="O745" t="s">
        <v>46</v>
      </c>
      <c r="P745">
        <v>4</v>
      </c>
      <c r="Q745" t="s">
        <v>62</v>
      </c>
      <c r="R745" t="s">
        <v>63</v>
      </c>
      <c r="S745" t="s">
        <v>101</v>
      </c>
      <c r="U745" t="s">
        <v>50</v>
      </c>
      <c r="V745" t="s">
        <v>51</v>
      </c>
      <c r="W745" t="s">
        <v>627</v>
      </c>
      <c r="X745" t="s">
        <v>65</v>
      </c>
      <c r="Y745" t="s">
        <v>126</v>
      </c>
      <c r="Z745">
        <v>31400</v>
      </c>
      <c r="AA745">
        <v>0</v>
      </c>
      <c r="AB745" t="s">
        <v>79</v>
      </c>
      <c r="AC745" t="s">
        <v>87</v>
      </c>
      <c r="AD745">
        <v>36</v>
      </c>
      <c r="AE745">
        <v>9</v>
      </c>
      <c r="AF745">
        <v>3</v>
      </c>
      <c r="AG745">
        <v>2025</v>
      </c>
      <c r="AH745" s="2">
        <v>11750</v>
      </c>
      <c r="AI745" s="2">
        <v>12309.2568359375</v>
      </c>
      <c r="AJ745" s="2">
        <f t="shared" si="88"/>
        <v>559.2568359375</v>
      </c>
      <c r="AK745" s="6">
        <f t="shared" si="89"/>
        <v>4.7596326462765959E-2</v>
      </c>
      <c r="AL745" s="12">
        <v>11750</v>
      </c>
      <c r="AM745" s="12">
        <v>10674.48807338605</v>
      </c>
      <c r="AN745" s="12">
        <f t="shared" si="90"/>
        <v>1075.51192661395</v>
      </c>
      <c r="AO745" s="13">
        <f t="shared" si="91"/>
        <v>9.1532929924591486E-2</v>
      </c>
      <c r="AP745" s="16">
        <v>11750</v>
      </c>
      <c r="AQ745" s="16">
        <v>10478.15081859263</v>
      </c>
      <c r="AR745" s="16">
        <f t="shared" si="92"/>
        <v>1271.8491814073695</v>
      </c>
      <c r="AS745" s="17">
        <f t="shared" si="93"/>
        <v>0.10824248352403144</v>
      </c>
      <c r="AT745" s="20">
        <v>11750</v>
      </c>
      <c r="AU745" s="20">
        <v>12032.6943359375</v>
      </c>
      <c r="AV745" s="20">
        <f t="shared" si="94"/>
        <v>282.6943359375</v>
      </c>
      <c r="AW745" s="21">
        <f t="shared" si="95"/>
        <v>2.4059092420212765E-2</v>
      </c>
    </row>
    <row r="746" spans="1:49" x14ac:dyDescent="0.25">
      <c r="A746" t="s">
        <v>38</v>
      </c>
      <c r="B746" t="s">
        <v>110</v>
      </c>
      <c r="C746">
        <v>142629</v>
      </c>
      <c r="D746">
        <v>2012</v>
      </c>
      <c r="E746" t="s">
        <v>69</v>
      </c>
      <c r="F746" t="s">
        <v>394</v>
      </c>
      <c r="H746" t="s">
        <v>224</v>
      </c>
      <c r="I746">
        <v>4</v>
      </c>
      <c r="J746" t="s">
        <v>106</v>
      </c>
      <c r="K746">
        <v>4</v>
      </c>
      <c r="L746" t="s">
        <v>44</v>
      </c>
      <c r="M746">
        <v>2.5</v>
      </c>
      <c r="N746" t="s">
        <v>45</v>
      </c>
      <c r="Q746" t="s">
        <v>47</v>
      </c>
      <c r="R746" t="s">
        <v>123</v>
      </c>
      <c r="T746">
        <v>175</v>
      </c>
      <c r="U746" t="s">
        <v>50</v>
      </c>
      <c r="V746" t="s">
        <v>51</v>
      </c>
      <c r="X746" t="s">
        <v>125</v>
      </c>
      <c r="Y746" t="s">
        <v>126</v>
      </c>
      <c r="AA746">
        <v>0</v>
      </c>
      <c r="AB746" t="s">
        <v>79</v>
      </c>
      <c r="AC746" t="s">
        <v>127</v>
      </c>
      <c r="AD746">
        <v>36</v>
      </c>
      <c r="AE746">
        <v>9</v>
      </c>
      <c r="AF746">
        <v>3</v>
      </c>
      <c r="AG746">
        <v>2025</v>
      </c>
      <c r="AH746" s="2">
        <v>700</v>
      </c>
      <c r="AI746" s="2">
        <v>1739.5244140625</v>
      </c>
      <c r="AJ746" s="2">
        <f t="shared" si="88"/>
        <v>1039.5244140625</v>
      </c>
      <c r="AK746" s="6">
        <f t="shared" si="89"/>
        <v>1.4850348772321429</v>
      </c>
      <c r="AL746" s="12">
        <v>700</v>
      </c>
      <c r="AM746" s="12">
        <v>1769.1262871484589</v>
      </c>
      <c r="AN746" s="12">
        <f t="shared" si="90"/>
        <v>1069.1262871484589</v>
      </c>
      <c r="AO746" s="13">
        <f t="shared" si="91"/>
        <v>1.5273232673549413</v>
      </c>
      <c r="AP746" s="16">
        <v>700</v>
      </c>
      <c r="AQ746" s="16">
        <v>1449.652862793813</v>
      </c>
      <c r="AR746" s="16">
        <f t="shared" si="92"/>
        <v>749.65286279381303</v>
      </c>
      <c r="AS746" s="17">
        <f t="shared" si="93"/>
        <v>1.0709326611340186</v>
      </c>
      <c r="AT746" s="20">
        <v>700</v>
      </c>
      <c r="AU746" s="20">
        <v>1728.509521484375</v>
      </c>
      <c r="AV746" s="20">
        <f t="shared" si="94"/>
        <v>1028.509521484375</v>
      </c>
      <c r="AW746" s="21">
        <f t="shared" si="95"/>
        <v>1.46929931640625</v>
      </c>
    </row>
    <row r="747" spans="1:49" x14ac:dyDescent="0.25">
      <c r="A747" t="s">
        <v>128</v>
      </c>
      <c r="B747" t="s">
        <v>210</v>
      </c>
      <c r="C747">
        <v>119314</v>
      </c>
      <c r="D747">
        <v>2016</v>
      </c>
      <c r="E747" t="s">
        <v>40</v>
      </c>
      <c r="F747" t="s">
        <v>201</v>
      </c>
      <c r="G747" t="s">
        <v>202</v>
      </c>
      <c r="H747" t="s">
        <v>203</v>
      </c>
      <c r="I747">
        <v>4</v>
      </c>
      <c r="J747" t="s">
        <v>135</v>
      </c>
      <c r="K747">
        <v>4</v>
      </c>
      <c r="L747" t="s">
        <v>44</v>
      </c>
      <c r="M747">
        <v>1.8</v>
      </c>
      <c r="N747" t="s">
        <v>45</v>
      </c>
      <c r="O747" t="s">
        <v>46</v>
      </c>
      <c r="Q747" t="s">
        <v>47</v>
      </c>
      <c r="R747" t="s">
        <v>123</v>
      </c>
      <c r="S747" t="s">
        <v>49</v>
      </c>
      <c r="T747">
        <v>132</v>
      </c>
      <c r="U747" t="s">
        <v>50</v>
      </c>
      <c r="V747" t="s">
        <v>51</v>
      </c>
      <c r="W747" t="s">
        <v>204</v>
      </c>
      <c r="X747" t="s">
        <v>125</v>
      </c>
      <c r="Y747" t="s">
        <v>78</v>
      </c>
      <c r="AA747">
        <v>0</v>
      </c>
      <c r="AB747" t="s">
        <v>79</v>
      </c>
      <c r="AC747" t="s">
        <v>127</v>
      </c>
      <c r="AD747">
        <v>36</v>
      </c>
      <c r="AE747">
        <v>9</v>
      </c>
      <c r="AF747">
        <v>3</v>
      </c>
      <c r="AG747">
        <v>2025</v>
      </c>
      <c r="AH747" s="2">
        <v>5800</v>
      </c>
      <c r="AI747" s="2">
        <v>4104.98486328125</v>
      </c>
      <c r="AJ747" s="2">
        <f t="shared" si="88"/>
        <v>1695.01513671875</v>
      </c>
      <c r="AK747" s="6">
        <f t="shared" si="89"/>
        <v>0.29224398908943966</v>
      </c>
      <c r="AL747" s="12">
        <v>5800</v>
      </c>
      <c r="AM747" s="12">
        <v>5273.8407775709147</v>
      </c>
      <c r="AN747" s="12">
        <f t="shared" si="90"/>
        <v>526.15922242908528</v>
      </c>
      <c r="AO747" s="13">
        <f t="shared" si="91"/>
        <v>9.0717107315359535E-2</v>
      </c>
      <c r="AP747" s="16">
        <v>5800</v>
      </c>
      <c r="AQ747" s="16">
        <v>4942.021862098688</v>
      </c>
      <c r="AR747" s="16">
        <f t="shared" si="92"/>
        <v>857.97813790131204</v>
      </c>
      <c r="AS747" s="17">
        <f t="shared" si="93"/>
        <v>0.14792726515539864</v>
      </c>
      <c r="AT747" s="20">
        <v>5800</v>
      </c>
      <c r="AU747" s="20">
        <v>4222.4423828125</v>
      </c>
      <c r="AV747" s="20">
        <f t="shared" si="94"/>
        <v>1577.5576171875</v>
      </c>
      <c r="AW747" s="21">
        <f t="shared" si="95"/>
        <v>0.27199269261853448</v>
      </c>
    </row>
    <row r="748" spans="1:49" x14ac:dyDescent="0.25">
      <c r="A748" t="s">
        <v>38</v>
      </c>
      <c r="B748" t="s">
        <v>39</v>
      </c>
      <c r="C748">
        <v>108645</v>
      </c>
      <c r="D748">
        <v>2013</v>
      </c>
      <c r="E748" t="s">
        <v>263</v>
      </c>
      <c r="F748" t="s">
        <v>264</v>
      </c>
      <c r="G748" t="s">
        <v>265</v>
      </c>
      <c r="I748">
        <v>4</v>
      </c>
      <c r="J748" t="s">
        <v>43</v>
      </c>
      <c r="K748">
        <v>4</v>
      </c>
      <c r="L748" t="s">
        <v>44</v>
      </c>
      <c r="M748">
        <v>2</v>
      </c>
      <c r="N748" t="s">
        <v>45</v>
      </c>
      <c r="O748" t="s">
        <v>46</v>
      </c>
      <c r="Q748" t="s">
        <v>62</v>
      </c>
      <c r="R748" t="s">
        <v>63</v>
      </c>
      <c r="S748" t="s">
        <v>49</v>
      </c>
      <c r="W748" t="s">
        <v>1010</v>
      </c>
      <c r="X748" t="s">
        <v>65</v>
      </c>
      <c r="Y748" t="s">
        <v>54</v>
      </c>
      <c r="AA748">
        <v>0</v>
      </c>
      <c r="AB748" t="s">
        <v>79</v>
      </c>
      <c r="AC748" t="s">
        <v>87</v>
      </c>
      <c r="AD748">
        <v>36</v>
      </c>
      <c r="AE748">
        <v>9</v>
      </c>
      <c r="AF748">
        <v>3</v>
      </c>
      <c r="AG748">
        <v>2025</v>
      </c>
      <c r="AH748" s="2">
        <v>7750</v>
      </c>
      <c r="AI748" s="2">
        <v>4698.5908203125</v>
      </c>
      <c r="AJ748" s="2">
        <f t="shared" si="88"/>
        <v>3051.4091796875</v>
      </c>
      <c r="AK748" s="6">
        <f t="shared" si="89"/>
        <v>0.39373021673387099</v>
      </c>
      <c r="AL748" s="12">
        <v>7750</v>
      </c>
      <c r="AM748" s="12">
        <v>3879.7730060565818</v>
      </c>
      <c r="AN748" s="12">
        <f t="shared" si="90"/>
        <v>3870.2269939434182</v>
      </c>
      <c r="AO748" s="13">
        <f t="shared" si="91"/>
        <v>0.49938412825076361</v>
      </c>
      <c r="AP748" s="16">
        <v>7750</v>
      </c>
      <c r="AQ748" s="16">
        <v>4197.3676982441793</v>
      </c>
      <c r="AR748" s="16">
        <f t="shared" si="92"/>
        <v>3552.6323017558207</v>
      </c>
      <c r="AS748" s="17">
        <f t="shared" si="93"/>
        <v>0.45840416796849298</v>
      </c>
      <c r="AT748" s="20">
        <v>7750</v>
      </c>
      <c r="AU748" s="20">
        <v>4657.6044921875</v>
      </c>
      <c r="AV748" s="20">
        <f t="shared" si="94"/>
        <v>3092.3955078125</v>
      </c>
      <c r="AW748" s="21">
        <f t="shared" si="95"/>
        <v>0.39901877520161289</v>
      </c>
    </row>
    <row r="749" spans="1:49" x14ac:dyDescent="0.25">
      <c r="A749" t="s">
        <v>38</v>
      </c>
      <c r="B749" t="s">
        <v>96</v>
      </c>
      <c r="C749">
        <v>64266</v>
      </c>
      <c r="D749">
        <v>2021</v>
      </c>
      <c r="E749" t="s">
        <v>341</v>
      </c>
      <c r="F749" t="s">
        <v>1011</v>
      </c>
      <c r="H749" t="s">
        <v>575</v>
      </c>
      <c r="I749">
        <v>3</v>
      </c>
      <c r="J749" t="s">
        <v>43</v>
      </c>
      <c r="K749">
        <v>4</v>
      </c>
      <c r="L749" t="s">
        <v>44</v>
      </c>
      <c r="M749">
        <v>1.3</v>
      </c>
      <c r="N749" t="s">
        <v>45</v>
      </c>
      <c r="O749" t="s">
        <v>46</v>
      </c>
      <c r="Q749" t="s">
        <v>62</v>
      </c>
      <c r="R749" t="s">
        <v>63</v>
      </c>
      <c r="S749" t="s">
        <v>101</v>
      </c>
      <c r="U749" t="s">
        <v>50</v>
      </c>
      <c r="V749" t="s">
        <v>51</v>
      </c>
      <c r="W749" t="s">
        <v>1012</v>
      </c>
      <c r="X749" t="s">
        <v>65</v>
      </c>
      <c r="Y749" t="s">
        <v>66</v>
      </c>
      <c r="AA749">
        <v>0</v>
      </c>
      <c r="AB749" t="s">
        <v>79</v>
      </c>
      <c r="AC749" t="s">
        <v>87</v>
      </c>
      <c r="AD749">
        <v>36</v>
      </c>
      <c r="AE749">
        <v>9</v>
      </c>
      <c r="AF749">
        <v>3</v>
      </c>
      <c r="AG749">
        <v>2025</v>
      </c>
      <c r="AH749" s="2">
        <v>14000</v>
      </c>
      <c r="AI749" s="2">
        <v>14166.0869140625</v>
      </c>
      <c r="AJ749" s="2">
        <f t="shared" si="88"/>
        <v>166.0869140625</v>
      </c>
      <c r="AK749" s="6">
        <f t="shared" si="89"/>
        <v>1.1863351004464286E-2</v>
      </c>
      <c r="AL749" s="12">
        <v>14000</v>
      </c>
      <c r="AM749" s="12">
        <v>12495.674776065451</v>
      </c>
      <c r="AN749" s="12">
        <f t="shared" si="90"/>
        <v>1504.3252239345493</v>
      </c>
      <c r="AO749" s="13">
        <f t="shared" si="91"/>
        <v>0.10745180170961066</v>
      </c>
      <c r="AP749" s="16">
        <v>14000</v>
      </c>
      <c r="AQ749" s="16">
        <v>13312.066579352389</v>
      </c>
      <c r="AR749" s="16">
        <f t="shared" si="92"/>
        <v>687.93342064761055</v>
      </c>
      <c r="AS749" s="17">
        <f t="shared" si="93"/>
        <v>4.9138101474829325E-2</v>
      </c>
      <c r="AT749" s="20">
        <v>14000</v>
      </c>
      <c r="AU749" s="20">
        <v>13700.765625</v>
      </c>
      <c r="AV749" s="20">
        <f t="shared" si="94"/>
        <v>299.234375</v>
      </c>
      <c r="AW749" s="21">
        <f t="shared" si="95"/>
        <v>2.1373883928571428E-2</v>
      </c>
    </row>
    <row r="750" spans="1:49" x14ac:dyDescent="0.25">
      <c r="A750" t="s">
        <v>38</v>
      </c>
      <c r="B750" t="s">
        <v>110</v>
      </c>
      <c r="C750">
        <v>95552</v>
      </c>
      <c r="D750">
        <v>2018</v>
      </c>
      <c r="E750" t="s">
        <v>40</v>
      </c>
      <c r="F750" t="s">
        <v>297</v>
      </c>
      <c r="G750" t="s">
        <v>991</v>
      </c>
      <c r="H750" t="s">
        <v>863</v>
      </c>
      <c r="I750">
        <v>4</v>
      </c>
      <c r="J750" t="s">
        <v>61</v>
      </c>
      <c r="K750">
        <v>4</v>
      </c>
      <c r="L750" t="s">
        <v>44</v>
      </c>
      <c r="M750">
        <v>2.5</v>
      </c>
      <c r="N750" t="s">
        <v>45</v>
      </c>
      <c r="O750" t="s">
        <v>46</v>
      </c>
      <c r="P750">
        <v>3</v>
      </c>
      <c r="Q750" t="s">
        <v>47</v>
      </c>
      <c r="R750" t="s">
        <v>123</v>
      </c>
      <c r="S750" t="s">
        <v>49</v>
      </c>
      <c r="T750">
        <v>203</v>
      </c>
      <c r="U750" t="s">
        <v>50</v>
      </c>
      <c r="V750" t="s">
        <v>51</v>
      </c>
      <c r="W750" t="s">
        <v>449</v>
      </c>
      <c r="X750" t="s">
        <v>125</v>
      </c>
      <c r="Y750" t="s">
        <v>78</v>
      </c>
      <c r="Z750">
        <v>23645</v>
      </c>
      <c r="AA750">
        <v>0</v>
      </c>
      <c r="AB750" t="s">
        <v>79</v>
      </c>
      <c r="AC750" t="s">
        <v>127</v>
      </c>
      <c r="AD750">
        <v>36</v>
      </c>
      <c r="AE750">
        <v>9</v>
      </c>
      <c r="AF750">
        <v>3</v>
      </c>
      <c r="AG750">
        <v>2025</v>
      </c>
      <c r="AH750" s="2">
        <v>13500</v>
      </c>
      <c r="AI750" s="2">
        <v>8225.0986328125</v>
      </c>
      <c r="AJ750" s="2">
        <f t="shared" si="88"/>
        <v>5274.9013671875</v>
      </c>
      <c r="AK750" s="6">
        <f t="shared" si="89"/>
        <v>0.39073343460648147</v>
      </c>
      <c r="AL750" s="12">
        <v>13500</v>
      </c>
      <c r="AM750" s="12">
        <v>8269.9282807211857</v>
      </c>
      <c r="AN750" s="12">
        <f t="shared" si="90"/>
        <v>5230.0717192788143</v>
      </c>
      <c r="AO750" s="13">
        <f t="shared" si="91"/>
        <v>0.38741271994657883</v>
      </c>
      <c r="AP750" s="16">
        <v>13500</v>
      </c>
      <c r="AQ750" s="16">
        <v>8506.9185761748413</v>
      </c>
      <c r="AR750" s="16">
        <f t="shared" si="92"/>
        <v>4993.0814238251587</v>
      </c>
      <c r="AS750" s="17">
        <f t="shared" si="93"/>
        <v>0.36985788324630803</v>
      </c>
      <c r="AT750" s="20">
        <v>13500</v>
      </c>
      <c r="AU750" s="20">
        <v>8350.0205078125</v>
      </c>
      <c r="AV750" s="20">
        <f t="shared" si="94"/>
        <v>5149.9794921875</v>
      </c>
      <c r="AW750" s="21">
        <f t="shared" si="95"/>
        <v>0.38147996238425924</v>
      </c>
    </row>
    <row r="751" spans="1:49" x14ac:dyDescent="0.25">
      <c r="A751" t="s">
        <v>128</v>
      </c>
      <c r="B751" t="s">
        <v>129</v>
      </c>
      <c r="C751">
        <v>105721</v>
      </c>
      <c r="D751">
        <v>2020</v>
      </c>
      <c r="E751" t="s">
        <v>97</v>
      </c>
      <c r="F751" t="s">
        <v>470</v>
      </c>
      <c r="G751" t="s">
        <v>513</v>
      </c>
      <c r="I751">
        <v>4</v>
      </c>
      <c r="J751" t="s">
        <v>72</v>
      </c>
      <c r="K751">
        <v>4</v>
      </c>
      <c r="L751" t="s">
        <v>44</v>
      </c>
      <c r="M751">
        <v>1.5</v>
      </c>
      <c r="N751" t="s">
        <v>45</v>
      </c>
      <c r="O751" t="s">
        <v>46</v>
      </c>
      <c r="Q751" t="s">
        <v>47</v>
      </c>
      <c r="R751" t="s">
        <v>123</v>
      </c>
      <c r="S751" t="s">
        <v>101</v>
      </c>
      <c r="U751" t="s">
        <v>50</v>
      </c>
      <c r="V751" t="s">
        <v>51</v>
      </c>
      <c r="W751" t="s">
        <v>687</v>
      </c>
      <c r="X751" t="s">
        <v>125</v>
      </c>
      <c r="Y751" t="s">
        <v>78</v>
      </c>
      <c r="AA751">
        <v>0</v>
      </c>
      <c r="AB751" t="s">
        <v>79</v>
      </c>
      <c r="AC751" t="s">
        <v>127</v>
      </c>
      <c r="AD751">
        <v>36</v>
      </c>
      <c r="AE751">
        <v>9</v>
      </c>
      <c r="AF751">
        <v>3</v>
      </c>
      <c r="AG751">
        <v>2025</v>
      </c>
      <c r="AH751" s="2">
        <v>9500</v>
      </c>
      <c r="AI751" s="2">
        <v>8072.17138671875</v>
      </c>
      <c r="AJ751" s="2">
        <f t="shared" si="88"/>
        <v>1427.82861328125</v>
      </c>
      <c r="AK751" s="6">
        <f t="shared" si="89"/>
        <v>0.15029774876644736</v>
      </c>
      <c r="AL751" s="12">
        <v>9500</v>
      </c>
      <c r="AM751" s="12">
        <v>7967.117719282538</v>
      </c>
      <c r="AN751" s="12">
        <f t="shared" si="90"/>
        <v>1532.882280717462</v>
      </c>
      <c r="AO751" s="13">
        <f t="shared" si="91"/>
        <v>0.16135602954920653</v>
      </c>
      <c r="AP751" s="16">
        <v>9500</v>
      </c>
      <c r="AQ751" s="16">
        <v>7242.4221587281309</v>
      </c>
      <c r="AR751" s="16">
        <f t="shared" si="92"/>
        <v>2257.5778412718691</v>
      </c>
      <c r="AS751" s="17">
        <f t="shared" si="93"/>
        <v>0.23763977276545992</v>
      </c>
      <c r="AT751" s="20">
        <v>9500</v>
      </c>
      <c r="AU751" s="20">
        <v>8142.6630859375</v>
      </c>
      <c r="AV751" s="20">
        <f t="shared" si="94"/>
        <v>1357.3369140625</v>
      </c>
      <c r="AW751" s="21">
        <f t="shared" si="95"/>
        <v>0.14287756990131578</v>
      </c>
    </row>
    <row r="752" spans="1:49" x14ac:dyDescent="0.25">
      <c r="A752" t="s">
        <v>38</v>
      </c>
      <c r="B752" t="s">
        <v>96</v>
      </c>
      <c r="C752">
        <v>85702</v>
      </c>
      <c r="D752">
        <v>2020</v>
      </c>
      <c r="E752" t="s">
        <v>142</v>
      </c>
      <c r="F752" t="s">
        <v>633</v>
      </c>
      <c r="G752" t="s">
        <v>820</v>
      </c>
      <c r="I752">
        <v>4</v>
      </c>
      <c r="J752" t="s">
        <v>135</v>
      </c>
      <c r="K752">
        <v>4</v>
      </c>
      <c r="L752" t="s">
        <v>44</v>
      </c>
      <c r="M752">
        <v>2</v>
      </c>
      <c r="N752" t="s">
        <v>91</v>
      </c>
      <c r="O752" t="s">
        <v>46</v>
      </c>
      <c r="P752">
        <v>3</v>
      </c>
      <c r="Q752" t="s">
        <v>62</v>
      </c>
      <c r="R752" t="s">
        <v>63</v>
      </c>
      <c r="S752" t="s">
        <v>93</v>
      </c>
      <c r="T752">
        <v>270</v>
      </c>
      <c r="U752" t="s">
        <v>50</v>
      </c>
      <c r="V752" t="s">
        <v>51</v>
      </c>
      <c r="X752" t="s">
        <v>141</v>
      </c>
      <c r="Y752" t="s">
        <v>78</v>
      </c>
      <c r="AA752">
        <v>0</v>
      </c>
      <c r="AB752" t="s">
        <v>79</v>
      </c>
      <c r="AC752" t="s">
        <v>87</v>
      </c>
      <c r="AD752">
        <v>36</v>
      </c>
      <c r="AE752">
        <v>9</v>
      </c>
      <c r="AF752">
        <v>3</v>
      </c>
      <c r="AG752">
        <v>2025</v>
      </c>
      <c r="AH752" s="2">
        <v>17000</v>
      </c>
      <c r="AI752" s="2">
        <v>20504.564453125</v>
      </c>
      <c r="AJ752" s="2">
        <f t="shared" si="88"/>
        <v>3504.564453125</v>
      </c>
      <c r="AK752" s="6">
        <f t="shared" si="89"/>
        <v>0.20615085018382354</v>
      </c>
      <c r="AL752" s="12">
        <v>17000</v>
      </c>
      <c r="AM752" s="12">
        <v>19365.92527572867</v>
      </c>
      <c r="AN752" s="12">
        <f t="shared" si="90"/>
        <v>2365.9252757286704</v>
      </c>
      <c r="AO752" s="13">
        <f t="shared" si="91"/>
        <v>0.13917207504286297</v>
      </c>
      <c r="AP752" s="16">
        <v>17000</v>
      </c>
      <c r="AQ752" s="16">
        <v>17177.481164580498</v>
      </c>
      <c r="AR752" s="16">
        <f t="shared" si="92"/>
        <v>177.48116458049844</v>
      </c>
      <c r="AS752" s="17">
        <f t="shared" si="93"/>
        <v>1.0440068504735202E-2</v>
      </c>
      <c r="AT752" s="20">
        <v>17000</v>
      </c>
      <c r="AU752" s="20">
        <v>20112.09375</v>
      </c>
      <c r="AV752" s="20">
        <f t="shared" si="94"/>
        <v>3112.09375</v>
      </c>
      <c r="AW752" s="21">
        <f t="shared" si="95"/>
        <v>0.18306433823529411</v>
      </c>
    </row>
    <row r="753" spans="1:49" x14ac:dyDescent="0.25">
      <c r="A753" t="s">
        <v>38</v>
      </c>
      <c r="B753" t="s">
        <v>110</v>
      </c>
      <c r="C753">
        <v>146696</v>
      </c>
      <c r="D753">
        <v>2008</v>
      </c>
      <c r="E753" t="s">
        <v>69</v>
      </c>
      <c r="F753" t="s">
        <v>416</v>
      </c>
      <c r="H753" t="s">
        <v>105</v>
      </c>
      <c r="I753">
        <v>8</v>
      </c>
      <c r="J753" t="s">
        <v>72</v>
      </c>
      <c r="K753">
        <v>4</v>
      </c>
      <c r="L753" t="s">
        <v>44</v>
      </c>
      <c r="M753">
        <v>5.4</v>
      </c>
      <c r="N753" t="s">
        <v>73</v>
      </c>
      <c r="Q753" t="s">
        <v>62</v>
      </c>
      <c r="R753" t="s">
        <v>63</v>
      </c>
      <c r="S753" t="s">
        <v>49</v>
      </c>
      <c r="T753">
        <v>300</v>
      </c>
      <c r="U753" t="s">
        <v>50</v>
      </c>
      <c r="V753" t="s">
        <v>76</v>
      </c>
      <c r="X753" t="s">
        <v>108</v>
      </c>
      <c r="Y753" t="s">
        <v>78</v>
      </c>
      <c r="AA753">
        <v>0</v>
      </c>
      <c r="AB753" t="s">
        <v>79</v>
      </c>
      <c r="AC753" t="s">
        <v>87</v>
      </c>
      <c r="AD753">
        <v>36</v>
      </c>
      <c r="AE753">
        <v>9</v>
      </c>
      <c r="AF753">
        <v>3</v>
      </c>
      <c r="AG753">
        <v>2025</v>
      </c>
      <c r="AH753" s="2">
        <v>1600</v>
      </c>
      <c r="AI753" s="2">
        <v>2567.17724609375</v>
      </c>
      <c r="AJ753" s="2">
        <f t="shared" si="88"/>
        <v>967.17724609375</v>
      </c>
      <c r="AK753" s="6">
        <f t="shared" si="89"/>
        <v>0.60448577880859378</v>
      </c>
      <c r="AL753" s="12">
        <v>1600</v>
      </c>
      <c r="AM753" s="12">
        <v>2201.012231512485</v>
      </c>
      <c r="AN753" s="12">
        <f t="shared" si="90"/>
        <v>601.01223151248496</v>
      </c>
      <c r="AO753" s="13">
        <f t="shared" si="91"/>
        <v>0.37563264469530311</v>
      </c>
      <c r="AP753" s="16">
        <v>1600</v>
      </c>
      <c r="AQ753" s="16">
        <v>1932.7046141680171</v>
      </c>
      <c r="AR753" s="16">
        <f t="shared" si="92"/>
        <v>332.70461416801709</v>
      </c>
      <c r="AS753" s="17">
        <f t="shared" si="93"/>
        <v>0.20794038385501068</v>
      </c>
      <c r="AT753" s="20">
        <v>1600</v>
      </c>
      <c r="AU753" s="20">
        <v>2524.00341796875</v>
      </c>
      <c r="AV753" s="20">
        <f t="shared" si="94"/>
        <v>924.00341796875</v>
      </c>
      <c r="AW753" s="21">
        <f t="shared" si="95"/>
        <v>0.57750213623046875</v>
      </c>
    </row>
    <row r="754" spans="1:49" x14ac:dyDescent="0.25">
      <c r="A754" t="s">
        <v>38</v>
      </c>
      <c r="B754" t="s">
        <v>96</v>
      </c>
      <c r="C754">
        <v>117970</v>
      </c>
      <c r="D754">
        <v>2020</v>
      </c>
      <c r="E754" t="s">
        <v>97</v>
      </c>
      <c r="F754" t="s">
        <v>98</v>
      </c>
      <c r="G754" t="s">
        <v>513</v>
      </c>
      <c r="I754">
        <v>4</v>
      </c>
      <c r="J754" t="s">
        <v>72</v>
      </c>
      <c r="K754">
        <v>4</v>
      </c>
      <c r="L754" t="s">
        <v>44</v>
      </c>
      <c r="M754">
        <v>1.5</v>
      </c>
      <c r="N754" t="s">
        <v>45</v>
      </c>
      <c r="O754" t="s">
        <v>46</v>
      </c>
      <c r="P754">
        <v>2</v>
      </c>
      <c r="Q754" t="s">
        <v>62</v>
      </c>
      <c r="R754" t="s">
        <v>63</v>
      </c>
      <c r="S754" t="s">
        <v>101</v>
      </c>
      <c r="U754" t="s">
        <v>50</v>
      </c>
      <c r="V754" t="s">
        <v>51</v>
      </c>
      <c r="W754" t="s">
        <v>879</v>
      </c>
      <c r="X754" t="s">
        <v>65</v>
      </c>
      <c r="Y754" t="s">
        <v>126</v>
      </c>
      <c r="AA754">
        <v>0</v>
      </c>
      <c r="AB754" t="s">
        <v>79</v>
      </c>
      <c r="AC754" t="s">
        <v>87</v>
      </c>
      <c r="AD754">
        <v>36</v>
      </c>
      <c r="AE754">
        <v>9</v>
      </c>
      <c r="AF754">
        <v>3</v>
      </c>
      <c r="AG754">
        <v>2025</v>
      </c>
      <c r="AH754" s="2">
        <v>6000</v>
      </c>
      <c r="AI754" s="2">
        <v>6890.8818359375</v>
      </c>
      <c r="AJ754" s="2">
        <f t="shared" si="88"/>
        <v>890.8818359375</v>
      </c>
      <c r="AK754" s="6">
        <f t="shared" si="89"/>
        <v>0.14848030598958334</v>
      </c>
      <c r="AL754" s="12">
        <v>6000</v>
      </c>
      <c r="AM754" s="12">
        <v>6452.5785296795257</v>
      </c>
      <c r="AN754" s="12">
        <f t="shared" si="90"/>
        <v>452.57852967952567</v>
      </c>
      <c r="AO754" s="13">
        <f t="shared" si="91"/>
        <v>7.5429754946587615E-2</v>
      </c>
      <c r="AP754" s="16">
        <v>6000</v>
      </c>
      <c r="AQ754" s="16">
        <v>6396.6793582029622</v>
      </c>
      <c r="AR754" s="16">
        <f t="shared" si="92"/>
        <v>396.67935820296225</v>
      </c>
      <c r="AS754" s="17">
        <f t="shared" si="93"/>
        <v>6.6113226367160369E-2</v>
      </c>
      <c r="AT754" s="20">
        <v>6000</v>
      </c>
      <c r="AU754" s="20">
        <v>6916.69482421875</v>
      </c>
      <c r="AV754" s="20">
        <f t="shared" si="94"/>
        <v>916.69482421875</v>
      </c>
      <c r="AW754" s="21">
        <f t="shared" si="95"/>
        <v>0.15278247070312501</v>
      </c>
    </row>
    <row r="755" spans="1:49" x14ac:dyDescent="0.25">
      <c r="A755" t="s">
        <v>38</v>
      </c>
      <c r="B755" t="s">
        <v>39</v>
      </c>
      <c r="C755">
        <v>177136</v>
      </c>
      <c r="D755">
        <v>2013</v>
      </c>
      <c r="E755" t="s">
        <v>69</v>
      </c>
      <c r="F755" t="s">
        <v>157</v>
      </c>
      <c r="G755" t="s">
        <v>105</v>
      </c>
      <c r="I755">
        <v>6</v>
      </c>
      <c r="J755" t="s">
        <v>72</v>
      </c>
      <c r="K755">
        <v>4</v>
      </c>
      <c r="L755" t="s">
        <v>44</v>
      </c>
      <c r="M755">
        <v>3.5</v>
      </c>
      <c r="N755" t="s">
        <v>45</v>
      </c>
      <c r="O755" t="s">
        <v>46</v>
      </c>
      <c r="Q755" t="s">
        <v>62</v>
      </c>
      <c r="R755" t="s">
        <v>63</v>
      </c>
      <c r="T755">
        <v>290</v>
      </c>
      <c r="U755" t="s">
        <v>50</v>
      </c>
      <c r="V755" t="s">
        <v>76</v>
      </c>
      <c r="X755" t="s">
        <v>94</v>
      </c>
      <c r="Y755" t="s">
        <v>78</v>
      </c>
      <c r="AA755">
        <v>0</v>
      </c>
      <c r="AB755" t="s">
        <v>79</v>
      </c>
      <c r="AC755" t="s">
        <v>87</v>
      </c>
      <c r="AD755">
        <v>36</v>
      </c>
      <c r="AE755">
        <v>9</v>
      </c>
      <c r="AF755">
        <v>3</v>
      </c>
      <c r="AG755">
        <v>2025</v>
      </c>
      <c r="AH755" s="2">
        <v>3100</v>
      </c>
      <c r="AI755" s="2">
        <v>3172.3857421875</v>
      </c>
      <c r="AJ755" s="2">
        <f t="shared" si="88"/>
        <v>72.3857421875</v>
      </c>
      <c r="AK755" s="6">
        <f t="shared" si="89"/>
        <v>2.335023941532258E-2</v>
      </c>
      <c r="AL755" s="12">
        <v>3100</v>
      </c>
      <c r="AM755" s="12">
        <v>2848.5446137085992</v>
      </c>
      <c r="AN755" s="12">
        <f t="shared" si="90"/>
        <v>251.45538629140083</v>
      </c>
      <c r="AO755" s="13">
        <f t="shared" si="91"/>
        <v>8.1114640739161553E-2</v>
      </c>
      <c r="AP755" s="16">
        <v>3100</v>
      </c>
      <c r="AQ755" s="16">
        <v>3097.0427681373449</v>
      </c>
      <c r="AR755" s="16">
        <f t="shared" si="92"/>
        <v>2.957231862655135</v>
      </c>
      <c r="AS755" s="17">
        <f t="shared" si="93"/>
        <v>9.5394576214681776E-4</v>
      </c>
      <c r="AT755" s="20">
        <v>3100</v>
      </c>
      <c r="AU755" s="20">
        <v>3196.796142578125</v>
      </c>
      <c r="AV755" s="20">
        <f t="shared" si="94"/>
        <v>96.796142578125</v>
      </c>
      <c r="AW755" s="21">
        <f t="shared" si="95"/>
        <v>3.1224562121975805E-2</v>
      </c>
    </row>
    <row r="756" spans="1:49" x14ac:dyDescent="0.25">
      <c r="A756" t="s">
        <v>128</v>
      </c>
      <c r="B756" t="s">
        <v>129</v>
      </c>
      <c r="C756">
        <v>145675</v>
      </c>
      <c r="D756">
        <v>2003</v>
      </c>
      <c r="E756" t="s">
        <v>132</v>
      </c>
      <c r="F756" t="s">
        <v>133</v>
      </c>
      <c r="H756" t="s">
        <v>1013</v>
      </c>
      <c r="I756">
        <v>6</v>
      </c>
      <c r="J756" t="s">
        <v>106</v>
      </c>
      <c r="K756">
        <v>4</v>
      </c>
      <c r="L756" t="s">
        <v>44</v>
      </c>
      <c r="M756">
        <v>3.2</v>
      </c>
      <c r="N756" t="s">
        <v>73</v>
      </c>
      <c r="Q756" t="s">
        <v>47</v>
      </c>
      <c r="R756" t="s">
        <v>123</v>
      </c>
      <c r="T756">
        <v>221</v>
      </c>
      <c r="U756" t="s">
        <v>50</v>
      </c>
      <c r="V756" t="s">
        <v>76</v>
      </c>
      <c r="X756" t="s">
        <v>125</v>
      </c>
      <c r="Y756" t="s">
        <v>137</v>
      </c>
      <c r="AA756">
        <v>0</v>
      </c>
      <c r="AB756" t="s">
        <v>79</v>
      </c>
      <c r="AC756" t="s">
        <v>127</v>
      </c>
      <c r="AD756">
        <v>36</v>
      </c>
      <c r="AE756">
        <v>9</v>
      </c>
      <c r="AF756">
        <v>3</v>
      </c>
      <c r="AG756">
        <v>2025</v>
      </c>
      <c r="AH756" s="2">
        <v>500</v>
      </c>
      <c r="AI756" s="2">
        <v>964.580322265625</v>
      </c>
      <c r="AJ756" s="2">
        <f t="shared" si="88"/>
        <v>464.580322265625</v>
      </c>
      <c r="AK756" s="6">
        <f t="shared" si="89"/>
        <v>0.92916064453125002</v>
      </c>
      <c r="AL756" s="12">
        <v>500</v>
      </c>
      <c r="AM756" s="12">
        <v>989.59638661954716</v>
      </c>
      <c r="AN756" s="12">
        <f t="shared" si="90"/>
        <v>489.59638661954716</v>
      </c>
      <c r="AO756" s="13">
        <f t="shared" si="91"/>
        <v>0.97919277323909437</v>
      </c>
      <c r="AP756" s="16">
        <v>500</v>
      </c>
      <c r="AQ756" s="16">
        <v>979.66960465577495</v>
      </c>
      <c r="AR756" s="16">
        <f t="shared" si="92"/>
        <v>479.66960465577495</v>
      </c>
      <c r="AS756" s="17">
        <f t="shared" si="93"/>
        <v>0.95933920931154992</v>
      </c>
      <c r="AT756" s="20">
        <v>500</v>
      </c>
      <c r="AU756" s="20">
        <v>933.00634765625</v>
      </c>
      <c r="AV756" s="20">
        <f t="shared" si="94"/>
        <v>433.00634765625</v>
      </c>
      <c r="AW756" s="21">
        <f t="shared" si="95"/>
        <v>0.86601269531250002</v>
      </c>
    </row>
    <row r="757" spans="1:49" x14ac:dyDescent="0.25">
      <c r="A757" t="s">
        <v>128</v>
      </c>
      <c r="B757" t="s">
        <v>309</v>
      </c>
      <c r="C757">
        <v>144763</v>
      </c>
      <c r="D757">
        <v>2016</v>
      </c>
      <c r="E757" t="s">
        <v>341</v>
      </c>
      <c r="F757" t="s">
        <v>521</v>
      </c>
      <c r="G757" t="s">
        <v>1014</v>
      </c>
      <c r="I757">
        <v>6</v>
      </c>
      <c r="J757" t="s">
        <v>72</v>
      </c>
      <c r="K757">
        <v>4</v>
      </c>
      <c r="L757" t="s">
        <v>44</v>
      </c>
      <c r="M757">
        <v>3.6</v>
      </c>
      <c r="N757" t="s">
        <v>45</v>
      </c>
      <c r="O757" t="s">
        <v>100</v>
      </c>
      <c r="Q757" t="s">
        <v>47</v>
      </c>
      <c r="R757" t="s">
        <v>123</v>
      </c>
      <c r="U757" t="s">
        <v>50</v>
      </c>
      <c r="W757" t="s">
        <v>660</v>
      </c>
      <c r="X757" t="s">
        <v>125</v>
      </c>
      <c r="Y757" t="s">
        <v>78</v>
      </c>
      <c r="AA757">
        <v>0</v>
      </c>
      <c r="AB757" t="s">
        <v>79</v>
      </c>
      <c r="AC757" t="s">
        <v>127</v>
      </c>
      <c r="AD757">
        <v>36</v>
      </c>
      <c r="AE757">
        <v>9</v>
      </c>
      <c r="AF757">
        <v>3</v>
      </c>
      <c r="AG757">
        <v>2025</v>
      </c>
      <c r="AH757" s="2">
        <v>600</v>
      </c>
      <c r="AI757" s="2">
        <v>1245.93310546875</v>
      </c>
      <c r="AJ757" s="2">
        <f t="shared" si="88"/>
        <v>645.93310546875</v>
      </c>
      <c r="AK757" s="6">
        <f t="shared" si="89"/>
        <v>1.0765551757812499</v>
      </c>
      <c r="AL757" s="12">
        <v>600</v>
      </c>
      <c r="AM757" s="12">
        <v>1439.5005029679</v>
      </c>
      <c r="AN757" s="12">
        <f t="shared" si="90"/>
        <v>839.50050296790005</v>
      </c>
      <c r="AO757" s="13">
        <f t="shared" si="91"/>
        <v>1.3991675049465</v>
      </c>
      <c r="AP757" s="16">
        <v>600</v>
      </c>
      <c r="AQ757" s="16">
        <v>1198.206791195262</v>
      </c>
      <c r="AR757" s="16">
        <f t="shared" si="92"/>
        <v>598.20679119526199</v>
      </c>
      <c r="AS757" s="17">
        <f t="shared" si="93"/>
        <v>0.99701131865877002</v>
      </c>
      <c r="AT757" s="20">
        <v>600</v>
      </c>
      <c r="AU757" s="20">
        <v>1229.153076171875</v>
      </c>
      <c r="AV757" s="20">
        <f t="shared" si="94"/>
        <v>629.153076171875</v>
      </c>
      <c r="AW757" s="21">
        <f t="shared" si="95"/>
        <v>1.0485884602864584</v>
      </c>
    </row>
    <row r="758" spans="1:49" x14ac:dyDescent="0.25">
      <c r="A758" t="s">
        <v>38</v>
      </c>
      <c r="B758" t="s">
        <v>110</v>
      </c>
      <c r="C758">
        <v>52876</v>
      </c>
      <c r="D758">
        <v>2019</v>
      </c>
      <c r="E758" t="s">
        <v>146</v>
      </c>
      <c r="F758" t="s">
        <v>147</v>
      </c>
      <c r="H758" t="s">
        <v>272</v>
      </c>
      <c r="I758">
        <v>4</v>
      </c>
      <c r="J758" t="s">
        <v>135</v>
      </c>
      <c r="K758">
        <v>4</v>
      </c>
      <c r="L758" t="s">
        <v>44</v>
      </c>
      <c r="M758">
        <v>2.5</v>
      </c>
      <c r="N758" t="s">
        <v>45</v>
      </c>
      <c r="O758" t="s">
        <v>46</v>
      </c>
      <c r="P758">
        <v>3</v>
      </c>
      <c r="Q758" t="s">
        <v>62</v>
      </c>
      <c r="R758" t="s">
        <v>63</v>
      </c>
      <c r="S758" t="s">
        <v>49</v>
      </c>
      <c r="U758" t="s">
        <v>50</v>
      </c>
      <c r="X758" t="s">
        <v>65</v>
      </c>
      <c r="Y758" t="s">
        <v>78</v>
      </c>
      <c r="AA758">
        <v>0</v>
      </c>
      <c r="AB758" t="s">
        <v>79</v>
      </c>
      <c r="AC758" t="s">
        <v>87</v>
      </c>
      <c r="AD758">
        <v>36</v>
      </c>
      <c r="AE758">
        <v>9</v>
      </c>
      <c r="AF758">
        <v>3</v>
      </c>
      <c r="AG758">
        <v>2025</v>
      </c>
      <c r="AH758" s="2">
        <v>13500</v>
      </c>
      <c r="AI758" s="2">
        <v>11135.7802734375</v>
      </c>
      <c r="AJ758" s="2">
        <f t="shared" si="88"/>
        <v>2364.2197265625</v>
      </c>
      <c r="AK758" s="6">
        <f t="shared" si="89"/>
        <v>0.17512738715277779</v>
      </c>
      <c r="AL758" s="12">
        <v>13500</v>
      </c>
      <c r="AM758" s="12">
        <v>10264.14470453859</v>
      </c>
      <c r="AN758" s="12">
        <f t="shared" si="90"/>
        <v>3235.8552954614097</v>
      </c>
      <c r="AO758" s="13">
        <f t="shared" si="91"/>
        <v>0.23969298484899332</v>
      </c>
      <c r="AP758" s="16">
        <v>13500</v>
      </c>
      <c r="AQ758" s="16">
        <v>9784.6995623841085</v>
      </c>
      <c r="AR758" s="16">
        <f t="shared" si="92"/>
        <v>3715.3004376158915</v>
      </c>
      <c r="AS758" s="17">
        <f t="shared" si="93"/>
        <v>0.27520743982339935</v>
      </c>
      <c r="AT758" s="20">
        <v>13500</v>
      </c>
      <c r="AU758" s="20">
        <v>11089.7275390625</v>
      </c>
      <c r="AV758" s="20">
        <f t="shared" si="94"/>
        <v>2410.2724609375</v>
      </c>
      <c r="AW758" s="21">
        <f t="shared" si="95"/>
        <v>0.17853870081018519</v>
      </c>
    </row>
    <row r="759" spans="1:49" x14ac:dyDescent="0.25">
      <c r="A759" t="s">
        <v>81</v>
      </c>
      <c r="B759" t="s">
        <v>82</v>
      </c>
      <c r="C759">
        <v>137664</v>
      </c>
      <c r="D759">
        <v>2016</v>
      </c>
      <c r="E759" t="s">
        <v>166</v>
      </c>
      <c r="F759" t="s">
        <v>247</v>
      </c>
      <c r="G759" t="s">
        <v>248</v>
      </c>
      <c r="I759">
        <v>4</v>
      </c>
      <c r="J759" t="s">
        <v>106</v>
      </c>
      <c r="K759">
        <v>4</v>
      </c>
      <c r="L759" t="s">
        <v>44</v>
      </c>
      <c r="M759">
        <v>2.4</v>
      </c>
      <c r="N759" t="s">
        <v>44</v>
      </c>
      <c r="O759" t="s">
        <v>46</v>
      </c>
      <c r="Q759" t="s">
        <v>62</v>
      </c>
      <c r="R759" t="s">
        <v>63</v>
      </c>
      <c r="S759" t="s">
        <v>93</v>
      </c>
      <c r="T759">
        <v>185</v>
      </c>
      <c r="U759" t="s">
        <v>50</v>
      </c>
      <c r="V759" t="s">
        <v>51</v>
      </c>
      <c r="W759" t="s">
        <v>1015</v>
      </c>
      <c r="X759" t="s">
        <v>65</v>
      </c>
      <c r="Y759" t="s">
        <v>103</v>
      </c>
      <c r="AA759">
        <v>0</v>
      </c>
      <c r="AB759" t="s">
        <v>79</v>
      </c>
      <c r="AC759" t="s">
        <v>87</v>
      </c>
      <c r="AD759">
        <v>36</v>
      </c>
      <c r="AE759">
        <v>9</v>
      </c>
      <c r="AF759">
        <v>3</v>
      </c>
      <c r="AG759">
        <v>2025</v>
      </c>
      <c r="AH759" s="2">
        <v>6100</v>
      </c>
      <c r="AI759" s="2">
        <v>9106.701171875</v>
      </c>
      <c r="AJ759" s="2">
        <f t="shared" si="88"/>
        <v>3006.701171875</v>
      </c>
      <c r="AK759" s="6">
        <f t="shared" si="89"/>
        <v>0.49290183145491806</v>
      </c>
      <c r="AL759" s="12">
        <v>6100</v>
      </c>
      <c r="AM759" s="12">
        <v>7002.125194706141</v>
      </c>
      <c r="AN759" s="12">
        <f t="shared" si="90"/>
        <v>902.12519470614097</v>
      </c>
      <c r="AO759" s="13">
        <f t="shared" si="91"/>
        <v>0.14788937618133458</v>
      </c>
      <c r="AP759" s="16">
        <v>6100</v>
      </c>
      <c r="AQ759" s="16">
        <v>5918.5101669847209</v>
      </c>
      <c r="AR759" s="16">
        <f t="shared" si="92"/>
        <v>181.48983301527915</v>
      </c>
      <c r="AS759" s="17">
        <f t="shared" si="93"/>
        <v>2.9752431641849042E-2</v>
      </c>
      <c r="AT759" s="20">
        <v>6100</v>
      </c>
      <c r="AU759" s="20">
        <v>8864.544921875</v>
      </c>
      <c r="AV759" s="20">
        <f t="shared" si="94"/>
        <v>2764.544921875</v>
      </c>
      <c r="AW759" s="21">
        <f t="shared" si="95"/>
        <v>0.45320408555327868</v>
      </c>
    </row>
    <row r="760" spans="1:49" x14ac:dyDescent="0.25">
      <c r="A760" t="s">
        <v>38</v>
      </c>
      <c r="B760" t="s">
        <v>96</v>
      </c>
      <c r="C760">
        <v>104637</v>
      </c>
      <c r="D760">
        <v>2019</v>
      </c>
      <c r="E760" t="s">
        <v>146</v>
      </c>
      <c r="F760" t="s">
        <v>451</v>
      </c>
      <c r="I760">
        <v>4</v>
      </c>
      <c r="J760" t="s">
        <v>135</v>
      </c>
      <c r="K760">
        <v>4</v>
      </c>
      <c r="L760" t="s">
        <v>44</v>
      </c>
      <c r="M760">
        <v>1.6</v>
      </c>
      <c r="N760" t="s">
        <v>45</v>
      </c>
      <c r="O760" t="s">
        <v>46</v>
      </c>
      <c r="Q760" t="s">
        <v>47</v>
      </c>
      <c r="R760" t="s">
        <v>123</v>
      </c>
      <c r="S760" t="s">
        <v>49</v>
      </c>
      <c r="U760" t="s">
        <v>50</v>
      </c>
      <c r="X760" t="s">
        <v>125</v>
      </c>
      <c r="Y760" t="s">
        <v>126</v>
      </c>
      <c r="AA760">
        <v>0</v>
      </c>
      <c r="AB760" t="s">
        <v>79</v>
      </c>
      <c r="AC760" t="s">
        <v>127</v>
      </c>
      <c r="AD760">
        <v>36</v>
      </c>
      <c r="AE760">
        <v>9</v>
      </c>
      <c r="AF760">
        <v>3</v>
      </c>
      <c r="AG760">
        <v>2025</v>
      </c>
      <c r="AH760" s="2">
        <v>2400</v>
      </c>
      <c r="AI760" s="2">
        <v>3681.828125</v>
      </c>
      <c r="AJ760" s="2">
        <f t="shared" si="88"/>
        <v>1281.828125</v>
      </c>
      <c r="AK760" s="6">
        <f t="shared" si="89"/>
        <v>0.5340950520833333</v>
      </c>
      <c r="AL760" s="12">
        <v>2400</v>
      </c>
      <c r="AM760" s="12">
        <v>4890.0821413023186</v>
      </c>
      <c r="AN760" s="12">
        <f t="shared" si="90"/>
        <v>2490.0821413023186</v>
      </c>
      <c r="AO760" s="13">
        <f t="shared" si="91"/>
        <v>1.0375342255426327</v>
      </c>
      <c r="AP760" s="16">
        <v>2400</v>
      </c>
      <c r="AQ760" s="16">
        <v>3037.6328545784231</v>
      </c>
      <c r="AR760" s="16">
        <f t="shared" si="92"/>
        <v>637.63285457842312</v>
      </c>
      <c r="AS760" s="17">
        <f t="shared" si="93"/>
        <v>0.26568035607434298</v>
      </c>
      <c r="AT760" s="20">
        <v>2400</v>
      </c>
      <c r="AU760" s="20">
        <v>3794.590576171875</v>
      </c>
      <c r="AV760" s="20">
        <f t="shared" si="94"/>
        <v>1394.590576171875</v>
      </c>
      <c r="AW760" s="21">
        <f t="shared" si="95"/>
        <v>0.58107940673828129</v>
      </c>
    </row>
    <row r="761" spans="1:49" x14ac:dyDescent="0.25">
      <c r="A761" t="s">
        <v>128</v>
      </c>
      <c r="B761" t="s">
        <v>129</v>
      </c>
      <c r="C761">
        <v>112472</v>
      </c>
      <c r="D761">
        <v>2018</v>
      </c>
      <c r="E761" t="s">
        <v>162</v>
      </c>
      <c r="F761" t="s">
        <v>163</v>
      </c>
      <c r="G761" t="s">
        <v>460</v>
      </c>
      <c r="I761">
        <v>4</v>
      </c>
      <c r="J761" t="s">
        <v>106</v>
      </c>
      <c r="K761">
        <v>4</v>
      </c>
      <c r="L761" t="s">
        <v>44</v>
      </c>
      <c r="M761">
        <v>2.4</v>
      </c>
      <c r="N761" t="s">
        <v>45</v>
      </c>
      <c r="O761" t="s">
        <v>46</v>
      </c>
      <c r="P761">
        <v>3</v>
      </c>
      <c r="Q761" t="s">
        <v>47</v>
      </c>
      <c r="R761" t="s">
        <v>123</v>
      </c>
      <c r="S761" t="s">
        <v>101</v>
      </c>
      <c r="T761">
        <v>187</v>
      </c>
      <c r="U761" t="s">
        <v>50</v>
      </c>
      <c r="W761" t="s">
        <v>300</v>
      </c>
      <c r="X761" t="s">
        <v>125</v>
      </c>
      <c r="Y761" t="s">
        <v>78</v>
      </c>
      <c r="Z761">
        <v>23700</v>
      </c>
      <c r="AA761">
        <v>0</v>
      </c>
      <c r="AB761" t="s">
        <v>79</v>
      </c>
      <c r="AC761" t="s">
        <v>127</v>
      </c>
      <c r="AD761">
        <v>36</v>
      </c>
      <c r="AE761">
        <v>9</v>
      </c>
      <c r="AF761">
        <v>3</v>
      </c>
      <c r="AG761">
        <v>2025</v>
      </c>
      <c r="AH761" s="2">
        <v>4000</v>
      </c>
      <c r="AI761" s="2">
        <v>5475.64404296875</v>
      </c>
      <c r="AJ761" s="2">
        <f t="shared" si="88"/>
        <v>1475.64404296875</v>
      </c>
      <c r="AK761" s="6">
        <f t="shared" si="89"/>
        <v>0.36891101074218752</v>
      </c>
      <c r="AL761" s="12">
        <v>4000</v>
      </c>
      <c r="AM761" s="12">
        <v>5249.0299271190379</v>
      </c>
      <c r="AN761" s="12">
        <f t="shared" si="90"/>
        <v>1249.0299271190379</v>
      </c>
      <c r="AO761" s="13">
        <f t="shared" si="91"/>
        <v>0.31225748177975948</v>
      </c>
      <c r="AP761" s="16">
        <v>4000</v>
      </c>
      <c r="AQ761" s="16">
        <v>4810.5320225577389</v>
      </c>
      <c r="AR761" s="16">
        <f t="shared" si="92"/>
        <v>810.53202255773886</v>
      </c>
      <c r="AS761" s="17">
        <f t="shared" si="93"/>
        <v>0.2026330056394347</v>
      </c>
      <c r="AT761" s="20">
        <v>4000</v>
      </c>
      <c r="AU761" s="20">
        <v>5504.40869140625</v>
      </c>
      <c r="AV761" s="20">
        <f t="shared" si="94"/>
        <v>1504.40869140625</v>
      </c>
      <c r="AW761" s="21">
        <f t="shared" si="95"/>
        <v>0.3761021728515625</v>
      </c>
    </row>
    <row r="762" spans="1:49" x14ac:dyDescent="0.25">
      <c r="A762" t="s">
        <v>38</v>
      </c>
      <c r="B762" t="s">
        <v>39</v>
      </c>
      <c r="C762">
        <v>128211</v>
      </c>
      <c r="D762">
        <v>2015</v>
      </c>
      <c r="E762" t="s">
        <v>142</v>
      </c>
      <c r="F762" t="s">
        <v>143</v>
      </c>
      <c r="G762" t="s">
        <v>494</v>
      </c>
      <c r="I762">
        <v>6</v>
      </c>
      <c r="J762" t="s">
        <v>72</v>
      </c>
      <c r="K762">
        <v>4</v>
      </c>
      <c r="L762" t="s">
        <v>44</v>
      </c>
      <c r="M762">
        <v>3.2</v>
      </c>
      <c r="N762" t="s">
        <v>91</v>
      </c>
      <c r="O762" t="s">
        <v>46</v>
      </c>
      <c r="Q762" t="s">
        <v>62</v>
      </c>
      <c r="R762" t="s">
        <v>63</v>
      </c>
      <c r="S762" t="s">
        <v>93</v>
      </c>
      <c r="U762" t="s">
        <v>50</v>
      </c>
      <c r="X762" t="s">
        <v>141</v>
      </c>
      <c r="Y762" t="s">
        <v>78</v>
      </c>
      <c r="AA762">
        <v>0</v>
      </c>
      <c r="AB762" t="s">
        <v>79</v>
      </c>
      <c r="AC762" t="s">
        <v>87</v>
      </c>
      <c r="AD762">
        <v>36</v>
      </c>
      <c r="AE762">
        <v>9</v>
      </c>
      <c r="AF762">
        <v>3</v>
      </c>
      <c r="AG762">
        <v>2025</v>
      </c>
      <c r="AH762" s="2">
        <v>4750</v>
      </c>
      <c r="AI762" s="2">
        <v>6518.69091796875</v>
      </c>
      <c r="AJ762" s="2">
        <f t="shared" si="88"/>
        <v>1768.69091796875</v>
      </c>
      <c r="AK762" s="6">
        <f t="shared" si="89"/>
        <v>0.37235598273026316</v>
      </c>
      <c r="AL762" s="12">
        <v>4750</v>
      </c>
      <c r="AM762" s="12">
        <v>6472.5001943208663</v>
      </c>
      <c r="AN762" s="12">
        <f t="shared" si="90"/>
        <v>1722.5001943208663</v>
      </c>
      <c r="AO762" s="13">
        <f t="shared" si="91"/>
        <v>0.36263161985702447</v>
      </c>
      <c r="AP762" s="16">
        <v>4750</v>
      </c>
      <c r="AQ762" s="16">
        <v>6104.2553391456904</v>
      </c>
      <c r="AR762" s="16">
        <f t="shared" si="92"/>
        <v>1354.2553391456904</v>
      </c>
      <c r="AS762" s="17">
        <f t="shared" si="93"/>
        <v>0.2851063871885664</v>
      </c>
      <c r="AT762" s="20">
        <v>4750</v>
      </c>
      <c r="AU762" s="20">
        <v>6522.81494140625</v>
      </c>
      <c r="AV762" s="20">
        <f t="shared" si="94"/>
        <v>1772.81494140625</v>
      </c>
      <c r="AW762" s="21">
        <f t="shared" si="95"/>
        <v>0.37322419819078945</v>
      </c>
    </row>
    <row r="763" spans="1:49" x14ac:dyDescent="0.25">
      <c r="A763" t="s">
        <v>38</v>
      </c>
      <c r="B763" t="s">
        <v>39</v>
      </c>
      <c r="C763">
        <v>115313</v>
      </c>
      <c r="D763">
        <v>2019</v>
      </c>
      <c r="E763" t="s">
        <v>97</v>
      </c>
      <c r="F763" t="s">
        <v>419</v>
      </c>
      <c r="G763" t="s">
        <v>364</v>
      </c>
      <c r="I763">
        <v>8</v>
      </c>
      <c r="J763" t="s">
        <v>43</v>
      </c>
      <c r="K763">
        <v>4</v>
      </c>
      <c r="L763" t="s">
        <v>44</v>
      </c>
      <c r="M763">
        <v>5.3</v>
      </c>
      <c r="N763" t="s">
        <v>73</v>
      </c>
      <c r="O763" t="s">
        <v>46</v>
      </c>
      <c r="Q763" t="s">
        <v>62</v>
      </c>
      <c r="R763" t="s">
        <v>63</v>
      </c>
      <c r="S763" t="s">
        <v>49</v>
      </c>
      <c r="U763" t="s">
        <v>50</v>
      </c>
      <c r="W763" t="s">
        <v>1016</v>
      </c>
      <c r="X763" t="s">
        <v>108</v>
      </c>
      <c r="Y763" t="s">
        <v>78</v>
      </c>
      <c r="Z763">
        <v>63995</v>
      </c>
      <c r="AA763">
        <v>0</v>
      </c>
      <c r="AB763" t="s">
        <v>79</v>
      </c>
      <c r="AC763" t="s">
        <v>109</v>
      </c>
      <c r="AD763">
        <v>36</v>
      </c>
      <c r="AE763">
        <v>9</v>
      </c>
      <c r="AF763">
        <v>3</v>
      </c>
      <c r="AG763">
        <v>2025</v>
      </c>
      <c r="AH763" s="2">
        <v>22500</v>
      </c>
      <c r="AI763" s="2">
        <v>23275.146484375</v>
      </c>
      <c r="AJ763" s="2">
        <f t="shared" si="88"/>
        <v>775.146484375</v>
      </c>
      <c r="AK763" s="6">
        <f t="shared" si="89"/>
        <v>3.4450954861111112E-2</v>
      </c>
      <c r="AL763" s="12">
        <v>22500</v>
      </c>
      <c r="AM763" s="12">
        <v>21829.972702532479</v>
      </c>
      <c r="AN763" s="12">
        <f t="shared" si="90"/>
        <v>670.02729746752084</v>
      </c>
      <c r="AO763" s="13">
        <f t="shared" si="91"/>
        <v>2.9778990998556482E-2</v>
      </c>
      <c r="AP763" s="16">
        <v>22500</v>
      </c>
      <c r="AQ763" s="16">
        <v>20355.380688713391</v>
      </c>
      <c r="AR763" s="16">
        <f t="shared" si="92"/>
        <v>2144.6193112866094</v>
      </c>
      <c r="AS763" s="17">
        <f t="shared" si="93"/>
        <v>9.5316413834960423E-2</v>
      </c>
      <c r="AT763" s="20">
        <v>22500</v>
      </c>
      <c r="AU763" s="20">
        <v>22869.025390625</v>
      </c>
      <c r="AV763" s="20">
        <f t="shared" si="94"/>
        <v>369.025390625</v>
      </c>
      <c r="AW763" s="21">
        <f t="shared" si="95"/>
        <v>1.6401128472222221E-2</v>
      </c>
    </row>
    <row r="764" spans="1:49" x14ac:dyDescent="0.25">
      <c r="A764" t="s">
        <v>114</v>
      </c>
      <c r="B764" t="s">
        <v>158</v>
      </c>
      <c r="C764">
        <v>45962</v>
      </c>
      <c r="D764">
        <v>2023</v>
      </c>
      <c r="E764" t="s">
        <v>69</v>
      </c>
      <c r="F764" t="s">
        <v>70</v>
      </c>
      <c r="H764" t="s">
        <v>71</v>
      </c>
      <c r="I764">
        <v>6</v>
      </c>
      <c r="J764" t="s">
        <v>72</v>
      </c>
      <c r="K764">
        <v>3</v>
      </c>
      <c r="L764" t="s">
        <v>44</v>
      </c>
      <c r="M764">
        <v>3.5</v>
      </c>
      <c r="N764" t="s">
        <v>73</v>
      </c>
      <c r="O764" t="s">
        <v>46</v>
      </c>
      <c r="P764">
        <v>4</v>
      </c>
      <c r="Q764" t="s">
        <v>74</v>
      </c>
      <c r="R764" t="s">
        <v>75</v>
      </c>
      <c r="S764" t="s">
        <v>179</v>
      </c>
      <c r="U764" t="s">
        <v>50</v>
      </c>
      <c r="V764" t="s">
        <v>76</v>
      </c>
      <c r="W764" t="s">
        <v>640</v>
      </c>
      <c r="X764" t="s">
        <v>230</v>
      </c>
      <c r="Y764" t="s">
        <v>78</v>
      </c>
      <c r="AA764">
        <v>0</v>
      </c>
      <c r="AB764" t="s">
        <v>79</v>
      </c>
      <c r="AC764" t="s">
        <v>80</v>
      </c>
      <c r="AD764">
        <v>36</v>
      </c>
      <c r="AE764">
        <v>9</v>
      </c>
      <c r="AF764">
        <v>3</v>
      </c>
      <c r="AG764">
        <v>2025</v>
      </c>
      <c r="AH764" s="2">
        <v>24100</v>
      </c>
      <c r="AI764" s="2">
        <v>25027.5234375</v>
      </c>
      <c r="AJ764" s="2">
        <f t="shared" si="88"/>
        <v>927.5234375</v>
      </c>
      <c r="AK764" s="6">
        <f t="shared" si="89"/>
        <v>3.8486449688796678E-2</v>
      </c>
      <c r="AL764" s="12">
        <v>24100</v>
      </c>
      <c r="AM764" s="12">
        <v>30825.61409926273</v>
      </c>
      <c r="AN764" s="12">
        <f t="shared" si="90"/>
        <v>6725.6140992627297</v>
      </c>
      <c r="AO764" s="13">
        <f t="shared" si="91"/>
        <v>0.27907112445073567</v>
      </c>
      <c r="AP764" s="16">
        <v>24100</v>
      </c>
      <c r="AQ764" s="16">
        <v>27867.60828599524</v>
      </c>
      <c r="AR764" s="16">
        <f t="shared" si="92"/>
        <v>3767.6082859952403</v>
      </c>
      <c r="AS764" s="17">
        <f t="shared" si="93"/>
        <v>0.15633229402469875</v>
      </c>
      <c r="AT764" s="20">
        <v>24100</v>
      </c>
      <c r="AU764" s="20">
        <v>25869.19140625</v>
      </c>
      <c r="AV764" s="20">
        <f t="shared" si="94"/>
        <v>1769.19140625</v>
      </c>
      <c r="AW764" s="21">
        <f t="shared" si="95"/>
        <v>7.341043179460581E-2</v>
      </c>
    </row>
    <row r="765" spans="1:49" x14ac:dyDescent="0.25">
      <c r="A765" t="s">
        <v>128</v>
      </c>
      <c r="B765" t="s">
        <v>210</v>
      </c>
      <c r="C765">
        <v>145888</v>
      </c>
      <c r="D765">
        <v>2009</v>
      </c>
      <c r="E765" t="s">
        <v>40</v>
      </c>
      <c r="F765" t="s">
        <v>201</v>
      </c>
      <c r="H765" t="s">
        <v>496</v>
      </c>
      <c r="I765">
        <v>4</v>
      </c>
      <c r="J765" t="s">
        <v>61</v>
      </c>
      <c r="K765">
        <v>4</v>
      </c>
      <c r="L765" t="s">
        <v>44</v>
      </c>
      <c r="M765">
        <v>1.8</v>
      </c>
      <c r="N765" t="s">
        <v>45</v>
      </c>
      <c r="O765" t="s">
        <v>46</v>
      </c>
      <c r="Q765" t="s">
        <v>47</v>
      </c>
      <c r="R765" t="s">
        <v>123</v>
      </c>
      <c r="S765" t="s">
        <v>49</v>
      </c>
      <c r="T765">
        <v>132</v>
      </c>
      <c r="U765" t="s">
        <v>50</v>
      </c>
      <c r="V765" t="s">
        <v>51</v>
      </c>
      <c r="W765" t="s">
        <v>204</v>
      </c>
      <c r="X765" t="s">
        <v>125</v>
      </c>
      <c r="Y765" t="s">
        <v>54</v>
      </c>
      <c r="AA765">
        <v>0</v>
      </c>
      <c r="AB765" t="s">
        <v>79</v>
      </c>
      <c r="AC765" t="s">
        <v>127</v>
      </c>
      <c r="AD765">
        <v>36</v>
      </c>
      <c r="AE765">
        <v>9</v>
      </c>
      <c r="AF765">
        <v>3</v>
      </c>
      <c r="AG765">
        <v>2025</v>
      </c>
      <c r="AH765" s="2">
        <v>1400</v>
      </c>
      <c r="AI765" s="2">
        <v>2120.616455078125</v>
      </c>
      <c r="AJ765" s="2">
        <f t="shared" si="88"/>
        <v>720.616455078125</v>
      </c>
      <c r="AK765" s="6">
        <f t="shared" si="89"/>
        <v>0.51472603934151784</v>
      </c>
      <c r="AL765" s="12">
        <v>1400</v>
      </c>
      <c r="AM765" s="12">
        <v>2221.844508933531</v>
      </c>
      <c r="AN765" s="12">
        <f t="shared" si="90"/>
        <v>821.84450893353096</v>
      </c>
      <c r="AO765" s="13">
        <f t="shared" si="91"/>
        <v>0.58703179209537926</v>
      </c>
      <c r="AP765" s="16">
        <v>1400</v>
      </c>
      <c r="AQ765" s="16">
        <v>2017.2362021052941</v>
      </c>
      <c r="AR765" s="16">
        <f t="shared" si="92"/>
        <v>617.23620210529407</v>
      </c>
      <c r="AS765" s="17">
        <f t="shared" si="93"/>
        <v>0.44088300150378146</v>
      </c>
      <c r="AT765" s="20">
        <v>1400</v>
      </c>
      <c r="AU765" s="20">
        <v>2135.47607421875</v>
      </c>
      <c r="AV765" s="20">
        <f t="shared" si="94"/>
        <v>735.47607421875</v>
      </c>
      <c r="AW765" s="21">
        <f t="shared" si="95"/>
        <v>0.52534005301339282</v>
      </c>
    </row>
    <row r="766" spans="1:49" x14ac:dyDescent="0.25">
      <c r="A766" t="s">
        <v>38</v>
      </c>
      <c r="B766" t="s">
        <v>39</v>
      </c>
      <c r="C766">
        <v>120417</v>
      </c>
      <c r="D766">
        <v>2021</v>
      </c>
      <c r="E766" t="s">
        <v>403</v>
      </c>
      <c r="F766" t="s">
        <v>554</v>
      </c>
      <c r="G766" t="s">
        <v>1017</v>
      </c>
      <c r="I766">
        <v>8</v>
      </c>
      <c r="J766" t="s">
        <v>61</v>
      </c>
      <c r="K766">
        <v>4</v>
      </c>
      <c r="L766" t="s">
        <v>44</v>
      </c>
      <c r="M766">
        <v>6.2</v>
      </c>
      <c r="N766" t="s">
        <v>91</v>
      </c>
      <c r="O766" t="s">
        <v>46</v>
      </c>
      <c r="Q766" t="s">
        <v>62</v>
      </c>
      <c r="R766" t="s">
        <v>63</v>
      </c>
      <c r="S766" t="s">
        <v>93</v>
      </c>
      <c r="U766" t="s">
        <v>50</v>
      </c>
      <c r="V766" t="s">
        <v>76</v>
      </c>
      <c r="W766" t="s">
        <v>910</v>
      </c>
      <c r="X766" t="s">
        <v>108</v>
      </c>
      <c r="Y766" t="s">
        <v>78</v>
      </c>
      <c r="AA766">
        <v>0</v>
      </c>
      <c r="AB766" t="s">
        <v>79</v>
      </c>
      <c r="AC766" t="s">
        <v>109</v>
      </c>
      <c r="AD766">
        <v>36</v>
      </c>
      <c r="AE766">
        <v>9</v>
      </c>
      <c r="AF766">
        <v>3</v>
      </c>
      <c r="AG766">
        <v>2025</v>
      </c>
      <c r="AH766" s="2">
        <v>44500</v>
      </c>
      <c r="AI766" s="2">
        <v>36596.1875</v>
      </c>
      <c r="AJ766" s="2">
        <f t="shared" si="88"/>
        <v>7903.8125</v>
      </c>
      <c r="AK766" s="6">
        <f t="shared" si="89"/>
        <v>0.17761376404494383</v>
      </c>
      <c r="AL766" s="12">
        <v>44500</v>
      </c>
      <c r="AM766" s="12">
        <v>34448.738385301513</v>
      </c>
      <c r="AN766" s="12">
        <f t="shared" si="90"/>
        <v>10051.261614698487</v>
      </c>
      <c r="AO766" s="13">
        <f t="shared" si="91"/>
        <v>0.22587104752131432</v>
      </c>
      <c r="AP766" s="16">
        <v>44500</v>
      </c>
      <c r="AQ766" s="16">
        <v>36566.139566546728</v>
      </c>
      <c r="AR766" s="16">
        <f t="shared" si="92"/>
        <v>7933.860433453272</v>
      </c>
      <c r="AS766" s="17">
        <f t="shared" si="93"/>
        <v>0.17828899850456792</v>
      </c>
      <c r="AT766" s="20">
        <v>44500</v>
      </c>
      <c r="AU766" s="20">
        <v>36272.03125</v>
      </c>
      <c r="AV766" s="20">
        <f t="shared" si="94"/>
        <v>8227.96875</v>
      </c>
      <c r="AW766" s="21">
        <f t="shared" si="95"/>
        <v>0.18489817415730336</v>
      </c>
    </row>
    <row r="767" spans="1:49" x14ac:dyDescent="0.25">
      <c r="A767" t="s">
        <v>38</v>
      </c>
      <c r="B767" t="s">
        <v>68</v>
      </c>
      <c r="C767">
        <v>213883</v>
      </c>
      <c r="D767">
        <v>2013</v>
      </c>
      <c r="E767" t="s">
        <v>69</v>
      </c>
      <c r="F767" t="s">
        <v>250</v>
      </c>
      <c r="H767" t="s">
        <v>190</v>
      </c>
      <c r="I767">
        <v>4</v>
      </c>
      <c r="J767" t="s">
        <v>61</v>
      </c>
      <c r="K767">
        <v>4</v>
      </c>
      <c r="L767" t="s">
        <v>44</v>
      </c>
      <c r="M767">
        <v>2.5</v>
      </c>
      <c r="N767" t="s">
        <v>45</v>
      </c>
      <c r="O767" t="s">
        <v>46</v>
      </c>
      <c r="Q767" t="s">
        <v>62</v>
      </c>
      <c r="R767" t="s">
        <v>63</v>
      </c>
      <c r="S767" t="s">
        <v>49</v>
      </c>
      <c r="T767">
        <v>168</v>
      </c>
      <c r="U767" t="s">
        <v>50</v>
      </c>
      <c r="V767" t="s">
        <v>51</v>
      </c>
      <c r="X767" t="s">
        <v>65</v>
      </c>
      <c r="Y767" t="s">
        <v>78</v>
      </c>
      <c r="AA767">
        <v>0</v>
      </c>
      <c r="AB767" t="s">
        <v>79</v>
      </c>
      <c r="AC767" t="s">
        <v>87</v>
      </c>
      <c r="AD767">
        <v>36</v>
      </c>
      <c r="AE767">
        <v>9</v>
      </c>
      <c r="AF767">
        <v>3</v>
      </c>
      <c r="AG767">
        <v>2025</v>
      </c>
      <c r="AH767" s="2">
        <v>1500</v>
      </c>
      <c r="AI767" s="2">
        <v>1519.005004882812</v>
      </c>
      <c r="AJ767" s="2">
        <f t="shared" si="88"/>
        <v>19.005004882812045</v>
      </c>
      <c r="AK767" s="6">
        <f t="shared" si="89"/>
        <v>1.2670003255208031E-2</v>
      </c>
      <c r="AL767" s="12">
        <v>1500</v>
      </c>
      <c r="AM767" s="12">
        <v>1398.323476318493</v>
      </c>
      <c r="AN767" s="12">
        <f t="shared" si="90"/>
        <v>101.67652368150698</v>
      </c>
      <c r="AO767" s="13">
        <f t="shared" si="91"/>
        <v>6.7784349121004658E-2</v>
      </c>
      <c r="AP767" s="16">
        <v>1500</v>
      </c>
      <c r="AQ767" s="16">
        <v>1290.468969184031</v>
      </c>
      <c r="AR767" s="16">
        <f t="shared" si="92"/>
        <v>209.53103081596896</v>
      </c>
      <c r="AS767" s="17">
        <f t="shared" si="93"/>
        <v>0.13968735387731265</v>
      </c>
      <c r="AT767" s="20">
        <v>1500</v>
      </c>
      <c r="AU767" s="20">
        <v>1507.041137695312</v>
      </c>
      <c r="AV767" s="20">
        <f t="shared" si="94"/>
        <v>7.0411376953120453</v>
      </c>
      <c r="AW767" s="21">
        <f t="shared" si="95"/>
        <v>4.6940917968746965E-3</v>
      </c>
    </row>
    <row r="768" spans="1:49" x14ac:dyDescent="0.25">
      <c r="A768" t="s">
        <v>128</v>
      </c>
      <c r="B768" t="s">
        <v>129</v>
      </c>
      <c r="C768">
        <v>112098</v>
      </c>
      <c r="D768">
        <v>2016</v>
      </c>
      <c r="E768" t="s">
        <v>58</v>
      </c>
      <c r="F768" t="s">
        <v>243</v>
      </c>
      <c r="G768" t="s">
        <v>462</v>
      </c>
      <c r="I768">
        <v>4</v>
      </c>
      <c r="J768" t="s">
        <v>122</v>
      </c>
      <c r="K768">
        <v>4</v>
      </c>
      <c r="L768" t="s">
        <v>44</v>
      </c>
      <c r="M768">
        <v>1.8</v>
      </c>
      <c r="N768" t="s">
        <v>45</v>
      </c>
      <c r="Q768" t="s">
        <v>47</v>
      </c>
      <c r="R768" t="s">
        <v>123</v>
      </c>
      <c r="U768" t="s">
        <v>50</v>
      </c>
      <c r="V768" t="s">
        <v>51</v>
      </c>
      <c r="W768" t="s">
        <v>463</v>
      </c>
      <c r="X768" t="s">
        <v>125</v>
      </c>
      <c r="Y768" t="s">
        <v>66</v>
      </c>
      <c r="AA768">
        <v>0</v>
      </c>
      <c r="AB768" t="s">
        <v>79</v>
      </c>
      <c r="AC768" t="s">
        <v>127</v>
      </c>
      <c r="AD768">
        <v>36</v>
      </c>
      <c r="AE768">
        <v>9</v>
      </c>
      <c r="AF768">
        <v>3</v>
      </c>
      <c r="AG768">
        <v>2025</v>
      </c>
      <c r="AH768" s="2">
        <v>3000</v>
      </c>
      <c r="AI768" s="2">
        <v>3218.279541015625</v>
      </c>
      <c r="AJ768" s="2">
        <f t="shared" si="88"/>
        <v>218.279541015625</v>
      </c>
      <c r="AK768" s="6">
        <f t="shared" si="89"/>
        <v>7.2759847005208336E-2</v>
      </c>
      <c r="AL768" s="12">
        <v>3000</v>
      </c>
      <c r="AM768" s="12">
        <v>3440.729776382922</v>
      </c>
      <c r="AN768" s="12">
        <f t="shared" si="90"/>
        <v>440.72977638292195</v>
      </c>
      <c r="AO768" s="13">
        <f t="shared" si="91"/>
        <v>0.14690992546097398</v>
      </c>
      <c r="AP768" s="16">
        <v>3000</v>
      </c>
      <c r="AQ768" s="16">
        <v>2673.6162013346102</v>
      </c>
      <c r="AR768" s="16">
        <f t="shared" si="92"/>
        <v>326.3837986653898</v>
      </c>
      <c r="AS768" s="17">
        <f t="shared" si="93"/>
        <v>0.10879459955512993</v>
      </c>
      <c r="AT768" s="20">
        <v>3000</v>
      </c>
      <c r="AU768" s="20">
        <v>3255.60009765625</v>
      </c>
      <c r="AV768" s="20">
        <f t="shared" si="94"/>
        <v>255.60009765625</v>
      </c>
      <c r="AW768" s="21">
        <f t="shared" si="95"/>
        <v>8.5200032552083332E-2</v>
      </c>
    </row>
    <row r="769" spans="1:49" x14ac:dyDescent="0.25">
      <c r="A769" t="s">
        <v>38</v>
      </c>
      <c r="B769" t="s">
        <v>1018</v>
      </c>
      <c r="C769">
        <v>76997</v>
      </c>
      <c r="D769">
        <v>2021</v>
      </c>
      <c r="E769" t="s">
        <v>69</v>
      </c>
      <c r="F769" t="s">
        <v>475</v>
      </c>
      <c r="H769" t="s">
        <v>476</v>
      </c>
      <c r="I769">
        <v>8</v>
      </c>
      <c r="K769">
        <v>2</v>
      </c>
      <c r="L769" t="s">
        <v>371</v>
      </c>
      <c r="M769">
        <v>6.2</v>
      </c>
      <c r="N769" t="s">
        <v>1019</v>
      </c>
      <c r="Q769" t="s">
        <v>74</v>
      </c>
      <c r="R769" t="s">
        <v>92</v>
      </c>
      <c r="S769" t="s">
        <v>49</v>
      </c>
      <c r="T769">
        <v>383</v>
      </c>
      <c r="U769" t="s">
        <v>50</v>
      </c>
      <c r="V769" t="s">
        <v>76</v>
      </c>
      <c r="X769" t="s">
        <v>230</v>
      </c>
      <c r="Y769" t="s">
        <v>78</v>
      </c>
      <c r="AA769">
        <v>0</v>
      </c>
      <c r="AB769" t="s">
        <v>79</v>
      </c>
      <c r="AC769" t="s">
        <v>95</v>
      </c>
      <c r="AD769">
        <v>36</v>
      </c>
      <c r="AE769">
        <v>9</v>
      </c>
      <c r="AF769">
        <v>3</v>
      </c>
      <c r="AG769">
        <v>2025</v>
      </c>
      <c r="AH769" s="2">
        <v>21700</v>
      </c>
      <c r="AI769" s="2">
        <v>25936.732421875</v>
      </c>
      <c r="AJ769" s="2">
        <f t="shared" si="88"/>
        <v>4236.732421875</v>
      </c>
      <c r="AK769" s="6">
        <f t="shared" si="89"/>
        <v>0.19524112543202765</v>
      </c>
      <c r="AL769" s="12">
        <v>21700</v>
      </c>
      <c r="AM769" s="12">
        <v>27842.77917388386</v>
      </c>
      <c r="AN769" s="12">
        <f t="shared" si="90"/>
        <v>6142.7791738838605</v>
      </c>
      <c r="AO769" s="13">
        <f t="shared" si="91"/>
        <v>0.28307738128497051</v>
      </c>
      <c r="AP769" s="16">
        <v>21700</v>
      </c>
      <c r="AQ769" s="16">
        <v>24885.772229011829</v>
      </c>
      <c r="AR769" s="16">
        <f t="shared" si="92"/>
        <v>3185.772229011829</v>
      </c>
      <c r="AS769" s="17">
        <f t="shared" si="93"/>
        <v>0.14680978013879398</v>
      </c>
      <c r="AT769" s="20">
        <v>21700</v>
      </c>
      <c r="AU769" s="20">
        <v>25996.912109375</v>
      </c>
      <c r="AV769" s="20">
        <f t="shared" si="94"/>
        <v>4296.912109375</v>
      </c>
      <c r="AW769" s="21">
        <f t="shared" si="95"/>
        <v>0.19801438292050691</v>
      </c>
    </row>
    <row r="770" spans="1:49" x14ac:dyDescent="0.25">
      <c r="A770" t="s">
        <v>38</v>
      </c>
      <c r="B770" t="s">
        <v>474</v>
      </c>
      <c r="C770">
        <v>50206</v>
      </c>
      <c r="D770">
        <v>2017</v>
      </c>
      <c r="E770" t="s">
        <v>69</v>
      </c>
      <c r="F770" t="s">
        <v>607</v>
      </c>
      <c r="G770" t="s">
        <v>1020</v>
      </c>
      <c r="I770">
        <v>6</v>
      </c>
      <c r="J770" t="s">
        <v>72</v>
      </c>
      <c r="K770">
        <v>4</v>
      </c>
      <c r="L770" t="s">
        <v>44</v>
      </c>
      <c r="M770">
        <v>3.5</v>
      </c>
      <c r="N770" t="s">
        <v>45</v>
      </c>
      <c r="O770" t="s">
        <v>46</v>
      </c>
      <c r="P770">
        <v>3</v>
      </c>
      <c r="Q770" t="s">
        <v>47</v>
      </c>
      <c r="R770" t="s">
        <v>123</v>
      </c>
      <c r="S770" t="s">
        <v>101</v>
      </c>
      <c r="T770">
        <v>288</v>
      </c>
      <c r="U770" t="s">
        <v>50</v>
      </c>
      <c r="V770" t="s">
        <v>76</v>
      </c>
      <c r="W770" t="s">
        <v>609</v>
      </c>
      <c r="X770" t="s">
        <v>125</v>
      </c>
      <c r="Y770" t="s">
        <v>78</v>
      </c>
      <c r="AA770">
        <v>0</v>
      </c>
      <c r="AB770" t="s">
        <v>79</v>
      </c>
      <c r="AC770" t="s">
        <v>127</v>
      </c>
      <c r="AD770">
        <v>36</v>
      </c>
      <c r="AE770">
        <v>9</v>
      </c>
      <c r="AF770">
        <v>3</v>
      </c>
      <c r="AG770">
        <v>2025</v>
      </c>
      <c r="AH770" s="2">
        <v>5000</v>
      </c>
      <c r="AI770" s="2">
        <v>4332.83642578125</v>
      </c>
      <c r="AJ770" s="2">
        <f t="shared" si="88"/>
        <v>667.16357421875</v>
      </c>
      <c r="AK770" s="6">
        <f t="shared" si="89"/>
        <v>0.13343271484374999</v>
      </c>
      <c r="AL770" s="12">
        <v>5000</v>
      </c>
      <c r="AM770" s="12">
        <v>7647.0580319618921</v>
      </c>
      <c r="AN770" s="12">
        <f t="shared" si="90"/>
        <v>2647.0580319618921</v>
      </c>
      <c r="AO770" s="13">
        <f t="shared" si="91"/>
        <v>0.52941160639237839</v>
      </c>
      <c r="AP770" s="16">
        <v>5000</v>
      </c>
      <c r="AQ770" s="16">
        <v>5444.5744339650228</v>
      </c>
      <c r="AR770" s="16">
        <f t="shared" si="92"/>
        <v>444.57443396502276</v>
      </c>
      <c r="AS770" s="17">
        <f t="shared" si="93"/>
        <v>8.8914886793004549E-2</v>
      </c>
      <c r="AT770" s="20">
        <v>5000</v>
      </c>
      <c r="AU770" s="20">
        <v>4597.12109375</v>
      </c>
      <c r="AV770" s="20">
        <f t="shared" si="94"/>
        <v>402.87890625</v>
      </c>
      <c r="AW770" s="21">
        <f t="shared" si="95"/>
        <v>8.0575781250000006E-2</v>
      </c>
    </row>
    <row r="771" spans="1:49" x14ac:dyDescent="0.25">
      <c r="A771" t="s">
        <v>81</v>
      </c>
      <c r="B771" t="s">
        <v>82</v>
      </c>
      <c r="C771">
        <v>112745</v>
      </c>
      <c r="D771">
        <v>2012</v>
      </c>
      <c r="E771" t="s">
        <v>132</v>
      </c>
      <c r="F771" t="s">
        <v>133</v>
      </c>
      <c r="G771" t="s">
        <v>1021</v>
      </c>
      <c r="H771" t="s">
        <v>636</v>
      </c>
      <c r="I771">
        <v>6</v>
      </c>
      <c r="J771" t="s">
        <v>135</v>
      </c>
      <c r="K771">
        <v>4</v>
      </c>
      <c r="L771" t="s">
        <v>44</v>
      </c>
      <c r="M771">
        <v>3.5</v>
      </c>
      <c r="N771" t="s">
        <v>44</v>
      </c>
      <c r="O771" t="s">
        <v>46</v>
      </c>
      <c r="Q771" t="s">
        <v>47</v>
      </c>
      <c r="R771" t="s">
        <v>123</v>
      </c>
      <c r="S771" t="s">
        <v>85</v>
      </c>
      <c r="U771" t="s">
        <v>50</v>
      </c>
      <c r="V771" t="s">
        <v>76</v>
      </c>
      <c r="X771" t="s">
        <v>125</v>
      </c>
      <c r="Y771" t="s">
        <v>137</v>
      </c>
      <c r="AA771">
        <v>0</v>
      </c>
      <c r="AB771" t="s">
        <v>79</v>
      </c>
      <c r="AC771" t="s">
        <v>127</v>
      </c>
      <c r="AD771">
        <v>36</v>
      </c>
      <c r="AE771">
        <v>9</v>
      </c>
      <c r="AF771">
        <v>3</v>
      </c>
      <c r="AG771">
        <v>2025</v>
      </c>
      <c r="AH771" s="2">
        <v>6100</v>
      </c>
      <c r="AI771" s="2">
        <v>3614.0107421875</v>
      </c>
      <c r="AJ771" s="2">
        <f t="shared" ref="AJ771:AJ834" si="96">ABS(AH771-AI771)</f>
        <v>2485.9892578125</v>
      </c>
      <c r="AK771" s="6">
        <f t="shared" ref="AK771:AK834" si="97">ABS($AH771-AI771)/$AH771</f>
        <v>0.40753922259221309</v>
      </c>
      <c r="AL771" s="12">
        <v>6100</v>
      </c>
      <c r="AM771" s="12">
        <v>3351.9791825439888</v>
      </c>
      <c r="AN771" s="12">
        <f t="shared" ref="AN771:AN834" si="98">ABS(AL771-AM771)</f>
        <v>2748.0208174560112</v>
      </c>
      <c r="AO771" s="13">
        <f t="shared" ref="AO771:AO834" si="99">ABS($AH771-AM771)/$AH771</f>
        <v>0.45049521597639525</v>
      </c>
      <c r="AP771" s="16">
        <v>6100</v>
      </c>
      <c r="AQ771" s="16">
        <v>3284.8150796708401</v>
      </c>
      <c r="AR771" s="16">
        <f t="shared" ref="AR771:AR834" si="100">ABS(AP771-AQ771)</f>
        <v>2815.1849203291599</v>
      </c>
      <c r="AS771" s="17">
        <f t="shared" ref="AS771:AS834" si="101">ABS($AH771-AQ771)/$AH771</f>
        <v>0.46150572464412459</v>
      </c>
      <c r="AT771" s="20">
        <v>6100</v>
      </c>
      <c r="AU771" s="20">
        <v>3602.56591796875</v>
      </c>
      <c r="AV771" s="20">
        <f t="shared" ref="AV771:AV834" si="102">ABS(AT771-AU771)</f>
        <v>2497.43408203125</v>
      </c>
      <c r="AW771" s="21">
        <f t="shared" ref="AW771:AW834" si="103">ABS($AH771-AU771)/$AH771</f>
        <v>0.40941542328381147</v>
      </c>
    </row>
    <row r="772" spans="1:49" x14ac:dyDescent="0.25">
      <c r="A772" t="s">
        <v>128</v>
      </c>
      <c r="B772" t="s">
        <v>129</v>
      </c>
      <c r="C772">
        <v>192966</v>
      </c>
      <c r="D772">
        <v>2012</v>
      </c>
      <c r="E772" t="s">
        <v>162</v>
      </c>
      <c r="F772" t="s">
        <v>211</v>
      </c>
      <c r="G772" t="s">
        <v>1022</v>
      </c>
      <c r="I772">
        <v>4</v>
      </c>
      <c r="J772" t="s">
        <v>135</v>
      </c>
      <c r="K772">
        <v>4</v>
      </c>
      <c r="L772" t="s">
        <v>44</v>
      </c>
      <c r="M772">
        <v>1.8</v>
      </c>
      <c r="N772" t="s">
        <v>45</v>
      </c>
      <c r="Q772" t="s">
        <v>47</v>
      </c>
      <c r="R772" t="s">
        <v>123</v>
      </c>
      <c r="U772" t="s">
        <v>50</v>
      </c>
      <c r="W772" t="s">
        <v>1023</v>
      </c>
      <c r="X772" t="s">
        <v>125</v>
      </c>
      <c r="Y772" t="s">
        <v>78</v>
      </c>
      <c r="AA772">
        <v>0</v>
      </c>
      <c r="AB772" t="s">
        <v>79</v>
      </c>
      <c r="AC772" t="s">
        <v>127</v>
      </c>
      <c r="AD772">
        <v>36</v>
      </c>
      <c r="AE772">
        <v>9</v>
      </c>
      <c r="AF772">
        <v>3</v>
      </c>
      <c r="AG772">
        <v>2025</v>
      </c>
      <c r="AH772" s="2">
        <v>1300</v>
      </c>
      <c r="AI772" s="2">
        <v>1037.794311523438</v>
      </c>
      <c r="AJ772" s="2">
        <f t="shared" si="96"/>
        <v>262.20568847656205</v>
      </c>
      <c r="AK772" s="6">
        <f t="shared" si="97"/>
        <v>0.20169668344350927</v>
      </c>
      <c r="AL772" s="12">
        <v>1300</v>
      </c>
      <c r="AM772" s="12">
        <v>1286.525168252371</v>
      </c>
      <c r="AN772" s="12">
        <f t="shared" si="98"/>
        <v>13.474831747628969</v>
      </c>
      <c r="AO772" s="13">
        <f t="shared" si="99"/>
        <v>1.0365255190483822E-2</v>
      </c>
      <c r="AP772" s="16">
        <v>1300</v>
      </c>
      <c r="AQ772" s="16">
        <v>1057.9341825442129</v>
      </c>
      <c r="AR772" s="16">
        <f t="shared" si="100"/>
        <v>242.06581745578706</v>
      </c>
      <c r="AS772" s="17">
        <f t="shared" si="101"/>
        <v>0.18620447496599005</v>
      </c>
      <c r="AT772" s="20">
        <v>1300</v>
      </c>
      <c r="AU772" s="20">
        <v>1048.521362304688</v>
      </c>
      <c r="AV772" s="20">
        <f t="shared" si="102"/>
        <v>251.47863769531205</v>
      </c>
      <c r="AW772" s="21">
        <f t="shared" si="103"/>
        <v>0.19344510591947081</v>
      </c>
    </row>
    <row r="773" spans="1:49" x14ac:dyDescent="0.25">
      <c r="A773" t="s">
        <v>38</v>
      </c>
      <c r="B773" t="s">
        <v>39</v>
      </c>
      <c r="C773">
        <v>149315</v>
      </c>
      <c r="D773">
        <v>2016</v>
      </c>
      <c r="E773" t="s">
        <v>263</v>
      </c>
      <c r="F773" t="s">
        <v>264</v>
      </c>
      <c r="G773" t="s">
        <v>265</v>
      </c>
      <c r="H773" t="s">
        <v>168</v>
      </c>
      <c r="I773">
        <v>4</v>
      </c>
      <c r="J773" t="s">
        <v>106</v>
      </c>
      <c r="K773">
        <v>4</v>
      </c>
      <c r="L773" t="s">
        <v>44</v>
      </c>
      <c r="M773">
        <v>2.5</v>
      </c>
      <c r="N773" t="s">
        <v>45</v>
      </c>
      <c r="O773" t="s">
        <v>46</v>
      </c>
      <c r="Q773" t="s">
        <v>62</v>
      </c>
      <c r="R773" t="s">
        <v>63</v>
      </c>
      <c r="S773" t="s">
        <v>49</v>
      </c>
      <c r="U773" t="s">
        <v>50</v>
      </c>
      <c r="V773" t="s">
        <v>51</v>
      </c>
      <c r="W773" t="s">
        <v>266</v>
      </c>
      <c r="X773" t="s">
        <v>65</v>
      </c>
      <c r="Y773" t="s">
        <v>54</v>
      </c>
      <c r="AA773">
        <v>0</v>
      </c>
      <c r="AB773" t="s">
        <v>79</v>
      </c>
      <c r="AC773" t="s">
        <v>87</v>
      </c>
      <c r="AD773">
        <v>36</v>
      </c>
      <c r="AE773">
        <v>9</v>
      </c>
      <c r="AF773">
        <v>3</v>
      </c>
      <c r="AG773">
        <v>2025</v>
      </c>
      <c r="AH773" s="2">
        <v>7750</v>
      </c>
      <c r="AI773" s="2">
        <v>5555.828125</v>
      </c>
      <c r="AJ773" s="2">
        <f t="shared" si="96"/>
        <v>2194.171875</v>
      </c>
      <c r="AK773" s="6">
        <f t="shared" si="97"/>
        <v>0.28311895161290324</v>
      </c>
      <c r="AL773" s="12">
        <v>7750</v>
      </c>
      <c r="AM773" s="12">
        <v>3858.7459918406921</v>
      </c>
      <c r="AN773" s="12">
        <f t="shared" si="98"/>
        <v>3891.2540081593079</v>
      </c>
      <c r="AO773" s="13">
        <f t="shared" si="99"/>
        <v>0.50209729137539461</v>
      </c>
      <c r="AP773" s="16">
        <v>7750</v>
      </c>
      <c r="AQ773" s="16">
        <v>4131.0056682712366</v>
      </c>
      <c r="AR773" s="16">
        <f t="shared" si="100"/>
        <v>3618.9943317287634</v>
      </c>
      <c r="AS773" s="17">
        <f t="shared" si="101"/>
        <v>0.46696701054564688</v>
      </c>
      <c r="AT773" s="20">
        <v>7750</v>
      </c>
      <c r="AU773" s="20">
        <v>5454.5419921875</v>
      </c>
      <c r="AV773" s="20">
        <f t="shared" si="102"/>
        <v>2295.4580078125</v>
      </c>
      <c r="AW773" s="21">
        <f t="shared" si="103"/>
        <v>0.29618813004032257</v>
      </c>
    </row>
    <row r="774" spans="1:49" x14ac:dyDescent="0.25">
      <c r="A774" t="s">
        <v>114</v>
      </c>
      <c r="B774" t="s">
        <v>115</v>
      </c>
      <c r="C774">
        <v>174855</v>
      </c>
      <c r="D774">
        <v>2015</v>
      </c>
      <c r="E774" t="s">
        <v>69</v>
      </c>
      <c r="F774" t="s">
        <v>104</v>
      </c>
      <c r="H774" t="s">
        <v>1024</v>
      </c>
      <c r="I774">
        <v>6</v>
      </c>
      <c r="J774" t="s">
        <v>106</v>
      </c>
      <c r="K774">
        <v>4</v>
      </c>
      <c r="L774" t="s">
        <v>44</v>
      </c>
      <c r="M774">
        <v>3.5</v>
      </c>
      <c r="N774" t="s">
        <v>91</v>
      </c>
      <c r="O774" t="s">
        <v>46</v>
      </c>
      <c r="Q774" t="s">
        <v>62</v>
      </c>
      <c r="R774" t="s">
        <v>63</v>
      </c>
      <c r="S774" t="s">
        <v>93</v>
      </c>
      <c r="T774">
        <v>370</v>
      </c>
      <c r="U774" t="s">
        <v>50</v>
      </c>
      <c r="V774" t="s">
        <v>76</v>
      </c>
      <c r="X774" t="s">
        <v>108</v>
      </c>
      <c r="Y774" t="s">
        <v>78</v>
      </c>
      <c r="AA774">
        <v>0</v>
      </c>
      <c r="AB774" t="s">
        <v>79</v>
      </c>
      <c r="AC774" t="s">
        <v>87</v>
      </c>
      <c r="AD774">
        <v>36</v>
      </c>
      <c r="AE774">
        <v>9</v>
      </c>
      <c r="AF774">
        <v>3</v>
      </c>
      <c r="AG774">
        <v>2025</v>
      </c>
      <c r="AH774" s="2">
        <v>6500</v>
      </c>
      <c r="AI774" s="2">
        <v>4086.072265625</v>
      </c>
      <c r="AJ774" s="2">
        <f t="shared" si="96"/>
        <v>2413.927734375</v>
      </c>
      <c r="AK774" s="6">
        <f t="shared" si="97"/>
        <v>0.37137349759615385</v>
      </c>
      <c r="AL774" s="12">
        <v>6500</v>
      </c>
      <c r="AM774" s="12">
        <v>5162.551600452628</v>
      </c>
      <c r="AN774" s="12">
        <f t="shared" si="98"/>
        <v>1337.448399547372</v>
      </c>
      <c r="AO774" s="13">
        <f t="shared" si="99"/>
        <v>0.20576129223805723</v>
      </c>
      <c r="AP774" s="16">
        <v>6500</v>
      </c>
      <c r="AQ774" s="16">
        <v>3403.269114052534</v>
      </c>
      <c r="AR774" s="16">
        <f t="shared" si="100"/>
        <v>3096.730885947466</v>
      </c>
      <c r="AS774" s="17">
        <f t="shared" si="101"/>
        <v>0.47642013629961016</v>
      </c>
      <c r="AT774" s="20">
        <v>6500</v>
      </c>
      <c r="AU774" s="20">
        <v>4202.5078125</v>
      </c>
      <c r="AV774" s="20">
        <f t="shared" si="102"/>
        <v>2297.4921875</v>
      </c>
      <c r="AW774" s="21">
        <f t="shared" si="103"/>
        <v>0.35346033653846154</v>
      </c>
    </row>
    <row r="775" spans="1:49" x14ac:dyDescent="0.25">
      <c r="A775" t="s">
        <v>38</v>
      </c>
      <c r="B775" t="s">
        <v>68</v>
      </c>
      <c r="C775">
        <v>111447</v>
      </c>
      <c r="D775">
        <v>2017</v>
      </c>
      <c r="E775" t="s">
        <v>403</v>
      </c>
      <c r="F775" t="s">
        <v>554</v>
      </c>
      <c r="G775" t="s">
        <v>662</v>
      </c>
      <c r="I775">
        <v>8</v>
      </c>
      <c r="J775" t="s">
        <v>135</v>
      </c>
      <c r="K775">
        <v>4</v>
      </c>
      <c r="L775" t="s">
        <v>44</v>
      </c>
      <c r="M775">
        <v>6.2</v>
      </c>
      <c r="N775" t="s">
        <v>91</v>
      </c>
      <c r="O775" t="s">
        <v>46</v>
      </c>
      <c r="Q775" t="s">
        <v>62</v>
      </c>
      <c r="R775" t="s">
        <v>63</v>
      </c>
      <c r="S775" t="s">
        <v>93</v>
      </c>
      <c r="U775" t="s">
        <v>50</v>
      </c>
      <c r="W775" t="s">
        <v>948</v>
      </c>
      <c r="X775" t="s">
        <v>108</v>
      </c>
      <c r="Y775" t="s">
        <v>78</v>
      </c>
      <c r="Z775">
        <v>82895</v>
      </c>
      <c r="AA775">
        <v>0</v>
      </c>
      <c r="AB775" t="s">
        <v>79</v>
      </c>
      <c r="AC775" t="s">
        <v>87</v>
      </c>
      <c r="AD775">
        <v>36</v>
      </c>
      <c r="AE775">
        <v>9</v>
      </c>
      <c r="AF775">
        <v>3</v>
      </c>
      <c r="AG775">
        <v>2025</v>
      </c>
      <c r="AH775" s="2">
        <v>19750</v>
      </c>
      <c r="AI775" s="2">
        <v>24987.740234375</v>
      </c>
      <c r="AJ775" s="2">
        <f t="shared" si="96"/>
        <v>5237.740234375</v>
      </c>
      <c r="AK775" s="6">
        <f t="shared" si="97"/>
        <v>0.26520203718354429</v>
      </c>
      <c r="AL775" s="12">
        <v>19750</v>
      </c>
      <c r="AM775" s="12">
        <v>22381.704039524331</v>
      </c>
      <c r="AN775" s="12">
        <f t="shared" si="98"/>
        <v>2631.7040395243312</v>
      </c>
      <c r="AO775" s="13">
        <f t="shared" si="99"/>
        <v>0.13325083744426994</v>
      </c>
      <c r="AP775" s="16">
        <v>19750</v>
      </c>
      <c r="AQ775" s="16">
        <v>22187.110897586241</v>
      </c>
      <c r="AR775" s="16">
        <f t="shared" si="100"/>
        <v>2437.1108975862408</v>
      </c>
      <c r="AS775" s="17">
        <f t="shared" si="101"/>
        <v>0.1233980201309489</v>
      </c>
      <c r="AT775" s="20">
        <v>19750</v>
      </c>
      <c r="AU775" s="20">
        <v>24282.890625</v>
      </c>
      <c r="AV775" s="20">
        <f t="shared" si="102"/>
        <v>4532.890625</v>
      </c>
      <c r="AW775" s="21">
        <f t="shared" si="103"/>
        <v>0.22951344936708862</v>
      </c>
    </row>
    <row r="776" spans="1:49" x14ac:dyDescent="0.25">
      <c r="A776" t="s">
        <v>38</v>
      </c>
      <c r="B776" t="s">
        <v>110</v>
      </c>
      <c r="C776">
        <v>137976</v>
      </c>
      <c r="D776">
        <v>2016</v>
      </c>
      <c r="E776" t="s">
        <v>166</v>
      </c>
      <c r="F776" t="s">
        <v>247</v>
      </c>
      <c r="G776" t="s">
        <v>581</v>
      </c>
      <c r="I776">
        <v>4</v>
      </c>
      <c r="J776" t="s">
        <v>135</v>
      </c>
      <c r="K776">
        <v>4</v>
      </c>
      <c r="L776" t="s">
        <v>44</v>
      </c>
      <c r="M776">
        <v>2.4</v>
      </c>
      <c r="N776" t="s">
        <v>45</v>
      </c>
      <c r="O776" t="s">
        <v>46</v>
      </c>
      <c r="P776">
        <v>2</v>
      </c>
      <c r="Q776" t="s">
        <v>62</v>
      </c>
      <c r="R776" t="s">
        <v>63</v>
      </c>
      <c r="S776" t="s">
        <v>49</v>
      </c>
      <c r="T776">
        <v>185</v>
      </c>
      <c r="U776" t="s">
        <v>50</v>
      </c>
      <c r="V776" t="s">
        <v>51</v>
      </c>
      <c r="W776" t="s">
        <v>1015</v>
      </c>
      <c r="X776" t="s">
        <v>65</v>
      </c>
      <c r="Y776" t="s">
        <v>103</v>
      </c>
      <c r="AA776">
        <v>0</v>
      </c>
      <c r="AB776" t="s">
        <v>79</v>
      </c>
      <c r="AC776" t="s">
        <v>87</v>
      </c>
      <c r="AD776">
        <v>36</v>
      </c>
      <c r="AE776">
        <v>9</v>
      </c>
      <c r="AF776">
        <v>3</v>
      </c>
      <c r="AG776">
        <v>2025</v>
      </c>
      <c r="AH776" s="2">
        <v>8300</v>
      </c>
      <c r="AI776" s="2">
        <v>8259.271484375</v>
      </c>
      <c r="AJ776" s="2">
        <f t="shared" si="96"/>
        <v>40.728515625</v>
      </c>
      <c r="AK776" s="6">
        <f t="shared" si="97"/>
        <v>4.907050075301205E-3</v>
      </c>
      <c r="AL776" s="12">
        <v>8300</v>
      </c>
      <c r="AM776" s="12">
        <v>5438.9745622168557</v>
      </c>
      <c r="AN776" s="12">
        <f t="shared" si="98"/>
        <v>2861.0254377831443</v>
      </c>
      <c r="AO776" s="13">
        <f t="shared" si="99"/>
        <v>0.34470185997387282</v>
      </c>
      <c r="AP776" s="16">
        <v>8300</v>
      </c>
      <c r="AQ776" s="16">
        <v>5132.4720018839153</v>
      </c>
      <c r="AR776" s="16">
        <f t="shared" si="100"/>
        <v>3167.5279981160847</v>
      </c>
      <c r="AS776" s="17">
        <f t="shared" si="101"/>
        <v>0.38162987929109454</v>
      </c>
      <c r="AT776" s="20">
        <v>8300</v>
      </c>
      <c r="AU776" s="20">
        <v>7942.2646484375</v>
      </c>
      <c r="AV776" s="20">
        <f t="shared" si="102"/>
        <v>357.7353515625</v>
      </c>
      <c r="AW776" s="21">
        <f t="shared" si="103"/>
        <v>4.3100644766566262E-2</v>
      </c>
    </row>
    <row r="777" spans="1:49" x14ac:dyDescent="0.25">
      <c r="A777" t="s">
        <v>38</v>
      </c>
      <c r="B777" t="s">
        <v>96</v>
      </c>
      <c r="C777">
        <v>43611</v>
      </c>
      <c r="D777">
        <v>2024</v>
      </c>
      <c r="E777" t="s">
        <v>142</v>
      </c>
      <c r="F777" t="s">
        <v>1025</v>
      </c>
      <c r="H777" t="s">
        <v>398</v>
      </c>
      <c r="I777">
        <v>6</v>
      </c>
      <c r="J777" t="s">
        <v>61</v>
      </c>
      <c r="K777">
        <v>4</v>
      </c>
      <c r="L777" t="s">
        <v>44</v>
      </c>
      <c r="M777">
        <v>3.6</v>
      </c>
      <c r="N777" t="s">
        <v>91</v>
      </c>
      <c r="O777" t="s">
        <v>46</v>
      </c>
      <c r="P777">
        <v>4</v>
      </c>
      <c r="Q777" t="s">
        <v>62</v>
      </c>
      <c r="R777" t="s">
        <v>63</v>
      </c>
      <c r="S777" t="s">
        <v>93</v>
      </c>
      <c r="T777">
        <v>293</v>
      </c>
      <c r="U777" t="s">
        <v>50</v>
      </c>
      <c r="V777" t="s">
        <v>76</v>
      </c>
      <c r="X777" t="s">
        <v>94</v>
      </c>
      <c r="Y777" t="s">
        <v>78</v>
      </c>
      <c r="AA777">
        <v>0</v>
      </c>
      <c r="AB777" t="s">
        <v>79</v>
      </c>
      <c r="AC777" t="s">
        <v>109</v>
      </c>
      <c r="AD777">
        <v>36</v>
      </c>
      <c r="AE777">
        <v>9</v>
      </c>
      <c r="AF777">
        <v>3</v>
      </c>
      <c r="AG777">
        <v>2025</v>
      </c>
      <c r="AH777" s="2">
        <v>26250</v>
      </c>
      <c r="AI777" s="2">
        <v>29839.99609375</v>
      </c>
      <c r="AJ777" s="2">
        <f t="shared" si="96"/>
        <v>3589.99609375</v>
      </c>
      <c r="AK777" s="6">
        <f t="shared" si="97"/>
        <v>0.13676175595238096</v>
      </c>
      <c r="AL777" s="12">
        <v>26250</v>
      </c>
      <c r="AM777" s="12">
        <v>35420.569221746759</v>
      </c>
      <c r="AN777" s="12">
        <f t="shared" si="98"/>
        <v>9170.5692217467586</v>
      </c>
      <c r="AO777" s="13">
        <f t="shared" si="99"/>
        <v>0.34935501797130508</v>
      </c>
      <c r="AP777" s="16">
        <v>26250</v>
      </c>
      <c r="AQ777" s="16">
        <v>33040.48960566309</v>
      </c>
      <c r="AR777" s="16">
        <f t="shared" si="100"/>
        <v>6790.4896056630896</v>
      </c>
      <c r="AS777" s="17">
        <f t="shared" si="101"/>
        <v>0.25868531831097485</v>
      </c>
      <c r="AT777" s="20">
        <v>26250</v>
      </c>
      <c r="AU777" s="20">
        <v>30140.54296875</v>
      </c>
      <c r="AV777" s="20">
        <f t="shared" si="102"/>
        <v>3890.54296875</v>
      </c>
      <c r="AW777" s="21">
        <f t="shared" si="103"/>
        <v>0.14821116071428572</v>
      </c>
    </row>
    <row r="778" spans="1:49" x14ac:dyDescent="0.25">
      <c r="A778" t="s">
        <v>38</v>
      </c>
      <c r="B778" t="s">
        <v>39</v>
      </c>
      <c r="C778">
        <v>129861</v>
      </c>
      <c r="D778">
        <v>2013</v>
      </c>
      <c r="E778" t="s">
        <v>146</v>
      </c>
      <c r="F778" t="s">
        <v>334</v>
      </c>
      <c r="I778">
        <v>4</v>
      </c>
      <c r="J778" t="s">
        <v>135</v>
      </c>
      <c r="K778">
        <v>4</v>
      </c>
      <c r="L778" t="s">
        <v>44</v>
      </c>
      <c r="M778">
        <v>2.5</v>
      </c>
      <c r="N778" t="s">
        <v>45</v>
      </c>
      <c r="O778" t="s">
        <v>46</v>
      </c>
      <c r="Q778" t="s">
        <v>47</v>
      </c>
      <c r="R778" t="s">
        <v>123</v>
      </c>
      <c r="S778" t="s">
        <v>49</v>
      </c>
      <c r="U778" t="s">
        <v>50</v>
      </c>
      <c r="X778" t="s">
        <v>125</v>
      </c>
      <c r="Y778" t="s">
        <v>78</v>
      </c>
      <c r="AA778">
        <v>0</v>
      </c>
      <c r="AB778" t="s">
        <v>79</v>
      </c>
      <c r="AC778" t="s">
        <v>127</v>
      </c>
      <c r="AD778">
        <v>36</v>
      </c>
      <c r="AE778">
        <v>9</v>
      </c>
      <c r="AF778">
        <v>3</v>
      </c>
      <c r="AG778">
        <v>2025</v>
      </c>
      <c r="AH778" s="2">
        <v>5400</v>
      </c>
      <c r="AI778" s="2">
        <v>2060.641845703125</v>
      </c>
      <c r="AJ778" s="2">
        <f t="shared" si="96"/>
        <v>3339.358154296875</v>
      </c>
      <c r="AK778" s="6">
        <f t="shared" si="97"/>
        <v>0.61839965820312504</v>
      </c>
      <c r="AL778" s="12">
        <v>5400</v>
      </c>
      <c r="AM778" s="12">
        <v>2336.3277880192099</v>
      </c>
      <c r="AN778" s="12">
        <f t="shared" si="98"/>
        <v>3063.6722119807901</v>
      </c>
      <c r="AO778" s="13">
        <f t="shared" si="99"/>
        <v>0.56734670592236858</v>
      </c>
      <c r="AP778" s="16">
        <v>5400</v>
      </c>
      <c r="AQ778" s="16">
        <v>2115.4432652151008</v>
      </c>
      <c r="AR778" s="16">
        <f t="shared" si="100"/>
        <v>3284.5567347848992</v>
      </c>
      <c r="AS778" s="17">
        <f t="shared" si="101"/>
        <v>0.60825124718238877</v>
      </c>
      <c r="AT778" s="20">
        <v>5400</v>
      </c>
      <c r="AU778" s="20">
        <v>2077.38232421875</v>
      </c>
      <c r="AV778" s="20">
        <f t="shared" si="102"/>
        <v>3322.61767578125</v>
      </c>
      <c r="AW778" s="21">
        <f t="shared" si="103"/>
        <v>0.61529956958912035</v>
      </c>
    </row>
    <row r="779" spans="1:49" x14ac:dyDescent="0.25">
      <c r="A779" t="s">
        <v>38</v>
      </c>
      <c r="B779" t="s">
        <v>68</v>
      </c>
      <c r="C779">
        <v>111448</v>
      </c>
      <c r="D779">
        <v>2016</v>
      </c>
      <c r="E779" t="s">
        <v>97</v>
      </c>
      <c r="F779" t="s">
        <v>159</v>
      </c>
      <c r="G779" t="s">
        <v>155</v>
      </c>
      <c r="H779" t="s">
        <v>89</v>
      </c>
      <c r="I779">
        <v>8</v>
      </c>
      <c r="J779" t="s">
        <v>135</v>
      </c>
      <c r="K779">
        <v>4</v>
      </c>
      <c r="L779" t="s">
        <v>44</v>
      </c>
      <c r="M779">
        <v>5.3</v>
      </c>
      <c r="N779" t="s">
        <v>91</v>
      </c>
      <c r="O779" t="s">
        <v>46</v>
      </c>
      <c r="P779">
        <v>4</v>
      </c>
      <c r="Q779" t="s">
        <v>74</v>
      </c>
      <c r="R779" t="s">
        <v>92</v>
      </c>
      <c r="S779" t="s">
        <v>93</v>
      </c>
      <c r="U779" t="s">
        <v>50</v>
      </c>
      <c r="W779" t="s">
        <v>450</v>
      </c>
      <c r="X779" t="s">
        <v>108</v>
      </c>
      <c r="Y779" t="s">
        <v>78</v>
      </c>
      <c r="AA779">
        <v>0</v>
      </c>
      <c r="AB779" t="s">
        <v>79</v>
      </c>
      <c r="AC779" t="s">
        <v>95</v>
      </c>
      <c r="AD779">
        <v>36</v>
      </c>
      <c r="AE779">
        <v>9</v>
      </c>
      <c r="AF779">
        <v>3</v>
      </c>
      <c r="AG779">
        <v>2025</v>
      </c>
      <c r="AH779" s="2">
        <v>16000</v>
      </c>
      <c r="AI779" s="2">
        <v>17600.60546875</v>
      </c>
      <c r="AJ779" s="2">
        <f t="shared" si="96"/>
        <v>1600.60546875</v>
      </c>
      <c r="AK779" s="6">
        <f t="shared" si="97"/>
        <v>0.100037841796875</v>
      </c>
      <c r="AL779" s="12">
        <v>16000</v>
      </c>
      <c r="AM779" s="12">
        <v>18569.33673393535</v>
      </c>
      <c r="AN779" s="12">
        <f t="shared" si="98"/>
        <v>2569.3367339353499</v>
      </c>
      <c r="AO779" s="13">
        <f t="shared" si="99"/>
        <v>0.16058354587095938</v>
      </c>
      <c r="AP779" s="16">
        <v>16000</v>
      </c>
      <c r="AQ779" s="16">
        <v>16688.42231378963</v>
      </c>
      <c r="AR779" s="16">
        <f t="shared" si="100"/>
        <v>688.4223137896297</v>
      </c>
      <c r="AS779" s="17">
        <f t="shared" si="101"/>
        <v>4.3026394611851856E-2</v>
      </c>
      <c r="AT779" s="20">
        <v>16000</v>
      </c>
      <c r="AU779" s="20">
        <v>17646.759765625</v>
      </c>
      <c r="AV779" s="20">
        <f t="shared" si="102"/>
        <v>1646.759765625</v>
      </c>
      <c r="AW779" s="21">
        <f t="shared" si="103"/>
        <v>0.1029224853515625</v>
      </c>
    </row>
    <row r="780" spans="1:49" x14ac:dyDescent="0.25">
      <c r="A780" t="s">
        <v>38</v>
      </c>
      <c r="B780" t="s">
        <v>96</v>
      </c>
      <c r="C780">
        <v>126216</v>
      </c>
      <c r="D780">
        <v>2019</v>
      </c>
      <c r="E780" t="s">
        <v>97</v>
      </c>
      <c r="F780" t="s">
        <v>159</v>
      </c>
      <c r="G780" t="s">
        <v>155</v>
      </c>
      <c r="H780" t="s">
        <v>89</v>
      </c>
      <c r="I780">
        <v>8</v>
      </c>
      <c r="J780" t="s">
        <v>72</v>
      </c>
      <c r="K780">
        <v>4</v>
      </c>
      <c r="L780" t="s">
        <v>44</v>
      </c>
      <c r="M780">
        <v>5.3</v>
      </c>
      <c r="N780" t="s">
        <v>91</v>
      </c>
      <c r="O780" t="s">
        <v>46</v>
      </c>
      <c r="P780">
        <v>2</v>
      </c>
      <c r="Q780" t="s">
        <v>74</v>
      </c>
      <c r="R780" t="s">
        <v>92</v>
      </c>
      <c r="S780" t="s">
        <v>93</v>
      </c>
      <c r="U780" t="s">
        <v>50</v>
      </c>
      <c r="W780" t="s">
        <v>577</v>
      </c>
      <c r="X780" t="s">
        <v>108</v>
      </c>
      <c r="Y780" t="s">
        <v>78</v>
      </c>
      <c r="Z780">
        <v>44195</v>
      </c>
      <c r="AA780">
        <v>0</v>
      </c>
      <c r="AB780" t="s">
        <v>79</v>
      </c>
      <c r="AC780" t="s">
        <v>95</v>
      </c>
      <c r="AD780">
        <v>36</v>
      </c>
      <c r="AE780">
        <v>9</v>
      </c>
      <c r="AF780">
        <v>3</v>
      </c>
      <c r="AG780">
        <v>2025</v>
      </c>
      <c r="AH780" s="2">
        <v>17000</v>
      </c>
      <c r="AI780" s="2">
        <v>17730.064453125</v>
      </c>
      <c r="AJ780" s="2">
        <f t="shared" si="96"/>
        <v>730.064453125</v>
      </c>
      <c r="AK780" s="6">
        <f t="shared" si="97"/>
        <v>4.294496783088235E-2</v>
      </c>
      <c r="AL780" s="12">
        <v>17000</v>
      </c>
      <c r="AM780" s="12">
        <v>16146.408143373599</v>
      </c>
      <c r="AN780" s="12">
        <f t="shared" si="98"/>
        <v>853.59185662640084</v>
      </c>
      <c r="AO780" s="13">
        <f t="shared" si="99"/>
        <v>5.0211285683905933E-2</v>
      </c>
      <c r="AP780" s="16">
        <v>17000</v>
      </c>
      <c r="AQ780" s="16">
        <v>13448.575214666191</v>
      </c>
      <c r="AR780" s="16">
        <f t="shared" si="100"/>
        <v>3551.4247853338093</v>
      </c>
      <c r="AS780" s="17">
        <f t="shared" si="101"/>
        <v>0.20890734031375349</v>
      </c>
      <c r="AT780" s="20">
        <v>17000</v>
      </c>
      <c r="AU780" s="20">
        <v>17133.55859375</v>
      </c>
      <c r="AV780" s="20">
        <f t="shared" si="102"/>
        <v>133.55859375</v>
      </c>
      <c r="AW780" s="21">
        <f t="shared" si="103"/>
        <v>7.8563878676470595E-3</v>
      </c>
    </row>
    <row r="781" spans="1:49" x14ac:dyDescent="0.25">
      <c r="A781" t="s">
        <v>38</v>
      </c>
      <c r="B781" t="s">
        <v>39</v>
      </c>
      <c r="C781">
        <v>105700</v>
      </c>
      <c r="D781">
        <v>2018</v>
      </c>
      <c r="E781" t="s">
        <v>464</v>
      </c>
      <c r="F781" t="s">
        <v>813</v>
      </c>
      <c r="G781" t="s">
        <v>190</v>
      </c>
      <c r="I781">
        <v>6</v>
      </c>
      <c r="J781" t="s">
        <v>72</v>
      </c>
      <c r="K781">
        <v>4</v>
      </c>
      <c r="L781" t="s">
        <v>44</v>
      </c>
      <c r="M781">
        <v>3</v>
      </c>
      <c r="N781" t="s">
        <v>44</v>
      </c>
      <c r="O781" t="s">
        <v>46</v>
      </c>
      <c r="Q781" t="s">
        <v>62</v>
      </c>
      <c r="R781" t="s">
        <v>63</v>
      </c>
      <c r="S781" t="s">
        <v>85</v>
      </c>
      <c r="T781">
        <v>380</v>
      </c>
      <c r="U781" t="s">
        <v>50</v>
      </c>
      <c r="V781" t="s">
        <v>76</v>
      </c>
      <c r="W781" t="s">
        <v>1026</v>
      </c>
      <c r="X781" t="s">
        <v>141</v>
      </c>
      <c r="Y781" t="s">
        <v>427</v>
      </c>
      <c r="Z781">
        <v>52300</v>
      </c>
      <c r="AA781">
        <v>0</v>
      </c>
      <c r="AB781" t="s">
        <v>79</v>
      </c>
      <c r="AC781" t="s">
        <v>87</v>
      </c>
      <c r="AD781">
        <v>36</v>
      </c>
      <c r="AE781">
        <v>9</v>
      </c>
      <c r="AF781">
        <v>3</v>
      </c>
      <c r="AG781">
        <v>2025</v>
      </c>
      <c r="AH781" s="2">
        <v>16500</v>
      </c>
      <c r="AI781" s="2">
        <v>13935.6630859375</v>
      </c>
      <c r="AJ781" s="2">
        <f t="shared" si="96"/>
        <v>2564.3369140625</v>
      </c>
      <c r="AK781" s="6">
        <f t="shared" si="97"/>
        <v>0.15541435842803031</v>
      </c>
      <c r="AL781" s="12">
        <v>16500</v>
      </c>
      <c r="AM781" s="12">
        <v>14303.880887711661</v>
      </c>
      <c r="AN781" s="12">
        <f t="shared" si="98"/>
        <v>2196.1191122883392</v>
      </c>
      <c r="AO781" s="13">
        <f t="shared" si="99"/>
        <v>0.13309812801747511</v>
      </c>
      <c r="AP781" s="16">
        <v>16500</v>
      </c>
      <c r="AQ781" s="16">
        <v>11757.041019824441</v>
      </c>
      <c r="AR781" s="16">
        <f t="shared" si="100"/>
        <v>4742.9589801755592</v>
      </c>
      <c r="AS781" s="17">
        <f t="shared" si="101"/>
        <v>0.28745205940457935</v>
      </c>
      <c r="AT781" s="20">
        <v>16500</v>
      </c>
      <c r="AU781" s="20">
        <v>14042.18359375</v>
      </c>
      <c r="AV781" s="20">
        <f t="shared" si="102"/>
        <v>2457.81640625</v>
      </c>
      <c r="AW781" s="21">
        <f t="shared" si="103"/>
        <v>0.14895857007575758</v>
      </c>
    </row>
    <row r="782" spans="1:49" x14ac:dyDescent="0.25">
      <c r="A782" t="s">
        <v>38</v>
      </c>
      <c r="B782" t="s">
        <v>96</v>
      </c>
      <c r="C782">
        <v>256110</v>
      </c>
      <c r="D782">
        <v>2009</v>
      </c>
      <c r="E782" t="s">
        <v>97</v>
      </c>
      <c r="F782" t="s">
        <v>701</v>
      </c>
      <c r="G782" t="s">
        <v>130</v>
      </c>
      <c r="I782">
        <v>6</v>
      </c>
      <c r="J782" t="s">
        <v>122</v>
      </c>
      <c r="K782">
        <v>4</v>
      </c>
      <c r="L782" t="s">
        <v>44</v>
      </c>
      <c r="M782">
        <v>3.5</v>
      </c>
      <c r="N782" t="s">
        <v>45</v>
      </c>
      <c r="O782" t="s">
        <v>46</v>
      </c>
      <c r="Q782" t="s">
        <v>47</v>
      </c>
      <c r="R782" t="s">
        <v>123</v>
      </c>
      <c r="U782" t="s">
        <v>180</v>
      </c>
      <c r="V782" t="s">
        <v>76</v>
      </c>
      <c r="W782" t="s">
        <v>702</v>
      </c>
      <c r="X782" t="s">
        <v>125</v>
      </c>
      <c r="Y782" t="s">
        <v>103</v>
      </c>
      <c r="AA782">
        <v>0</v>
      </c>
      <c r="AB782" t="s">
        <v>79</v>
      </c>
      <c r="AC782" t="s">
        <v>127</v>
      </c>
      <c r="AD782">
        <v>36</v>
      </c>
      <c r="AE782">
        <v>9</v>
      </c>
      <c r="AF782">
        <v>3</v>
      </c>
      <c r="AG782">
        <v>2025</v>
      </c>
      <c r="AH782" s="2">
        <v>800</v>
      </c>
      <c r="AI782" s="2">
        <v>903.25531005859375</v>
      </c>
      <c r="AJ782" s="2">
        <f t="shared" si="96"/>
        <v>103.25531005859375</v>
      </c>
      <c r="AK782" s="6">
        <f t="shared" si="97"/>
        <v>0.12906913757324218</v>
      </c>
      <c r="AL782" s="12">
        <v>800</v>
      </c>
      <c r="AM782" s="12">
        <v>883.61277306522186</v>
      </c>
      <c r="AN782" s="12">
        <f t="shared" si="98"/>
        <v>83.612773065221859</v>
      </c>
      <c r="AO782" s="13">
        <f t="shared" si="99"/>
        <v>0.10451596633152732</v>
      </c>
      <c r="AP782" s="16">
        <v>800</v>
      </c>
      <c r="AQ782" s="16">
        <v>761.73254070378994</v>
      </c>
      <c r="AR782" s="16">
        <f t="shared" si="100"/>
        <v>38.267459296210063</v>
      </c>
      <c r="AS782" s="17">
        <f t="shared" si="101"/>
        <v>4.7834324120262582E-2</v>
      </c>
      <c r="AT782" s="20">
        <v>800</v>
      </c>
      <c r="AU782" s="20">
        <v>871.2596435546875</v>
      </c>
      <c r="AV782" s="20">
        <f t="shared" si="102"/>
        <v>71.2596435546875</v>
      </c>
      <c r="AW782" s="21">
        <f t="shared" si="103"/>
        <v>8.9074554443359377E-2</v>
      </c>
    </row>
    <row r="783" spans="1:49" x14ac:dyDescent="0.25">
      <c r="A783" t="s">
        <v>38</v>
      </c>
      <c r="B783" t="s">
        <v>68</v>
      </c>
      <c r="C783">
        <v>87684</v>
      </c>
      <c r="D783">
        <v>2019</v>
      </c>
      <c r="E783" t="s">
        <v>132</v>
      </c>
      <c r="F783" t="s">
        <v>912</v>
      </c>
      <c r="H783" t="s">
        <v>914</v>
      </c>
      <c r="I783">
        <v>4</v>
      </c>
      <c r="J783" t="s">
        <v>72</v>
      </c>
      <c r="K783">
        <v>4</v>
      </c>
      <c r="L783" t="s">
        <v>44</v>
      </c>
      <c r="M783">
        <v>2</v>
      </c>
      <c r="N783" t="s">
        <v>73</v>
      </c>
      <c r="O783" t="s">
        <v>46</v>
      </c>
      <c r="Q783" t="s">
        <v>62</v>
      </c>
      <c r="R783" t="s">
        <v>63</v>
      </c>
      <c r="S783" t="s">
        <v>179</v>
      </c>
      <c r="T783">
        <v>241</v>
      </c>
      <c r="U783" t="s">
        <v>50</v>
      </c>
      <c r="V783" t="s">
        <v>51</v>
      </c>
      <c r="W783" t="s">
        <v>915</v>
      </c>
      <c r="X783" t="s">
        <v>141</v>
      </c>
      <c r="Y783" t="s">
        <v>1027</v>
      </c>
      <c r="Z783">
        <v>40700</v>
      </c>
      <c r="AA783">
        <v>0</v>
      </c>
      <c r="AB783" t="s">
        <v>79</v>
      </c>
      <c r="AC783" t="s">
        <v>87</v>
      </c>
      <c r="AD783">
        <v>36</v>
      </c>
      <c r="AE783">
        <v>9</v>
      </c>
      <c r="AF783">
        <v>3</v>
      </c>
      <c r="AG783">
        <v>2025</v>
      </c>
      <c r="AH783" s="2">
        <v>11000</v>
      </c>
      <c r="AI783" s="2">
        <v>13659.875</v>
      </c>
      <c r="AJ783" s="2">
        <f t="shared" si="96"/>
        <v>2659.875</v>
      </c>
      <c r="AK783" s="6">
        <f t="shared" si="97"/>
        <v>0.24180681818181818</v>
      </c>
      <c r="AL783" s="12">
        <v>11000</v>
      </c>
      <c r="AM783" s="12">
        <v>12375.905966015989</v>
      </c>
      <c r="AN783" s="12">
        <f t="shared" si="98"/>
        <v>1375.9059660159892</v>
      </c>
      <c r="AO783" s="13">
        <f t="shared" si="99"/>
        <v>0.12508236054690811</v>
      </c>
      <c r="AP783" s="16">
        <v>11000</v>
      </c>
      <c r="AQ783" s="16">
        <v>13212.703948145039</v>
      </c>
      <c r="AR783" s="16">
        <f t="shared" si="100"/>
        <v>2212.7039481450392</v>
      </c>
      <c r="AS783" s="17">
        <f t="shared" si="101"/>
        <v>0.20115490437682176</v>
      </c>
      <c r="AT783" s="20">
        <v>11000</v>
      </c>
      <c r="AU783" s="20">
        <v>13417.3740234375</v>
      </c>
      <c r="AV783" s="20">
        <f t="shared" si="102"/>
        <v>2417.3740234375</v>
      </c>
      <c r="AW783" s="21">
        <f t="shared" si="103"/>
        <v>0.21976127485795455</v>
      </c>
    </row>
    <row r="784" spans="1:49" x14ac:dyDescent="0.25">
      <c r="A784" t="s">
        <v>128</v>
      </c>
      <c r="B784" t="s">
        <v>819</v>
      </c>
      <c r="C784">
        <v>122806</v>
      </c>
      <c r="D784">
        <v>2023</v>
      </c>
      <c r="E784" t="s">
        <v>97</v>
      </c>
      <c r="F784" t="s">
        <v>470</v>
      </c>
      <c r="G784" t="s">
        <v>1006</v>
      </c>
      <c r="I784">
        <v>4</v>
      </c>
      <c r="J784" t="s">
        <v>135</v>
      </c>
      <c r="K784">
        <v>4</v>
      </c>
      <c r="L784" t="s">
        <v>44</v>
      </c>
      <c r="M784">
        <v>1.5</v>
      </c>
      <c r="N784" t="s">
        <v>45</v>
      </c>
      <c r="O784" t="s">
        <v>46</v>
      </c>
      <c r="Q784" t="s">
        <v>47</v>
      </c>
      <c r="R784" t="s">
        <v>123</v>
      </c>
      <c r="U784" t="s">
        <v>50</v>
      </c>
      <c r="V784" t="s">
        <v>51</v>
      </c>
      <c r="W784" t="s">
        <v>751</v>
      </c>
      <c r="X784" t="s">
        <v>125</v>
      </c>
      <c r="Y784" t="s">
        <v>78</v>
      </c>
      <c r="AA784">
        <v>0</v>
      </c>
      <c r="AB784" t="s">
        <v>79</v>
      </c>
      <c r="AC784" t="s">
        <v>127</v>
      </c>
      <c r="AD784">
        <v>36</v>
      </c>
      <c r="AE784">
        <v>9</v>
      </c>
      <c r="AF784">
        <v>3</v>
      </c>
      <c r="AG784">
        <v>2025</v>
      </c>
      <c r="AH784" s="2">
        <v>7500</v>
      </c>
      <c r="AI784" s="2">
        <v>12390.1162109375</v>
      </c>
      <c r="AJ784" s="2">
        <f t="shared" si="96"/>
        <v>4890.1162109375</v>
      </c>
      <c r="AK784" s="6">
        <f t="shared" si="97"/>
        <v>0.65201549479166665</v>
      </c>
      <c r="AL784" s="12">
        <v>7500</v>
      </c>
      <c r="AM784" s="12">
        <v>11271.26858582673</v>
      </c>
      <c r="AN784" s="12">
        <f t="shared" si="98"/>
        <v>3771.2685858267305</v>
      </c>
      <c r="AO784" s="13">
        <f t="shared" si="99"/>
        <v>0.50283581144356404</v>
      </c>
      <c r="AP784" s="16">
        <v>7500</v>
      </c>
      <c r="AQ784" s="16">
        <v>10617.88260398186</v>
      </c>
      <c r="AR784" s="16">
        <f t="shared" si="100"/>
        <v>3117.8826039818596</v>
      </c>
      <c r="AS784" s="17">
        <f t="shared" si="101"/>
        <v>0.41571768053091462</v>
      </c>
      <c r="AT784" s="20">
        <v>7500</v>
      </c>
      <c r="AU784" s="20">
        <v>12227.2578125</v>
      </c>
      <c r="AV784" s="20">
        <f t="shared" si="102"/>
        <v>4727.2578125</v>
      </c>
      <c r="AW784" s="21">
        <f t="shared" si="103"/>
        <v>0.63030104166666667</v>
      </c>
    </row>
    <row r="785" spans="1:49" x14ac:dyDescent="0.25">
      <c r="A785" t="s">
        <v>38</v>
      </c>
      <c r="B785" t="s">
        <v>39</v>
      </c>
      <c r="C785">
        <v>138697</v>
      </c>
      <c r="D785">
        <v>2019</v>
      </c>
      <c r="E785" t="s">
        <v>174</v>
      </c>
      <c r="F785" t="s">
        <v>774</v>
      </c>
      <c r="H785" t="s">
        <v>1028</v>
      </c>
      <c r="I785">
        <v>8</v>
      </c>
      <c r="J785" t="s">
        <v>72</v>
      </c>
      <c r="K785">
        <v>4</v>
      </c>
      <c r="L785" t="s">
        <v>44</v>
      </c>
      <c r="M785">
        <v>6.2</v>
      </c>
      <c r="N785" t="s">
        <v>91</v>
      </c>
      <c r="O785" t="s">
        <v>46</v>
      </c>
      <c r="Q785" t="s">
        <v>62</v>
      </c>
      <c r="R785" t="s">
        <v>63</v>
      </c>
      <c r="S785" t="s">
        <v>93</v>
      </c>
      <c r="U785" t="s">
        <v>50</v>
      </c>
      <c r="W785" t="s">
        <v>1029</v>
      </c>
      <c r="X785" t="s">
        <v>108</v>
      </c>
      <c r="Y785" t="s">
        <v>78</v>
      </c>
      <c r="AA785">
        <v>0</v>
      </c>
      <c r="AB785" t="s">
        <v>79</v>
      </c>
      <c r="AC785" t="s">
        <v>87</v>
      </c>
      <c r="AD785">
        <v>36</v>
      </c>
      <c r="AE785">
        <v>9</v>
      </c>
      <c r="AF785">
        <v>3</v>
      </c>
      <c r="AG785">
        <v>2025</v>
      </c>
      <c r="AH785" s="2">
        <v>16250</v>
      </c>
      <c r="AI785" s="2">
        <v>22865.75390625</v>
      </c>
      <c r="AJ785" s="2">
        <f t="shared" si="96"/>
        <v>6615.75390625</v>
      </c>
      <c r="AK785" s="6">
        <f t="shared" si="97"/>
        <v>0.4071233173076923</v>
      </c>
      <c r="AL785" s="12">
        <v>16250</v>
      </c>
      <c r="AM785" s="12">
        <v>18735.835644129351</v>
      </c>
      <c r="AN785" s="12">
        <f t="shared" si="98"/>
        <v>2485.8356441293508</v>
      </c>
      <c r="AO785" s="13">
        <f t="shared" si="99"/>
        <v>0.15297450117719083</v>
      </c>
      <c r="AP785" s="16">
        <v>16250</v>
      </c>
      <c r="AQ785" s="16">
        <v>18243.64965097481</v>
      </c>
      <c r="AR785" s="16">
        <f t="shared" si="100"/>
        <v>1993.6496509748104</v>
      </c>
      <c r="AS785" s="17">
        <f t="shared" si="101"/>
        <v>0.12268613236768064</v>
      </c>
      <c r="AT785" s="20">
        <v>16250</v>
      </c>
      <c r="AU785" s="20">
        <v>21957.40625</v>
      </c>
      <c r="AV785" s="20">
        <f t="shared" si="102"/>
        <v>5707.40625</v>
      </c>
      <c r="AW785" s="21">
        <f t="shared" si="103"/>
        <v>0.35122500000000001</v>
      </c>
    </row>
    <row r="786" spans="1:49" x14ac:dyDescent="0.25">
      <c r="A786" t="s">
        <v>38</v>
      </c>
      <c r="B786" t="s">
        <v>39</v>
      </c>
      <c r="C786">
        <v>102858</v>
      </c>
      <c r="D786">
        <v>2015</v>
      </c>
      <c r="E786" t="s">
        <v>97</v>
      </c>
      <c r="F786" t="s">
        <v>98</v>
      </c>
      <c r="G786" t="s">
        <v>130</v>
      </c>
      <c r="I786">
        <v>4</v>
      </c>
      <c r="J786" t="s">
        <v>43</v>
      </c>
      <c r="K786">
        <v>4</v>
      </c>
      <c r="L786" t="s">
        <v>44</v>
      </c>
      <c r="M786">
        <v>2.4</v>
      </c>
      <c r="N786" t="s">
        <v>45</v>
      </c>
      <c r="O786" t="s">
        <v>190</v>
      </c>
      <c r="Q786" t="s">
        <v>62</v>
      </c>
      <c r="R786" t="s">
        <v>63</v>
      </c>
      <c r="S786" t="s">
        <v>101</v>
      </c>
      <c r="U786" t="s">
        <v>50</v>
      </c>
      <c r="W786" t="s">
        <v>131</v>
      </c>
      <c r="X786" t="s">
        <v>65</v>
      </c>
      <c r="Y786" t="s">
        <v>103</v>
      </c>
      <c r="AA786">
        <v>0</v>
      </c>
      <c r="AB786" t="s">
        <v>79</v>
      </c>
      <c r="AC786" t="s">
        <v>87</v>
      </c>
      <c r="AD786">
        <v>36</v>
      </c>
      <c r="AE786">
        <v>9</v>
      </c>
      <c r="AF786">
        <v>3</v>
      </c>
      <c r="AG786">
        <v>2025</v>
      </c>
      <c r="AH786" s="2">
        <v>2800</v>
      </c>
      <c r="AI786" s="2">
        <v>2212.765625</v>
      </c>
      <c r="AJ786" s="2">
        <f t="shared" si="96"/>
        <v>587.234375</v>
      </c>
      <c r="AK786" s="6">
        <f t="shared" si="97"/>
        <v>0.20972656249999999</v>
      </c>
      <c r="AL786" s="12">
        <v>2800</v>
      </c>
      <c r="AM786" s="12">
        <v>2193.7169326171029</v>
      </c>
      <c r="AN786" s="12">
        <f t="shared" si="98"/>
        <v>606.28306738289712</v>
      </c>
      <c r="AO786" s="13">
        <f t="shared" si="99"/>
        <v>0.21652966692246325</v>
      </c>
      <c r="AP786" s="16">
        <v>2800</v>
      </c>
      <c r="AQ786" s="16">
        <v>1690.552901648703</v>
      </c>
      <c r="AR786" s="16">
        <f t="shared" si="100"/>
        <v>1109.447098351297</v>
      </c>
      <c r="AS786" s="17">
        <f t="shared" si="101"/>
        <v>0.39623110655403465</v>
      </c>
      <c r="AT786" s="20">
        <v>2800</v>
      </c>
      <c r="AU786" s="20">
        <v>2212.06494140625</v>
      </c>
      <c r="AV786" s="20">
        <f t="shared" si="102"/>
        <v>587.93505859375</v>
      </c>
      <c r="AW786" s="21">
        <f t="shared" si="103"/>
        <v>0.20997680664062501</v>
      </c>
    </row>
    <row r="787" spans="1:49" x14ac:dyDescent="0.25">
      <c r="A787" t="s">
        <v>38</v>
      </c>
      <c r="B787" t="s">
        <v>110</v>
      </c>
      <c r="C787">
        <v>104214</v>
      </c>
      <c r="D787">
        <v>2014</v>
      </c>
      <c r="E787" t="s">
        <v>403</v>
      </c>
      <c r="F787" t="s">
        <v>535</v>
      </c>
      <c r="G787" t="s">
        <v>536</v>
      </c>
      <c r="I787">
        <v>4</v>
      </c>
      <c r="J787" t="s">
        <v>106</v>
      </c>
      <c r="K787">
        <v>4</v>
      </c>
      <c r="L787" t="s">
        <v>44</v>
      </c>
      <c r="M787">
        <v>2.5</v>
      </c>
      <c r="N787" t="s">
        <v>73</v>
      </c>
      <c r="Q787" t="s">
        <v>47</v>
      </c>
      <c r="R787" t="s">
        <v>123</v>
      </c>
      <c r="S787" t="s">
        <v>179</v>
      </c>
      <c r="U787" t="s">
        <v>50</v>
      </c>
      <c r="V787" t="s">
        <v>51</v>
      </c>
      <c r="W787" t="s">
        <v>623</v>
      </c>
      <c r="X787" t="s">
        <v>125</v>
      </c>
      <c r="Y787" t="s">
        <v>78</v>
      </c>
      <c r="AA787">
        <v>0</v>
      </c>
      <c r="AB787" t="s">
        <v>79</v>
      </c>
      <c r="AC787" t="s">
        <v>127</v>
      </c>
      <c r="AD787">
        <v>36</v>
      </c>
      <c r="AE787">
        <v>9</v>
      </c>
      <c r="AF787">
        <v>3</v>
      </c>
      <c r="AG787">
        <v>2025</v>
      </c>
      <c r="AH787" s="2">
        <v>2500</v>
      </c>
      <c r="AI787" s="2">
        <v>4498.17236328125</v>
      </c>
      <c r="AJ787" s="2">
        <f t="shared" si="96"/>
        <v>1998.17236328125</v>
      </c>
      <c r="AK787" s="6">
        <f t="shared" si="97"/>
        <v>0.79926894531250003</v>
      </c>
      <c r="AL787" s="12">
        <v>2500</v>
      </c>
      <c r="AM787" s="12">
        <v>4389.5201623499106</v>
      </c>
      <c r="AN787" s="12">
        <f t="shared" si="98"/>
        <v>1889.5201623499106</v>
      </c>
      <c r="AO787" s="13">
        <f t="shared" si="99"/>
        <v>0.75580806493996422</v>
      </c>
      <c r="AP787" s="16">
        <v>2500</v>
      </c>
      <c r="AQ787" s="16">
        <v>3778.6372890334778</v>
      </c>
      <c r="AR787" s="16">
        <f t="shared" si="100"/>
        <v>1278.6372890334778</v>
      </c>
      <c r="AS787" s="17">
        <f t="shared" si="101"/>
        <v>0.51145491561339118</v>
      </c>
      <c r="AT787" s="20">
        <v>2500</v>
      </c>
      <c r="AU787" s="20">
        <v>4586.123046875</v>
      </c>
      <c r="AV787" s="20">
        <f t="shared" si="102"/>
        <v>2086.123046875</v>
      </c>
      <c r="AW787" s="21">
        <f t="shared" si="103"/>
        <v>0.83444921875</v>
      </c>
    </row>
    <row r="788" spans="1:49" x14ac:dyDescent="0.25">
      <c r="A788" t="s">
        <v>38</v>
      </c>
      <c r="B788" t="s">
        <v>68</v>
      </c>
      <c r="C788">
        <v>158866</v>
      </c>
      <c r="D788">
        <v>2008</v>
      </c>
      <c r="E788" t="s">
        <v>116</v>
      </c>
      <c r="F788" t="s">
        <v>697</v>
      </c>
      <c r="G788" t="s">
        <v>89</v>
      </c>
      <c r="H788" t="s">
        <v>1030</v>
      </c>
      <c r="I788">
        <v>8</v>
      </c>
      <c r="J788" t="s">
        <v>122</v>
      </c>
      <c r="K788">
        <v>4</v>
      </c>
      <c r="L788" t="s">
        <v>44</v>
      </c>
      <c r="M788">
        <v>4.7</v>
      </c>
      <c r="N788" t="s">
        <v>73</v>
      </c>
      <c r="O788" t="s">
        <v>46</v>
      </c>
      <c r="Q788" t="s">
        <v>74</v>
      </c>
      <c r="R788" t="s">
        <v>92</v>
      </c>
      <c r="S788" t="s">
        <v>49</v>
      </c>
      <c r="U788" t="s">
        <v>50</v>
      </c>
      <c r="V788" t="s">
        <v>76</v>
      </c>
      <c r="X788" t="s">
        <v>94</v>
      </c>
      <c r="Y788" t="s">
        <v>78</v>
      </c>
      <c r="AA788">
        <v>0</v>
      </c>
      <c r="AB788" t="s">
        <v>79</v>
      </c>
      <c r="AC788" t="s">
        <v>95</v>
      </c>
      <c r="AD788">
        <v>36</v>
      </c>
      <c r="AE788">
        <v>9</v>
      </c>
      <c r="AF788">
        <v>3</v>
      </c>
      <c r="AG788">
        <v>2025</v>
      </c>
      <c r="AH788" s="2">
        <v>3200</v>
      </c>
      <c r="AI788" s="2">
        <v>4187.84912109375</v>
      </c>
      <c r="AJ788" s="2">
        <f t="shared" si="96"/>
        <v>987.84912109375</v>
      </c>
      <c r="AK788" s="6">
        <f t="shared" si="97"/>
        <v>0.3087028503417969</v>
      </c>
      <c r="AL788" s="12">
        <v>3200</v>
      </c>
      <c r="AM788" s="12">
        <v>3361.2599894936652</v>
      </c>
      <c r="AN788" s="12">
        <f t="shared" si="98"/>
        <v>161.25998949366522</v>
      </c>
      <c r="AO788" s="13">
        <f t="shared" si="99"/>
        <v>5.0393746716770382E-2</v>
      </c>
      <c r="AP788" s="16">
        <v>3200</v>
      </c>
      <c r="AQ788" s="16">
        <v>3151.8789132648199</v>
      </c>
      <c r="AR788" s="16">
        <f t="shared" si="100"/>
        <v>48.121086735180143</v>
      </c>
      <c r="AS788" s="17">
        <f t="shared" si="101"/>
        <v>1.5037839604743794E-2</v>
      </c>
      <c r="AT788" s="20">
        <v>3200</v>
      </c>
      <c r="AU788" s="20">
        <v>4187.31005859375</v>
      </c>
      <c r="AV788" s="20">
        <f t="shared" si="102"/>
        <v>987.31005859375</v>
      </c>
      <c r="AW788" s="21">
        <f t="shared" si="103"/>
        <v>0.30853439331054688</v>
      </c>
    </row>
    <row r="789" spans="1:49" x14ac:dyDescent="0.25">
      <c r="A789" t="s">
        <v>38</v>
      </c>
      <c r="B789" t="s">
        <v>370</v>
      </c>
      <c r="C789">
        <v>100359</v>
      </c>
      <c r="D789">
        <v>2019</v>
      </c>
      <c r="E789" t="s">
        <v>69</v>
      </c>
      <c r="F789" t="s">
        <v>250</v>
      </c>
      <c r="H789" t="s">
        <v>447</v>
      </c>
      <c r="I789">
        <v>4</v>
      </c>
      <c r="J789" t="s">
        <v>72</v>
      </c>
      <c r="K789">
        <v>4</v>
      </c>
      <c r="L789" t="s">
        <v>44</v>
      </c>
      <c r="M789">
        <v>2</v>
      </c>
      <c r="N789" t="s">
        <v>91</v>
      </c>
      <c r="O789" t="s">
        <v>46</v>
      </c>
      <c r="P789">
        <v>4</v>
      </c>
      <c r="Q789" t="s">
        <v>62</v>
      </c>
      <c r="R789" t="s">
        <v>63</v>
      </c>
      <c r="S789" t="s">
        <v>93</v>
      </c>
      <c r="T789">
        <v>240</v>
      </c>
      <c r="U789" t="s">
        <v>50</v>
      </c>
      <c r="V789" t="s">
        <v>51</v>
      </c>
      <c r="X789" t="s">
        <v>65</v>
      </c>
      <c r="Y789" t="s">
        <v>78</v>
      </c>
      <c r="Z789">
        <v>34120</v>
      </c>
      <c r="AA789">
        <v>0</v>
      </c>
      <c r="AB789" t="s">
        <v>79</v>
      </c>
      <c r="AC789" t="s">
        <v>87</v>
      </c>
      <c r="AD789">
        <v>36</v>
      </c>
      <c r="AE789">
        <v>9</v>
      </c>
      <c r="AF789">
        <v>3</v>
      </c>
      <c r="AG789">
        <v>2025</v>
      </c>
      <c r="AH789" s="2">
        <v>8200</v>
      </c>
      <c r="AI789" s="2">
        <v>9959.0556640625</v>
      </c>
      <c r="AJ789" s="2">
        <f t="shared" si="96"/>
        <v>1759.0556640625</v>
      </c>
      <c r="AK789" s="6">
        <f t="shared" si="97"/>
        <v>0.21451898342225609</v>
      </c>
      <c r="AL789" s="12">
        <v>8200</v>
      </c>
      <c r="AM789" s="12">
        <v>10507.180704893661</v>
      </c>
      <c r="AN789" s="12">
        <f t="shared" si="98"/>
        <v>2307.1807048936607</v>
      </c>
      <c r="AO789" s="13">
        <f t="shared" si="99"/>
        <v>0.28136350059678789</v>
      </c>
      <c r="AP789" s="16">
        <v>8200</v>
      </c>
      <c r="AQ789" s="16">
        <v>8335.1107121482564</v>
      </c>
      <c r="AR789" s="16">
        <f t="shared" si="100"/>
        <v>135.11071214825643</v>
      </c>
      <c r="AS789" s="17">
        <f t="shared" si="101"/>
        <v>1.6476916115641029E-2</v>
      </c>
      <c r="AT789" s="20">
        <v>8200</v>
      </c>
      <c r="AU789" s="20">
        <v>10151.9072265625</v>
      </c>
      <c r="AV789" s="20">
        <f t="shared" si="102"/>
        <v>1951.9072265625</v>
      </c>
      <c r="AW789" s="21">
        <f t="shared" si="103"/>
        <v>0.23803746665396341</v>
      </c>
    </row>
    <row r="790" spans="1:49" x14ac:dyDescent="0.25">
      <c r="A790" t="s">
        <v>38</v>
      </c>
      <c r="B790" t="s">
        <v>68</v>
      </c>
      <c r="C790">
        <v>93387</v>
      </c>
      <c r="D790">
        <v>2019</v>
      </c>
      <c r="E790" t="s">
        <v>116</v>
      </c>
      <c r="F790" t="s">
        <v>943</v>
      </c>
      <c r="H790" t="s">
        <v>396</v>
      </c>
      <c r="I790">
        <v>6</v>
      </c>
      <c r="J790" t="s">
        <v>61</v>
      </c>
      <c r="K790">
        <v>4</v>
      </c>
      <c r="L790" t="s">
        <v>44</v>
      </c>
      <c r="M790">
        <v>3.6</v>
      </c>
      <c r="N790" t="s">
        <v>45</v>
      </c>
      <c r="O790" t="s">
        <v>46</v>
      </c>
      <c r="P790">
        <v>4</v>
      </c>
      <c r="Q790" t="s">
        <v>62</v>
      </c>
      <c r="R790" t="s">
        <v>225</v>
      </c>
      <c r="S790" t="s">
        <v>101</v>
      </c>
      <c r="T790">
        <v>283</v>
      </c>
      <c r="U790" t="s">
        <v>50</v>
      </c>
      <c r="V790" t="s">
        <v>76</v>
      </c>
      <c r="X790" t="s">
        <v>94</v>
      </c>
      <c r="Y790" t="s">
        <v>103</v>
      </c>
      <c r="AA790">
        <v>0</v>
      </c>
      <c r="AB790" t="s">
        <v>79</v>
      </c>
      <c r="AC790" t="s">
        <v>225</v>
      </c>
      <c r="AD790">
        <v>36</v>
      </c>
      <c r="AE790">
        <v>9</v>
      </c>
      <c r="AF790">
        <v>3</v>
      </c>
      <c r="AG790">
        <v>2025</v>
      </c>
      <c r="AH790" s="2">
        <v>9000</v>
      </c>
      <c r="AI790" s="2">
        <v>9563.552734375</v>
      </c>
      <c r="AJ790" s="2">
        <f t="shared" si="96"/>
        <v>563.552734375</v>
      </c>
      <c r="AK790" s="6">
        <f t="shared" si="97"/>
        <v>6.2616970486111118E-2</v>
      </c>
      <c r="AL790" s="12">
        <v>9000</v>
      </c>
      <c r="AM790" s="12">
        <v>11083.3633312149</v>
      </c>
      <c r="AN790" s="12">
        <f t="shared" si="98"/>
        <v>2083.3633312148995</v>
      </c>
      <c r="AO790" s="13">
        <f t="shared" si="99"/>
        <v>0.23148481457943329</v>
      </c>
      <c r="AP790" s="16">
        <v>9000</v>
      </c>
      <c r="AQ790" s="16">
        <v>9387.9730591298685</v>
      </c>
      <c r="AR790" s="16">
        <f t="shared" si="100"/>
        <v>387.97305912986849</v>
      </c>
      <c r="AS790" s="17">
        <f t="shared" si="101"/>
        <v>4.31081176810965E-2</v>
      </c>
      <c r="AT790" s="20">
        <v>9000</v>
      </c>
      <c r="AU790" s="20">
        <v>9942.029296875</v>
      </c>
      <c r="AV790" s="20">
        <f t="shared" si="102"/>
        <v>942.029296875</v>
      </c>
      <c r="AW790" s="21">
        <f t="shared" si="103"/>
        <v>0.104669921875</v>
      </c>
    </row>
    <row r="791" spans="1:49" x14ac:dyDescent="0.25">
      <c r="A791" t="s">
        <v>38</v>
      </c>
      <c r="B791" t="s">
        <v>39</v>
      </c>
      <c r="C791">
        <v>151602</v>
      </c>
      <c r="D791">
        <v>2015</v>
      </c>
      <c r="E791" t="s">
        <v>146</v>
      </c>
      <c r="F791" t="s">
        <v>279</v>
      </c>
      <c r="I791">
        <v>4</v>
      </c>
      <c r="J791" t="s">
        <v>61</v>
      </c>
      <c r="K791">
        <v>4</v>
      </c>
      <c r="L791" t="s">
        <v>44</v>
      </c>
      <c r="M791">
        <v>1.8</v>
      </c>
      <c r="N791" t="s">
        <v>45</v>
      </c>
      <c r="O791" t="s">
        <v>46</v>
      </c>
      <c r="Q791" t="s">
        <v>47</v>
      </c>
      <c r="R791" t="s">
        <v>123</v>
      </c>
      <c r="S791" t="s">
        <v>101</v>
      </c>
      <c r="U791" t="s">
        <v>50</v>
      </c>
      <c r="X791" t="s">
        <v>125</v>
      </c>
      <c r="Y791" t="s">
        <v>126</v>
      </c>
      <c r="AA791">
        <v>0</v>
      </c>
      <c r="AB791" t="s">
        <v>79</v>
      </c>
      <c r="AC791" t="s">
        <v>127</v>
      </c>
      <c r="AD791">
        <v>36</v>
      </c>
      <c r="AE791">
        <v>9</v>
      </c>
      <c r="AF791">
        <v>3</v>
      </c>
      <c r="AG791">
        <v>2025</v>
      </c>
      <c r="AH791" s="2">
        <v>1300</v>
      </c>
      <c r="AI791" s="2">
        <v>1699.173583984375</v>
      </c>
      <c r="AJ791" s="2">
        <f t="shared" si="96"/>
        <v>399.173583984375</v>
      </c>
      <c r="AK791" s="6">
        <f t="shared" si="97"/>
        <v>0.30705660306490384</v>
      </c>
      <c r="AL791" s="12">
        <v>1300</v>
      </c>
      <c r="AM791" s="12">
        <v>1959.5426398361401</v>
      </c>
      <c r="AN791" s="12">
        <f t="shared" si="98"/>
        <v>659.5426398361401</v>
      </c>
      <c r="AO791" s="13">
        <f t="shared" si="99"/>
        <v>0.50734049218164623</v>
      </c>
      <c r="AP791" s="16">
        <v>1300</v>
      </c>
      <c r="AQ791" s="16">
        <v>1473.8336346469821</v>
      </c>
      <c r="AR791" s="16">
        <f t="shared" si="100"/>
        <v>173.83363464698209</v>
      </c>
      <c r="AS791" s="17">
        <f t="shared" si="101"/>
        <v>0.13371818049767853</v>
      </c>
      <c r="AT791" s="20">
        <v>1300</v>
      </c>
      <c r="AU791" s="20">
        <v>1693.953369140625</v>
      </c>
      <c r="AV791" s="20">
        <f t="shared" si="102"/>
        <v>393.953369140625</v>
      </c>
      <c r="AW791" s="21">
        <f t="shared" si="103"/>
        <v>0.30304105318509617</v>
      </c>
    </row>
    <row r="792" spans="1:49" x14ac:dyDescent="0.25">
      <c r="A792" t="s">
        <v>38</v>
      </c>
      <c r="B792" t="s">
        <v>68</v>
      </c>
      <c r="C792">
        <v>148808</v>
      </c>
      <c r="D792">
        <v>2017</v>
      </c>
      <c r="E792" t="s">
        <v>399</v>
      </c>
      <c r="F792" t="s">
        <v>896</v>
      </c>
      <c r="G792" t="s">
        <v>541</v>
      </c>
      <c r="I792">
        <v>4</v>
      </c>
      <c r="J792" t="s">
        <v>277</v>
      </c>
      <c r="K792">
        <v>4</v>
      </c>
      <c r="L792" t="s">
        <v>44</v>
      </c>
      <c r="M792">
        <v>2</v>
      </c>
      <c r="N792" t="s">
        <v>44</v>
      </c>
      <c r="O792" t="s">
        <v>46</v>
      </c>
      <c r="P792">
        <v>3</v>
      </c>
      <c r="Q792" t="s">
        <v>62</v>
      </c>
      <c r="R792" t="s">
        <v>63</v>
      </c>
      <c r="S792" t="s">
        <v>85</v>
      </c>
      <c r="T792">
        <v>148</v>
      </c>
      <c r="U792" t="s">
        <v>50</v>
      </c>
      <c r="W792" t="s">
        <v>898</v>
      </c>
      <c r="X792" t="s">
        <v>65</v>
      </c>
      <c r="Y792" t="s">
        <v>54</v>
      </c>
      <c r="Z792">
        <v>22495</v>
      </c>
      <c r="AA792">
        <v>0</v>
      </c>
      <c r="AB792" t="s">
        <v>79</v>
      </c>
      <c r="AC792" t="s">
        <v>87</v>
      </c>
      <c r="AD792">
        <v>36</v>
      </c>
      <c r="AE792">
        <v>9</v>
      </c>
      <c r="AF792">
        <v>3</v>
      </c>
      <c r="AG792">
        <v>2025</v>
      </c>
      <c r="AH792" s="2">
        <v>6500</v>
      </c>
      <c r="AI792" s="2">
        <v>3785.91650390625</v>
      </c>
      <c r="AJ792" s="2">
        <f t="shared" si="96"/>
        <v>2714.08349609375</v>
      </c>
      <c r="AK792" s="6">
        <f t="shared" si="97"/>
        <v>0.41755130709134614</v>
      </c>
      <c r="AL792" s="12">
        <v>6500</v>
      </c>
      <c r="AM792" s="12">
        <v>3708.9662164336978</v>
      </c>
      <c r="AN792" s="12">
        <f t="shared" si="98"/>
        <v>2791.0337835663022</v>
      </c>
      <c r="AO792" s="13">
        <f t="shared" si="99"/>
        <v>0.42938981285635419</v>
      </c>
      <c r="AP792" s="16">
        <v>6500</v>
      </c>
      <c r="AQ792" s="16">
        <v>4731.8245620294338</v>
      </c>
      <c r="AR792" s="16">
        <f t="shared" si="100"/>
        <v>1768.1754379705662</v>
      </c>
      <c r="AS792" s="17">
        <f t="shared" si="101"/>
        <v>0.27202699045701018</v>
      </c>
      <c r="AT792" s="20">
        <v>6500</v>
      </c>
      <c r="AU792" s="20">
        <v>3830.672607421875</v>
      </c>
      <c r="AV792" s="20">
        <f t="shared" si="102"/>
        <v>2669.327392578125</v>
      </c>
      <c r="AW792" s="21">
        <f t="shared" si="103"/>
        <v>0.41066575270432693</v>
      </c>
    </row>
    <row r="793" spans="1:49" x14ac:dyDescent="0.25">
      <c r="A793" t="s">
        <v>38</v>
      </c>
      <c r="B793" t="s">
        <v>110</v>
      </c>
      <c r="C793">
        <v>137983</v>
      </c>
      <c r="D793">
        <v>2016</v>
      </c>
      <c r="E793" t="s">
        <v>69</v>
      </c>
      <c r="F793" t="s">
        <v>157</v>
      </c>
      <c r="G793" t="s">
        <v>118</v>
      </c>
      <c r="I793">
        <v>6</v>
      </c>
      <c r="J793" t="s">
        <v>106</v>
      </c>
      <c r="K793">
        <v>4</v>
      </c>
      <c r="L793" t="s">
        <v>44</v>
      </c>
      <c r="M793">
        <v>3.5</v>
      </c>
      <c r="N793" t="s">
        <v>45</v>
      </c>
      <c r="O793" t="s">
        <v>46</v>
      </c>
      <c r="P793">
        <v>2</v>
      </c>
      <c r="Q793" t="s">
        <v>62</v>
      </c>
      <c r="R793" t="s">
        <v>63</v>
      </c>
      <c r="S793" t="s">
        <v>101</v>
      </c>
      <c r="T793">
        <v>290</v>
      </c>
      <c r="U793" t="s">
        <v>50</v>
      </c>
      <c r="V793" t="s">
        <v>76</v>
      </c>
      <c r="X793" t="s">
        <v>94</v>
      </c>
      <c r="Y793" t="s">
        <v>78</v>
      </c>
      <c r="AA793">
        <v>0</v>
      </c>
      <c r="AB793" t="s">
        <v>79</v>
      </c>
      <c r="AC793" t="s">
        <v>87</v>
      </c>
      <c r="AD793">
        <v>36</v>
      </c>
      <c r="AE793">
        <v>9</v>
      </c>
      <c r="AF793">
        <v>3</v>
      </c>
      <c r="AG793">
        <v>2025</v>
      </c>
      <c r="AH793" s="2">
        <v>5000</v>
      </c>
      <c r="AI793" s="2">
        <v>4118.40283203125</v>
      </c>
      <c r="AJ793" s="2">
        <f t="shared" si="96"/>
        <v>881.59716796875</v>
      </c>
      <c r="AK793" s="6">
        <f t="shared" si="97"/>
        <v>0.17631943359374999</v>
      </c>
      <c r="AL793" s="12">
        <v>5000</v>
      </c>
      <c r="AM793" s="12">
        <v>4505.869168774816</v>
      </c>
      <c r="AN793" s="12">
        <f t="shared" si="98"/>
        <v>494.13083122518401</v>
      </c>
      <c r="AO793" s="13">
        <f t="shared" si="99"/>
        <v>9.8826166245036803E-2</v>
      </c>
      <c r="AP793" s="16">
        <v>5000</v>
      </c>
      <c r="AQ793" s="16">
        <v>3998.694659879804</v>
      </c>
      <c r="AR793" s="16">
        <f t="shared" si="100"/>
        <v>1001.305340120196</v>
      </c>
      <c r="AS793" s="17">
        <f t="shared" si="101"/>
        <v>0.2002610680240392</v>
      </c>
      <c r="AT793" s="20">
        <v>5000</v>
      </c>
      <c r="AU793" s="20">
        <v>4171.462890625</v>
      </c>
      <c r="AV793" s="20">
        <f t="shared" si="102"/>
        <v>828.537109375</v>
      </c>
      <c r="AW793" s="21">
        <f t="shared" si="103"/>
        <v>0.16570742187500001</v>
      </c>
    </row>
    <row r="794" spans="1:49" x14ac:dyDescent="0.25">
      <c r="A794" t="s">
        <v>38</v>
      </c>
      <c r="B794" t="s">
        <v>96</v>
      </c>
      <c r="C794">
        <v>89328</v>
      </c>
      <c r="D794">
        <v>2021</v>
      </c>
      <c r="E794" t="s">
        <v>69</v>
      </c>
      <c r="F794" t="s">
        <v>104</v>
      </c>
      <c r="H794" t="s">
        <v>105</v>
      </c>
      <c r="I794">
        <v>6</v>
      </c>
      <c r="J794" t="s">
        <v>72</v>
      </c>
      <c r="K794">
        <v>4</v>
      </c>
      <c r="L794" t="s">
        <v>44</v>
      </c>
      <c r="M794">
        <v>3.5</v>
      </c>
      <c r="N794" t="s">
        <v>91</v>
      </c>
      <c r="O794" t="s">
        <v>46</v>
      </c>
      <c r="Q794" t="s">
        <v>62</v>
      </c>
      <c r="R794" t="s">
        <v>63</v>
      </c>
      <c r="S794" t="s">
        <v>93</v>
      </c>
      <c r="T794">
        <v>310</v>
      </c>
      <c r="U794" t="s">
        <v>50</v>
      </c>
      <c r="V794" t="s">
        <v>76</v>
      </c>
      <c r="W794" t="s">
        <v>107</v>
      </c>
      <c r="X794" t="s">
        <v>108</v>
      </c>
      <c r="Y794" t="s">
        <v>78</v>
      </c>
      <c r="AA794">
        <v>0</v>
      </c>
      <c r="AB794" t="s">
        <v>79</v>
      </c>
      <c r="AC794" t="s">
        <v>109</v>
      </c>
      <c r="AD794">
        <v>36</v>
      </c>
      <c r="AE794">
        <v>9</v>
      </c>
      <c r="AF794">
        <v>3</v>
      </c>
      <c r="AG794">
        <v>2025</v>
      </c>
      <c r="AH794" s="2">
        <v>26800</v>
      </c>
      <c r="AI794" s="2">
        <v>25670.5625</v>
      </c>
      <c r="AJ794" s="2">
        <f t="shared" si="96"/>
        <v>1129.4375</v>
      </c>
      <c r="AK794" s="6">
        <f t="shared" si="97"/>
        <v>4.2143190298507466E-2</v>
      </c>
      <c r="AL794" s="12">
        <v>26800</v>
      </c>
      <c r="AM794" s="12">
        <v>28098.25997325213</v>
      </c>
      <c r="AN794" s="12">
        <f t="shared" si="98"/>
        <v>1298.2599732521303</v>
      </c>
      <c r="AO794" s="13">
        <f t="shared" si="99"/>
        <v>4.8442536315377996E-2</v>
      </c>
      <c r="AP794" s="16">
        <v>26800</v>
      </c>
      <c r="AQ794" s="16">
        <v>25549.217376446359</v>
      </c>
      <c r="AR794" s="16">
        <f t="shared" si="100"/>
        <v>1250.7826235536413</v>
      </c>
      <c r="AS794" s="17">
        <f t="shared" si="101"/>
        <v>4.6670993416180646E-2</v>
      </c>
      <c r="AT794" s="20">
        <v>26800</v>
      </c>
      <c r="AU794" s="20">
        <v>26060.857421875</v>
      </c>
      <c r="AV794" s="20">
        <f t="shared" si="102"/>
        <v>739.142578125</v>
      </c>
      <c r="AW794" s="21">
        <f t="shared" si="103"/>
        <v>2.7579946944962686E-2</v>
      </c>
    </row>
    <row r="795" spans="1:49" x14ac:dyDescent="0.25">
      <c r="A795" t="s">
        <v>38</v>
      </c>
      <c r="B795" t="s">
        <v>39</v>
      </c>
      <c r="C795">
        <v>173799</v>
      </c>
      <c r="D795">
        <v>2016</v>
      </c>
      <c r="E795" t="s">
        <v>213</v>
      </c>
      <c r="F795" t="s">
        <v>974</v>
      </c>
      <c r="I795">
        <v>8</v>
      </c>
      <c r="J795" t="s">
        <v>72</v>
      </c>
      <c r="K795">
        <v>4</v>
      </c>
      <c r="L795" t="s">
        <v>44</v>
      </c>
      <c r="M795">
        <v>5.6</v>
      </c>
      <c r="N795" t="s">
        <v>91</v>
      </c>
      <c r="O795" t="s">
        <v>46</v>
      </c>
      <c r="Q795" t="s">
        <v>62</v>
      </c>
      <c r="R795" t="s">
        <v>63</v>
      </c>
      <c r="S795" t="s">
        <v>93</v>
      </c>
      <c r="U795" t="s">
        <v>50</v>
      </c>
      <c r="X795" t="s">
        <v>108</v>
      </c>
      <c r="Y795" t="s">
        <v>54</v>
      </c>
      <c r="AA795">
        <v>0</v>
      </c>
      <c r="AB795" t="s">
        <v>79</v>
      </c>
      <c r="AC795" t="s">
        <v>87</v>
      </c>
      <c r="AD795">
        <v>36</v>
      </c>
      <c r="AE795">
        <v>9</v>
      </c>
      <c r="AF795">
        <v>3</v>
      </c>
      <c r="AG795">
        <v>2025</v>
      </c>
      <c r="AH795" s="2">
        <v>3750</v>
      </c>
      <c r="AI795" s="2">
        <v>7699.455078125</v>
      </c>
      <c r="AJ795" s="2">
        <f t="shared" si="96"/>
        <v>3949.455078125</v>
      </c>
      <c r="AK795" s="6">
        <f t="shared" si="97"/>
        <v>1.0531880208333333</v>
      </c>
      <c r="AL795" s="12">
        <v>3750</v>
      </c>
      <c r="AM795" s="12">
        <v>7091.8269093961962</v>
      </c>
      <c r="AN795" s="12">
        <f t="shared" si="98"/>
        <v>3341.8269093961962</v>
      </c>
      <c r="AO795" s="13">
        <f t="shared" si="99"/>
        <v>0.89115384250565233</v>
      </c>
      <c r="AP795" s="16">
        <v>3750</v>
      </c>
      <c r="AQ795" s="16">
        <v>7192.7428725058599</v>
      </c>
      <c r="AR795" s="16">
        <f t="shared" si="100"/>
        <v>3442.7428725058599</v>
      </c>
      <c r="AS795" s="17">
        <f t="shared" si="101"/>
        <v>0.91806476600156262</v>
      </c>
      <c r="AT795" s="20">
        <v>3750</v>
      </c>
      <c r="AU795" s="20">
        <v>7662.12939453125</v>
      </c>
      <c r="AV795" s="20">
        <f t="shared" si="102"/>
        <v>3912.12939453125</v>
      </c>
      <c r="AW795" s="21">
        <f t="shared" si="103"/>
        <v>1.0432345052083334</v>
      </c>
    </row>
    <row r="796" spans="1:49" x14ac:dyDescent="0.25">
      <c r="A796" t="s">
        <v>128</v>
      </c>
      <c r="B796" t="s">
        <v>129</v>
      </c>
      <c r="C796">
        <v>166442</v>
      </c>
      <c r="D796">
        <v>2000</v>
      </c>
      <c r="E796" t="s">
        <v>97</v>
      </c>
      <c r="F796" t="s">
        <v>454</v>
      </c>
      <c r="H796" t="s">
        <v>1031</v>
      </c>
      <c r="I796">
        <v>8</v>
      </c>
      <c r="J796" t="s">
        <v>72</v>
      </c>
      <c r="K796">
        <v>2</v>
      </c>
      <c r="L796" t="s">
        <v>44</v>
      </c>
      <c r="M796">
        <v>5.7</v>
      </c>
      <c r="N796" t="s">
        <v>73</v>
      </c>
      <c r="Q796" t="s">
        <v>477</v>
      </c>
      <c r="R796" t="s">
        <v>935</v>
      </c>
      <c r="S796" t="s">
        <v>49</v>
      </c>
      <c r="V796" t="s">
        <v>76</v>
      </c>
      <c r="W796" t="s">
        <v>1032</v>
      </c>
      <c r="X796" t="s">
        <v>77</v>
      </c>
      <c r="Y796" t="s">
        <v>78</v>
      </c>
      <c r="AA796">
        <v>0</v>
      </c>
      <c r="AB796" t="s">
        <v>79</v>
      </c>
      <c r="AC796" t="s">
        <v>886</v>
      </c>
      <c r="AD796">
        <v>36</v>
      </c>
      <c r="AE796">
        <v>9</v>
      </c>
      <c r="AF796">
        <v>3</v>
      </c>
      <c r="AG796">
        <v>2025</v>
      </c>
      <c r="AH796" s="2">
        <v>500</v>
      </c>
      <c r="AI796" s="2">
        <v>1594.194702148438</v>
      </c>
      <c r="AJ796" s="2">
        <f t="shared" si="96"/>
        <v>1094.194702148438</v>
      </c>
      <c r="AK796" s="6">
        <f t="shared" si="97"/>
        <v>2.1883894042968759</v>
      </c>
      <c r="AL796" s="12">
        <v>500</v>
      </c>
      <c r="AM796" s="12">
        <v>1782.991662097787</v>
      </c>
      <c r="AN796" s="12">
        <f t="shared" si="98"/>
        <v>1282.991662097787</v>
      </c>
      <c r="AO796" s="13">
        <f t="shared" si="99"/>
        <v>2.5659833241955741</v>
      </c>
      <c r="AP796" s="16">
        <v>500</v>
      </c>
      <c r="AQ796" s="16">
        <v>1476.164545319918</v>
      </c>
      <c r="AR796" s="16">
        <f t="shared" si="100"/>
        <v>976.16454531991803</v>
      </c>
      <c r="AS796" s="17">
        <f t="shared" si="101"/>
        <v>1.9523290906398361</v>
      </c>
      <c r="AT796" s="20">
        <v>500</v>
      </c>
      <c r="AU796" s="20">
        <v>1592.009399414062</v>
      </c>
      <c r="AV796" s="20">
        <f t="shared" si="102"/>
        <v>1092.009399414062</v>
      </c>
      <c r="AW796" s="21">
        <f t="shared" si="103"/>
        <v>2.1840187988281241</v>
      </c>
    </row>
    <row r="797" spans="1:49" x14ac:dyDescent="0.25">
      <c r="A797" t="s">
        <v>38</v>
      </c>
      <c r="B797" t="s">
        <v>68</v>
      </c>
      <c r="C797">
        <v>156448</v>
      </c>
      <c r="D797">
        <v>2014</v>
      </c>
      <c r="E797" t="s">
        <v>69</v>
      </c>
      <c r="F797" t="s">
        <v>231</v>
      </c>
      <c r="I797">
        <v>6</v>
      </c>
      <c r="J797" t="s">
        <v>43</v>
      </c>
      <c r="K797">
        <v>4</v>
      </c>
      <c r="L797" t="s">
        <v>44</v>
      </c>
      <c r="M797">
        <v>3.5</v>
      </c>
      <c r="N797" t="s">
        <v>73</v>
      </c>
      <c r="O797" t="s">
        <v>46</v>
      </c>
      <c r="P797">
        <v>4</v>
      </c>
      <c r="Q797" t="s">
        <v>74</v>
      </c>
      <c r="R797" t="s">
        <v>92</v>
      </c>
      <c r="S797" t="s">
        <v>49</v>
      </c>
      <c r="T797">
        <v>365</v>
      </c>
      <c r="U797" t="s">
        <v>50</v>
      </c>
      <c r="V797" t="s">
        <v>76</v>
      </c>
      <c r="X797" t="s">
        <v>108</v>
      </c>
      <c r="Y797" t="s">
        <v>78</v>
      </c>
      <c r="AA797">
        <v>0</v>
      </c>
      <c r="AB797" t="s">
        <v>79</v>
      </c>
      <c r="AC797" t="s">
        <v>95</v>
      </c>
      <c r="AD797">
        <v>36</v>
      </c>
      <c r="AE797">
        <v>9</v>
      </c>
      <c r="AF797">
        <v>3</v>
      </c>
      <c r="AG797">
        <v>2025</v>
      </c>
      <c r="AH797" s="2">
        <v>8000</v>
      </c>
      <c r="AI797" s="2">
        <v>9090.1357421875</v>
      </c>
      <c r="AJ797" s="2">
        <f t="shared" si="96"/>
        <v>1090.1357421875</v>
      </c>
      <c r="AK797" s="6">
        <f t="shared" si="97"/>
        <v>0.1362669677734375</v>
      </c>
      <c r="AL797" s="12">
        <v>8000</v>
      </c>
      <c r="AM797" s="12">
        <v>8246.3719564073999</v>
      </c>
      <c r="AN797" s="12">
        <f t="shared" si="98"/>
        <v>246.37195640739992</v>
      </c>
      <c r="AO797" s="13">
        <f t="shared" si="99"/>
        <v>3.079649455092499E-2</v>
      </c>
      <c r="AP797" s="16">
        <v>8000</v>
      </c>
      <c r="AQ797" s="16">
        <v>8479.7816267921535</v>
      </c>
      <c r="AR797" s="16">
        <f t="shared" si="100"/>
        <v>479.78162679215347</v>
      </c>
      <c r="AS797" s="17">
        <f t="shared" si="101"/>
        <v>5.9972703349019184E-2</v>
      </c>
      <c r="AT797" s="20">
        <v>8000</v>
      </c>
      <c r="AU797" s="20">
        <v>8972.48046875</v>
      </c>
      <c r="AV797" s="20">
        <f t="shared" si="102"/>
        <v>972.48046875</v>
      </c>
      <c r="AW797" s="21">
        <f t="shared" si="103"/>
        <v>0.12156005859375001</v>
      </c>
    </row>
    <row r="798" spans="1:49" x14ac:dyDescent="0.25">
      <c r="A798" t="s">
        <v>38</v>
      </c>
      <c r="B798" t="s">
        <v>96</v>
      </c>
      <c r="C798">
        <v>98458</v>
      </c>
      <c r="D798">
        <v>2016</v>
      </c>
      <c r="E798" t="s">
        <v>162</v>
      </c>
      <c r="F798" t="s">
        <v>407</v>
      </c>
      <c r="G798" t="s">
        <v>1022</v>
      </c>
      <c r="I798">
        <v>6</v>
      </c>
      <c r="J798" t="s">
        <v>61</v>
      </c>
      <c r="K798">
        <v>4</v>
      </c>
      <c r="L798" t="s">
        <v>44</v>
      </c>
      <c r="M798">
        <v>3.8</v>
      </c>
      <c r="N798" t="s">
        <v>44</v>
      </c>
      <c r="O798" t="s">
        <v>46</v>
      </c>
      <c r="P798">
        <v>4</v>
      </c>
      <c r="Q798" t="s">
        <v>47</v>
      </c>
      <c r="R798" t="s">
        <v>123</v>
      </c>
      <c r="T798">
        <v>348</v>
      </c>
      <c r="U798" t="s">
        <v>50</v>
      </c>
      <c r="V798" t="s">
        <v>76</v>
      </c>
      <c r="W798" t="s">
        <v>1033</v>
      </c>
      <c r="X798" t="s">
        <v>125</v>
      </c>
      <c r="Y798" t="s">
        <v>66</v>
      </c>
      <c r="AA798">
        <v>0</v>
      </c>
      <c r="AB798" t="s">
        <v>79</v>
      </c>
      <c r="AC798" t="s">
        <v>127</v>
      </c>
      <c r="AD798">
        <v>36</v>
      </c>
      <c r="AE798">
        <v>9</v>
      </c>
      <c r="AF798">
        <v>3</v>
      </c>
      <c r="AG798">
        <v>2025</v>
      </c>
      <c r="AH798" s="2">
        <v>8800</v>
      </c>
      <c r="AI798" s="2">
        <v>7928.6865234375</v>
      </c>
      <c r="AJ798" s="2">
        <f t="shared" si="96"/>
        <v>871.3134765625</v>
      </c>
      <c r="AK798" s="6">
        <f t="shared" si="97"/>
        <v>9.9012895063920456E-2</v>
      </c>
      <c r="AL798" s="12">
        <v>8800</v>
      </c>
      <c r="AM798" s="12">
        <v>9666.8780751636259</v>
      </c>
      <c r="AN798" s="12">
        <f t="shared" si="98"/>
        <v>866.87807516362591</v>
      </c>
      <c r="AO798" s="13">
        <f t="shared" si="99"/>
        <v>9.8508872177684767E-2</v>
      </c>
      <c r="AP798" s="16">
        <v>8800</v>
      </c>
      <c r="AQ798" s="16">
        <v>7111.6831366173492</v>
      </c>
      <c r="AR798" s="16">
        <f t="shared" si="100"/>
        <v>1688.3168633826508</v>
      </c>
      <c r="AS798" s="17">
        <f t="shared" si="101"/>
        <v>0.19185418902075577</v>
      </c>
      <c r="AT798" s="20">
        <v>8800</v>
      </c>
      <c r="AU798" s="20">
        <v>8284.2099609375</v>
      </c>
      <c r="AV798" s="20">
        <f t="shared" si="102"/>
        <v>515.7900390625</v>
      </c>
      <c r="AW798" s="21">
        <f t="shared" si="103"/>
        <v>5.8612504438920451E-2</v>
      </c>
    </row>
    <row r="799" spans="1:49" x14ac:dyDescent="0.25">
      <c r="A799" t="s">
        <v>38</v>
      </c>
      <c r="B799" t="s">
        <v>39</v>
      </c>
      <c r="C799">
        <v>126865</v>
      </c>
      <c r="D799">
        <v>2010</v>
      </c>
      <c r="E799" t="s">
        <v>425</v>
      </c>
      <c r="F799" t="s">
        <v>1034</v>
      </c>
      <c r="H799" t="s">
        <v>426</v>
      </c>
      <c r="I799">
        <v>4</v>
      </c>
      <c r="J799" t="s">
        <v>241</v>
      </c>
      <c r="K799">
        <v>2</v>
      </c>
      <c r="L799" t="s">
        <v>44</v>
      </c>
      <c r="M799">
        <v>1.6</v>
      </c>
      <c r="N799" t="s">
        <v>45</v>
      </c>
      <c r="O799" t="s">
        <v>46</v>
      </c>
      <c r="Q799" t="s">
        <v>47</v>
      </c>
      <c r="R799" t="s">
        <v>530</v>
      </c>
      <c r="T799">
        <v>120</v>
      </c>
      <c r="U799" t="s">
        <v>50</v>
      </c>
      <c r="X799" t="s">
        <v>125</v>
      </c>
      <c r="Y799" t="s">
        <v>427</v>
      </c>
      <c r="AA799">
        <v>0</v>
      </c>
      <c r="AB799" t="s">
        <v>79</v>
      </c>
      <c r="AC799" t="s">
        <v>531</v>
      </c>
      <c r="AD799">
        <v>36</v>
      </c>
      <c r="AE799">
        <v>9</v>
      </c>
      <c r="AF799">
        <v>3</v>
      </c>
      <c r="AG799">
        <v>2025</v>
      </c>
      <c r="AH799" s="2">
        <v>900</v>
      </c>
      <c r="AI799" s="2">
        <v>1830.791259765625</v>
      </c>
      <c r="AJ799" s="2">
        <f t="shared" si="96"/>
        <v>930.791259765625</v>
      </c>
      <c r="AK799" s="6">
        <f t="shared" si="97"/>
        <v>1.0342125108506945</v>
      </c>
      <c r="AL799" s="12">
        <v>900</v>
      </c>
      <c r="AM799" s="12">
        <v>1654.1953056853231</v>
      </c>
      <c r="AN799" s="12">
        <f t="shared" si="98"/>
        <v>754.19530568532309</v>
      </c>
      <c r="AO799" s="13">
        <f t="shared" si="99"/>
        <v>0.83799478409480344</v>
      </c>
      <c r="AP799" s="16">
        <v>900</v>
      </c>
      <c r="AQ799" s="16">
        <v>1526.093066712855</v>
      </c>
      <c r="AR799" s="16">
        <f t="shared" si="100"/>
        <v>626.09306671285503</v>
      </c>
      <c r="AS799" s="17">
        <f t="shared" si="101"/>
        <v>0.69565896301428332</v>
      </c>
      <c r="AT799" s="20">
        <v>900</v>
      </c>
      <c r="AU799" s="20">
        <v>1829.493774414062</v>
      </c>
      <c r="AV799" s="20">
        <f t="shared" si="102"/>
        <v>929.49377441406205</v>
      </c>
      <c r="AW799" s="21">
        <f t="shared" si="103"/>
        <v>1.0327708604600689</v>
      </c>
    </row>
    <row r="800" spans="1:49" x14ac:dyDescent="0.25">
      <c r="A800" t="s">
        <v>38</v>
      </c>
      <c r="B800" t="s">
        <v>96</v>
      </c>
      <c r="C800">
        <v>131690</v>
      </c>
      <c r="D800">
        <v>2019</v>
      </c>
      <c r="E800" t="s">
        <v>40</v>
      </c>
      <c r="F800" t="s">
        <v>233</v>
      </c>
      <c r="G800" t="s">
        <v>572</v>
      </c>
      <c r="H800" t="s">
        <v>1035</v>
      </c>
      <c r="I800">
        <v>4</v>
      </c>
      <c r="J800" t="s">
        <v>106</v>
      </c>
      <c r="K800">
        <v>4</v>
      </c>
      <c r="L800" t="s">
        <v>44</v>
      </c>
      <c r="M800">
        <v>2.5</v>
      </c>
      <c r="N800" t="s">
        <v>45</v>
      </c>
      <c r="O800" t="s">
        <v>46</v>
      </c>
      <c r="P800">
        <v>2</v>
      </c>
      <c r="Q800" t="s">
        <v>62</v>
      </c>
      <c r="R800" t="s">
        <v>63</v>
      </c>
      <c r="S800" t="s">
        <v>49</v>
      </c>
      <c r="T800">
        <v>203</v>
      </c>
      <c r="U800" t="s">
        <v>50</v>
      </c>
      <c r="V800" t="s">
        <v>51</v>
      </c>
      <c r="W800" t="s">
        <v>449</v>
      </c>
      <c r="X800" t="s">
        <v>65</v>
      </c>
      <c r="Y800" t="s">
        <v>54</v>
      </c>
      <c r="Z800">
        <v>25650</v>
      </c>
      <c r="AA800">
        <v>0</v>
      </c>
      <c r="AB800" t="s">
        <v>79</v>
      </c>
      <c r="AC800" t="s">
        <v>87</v>
      </c>
      <c r="AD800">
        <v>36</v>
      </c>
      <c r="AE800">
        <v>9</v>
      </c>
      <c r="AF800">
        <v>3</v>
      </c>
      <c r="AG800">
        <v>2025</v>
      </c>
      <c r="AH800" s="2">
        <v>11500</v>
      </c>
      <c r="AI800" s="2">
        <v>6696.1337890625</v>
      </c>
      <c r="AJ800" s="2">
        <f t="shared" si="96"/>
        <v>4803.8662109375</v>
      </c>
      <c r="AK800" s="6">
        <f t="shared" si="97"/>
        <v>0.41772749660326086</v>
      </c>
      <c r="AL800" s="12">
        <v>11500</v>
      </c>
      <c r="AM800" s="12">
        <v>7383.2363160737177</v>
      </c>
      <c r="AN800" s="12">
        <f t="shared" si="98"/>
        <v>4116.7636839262823</v>
      </c>
      <c r="AO800" s="13">
        <f t="shared" si="99"/>
        <v>0.35797945077619847</v>
      </c>
      <c r="AP800" s="16">
        <v>11500</v>
      </c>
      <c r="AQ800" s="16">
        <v>6963.5369220166722</v>
      </c>
      <c r="AR800" s="16">
        <f t="shared" si="100"/>
        <v>4536.4630779833278</v>
      </c>
      <c r="AS800" s="17">
        <f t="shared" si="101"/>
        <v>0.39447505025941981</v>
      </c>
      <c r="AT800" s="20">
        <v>11500</v>
      </c>
      <c r="AU800" s="20">
        <v>6821.53076171875</v>
      </c>
      <c r="AV800" s="20">
        <f t="shared" si="102"/>
        <v>4678.46923828125</v>
      </c>
      <c r="AW800" s="21">
        <f t="shared" si="103"/>
        <v>0.40682341202445654</v>
      </c>
    </row>
    <row r="801" spans="1:49" x14ac:dyDescent="0.25">
      <c r="A801" t="s">
        <v>38</v>
      </c>
      <c r="B801" t="s">
        <v>110</v>
      </c>
      <c r="C801">
        <v>201252</v>
      </c>
      <c r="D801">
        <v>2018</v>
      </c>
      <c r="E801" t="s">
        <v>146</v>
      </c>
      <c r="F801" t="s">
        <v>334</v>
      </c>
      <c r="I801">
        <v>4</v>
      </c>
      <c r="J801" t="s">
        <v>72</v>
      </c>
      <c r="K801">
        <v>4</v>
      </c>
      <c r="L801" t="s">
        <v>44</v>
      </c>
      <c r="M801">
        <v>2.5</v>
      </c>
      <c r="N801" t="s">
        <v>45</v>
      </c>
      <c r="O801" t="s">
        <v>46</v>
      </c>
      <c r="P801">
        <v>3</v>
      </c>
      <c r="Q801" t="s">
        <v>47</v>
      </c>
      <c r="R801" t="s">
        <v>123</v>
      </c>
      <c r="S801" t="s">
        <v>49</v>
      </c>
      <c r="U801" t="s">
        <v>50</v>
      </c>
      <c r="V801" t="s">
        <v>51</v>
      </c>
      <c r="X801" t="s">
        <v>125</v>
      </c>
      <c r="Y801" t="s">
        <v>78</v>
      </c>
      <c r="Z801">
        <v>23260</v>
      </c>
      <c r="AA801">
        <v>0</v>
      </c>
      <c r="AB801" t="s">
        <v>79</v>
      </c>
      <c r="AC801" t="s">
        <v>127</v>
      </c>
      <c r="AD801">
        <v>36</v>
      </c>
      <c r="AE801">
        <v>9</v>
      </c>
      <c r="AF801">
        <v>3</v>
      </c>
      <c r="AG801">
        <v>2025</v>
      </c>
      <c r="AH801" s="2">
        <v>2000</v>
      </c>
      <c r="AI801" s="2">
        <v>1846.263305664062</v>
      </c>
      <c r="AJ801" s="2">
        <f t="shared" si="96"/>
        <v>153.73669433593795</v>
      </c>
      <c r="AK801" s="6">
        <f t="shared" si="97"/>
        <v>7.6868347167968976E-2</v>
      </c>
      <c r="AL801" s="12">
        <v>2000</v>
      </c>
      <c r="AM801" s="12">
        <v>2211.295912215488</v>
      </c>
      <c r="AN801" s="12">
        <f t="shared" si="98"/>
        <v>211.29591221548799</v>
      </c>
      <c r="AO801" s="13">
        <f t="shared" si="99"/>
        <v>0.105647956107744</v>
      </c>
      <c r="AP801" s="16">
        <v>2000</v>
      </c>
      <c r="AQ801" s="16">
        <v>1684.613489173641</v>
      </c>
      <c r="AR801" s="16">
        <f t="shared" si="100"/>
        <v>315.38651082635897</v>
      </c>
      <c r="AS801" s="17">
        <f t="shared" si="101"/>
        <v>0.1576932554131795</v>
      </c>
      <c r="AT801" s="20">
        <v>2000</v>
      </c>
      <c r="AU801" s="20">
        <v>1884.668090820312</v>
      </c>
      <c r="AV801" s="20">
        <f t="shared" si="102"/>
        <v>115.33190917968795</v>
      </c>
      <c r="AW801" s="21">
        <f t="shared" si="103"/>
        <v>5.7665954589843978E-2</v>
      </c>
    </row>
    <row r="802" spans="1:49" x14ac:dyDescent="0.25">
      <c r="A802" t="s">
        <v>114</v>
      </c>
      <c r="B802" t="s">
        <v>115</v>
      </c>
      <c r="C802">
        <v>270364</v>
      </c>
      <c r="D802">
        <v>2017</v>
      </c>
      <c r="E802" t="s">
        <v>174</v>
      </c>
      <c r="F802" t="s">
        <v>774</v>
      </c>
      <c r="H802" t="s">
        <v>315</v>
      </c>
      <c r="I802">
        <v>8</v>
      </c>
      <c r="J802" t="s">
        <v>61</v>
      </c>
      <c r="K802">
        <v>4</v>
      </c>
      <c r="L802" t="s">
        <v>44</v>
      </c>
      <c r="M802">
        <v>5.3</v>
      </c>
      <c r="N802" t="s">
        <v>91</v>
      </c>
      <c r="O802" t="s">
        <v>46</v>
      </c>
      <c r="Q802" t="s">
        <v>62</v>
      </c>
      <c r="R802" t="s">
        <v>63</v>
      </c>
      <c r="S802" t="s">
        <v>93</v>
      </c>
      <c r="U802" t="s">
        <v>50</v>
      </c>
      <c r="W802" t="s">
        <v>1036</v>
      </c>
      <c r="X802" t="s">
        <v>108</v>
      </c>
      <c r="Y802" t="s">
        <v>78</v>
      </c>
      <c r="Z802">
        <v>51230</v>
      </c>
      <c r="AA802">
        <v>0</v>
      </c>
      <c r="AB802" t="s">
        <v>79</v>
      </c>
      <c r="AC802" t="s">
        <v>109</v>
      </c>
      <c r="AD802">
        <v>36</v>
      </c>
      <c r="AE802">
        <v>9</v>
      </c>
      <c r="AF802">
        <v>3</v>
      </c>
      <c r="AG802">
        <v>2025</v>
      </c>
      <c r="AH802" s="2">
        <v>4500</v>
      </c>
      <c r="AI802" s="2">
        <v>4727.5517578125</v>
      </c>
      <c r="AJ802" s="2">
        <f t="shared" si="96"/>
        <v>227.5517578125</v>
      </c>
      <c r="AK802" s="6">
        <f t="shared" si="97"/>
        <v>5.0567057291666669E-2</v>
      </c>
      <c r="AL802" s="12">
        <v>4500</v>
      </c>
      <c r="AM802" s="12">
        <v>7371.8573000673541</v>
      </c>
      <c r="AN802" s="12">
        <f t="shared" si="98"/>
        <v>2871.8573000673541</v>
      </c>
      <c r="AO802" s="13">
        <f t="shared" si="99"/>
        <v>0.63819051112607872</v>
      </c>
      <c r="AP802" s="16">
        <v>4500</v>
      </c>
      <c r="AQ802" s="16">
        <v>6196.7658437100299</v>
      </c>
      <c r="AR802" s="16">
        <f t="shared" si="100"/>
        <v>1696.7658437100299</v>
      </c>
      <c r="AS802" s="17">
        <f t="shared" si="101"/>
        <v>0.37705907638000663</v>
      </c>
      <c r="AT802" s="20">
        <v>4500</v>
      </c>
      <c r="AU802" s="20">
        <v>4992.9365234375</v>
      </c>
      <c r="AV802" s="20">
        <f t="shared" si="102"/>
        <v>492.9365234375</v>
      </c>
      <c r="AW802" s="21">
        <f t="shared" si="103"/>
        <v>0.10954144965277778</v>
      </c>
    </row>
    <row r="803" spans="1:49" x14ac:dyDescent="0.25">
      <c r="A803" t="s">
        <v>38</v>
      </c>
      <c r="B803" t="s">
        <v>39</v>
      </c>
      <c r="C803">
        <v>140716</v>
      </c>
      <c r="D803">
        <v>2017</v>
      </c>
      <c r="E803" t="s">
        <v>345</v>
      </c>
      <c r="F803" t="s">
        <v>1037</v>
      </c>
      <c r="G803" t="s">
        <v>1038</v>
      </c>
      <c r="I803">
        <v>4</v>
      </c>
      <c r="J803" t="s">
        <v>106</v>
      </c>
      <c r="K803">
        <v>4</v>
      </c>
      <c r="L803" t="s">
        <v>44</v>
      </c>
      <c r="M803">
        <v>2</v>
      </c>
      <c r="N803" t="s">
        <v>45</v>
      </c>
      <c r="O803" t="s">
        <v>46</v>
      </c>
      <c r="Q803" t="s">
        <v>62</v>
      </c>
      <c r="R803" t="s">
        <v>63</v>
      </c>
      <c r="S803" t="s">
        <v>49</v>
      </c>
      <c r="T803">
        <v>228</v>
      </c>
      <c r="U803" t="s">
        <v>50</v>
      </c>
      <c r="X803" t="s">
        <v>65</v>
      </c>
      <c r="Y803" t="s">
        <v>137</v>
      </c>
      <c r="Z803">
        <v>33750</v>
      </c>
      <c r="AA803">
        <v>0</v>
      </c>
      <c r="AB803" t="s">
        <v>79</v>
      </c>
      <c r="AC803" t="s">
        <v>87</v>
      </c>
      <c r="AD803">
        <v>36</v>
      </c>
      <c r="AE803">
        <v>9</v>
      </c>
      <c r="AF803">
        <v>3</v>
      </c>
      <c r="AG803">
        <v>2025</v>
      </c>
      <c r="AH803" s="2">
        <v>6500</v>
      </c>
      <c r="AI803" s="2">
        <v>4493.60498046875</v>
      </c>
      <c r="AJ803" s="2">
        <f t="shared" si="96"/>
        <v>2006.39501953125</v>
      </c>
      <c r="AK803" s="6">
        <f t="shared" si="97"/>
        <v>0.30867615685096156</v>
      </c>
      <c r="AL803" s="12">
        <v>6500</v>
      </c>
      <c r="AM803" s="12">
        <v>4403.1360444597904</v>
      </c>
      <c r="AN803" s="12">
        <f t="shared" si="98"/>
        <v>2096.8639555402096</v>
      </c>
      <c r="AO803" s="13">
        <f t="shared" si="99"/>
        <v>0.32259445469849379</v>
      </c>
      <c r="AP803" s="16">
        <v>6500</v>
      </c>
      <c r="AQ803" s="16">
        <v>4514.1128421833237</v>
      </c>
      <c r="AR803" s="16">
        <f t="shared" si="100"/>
        <v>1985.8871578166763</v>
      </c>
      <c r="AS803" s="17">
        <f t="shared" si="101"/>
        <v>0.30552110120256559</v>
      </c>
      <c r="AT803" s="20">
        <v>6500</v>
      </c>
      <c r="AU803" s="20">
        <v>4586.123046875</v>
      </c>
      <c r="AV803" s="20">
        <f t="shared" si="102"/>
        <v>1913.876953125</v>
      </c>
      <c r="AW803" s="21">
        <f t="shared" si="103"/>
        <v>0.29444260817307694</v>
      </c>
    </row>
    <row r="804" spans="1:49" x14ac:dyDescent="0.25">
      <c r="A804" t="s">
        <v>38</v>
      </c>
      <c r="B804" t="s">
        <v>39</v>
      </c>
      <c r="C804">
        <v>132543</v>
      </c>
      <c r="D804">
        <v>2016</v>
      </c>
      <c r="E804" t="s">
        <v>40</v>
      </c>
      <c r="F804" t="s">
        <v>550</v>
      </c>
      <c r="G804" t="s">
        <v>721</v>
      </c>
      <c r="H804" t="s">
        <v>722</v>
      </c>
      <c r="I804">
        <v>4</v>
      </c>
      <c r="J804" t="s">
        <v>72</v>
      </c>
      <c r="K804">
        <v>4</v>
      </c>
      <c r="L804" t="s">
        <v>44</v>
      </c>
      <c r="M804">
        <v>2.7</v>
      </c>
      <c r="N804" t="s">
        <v>45</v>
      </c>
      <c r="O804" t="s">
        <v>46</v>
      </c>
      <c r="Q804" t="s">
        <v>62</v>
      </c>
      <c r="R804" t="s">
        <v>63</v>
      </c>
      <c r="S804" t="s">
        <v>49</v>
      </c>
      <c r="T804">
        <v>185</v>
      </c>
      <c r="U804" t="s">
        <v>50</v>
      </c>
      <c r="V804" t="s">
        <v>51</v>
      </c>
      <c r="W804" t="s">
        <v>834</v>
      </c>
      <c r="X804" t="s">
        <v>141</v>
      </c>
      <c r="Y804" t="s">
        <v>78</v>
      </c>
      <c r="AA804">
        <v>0</v>
      </c>
      <c r="AB804" t="s">
        <v>79</v>
      </c>
      <c r="AC804" t="s">
        <v>87</v>
      </c>
      <c r="AD804">
        <v>36</v>
      </c>
      <c r="AE804">
        <v>9</v>
      </c>
      <c r="AF804">
        <v>3</v>
      </c>
      <c r="AG804">
        <v>2025</v>
      </c>
      <c r="AH804" s="2">
        <v>11500</v>
      </c>
      <c r="AI804" s="2">
        <v>8147.32421875</v>
      </c>
      <c r="AJ804" s="2">
        <f t="shared" si="96"/>
        <v>3352.67578125</v>
      </c>
      <c r="AK804" s="6">
        <f t="shared" si="97"/>
        <v>0.29153702445652174</v>
      </c>
      <c r="AL804" s="12">
        <v>11500</v>
      </c>
      <c r="AM804" s="12">
        <v>6836.7523640469926</v>
      </c>
      <c r="AN804" s="12">
        <f t="shared" si="98"/>
        <v>4663.2476359530074</v>
      </c>
      <c r="AO804" s="13">
        <f t="shared" si="99"/>
        <v>0.40549979443069628</v>
      </c>
      <c r="AP804" s="16">
        <v>11500</v>
      </c>
      <c r="AQ804" s="16">
        <v>7133.5150496425404</v>
      </c>
      <c r="AR804" s="16">
        <f t="shared" si="100"/>
        <v>4366.4849503574596</v>
      </c>
      <c r="AS804" s="17">
        <f t="shared" si="101"/>
        <v>0.37969434350934433</v>
      </c>
      <c r="AT804" s="20">
        <v>11500</v>
      </c>
      <c r="AU804" s="20">
        <v>7946.0458984375</v>
      </c>
      <c r="AV804" s="20">
        <f t="shared" si="102"/>
        <v>3553.9541015625</v>
      </c>
      <c r="AW804" s="21">
        <f t="shared" si="103"/>
        <v>0.30903948709239132</v>
      </c>
    </row>
    <row r="805" spans="1:49" x14ac:dyDescent="0.25">
      <c r="A805" t="s">
        <v>38</v>
      </c>
      <c r="B805" t="s">
        <v>96</v>
      </c>
      <c r="C805">
        <v>110823</v>
      </c>
      <c r="D805">
        <v>2009</v>
      </c>
      <c r="E805" t="s">
        <v>263</v>
      </c>
      <c r="F805" t="s">
        <v>611</v>
      </c>
      <c r="I805">
        <v>4</v>
      </c>
      <c r="J805" t="s">
        <v>135</v>
      </c>
      <c r="K805">
        <v>4</v>
      </c>
      <c r="L805" t="s">
        <v>44</v>
      </c>
      <c r="M805">
        <v>2</v>
      </c>
      <c r="N805" t="s">
        <v>45</v>
      </c>
      <c r="O805" t="s">
        <v>46</v>
      </c>
      <c r="Q805" t="s">
        <v>47</v>
      </c>
      <c r="R805" t="s">
        <v>123</v>
      </c>
      <c r="U805" t="s">
        <v>50</v>
      </c>
      <c r="W805" t="s">
        <v>1039</v>
      </c>
      <c r="X805" t="s">
        <v>125</v>
      </c>
      <c r="Y805" t="s">
        <v>54</v>
      </c>
      <c r="AA805">
        <v>0</v>
      </c>
      <c r="AB805" t="s">
        <v>79</v>
      </c>
      <c r="AC805" t="s">
        <v>127</v>
      </c>
      <c r="AD805">
        <v>36</v>
      </c>
      <c r="AE805">
        <v>9</v>
      </c>
      <c r="AF805">
        <v>3</v>
      </c>
      <c r="AG805">
        <v>2025</v>
      </c>
      <c r="AH805" s="2">
        <v>1750</v>
      </c>
      <c r="AI805" s="2">
        <v>2104.707275390625</v>
      </c>
      <c r="AJ805" s="2">
        <f t="shared" si="96"/>
        <v>354.707275390625</v>
      </c>
      <c r="AK805" s="6">
        <f t="shared" si="97"/>
        <v>0.2026898716517857</v>
      </c>
      <c r="AL805" s="12">
        <v>1750</v>
      </c>
      <c r="AM805" s="12">
        <v>1985.8276389513589</v>
      </c>
      <c r="AN805" s="12">
        <f t="shared" si="98"/>
        <v>235.82763895135895</v>
      </c>
      <c r="AO805" s="13">
        <f t="shared" si="99"/>
        <v>0.13475865082934796</v>
      </c>
      <c r="AP805" s="16">
        <v>1750</v>
      </c>
      <c r="AQ805" s="16">
        <v>1825.9471677465169</v>
      </c>
      <c r="AR805" s="16">
        <f t="shared" si="100"/>
        <v>75.947167746516925</v>
      </c>
      <c r="AS805" s="17">
        <f t="shared" si="101"/>
        <v>4.3398381569438246E-2</v>
      </c>
      <c r="AT805" s="20">
        <v>1750</v>
      </c>
      <c r="AU805" s="20">
        <v>2092.685791015625</v>
      </c>
      <c r="AV805" s="20">
        <f t="shared" si="102"/>
        <v>342.685791015625</v>
      </c>
      <c r="AW805" s="21">
        <f t="shared" si="103"/>
        <v>0.19582045200892856</v>
      </c>
    </row>
    <row r="806" spans="1:49" x14ac:dyDescent="0.25">
      <c r="A806" t="s">
        <v>38</v>
      </c>
      <c r="B806" t="s">
        <v>68</v>
      </c>
      <c r="C806">
        <v>139064</v>
      </c>
      <c r="D806">
        <v>2018</v>
      </c>
      <c r="E806" t="s">
        <v>142</v>
      </c>
      <c r="F806" t="s">
        <v>373</v>
      </c>
      <c r="G806" t="s">
        <v>375</v>
      </c>
      <c r="H806" t="s">
        <v>398</v>
      </c>
      <c r="I806">
        <v>6</v>
      </c>
      <c r="J806" t="s">
        <v>61</v>
      </c>
      <c r="K806">
        <v>4</v>
      </c>
      <c r="L806" t="s">
        <v>44</v>
      </c>
      <c r="M806">
        <v>3.6</v>
      </c>
      <c r="N806" t="s">
        <v>91</v>
      </c>
      <c r="O806" t="s">
        <v>46</v>
      </c>
      <c r="Q806" t="s">
        <v>62</v>
      </c>
      <c r="R806" t="s">
        <v>63</v>
      </c>
      <c r="S806" t="s">
        <v>93</v>
      </c>
      <c r="T806">
        <v>295</v>
      </c>
      <c r="U806" t="s">
        <v>50</v>
      </c>
      <c r="V806" t="s">
        <v>76</v>
      </c>
      <c r="X806" t="s">
        <v>94</v>
      </c>
      <c r="Y806" t="s">
        <v>78</v>
      </c>
      <c r="Z806">
        <v>33195</v>
      </c>
      <c r="AA806">
        <v>0</v>
      </c>
      <c r="AB806" t="s">
        <v>79</v>
      </c>
      <c r="AC806" t="s">
        <v>87</v>
      </c>
      <c r="AD806">
        <v>36</v>
      </c>
      <c r="AE806">
        <v>9</v>
      </c>
      <c r="AF806">
        <v>3</v>
      </c>
      <c r="AG806">
        <v>2025</v>
      </c>
      <c r="AH806" s="2">
        <v>8250</v>
      </c>
      <c r="AI806" s="2">
        <v>9202.1337890625</v>
      </c>
      <c r="AJ806" s="2">
        <f t="shared" si="96"/>
        <v>952.1337890625</v>
      </c>
      <c r="AK806" s="6">
        <f t="shared" si="97"/>
        <v>0.11541015625000001</v>
      </c>
      <c r="AL806" s="12">
        <v>8250</v>
      </c>
      <c r="AM806" s="12">
        <v>9350.8734365055916</v>
      </c>
      <c r="AN806" s="12">
        <f t="shared" si="98"/>
        <v>1100.8734365055916</v>
      </c>
      <c r="AO806" s="13">
        <f t="shared" si="99"/>
        <v>0.13343920442492019</v>
      </c>
      <c r="AP806" s="16">
        <v>8250</v>
      </c>
      <c r="AQ806" s="16">
        <v>8739.1785618508002</v>
      </c>
      <c r="AR806" s="16">
        <f t="shared" si="100"/>
        <v>489.17856185080018</v>
      </c>
      <c r="AS806" s="17">
        <f t="shared" si="101"/>
        <v>5.9294371133430328E-2</v>
      </c>
      <c r="AT806" s="20">
        <v>8250</v>
      </c>
      <c r="AU806" s="20">
        <v>9270.1494140625</v>
      </c>
      <c r="AV806" s="20">
        <f t="shared" si="102"/>
        <v>1020.1494140625</v>
      </c>
      <c r="AW806" s="21">
        <f t="shared" si="103"/>
        <v>0.12365447443181818</v>
      </c>
    </row>
    <row r="807" spans="1:49" x14ac:dyDescent="0.25">
      <c r="A807" t="s">
        <v>81</v>
      </c>
      <c r="B807" t="s">
        <v>82</v>
      </c>
      <c r="C807">
        <v>106462</v>
      </c>
      <c r="D807">
        <v>2017</v>
      </c>
      <c r="E807" t="s">
        <v>69</v>
      </c>
      <c r="F807" t="s">
        <v>157</v>
      </c>
      <c r="G807" t="s">
        <v>105</v>
      </c>
      <c r="I807">
        <v>4</v>
      </c>
      <c r="J807" t="s">
        <v>72</v>
      </c>
      <c r="K807">
        <v>4</v>
      </c>
      <c r="L807" t="s">
        <v>44</v>
      </c>
      <c r="M807">
        <v>2.2999999999999998</v>
      </c>
      <c r="N807" t="s">
        <v>91</v>
      </c>
      <c r="O807" t="s">
        <v>46</v>
      </c>
      <c r="Q807" t="s">
        <v>62</v>
      </c>
      <c r="R807" t="s">
        <v>63</v>
      </c>
      <c r="S807" t="s">
        <v>93</v>
      </c>
      <c r="T807">
        <v>280</v>
      </c>
      <c r="U807" t="s">
        <v>50</v>
      </c>
      <c r="V807" t="s">
        <v>51</v>
      </c>
      <c r="W807" t="s">
        <v>268</v>
      </c>
      <c r="X807" t="s">
        <v>94</v>
      </c>
      <c r="Y807" t="s">
        <v>78</v>
      </c>
      <c r="Z807">
        <v>33775</v>
      </c>
      <c r="AA807">
        <v>0</v>
      </c>
      <c r="AB807" t="s">
        <v>79</v>
      </c>
      <c r="AC807" t="s">
        <v>109</v>
      </c>
      <c r="AD807">
        <v>36</v>
      </c>
      <c r="AE807">
        <v>9</v>
      </c>
      <c r="AF807">
        <v>3</v>
      </c>
      <c r="AG807">
        <v>2025</v>
      </c>
      <c r="AH807" s="2">
        <v>7500</v>
      </c>
      <c r="AI807" s="2">
        <v>9367.642578125</v>
      </c>
      <c r="AJ807" s="2">
        <f t="shared" si="96"/>
        <v>1867.642578125</v>
      </c>
      <c r="AK807" s="6">
        <f t="shared" si="97"/>
        <v>0.24901901041666666</v>
      </c>
      <c r="AL807" s="12">
        <v>7500</v>
      </c>
      <c r="AM807" s="12">
        <v>8371.5901159390323</v>
      </c>
      <c r="AN807" s="12">
        <f t="shared" si="98"/>
        <v>871.59011593903233</v>
      </c>
      <c r="AO807" s="13">
        <f t="shared" si="99"/>
        <v>0.11621201545853764</v>
      </c>
      <c r="AP807" s="16">
        <v>7500</v>
      </c>
      <c r="AQ807" s="16">
        <v>7694.5662176584119</v>
      </c>
      <c r="AR807" s="16">
        <f t="shared" si="100"/>
        <v>194.56621765841192</v>
      </c>
      <c r="AS807" s="17">
        <f t="shared" si="101"/>
        <v>2.5942162354454922E-2</v>
      </c>
      <c r="AT807" s="20">
        <v>7500</v>
      </c>
      <c r="AU807" s="20">
        <v>9231.451171875</v>
      </c>
      <c r="AV807" s="20">
        <f t="shared" si="102"/>
        <v>1731.451171875</v>
      </c>
      <c r="AW807" s="21">
        <f t="shared" si="103"/>
        <v>0.23086015625</v>
      </c>
    </row>
    <row r="808" spans="1:49" x14ac:dyDescent="0.25">
      <c r="A808" t="s">
        <v>38</v>
      </c>
      <c r="B808" t="s">
        <v>39</v>
      </c>
      <c r="C808">
        <v>162813</v>
      </c>
      <c r="D808">
        <v>2014</v>
      </c>
      <c r="E808" t="s">
        <v>88</v>
      </c>
      <c r="F808" t="s">
        <v>89</v>
      </c>
      <c r="G808" t="s">
        <v>176</v>
      </c>
      <c r="I808">
        <v>6</v>
      </c>
      <c r="J808" t="s">
        <v>72</v>
      </c>
      <c r="K808">
        <v>4</v>
      </c>
      <c r="L808" t="s">
        <v>44</v>
      </c>
      <c r="M808">
        <v>3</v>
      </c>
      <c r="N808" t="s">
        <v>91</v>
      </c>
      <c r="O808" t="s">
        <v>46</v>
      </c>
      <c r="Q808" t="s">
        <v>74</v>
      </c>
      <c r="R808" t="s">
        <v>92</v>
      </c>
      <c r="S808" t="s">
        <v>93</v>
      </c>
      <c r="U808" t="s">
        <v>229</v>
      </c>
      <c r="X808" t="s">
        <v>94</v>
      </c>
      <c r="Y808" t="s">
        <v>78</v>
      </c>
      <c r="AA808">
        <v>0</v>
      </c>
      <c r="AB808" t="s">
        <v>79</v>
      </c>
      <c r="AC808" t="s">
        <v>95</v>
      </c>
      <c r="AD808">
        <v>36</v>
      </c>
      <c r="AE808">
        <v>9</v>
      </c>
      <c r="AF808">
        <v>3</v>
      </c>
      <c r="AG808">
        <v>2025</v>
      </c>
      <c r="AH808" s="2">
        <v>8250</v>
      </c>
      <c r="AI808" s="2">
        <v>7902.04345703125</v>
      </c>
      <c r="AJ808" s="2">
        <f t="shared" si="96"/>
        <v>347.95654296875</v>
      </c>
      <c r="AK808" s="6">
        <f t="shared" si="97"/>
        <v>4.2176550662878787E-2</v>
      </c>
      <c r="AL808" s="12">
        <v>8250</v>
      </c>
      <c r="AM808" s="12">
        <v>9338.7709679511736</v>
      </c>
      <c r="AN808" s="12">
        <f t="shared" si="98"/>
        <v>1088.7709679511736</v>
      </c>
      <c r="AO808" s="13">
        <f t="shared" si="99"/>
        <v>0.13197223853953619</v>
      </c>
      <c r="AP808" s="16">
        <v>8250</v>
      </c>
      <c r="AQ808" s="16">
        <v>8964.8896833912695</v>
      </c>
      <c r="AR808" s="16">
        <f t="shared" si="100"/>
        <v>714.8896833912695</v>
      </c>
      <c r="AS808" s="17">
        <f t="shared" si="101"/>
        <v>8.665329495651751E-2</v>
      </c>
      <c r="AT808" s="20">
        <v>8250</v>
      </c>
      <c r="AU808" s="20">
        <v>8258.7119140625</v>
      </c>
      <c r="AV808" s="20">
        <f t="shared" si="102"/>
        <v>8.7119140625</v>
      </c>
      <c r="AW808" s="21">
        <f t="shared" si="103"/>
        <v>1.0559895833333333E-3</v>
      </c>
    </row>
    <row r="809" spans="1:49" x14ac:dyDescent="0.25">
      <c r="A809" t="s">
        <v>128</v>
      </c>
      <c r="B809" t="s">
        <v>129</v>
      </c>
      <c r="C809">
        <v>200514</v>
      </c>
      <c r="D809">
        <v>2008</v>
      </c>
      <c r="E809" t="s">
        <v>58</v>
      </c>
      <c r="F809" t="s">
        <v>1040</v>
      </c>
      <c r="G809" t="s">
        <v>1041</v>
      </c>
      <c r="I809">
        <v>4</v>
      </c>
      <c r="J809" t="s">
        <v>122</v>
      </c>
      <c r="K809">
        <v>4</v>
      </c>
      <c r="L809" t="s">
        <v>44</v>
      </c>
      <c r="M809">
        <v>1.6</v>
      </c>
      <c r="N809" t="s">
        <v>45</v>
      </c>
      <c r="O809" t="s">
        <v>46</v>
      </c>
      <c r="Q809" t="s">
        <v>47</v>
      </c>
      <c r="R809" t="s">
        <v>123</v>
      </c>
      <c r="S809" t="s">
        <v>101</v>
      </c>
      <c r="T809">
        <v>110</v>
      </c>
      <c r="U809" t="s">
        <v>50</v>
      </c>
      <c r="V809" t="s">
        <v>51</v>
      </c>
      <c r="X809" t="s">
        <v>125</v>
      </c>
      <c r="Y809" t="s">
        <v>66</v>
      </c>
      <c r="AA809">
        <v>0</v>
      </c>
      <c r="AB809" t="s">
        <v>79</v>
      </c>
      <c r="AC809" t="s">
        <v>127</v>
      </c>
      <c r="AD809">
        <v>36</v>
      </c>
      <c r="AE809">
        <v>9</v>
      </c>
      <c r="AF809">
        <v>3</v>
      </c>
      <c r="AG809">
        <v>2025</v>
      </c>
      <c r="AH809" s="2">
        <v>800</v>
      </c>
      <c r="AI809" s="2">
        <v>542.38116455078125</v>
      </c>
      <c r="AJ809" s="2">
        <f t="shared" si="96"/>
        <v>257.61883544921875</v>
      </c>
      <c r="AK809" s="6">
        <f t="shared" si="97"/>
        <v>0.32202354431152341</v>
      </c>
      <c r="AL809" s="12">
        <v>800</v>
      </c>
      <c r="AM809" s="12">
        <v>600.21969296733141</v>
      </c>
      <c r="AN809" s="12">
        <f t="shared" si="98"/>
        <v>199.78030703266859</v>
      </c>
      <c r="AO809" s="13">
        <f t="shared" si="99"/>
        <v>0.24972538379083573</v>
      </c>
      <c r="AP809" s="16">
        <v>800</v>
      </c>
      <c r="AQ809" s="16">
        <v>635.76754667599539</v>
      </c>
      <c r="AR809" s="16">
        <f t="shared" si="100"/>
        <v>164.23245332400461</v>
      </c>
      <c r="AS809" s="17">
        <f t="shared" si="101"/>
        <v>0.20529056665500575</v>
      </c>
      <c r="AT809" s="20">
        <v>800</v>
      </c>
      <c r="AU809" s="20">
        <v>508.49710083007813</v>
      </c>
      <c r="AV809" s="20">
        <f t="shared" si="102"/>
        <v>291.50289916992188</v>
      </c>
      <c r="AW809" s="21">
        <f t="shared" si="103"/>
        <v>0.36437862396240234</v>
      </c>
    </row>
    <row r="810" spans="1:49" x14ac:dyDescent="0.25">
      <c r="A810" t="s">
        <v>38</v>
      </c>
      <c r="B810" t="s">
        <v>96</v>
      </c>
      <c r="C810">
        <v>108424</v>
      </c>
      <c r="D810">
        <v>2021</v>
      </c>
      <c r="E810" t="s">
        <v>174</v>
      </c>
      <c r="F810" t="s">
        <v>314</v>
      </c>
      <c r="G810" t="s">
        <v>176</v>
      </c>
      <c r="H810" t="s">
        <v>89</v>
      </c>
      <c r="I810">
        <v>6</v>
      </c>
      <c r="J810" t="s">
        <v>135</v>
      </c>
      <c r="K810">
        <v>4</v>
      </c>
      <c r="L810" t="s">
        <v>44</v>
      </c>
      <c r="M810">
        <v>3</v>
      </c>
      <c r="N810" t="s">
        <v>91</v>
      </c>
      <c r="O810" t="s">
        <v>46</v>
      </c>
      <c r="Q810" t="s">
        <v>74</v>
      </c>
      <c r="R810" t="s">
        <v>92</v>
      </c>
      <c r="S810" t="s">
        <v>93</v>
      </c>
      <c r="U810" t="s">
        <v>229</v>
      </c>
      <c r="V810" t="s">
        <v>51</v>
      </c>
      <c r="W810" t="s">
        <v>1042</v>
      </c>
      <c r="X810" t="s">
        <v>108</v>
      </c>
      <c r="Y810" t="s">
        <v>126</v>
      </c>
      <c r="AA810">
        <v>0</v>
      </c>
      <c r="AB810" t="s">
        <v>79</v>
      </c>
      <c r="AC810" t="s">
        <v>95</v>
      </c>
      <c r="AD810">
        <v>36</v>
      </c>
      <c r="AE810">
        <v>9</v>
      </c>
      <c r="AF810">
        <v>3</v>
      </c>
      <c r="AG810">
        <v>2025</v>
      </c>
      <c r="AH810" s="2">
        <v>25250</v>
      </c>
      <c r="AI810" s="2">
        <v>31878.685546875</v>
      </c>
      <c r="AJ810" s="2">
        <f t="shared" si="96"/>
        <v>6628.685546875</v>
      </c>
      <c r="AK810" s="6">
        <f t="shared" si="97"/>
        <v>0.26252219987623765</v>
      </c>
      <c r="AL810" s="12">
        <v>25250</v>
      </c>
      <c r="AM810" s="12">
        <v>29714.930462989341</v>
      </c>
      <c r="AN810" s="12">
        <f t="shared" si="98"/>
        <v>4464.9304629893413</v>
      </c>
      <c r="AO810" s="13">
        <f t="shared" si="99"/>
        <v>0.17682892922730065</v>
      </c>
      <c r="AP810" s="16">
        <v>25250</v>
      </c>
      <c r="AQ810" s="16">
        <v>31271.833002392679</v>
      </c>
      <c r="AR810" s="16">
        <f t="shared" si="100"/>
        <v>6021.8330023926792</v>
      </c>
      <c r="AS810" s="17">
        <f t="shared" si="101"/>
        <v>0.23848843573832393</v>
      </c>
      <c r="AT810" s="20">
        <v>25250</v>
      </c>
      <c r="AU810" s="20">
        <v>31537.458984375</v>
      </c>
      <c r="AV810" s="20">
        <f t="shared" si="102"/>
        <v>6287.458984375</v>
      </c>
      <c r="AW810" s="21">
        <f t="shared" si="103"/>
        <v>0.24900827660891089</v>
      </c>
    </row>
    <row r="811" spans="1:49" x14ac:dyDescent="0.25">
      <c r="A811" t="s">
        <v>38</v>
      </c>
      <c r="B811" t="s">
        <v>110</v>
      </c>
      <c r="C811">
        <v>161171</v>
      </c>
      <c r="D811">
        <v>2017</v>
      </c>
      <c r="E811" t="s">
        <v>213</v>
      </c>
      <c r="F811" t="s">
        <v>908</v>
      </c>
      <c r="I811">
        <v>6</v>
      </c>
      <c r="J811" t="s">
        <v>61</v>
      </c>
      <c r="K811">
        <v>4</v>
      </c>
      <c r="L811" t="s">
        <v>44</v>
      </c>
      <c r="M811">
        <v>3.5</v>
      </c>
      <c r="N811" t="s">
        <v>45</v>
      </c>
      <c r="Q811" t="s">
        <v>62</v>
      </c>
      <c r="R811" t="s">
        <v>148</v>
      </c>
      <c r="S811" t="s">
        <v>49</v>
      </c>
      <c r="T811">
        <v>295</v>
      </c>
      <c r="U811" t="s">
        <v>50</v>
      </c>
      <c r="V811" t="s">
        <v>76</v>
      </c>
      <c r="X811" t="s">
        <v>141</v>
      </c>
      <c r="Y811" t="s">
        <v>78</v>
      </c>
      <c r="AA811">
        <v>0</v>
      </c>
      <c r="AB811" t="s">
        <v>79</v>
      </c>
      <c r="AC811" t="s">
        <v>87</v>
      </c>
      <c r="AD811">
        <v>36</v>
      </c>
      <c r="AE811">
        <v>9</v>
      </c>
      <c r="AF811">
        <v>3</v>
      </c>
      <c r="AG811">
        <v>2025</v>
      </c>
      <c r="AH811" s="2">
        <v>900</v>
      </c>
      <c r="AI811" s="2">
        <v>3815.69775390625</v>
      </c>
      <c r="AJ811" s="2">
        <f t="shared" si="96"/>
        <v>2915.69775390625</v>
      </c>
      <c r="AK811" s="6">
        <f t="shared" si="97"/>
        <v>3.2396641710069445</v>
      </c>
      <c r="AL811" s="12">
        <v>900</v>
      </c>
      <c r="AM811" s="12">
        <v>4305.3882055688082</v>
      </c>
      <c r="AN811" s="12">
        <f t="shared" si="98"/>
        <v>3405.3882055688082</v>
      </c>
      <c r="AO811" s="13">
        <f t="shared" si="99"/>
        <v>3.7837646728542311</v>
      </c>
      <c r="AP811" s="16">
        <v>900</v>
      </c>
      <c r="AQ811" s="16">
        <v>3872.3952484851229</v>
      </c>
      <c r="AR811" s="16">
        <f t="shared" si="100"/>
        <v>2972.3952484851229</v>
      </c>
      <c r="AS811" s="17">
        <f t="shared" si="101"/>
        <v>3.302661387205692</v>
      </c>
      <c r="AT811" s="20">
        <v>900</v>
      </c>
      <c r="AU811" s="20">
        <v>3858.419921875</v>
      </c>
      <c r="AV811" s="20">
        <f t="shared" si="102"/>
        <v>2958.419921875</v>
      </c>
      <c r="AW811" s="21">
        <f t="shared" si="103"/>
        <v>3.2871332465277776</v>
      </c>
    </row>
    <row r="812" spans="1:49" x14ac:dyDescent="0.25">
      <c r="A812" t="s">
        <v>38</v>
      </c>
      <c r="B812" t="s">
        <v>39</v>
      </c>
      <c r="C812">
        <v>167719</v>
      </c>
      <c r="D812">
        <v>2016</v>
      </c>
      <c r="E812" t="s">
        <v>69</v>
      </c>
      <c r="F812" t="s">
        <v>157</v>
      </c>
      <c r="G812" t="s">
        <v>105</v>
      </c>
      <c r="I812">
        <v>6</v>
      </c>
      <c r="J812" t="s">
        <v>135</v>
      </c>
      <c r="K812">
        <v>4</v>
      </c>
      <c r="L812" t="s">
        <v>44</v>
      </c>
      <c r="M812">
        <v>3.5</v>
      </c>
      <c r="N812" t="s">
        <v>45</v>
      </c>
      <c r="O812" t="s">
        <v>46</v>
      </c>
      <c r="Q812" t="s">
        <v>62</v>
      </c>
      <c r="R812" t="s">
        <v>63</v>
      </c>
      <c r="S812" t="s">
        <v>101</v>
      </c>
      <c r="T812">
        <v>290</v>
      </c>
      <c r="U812" t="s">
        <v>50</v>
      </c>
      <c r="V812" t="s">
        <v>76</v>
      </c>
      <c r="X812" t="s">
        <v>94</v>
      </c>
      <c r="Y812" t="s">
        <v>78</v>
      </c>
      <c r="AA812">
        <v>0</v>
      </c>
      <c r="AB812" t="s">
        <v>79</v>
      </c>
      <c r="AC812" t="s">
        <v>87</v>
      </c>
      <c r="AD812">
        <v>36</v>
      </c>
      <c r="AE812">
        <v>9</v>
      </c>
      <c r="AF812">
        <v>3</v>
      </c>
      <c r="AG812">
        <v>2025</v>
      </c>
      <c r="AH812" s="2">
        <v>5000</v>
      </c>
      <c r="AI812" s="2">
        <v>4604.54638671875</v>
      </c>
      <c r="AJ812" s="2">
        <f t="shared" si="96"/>
        <v>395.45361328125</v>
      </c>
      <c r="AK812" s="6">
        <f t="shared" si="97"/>
        <v>7.9090722656250001E-2</v>
      </c>
      <c r="AL812" s="12">
        <v>5000</v>
      </c>
      <c r="AM812" s="12">
        <v>4648.1550813812019</v>
      </c>
      <c r="AN812" s="12">
        <f t="shared" si="98"/>
        <v>351.84491861879815</v>
      </c>
      <c r="AO812" s="13">
        <f t="shared" si="99"/>
        <v>7.0368983723759632E-2</v>
      </c>
      <c r="AP812" s="16">
        <v>5000</v>
      </c>
      <c r="AQ812" s="16">
        <v>4321.6062813851086</v>
      </c>
      <c r="AR812" s="16">
        <f t="shared" si="100"/>
        <v>678.39371861489144</v>
      </c>
      <c r="AS812" s="17">
        <f t="shared" si="101"/>
        <v>0.13567874372297828</v>
      </c>
      <c r="AT812" s="20">
        <v>5000</v>
      </c>
      <c r="AU812" s="20">
        <v>4701.83251953125</v>
      </c>
      <c r="AV812" s="20">
        <f t="shared" si="102"/>
        <v>298.16748046875</v>
      </c>
      <c r="AW812" s="21">
        <f t="shared" si="103"/>
        <v>5.9633496093750002E-2</v>
      </c>
    </row>
    <row r="813" spans="1:49" x14ac:dyDescent="0.25">
      <c r="A813" t="s">
        <v>38</v>
      </c>
      <c r="B813" t="s">
        <v>96</v>
      </c>
      <c r="C813">
        <v>177509</v>
      </c>
      <c r="D813">
        <v>2013</v>
      </c>
      <c r="E813" t="s">
        <v>97</v>
      </c>
      <c r="F813" t="s">
        <v>379</v>
      </c>
      <c r="G813" t="s">
        <v>1043</v>
      </c>
      <c r="I813">
        <v>4</v>
      </c>
      <c r="J813" t="s">
        <v>106</v>
      </c>
      <c r="K813">
        <v>4</v>
      </c>
      <c r="L813" t="s">
        <v>44</v>
      </c>
      <c r="M813">
        <v>1.8</v>
      </c>
      <c r="N813" t="s">
        <v>45</v>
      </c>
      <c r="O813" t="s">
        <v>46</v>
      </c>
      <c r="Q813" t="s">
        <v>47</v>
      </c>
      <c r="R813" t="s">
        <v>123</v>
      </c>
      <c r="U813" t="s">
        <v>50</v>
      </c>
      <c r="W813" t="s">
        <v>1044</v>
      </c>
      <c r="X813" t="s">
        <v>125</v>
      </c>
      <c r="Y813" t="s">
        <v>78</v>
      </c>
      <c r="AA813">
        <v>0</v>
      </c>
      <c r="AB813" t="s">
        <v>79</v>
      </c>
      <c r="AC813" t="s">
        <v>127</v>
      </c>
      <c r="AD813">
        <v>36</v>
      </c>
      <c r="AE813">
        <v>9</v>
      </c>
      <c r="AF813">
        <v>3</v>
      </c>
      <c r="AG813">
        <v>2025</v>
      </c>
      <c r="AH813" s="2">
        <v>1200</v>
      </c>
      <c r="AI813" s="2">
        <v>1473.658447265625</v>
      </c>
      <c r="AJ813" s="2">
        <f t="shared" si="96"/>
        <v>273.658447265625</v>
      </c>
      <c r="AK813" s="6">
        <f t="shared" si="97"/>
        <v>0.22804870605468749</v>
      </c>
      <c r="AL813" s="12">
        <v>1200</v>
      </c>
      <c r="AM813" s="12">
        <v>1602.4801285146141</v>
      </c>
      <c r="AN813" s="12">
        <f t="shared" si="98"/>
        <v>402.48012851461408</v>
      </c>
      <c r="AO813" s="13">
        <f t="shared" si="99"/>
        <v>0.33540010709551171</v>
      </c>
      <c r="AP813" s="16">
        <v>1200</v>
      </c>
      <c r="AQ813" s="16">
        <v>1203.66584026174</v>
      </c>
      <c r="AR813" s="16">
        <f t="shared" si="100"/>
        <v>3.6658402617399588</v>
      </c>
      <c r="AS813" s="17">
        <f t="shared" si="101"/>
        <v>3.054866884783299E-3</v>
      </c>
      <c r="AT813" s="20">
        <v>1200</v>
      </c>
      <c r="AU813" s="20">
        <v>1446.96240234375</v>
      </c>
      <c r="AV813" s="20">
        <f t="shared" si="102"/>
        <v>246.96240234375</v>
      </c>
      <c r="AW813" s="21">
        <f t="shared" si="103"/>
        <v>0.20580200195312501</v>
      </c>
    </row>
    <row r="814" spans="1:49" x14ac:dyDescent="0.25">
      <c r="A814" t="s">
        <v>38</v>
      </c>
      <c r="B814" t="s">
        <v>96</v>
      </c>
      <c r="C814">
        <v>122158</v>
      </c>
      <c r="D814">
        <v>2020</v>
      </c>
      <c r="E814" t="s">
        <v>69</v>
      </c>
      <c r="F814" t="s">
        <v>157</v>
      </c>
      <c r="G814" t="s">
        <v>105</v>
      </c>
      <c r="I814">
        <v>4</v>
      </c>
      <c r="J814" t="s">
        <v>122</v>
      </c>
      <c r="K814">
        <v>4</v>
      </c>
      <c r="L814" t="s">
        <v>44</v>
      </c>
      <c r="M814">
        <v>2.2999999999999998</v>
      </c>
      <c r="N814" t="s">
        <v>73</v>
      </c>
      <c r="O814" t="s">
        <v>46</v>
      </c>
      <c r="P814">
        <v>5</v>
      </c>
      <c r="Q814" t="s">
        <v>62</v>
      </c>
      <c r="R814" t="s">
        <v>63</v>
      </c>
      <c r="S814" t="s">
        <v>179</v>
      </c>
      <c r="T814">
        <v>270</v>
      </c>
      <c r="U814" t="s">
        <v>50</v>
      </c>
      <c r="V814" t="s">
        <v>51</v>
      </c>
      <c r="X814" t="s">
        <v>141</v>
      </c>
      <c r="Y814" t="s">
        <v>78</v>
      </c>
      <c r="AA814">
        <v>0</v>
      </c>
      <c r="AB814" t="s">
        <v>79</v>
      </c>
      <c r="AC814" t="s">
        <v>109</v>
      </c>
      <c r="AD814">
        <v>36</v>
      </c>
      <c r="AE814">
        <v>9</v>
      </c>
      <c r="AF814">
        <v>3</v>
      </c>
      <c r="AG814">
        <v>2025</v>
      </c>
      <c r="AH814" s="2">
        <v>14000</v>
      </c>
      <c r="AI814" s="2">
        <v>13568.7626953125</v>
      </c>
      <c r="AJ814" s="2">
        <f t="shared" si="96"/>
        <v>431.2373046875</v>
      </c>
      <c r="AK814" s="6">
        <f t="shared" si="97"/>
        <v>3.0802664620535714E-2</v>
      </c>
      <c r="AL814" s="12">
        <v>14000</v>
      </c>
      <c r="AM814" s="12">
        <v>13713.05199660074</v>
      </c>
      <c r="AN814" s="12">
        <f t="shared" si="98"/>
        <v>286.94800339926041</v>
      </c>
      <c r="AO814" s="13">
        <f t="shared" si="99"/>
        <v>2.0496285957090028E-2</v>
      </c>
      <c r="AP814" s="16">
        <v>14000</v>
      </c>
      <c r="AQ814" s="16">
        <v>11896.41999642223</v>
      </c>
      <c r="AR814" s="16">
        <f t="shared" si="100"/>
        <v>2103.5800035777702</v>
      </c>
      <c r="AS814" s="17">
        <f t="shared" si="101"/>
        <v>0.15025571454126929</v>
      </c>
      <c r="AT814" s="20">
        <v>14000</v>
      </c>
      <c r="AU814" s="20">
        <v>13586.0888671875</v>
      </c>
      <c r="AV814" s="20">
        <f t="shared" si="102"/>
        <v>413.9111328125</v>
      </c>
      <c r="AW814" s="21">
        <f t="shared" si="103"/>
        <v>2.9565080915178572E-2</v>
      </c>
    </row>
    <row r="815" spans="1:49" x14ac:dyDescent="0.25">
      <c r="A815" t="s">
        <v>114</v>
      </c>
      <c r="B815" t="s">
        <v>115</v>
      </c>
      <c r="C815">
        <v>162578</v>
      </c>
      <c r="D815">
        <v>2004</v>
      </c>
      <c r="E815" t="s">
        <v>1045</v>
      </c>
      <c r="F815" t="s">
        <v>1046</v>
      </c>
      <c r="H815" t="s">
        <v>1047</v>
      </c>
      <c r="I815">
        <v>4</v>
      </c>
      <c r="J815" t="s">
        <v>61</v>
      </c>
      <c r="K815">
        <v>4</v>
      </c>
      <c r="L815" t="s">
        <v>44</v>
      </c>
      <c r="M815">
        <v>2.2000000000000002</v>
      </c>
      <c r="N815" t="s">
        <v>45</v>
      </c>
      <c r="O815" t="s">
        <v>46</v>
      </c>
      <c r="Q815" t="s">
        <v>47</v>
      </c>
      <c r="R815" t="s">
        <v>123</v>
      </c>
      <c r="T815">
        <v>170</v>
      </c>
      <c r="U815" t="s">
        <v>50</v>
      </c>
      <c r="V815" t="s">
        <v>51</v>
      </c>
      <c r="W815" t="s">
        <v>1048</v>
      </c>
      <c r="X815" t="s">
        <v>125</v>
      </c>
      <c r="Y815" t="s">
        <v>78</v>
      </c>
      <c r="AA815">
        <v>0</v>
      </c>
      <c r="AB815" t="s">
        <v>79</v>
      </c>
      <c r="AC815" t="s">
        <v>127</v>
      </c>
      <c r="AD815">
        <v>36</v>
      </c>
      <c r="AE815">
        <v>9</v>
      </c>
      <c r="AF815">
        <v>3</v>
      </c>
      <c r="AG815">
        <v>2025</v>
      </c>
      <c r="AH815" s="2">
        <v>400</v>
      </c>
      <c r="AI815" s="2">
        <v>551.54595947265625</v>
      </c>
      <c r="AJ815" s="2">
        <f t="shared" si="96"/>
        <v>151.54595947265625</v>
      </c>
      <c r="AK815" s="6">
        <f t="shared" si="97"/>
        <v>0.37886489868164064</v>
      </c>
      <c r="AL815" s="12">
        <v>400</v>
      </c>
      <c r="AM815" s="12">
        <v>583.41287391881235</v>
      </c>
      <c r="AN815" s="12">
        <f t="shared" si="98"/>
        <v>183.41287391881235</v>
      </c>
      <c r="AO815" s="13">
        <f t="shared" si="99"/>
        <v>0.4585321847970309</v>
      </c>
      <c r="AP815" s="16">
        <v>400</v>
      </c>
      <c r="AQ815" s="16">
        <v>521.30995555441677</v>
      </c>
      <c r="AR815" s="16">
        <f t="shared" si="100"/>
        <v>121.30995555441677</v>
      </c>
      <c r="AS815" s="17">
        <f t="shared" si="101"/>
        <v>0.30327488888604193</v>
      </c>
      <c r="AT815" s="20">
        <v>400</v>
      </c>
      <c r="AU815" s="20">
        <v>590.930908203125</v>
      </c>
      <c r="AV815" s="20">
        <f t="shared" si="102"/>
        <v>190.930908203125</v>
      </c>
      <c r="AW815" s="21">
        <f t="shared" si="103"/>
        <v>0.47732727050781248</v>
      </c>
    </row>
    <row r="816" spans="1:49" x14ac:dyDescent="0.25">
      <c r="A816" t="s">
        <v>128</v>
      </c>
      <c r="B816" t="s">
        <v>129</v>
      </c>
      <c r="C816">
        <v>187073</v>
      </c>
      <c r="D816">
        <v>2014</v>
      </c>
      <c r="E816" t="s">
        <v>116</v>
      </c>
      <c r="F816" t="s">
        <v>194</v>
      </c>
      <c r="G816" t="s">
        <v>112</v>
      </c>
      <c r="I816">
        <v>6</v>
      </c>
      <c r="J816" t="s">
        <v>72</v>
      </c>
      <c r="K816">
        <v>2</v>
      </c>
      <c r="L816" t="s">
        <v>44</v>
      </c>
      <c r="M816">
        <v>3.6</v>
      </c>
      <c r="N816" t="s">
        <v>73</v>
      </c>
      <c r="O816" t="s">
        <v>46</v>
      </c>
      <c r="P816">
        <v>1</v>
      </c>
      <c r="Q816" t="s">
        <v>47</v>
      </c>
      <c r="R816" t="s">
        <v>197</v>
      </c>
      <c r="S816" t="s">
        <v>179</v>
      </c>
      <c r="U816" t="s">
        <v>50</v>
      </c>
      <c r="X816" t="s">
        <v>125</v>
      </c>
      <c r="Y816" t="s">
        <v>103</v>
      </c>
      <c r="AA816">
        <v>0</v>
      </c>
      <c r="AB816" t="s">
        <v>79</v>
      </c>
      <c r="AC816" t="s">
        <v>197</v>
      </c>
      <c r="AD816">
        <v>36</v>
      </c>
      <c r="AE816">
        <v>9</v>
      </c>
      <c r="AF816">
        <v>3</v>
      </c>
      <c r="AG816">
        <v>2025</v>
      </c>
      <c r="AH816" s="2">
        <v>1100</v>
      </c>
      <c r="AI816" s="2">
        <v>1584.169799804688</v>
      </c>
      <c r="AJ816" s="2">
        <f t="shared" si="96"/>
        <v>484.16979980468795</v>
      </c>
      <c r="AK816" s="6">
        <f t="shared" si="97"/>
        <v>0.44015436345880721</v>
      </c>
      <c r="AL816" s="12">
        <v>1100</v>
      </c>
      <c r="AM816" s="12">
        <v>2034.5193173402749</v>
      </c>
      <c r="AN816" s="12">
        <f t="shared" si="98"/>
        <v>934.51931734027494</v>
      </c>
      <c r="AO816" s="13">
        <f t="shared" si="99"/>
        <v>0.84956301576388626</v>
      </c>
      <c r="AP816" s="16">
        <v>1100</v>
      </c>
      <c r="AQ816" s="16">
        <v>2234.5395606423972</v>
      </c>
      <c r="AR816" s="16">
        <f t="shared" si="100"/>
        <v>1134.5395606423972</v>
      </c>
      <c r="AS816" s="17">
        <f t="shared" si="101"/>
        <v>1.0313996005839974</v>
      </c>
      <c r="AT816" s="20">
        <v>1100</v>
      </c>
      <c r="AU816" s="20">
        <v>1594.291381835938</v>
      </c>
      <c r="AV816" s="20">
        <f t="shared" si="102"/>
        <v>494.29138183593795</v>
      </c>
      <c r="AW816" s="21">
        <f t="shared" si="103"/>
        <v>0.44935580166903449</v>
      </c>
    </row>
    <row r="817" spans="1:49" x14ac:dyDescent="0.25">
      <c r="A817" t="s">
        <v>38</v>
      </c>
      <c r="B817" t="s">
        <v>110</v>
      </c>
      <c r="C817">
        <v>117304</v>
      </c>
      <c r="D817">
        <v>2015</v>
      </c>
      <c r="E817" t="s">
        <v>97</v>
      </c>
      <c r="F817" t="s">
        <v>198</v>
      </c>
      <c r="G817" t="s">
        <v>380</v>
      </c>
      <c r="I817">
        <v>6</v>
      </c>
      <c r="J817" t="s">
        <v>135</v>
      </c>
      <c r="K817">
        <v>4</v>
      </c>
      <c r="L817" t="s">
        <v>44</v>
      </c>
      <c r="M817">
        <v>3.6</v>
      </c>
      <c r="N817" t="s">
        <v>44</v>
      </c>
      <c r="Q817" t="s">
        <v>62</v>
      </c>
      <c r="R817" t="s">
        <v>63</v>
      </c>
      <c r="S817" t="s">
        <v>85</v>
      </c>
      <c r="U817" t="s">
        <v>50</v>
      </c>
      <c r="V817" t="s">
        <v>76</v>
      </c>
      <c r="W817" t="s">
        <v>200</v>
      </c>
      <c r="X817" t="s">
        <v>94</v>
      </c>
      <c r="Y817" t="s">
        <v>78</v>
      </c>
      <c r="AA817">
        <v>0</v>
      </c>
      <c r="AB817" t="s">
        <v>79</v>
      </c>
      <c r="AC817" t="s">
        <v>87</v>
      </c>
      <c r="AD817">
        <v>36</v>
      </c>
      <c r="AE817">
        <v>9</v>
      </c>
      <c r="AF817">
        <v>3</v>
      </c>
      <c r="AG817">
        <v>2025</v>
      </c>
      <c r="AH817" s="2">
        <v>4500</v>
      </c>
      <c r="AI817" s="2">
        <v>5284.36865234375</v>
      </c>
      <c r="AJ817" s="2">
        <f t="shared" si="96"/>
        <v>784.36865234375</v>
      </c>
      <c r="AK817" s="6">
        <f t="shared" si="97"/>
        <v>0.17430414496527777</v>
      </c>
      <c r="AL817" s="12">
        <v>4500</v>
      </c>
      <c r="AM817" s="12">
        <v>6525.2171883702331</v>
      </c>
      <c r="AN817" s="12">
        <f t="shared" si="98"/>
        <v>2025.2171883702331</v>
      </c>
      <c r="AO817" s="13">
        <f t="shared" si="99"/>
        <v>0.450048264082274</v>
      </c>
      <c r="AP817" s="16">
        <v>4500</v>
      </c>
      <c r="AQ817" s="16">
        <v>4677.1608744004952</v>
      </c>
      <c r="AR817" s="16">
        <f t="shared" si="100"/>
        <v>177.16087440049523</v>
      </c>
      <c r="AS817" s="17">
        <f t="shared" si="101"/>
        <v>3.9369083200110053E-2</v>
      </c>
      <c r="AT817" s="20">
        <v>4500</v>
      </c>
      <c r="AU817" s="20">
        <v>5441.06298828125</v>
      </c>
      <c r="AV817" s="20">
        <f t="shared" si="102"/>
        <v>941.06298828125</v>
      </c>
      <c r="AW817" s="21">
        <f t="shared" si="103"/>
        <v>0.20912510850694443</v>
      </c>
    </row>
    <row r="818" spans="1:49" x14ac:dyDescent="0.25">
      <c r="A818" t="s">
        <v>38</v>
      </c>
      <c r="B818" t="s">
        <v>110</v>
      </c>
      <c r="C818">
        <v>10228</v>
      </c>
      <c r="D818">
        <v>2025</v>
      </c>
      <c r="E818" t="s">
        <v>142</v>
      </c>
      <c r="F818" t="s">
        <v>335</v>
      </c>
      <c r="G818" t="s">
        <v>494</v>
      </c>
      <c r="I818">
        <v>4</v>
      </c>
      <c r="J818" t="s">
        <v>106</v>
      </c>
      <c r="K818">
        <v>4</v>
      </c>
      <c r="L818" t="s">
        <v>371</v>
      </c>
      <c r="M818">
        <v>2</v>
      </c>
      <c r="N818" t="s">
        <v>91</v>
      </c>
      <c r="Q818" t="s">
        <v>62</v>
      </c>
      <c r="R818" t="s">
        <v>63</v>
      </c>
      <c r="S818" t="s">
        <v>93</v>
      </c>
      <c r="T818">
        <v>200</v>
      </c>
      <c r="U818" t="s">
        <v>50</v>
      </c>
      <c r="V818" t="s">
        <v>51</v>
      </c>
      <c r="X818" t="s">
        <v>65</v>
      </c>
      <c r="Y818" t="s">
        <v>126</v>
      </c>
      <c r="AA818">
        <v>0</v>
      </c>
      <c r="AB818" t="s">
        <v>79</v>
      </c>
      <c r="AC818" t="s">
        <v>87</v>
      </c>
      <c r="AD818">
        <v>36</v>
      </c>
      <c r="AE818">
        <v>9</v>
      </c>
      <c r="AF818">
        <v>3</v>
      </c>
      <c r="AG818">
        <v>2025</v>
      </c>
      <c r="AH818" s="2">
        <v>23000</v>
      </c>
      <c r="AI818" s="2">
        <v>26301.509765625</v>
      </c>
      <c r="AJ818" s="2">
        <f t="shared" si="96"/>
        <v>3301.509765625</v>
      </c>
      <c r="AK818" s="6">
        <f t="shared" si="97"/>
        <v>0.14354390285326088</v>
      </c>
      <c r="AL818" s="12">
        <v>23000</v>
      </c>
      <c r="AM818" s="12">
        <v>25402.941014051921</v>
      </c>
      <c r="AN818" s="12">
        <f t="shared" si="98"/>
        <v>2402.9410140519212</v>
      </c>
      <c r="AO818" s="13">
        <f t="shared" si="99"/>
        <v>0.10447569626312701</v>
      </c>
      <c r="AP818" s="16">
        <v>23000</v>
      </c>
      <c r="AQ818" s="16">
        <v>21945.03991183075</v>
      </c>
      <c r="AR818" s="16">
        <f t="shared" si="100"/>
        <v>1054.9600881692495</v>
      </c>
      <c r="AS818" s="17">
        <f t="shared" si="101"/>
        <v>4.5867829920402149E-2</v>
      </c>
      <c r="AT818" s="20">
        <v>23000</v>
      </c>
      <c r="AU818" s="20">
        <v>25906.349609375</v>
      </c>
      <c r="AV818" s="20">
        <f t="shared" si="102"/>
        <v>2906.349609375</v>
      </c>
      <c r="AW818" s="21">
        <f t="shared" si="103"/>
        <v>0.12636302649456521</v>
      </c>
    </row>
    <row r="819" spans="1:49" x14ac:dyDescent="0.25">
      <c r="A819" t="s">
        <v>38</v>
      </c>
      <c r="B819" t="s">
        <v>110</v>
      </c>
      <c r="C819">
        <v>214082</v>
      </c>
      <c r="D819">
        <v>2015</v>
      </c>
      <c r="E819" t="s">
        <v>69</v>
      </c>
      <c r="F819" t="s">
        <v>231</v>
      </c>
      <c r="I819">
        <v>6</v>
      </c>
      <c r="J819" t="s">
        <v>106</v>
      </c>
      <c r="K819">
        <v>4</v>
      </c>
      <c r="L819" t="s">
        <v>44</v>
      </c>
      <c r="M819">
        <v>2.7</v>
      </c>
      <c r="N819" t="s">
        <v>91</v>
      </c>
      <c r="Q819" t="s">
        <v>74</v>
      </c>
      <c r="R819" t="s">
        <v>92</v>
      </c>
      <c r="S819" t="s">
        <v>93</v>
      </c>
      <c r="U819" t="s">
        <v>50</v>
      </c>
      <c r="V819" t="s">
        <v>76</v>
      </c>
      <c r="X819" t="s">
        <v>94</v>
      </c>
      <c r="Y819" t="s">
        <v>78</v>
      </c>
      <c r="AA819">
        <v>0</v>
      </c>
      <c r="AB819" t="s">
        <v>79</v>
      </c>
      <c r="AC819" t="s">
        <v>95</v>
      </c>
      <c r="AD819">
        <v>36</v>
      </c>
      <c r="AE819">
        <v>9</v>
      </c>
      <c r="AF819">
        <v>3</v>
      </c>
      <c r="AG819">
        <v>2025</v>
      </c>
      <c r="AH819" s="2">
        <v>8600</v>
      </c>
      <c r="AI819" s="2">
        <v>7304.935546875</v>
      </c>
      <c r="AJ819" s="2">
        <f t="shared" si="96"/>
        <v>1295.064453125</v>
      </c>
      <c r="AK819" s="6">
        <f t="shared" si="97"/>
        <v>0.15058888989825581</v>
      </c>
      <c r="AL819" s="12">
        <v>8600</v>
      </c>
      <c r="AM819" s="12">
        <v>5994.6220584654466</v>
      </c>
      <c r="AN819" s="12">
        <f t="shared" si="98"/>
        <v>2605.3779415345534</v>
      </c>
      <c r="AO819" s="13">
        <f t="shared" si="99"/>
        <v>0.3029509234342504</v>
      </c>
      <c r="AP819" s="16">
        <v>8600</v>
      </c>
      <c r="AQ819" s="16">
        <v>6440.2082647819598</v>
      </c>
      <c r="AR819" s="16">
        <f t="shared" si="100"/>
        <v>2159.7917352180402</v>
      </c>
      <c r="AS819" s="17">
        <f t="shared" si="101"/>
        <v>0.25113857386256283</v>
      </c>
      <c r="AT819" s="20">
        <v>8600</v>
      </c>
      <c r="AU819" s="20">
        <v>7235.0263671875</v>
      </c>
      <c r="AV819" s="20">
        <f t="shared" si="102"/>
        <v>1364.9736328125</v>
      </c>
      <c r="AW819" s="21">
        <f t="shared" si="103"/>
        <v>0.15871786428052326</v>
      </c>
    </row>
    <row r="820" spans="1:49" x14ac:dyDescent="0.25">
      <c r="A820" t="s">
        <v>38</v>
      </c>
      <c r="B820" t="s">
        <v>68</v>
      </c>
      <c r="C820">
        <v>88657</v>
      </c>
      <c r="D820">
        <v>2019</v>
      </c>
      <c r="E820" t="s">
        <v>40</v>
      </c>
      <c r="F820" t="s">
        <v>297</v>
      </c>
      <c r="G820" t="s">
        <v>991</v>
      </c>
      <c r="H820" t="s">
        <v>863</v>
      </c>
      <c r="I820">
        <v>4</v>
      </c>
      <c r="J820" t="s">
        <v>122</v>
      </c>
      <c r="K820">
        <v>4</v>
      </c>
      <c r="L820" t="s">
        <v>44</v>
      </c>
      <c r="M820">
        <v>2.5</v>
      </c>
      <c r="N820" t="s">
        <v>45</v>
      </c>
      <c r="O820" t="s">
        <v>46</v>
      </c>
      <c r="P820">
        <v>4</v>
      </c>
      <c r="Q820" t="s">
        <v>47</v>
      </c>
      <c r="R820" t="s">
        <v>123</v>
      </c>
      <c r="S820" t="s">
        <v>49</v>
      </c>
      <c r="T820">
        <v>203</v>
      </c>
      <c r="U820" t="s">
        <v>50</v>
      </c>
      <c r="V820" t="s">
        <v>51</v>
      </c>
      <c r="W820" t="s">
        <v>449</v>
      </c>
      <c r="X820" t="s">
        <v>125</v>
      </c>
      <c r="Y820" t="s">
        <v>78</v>
      </c>
      <c r="AA820">
        <v>0</v>
      </c>
      <c r="AB820" t="s">
        <v>79</v>
      </c>
      <c r="AC820" t="s">
        <v>127</v>
      </c>
      <c r="AD820">
        <v>36</v>
      </c>
      <c r="AE820">
        <v>9</v>
      </c>
      <c r="AF820">
        <v>3</v>
      </c>
      <c r="AG820">
        <v>2025</v>
      </c>
      <c r="AH820" s="2">
        <v>14750</v>
      </c>
      <c r="AI820" s="2">
        <v>13195.1630859375</v>
      </c>
      <c r="AJ820" s="2">
        <f t="shared" si="96"/>
        <v>1554.8369140625</v>
      </c>
      <c r="AK820" s="6">
        <f t="shared" si="97"/>
        <v>0.10541267213983051</v>
      </c>
      <c r="AL820" s="12">
        <v>14750</v>
      </c>
      <c r="AM820" s="12">
        <v>11346.59168108196</v>
      </c>
      <c r="AN820" s="12">
        <f t="shared" si="98"/>
        <v>3403.4083189180401</v>
      </c>
      <c r="AO820" s="13">
        <f t="shared" si="99"/>
        <v>0.23073954704529084</v>
      </c>
      <c r="AP820" s="16">
        <v>14750</v>
      </c>
      <c r="AQ820" s="16">
        <v>12500.11163478968</v>
      </c>
      <c r="AR820" s="16">
        <f t="shared" si="100"/>
        <v>2249.8883652103195</v>
      </c>
      <c r="AS820" s="17">
        <f t="shared" si="101"/>
        <v>0.15253480442103862</v>
      </c>
      <c r="AT820" s="20">
        <v>14750</v>
      </c>
      <c r="AU820" s="20">
        <v>12790.2333984375</v>
      </c>
      <c r="AV820" s="20">
        <f t="shared" si="102"/>
        <v>1959.7666015625</v>
      </c>
      <c r="AW820" s="21">
        <f t="shared" si="103"/>
        <v>0.13286553230932202</v>
      </c>
    </row>
    <row r="821" spans="1:49" x14ac:dyDescent="0.25">
      <c r="A821" t="s">
        <v>81</v>
      </c>
      <c r="B821" t="s">
        <v>1049</v>
      </c>
      <c r="C821">
        <v>21921</v>
      </c>
      <c r="D821">
        <v>2023</v>
      </c>
      <c r="E821" t="s">
        <v>119</v>
      </c>
      <c r="F821" t="s">
        <v>1050</v>
      </c>
      <c r="G821" t="s">
        <v>139</v>
      </c>
      <c r="I821">
        <v>4</v>
      </c>
      <c r="J821" t="s">
        <v>135</v>
      </c>
      <c r="K821">
        <v>4</v>
      </c>
      <c r="L821" t="s">
        <v>44</v>
      </c>
      <c r="M821">
        <v>1.5</v>
      </c>
      <c r="N821" t="s">
        <v>44</v>
      </c>
      <c r="Q821" t="s">
        <v>62</v>
      </c>
      <c r="R821" t="s">
        <v>63</v>
      </c>
      <c r="S821" t="s">
        <v>85</v>
      </c>
      <c r="T821">
        <v>158</v>
      </c>
      <c r="U821" t="s">
        <v>50</v>
      </c>
      <c r="W821" t="s">
        <v>337</v>
      </c>
      <c r="X821" t="s">
        <v>65</v>
      </c>
      <c r="Y821" t="s">
        <v>126</v>
      </c>
      <c r="AA821">
        <v>0</v>
      </c>
      <c r="AB821" t="s">
        <v>79</v>
      </c>
      <c r="AC821" t="s">
        <v>87</v>
      </c>
      <c r="AD821">
        <v>36</v>
      </c>
      <c r="AE821">
        <v>9</v>
      </c>
      <c r="AF821">
        <v>3</v>
      </c>
      <c r="AG821">
        <v>2025</v>
      </c>
      <c r="AH821" s="2">
        <v>19800</v>
      </c>
      <c r="AI821" s="2">
        <v>18132.30859375</v>
      </c>
      <c r="AJ821" s="2">
        <f t="shared" si="96"/>
        <v>1667.69140625</v>
      </c>
      <c r="AK821" s="6">
        <f t="shared" si="97"/>
        <v>8.4226838699494946E-2</v>
      </c>
      <c r="AL821" s="12">
        <v>19800</v>
      </c>
      <c r="AM821" s="12">
        <v>16819.940138438789</v>
      </c>
      <c r="AN821" s="12">
        <f t="shared" si="98"/>
        <v>2980.0598615612107</v>
      </c>
      <c r="AO821" s="13">
        <f t="shared" si="99"/>
        <v>0.15050807381622278</v>
      </c>
      <c r="AP821" s="16">
        <v>19800</v>
      </c>
      <c r="AQ821" s="16">
        <v>23300.4590712299</v>
      </c>
      <c r="AR821" s="16">
        <f t="shared" si="100"/>
        <v>3500.4590712298996</v>
      </c>
      <c r="AS821" s="17">
        <f t="shared" si="101"/>
        <v>0.17679086218332826</v>
      </c>
      <c r="AT821" s="20">
        <v>19800</v>
      </c>
      <c r="AU821" s="20">
        <v>17583.20703125</v>
      </c>
      <c r="AV821" s="20">
        <f t="shared" si="102"/>
        <v>2216.79296875</v>
      </c>
      <c r="AW821" s="21">
        <f t="shared" si="103"/>
        <v>0.1119592408459596</v>
      </c>
    </row>
    <row r="822" spans="1:49" x14ac:dyDescent="0.25">
      <c r="A822" t="s">
        <v>38</v>
      </c>
      <c r="B822" t="s">
        <v>68</v>
      </c>
      <c r="C822">
        <v>123330</v>
      </c>
      <c r="D822">
        <v>2019</v>
      </c>
      <c r="E822" t="s">
        <v>142</v>
      </c>
      <c r="F822" t="s">
        <v>143</v>
      </c>
      <c r="H822" t="s">
        <v>938</v>
      </c>
      <c r="I822">
        <v>4</v>
      </c>
      <c r="J822" t="s">
        <v>106</v>
      </c>
      <c r="K822">
        <v>4</v>
      </c>
      <c r="L822" t="s">
        <v>44</v>
      </c>
      <c r="M822">
        <v>2.4</v>
      </c>
      <c r="N822" t="s">
        <v>45</v>
      </c>
      <c r="O822" t="s">
        <v>46</v>
      </c>
      <c r="P822">
        <v>4</v>
      </c>
      <c r="Q822" t="s">
        <v>62</v>
      </c>
      <c r="R822" t="s">
        <v>63</v>
      </c>
      <c r="S822" t="s">
        <v>49</v>
      </c>
      <c r="T822">
        <v>184</v>
      </c>
      <c r="U822" t="s">
        <v>50</v>
      </c>
      <c r="V822" t="s">
        <v>51</v>
      </c>
      <c r="X822" t="s">
        <v>141</v>
      </c>
      <c r="Y822" t="s">
        <v>78</v>
      </c>
      <c r="Z822">
        <v>27395</v>
      </c>
      <c r="AA822">
        <v>0</v>
      </c>
      <c r="AB822" t="s">
        <v>79</v>
      </c>
      <c r="AC822" t="s">
        <v>87</v>
      </c>
      <c r="AD822">
        <v>36</v>
      </c>
      <c r="AE822">
        <v>9</v>
      </c>
      <c r="AF822">
        <v>3</v>
      </c>
      <c r="AG822">
        <v>2025</v>
      </c>
      <c r="AH822" s="2">
        <v>7800</v>
      </c>
      <c r="AI822" s="2">
        <v>8472.845703125</v>
      </c>
      <c r="AJ822" s="2">
        <f t="shared" si="96"/>
        <v>672.845703125</v>
      </c>
      <c r="AK822" s="6">
        <f t="shared" si="97"/>
        <v>8.626226963141026E-2</v>
      </c>
      <c r="AL822" s="12">
        <v>7800</v>
      </c>
      <c r="AM822" s="12">
        <v>7572.3525384780587</v>
      </c>
      <c r="AN822" s="12">
        <f t="shared" si="98"/>
        <v>227.6474615219413</v>
      </c>
      <c r="AO822" s="13">
        <f t="shared" si="99"/>
        <v>2.9185571989992474E-2</v>
      </c>
      <c r="AP822" s="16">
        <v>7800</v>
      </c>
      <c r="AQ822" s="16">
        <v>7134.4455505551523</v>
      </c>
      <c r="AR822" s="16">
        <f t="shared" si="100"/>
        <v>665.55444944484771</v>
      </c>
      <c r="AS822" s="17">
        <f t="shared" si="101"/>
        <v>8.5327493518570219E-2</v>
      </c>
      <c r="AT822" s="20">
        <v>7800</v>
      </c>
      <c r="AU822" s="20">
        <v>8469.6142578125</v>
      </c>
      <c r="AV822" s="20">
        <f t="shared" si="102"/>
        <v>669.6142578125</v>
      </c>
      <c r="AW822" s="21">
        <f t="shared" si="103"/>
        <v>8.5847981770833331E-2</v>
      </c>
    </row>
    <row r="823" spans="1:49" x14ac:dyDescent="0.25">
      <c r="A823" t="s">
        <v>38</v>
      </c>
      <c r="B823" t="s">
        <v>96</v>
      </c>
      <c r="C823">
        <v>45013</v>
      </c>
      <c r="D823">
        <v>2023</v>
      </c>
      <c r="E823" t="s">
        <v>88</v>
      </c>
      <c r="F823" t="s">
        <v>89</v>
      </c>
      <c r="G823" t="s">
        <v>1051</v>
      </c>
      <c r="H823" t="s">
        <v>1052</v>
      </c>
      <c r="I823">
        <v>8</v>
      </c>
      <c r="J823" t="s">
        <v>135</v>
      </c>
      <c r="K823">
        <v>4</v>
      </c>
      <c r="L823" t="s">
        <v>44</v>
      </c>
      <c r="M823">
        <v>5.7</v>
      </c>
      <c r="N823" t="s">
        <v>73</v>
      </c>
      <c r="O823" t="s">
        <v>46</v>
      </c>
      <c r="P823">
        <v>3</v>
      </c>
      <c r="Q823" t="s">
        <v>74</v>
      </c>
      <c r="R823" t="s">
        <v>92</v>
      </c>
      <c r="S823" t="s">
        <v>49</v>
      </c>
      <c r="T823">
        <v>395</v>
      </c>
      <c r="U823" t="s">
        <v>50</v>
      </c>
      <c r="V823" t="s">
        <v>76</v>
      </c>
      <c r="X823" t="s">
        <v>94</v>
      </c>
      <c r="Y823" t="s">
        <v>78</v>
      </c>
      <c r="AA823">
        <v>0</v>
      </c>
      <c r="AB823" t="s">
        <v>79</v>
      </c>
      <c r="AC823" t="s">
        <v>95</v>
      </c>
      <c r="AD823">
        <v>36</v>
      </c>
      <c r="AE823">
        <v>9</v>
      </c>
      <c r="AF823">
        <v>3</v>
      </c>
      <c r="AG823">
        <v>2025</v>
      </c>
      <c r="AH823" s="2">
        <v>26400</v>
      </c>
      <c r="AI823" s="2">
        <v>25166.66015625</v>
      </c>
      <c r="AJ823" s="2">
        <f t="shared" si="96"/>
        <v>1233.33984375</v>
      </c>
      <c r="AK823" s="6">
        <f t="shared" si="97"/>
        <v>4.6717418323863634E-2</v>
      </c>
      <c r="AL823" s="12">
        <v>26400</v>
      </c>
      <c r="AM823" s="12">
        <v>29141.427770230341</v>
      </c>
      <c r="AN823" s="12">
        <f t="shared" si="98"/>
        <v>2741.4277702303407</v>
      </c>
      <c r="AO823" s="13">
        <f t="shared" si="99"/>
        <v>0.10384196099357351</v>
      </c>
      <c r="AP823" s="16">
        <v>26400</v>
      </c>
      <c r="AQ823" s="16">
        <v>26654.08445847543</v>
      </c>
      <c r="AR823" s="16">
        <f t="shared" si="100"/>
        <v>254.08445847543044</v>
      </c>
      <c r="AS823" s="17">
        <f t="shared" si="101"/>
        <v>9.6244113058875161E-3</v>
      </c>
      <c r="AT823" s="20">
        <v>26400</v>
      </c>
      <c r="AU823" s="20">
        <v>25881.6796875</v>
      </c>
      <c r="AV823" s="20">
        <f t="shared" si="102"/>
        <v>518.3203125</v>
      </c>
      <c r="AW823" s="21">
        <f t="shared" si="103"/>
        <v>1.9633345170454546E-2</v>
      </c>
    </row>
    <row r="824" spans="1:49" x14ac:dyDescent="0.25">
      <c r="A824" t="s">
        <v>128</v>
      </c>
      <c r="B824" t="s">
        <v>129</v>
      </c>
      <c r="C824">
        <v>136472</v>
      </c>
      <c r="D824">
        <v>2009</v>
      </c>
      <c r="E824" t="s">
        <v>119</v>
      </c>
      <c r="F824" t="s">
        <v>639</v>
      </c>
      <c r="I824">
        <v>5</v>
      </c>
      <c r="J824" t="s">
        <v>106</v>
      </c>
      <c r="K824">
        <v>4</v>
      </c>
      <c r="L824" t="s">
        <v>44</v>
      </c>
      <c r="M824">
        <v>2.5</v>
      </c>
      <c r="N824" t="s">
        <v>45</v>
      </c>
      <c r="O824" t="s">
        <v>46</v>
      </c>
      <c r="Q824" t="s">
        <v>47</v>
      </c>
      <c r="R824" t="s">
        <v>48</v>
      </c>
      <c r="T824">
        <v>170</v>
      </c>
      <c r="U824" t="s">
        <v>50</v>
      </c>
      <c r="X824" t="s">
        <v>125</v>
      </c>
      <c r="Y824" t="s">
        <v>137</v>
      </c>
      <c r="AA824">
        <v>0</v>
      </c>
      <c r="AB824" t="s">
        <v>79</v>
      </c>
      <c r="AC824" t="s">
        <v>359</v>
      </c>
      <c r="AD824">
        <v>36</v>
      </c>
      <c r="AE824">
        <v>9</v>
      </c>
      <c r="AF824">
        <v>3</v>
      </c>
      <c r="AG824">
        <v>2025</v>
      </c>
      <c r="AH824" s="2">
        <v>2400</v>
      </c>
      <c r="AI824" s="2">
        <v>1327.28857421875</v>
      </c>
      <c r="AJ824" s="2">
        <f t="shared" si="96"/>
        <v>1072.71142578125</v>
      </c>
      <c r="AK824" s="6">
        <f t="shared" si="97"/>
        <v>0.44696309407552082</v>
      </c>
      <c r="AL824" s="12">
        <v>2400</v>
      </c>
      <c r="AM824" s="12">
        <v>1229.63294137922</v>
      </c>
      <c r="AN824" s="12">
        <f t="shared" si="98"/>
        <v>1170.36705862078</v>
      </c>
      <c r="AO824" s="13">
        <f t="shared" si="99"/>
        <v>0.48765294109199164</v>
      </c>
      <c r="AP824" s="16">
        <v>2400</v>
      </c>
      <c r="AQ824" s="16">
        <v>1095.2858033921141</v>
      </c>
      <c r="AR824" s="16">
        <f t="shared" si="100"/>
        <v>1304.7141966078859</v>
      </c>
      <c r="AS824" s="17">
        <f t="shared" si="101"/>
        <v>0.54363091525328577</v>
      </c>
      <c r="AT824" s="20">
        <v>2400</v>
      </c>
      <c r="AU824" s="20">
        <v>1274.56201171875</v>
      </c>
      <c r="AV824" s="20">
        <f t="shared" si="102"/>
        <v>1125.43798828125</v>
      </c>
      <c r="AW824" s="21">
        <f t="shared" si="103"/>
        <v>0.46893249511718749</v>
      </c>
    </row>
    <row r="825" spans="1:49" x14ac:dyDescent="0.25">
      <c r="A825" t="s">
        <v>38</v>
      </c>
      <c r="B825" t="s">
        <v>110</v>
      </c>
      <c r="C825">
        <v>125940</v>
      </c>
      <c r="D825">
        <v>2018</v>
      </c>
      <c r="E825" t="s">
        <v>345</v>
      </c>
      <c r="F825" t="s">
        <v>1053</v>
      </c>
      <c r="G825" t="s">
        <v>127</v>
      </c>
      <c r="H825" t="s">
        <v>587</v>
      </c>
      <c r="I825">
        <v>4</v>
      </c>
      <c r="J825" t="s">
        <v>61</v>
      </c>
      <c r="K825">
        <v>4</v>
      </c>
      <c r="L825" t="s">
        <v>44</v>
      </c>
      <c r="M825">
        <v>2</v>
      </c>
      <c r="N825" t="s">
        <v>73</v>
      </c>
      <c r="O825" t="s">
        <v>46</v>
      </c>
      <c r="P825">
        <v>1</v>
      </c>
      <c r="Q825" t="s">
        <v>47</v>
      </c>
      <c r="R825" t="s">
        <v>123</v>
      </c>
      <c r="T825">
        <v>180</v>
      </c>
      <c r="U825" t="s">
        <v>50</v>
      </c>
      <c r="X825" t="s">
        <v>125</v>
      </c>
      <c r="Y825" t="s">
        <v>588</v>
      </c>
      <c r="Z825">
        <v>34900</v>
      </c>
      <c r="AA825">
        <v>0</v>
      </c>
      <c r="AB825" t="s">
        <v>79</v>
      </c>
      <c r="AC825" t="s">
        <v>127</v>
      </c>
      <c r="AD825">
        <v>36</v>
      </c>
      <c r="AE825">
        <v>9</v>
      </c>
      <c r="AF825">
        <v>3</v>
      </c>
      <c r="AG825">
        <v>2025</v>
      </c>
      <c r="AH825" s="2">
        <v>2200</v>
      </c>
      <c r="AI825" s="2">
        <v>3085.629150390625</v>
      </c>
      <c r="AJ825" s="2">
        <f t="shared" si="96"/>
        <v>885.629150390625</v>
      </c>
      <c r="AK825" s="6">
        <f t="shared" si="97"/>
        <v>0.40255870472301136</v>
      </c>
      <c r="AL825" s="12">
        <v>2200</v>
      </c>
      <c r="AM825" s="12">
        <v>3803.4107340643541</v>
      </c>
      <c r="AN825" s="12">
        <f t="shared" si="98"/>
        <v>1603.4107340643541</v>
      </c>
      <c r="AO825" s="13">
        <f t="shared" si="99"/>
        <v>0.72882306093834281</v>
      </c>
      <c r="AP825" s="16">
        <v>2200</v>
      </c>
      <c r="AQ825" s="16">
        <v>3305.2369224599811</v>
      </c>
      <c r="AR825" s="16">
        <f t="shared" si="100"/>
        <v>1105.2369224599811</v>
      </c>
      <c r="AS825" s="17">
        <f t="shared" si="101"/>
        <v>0.50238041929999144</v>
      </c>
      <c r="AT825" s="20">
        <v>2200</v>
      </c>
      <c r="AU825" s="20">
        <v>3148.245849609375</v>
      </c>
      <c r="AV825" s="20">
        <f t="shared" si="102"/>
        <v>948.245849609375</v>
      </c>
      <c r="AW825" s="21">
        <f t="shared" si="103"/>
        <v>0.43102084073153407</v>
      </c>
    </row>
    <row r="826" spans="1:49" x14ac:dyDescent="0.25">
      <c r="A826" t="s">
        <v>38</v>
      </c>
      <c r="B826" t="s">
        <v>110</v>
      </c>
      <c r="C826">
        <v>72205</v>
      </c>
      <c r="D826">
        <v>2021</v>
      </c>
      <c r="E826" t="s">
        <v>132</v>
      </c>
      <c r="F826" t="s">
        <v>1054</v>
      </c>
      <c r="G826" t="s">
        <v>1055</v>
      </c>
      <c r="I826">
        <v>4</v>
      </c>
      <c r="J826" t="s">
        <v>135</v>
      </c>
      <c r="K826">
        <v>4</v>
      </c>
      <c r="L826" t="s">
        <v>44</v>
      </c>
      <c r="M826">
        <v>2</v>
      </c>
      <c r="N826" t="s">
        <v>45</v>
      </c>
      <c r="Q826" t="s">
        <v>62</v>
      </c>
      <c r="R826" t="s">
        <v>63</v>
      </c>
      <c r="U826" t="s">
        <v>50</v>
      </c>
      <c r="V826" t="s">
        <v>51</v>
      </c>
      <c r="W826" t="s">
        <v>1056</v>
      </c>
      <c r="X826" t="s">
        <v>125</v>
      </c>
      <c r="Y826" t="s">
        <v>126</v>
      </c>
      <c r="AA826">
        <v>0</v>
      </c>
      <c r="AB826" t="s">
        <v>79</v>
      </c>
      <c r="AC826" t="s">
        <v>87</v>
      </c>
      <c r="AD826">
        <v>36</v>
      </c>
      <c r="AE826">
        <v>9</v>
      </c>
      <c r="AF826">
        <v>3</v>
      </c>
      <c r="AG826">
        <v>2025</v>
      </c>
      <c r="AH826" s="2">
        <v>18000</v>
      </c>
      <c r="AI826" s="2">
        <v>13853.6474609375</v>
      </c>
      <c r="AJ826" s="2">
        <f t="shared" si="96"/>
        <v>4146.3525390625</v>
      </c>
      <c r="AK826" s="6">
        <f t="shared" si="97"/>
        <v>0.23035291883680556</v>
      </c>
      <c r="AL826" s="12">
        <v>18000</v>
      </c>
      <c r="AM826" s="12">
        <v>13336.368148847219</v>
      </c>
      <c r="AN826" s="12">
        <f t="shared" si="98"/>
        <v>4663.6318511527807</v>
      </c>
      <c r="AO826" s="13">
        <f t="shared" si="99"/>
        <v>0.25909065839737672</v>
      </c>
      <c r="AP826" s="16">
        <v>18000</v>
      </c>
      <c r="AQ826" s="16">
        <v>17494.598137617591</v>
      </c>
      <c r="AR826" s="16">
        <f t="shared" si="100"/>
        <v>505.40186238240858</v>
      </c>
      <c r="AS826" s="17">
        <f t="shared" si="101"/>
        <v>2.8077881243467145E-2</v>
      </c>
      <c r="AT826" s="20">
        <v>18000</v>
      </c>
      <c r="AU826" s="20">
        <v>13803.6083984375</v>
      </c>
      <c r="AV826" s="20">
        <f t="shared" si="102"/>
        <v>4196.3916015625</v>
      </c>
      <c r="AW826" s="21">
        <f t="shared" si="103"/>
        <v>0.23313286675347222</v>
      </c>
    </row>
    <row r="827" spans="1:49" x14ac:dyDescent="0.25">
      <c r="A827" t="s">
        <v>128</v>
      </c>
      <c r="B827" t="s">
        <v>129</v>
      </c>
      <c r="C827">
        <v>156514</v>
      </c>
      <c r="D827">
        <v>2016</v>
      </c>
      <c r="E827" t="s">
        <v>146</v>
      </c>
      <c r="F827" t="s">
        <v>302</v>
      </c>
      <c r="I827">
        <v>6</v>
      </c>
      <c r="J827" t="s">
        <v>122</v>
      </c>
      <c r="K827">
        <v>4</v>
      </c>
      <c r="L827" t="s">
        <v>44</v>
      </c>
      <c r="M827">
        <v>3.5</v>
      </c>
      <c r="N827" t="s">
        <v>45</v>
      </c>
      <c r="Q827" t="s">
        <v>62</v>
      </c>
      <c r="R827" t="s">
        <v>148</v>
      </c>
      <c r="S827" t="s">
        <v>49</v>
      </c>
      <c r="U827" t="s">
        <v>50</v>
      </c>
      <c r="V827" t="s">
        <v>76</v>
      </c>
      <c r="X827" t="s">
        <v>141</v>
      </c>
      <c r="Y827" t="s">
        <v>78</v>
      </c>
      <c r="AA827">
        <v>0</v>
      </c>
      <c r="AB827" t="s">
        <v>79</v>
      </c>
      <c r="AC827" t="s">
        <v>87</v>
      </c>
      <c r="AD827">
        <v>36</v>
      </c>
      <c r="AE827">
        <v>9</v>
      </c>
      <c r="AF827">
        <v>3</v>
      </c>
      <c r="AG827">
        <v>2025</v>
      </c>
      <c r="AH827" s="2">
        <v>1600</v>
      </c>
      <c r="AI827" s="2">
        <v>2348.314697265625</v>
      </c>
      <c r="AJ827" s="2">
        <f t="shared" si="96"/>
        <v>748.314697265625</v>
      </c>
      <c r="AK827" s="6">
        <f t="shared" si="97"/>
        <v>0.46769668579101564</v>
      </c>
      <c r="AL827" s="12">
        <v>1600</v>
      </c>
      <c r="AM827" s="12">
        <v>2986.2365660189712</v>
      </c>
      <c r="AN827" s="12">
        <f t="shared" si="98"/>
        <v>1386.2365660189712</v>
      </c>
      <c r="AO827" s="13">
        <f t="shared" si="99"/>
        <v>0.86639785376185696</v>
      </c>
      <c r="AP827" s="16">
        <v>1600</v>
      </c>
      <c r="AQ827" s="16">
        <v>2580.5017547913599</v>
      </c>
      <c r="AR827" s="16">
        <f t="shared" si="100"/>
        <v>980.50175479135987</v>
      </c>
      <c r="AS827" s="17">
        <f t="shared" si="101"/>
        <v>0.6128135967445999</v>
      </c>
      <c r="AT827" s="20">
        <v>1600</v>
      </c>
      <c r="AU827" s="20">
        <v>2389.5283203125</v>
      </c>
      <c r="AV827" s="20">
        <f t="shared" si="102"/>
        <v>789.5283203125</v>
      </c>
      <c r="AW827" s="21">
        <f t="shared" si="103"/>
        <v>0.49345520019531253</v>
      </c>
    </row>
    <row r="828" spans="1:49" x14ac:dyDescent="0.25">
      <c r="A828" t="s">
        <v>114</v>
      </c>
      <c r="B828" t="s">
        <v>340</v>
      </c>
      <c r="C828">
        <v>210125</v>
      </c>
      <c r="D828">
        <v>2004</v>
      </c>
      <c r="E828" t="s">
        <v>305</v>
      </c>
      <c r="F828" t="s">
        <v>1057</v>
      </c>
      <c r="I828">
        <v>8</v>
      </c>
      <c r="J828" t="s">
        <v>61</v>
      </c>
      <c r="K828">
        <v>4</v>
      </c>
      <c r="L828" t="s">
        <v>44</v>
      </c>
      <c r="M828">
        <v>5.4</v>
      </c>
      <c r="N828" t="s">
        <v>91</v>
      </c>
      <c r="O828" t="s">
        <v>46</v>
      </c>
      <c r="P828">
        <v>2</v>
      </c>
      <c r="Q828" t="s">
        <v>62</v>
      </c>
      <c r="R828" t="s">
        <v>63</v>
      </c>
      <c r="S828" t="s">
        <v>93</v>
      </c>
      <c r="T828">
        <v>300</v>
      </c>
      <c r="U828" t="s">
        <v>50</v>
      </c>
      <c r="V828" t="s">
        <v>76</v>
      </c>
      <c r="X828" t="s">
        <v>108</v>
      </c>
      <c r="Y828" t="s">
        <v>78</v>
      </c>
      <c r="AA828">
        <v>0</v>
      </c>
      <c r="AB828" t="s">
        <v>79</v>
      </c>
      <c r="AC828" t="s">
        <v>87</v>
      </c>
      <c r="AD828">
        <v>36</v>
      </c>
      <c r="AE828">
        <v>9</v>
      </c>
      <c r="AF828">
        <v>3</v>
      </c>
      <c r="AG828">
        <v>2025</v>
      </c>
      <c r="AH828" s="2">
        <v>500</v>
      </c>
      <c r="AI828" s="2">
        <v>618.8199462890625</v>
      </c>
      <c r="AJ828" s="2">
        <f t="shared" si="96"/>
        <v>118.8199462890625</v>
      </c>
      <c r="AK828" s="6">
        <f t="shared" si="97"/>
        <v>0.23763989257812501</v>
      </c>
      <c r="AL828" s="12">
        <v>500</v>
      </c>
      <c r="AM828" s="12">
        <v>695.2573316154527</v>
      </c>
      <c r="AN828" s="12">
        <f t="shared" si="98"/>
        <v>195.2573316154527</v>
      </c>
      <c r="AO828" s="13">
        <f t="shared" si="99"/>
        <v>0.39051466323090539</v>
      </c>
      <c r="AP828" s="16">
        <v>500</v>
      </c>
      <c r="AQ828" s="16">
        <v>553.2412152220827</v>
      </c>
      <c r="AR828" s="16">
        <f t="shared" si="100"/>
        <v>53.241215222082701</v>
      </c>
      <c r="AS828" s="17">
        <f t="shared" si="101"/>
        <v>0.1064824304441654</v>
      </c>
      <c r="AT828" s="20">
        <v>500</v>
      </c>
      <c r="AU828" s="20">
        <v>616.9681396484375</v>
      </c>
      <c r="AV828" s="20">
        <f t="shared" si="102"/>
        <v>116.9681396484375</v>
      </c>
      <c r="AW828" s="21">
        <f t="shared" si="103"/>
        <v>0.23393627929687499</v>
      </c>
    </row>
    <row r="829" spans="1:49" x14ac:dyDescent="0.25">
      <c r="A829" t="s">
        <v>81</v>
      </c>
      <c r="B829" t="s">
        <v>82</v>
      </c>
      <c r="C829">
        <v>158172</v>
      </c>
      <c r="D829">
        <v>2010</v>
      </c>
      <c r="E829" t="s">
        <v>142</v>
      </c>
      <c r="F829" t="s">
        <v>633</v>
      </c>
      <c r="G829" t="s">
        <v>1058</v>
      </c>
      <c r="H829" t="s">
        <v>635</v>
      </c>
      <c r="I829">
        <v>6</v>
      </c>
      <c r="J829" t="s">
        <v>61</v>
      </c>
      <c r="K829">
        <v>4</v>
      </c>
      <c r="L829" t="s">
        <v>44</v>
      </c>
      <c r="M829">
        <v>3.8</v>
      </c>
      <c r="N829" t="s">
        <v>91</v>
      </c>
      <c r="O829" t="s">
        <v>46</v>
      </c>
      <c r="Q829" t="s">
        <v>62</v>
      </c>
      <c r="R829" t="s">
        <v>63</v>
      </c>
      <c r="S829" t="s">
        <v>93</v>
      </c>
      <c r="U829" t="s">
        <v>50</v>
      </c>
      <c r="X829" t="s">
        <v>141</v>
      </c>
      <c r="Y829" t="s">
        <v>78</v>
      </c>
      <c r="AA829">
        <v>0</v>
      </c>
      <c r="AB829" t="s">
        <v>79</v>
      </c>
      <c r="AC829" t="s">
        <v>87</v>
      </c>
      <c r="AD829">
        <v>36</v>
      </c>
      <c r="AE829">
        <v>9</v>
      </c>
      <c r="AF829">
        <v>3</v>
      </c>
      <c r="AG829">
        <v>2025</v>
      </c>
      <c r="AH829" s="2">
        <v>3600</v>
      </c>
      <c r="AI829" s="2">
        <v>3511.04833984375</v>
      </c>
      <c r="AJ829" s="2">
        <f t="shared" si="96"/>
        <v>88.95166015625</v>
      </c>
      <c r="AK829" s="6">
        <f t="shared" si="97"/>
        <v>2.4708794487847224E-2</v>
      </c>
      <c r="AL829" s="12">
        <v>3600</v>
      </c>
      <c r="AM829" s="12">
        <v>3869.18365102489</v>
      </c>
      <c r="AN829" s="12">
        <f t="shared" si="98"/>
        <v>269.18365102488997</v>
      </c>
      <c r="AO829" s="13">
        <f t="shared" si="99"/>
        <v>7.4773236395802772E-2</v>
      </c>
      <c r="AP829" s="16">
        <v>3600</v>
      </c>
      <c r="AQ829" s="16">
        <v>4328.5363394783917</v>
      </c>
      <c r="AR829" s="16">
        <f t="shared" si="100"/>
        <v>728.53633947839171</v>
      </c>
      <c r="AS829" s="17">
        <f t="shared" si="101"/>
        <v>0.20237120541066436</v>
      </c>
      <c r="AT829" s="20">
        <v>3600</v>
      </c>
      <c r="AU829" s="20">
        <v>3549.696533203125</v>
      </c>
      <c r="AV829" s="20">
        <f t="shared" si="102"/>
        <v>50.303466796875</v>
      </c>
      <c r="AW829" s="21">
        <f t="shared" si="103"/>
        <v>1.3973185221354167E-2</v>
      </c>
    </row>
    <row r="830" spans="1:49" x14ac:dyDescent="0.25">
      <c r="A830" t="s">
        <v>128</v>
      </c>
      <c r="B830" t="s">
        <v>129</v>
      </c>
      <c r="C830">
        <v>274272</v>
      </c>
      <c r="D830">
        <v>2014</v>
      </c>
      <c r="E830" t="s">
        <v>174</v>
      </c>
      <c r="F830" t="s">
        <v>254</v>
      </c>
      <c r="H830" t="s">
        <v>950</v>
      </c>
      <c r="I830">
        <v>4</v>
      </c>
      <c r="J830" t="s">
        <v>135</v>
      </c>
      <c r="K830">
        <v>4</v>
      </c>
      <c r="L830" t="s">
        <v>44</v>
      </c>
      <c r="M830">
        <v>2.4</v>
      </c>
      <c r="N830" t="s">
        <v>45</v>
      </c>
      <c r="O830" t="s">
        <v>46</v>
      </c>
      <c r="Q830" t="s">
        <v>62</v>
      </c>
      <c r="R830" t="s">
        <v>63</v>
      </c>
      <c r="S830" t="s">
        <v>101</v>
      </c>
      <c r="U830" t="s">
        <v>50</v>
      </c>
      <c r="W830" t="s">
        <v>479</v>
      </c>
      <c r="X830" t="s">
        <v>65</v>
      </c>
      <c r="Y830" t="s">
        <v>103</v>
      </c>
      <c r="AA830">
        <v>0</v>
      </c>
      <c r="AB830" t="s">
        <v>79</v>
      </c>
      <c r="AC830" t="s">
        <v>87</v>
      </c>
      <c r="AD830">
        <v>36</v>
      </c>
      <c r="AE830">
        <v>9</v>
      </c>
      <c r="AF830">
        <v>3</v>
      </c>
      <c r="AG830">
        <v>2025</v>
      </c>
      <c r="AH830" s="2">
        <v>700</v>
      </c>
      <c r="AI830" s="2">
        <v>1158.523803710938</v>
      </c>
      <c r="AJ830" s="2">
        <f t="shared" si="96"/>
        <v>458.52380371093795</v>
      </c>
      <c r="AK830" s="6">
        <f t="shared" si="97"/>
        <v>0.65503400530133993</v>
      </c>
      <c r="AL830" s="12">
        <v>700</v>
      </c>
      <c r="AM830" s="12">
        <v>1359.6579197585479</v>
      </c>
      <c r="AN830" s="12">
        <f t="shared" si="98"/>
        <v>659.65791975854791</v>
      </c>
      <c r="AO830" s="13">
        <f t="shared" si="99"/>
        <v>0.94236845679792558</v>
      </c>
      <c r="AP830" s="16">
        <v>700</v>
      </c>
      <c r="AQ830" s="16">
        <v>1175.104176822266</v>
      </c>
      <c r="AR830" s="16">
        <f t="shared" si="100"/>
        <v>475.10417682226603</v>
      </c>
      <c r="AS830" s="17">
        <f t="shared" si="101"/>
        <v>0.67872025260323721</v>
      </c>
      <c r="AT830" s="20">
        <v>700</v>
      </c>
      <c r="AU830" s="20">
        <v>1170.40478515625</v>
      </c>
      <c r="AV830" s="20">
        <f t="shared" si="102"/>
        <v>470.40478515625</v>
      </c>
      <c r="AW830" s="21">
        <f t="shared" si="103"/>
        <v>0.67200683593749999</v>
      </c>
    </row>
    <row r="831" spans="1:49" x14ac:dyDescent="0.25">
      <c r="A831" t="s">
        <v>38</v>
      </c>
      <c r="B831" t="s">
        <v>96</v>
      </c>
      <c r="C831">
        <v>99736</v>
      </c>
      <c r="D831">
        <v>2015</v>
      </c>
      <c r="E831" t="s">
        <v>97</v>
      </c>
      <c r="F831" t="s">
        <v>444</v>
      </c>
      <c r="G831" t="s">
        <v>500</v>
      </c>
      <c r="I831">
        <v>8</v>
      </c>
      <c r="J831" t="s">
        <v>122</v>
      </c>
      <c r="K831">
        <v>2</v>
      </c>
      <c r="L831" t="s">
        <v>44</v>
      </c>
      <c r="M831">
        <v>6.2</v>
      </c>
      <c r="N831" t="s">
        <v>73</v>
      </c>
      <c r="O831" t="s">
        <v>46</v>
      </c>
      <c r="Q831" t="s">
        <v>47</v>
      </c>
      <c r="R831" t="s">
        <v>197</v>
      </c>
      <c r="U831" t="s">
        <v>50</v>
      </c>
      <c r="W831" t="s">
        <v>1059</v>
      </c>
      <c r="X831" t="s">
        <v>125</v>
      </c>
      <c r="Y831" t="s">
        <v>103</v>
      </c>
      <c r="AA831">
        <v>0</v>
      </c>
      <c r="AB831" t="s">
        <v>79</v>
      </c>
      <c r="AC831" t="s">
        <v>197</v>
      </c>
      <c r="AD831">
        <v>36</v>
      </c>
      <c r="AE831">
        <v>9</v>
      </c>
      <c r="AF831">
        <v>3</v>
      </c>
      <c r="AG831">
        <v>2025</v>
      </c>
      <c r="AH831" s="2">
        <v>14200</v>
      </c>
      <c r="AI831" s="2">
        <v>14566.91015625</v>
      </c>
      <c r="AJ831" s="2">
        <f t="shared" si="96"/>
        <v>366.91015625</v>
      </c>
      <c r="AK831" s="6">
        <f t="shared" si="97"/>
        <v>2.5838743397887325E-2</v>
      </c>
      <c r="AL831" s="12">
        <v>14200</v>
      </c>
      <c r="AM831" s="12">
        <v>16248.449362238351</v>
      </c>
      <c r="AN831" s="12">
        <f t="shared" si="98"/>
        <v>2048.4493622383507</v>
      </c>
      <c r="AO831" s="13">
        <f t="shared" si="99"/>
        <v>0.14425699734072892</v>
      </c>
      <c r="AP831" s="16">
        <v>14200</v>
      </c>
      <c r="AQ831" s="16">
        <v>14503.440826542759</v>
      </c>
      <c r="AR831" s="16">
        <f t="shared" si="100"/>
        <v>303.44082654275917</v>
      </c>
      <c r="AS831" s="17">
        <f t="shared" si="101"/>
        <v>2.1369072291743604E-2</v>
      </c>
      <c r="AT831" s="20">
        <v>14200</v>
      </c>
      <c r="AU831" s="20">
        <v>14898.7451171875</v>
      </c>
      <c r="AV831" s="20">
        <f t="shared" si="102"/>
        <v>698.7451171875</v>
      </c>
      <c r="AW831" s="21">
        <f t="shared" si="103"/>
        <v>4.9207402618838027E-2</v>
      </c>
    </row>
    <row r="832" spans="1:49" x14ac:dyDescent="0.25">
      <c r="A832" t="s">
        <v>38</v>
      </c>
      <c r="B832" t="s">
        <v>110</v>
      </c>
      <c r="C832">
        <v>155862</v>
      </c>
      <c r="D832">
        <v>2014</v>
      </c>
      <c r="E832" t="s">
        <v>97</v>
      </c>
      <c r="F832" t="s">
        <v>419</v>
      </c>
      <c r="G832" t="s">
        <v>155</v>
      </c>
      <c r="H832" t="s">
        <v>177</v>
      </c>
      <c r="I832">
        <v>8</v>
      </c>
      <c r="J832" t="s">
        <v>61</v>
      </c>
      <c r="K832">
        <v>4</v>
      </c>
      <c r="L832" t="s">
        <v>44</v>
      </c>
      <c r="M832">
        <v>5.3</v>
      </c>
      <c r="N832" t="s">
        <v>73</v>
      </c>
      <c r="Q832" t="s">
        <v>62</v>
      </c>
      <c r="R832" t="s">
        <v>63</v>
      </c>
      <c r="S832" t="s">
        <v>179</v>
      </c>
      <c r="U832" t="s">
        <v>50</v>
      </c>
      <c r="V832" t="s">
        <v>76</v>
      </c>
      <c r="W832" t="s">
        <v>181</v>
      </c>
      <c r="X832" t="s">
        <v>108</v>
      </c>
      <c r="Y832" t="s">
        <v>78</v>
      </c>
      <c r="AA832">
        <v>0</v>
      </c>
      <c r="AB832" t="s">
        <v>79</v>
      </c>
      <c r="AC832" t="s">
        <v>87</v>
      </c>
      <c r="AD832">
        <v>36</v>
      </c>
      <c r="AE832">
        <v>9</v>
      </c>
      <c r="AF832">
        <v>3</v>
      </c>
      <c r="AG832">
        <v>2025</v>
      </c>
      <c r="AH832" s="2">
        <v>5000</v>
      </c>
      <c r="AI832" s="2">
        <v>5760.83837890625</v>
      </c>
      <c r="AJ832" s="2">
        <f t="shared" si="96"/>
        <v>760.83837890625</v>
      </c>
      <c r="AK832" s="6">
        <f t="shared" si="97"/>
        <v>0.15216767578125001</v>
      </c>
      <c r="AL832" s="12">
        <v>5000</v>
      </c>
      <c r="AM832" s="12">
        <v>7455.2691801336696</v>
      </c>
      <c r="AN832" s="12">
        <f t="shared" si="98"/>
        <v>2455.2691801336696</v>
      </c>
      <c r="AO832" s="13">
        <f t="shared" si="99"/>
        <v>0.49105383602673391</v>
      </c>
      <c r="AP832" s="16">
        <v>5000</v>
      </c>
      <c r="AQ832" s="16">
        <v>5372.7957064869943</v>
      </c>
      <c r="AR832" s="16">
        <f t="shared" si="100"/>
        <v>372.79570648699428</v>
      </c>
      <c r="AS832" s="17">
        <f t="shared" si="101"/>
        <v>7.4559141297398851E-2</v>
      </c>
      <c r="AT832" s="20">
        <v>5000</v>
      </c>
      <c r="AU832" s="20">
        <v>6070.03076171875</v>
      </c>
      <c r="AV832" s="20">
        <f t="shared" si="102"/>
        <v>1070.03076171875</v>
      </c>
      <c r="AW832" s="21">
        <f t="shared" si="103"/>
        <v>0.21400615234375001</v>
      </c>
    </row>
    <row r="833" spans="1:49" x14ac:dyDescent="0.25">
      <c r="A833" t="s">
        <v>38</v>
      </c>
      <c r="B833" t="s">
        <v>39</v>
      </c>
      <c r="C833">
        <v>37925</v>
      </c>
      <c r="D833">
        <v>2024</v>
      </c>
      <c r="E833" t="s">
        <v>146</v>
      </c>
      <c r="F833" t="s">
        <v>334</v>
      </c>
      <c r="G833" t="s">
        <v>1060</v>
      </c>
      <c r="I833">
        <v>4</v>
      </c>
      <c r="J833" t="s">
        <v>122</v>
      </c>
      <c r="K833">
        <v>4</v>
      </c>
      <c r="L833" t="s">
        <v>44</v>
      </c>
      <c r="M833">
        <v>2.5</v>
      </c>
      <c r="N833" t="s">
        <v>45</v>
      </c>
      <c r="O833" t="s">
        <v>46</v>
      </c>
      <c r="P833">
        <v>3</v>
      </c>
      <c r="Q833" t="s">
        <v>47</v>
      </c>
      <c r="R833" t="s">
        <v>123</v>
      </c>
      <c r="S833" t="s">
        <v>49</v>
      </c>
      <c r="U833" t="s">
        <v>50</v>
      </c>
      <c r="X833" t="s">
        <v>65</v>
      </c>
      <c r="Y833" t="s">
        <v>78</v>
      </c>
      <c r="AA833">
        <v>0</v>
      </c>
      <c r="AB833" t="s">
        <v>79</v>
      </c>
      <c r="AC833" t="s">
        <v>127</v>
      </c>
      <c r="AD833">
        <v>36</v>
      </c>
      <c r="AE833">
        <v>9</v>
      </c>
      <c r="AF833">
        <v>3</v>
      </c>
      <c r="AG833">
        <v>2025</v>
      </c>
      <c r="AH833" s="2">
        <v>15700</v>
      </c>
      <c r="AI833" s="2">
        <v>17080.6640625</v>
      </c>
      <c r="AJ833" s="2">
        <f t="shared" si="96"/>
        <v>1380.6640625</v>
      </c>
      <c r="AK833" s="6">
        <f t="shared" si="97"/>
        <v>8.794038614649681E-2</v>
      </c>
      <c r="AL833" s="12">
        <v>15700</v>
      </c>
      <c r="AM833" s="12">
        <v>18402.400600842131</v>
      </c>
      <c r="AN833" s="12">
        <f t="shared" si="98"/>
        <v>2702.4006008421311</v>
      </c>
      <c r="AO833" s="13">
        <f t="shared" si="99"/>
        <v>0.17212742680523127</v>
      </c>
      <c r="AP833" s="16">
        <v>15700</v>
      </c>
      <c r="AQ833" s="16">
        <v>16438.72357745489</v>
      </c>
      <c r="AR833" s="16">
        <f t="shared" si="100"/>
        <v>738.72357745488989</v>
      </c>
      <c r="AS833" s="17">
        <f t="shared" si="101"/>
        <v>4.7052457162731841E-2</v>
      </c>
      <c r="AT833" s="20">
        <v>15700</v>
      </c>
      <c r="AU833" s="20">
        <v>17222.125</v>
      </c>
      <c r="AV833" s="20">
        <f t="shared" si="102"/>
        <v>1522.125</v>
      </c>
      <c r="AW833" s="21">
        <f t="shared" si="103"/>
        <v>9.6950636942675153E-2</v>
      </c>
    </row>
    <row r="834" spans="1:49" x14ac:dyDescent="0.25">
      <c r="A834" t="s">
        <v>38</v>
      </c>
      <c r="B834" t="s">
        <v>68</v>
      </c>
      <c r="C834">
        <v>110001</v>
      </c>
      <c r="D834">
        <v>2020</v>
      </c>
      <c r="E834" t="s">
        <v>388</v>
      </c>
      <c r="F834" t="s">
        <v>389</v>
      </c>
      <c r="H834" t="s">
        <v>1061</v>
      </c>
      <c r="I834">
        <v>4</v>
      </c>
      <c r="J834" t="s">
        <v>122</v>
      </c>
      <c r="K834">
        <v>4</v>
      </c>
      <c r="L834" t="s">
        <v>44</v>
      </c>
      <c r="M834">
        <v>2.4</v>
      </c>
      <c r="N834" t="s">
        <v>91</v>
      </c>
      <c r="O834" t="s">
        <v>46</v>
      </c>
      <c r="P834">
        <v>4</v>
      </c>
      <c r="Q834" t="s">
        <v>62</v>
      </c>
      <c r="R834" t="s">
        <v>63</v>
      </c>
      <c r="S834" t="s">
        <v>93</v>
      </c>
      <c r="T834">
        <v>166</v>
      </c>
      <c r="U834" t="s">
        <v>50</v>
      </c>
      <c r="V834" t="s">
        <v>51</v>
      </c>
      <c r="W834" t="s">
        <v>438</v>
      </c>
      <c r="X834" t="s">
        <v>65</v>
      </c>
      <c r="Y834" t="s">
        <v>54</v>
      </c>
      <c r="AA834">
        <v>0</v>
      </c>
      <c r="AB834" t="s">
        <v>79</v>
      </c>
      <c r="AC834" t="s">
        <v>109</v>
      </c>
      <c r="AD834">
        <v>36</v>
      </c>
      <c r="AE834">
        <v>9</v>
      </c>
      <c r="AF834">
        <v>3</v>
      </c>
      <c r="AG834">
        <v>2025</v>
      </c>
      <c r="AH834" s="2">
        <v>8000</v>
      </c>
      <c r="AI834" s="2">
        <v>9522.2314453125</v>
      </c>
      <c r="AJ834" s="2">
        <f t="shared" si="96"/>
        <v>1522.2314453125</v>
      </c>
      <c r="AK834" s="6">
        <f t="shared" si="97"/>
        <v>0.19027893066406251</v>
      </c>
      <c r="AL834" s="12">
        <v>8000</v>
      </c>
      <c r="AM834" s="12">
        <v>8185.3728810498742</v>
      </c>
      <c r="AN834" s="12">
        <f t="shared" si="98"/>
        <v>185.3728810498742</v>
      </c>
      <c r="AO834" s="13">
        <f t="shared" si="99"/>
        <v>2.3171610131234276E-2</v>
      </c>
      <c r="AP834" s="16">
        <v>8000</v>
      </c>
      <c r="AQ834" s="16">
        <v>9748.1209802578578</v>
      </c>
      <c r="AR834" s="16">
        <f t="shared" si="100"/>
        <v>1748.1209802578578</v>
      </c>
      <c r="AS834" s="17">
        <f t="shared" si="101"/>
        <v>0.21851512253223224</v>
      </c>
      <c r="AT834" s="20">
        <v>8000</v>
      </c>
      <c r="AU834" s="20">
        <v>9349.3447265625</v>
      </c>
      <c r="AV834" s="20">
        <f t="shared" si="102"/>
        <v>1349.3447265625</v>
      </c>
      <c r="AW834" s="21">
        <f t="shared" si="103"/>
        <v>0.16866809082031251</v>
      </c>
    </row>
    <row r="835" spans="1:49" x14ac:dyDescent="0.25">
      <c r="A835" t="s">
        <v>128</v>
      </c>
      <c r="B835" t="s">
        <v>129</v>
      </c>
      <c r="C835">
        <v>191132</v>
      </c>
      <c r="D835">
        <v>2005</v>
      </c>
      <c r="E835" t="s">
        <v>263</v>
      </c>
      <c r="F835" t="s">
        <v>611</v>
      </c>
      <c r="I835">
        <v>4</v>
      </c>
      <c r="J835" t="s">
        <v>43</v>
      </c>
      <c r="K835">
        <v>4</v>
      </c>
      <c r="L835" t="s">
        <v>44</v>
      </c>
      <c r="M835">
        <v>2.2999999999999998</v>
      </c>
      <c r="N835" t="s">
        <v>45</v>
      </c>
      <c r="O835" t="s">
        <v>46</v>
      </c>
      <c r="Q835" t="s">
        <v>47</v>
      </c>
      <c r="R835" t="s">
        <v>48</v>
      </c>
      <c r="T835">
        <v>160</v>
      </c>
      <c r="U835" t="s">
        <v>50</v>
      </c>
      <c r="W835" t="s">
        <v>1062</v>
      </c>
      <c r="X835" t="s">
        <v>125</v>
      </c>
      <c r="Y835" t="s">
        <v>54</v>
      </c>
      <c r="AA835">
        <v>0</v>
      </c>
      <c r="AB835" t="s">
        <v>79</v>
      </c>
      <c r="AC835" t="s">
        <v>359</v>
      </c>
      <c r="AD835">
        <v>36</v>
      </c>
      <c r="AE835">
        <v>9</v>
      </c>
      <c r="AF835">
        <v>3</v>
      </c>
      <c r="AG835">
        <v>2025</v>
      </c>
      <c r="AH835" s="2">
        <v>1300</v>
      </c>
      <c r="AI835" s="2">
        <v>773.740966796875</v>
      </c>
      <c r="AJ835" s="2">
        <f t="shared" ref="AJ835:AJ898" si="104">ABS(AH835-AI835)</f>
        <v>526.259033203125</v>
      </c>
      <c r="AK835" s="6">
        <f t="shared" ref="AK835:AK898" si="105">ABS($AH835-AI835)/$AH835</f>
        <v>0.40481464092548075</v>
      </c>
      <c r="AL835" s="12">
        <v>1300</v>
      </c>
      <c r="AM835" s="12">
        <v>762.44322327300563</v>
      </c>
      <c r="AN835" s="12">
        <f t="shared" ref="AN835:AN898" si="106">ABS(AL835-AM835)</f>
        <v>537.55677672699437</v>
      </c>
      <c r="AO835" s="13">
        <f t="shared" ref="AO835:AO898" si="107">ABS($AH835-AM835)/$AH835</f>
        <v>0.41350521286691877</v>
      </c>
      <c r="AP835" s="16">
        <v>1300</v>
      </c>
      <c r="AQ835" s="16">
        <v>708.84318187937242</v>
      </c>
      <c r="AR835" s="16">
        <f t="shared" ref="AR835:AR898" si="108">ABS(AP835-AQ835)</f>
        <v>591.15681812062758</v>
      </c>
      <c r="AS835" s="17">
        <f t="shared" ref="AS835:AS898" si="109">ABS($AH835-AQ835)/$AH835</f>
        <v>0.45473601393894431</v>
      </c>
      <c r="AT835" s="20">
        <v>1300</v>
      </c>
      <c r="AU835" s="20">
        <v>731.3951416015625</v>
      </c>
      <c r="AV835" s="20">
        <f t="shared" ref="AV835:AV898" si="110">ABS(AT835-AU835)</f>
        <v>568.6048583984375</v>
      </c>
      <c r="AW835" s="21">
        <f t="shared" ref="AW835:AW898" si="111">ABS($AH835-AU835)/$AH835</f>
        <v>0.43738835261418268</v>
      </c>
    </row>
    <row r="836" spans="1:49" x14ac:dyDescent="0.25">
      <c r="A836" t="s">
        <v>128</v>
      </c>
      <c r="B836" t="s">
        <v>129</v>
      </c>
      <c r="C836">
        <v>108866</v>
      </c>
      <c r="D836">
        <v>2016</v>
      </c>
      <c r="E836" t="s">
        <v>162</v>
      </c>
      <c r="F836" t="s">
        <v>674</v>
      </c>
      <c r="G836" t="s">
        <v>224</v>
      </c>
      <c r="I836">
        <v>4</v>
      </c>
      <c r="J836" t="s">
        <v>72</v>
      </c>
      <c r="K836">
        <v>4</v>
      </c>
      <c r="L836" t="s">
        <v>44</v>
      </c>
      <c r="M836">
        <v>2</v>
      </c>
      <c r="N836" t="s">
        <v>45</v>
      </c>
      <c r="O836" t="s">
        <v>46</v>
      </c>
      <c r="P836">
        <v>3</v>
      </c>
      <c r="Q836" t="s">
        <v>62</v>
      </c>
      <c r="R836" t="s">
        <v>63</v>
      </c>
      <c r="U836" t="s">
        <v>50</v>
      </c>
      <c r="X836" t="s">
        <v>65</v>
      </c>
      <c r="Y836" t="s">
        <v>66</v>
      </c>
      <c r="AA836">
        <v>0</v>
      </c>
      <c r="AB836" t="s">
        <v>79</v>
      </c>
      <c r="AC836" t="s">
        <v>87</v>
      </c>
      <c r="AD836">
        <v>36</v>
      </c>
      <c r="AE836">
        <v>9</v>
      </c>
      <c r="AF836">
        <v>3</v>
      </c>
      <c r="AG836">
        <v>2025</v>
      </c>
      <c r="AH836" s="2">
        <v>4200</v>
      </c>
      <c r="AI836" s="2">
        <v>4512.83642578125</v>
      </c>
      <c r="AJ836" s="2">
        <f t="shared" si="104"/>
        <v>312.83642578125</v>
      </c>
      <c r="AK836" s="6">
        <f t="shared" si="105"/>
        <v>7.4484863281249994E-2</v>
      </c>
      <c r="AL836" s="12">
        <v>4200</v>
      </c>
      <c r="AM836" s="12">
        <v>4206.885755302199</v>
      </c>
      <c r="AN836" s="12">
        <f t="shared" si="106"/>
        <v>6.8857553021989588</v>
      </c>
      <c r="AO836" s="13">
        <f t="shared" si="107"/>
        <v>1.6394655481426093E-3</v>
      </c>
      <c r="AP836" s="16">
        <v>4200</v>
      </c>
      <c r="AQ836" s="16">
        <v>3749.8086552717532</v>
      </c>
      <c r="AR836" s="16">
        <f t="shared" si="108"/>
        <v>450.1913447282468</v>
      </c>
      <c r="AS836" s="17">
        <f t="shared" si="109"/>
        <v>0.10718841541148734</v>
      </c>
      <c r="AT836" s="20">
        <v>4200</v>
      </c>
      <c r="AU836" s="20">
        <v>4558.845703125</v>
      </c>
      <c r="AV836" s="20">
        <f t="shared" si="110"/>
        <v>358.845703125</v>
      </c>
      <c r="AW836" s="21">
        <f t="shared" si="111"/>
        <v>8.5439453124999995E-2</v>
      </c>
    </row>
    <row r="837" spans="1:49" x14ac:dyDescent="0.25">
      <c r="A837" t="s">
        <v>128</v>
      </c>
      <c r="B837" t="s">
        <v>129</v>
      </c>
      <c r="C837">
        <v>86210</v>
      </c>
      <c r="D837">
        <v>2013</v>
      </c>
      <c r="E837" t="s">
        <v>341</v>
      </c>
      <c r="F837" t="s">
        <v>342</v>
      </c>
      <c r="G837" t="s">
        <v>1063</v>
      </c>
      <c r="I837">
        <v>4</v>
      </c>
      <c r="J837" t="s">
        <v>72</v>
      </c>
      <c r="K837">
        <v>4</v>
      </c>
      <c r="L837" t="s">
        <v>44</v>
      </c>
      <c r="M837">
        <v>2.4</v>
      </c>
      <c r="N837" t="s">
        <v>45</v>
      </c>
      <c r="Q837" t="s">
        <v>47</v>
      </c>
      <c r="R837" t="s">
        <v>123</v>
      </c>
      <c r="U837" t="s">
        <v>50</v>
      </c>
      <c r="W837" t="s">
        <v>343</v>
      </c>
      <c r="X837" t="s">
        <v>125</v>
      </c>
      <c r="Y837" t="s">
        <v>78</v>
      </c>
      <c r="AA837">
        <v>0</v>
      </c>
      <c r="AB837" t="s">
        <v>79</v>
      </c>
      <c r="AC837" t="s">
        <v>127</v>
      </c>
      <c r="AD837">
        <v>36</v>
      </c>
      <c r="AE837">
        <v>9</v>
      </c>
      <c r="AF837">
        <v>3</v>
      </c>
      <c r="AG837">
        <v>2025</v>
      </c>
      <c r="AH837" s="2">
        <v>4600</v>
      </c>
      <c r="AI837" s="2">
        <v>4135.26318359375</v>
      </c>
      <c r="AJ837" s="2">
        <f t="shared" si="104"/>
        <v>464.73681640625</v>
      </c>
      <c r="AK837" s="6">
        <f t="shared" si="105"/>
        <v>0.10102974269701087</v>
      </c>
      <c r="AL837" s="12">
        <v>4600</v>
      </c>
      <c r="AM837" s="12">
        <v>3794.849301686384</v>
      </c>
      <c r="AN837" s="12">
        <f t="shared" si="106"/>
        <v>805.15069831361598</v>
      </c>
      <c r="AO837" s="13">
        <f t="shared" si="107"/>
        <v>0.17503276050295999</v>
      </c>
      <c r="AP837" s="16">
        <v>4600</v>
      </c>
      <c r="AQ837" s="16">
        <v>3275.2509821287099</v>
      </c>
      <c r="AR837" s="16">
        <f t="shared" si="108"/>
        <v>1324.7490178712901</v>
      </c>
      <c r="AS837" s="17">
        <f t="shared" si="109"/>
        <v>0.28798891692854134</v>
      </c>
      <c r="AT837" s="20">
        <v>4600</v>
      </c>
      <c r="AU837" s="20">
        <v>4139.02392578125</v>
      </c>
      <c r="AV837" s="20">
        <f t="shared" si="110"/>
        <v>460.97607421875</v>
      </c>
      <c r="AW837" s="21">
        <f t="shared" si="111"/>
        <v>0.10021219004755434</v>
      </c>
    </row>
    <row r="838" spans="1:49" x14ac:dyDescent="0.25">
      <c r="A838" t="s">
        <v>114</v>
      </c>
      <c r="B838" t="s">
        <v>115</v>
      </c>
      <c r="C838">
        <v>140967</v>
      </c>
      <c r="D838">
        <v>2021</v>
      </c>
      <c r="E838" t="s">
        <v>146</v>
      </c>
      <c r="F838" t="s">
        <v>874</v>
      </c>
      <c r="G838" t="s">
        <v>280</v>
      </c>
      <c r="I838">
        <v>4</v>
      </c>
      <c r="J838" t="s">
        <v>61</v>
      </c>
      <c r="K838">
        <v>4</v>
      </c>
      <c r="L838" t="s">
        <v>44</v>
      </c>
      <c r="M838">
        <v>2</v>
      </c>
      <c r="N838" t="s">
        <v>45</v>
      </c>
      <c r="O838" t="s">
        <v>789</v>
      </c>
      <c r="P838">
        <v>1</v>
      </c>
      <c r="Q838" t="s">
        <v>47</v>
      </c>
      <c r="R838" t="s">
        <v>48</v>
      </c>
      <c r="S838" t="s">
        <v>49</v>
      </c>
      <c r="U838" t="s">
        <v>50</v>
      </c>
      <c r="X838" t="s">
        <v>125</v>
      </c>
      <c r="Y838" t="s">
        <v>54</v>
      </c>
      <c r="AA838">
        <v>0</v>
      </c>
      <c r="AB838" t="s">
        <v>79</v>
      </c>
      <c r="AC838" t="s">
        <v>359</v>
      </c>
      <c r="AD838">
        <v>36</v>
      </c>
      <c r="AE838">
        <v>9</v>
      </c>
      <c r="AF838">
        <v>3</v>
      </c>
      <c r="AG838">
        <v>2025</v>
      </c>
      <c r="AH838" s="2">
        <v>3700</v>
      </c>
      <c r="AI838" s="2">
        <v>1711.04296875</v>
      </c>
      <c r="AJ838" s="2">
        <f t="shared" si="104"/>
        <v>1988.95703125</v>
      </c>
      <c r="AK838" s="6">
        <f t="shared" si="105"/>
        <v>0.53755595439189185</v>
      </c>
      <c r="AL838" s="12">
        <v>3700</v>
      </c>
      <c r="AM838" s="12">
        <v>2335.8007995702342</v>
      </c>
      <c r="AN838" s="12">
        <f t="shared" si="106"/>
        <v>1364.1992004297658</v>
      </c>
      <c r="AO838" s="13">
        <f t="shared" si="107"/>
        <v>0.36870248660263943</v>
      </c>
      <c r="AP838" s="16">
        <v>3700</v>
      </c>
      <c r="AQ838" s="16">
        <v>2589.5020586539849</v>
      </c>
      <c r="AR838" s="16">
        <f t="shared" si="108"/>
        <v>1110.4979413460151</v>
      </c>
      <c r="AS838" s="17">
        <f t="shared" si="109"/>
        <v>0.30013457874216626</v>
      </c>
      <c r="AT838" s="20">
        <v>3700</v>
      </c>
      <c r="AU838" s="20">
        <v>1723.528930664062</v>
      </c>
      <c r="AV838" s="20">
        <f t="shared" si="110"/>
        <v>1976.471069335938</v>
      </c>
      <c r="AW838" s="21">
        <f t="shared" si="111"/>
        <v>0.53418137009079403</v>
      </c>
    </row>
    <row r="839" spans="1:49" x14ac:dyDescent="0.25">
      <c r="A839" t="s">
        <v>38</v>
      </c>
      <c r="B839" t="s">
        <v>110</v>
      </c>
      <c r="C839">
        <v>112963</v>
      </c>
      <c r="D839">
        <v>2017</v>
      </c>
      <c r="E839" t="s">
        <v>132</v>
      </c>
      <c r="F839" t="s">
        <v>1064</v>
      </c>
      <c r="H839" t="s">
        <v>1065</v>
      </c>
      <c r="I839">
        <v>8</v>
      </c>
      <c r="J839" t="s">
        <v>61</v>
      </c>
      <c r="K839">
        <v>4</v>
      </c>
      <c r="L839" t="s">
        <v>44</v>
      </c>
      <c r="M839">
        <v>4.7</v>
      </c>
      <c r="N839" t="s">
        <v>73</v>
      </c>
      <c r="Q839" t="s">
        <v>47</v>
      </c>
      <c r="R839" t="s">
        <v>123</v>
      </c>
      <c r="U839" t="s">
        <v>50</v>
      </c>
      <c r="V839" t="s">
        <v>76</v>
      </c>
      <c r="X839" t="s">
        <v>141</v>
      </c>
      <c r="Y839" t="s">
        <v>137</v>
      </c>
      <c r="AA839">
        <v>0</v>
      </c>
      <c r="AB839" t="s">
        <v>79</v>
      </c>
      <c r="AC839" t="s">
        <v>127</v>
      </c>
      <c r="AD839">
        <v>36</v>
      </c>
      <c r="AE839">
        <v>9</v>
      </c>
      <c r="AF839">
        <v>3</v>
      </c>
      <c r="AG839">
        <v>2025</v>
      </c>
      <c r="AH839" s="2">
        <v>16800</v>
      </c>
      <c r="AI839" s="2">
        <v>12918.7529296875</v>
      </c>
      <c r="AJ839" s="2">
        <f t="shared" si="104"/>
        <v>3881.2470703125</v>
      </c>
      <c r="AK839" s="6">
        <f t="shared" si="105"/>
        <v>0.23102661132812499</v>
      </c>
      <c r="AL839" s="12">
        <v>16800</v>
      </c>
      <c r="AM839" s="12">
        <v>13225.12145128442</v>
      </c>
      <c r="AN839" s="12">
        <f t="shared" si="106"/>
        <v>3574.8785487155801</v>
      </c>
      <c r="AO839" s="13">
        <f t="shared" si="107"/>
        <v>0.21279038980449883</v>
      </c>
      <c r="AP839" s="16">
        <v>16800</v>
      </c>
      <c r="AQ839" s="16">
        <v>9798.3671096784947</v>
      </c>
      <c r="AR839" s="16">
        <f t="shared" si="108"/>
        <v>7001.6328903215053</v>
      </c>
      <c r="AS839" s="17">
        <f t="shared" si="109"/>
        <v>0.41676386251913722</v>
      </c>
      <c r="AT839" s="20">
        <v>16800</v>
      </c>
      <c r="AU839" s="20">
        <v>13046.7724609375</v>
      </c>
      <c r="AV839" s="20">
        <f t="shared" si="110"/>
        <v>3753.2275390625</v>
      </c>
      <c r="AW839" s="21">
        <f t="shared" si="111"/>
        <v>0.22340640113467261</v>
      </c>
    </row>
    <row r="840" spans="1:49" x14ac:dyDescent="0.25">
      <c r="A840" t="s">
        <v>128</v>
      </c>
      <c r="B840" t="s">
        <v>210</v>
      </c>
      <c r="C840">
        <v>118548</v>
      </c>
      <c r="D840">
        <v>2015</v>
      </c>
      <c r="E840" t="s">
        <v>119</v>
      </c>
      <c r="F840" t="s">
        <v>120</v>
      </c>
      <c r="G840" t="s">
        <v>121</v>
      </c>
      <c r="I840">
        <v>4</v>
      </c>
      <c r="J840" t="s">
        <v>72</v>
      </c>
      <c r="K840">
        <v>4</v>
      </c>
      <c r="L840" t="s">
        <v>44</v>
      </c>
      <c r="M840">
        <v>1.8</v>
      </c>
      <c r="N840" t="s">
        <v>45</v>
      </c>
      <c r="O840" t="s">
        <v>46</v>
      </c>
      <c r="Q840" t="s">
        <v>47</v>
      </c>
      <c r="R840" t="s">
        <v>123</v>
      </c>
      <c r="T840">
        <v>170</v>
      </c>
      <c r="U840" t="s">
        <v>50</v>
      </c>
      <c r="W840" t="s">
        <v>124</v>
      </c>
      <c r="X840" t="s">
        <v>125</v>
      </c>
      <c r="Y840" t="s">
        <v>126</v>
      </c>
      <c r="AA840">
        <v>0</v>
      </c>
      <c r="AB840" t="s">
        <v>79</v>
      </c>
      <c r="AC840" t="s">
        <v>127</v>
      </c>
      <c r="AD840">
        <v>36</v>
      </c>
      <c r="AE840">
        <v>9</v>
      </c>
      <c r="AF840">
        <v>3</v>
      </c>
      <c r="AG840">
        <v>2025</v>
      </c>
      <c r="AH840" s="2">
        <v>1500</v>
      </c>
      <c r="AI840" s="2">
        <v>2387.08349609375</v>
      </c>
      <c r="AJ840" s="2">
        <f t="shared" si="104"/>
        <v>887.08349609375</v>
      </c>
      <c r="AK840" s="6">
        <f t="shared" si="105"/>
        <v>0.59138899739583328</v>
      </c>
      <c r="AL840" s="12">
        <v>1500</v>
      </c>
      <c r="AM840" s="12">
        <v>2925.8286395542541</v>
      </c>
      <c r="AN840" s="12">
        <f t="shared" si="106"/>
        <v>1425.8286395542541</v>
      </c>
      <c r="AO840" s="13">
        <f t="shared" si="107"/>
        <v>0.95055242636950277</v>
      </c>
      <c r="AP840" s="16">
        <v>1500</v>
      </c>
      <c r="AQ840" s="16">
        <v>2719.8316490231641</v>
      </c>
      <c r="AR840" s="16">
        <f t="shared" si="108"/>
        <v>1219.8316490231641</v>
      </c>
      <c r="AS840" s="17">
        <f t="shared" si="109"/>
        <v>0.81322109934877607</v>
      </c>
      <c r="AT840" s="20">
        <v>1500</v>
      </c>
      <c r="AU840" s="20">
        <v>2418.4384765625</v>
      </c>
      <c r="AV840" s="20">
        <f t="shared" si="110"/>
        <v>918.4384765625</v>
      </c>
      <c r="AW840" s="21">
        <f t="shared" si="111"/>
        <v>0.61229231770833337</v>
      </c>
    </row>
    <row r="841" spans="1:49" x14ac:dyDescent="0.25">
      <c r="A841" t="s">
        <v>114</v>
      </c>
      <c r="B841" t="s">
        <v>115</v>
      </c>
      <c r="C841">
        <v>144387</v>
      </c>
      <c r="D841">
        <v>2013</v>
      </c>
      <c r="E841" t="s">
        <v>69</v>
      </c>
      <c r="F841" t="s">
        <v>607</v>
      </c>
      <c r="G841" t="s">
        <v>285</v>
      </c>
      <c r="I841">
        <v>6</v>
      </c>
      <c r="J841" t="s">
        <v>122</v>
      </c>
      <c r="K841">
        <v>4</v>
      </c>
      <c r="L841" t="s">
        <v>44</v>
      </c>
      <c r="M841">
        <v>3.5</v>
      </c>
      <c r="N841" t="s">
        <v>45</v>
      </c>
      <c r="O841" t="s">
        <v>46</v>
      </c>
      <c r="Q841" t="s">
        <v>47</v>
      </c>
      <c r="R841" t="s">
        <v>123</v>
      </c>
      <c r="S841" t="s">
        <v>101</v>
      </c>
      <c r="T841">
        <v>288</v>
      </c>
      <c r="U841" t="s">
        <v>50</v>
      </c>
      <c r="V841" t="s">
        <v>76</v>
      </c>
      <c r="X841" t="s">
        <v>125</v>
      </c>
      <c r="Y841" t="s">
        <v>78</v>
      </c>
      <c r="AA841">
        <v>0</v>
      </c>
      <c r="AB841" t="s">
        <v>79</v>
      </c>
      <c r="AC841" t="s">
        <v>127</v>
      </c>
      <c r="AD841">
        <v>36</v>
      </c>
      <c r="AE841">
        <v>9</v>
      </c>
      <c r="AF841">
        <v>3</v>
      </c>
      <c r="AG841">
        <v>2025</v>
      </c>
      <c r="AH841" s="2">
        <v>4500</v>
      </c>
      <c r="AI841" s="2">
        <v>2911.126220703125</v>
      </c>
      <c r="AJ841" s="2">
        <f t="shared" si="104"/>
        <v>1588.873779296875</v>
      </c>
      <c r="AK841" s="6">
        <f t="shared" si="105"/>
        <v>0.35308306206597223</v>
      </c>
      <c r="AL841" s="12">
        <v>4500</v>
      </c>
      <c r="AM841" s="12">
        <v>2746.0716276320509</v>
      </c>
      <c r="AN841" s="12">
        <f t="shared" si="106"/>
        <v>1753.9283723679491</v>
      </c>
      <c r="AO841" s="13">
        <f t="shared" si="107"/>
        <v>0.38976186052621092</v>
      </c>
      <c r="AP841" s="16">
        <v>4500</v>
      </c>
      <c r="AQ841" s="16">
        <v>1992.810322836654</v>
      </c>
      <c r="AR841" s="16">
        <f t="shared" si="108"/>
        <v>2507.189677163346</v>
      </c>
      <c r="AS841" s="17">
        <f t="shared" si="109"/>
        <v>0.55715326159185463</v>
      </c>
      <c r="AT841" s="20">
        <v>4500</v>
      </c>
      <c r="AU841" s="20">
        <v>2944.9365234375</v>
      </c>
      <c r="AV841" s="20">
        <f t="shared" si="110"/>
        <v>1555.0634765625</v>
      </c>
      <c r="AW841" s="21">
        <f t="shared" si="111"/>
        <v>0.34556966145833334</v>
      </c>
    </row>
    <row r="842" spans="1:49" x14ac:dyDescent="0.25">
      <c r="A842" t="s">
        <v>38</v>
      </c>
      <c r="B842" t="s">
        <v>39</v>
      </c>
      <c r="C842">
        <v>138235</v>
      </c>
      <c r="D842">
        <v>2014</v>
      </c>
      <c r="E842" t="s">
        <v>119</v>
      </c>
      <c r="F842" t="s">
        <v>120</v>
      </c>
      <c r="G842" t="s">
        <v>224</v>
      </c>
      <c r="I842">
        <v>4</v>
      </c>
      <c r="J842" t="s">
        <v>72</v>
      </c>
      <c r="K842">
        <v>4</v>
      </c>
      <c r="L842" t="s">
        <v>44</v>
      </c>
      <c r="M842">
        <v>1.8</v>
      </c>
      <c r="N842" t="s">
        <v>45</v>
      </c>
      <c r="O842" t="s">
        <v>46</v>
      </c>
      <c r="Q842" t="s">
        <v>47</v>
      </c>
      <c r="R842" t="s">
        <v>123</v>
      </c>
      <c r="T842">
        <v>170</v>
      </c>
      <c r="U842" t="s">
        <v>50</v>
      </c>
      <c r="X842" t="s">
        <v>125</v>
      </c>
      <c r="Y842" t="s">
        <v>126</v>
      </c>
      <c r="AA842">
        <v>0</v>
      </c>
      <c r="AB842" t="s">
        <v>79</v>
      </c>
      <c r="AC842" t="s">
        <v>127</v>
      </c>
      <c r="AD842">
        <v>36</v>
      </c>
      <c r="AE842">
        <v>9</v>
      </c>
      <c r="AF842">
        <v>3</v>
      </c>
      <c r="AG842">
        <v>2025</v>
      </c>
      <c r="AH842" s="2">
        <v>2000</v>
      </c>
      <c r="AI842" s="2">
        <v>2021.549194335938</v>
      </c>
      <c r="AJ842" s="2">
        <f t="shared" si="104"/>
        <v>21.549194335937955</v>
      </c>
      <c r="AK842" s="6">
        <f t="shared" si="105"/>
        <v>1.0774597167968978E-2</v>
      </c>
      <c r="AL842" s="12">
        <v>2000</v>
      </c>
      <c r="AM842" s="12">
        <v>1844.5035418335619</v>
      </c>
      <c r="AN842" s="12">
        <f t="shared" si="106"/>
        <v>155.49645816643806</v>
      </c>
      <c r="AO842" s="13">
        <f t="shared" si="107"/>
        <v>7.7748229083219031E-2</v>
      </c>
      <c r="AP842" s="16">
        <v>2000</v>
      </c>
      <c r="AQ842" s="16">
        <v>1836.734272697782</v>
      </c>
      <c r="AR842" s="16">
        <f t="shared" si="108"/>
        <v>163.26572730221801</v>
      </c>
      <c r="AS842" s="17">
        <f t="shared" si="109"/>
        <v>8.1632863651109E-2</v>
      </c>
      <c r="AT842" s="20">
        <v>2000</v>
      </c>
      <c r="AU842" s="20">
        <v>2032.4873046875</v>
      </c>
      <c r="AV842" s="20">
        <f t="shared" si="110"/>
        <v>32.4873046875</v>
      </c>
      <c r="AW842" s="21">
        <f t="shared" si="111"/>
        <v>1.6243652343750001E-2</v>
      </c>
    </row>
    <row r="843" spans="1:49" x14ac:dyDescent="0.25">
      <c r="A843" t="s">
        <v>114</v>
      </c>
      <c r="B843" t="s">
        <v>115</v>
      </c>
      <c r="C843">
        <v>94595</v>
      </c>
      <c r="D843">
        <v>2018</v>
      </c>
      <c r="E843" t="s">
        <v>142</v>
      </c>
      <c r="F843" t="s">
        <v>630</v>
      </c>
      <c r="G843" t="s">
        <v>118</v>
      </c>
      <c r="I843">
        <v>4</v>
      </c>
      <c r="J843" t="s">
        <v>106</v>
      </c>
      <c r="K843">
        <v>4</v>
      </c>
      <c r="L843" t="s">
        <v>44</v>
      </c>
      <c r="M843">
        <v>2.4</v>
      </c>
      <c r="N843" t="s">
        <v>91</v>
      </c>
      <c r="O843" t="s">
        <v>46</v>
      </c>
      <c r="Q843" t="s">
        <v>62</v>
      </c>
      <c r="R843" t="s">
        <v>63</v>
      </c>
      <c r="S843" t="s">
        <v>85</v>
      </c>
      <c r="T843">
        <v>180</v>
      </c>
      <c r="U843" t="s">
        <v>50</v>
      </c>
      <c r="X843" t="s">
        <v>65</v>
      </c>
      <c r="Y843" t="s">
        <v>632</v>
      </c>
      <c r="Z843">
        <v>27295</v>
      </c>
      <c r="AA843">
        <v>0</v>
      </c>
      <c r="AB843" t="s">
        <v>79</v>
      </c>
      <c r="AC843" t="s">
        <v>87</v>
      </c>
      <c r="AD843">
        <v>36</v>
      </c>
      <c r="AE843">
        <v>9</v>
      </c>
      <c r="AF843">
        <v>3</v>
      </c>
      <c r="AG843">
        <v>2025</v>
      </c>
      <c r="AH843" s="2">
        <v>4000</v>
      </c>
      <c r="AI843" s="2">
        <v>9859.958984375</v>
      </c>
      <c r="AJ843" s="2">
        <f t="shared" si="104"/>
        <v>5859.958984375</v>
      </c>
      <c r="AK843" s="6">
        <f t="shared" si="105"/>
        <v>1.46498974609375</v>
      </c>
      <c r="AL843" s="12">
        <v>4000</v>
      </c>
      <c r="AM843" s="12">
        <v>9163.6067223172522</v>
      </c>
      <c r="AN843" s="12">
        <f t="shared" si="106"/>
        <v>5163.6067223172522</v>
      </c>
      <c r="AO843" s="13">
        <f t="shared" si="107"/>
        <v>1.290901680579313</v>
      </c>
      <c r="AP843" s="16">
        <v>4000</v>
      </c>
      <c r="AQ843" s="16">
        <v>6900.0624650607633</v>
      </c>
      <c r="AR843" s="16">
        <f t="shared" si="108"/>
        <v>2900.0624650607633</v>
      </c>
      <c r="AS843" s="17">
        <f t="shared" si="109"/>
        <v>0.72501561626519084</v>
      </c>
      <c r="AT843" s="20">
        <v>4000</v>
      </c>
      <c r="AU843" s="20">
        <v>9759.6787109375</v>
      </c>
      <c r="AV843" s="20">
        <f t="shared" si="110"/>
        <v>5759.6787109375</v>
      </c>
      <c r="AW843" s="21">
        <f t="shared" si="111"/>
        <v>1.439919677734375</v>
      </c>
    </row>
    <row r="844" spans="1:49" x14ac:dyDescent="0.25">
      <c r="A844" t="s">
        <v>114</v>
      </c>
      <c r="B844" t="s">
        <v>596</v>
      </c>
      <c r="C844">
        <v>155838</v>
      </c>
      <c r="D844">
        <v>2017</v>
      </c>
      <c r="E844" t="s">
        <v>69</v>
      </c>
      <c r="F844" t="s">
        <v>258</v>
      </c>
      <c r="H844" t="s">
        <v>259</v>
      </c>
      <c r="I844">
        <v>8</v>
      </c>
      <c r="J844" t="s">
        <v>122</v>
      </c>
      <c r="K844">
        <v>4</v>
      </c>
      <c r="L844" t="s">
        <v>44</v>
      </c>
      <c r="M844">
        <v>6.7</v>
      </c>
      <c r="N844" t="s">
        <v>91</v>
      </c>
      <c r="O844" t="s">
        <v>46</v>
      </c>
      <c r="P844">
        <v>3</v>
      </c>
      <c r="Q844" t="s">
        <v>74</v>
      </c>
      <c r="R844" t="s">
        <v>92</v>
      </c>
      <c r="S844" t="s">
        <v>93</v>
      </c>
      <c r="T844">
        <v>440</v>
      </c>
      <c r="U844" t="s">
        <v>229</v>
      </c>
      <c r="V844" t="s">
        <v>76</v>
      </c>
      <c r="X844" t="s">
        <v>260</v>
      </c>
      <c r="Y844" t="s">
        <v>78</v>
      </c>
      <c r="Z844">
        <v>41790</v>
      </c>
      <c r="AA844">
        <v>0</v>
      </c>
      <c r="AB844" t="s">
        <v>79</v>
      </c>
      <c r="AC844" t="s">
        <v>261</v>
      </c>
      <c r="AD844">
        <v>36</v>
      </c>
      <c r="AE844">
        <v>9</v>
      </c>
      <c r="AF844">
        <v>3</v>
      </c>
      <c r="AG844">
        <v>2025</v>
      </c>
      <c r="AH844" s="2">
        <v>28500</v>
      </c>
      <c r="AI844" s="2">
        <v>21457.39453125</v>
      </c>
      <c r="AJ844" s="2">
        <f t="shared" si="104"/>
        <v>7042.60546875</v>
      </c>
      <c r="AK844" s="6">
        <f t="shared" si="105"/>
        <v>0.24710896381578948</v>
      </c>
      <c r="AL844" s="12">
        <v>28500</v>
      </c>
      <c r="AM844" s="12">
        <v>19945.881642969201</v>
      </c>
      <c r="AN844" s="12">
        <f t="shared" si="106"/>
        <v>8554.1183570307985</v>
      </c>
      <c r="AO844" s="13">
        <f t="shared" si="107"/>
        <v>0.30014450375546664</v>
      </c>
      <c r="AP844" s="16">
        <v>28500</v>
      </c>
      <c r="AQ844" s="16">
        <v>22462.254627538401</v>
      </c>
      <c r="AR844" s="16">
        <f t="shared" si="108"/>
        <v>6037.7453724615989</v>
      </c>
      <c r="AS844" s="17">
        <f t="shared" si="109"/>
        <v>0.21185071482321399</v>
      </c>
      <c r="AT844" s="20">
        <v>28500</v>
      </c>
      <c r="AU844" s="20">
        <v>20892.455078125</v>
      </c>
      <c r="AV844" s="20">
        <f t="shared" si="110"/>
        <v>7607.544921875</v>
      </c>
      <c r="AW844" s="21">
        <f t="shared" si="111"/>
        <v>0.26693140076754385</v>
      </c>
    </row>
    <row r="845" spans="1:49" x14ac:dyDescent="0.25">
      <c r="A845" t="s">
        <v>38</v>
      </c>
      <c r="B845" t="s">
        <v>96</v>
      </c>
      <c r="C845">
        <v>133997</v>
      </c>
      <c r="D845">
        <v>2020</v>
      </c>
      <c r="E845" t="s">
        <v>69</v>
      </c>
      <c r="F845" t="s">
        <v>394</v>
      </c>
      <c r="H845" t="s">
        <v>224</v>
      </c>
      <c r="I845">
        <v>4</v>
      </c>
      <c r="J845" t="s">
        <v>72</v>
      </c>
      <c r="K845">
        <v>4</v>
      </c>
      <c r="L845" t="s">
        <v>44</v>
      </c>
      <c r="M845">
        <v>1.5</v>
      </c>
      <c r="N845" t="s">
        <v>45</v>
      </c>
      <c r="O845" t="s">
        <v>46</v>
      </c>
      <c r="P845">
        <v>2</v>
      </c>
      <c r="Q845" t="s">
        <v>47</v>
      </c>
      <c r="R845" t="s">
        <v>123</v>
      </c>
      <c r="S845" t="s">
        <v>101</v>
      </c>
      <c r="T845">
        <v>181</v>
      </c>
      <c r="U845" t="s">
        <v>50</v>
      </c>
      <c r="V845" t="s">
        <v>51</v>
      </c>
      <c r="X845" t="s">
        <v>125</v>
      </c>
      <c r="Y845" t="s">
        <v>126</v>
      </c>
      <c r="AA845">
        <v>0</v>
      </c>
      <c r="AB845" t="s">
        <v>79</v>
      </c>
      <c r="AC845" t="s">
        <v>127</v>
      </c>
      <c r="AD845">
        <v>36</v>
      </c>
      <c r="AE845">
        <v>9</v>
      </c>
      <c r="AF845">
        <v>3</v>
      </c>
      <c r="AG845">
        <v>2025</v>
      </c>
      <c r="AH845" s="2">
        <v>3400</v>
      </c>
      <c r="AI845" s="2">
        <v>4621.5888671875</v>
      </c>
      <c r="AJ845" s="2">
        <f t="shared" si="104"/>
        <v>1221.5888671875</v>
      </c>
      <c r="AK845" s="6">
        <f t="shared" si="105"/>
        <v>0.3592908432904412</v>
      </c>
      <c r="AL845" s="12">
        <v>3400</v>
      </c>
      <c r="AM845" s="12">
        <v>4953.4294086193959</v>
      </c>
      <c r="AN845" s="12">
        <f t="shared" si="106"/>
        <v>1553.4294086193959</v>
      </c>
      <c r="AO845" s="13">
        <f t="shared" si="107"/>
        <v>0.45689100253511644</v>
      </c>
      <c r="AP845" s="16">
        <v>3400</v>
      </c>
      <c r="AQ845" s="16">
        <v>3963.3102761429818</v>
      </c>
      <c r="AR845" s="16">
        <f t="shared" si="108"/>
        <v>563.31027614298182</v>
      </c>
      <c r="AS845" s="17">
        <f t="shared" si="109"/>
        <v>0.16567949298322995</v>
      </c>
      <c r="AT845" s="20">
        <v>3400</v>
      </c>
      <c r="AU845" s="20">
        <v>4715.02783203125</v>
      </c>
      <c r="AV845" s="20">
        <f t="shared" si="110"/>
        <v>1315.02783203125</v>
      </c>
      <c r="AW845" s="21">
        <f t="shared" si="111"/>
        <v>0.38677289177389707</v>
      </c>
    </row>
    <row r="846" spans="1:49" x14ac:dyDescent="0.25">
      <c r="A846" t="s">
        <v>38</v>
      </c>
      <c r="B846" t="s">
        <v>110</v>
      </c>
      <c r="C846">
        <v>67653</v>
      </c>
      <c r="D846">
        <v>2018</v>
      </c>
      <c r="E846" t="s">
        <v>97</v>
      </c>
      <c r="F846" t="s">
        <v>1066</v>
      </c>
      <c r="G846" t="s">
        <v>1067</v>
      </c>
      <c r="I846">
        <v>4</v>
      </c>
      <c r="J846" t="s">
        <v>122</v>
      </c>
      <c r="K846">
        <v>4</v>
      </c>
      <c r="L846" t="s">
        <v>44</v>
      </c>
      <c r="M846">
        <v>1.4</v>
      </c>
      <c r="N846" t="s">
        <v>45</v>
      </c>
      <c r="O846" t="s">
        <v>100</v>
      </c>
      <c r="P846">
        <v>1</v>
      </c>
      <c r="Q846" t="s">
        <v>47</v>
      </c>
      <c r="R846" t="s">
        <v>48</v>
      </c>
      <c r="S846" t="s">
        <v>101</v>
      </c>
      <c r="U846" t="s">
        <v>50</v>
      </c>
      <c r="V846" t="s">
        <v>51</v>
      </c>
      <c r="W846" t="s">
        <v>1068</v>
      </c>
      <c r="X846" t="s">
        <v>125</v>
      </c>
      <c r="Y846" t="s">
        <v>66</v>
      </c>
      <c r="Z846">
        <v>14875</v>
      </c>
      <c r="AA846">
        <v>0</v>
      </c>
      <c r="AB846" t="s">
        <v>79</v>
      </c>
      <c r="AC846" t="s">
        <v>359</v>
      </c>
      <c r="AD846">
        <v>36</v>
      </c>
      <c r="AE846">
        <v>9</v>
      </c>
      <c r="AF846">
        <v>3</v>
      </c>
      <c r="AG846">
        <v>2025</v>
      </c>
      <c r="AH846" s="2">
        <v>2800</v>
      </c>
      <c r="AI846" s="2">
        <v>1655.688842773438</v>
      </c>
      <c r="AJ846" s="2">
        <f t="shared" si="104"/>
        <v>1144.311157226562</v>
      </c>
      <c r="AK846" s="6">
        <f t="shared" si="105"/>
        <v>0.40868255615234361</v>
      </c>
      <c r="AL846" s="12">
        <v>2800</v>
      </c>
      <c r="AM846" s="12">
        <v>2355.9096716377589</v>
      </c>
      <c r="AN846" s="12">
        <f t="shared" si="106"/>
        <v>444.09032836224105</v>
      </c>
      <c r="AO846" s="13">
        <f t="shared" si="107"/>
        <v>0.15860368870080038</v>
      </c>
      <c r="AP846" s="16">
        <v>2800</v>
      </c>
      <c r="AQ846" s="16">
        <v>1916.3653444923409</v>
      </c>
      <c r="AR846" s="16">
        <f t="shared" si="108"/>
        <v>883.63465550765909</v>
      </c>
      <c r="AS846" s="17">
        <f t="shared" si="109"/>
        <v>0.31558380553844967</v>
      </c>
      <c r="AT846" s="20">
        <v>2800</v>
      </c>
      <c r="AU846" s="20">
        <v>1663.45654296875</v>
      </c>
      <c r="AV846" s="20">
        <f t="shared" si="110"/>
        <v>1136.54345703125</v>
      </c>
      <c r="AW846" s="21">
        <f t="shared" si="111"/>
        <v>0.40590837751116071</v>
      </c>
    </row>
    <row r="847" spans="1:49" x14ac:dyDescent="0.25">
      <c r="A847" t="s">
        <v>81</v>
      </c>
      <c r="B847" t="s">
        <v>82</v>
      </c>
      <c r="C847">
        <v>179198</v>
      </c>
      <c r="D847">
        <v>2012</v>
      </c>
      <c r="E847" t="s">
        <v>399</v>
      </c>
      <c r="F847" t="s">
        <v>400</v>
      </c>
      <c r="G847" t="s">
        <v>1069</v>
      </c>
      <c r="I847">
        <v>4</v>
      </c>
      <c r="J847" t="s">
        <v>72</v>
      </c>
      <c r="K847">
        <v>4</v>
      </c>
      <c r="L847" t="s">
        <v>44</v>
      </c>
      <c r="M847">
        <v>2</v>
      </c>
      <c r="N847" t="s">
        <v>44</v>
      </c>
      <c r="O847" t="s">
        <v>46</v>
      </c>
      <c r="Q847" t="s">
        <v>47</v>
      </c>
      <c r="R847" t="s">
        <v>123</v>
      </c>
      <c r="X847" t="s">
        <v>125</v>
      </c>
      <c r="Y847" t="s">
        <v>54</v>
      </c>
      <c r="AA847">
        <v>0</v>
      </c>
      <c r="AB847" t="s">
        <v>79</v>
      </c>
      <c r="AC847" t="s">
        <v>127</v>
      </c>
      <c r="AD847">
        <v>36</v>
      </c>
      <c r="AE847">
        <v>9</v>
      </c>
      <c r="AF847">
        <v>3</v>
      </c>
      <c r="AG847">
        <v>2025</v>
      </c>
      <c r="AH847" s="2">
        <v>700</v>
      </c>
      <c r="AI847" s="2">
        <v>1079.640380859375</v>
      </c>
      <c r="AJ847" s="2">
        <f t="shared" si="104"/>
        <v>379.640380859375</v>
      </c>
      <c r="AK847" s="6">
        <f t="shared" si="105"/>
        <v>0.54234340122767855</v>
      </c>
      <c r="AL847" s="12">
        <v>700</v>
      </c>
      <c r="AM847" s="12">
        <v>1175.11586841591</v>
      </c>
      <c r="AN847" s="12">
        <f t="shared" si="106"/>
        <v>475.11586841590997</v>
      </c>
      <c r="AO847" s="13">
        <f t="shared" si="107"/>
        <v>0.6787369548798714</v>
      </c>
      <c r="AP847" s="16">
        <v>700</v>
      </c>
      <c r="AQ847" s="16">
        <v>1109.7512337333101</v>
      </c>
      <c r="AR847" s="16">
        <f t="shared" si="108"/>
        <v>409.75123373331007</v>
      </c>
      <c r="AS847" s="17">
        <f t="shared" si="109"/>
        <v>0.58535890533330015</v>
      </c>
      <c r="AT847" s="20">
        <v>700</v>
      </c>
      <c r="AU847" s="20">
        <v>1087.43115234375</v>
      </c>
      <c r="AV847" s="20">
        <f t="shared" si="110"/>
        <v>387.43115234375</v>
      </c>
      <c r="AW847" s="21">
        <f t="shared" si="111"/>
        <v>0.55347307477678576</v>
      </c>
    </row>
    <row r="848" spans="1:49" x14ac:dyDescent="0.25">
      <c r="A848" t="s">
        <v>38</v>
      </c>
      <c r="B848" t="s">
        <v>96</v>
      </c>
      <c r="C848">
        <v>135143</v>
      </c>
      <c r="D848">
        <v>2013</v>
      </c>
      <c r="E848" t="s">
        <v>97</v>
      </c>
      <c r="F848" t="s">
        <v>1066</v>
      </c>
      <c r="G848" t="s">
        <v>130</v>
      </c>
      <c r="I848">
        <v>4</v>
      </c>
      <c r="J848" t="s">
        <v>106</v>
      </c>
      <c r="K848">
        <v>4</v>
      </c>
      <c r="L848" t="s">
        <v>44</v>
      </c>
      <c r="M848">
        <v>1.2</v>
      </c>
      <c r="N848" t="s">
        <v>45</v>
      </c>
      <c r="O848" t="s">
        <v>46</v>
      </c>
      <c r="P848">
        <v>2</v>
      </c>
      <c r="Q848" t="s">
        <v>47</v>
      </c>
      <c r="R848" t="s">
        <v>48</v>
      </c>
      <c r="U848" t="s">
        <v>50</v>
      </c>
      <c r="V848" t="s">
        <v>51</v>
      </c>
      <c r="W848" t="s">
        <v>1070</v>
      </c>
      <c r="X848" t="s">
        <v>125</v>
      </c>
      <c r="Y848" t="s">
        <v>66</v>
      </c>
      <c r="AA848">
        <v>0</v>
      </c>
      <c r="AB848" t="s">
        <v>79</v>
      </c>
      <c r="AC848" t="s">
        <v>359</v>
      </c>
      <c r="AD848">
        <v>36</v>
      </c>
      <c r="AE848">
        <v>9</v>
      </c>
      <c r="AF848">
        <v>3</v>
      </c>
      <c r="AG848">
        <v>2025</v>
      </c>
      <c r="AH848" s="2">
        <v>1400</v>
      </c>
      <c r="AI848" s="2">
        <v>1353.93115234375</v>
      </c>
      <c r="AJ848" s="2">
        <f t="shared" si="104"/>
        <v>46.06884765625</v>
      </c>
      <c r="AK848" s="6">
        <f t="shared" si="105"/>
        <v>3.2906319754464286E-2</v>
      </c>
      <c r="AL848" s="12">
        <v>1400</v>
      </c>
      <c r="AM848" s="12">
        <v>1365.5870748151619</v>
      </c>
      <c r="AN848" s="12">
        <f t="shared" si="106"/>
        <v>34.412925184838059</v>
      </c>
      <c r="AO848" s="13">
        <f t="shared" si="107"/>
        <v>2.4580660846312899E-2</v>
      </c>
      <c r="AP848" s="16">
        <v>1400</v>
      </c>
      <c r="AQ848" s="16">
        <v>1024.408584296139</v>
      </c>
      <c r="AR848" s="16">
        <f t="shared" si="108"/>
        <v>375.591415703861</v>
      </c>
      <c r="AS848" s="17">
        <f t="shared" si="109"/>
        <v>0.26827958264561502</v>
      </c>
      <c r="AT848" s="20">
        <v>1400</v>
      </c>
      <c r="AU848" s="20">
        <v>1340.781616210938</v>
      </c>
      <c r="AV848" s="20">
        <f t="shared" si="110"/>
        <v>59.218383789062045</v>
      </c>
      <c r="AW848" s="21">
        <f t="shared" si="111"/>
        <v>4.2298845563615746E-2</v>
      </c>
    </row>
    <row r="849" spans="1:49" x14ac:dyDescent="0.25">
      <c r="A849" t="s">
        <v>38</v>
      </c>
      <c r="B849" t="s">
        <v>68</v>
      </c>
      <c r="C849">
        <v>33012</v>
      </c>
      <c r="D849">
        <v>2023</v>
      </c>
      <c r="E849" t="s">
        <v>40</v>
      </c>
      <c r="F849" t="s">
        <v>215</v>
      </c>
      <c r="G849" t="s">
        <v>150</v>
      </c>
      <c r="H849" t="s">
        <v>1071</v>
      </c>
      <c r="I849">
        <v>6</v>
      </c>
      <c r="J849" t="s">
        <v>72</v>
      </c>
      <c r="K849">
        <v>4</v>
      </c>
      <c r="L849" t="s">
        <v>44</v>
      </c>
      <c r="M849">
        <v>3.4</v>
      </c>
      <c r="N849" t="s">
        <v>91</v>
      </c>
      <c r="O849" t="s">
        <v>46</v>
      </c>
      <c r="P849">
        <v>4</v>
      </c>
      <c r="Q849" t="s">
        <v>74</v>
      </c>
      <c r="R849" t="s">
        <v>92</v>
      </c>
      <c r="S849" t="s">
        <v>93</v>
      </c>
      <c r="T849">
        <v>389</v>
      </c>
      <c r="U849" t="s">
        <v>50</v>
      </c>
      <c r="V849" t="s">
        <v>76</v>
      </c>
      <c r="W849" t="s">
        <v>1072</v>
      </c>
      <c r="X849" t="s">
        <v>108</v>
      </c>
      <c r="Y849" t="s">
        <v>78</v>
      </c>
      <c r="AA849">
        <v>0</v>
      </c>
      <c r="AB849" t="s">
        <v>79</v>
      </c>
      <c r="AC849" t="s">
        <v>95</v>
      </c>
      <c r="AD849">
        <v>36</v>
      </c>
      <c r="AE849">
        <v>9</v>
      </c>
      <c r="AF849">
        <v>3</v>
      </c>
      <c r="AG849">
        <v>2025</v>
      </c>
      <c r="AH849" s="2">
        <v>40000</v>
      </c>
      <c r="AI849" s="2">
        <v>36078.796875</v>
      </c>
      <c r="AJ849" s="2">
        <f t="shared" si="104"/>
        <v>3921.203125</v>
      </c>
      <c r="AK849" s="6">
        <f t="shared" si="105"/>
        <v>9.8030078125000003E-2</v>
      </c>
      <c r="AL849" s="12">
        <v>40000</v>
      </c>
      <c r="AM849" s="12">
        <v>40364.450556453339</v>
      </c>
      <c r="AN849" s="12">
        <f t="shared" si="106"/>
        <v>364.45055645333923</v>
      </c>
      <c r="AO849" s="13">
        <f t="shared" si="107"/>
        <v>9.1112639113334806E-3</v>
      </c>
      <c r="AP849" s="16">
        <v>40000</v>
      </c>
      <c r="AQ849" s="16">
        <v>40416.250192041101</v>
      </c>
      <c r="AR849" s="16">
        <f t="shared" si="108"/>
        <v>416.2501920411014</v>
      </c>
      <c r="AS849" s="17">
        <f t="shared" si="109"/>
        <v>1.0406254801027534E-2</v>
      </c>
      <c r="AT849" s="20">
        <v>40000</v>
      </c>
      <c r="AU849" s="20">
        <v>35932.51171875</v>
      </c>
      <c r="AV849" s="20">
        <f t="shared" si="110"/>
        <v>4067.48828125</v>
      </c>
      <c r="AW849" s="21">
        <f t="shared" si="111"/>
        <v>0.10168720703125</v>
      </c>
    </row>
    <row r="850" spans="1:49" x14ac:dyDescent="0.25">
      <c r="A850" t="s">
        <v>38</v>
      </c>
      <c r="B850" t="s">
        <v>110</v>
      </c>
      <c r="C850">
        <v>184378</v>
      </c>
      <c r="D850">
        <v>2013</v>
      </c>
      <c r="E850" t="s">
        <v>97</v>
      </c>
      <c r="F850" t="s">
        <v>701</v>
      </c>
      <c r="G850" t="s">
        <v>659</v>
      </c>
      <c r="I850">
        <v>6</v>
      </c>
      <c r="J850" t="s">
        <v>135</v>
      </c>
      <c r="K850">
        <v>4</v>
      </c>
      <c r="L850" t="s">
        <v>44</v>
      </c>
      <c r="M850">
        <v>3.6</v>
      </c>
      <c r="N850" t="s">
        <v>45</v>
      </c>
      <c r="Q850" t="s">
        <v>47</v>
      </c>
      <c r="R850" t="s">
        <v>123</v>
      </c>
      <c r="U850" t="s">
        <v>50</v>
      </c>
      <c r="W850" t="s">
        <v>406</v>
      </c>
      <c r="X850" t="s">
        <v>125</v>
      </c>
      <c r="Y850" t="s">
        <v>103</v>
      </c>
      <c r="AA850">
        <v>0</v>
      </c>
      <c r="AB850" t="s">
        <v>79</v>
      </c>
      <c r="AC850" t="s">
        <v>127</v>
      </c>
      <c r="AD850">
        <v>36</v>
      </c>
      <c r="AE850">
        <v>9</v>
      </c>
      <c r="AF850">
        <v>3</v>
      </c>
      <c r="AG850">
        <v>2025</v>
      </c>
      <c r="AH850" s="2">
        <v>700</v>
      </c>
      <c r="AI850" s="2">
        <v>1214.767456054688</v>
      </c>
      <c r="AJ850" s="2">
        <f t="shared" si="104"/>
        <v>514.76745605468795</v>
      </c>
      <c r="AK850" s="6">
        <f t="shared" si="105"/>
        <v>0.73538208007812567</v>
      </c>
      <c r="AL850" s="12">
        <v>700</v>
      </c>
      <c r="AM850" s="12">
        <v>1458.996221475363</v>
      </c>
      <c r="AN850" s="12">
        <f t="shared" si="106"/>
        <v>758.99622147536297</v>
      </c>
      <c r="AO850" s="13">
        <f t="shared" si="107"/>
        <v>1.0842803163933756</v>
      </c>
      <c r="AP850" s="16">
        <v>700</v>
      </c>
      <c r="AQ850" s="16">
        <v>1042.0467318017111</v>
      </c>
      <c r="AR850" s="16">
        <f t="shared" si="108"/>
        <v>342.04673180171108</v>
      </c>
      <c r="AS850" s="17">
        <f t="shared" si="109"/>
        <v>0.48863818828815869</v>
      </c>
      <c r="AT850" s="20">
        <v>700</v>
      </c>
      <c r="AU850" s="20">
        <v>1207.54541015625</v>
      </c>
      <c r="AV850" s="20">
        <f t="shared" si="110"/>
        <v>507.54541015625</v>
      </c>
      <c r="AW850" s="21">
        <f t="shared" si="111"/>
        <v>0.72506487165178568</v>
      </c>
    </row>
    <row r="851" spans="1:49" x14ac:dyDescent="0.25">
      <c r="A851" t="s">
        <v>38</v>
      </c>
      <c r="B851" t="s">
        <v>68</v>
      </c>
      <c r="C851">
        <v>96631</v>
      </c>
      <c r="D851">
        <v>2019</v>
      </c>
      <c r="E851" t="s">
        <v>69</v>
      </c>
      <c r="F851" t="s">
        <v>873</v>
      </c>
      <c r="G851" t="s">
        <v>224</v>
      </c>
      <c r="I851">
        <v>4</v>
      </c>
      <c r="J851" t="s">
        <v>135</v>
      </c>
      <c r="K851">
        <v>4</v>
      </c>
      <c r="L851" t="s">
        <v>44</v>
      </c>
      <c r="M851">
        <v>2</v>
      </c>
      <c r="N851" t="s">
        <v>45</v>
      </c>
      <c r="O851" t="s">
        <v>46</v>
      </c>
      <c r="P851">
        <v>4</v>
      </c>
      <c r="Q851" t="s">
        <v>62</v>
      </c>
      <c r="R851" t="s">
        <v>63</v>
      </c>
      <c r="S851" t="s">
        <v>101</v>
      </c>
      <c r="T851">
        <v>245</v>
      </c>
      <c r="U851" t="s">
        <v>50</v>
      </c>
      <c r="V851" t="s">
        <v>51</v>
      </c>
      <c r="W851" t="s">
        <v>1073</v>
      </c>
      <c r="X851" t="s">
        <v>141</v>
      </c>
      <c r="Y851" t="s">
        <v>103</v>
      </c>
      <c r="Z851">
        <v>29995</v>
      </c>
      <c r="AA851">
        <v>0</v>
      </c>
      <c r="AB851" t="s">
        <v>79</v>
      </c>
      <c r="AC851" t="s">
        <v>87</v>
      </c>
      <c r="AD851">
        <v>36</v>
      </c>
      <c r="AE851">
        <v>9</v>
      </c>
      <c r="AF851">
        <v>3</v>
      </c>
      <c r="AG851">
        <v>2025</v>
      </c>
      <c r="AH851" s="2">
        <v>9000</v>
      </c>
      <c r="AI851" s="2">
        <v>10519.8984375</v>
      </c>
      <c r="AJ851" s="2">
        <f t="shared" si="104"/>
        <v>1519.8984375</v>
      </c>
      <c r="AK851" s="6">
        <f t="shared" si="105"/>
        <v>0.16887760416666667</v>
      </c>
      <c r="AL851" s="12">
        <v>9000</v>
      </c>
      <c r="AM851" s="12">
        <v>11095.25733501098</v>
      </c>
      <c r="AN851" s="12">
        <f t="shared" si="106"/>
        <v>2095.2573350109797</v>
      </c>
      <c r="AO851" s="13">
        <f t="shared" si="107"/>
        <v>0.23280637055677553</v>
      </c>
      <c r="AP851" s="16">
        <v>9000</v>
      </c>
      <c r="AQ851" s="16">
        <v>8675.3338182124298</v>
      </c>
      <c r="AR851" s="16">
        <f t="shared" si="108"/>
        <v>324.66618178757017</v>
      </c>
      <c r="AS851" s="17">
        <f t="shared" si="109"/>
        <v>3.6074020198618904E-2</v>
      </c>
      <c r="AT851" s="20">
        <v>9000</v>
      </c>
      <c r="AU851" s="20">
        <v>10715.4716796875</v>
      </c>
      <c r="AV851" s="20">
        <f t="shared" si="110"/>
        <v>1715.4716796875</v>
      </c>
      <c r="AW851" s="21">
        <f t="shared" si="111"/>
        <v>0.19060796440972222</v>
      </c>
    </row>
    <row r="852" spans="1:49" x14ac:dyDescent="0.25">
      <c r="A852" t="s">
        <v>81</v>
      </c>
      <c r="B852" t="s">
        <v>186</v>
      </c>
      <c r="C852">
        <v>25749</v>
      </c>
      <c r="D852">
        <v>2024</v>
      </c>
      <c r="E852" t="s">
        <v>142</v>
      </c>
      <c r="F852" t="s">
        <v>633</v>
      </c>
      <c r="H852" t="s">
        <v>457</v>
      </c>
      <c r="I852">
        <v>4</v>
      </c>
      <c r="J852" t="s">
        <v>106</v>
      </c>
      <c r="K852">
        <v>4</v>
      </c>
      <c r="L852" t="s">
        <v>44</v>
      </c>
      <c r="M852">
        <v>2</v>
      </c>
      <c r="N852" t="s">
        <v>91</v>
      </c>
      <c r="O852" t="s">
        <v>46</v>
      </c>
      <c r="Q852" t="s">
        <v>62</v>
      </c>
      <c r="R852" t="s">
        <v>63</v>
      </c>
      <c r="S852" t="s">
        <v>93</v>
      </c>
      <c r="T852">
        <v>270</v>
      </c>
      <c r="U852" t="s">
        <v>50</v>
      </c>
      <c r="V852" t="s">
        <v>51</v>
      </c>
      <c r="X852" t="s">
        <v>141</v>
      </c>
      <c r="Y852" t="s">
        <v>78</v>
      </c>
      <c r="AA852">
        <v>0</v>
      </c>
      <c r="AB852" t="s">
        <v>79</v>
      </c>
      <c r="AC852" t="s">
        <v>87</v>
      </c>
      <c r="AD852">
        <v>36</v>
      </c>
      <c r="AE852">
        <v>9</v>
      </c>
      <c r="AF852">
        <v>3</v>
      </c>
      <c r="AG852">
        <v>2025</v>
      </c>
      <c r="AH852" s="2">
        <v>32500</v>
      </c>
      <c r="AI852" s="2">
        <v>34962.53515625</v>
      </c>
      <c r="AJ852" s="2">
        <f t="shared" si="104"/>
        <v>2462.53515625</v>
      </c>
      <c r="AK852" s="6">
        <f t="shared" si="105"/>
        <v>7.5770312500000006E-2</v>
      </c>
      <c r="AL852" s="12">
        <v>32500</v>
      </c>
      <c r="AM852" s="12">
        <v>32675.418311146219</v>
      </c>
      <c r="AN852" s="12">
        <f t="shared" si="106"/>
        <v>175.41831114621891</v>
      </c>
      <c r="AO852" s="13">
        <f t="shared" si="107"/>
        <v>5.3974864968067355E-3</v>
      </c>
      <c r="AP852" s="16">
        <v>32500</v>
      </c>
      <c r="AQ852" s="16">
        <v>28986.910237498279</v>
      </c>
      <c r="AR852" s="16">
        <f t="shared" si="108"/>
        <v>3513.0897625017205</v>
      </c>
      <c r="AS852" s="17">
        <f t="shared" si="109"/>
        <v>0.10809506961543755</v>
      </c>
      <c r="AT852" s="20">
        <v>32500</v>
      </c>
      <c r="AU852" s="20">
        <v>34149.4140625</v>
      </c>
      <c r="AV852" s="20">
        <f t="shared" si="110"/>
        <v>1649.4140625</v>
      </c>
      <c r="AW852" s="21">
        <f t="shared" si="111"/>
        <v>5.0751201923076923E-2</v>
      </c>
    </row>
    <row r="853" spans="1:49" x14ac:dyDescent="0.25">
      <c r="A853" t="s">
        <v>128</v>
      </c>
      <c r="B853" t="s">
        <v>210</v>
      </c>
      <c r="C853">
        <v>146615</v>
      </c>
      <c r="D853">
        <v>2007</v>
      </c>
      <c r="E853" t="s">
        <v>146</v>
      </c>
      <c r="F853" t="s">
        <v>232</v>
      </c>
      <c r="I853">
        <v>6</v>
      </c>
      <c r="J853" t="s">
        <v>122</v>
      </c>
      <c r="K853">
        <v>4</v>
      </c>
      <c r="L853" t="s">
        <v>44</v>
      </c>
      <c r="M853">
        <v>3.5</v>
      </c>
      <c r="N853" t="s">
        <v>45</v>
      </c>
      <c r="O853" t="s">
        <v>46</v>
      </c>
      <c r="Q853" t="s">
        <v>62</v>
      </c>
      <c r="R853" t="s">
        <v>63</v>
      </c>
      <c r="S853" t="s">
        <v>49</v>
      </c>
      <c r="U853" t="s">
        <v>50</v>
      </c>
      <c r="X853" t="s">
        <v>65</v>
      </c>
      <c r="Y853" t="s">
        <v>54</v>
      </c>
      <c r="AA853">
        <v>0</v>
      </c>
      <c r="AB853" t="s">
        <v>79</v>
      </c>
      <c r="AC853" t="s">
        <v>87</v>
      </c>
      <c r="AD853">
        <v>36</v>
      </c>
      <c r="AE853">
        <v>9</v>
      </c>
      <c r="AF853">
        <v>3</v>
      </c>
      <c r="AG853">
        <v>2025</v>
      </c>
      <c r="AH853" s="2">
        <v>200</v>
      </c>
      <c r="AI853" s="2">
        <v>1119.533447265625</v>
      </c>
      <c r="AJ853" s="2">
        <f t="shared" si="104"/>
        <v>919.533447265625</v>
      </c>
      <c r="AK853" s="6">
        <f t="shared" si="105"/>
        <v>4.5976672363281246</v>
      </c>
      <c r="AL853" s="12">
        <v>200</v>
      </c>
      <c r="AM853" s="12">
        <v>1175.7610415471149</v>
      </c>
      <c r="AN853" s="12">
        <f t="shared" si="106"/>
        <v>975.76104154711493</v>
      </c>
      <c r="AO853" s="13">
        <f t="shared" si="107"/>
        <v>4.8788052077355744</v>
      </c>
      <c r="AP853" s="16">
        <v>200</v>
      </c>
      <c r="AQ853" s="16">
        <v>1123.393315483308</v>
      </c>
      <c r="AR853" s="16">
        <f t="shared" si="108"/>
        <v>923.39331548330802</v>
      </c>
      <c r="AS853" s="17">
        <f t="shared" si="109"/>
        <v>4.61696657741654</v>
      </c>
      <c r="AT853" s="20">
        <v>200</v>
      </c>
      <c r="AU853" s="20">
        <v>1119.1328125</v>
      </c>
      <c r="AV853" s="20">
        <f t="shared" si="110"/>
        <v>919.1328125</v>
      </c>
      <c r="AW853" s="21">
        <f t="shared" si="111"/>
        <v>4.5956640625</v>
      </c>
    </row>
    <row r="854" spans="1:49" x14ac:dyDescent="0.25">
      <c r="A854" t="s">
        <v>128</v>
      </c>
      <c r="B854" t="s">
        <v>309</v>
      </c>
      <c r="C854">
        <v>164119</v>
      </c>
      <c r="D854">
        <v>2014</v>
      </c>
      <c r="E854" t="s">
        <v>166</v>
      </c>
      <c r="F854" t="s">
        <v>223</v>
      </c>
      <c r="G854" t="s">
        <v>1074</v>
      </c>
      <c r="I854">
        <v>6</v>
      </c>
      <c r="J854" t="s">
        <v>106</v>
      </c>
      <c r="K854">
        <v>4</v>
      </c>
      <c r="L854" t="s">
        <v>44</v>
      </c>
      <c r="M854">
        <v>3.5</v>
      </c>
      <c r="N854" t="s">
        <v>45</v>
      </c>
      <c r="Q854" t="s">
        <v>62</v>
      </c>
      <c r="R854" t="s">
        <v>225</v>
      </c>
      <c r="T854">
        <v>248</v>
      </c>
      <c r="U854" t="s">
        <v>50</v>
      </c>
      <c r="V854" t="s">
        <v>76</v>
      </c>
      <c r="W854" t="s">
        <v>226</v>
      </c>
      <c r="X854" t="s">
        <v>94</v>
      </c>
      <c r="Y854" t="s">
        <v>78</v>
      </c>
      <c r="AA854">
        <v>0</v>
      </c>
      <c r="AB854" t="s">
        <v>79</v>
      </c>
      <c r="AC854" t="s">
        <v>225</v>
      </c>
      <c r="AD854">
        <v>36</v>
      </c>
      <c r="AE854">
        <v>9</v>
      </c>
      <c r="AF854">
        <v>3</v>
      </c>
      <c r="AG854">
        <v>2025</v>
      </c>
      <c r="AH854" s="2">
        <v>5400</v>
      </c>
      <c r="AI854" s="2">
        <v>4960.4853515625</v>
      </c>
      <c r="AJ854" s="2">
        <f t="shared" si="104"/>
        <v>439.5146484375</v>
      </c>
      <c r="AK854" s="6">
        <f t="shared" si="105"/>
        <v>8.1391601562499999E-2</v>
      </c>
      <c r="AL854" s="12">
        <v>5400</v>
      </c>
      <c r="AM854" s="12">
        <v>4850.9161081225739</v>
      </c>
      <c r="AN854" s="12">
        <f t="shared" si="106"/>
        <v>549.08389187742614</v>
      </c>
      <c r="AO854" s="13">
        <f t="shared" si="107"/>
        <v>0.10168220219952336</v>
      </c>
      <c r="AP854" s="16">
        <v>5400</v>
      </c>
      <c r="AQ854" s="16">
        <v>4099.3115290902997</v>
      </c>
      <c r="AR854" s="16">
        <f t="shared" si="108"/>
        <v>1300.6884709097003</v>
      </c>
      <c r="AS854" s="17">
        <f t="shared" si="109"/>
        <v>0.24086823535364821</v>
      </c>
      <c r="AT854" s="20">
        <v>5400</v>
      </c>
      <c r="AU854" s="20">
        <v>4968.60693359375</v>
      </c>
      <c r="AV854" s="20">
        <f t="shared" si="110"/>
        <v>431.39306640625</v>
      </c>
      <c r="AW854" s="21">
        <f t="shared" si="111"/>
        <v>7.9887604890046301E-2</v>
      </c>
    </row>
    <row r="855" spans="1:49" x14ac:dyDescent="0.25">
      <c r="A855" t="s">
        <v>38</v>
      </c>
      <c r="B855" t="s">
        <v>96</v>
      </c>
      <c r="C855">
        <v>94657</v>
      </c>
      <c r="D855">
        <v>2016</v>
      </c>
      <c r="E855" t="s">
        <v>341</v>
      </c>
      <c r="F855" t="s">
        <v>592</v>
      </c>
      <c r="I855">
        <v>4</v>
      </c>
      <c r="J855" t="s">
        <v>122</v>
      </c>
      <c r="K855">
        <v>4</v>
      </c>
      <c r="L855" t="s">
        <v>44</v>
      </c>
      <c r="M855">
        <v>1.4</v>
      </c>
      <c r="N855" t="s">
        <v>45</v>
      </c>
      <c r="O855" t="s">
        <v>46</v>
      </c>
      <c r="P855">
        <v>2</v>
      </c>
      <c r="Q855" t="s">
        <v>62</v>
      </c>
      <c r="R855" t="s">
        <v>63</v>
      </c>
      <c r="S855" t="s">
        <v>101</v>
      </c>
      <c r="U855" t="s">
        <v>50</v>
      </c>
      <c r="V855" t="s">
        <v>51</v>
      </c>
      <c r="W855" t="s">
        <v>1075</v>
      </c>
      <c r="X855" t="s">
        <v>65</v>
      </c>
      <c r="Y855" t="s">
        <v>66</v>
      </c>
      <c r="AA855">
        <v>0</v>
      </c>
      <c r="AB855" t="s">
        <v>79</v>
      </c>
      <c r="AC855" t="s">
        <v>87</v>
      </c>
      <c r="AD855">
        <v>36</v>
      </c>
      <c r="AE855">
        <v>9</v>
      </c>
      <c r="AF855">
        <v>3</v>
      </c>
      <c r="AG855">
        <v>2025</v>
      </c>
      <c r="AH855" s="2">
        <v>4400</v>
      </c>
      <c r="AI855" s="2">
        <v>3998.578857421875</v>
      </c>
      <c r="AJ855" s="2">
        <f t="shared" si="104"/>
        <v>401.421142578125</v>
      </c>
      <c r="AK855" s="6">
        <f t="shared" si="105"/>
        <v>9.1232077858664773E-2</v>
      </c>
      <c r="AL855" s="12">
        <v>4400</v>
      </c>
      <c r="AM855" s="12">
        <v>4328.5318917261156</v>
      </c>
      <c r="AN855" s="12">
        <f t="shared" si="106"/>
        <v>71.468108273884354</v>
      </c>
      <c r="AO855" s="13">
        <f t="shared" si="107"/>
        <v>1.6242751880428261E-2</v>
      </c>
      <c r="AP855" s="16">
        <v>4400</v>
      </c>
      <c r="AQ855" s="16">
        <v>3822.2919318946019</v>
      </c>
      <c r="AR855" s="16">
        <f t="shared" si="108"/>
        <v>577.70806810539807</v>
      </c>
      <c r="AS855" s="17">
        <f t="shared" si="109"/>
        <v>0.1312972882057723</v>
      </c>
      <c r="AT855" s="20">
        <v>4400</v>
      </c>
      <c r="AU855" s="20">
        <v>4050.50537109375</v>
      </c>
      <c r="AV855" s="20">
        <f t="shared" si="110"/>
        <v>349.49462890625</v>
      </c>
      <c r="AW855" s="21">
        <f t="shared" si="111"/>
        <v>7.9430597478693188E-2</v>
      </c>
    </row>
    <row r="856" spans="1:49" x14ac:dyDescent="0.25">
      <c r="A856" t="s">
        <v>128</v>
      </c>
      <c r="B856" t="s">
        <v>210</v>
      </c>
      <c r="C856">
        <v>162818</v>
      </c>
      <c r="D856">
        <v>2003</v>
      </c>
      <c r="E856" t="s">
        <v>146</v>
      </c>
      <c r="F856" t="s">
        <v>1076</v>
      </c>
      <c r="I856">
        <v>4</v>
      </c>
      <c r="J856" t="s">
        <v>43</v>
      </c>
      <c r="K856">
        <v>2</v>
      </c>
      <c r="L856" t="s">
        <v>44</v>
      </c>
      <c r="M856">
        <v>2.4</v>
      </c>
      <c r="N856" t="s">
        <v>73</v>
      </c>
      <c r="O856" t="s">
        <v>46</v>
      </c>
      <c r="Q856" t="s">
        <v>74</v>
      </c>
      <c r="R856" t="s">
        <v>92</v>
      </c>
      <c r="S856" t="s">
        <v>49</v>
      </c>
      <c r="T856">
        <v>155</v>
      </c>
      <c r="U856" t="s">
        <v>50</v>
      </c>
      <c r="V856" t="s">
        <v>51</v>
      </c>
      <c r="W856" t="s">
        <v>1077</v>
      </c>
      <c r="X856" t="s">
        <v>65</v>
      </c>
      <c r="Y856" t="s">
        <v>78</v>
      </c>
      <c r="AA856">
        <v>0</v>
      </c>
      <c r="AB856" t="s">
        <v>79</v>
      </c>
      <c r="AC856" t="s">
        <v>95</v>
      </c>
      <c r="AD856">
        <v>36</v>
      </c>
      <c r="AE856">
        <v>9</v>
      </c>
      <c r="AF856">
        <v>3</v>
      </c>
      <c r="AG856">
        <v>2025</v>
      </c>
      <c r="AH856" s="2">
        <v>500</v>
      </c>
      <c r="AI856" s="2">
        <v>2170.796630859375</v>
      </c>
      <c r="AJ856" s="2">
        <f t="shared" si="104"/>
        <v>1670.796630859375</v>
      </c>
      <c r="AK856" s="6">
        <f t="shared" si="105"/>
        <v>3.3415932617187498</v>
      </c>
      <c r="AL856" s="12">
        <v>500</v>
      </c>
      <c r="AM856" s="12">
        <v>1930.867767535726</v>
      </c>
      <c r="AN856" s="12">
        <f t="shared" si="106"/>
        <v>1430.867767535726</v>
      </c>
      <c r="AO856" s="13">
        <f t="shared" si="107"/>
        <v>2.861735535071452</v>
      </c>
      <c r="AP856" s="16">
        <v>500</v>
      </c>
      <c r="AQ856" s="16">
        <v>2063.0861355682441</v>
      </c>
      <c r="AR856" s="16">
        <f t="shared" si="108"/>
        <v>1563.0861355682441</v>
      </c>
      <c r="AS856" s="17">
        <f t="shared" si="109"/>
        <v>3.1261722711364883</v>
      </c>
      <c r="AT856" s="20">
        <v>500</v>
      </c>
      <c r="AU856" s="20">
        <v>2155.523681640625</v>
      </c>
      <c r="AV856" s="20">
        <f t="shared" si="110"/>
        <v>1655.523681640625</v>
      </c>
      <c r="AW856" s="21">
        <f t="shared" si="111"/>
        <v>3.3110473632812498</v>
      </c>
    </row>
    <row r="857" spans="1:49" x14ac:dyDescent="0.25">
      <c r="A857" t="s">
        <v>38</v>
      </c>
      <c r="B857" t="s">
        <v>96</v>
      </c>
      <c r="C857">
        <v>260094</v>
      </c>
      <c r="D857">
        <v>2012</v>
      </c>
      <c r="E857" t="s">
        <v>97</v>
      </c>
      <c r="F857" t="s">
        <v>419</v>
      </c>
      <c r="G857" t="s">
        <v>155</v>
      </c>
      <c r="H857" t="s">
        <v>420</v>
      </c>
      <c r="I857">
        <v>8</v>
      </c>
      <c r="J857" t="s">
        <v>178</v>
      </c>
      <c r="K857">
        <v>4</v>
      </c>
      <c r="L857" t="s">
        <v>44</v>
      </c>
      <c r="M857">
        <v>5.3</v>
      </c>
      <c r="N857" t="s">
        <v>73</v>
      </c>
      <c r="O857" t="s">
        <v>46</v>
      </c>
      <c r="Q857" t="s">
        <v>62</v>
      </c>
      <c r="R857" t="s">
        <v>63</v>
      </c>
      <c r="S857" t="s">
        <v>179</v>
      </c>
      <c r="U857" t="s">
        <v>50</v>
      </c>
      <c r="V857" t="s">
        <v>76</v>
      </c>
      <c r="W857" t="s">
        <v>245</v>
      </c>
      <c r="X857" t="s">
        <v>108</v>
      </c>
      <c r="Y857" t="s">
        <v>78</v>
      </c>
      <c r="AA857">
        <v>0</v>
      </c>
      <c r="AB857" t="s">
        <v>79</v>
      </c>
      <c r="AC857" t="s">
        <v>87</v>
      </c>
      <c r="AD857">
        <v>36</v>
      </c>
      <c r="AE857">
        <v>9</v>
      </c>
      <c r="AF857">
        <v>3</v>
      </c>
      <c r="AG857">
        <v>2025</v>
      </c>
      <c r="AH857" s="2">
        <v>2200</v>
      </c>
      <c r="AI857" s="2">
        <v>3246.51611328125</v>
      </c>
      <c r="AJ857" s="2">
        <f t="shared" si="104"/>
        <v>1046.51611328125</v>
      </c>
      <c r="AK857" s="6">
        <f t="shared" si="105"/>
        <v>0.4756891424005682</v>
      </c>
      <c r="AL857" s="12">
        <v>2200</v>
      </c>
      <c r="AM857" s="12">
        <v>3278.3211509776379</v>
      </c>
      <c r="AN857" s="12">
        <f t="shared" si="106"/>
        <v>1078.3211509776379</v>
      </c>
      <c r="AO857" s="13">
        <f t="shared" si="107"/>
        <v>0.49014597771710816</v>
      </c>
      <c r="AP857" s="16">
        <v>2200</v>
      </c>
      <c r="AQ857" s="16">
        <v>2741.2406596475271</v>
      </c>
      <c r="AR857" s="16">
        <f t="shared" si="108"/>
        <v>541.24065964752708</v>
      </c>
      <c r="AS857" s="17">
        <f t="shared" si="109"/>
        <v>0.24601848165796686</v>
      </c>
      <c r="AT857" s="20">
        <v>2200</v>
      </c>
      <c r="AU857" s="20">
        <v>3299.765380859375</v>
      </c>
      <c r="AV857" s="20">
        <f t="shared" si="110"/>
        <v>1099.765380859375</v>
      </c>
      <c r="AW857" s="21">
        <f t="shared" si="111"/>
        <v>0.49989335493607956</v>
      </c>
    </row>
    <row r="858" spans="1:49" x14ac:dyDescent="0.25">
      <c r="A858" t="s">
        <v>114</v>
      </c>
      <c r="B858" t="s">
        <v>596</v>
      </c>
      <c r="C858">
        <v>34478</v>
      </c>
      <c r="D858">
        <v>2022</v>
      </c>
      <c r="E858" t="s">
        <v>97</v>
      </c>
      <c r="F858" t="s">
        <v>597</v>
      </c>
      <c r="G858" t="s">
        <v>590</v>
      </c>
      <c r="I858">
        <v>4</v>
      </c>
      <c r="J858" t="s">
        <v>61</v>
      </c>
      <c r="K858">
        <v>4</v>
      </c>
      <c r="L858" t="s">
        <v>44</v>
      </c>
      <c r="M858">
        <v>2</v>
      </c>
      <c r="N858" t="s">
        <v>45</v>
      </c>
      <c r="O858" t="s">
        <v>46</v>
      </c>
      <c r="P858">
        <v>4</v>
      </c>
      <c r="Q858" t="s">
        <v>62</v>
      </c>
      <c r="R858" t="s">
        <v>63</v>
      </c>
      <c r="S858" t="s">
        <v>101</v>
      </c>
      <c r="U858" t="s">
        <v>50</v>
      </c>
      <c r="V858" t="s">
        <v>51</v>
      </c>
      <c r="W858" t="s">
        <v>458</v>
      </c>
      <c r="X858" t="s">
        <v>94</v>
      </c>
      <c r="Y858" t="s">
        <v>126</v>
      </c>
      <c r="AA858">
        <v>0</v>
      </c>
      <c r="AB858" t="s">
        <v>79</v>
      </c>
      <c r="AC858" t="s">
        <v>87</v>
      </c>
      <c r="AD858">
        <v>36</v>
      </c>
      <c r="AE858">
        <v>9</v>
      </c>
      <c r="AF858">
        <v>3</v>
      </c>
      <c r="AG858">
        <v>2025</v>
      </c>
      <c r="AH858" s="2">
        <v>19900</v>
      </c>
      <c r="AI858" s="2">
        <v>22341.287109375</v>
      </c>
      <c r="AJ858" s="2">
        <f t="shared" si="104"/>
        <v>2441.287109375</v>
      </c>
      <c r="AK858" s="6">
        <f t="shared" si="105"/>
        <v>0.1226777441896985</v>
      </c>
      <c r="AL858" s="12">
        <v>19900</v>
      </c>
      <c r="AM858" s="12">
        <v>22800.990290145801</v>
      </c>
      <c r="AN858" s="12">
        <f t="shared" si="106"/>
        <v>2900.9902901458008</v>
      </c>
      <c r="AO858" s="13">
        <f t="shared" si="107"/>
        <v>0.14577840653999</v>
      </c>
      <c r="AP858" s="16">
        <v>19900</v>
      </c>
      <c r="AQ858" s="16">
        <v>21009.634067427811</v>
      </c>
      <c r="AR858" s="16">
        <f t="shared" si="108"/>
        <v>1109.6340674278108</v>
      </c>
      <c r="AS858" s="17">
        <f t="shared" si="109"/>
        <v>5.5760505900895013E-2</v>
      </c>
      <c r="AT858" s="20">
        <v>19900</v>
      </c>
      <c r="AU858" s="20">
        <v>22349.705078125</v>
      </c>
      <c r="AV858" s="20">
        <f t="shared" si="110"/>
        <v>2449.705078125</v>
      </c>
      <c r="AW858" s="21">
        <f t="shared" si="111"/>
        <v>0.12310075769472362</v>
      </c>
    </row>
    <row r="859" spans="1:49" x14ac:dyDescent="0.25">
      <c r="A859" t="s">
        <v>128</v>
      </c>
      <c r="B859" t="s">
        <v>129</v>
      </c>
      <c r="C859">
        <v>134836</v>
      </c>
      <c r="D859">
        <v>2017</v>
      </c>
      <c r="E859" t="s">
        <v>146</v>
      </c>
      <c r="F859" t="s">
        <v>565</v>
      </c>
      <c r="I859">
        <v>8</v>
      </c>
      <c r="J859" t="s">
        <v>106</v>
      </c>
      <c r="K859">
        <v>4</v>
      </c>
      <c r="L859" t="s">
        <v>44</v>
      </c>
      <c r="M859">
        <v>5.6</v>
      </c>
      <c r="N859" t="s">
        <v>73</v>
      </c>
      <c r="O859" t="s">
        <v>46</v>
      </c>
      <c r="P859">
        <v>1</v>
      </c>
      <c r="Q859" t="s">
        <v>74</v>
      </c>
      <c r="R859" t="s">
        <v>92</v>
      </c>
      <c r="S859" t="s">
        <v>49</v>
      </c>
      <c r="U859" t="s">
        <v>50</v>
      </c>
      <c r="X859" t="s">
        <v>108</v>
      </c>
      <c r="Y859" t="s">
        <v>78</v>
      </c>
      <c r="AA859">
        <v>0</v>
      </c>
      <c r="AB859" t="s">
        <v>79</v>
      </c>
      <c r="AC859" t="s">
        <v>95</v>
      </c>
      <c r="AD859">
        <v>36</v>
      </c>
      <c r="AE859">
        <v>9</v>
      </c>
      <c r="AF859">
        <v>3</v>
      </c>
      <c r="AG859">
        <v>2025</v>
      </c>
      <c r="AH859" s="2">
        <v>3900</v>
      </c>
      <c r="AI859" s="2">
        <v>5656.4794921875</v>
      </c>
      <c r="AJ859" s="2">
        <f t="shared" si="104"/>
        <v>1756.4794921875</v>
      </c>
      <c r="AK859" s="6">
        <f t="shared" si="105"/>
        <v>0.45037935697115383</v>
      </c>
      <c r="AL859" s="12">
        <v>3900</v>
      </c>
      <c r="AM859" s="12">
        <v>7019.3853514758102</v>
      </c>
      <c r="AN859" s="12">
        <f t="shared" si="106"/>
        <v>3119.3853514758102</v>
      </c>
      <c r="AO859" s="13">
        <f t="shared" si="107"/>
        <v>0.79984239781431032</v>
      </c>
      <c r="AP859" s="16">
        <v>3900</v>
      </c>
      <c r="AQ859" s="16">
        <v>6427.4498596456997</v>
      </c>
      <c r="AR859" s="16">
        <f t="shared" si="108"/>
        <v>2527.4498596456997</v>
      </c>
      <c r="AS859" s="17">
        <f t="shared" si="109"/>
        <v>0.64806406657582039</v>
      </c>
      <c r="AT859" s="20">
        <v>3900</v>
      </c>
      <c r="AU859" s="20">
        <v>5842.77294921875</v>
      </c>
      <c r="AV859" s="20">
        <f t="shared" si="110"/>
        <v>1942.77294921875</v>
      </c>
      <c r="AW859" s="21">
        <f t="shared" si="111"/>
        <v>0.49814691005608974</v>
      </c>
    </row>
    <row r="860" spans="1:49" x14ac:dyDescent="0.25">
      <c r="A860" t="s">
        <v>128</v>
      </c>
      <c r="B860" t="s">
        <v>210</v>
      </c>
      <c r="C860">
        <v>137031</v>
      </c>
      <c r="D860">
        <v>2012</v>
      </c>
      <c r="E860" t="s">
        <v>162</v>
      </c>
      <c r="F860" t="s">
        <v>163</v>
      </c>
      <c r="G860" t="s">
        <v>1078</v>
      </c>
      <c r="I860">
        <v>4</v>
      </c>
      <c r="J860" t="s">
        <v>72</v>
      </c>
      <c r="K860">
        <v>4</v>
      </c>
      <c r="L860" t="s">
        <v>44</v>
      </c>
      <c r="M860">
        <v>2.4</v>
      </c>
      <c r="N860" t="s">
        <v>45</v>
      </c>
      <c r="O860" t="s">
        <v>46</v>
      </c>
      <c r="Q860" t="s">
        <v>47</v>
      </c>
      <c r="R860" t="s">
        <v>123</v>
      </c>
      <c r="U860" t="s">
        <v>50</v>
      </c>
      <c r="W860" t="s">
        <v>193</v>
      </c>
      <c r="X860" t="s">
        <v>125</v>
      </c>
      <c r="Y860" t="s">
        <v>78</v>
      </c>
      <c r="AA860">
        <v>0</v>
      </c>
      <c r="AB860" t="s">
        <v>79</v>
      </c>
      <c r="AC860" t="s">
        <v>127</v>
      </c>
      <c r="AD860">
        <v>36</v>
      </c>
      <c r="AE860">
        <v>9</v>
      </c>
      <c r="AF860">
        <v>3</v>
      </c>
      <c r="AG860">
        <v>2025</v>
      </c>
      <c r="AH860" s="2">
        <v>800</v>
      </c>
      <c r="AI860" s="2">
        <v>1962.520385742188</v>
      </c>
      <c r="AJ860" s="2">
        <f t="shared" si="104"/>
        <v>1162.520385742188</v>
      </c>
      <c r="AK860" s="6">
        <f t="shared" si="105"/>
        <v>1.453150482177735</v>
      </c>
      <c r="AL860" s="12">
        <v>800</v>
      </c>
      <c r="AM860" s="12">
        <v>2143.6001967738512</v>
      </c>
      <c r="AN860" s="12">
        <f t="shared" si="106"/>
        <v>1343.6001967738512</v>
      </c>
      <c r="AO860" s="13">
        <f t="shared" si="107"/>
        <v>1.6795002459673141</v>
      </c>
      <c r="AP860" s="16">
        <v>800</v>
      </c>
      <c r="AQ860" s="16">
        <v>1968.36402339597</v>
      </c>
      <c r="AR860" s="16">
        <f t="shared" si="108"/>
        <v>1168.36402339597</v>
      </c>
      <c r="AS860" s="17">
        <f t="shared" si="109"/>
        <v>1.4604550292449625</v>
      </c>
      <c r="AT860" s="20">
        <v>800</v>
      </c>
      <c r="AU860" s="20">
        <v>1959.10595703125</v>
      </c>
      <c r="AV860" s="20">
        <f t="shared" si="110"/>
        <v>1159.10595703125</v>
      </c>
      <c r="AW860" s="21">
        <f t="shared" si="111"/>
        <v>1.4488824462890626</v>
      </c>
    </row>
    <row r="861" spans="1:49" x14ac:dyDescent="0.25">
      <c r="A861" t="s">
        <v>128</v>
      </c>
      <c r="B861" t="s">
        <v>129</v>
      </c>
      <c r="C861">
        <v>92507</v>
      </c>
      <c r="D861">
        <v>2018</v>
      </c>
      <c r="E861" t="s">
        <v>116</v>
      </c>
      <c r="F861" t="s">
        <v>194</v>
      </c>
      <c r="G861" t="s">
        <v>396</v>
      </c>
      <c r="I861">
        <v>6</v>
      </c>
      <c r="J861" t="s">
        <v>61</v>
      </c>
      <c r="K861">
        <v>2</v>
      </c>
      <c r="L861" t="s">
        <v>44</v>
      </c>
      <c r="M861">
        <v>3.6</v>
      </c>
      <c r="N861" t="s">
        <v>73</v>
      </c>
      <c r="Q861" t="s">
        <v>47</v>
      </c>
      <c r="R861" t="s">
        <v>197</v>
      </c>
      <c r="S861" t="s">
        <v>179</v>
      </c>
      <c r="T861">
        <v>305</v>
      </c>
      <c r="U861" t="s">
        <v>50</v>
      </c>
      <c r="V861" t="s">
        <v>76</v>
      </c>
      <c r="X861" t="s">
        <v>125</v>
      </c>
      <c r="Y861" t="s">
        <v>103</v>
      </c>
      <c r="Z861">
        <v>27295</v>
      </c>
      <c r="AA861">
        <v>0</v>
      </c>
      <c r="AB861" t="s">
        <v>79</v>
      </c>
      <c r="AC861" t="s">
        <v>197</v>
      </c>
      <c r="AD861">
        <v>36</v>
      </c>
      <c r="AE861">
        <v>9</v>
      </c>
      <c r="AF861">
        <v>3</v>
      </c>
      <c r="AG861">
        <v>2025</v>
      </c>
      <c r="AH861" s="2">
        <v>10000</v>
      </c>
      <c r="AI861" s="2">
        <v>12424.0419921875</v>
      </c>
      <c r="AJ861" s="2">
        <f t="shared" si="104"/>
        <v>2424.0419921875</v>
      </c>
      <c r="AK861" s="6">
        <f t="shared" si="105"/>
        <v>0.24240419921875</v>
      </c>
      <c r="AL861" s="12">
        <v>10000</v>
      </c>
      <c r="AM861" s="12">
        <v>12455.122364370351</v>
      </c>
      <c r="AN861" s="12">
        <f t="shared" si="106"/>
        <v>2455.1223643703506</v>
      </c>
      <c r="AO861" s="13">
        <f t="shared" si="107"/>
        <v>0.24551223643703507</v>
      </c>
      <c r="AP861" s="16">
        <v>10000</v>
      </c>
      <c r="AQ861" s="16">
        <v>11119.573921373471</v>
      </c>
      <c r="AR861" s="16">
        <f t="shared" si="108"/>
        <v>1119.5739213734705</v>
      </c>
      <c r="AS861" s="17">
        <f t="shared" si="109"/>
        <v>0.11195739213734705</v>
      </c>
      <c r="AT861" s="20">
        <v>10000</v>
      </c>
      <c r="AU861" s="20">
        <v>12453.9501953125</v>
      </c>
      <c r="AV861" s="20">
        <f t="shared" si="110"/>
        <v>2453.9501953125</v>
      </c>
      <c r="AW861" s="21">
        <f t="shared" si="111"/>
        <v>0.24539501953125001</v>
      </c>
    </row>
    <row r="862" spans="1:49" x14ac:dyDescent="0.25">
      <c r="A862" t="s">
        <v>38</v>
      </c>
      <c r="B862" t="s">
        <v>39</v>
      </c>
      <c r="C862">
        <v>288730</v>
      </c>
      <c r="D862">
        <v>2011</v>
      </c>
      <c r="E862" t="s">
        <v>40</v>
      </c>
      <c r="F862" t="s">
        <v>643</v>
      </c>
      <c r="H862" t="s">
        <v>644</v>
      </c>
      <c r="I862">
        <v>6</v>
      </c>
      <c r="J862" t="s">
        <v>72</v>
      </c>
      <c r="K862">
        <v>4</v>
      </c>
      <c r="L862" t="s">
        <v>44</v>
      </c>
      <c r="M862">
        <v>3.5</v>
      </c>
      <c r="N862" t="s">
        <v>45</v>
      </c>
      <c r="O862" t="s">
        <v>46</v>
      </c>
      <c r="P862">
        <v>2</v>
      </c>
      <c r="Q862" t="s">
        <v>62</v>
      </c>
      <c r="R862" t="s">
        <v>225</v>
      </c>
      <c r="S862" t="s">
        <v>49</v>
      </c>
      <c r="T862">
        <v>265</v>
      </c>
      <c r="U862" t="s">
        <v>50</v>
      </c>
      <c r="V862" t="s">
        <v>76</v>
      </c>
      <c r="W862" t="s">
        <v>290</v>
      </c>
      <c r="X862" t="s">
        <v>141</v>
      </c>
      <c r="Y862" t="s">
        <v>78</v>
      </c>
      <c r="AA862">
        <v>0</v>
      </c>
      <c r="AB862" t="s">
        <v>79</v>
      </c>
      <c r="AC862" t="s">
        <v>225</v>
      </c>
      <c r="AD862">
        <v>36</v>
      </c>
      <c r="AE862">
        <v>9</v>
      </c>
      <c r="AF862">
        <v>3</v>
      </c>
      <c r="AG862">
        <v>2025</v>
      </c>
      <c r="AH862" s="2">
        <v>1100</v>
      </c>
      <c r="AI862" s="2">
        <v>1558.685668945312</v>
      </c>
      <c r="AJ862" s="2">
        <f t="shared" si="104"/>
        <v>458.68566894531205</v>
      </c>
      <c r="AK862" s="6">
        <f t="shared" si="105"/>
        <v>0.4169869717684655</v>
      </c>
      <c r="AL862" s="12">
        <v>1100</v>
      </c>
      <c r="AM862" s="12">
        <v>1634.071548133606</v>
      </c>
      <c r="AN862" s="12">
        <f t="shared" si="106"/>
        <v>534.07154813360603</v>
      </c>
      <c r="AO862" s="13">
        <f t="shared" si="107"/>
        <v>0.4855195892123691</v>
      </c>
      <c r="AP862" s="16">
        <v>1100</v>
      </c>
      <c r="AQ862" s="16">
        <v>1404.849326250483</v>
      </c>
      <c r="AR862" s="16">
        <f t="shared" si="108"/>
        <v>304.84932625048305</v>
      </c>
      <c r="AS862" s="17">
        <f t="shared" si="109"/>
        <v>0.27713575113680278</v>
      </c>
      <c r="AT862" s="20">
        <v>1100</v>
      </c>
      <c r="AU862" s="20">
        <v>1557.346801757812</v>
      </c>
      <c r="AV862" s="20">
        <f t="shared" si="110"/>
        <v>457.34680175781205</v>
      </c>
      <c r="AW862" s="21">
        <f t="shared" si="111"/>
        <v>0.41576981977982913</v>
      </c>
    </row>
    <row r="863" spans="1:49" x14ac:dyDescent="0.25">
      <c r="A863" t="s">
        <v>128</v>
      </c>
      <c r="B863" t="s">
        <v>129</v>
      </c>
      <c r="C863">
        <v>161010</v>
      </c>
      <c r="D863">
        <v>2014</v>
      </c>
      <c r="E863" t="s">
        <v>146</v>
      </c>
      <c r="F863" t="s">
        <v>153</v>
      </c>
      <c r="I863">
        <v>6</v>
      </c>
      <c r="J863" t="s">
        <v>43</v>
      </c>
      <c r="K863">
        <v>4</v>
      </c>
      <c r="L863" t="s">
        <v>44</v>
      </c>
      <c r="M863">
        <v>3.5</v>
      </c>
      <c r="N863" t="s">
        <v>45</v>
      </c>
      <c r="O863" t="s">
        <v>46</v>
      </c>
      <c r="P863">
        <v>2</v>
      </c>
      <c r="Q863" t="s">
        <v>47</v>
      </c>
      <c r="R863" t="s">
        <v>123</v>
      </c>
      <c r="S863" t="s">
        <v>49</v>
      </c>
      <c r="U863" t="s">
        <v>50</v>
      </c>
      <c r="X863" t="s">
        <v>125</v>
      </c>
      <c r="Y863" t="s">
        <v>78</v>
      </c>
      <c r="AA863">
        <v>0</v>
      </c>
      <c r="AB863" t="s">
        <v>79</v>
      </c>
      <c r="AC863" t="s">
        <v>127</v>
      </c>
      <c r="AD863">
        <v>36</v>
      </c>
      <c r="AE863">
        <v>9</v>
      </c>
      <c r="AF863">
        <v>3</v>
      </c>
      <c r="AG863">
        <v>2025</v>
      </c>
      <c r="AH863" s="2">
        <v>1100</v>
      </c>
      <c r="AI863" s="2">
        <v>1281.312377929688</v>
      </c>
      <c r="AJ863" s="2">
        <f t="shared" si="104"/>
        <v>181.31237792968795</v>
      </c>
      <c r="AK863" s="6">
        <f t="shared" si="105"/>
        <v>0.1648294344815345</v>
      </c>
      <c r="AL863" s="12">
        <v>1100</v>
      </c>
      <c r="AM863" s="12">
        <v>1498.507464036961</v>
      </c>
      <c r="AN863" s="12">
        <f t="shared" si="106"/>
        <v>398.50746403696098</v>
      </c>
      <c r="AO863" s="13">
        <f t="shared" si="107"/>
        <v>0.36227951276087361</v>
      </c>
      <c r="AP863" s="16">
        <v>1100</v>
      </c>
      <c r="AQ863" s="16">
        <v>1336.695484625156</v>
      </c>
      <c r="AR863" s="16">
        <f t="shared" si="108"/>
        <v>236.69548462515604</v>
      </c>
      <c r="AS863" s="17">
        <f t="shared" si="109"/>
        <v>0.2151777132955964</v>
      </c>
      <c r="AT863" s="20">
        <v>1100</v>
      </c>
      <c r="AU863" s="20">
        <v>1273.919799804688</v>
      </c>
      <c r="AV863" s="20">
        <f t="shared" si="110"/>
        <v>173.91979980468795</v>
      </c>
      <c r="AW863" s="21">
        <f t="shared" si="111"/>
        <v>0.15810890891335269</v>
      </c>
    </row>
    <row r="864" spans="1:49" x14ac:dyDescent="0.25">
      <c r="A864" t="s">
        <v>128</v>
      </c>
      <c r="B864" t="s">
        <v>129</v>
      </c>
      <c r="C864">
        <v>144414</v>
      </c>
      <c r="D864">
        <v>2011</v>
      </c>
      <c r="E864" t="s">
        <v>146</v>
      </c>
      <c r="F864" t="s">
        <v>1076</v>
      </c>
      <c r="I864">
        <v>6</v>
      </c>
      <c r="J864" t="s">
        <v>72</v>
      </c>
      <c r="K864">
        <v>4</v>
      </c>
      <c r="L864" t="s">
        <v>44</v>
      </c>
      <c r="M864">
        <v>4</v>
      </c>
      <c r="N864" t="s">
        <v>73</v>
      </c>
      <c r="Q864" t="s">
        <v>74</v>
      </c>
      <c r="R864" t="s">
        <v>92</v>
      </c>
      <c r="S864" t="s">
        <v>49</v>
      </c>
      <c r="U864" t="s">
        <v>50</v>
      </c>
      <c r="X864" t="s">
        <v>141</v>
      </c>
      <c r="Y864" t="s">
        <v>78</v>
      </c>
      <c r="AA864">
        <v>0</v>
      </c>
      <c r="AB864" t="s">
        <v>79</v>
      </c>
      <c r="AC864" t="s">
        <v>95</v>
      </c>
      <c r="AD864">
        <v>36</v>
      </c>
      <c r="AE864">
        <v>9</v>
      </c>
      <c r="AF864">
        <v>3</v>
      </c>
      <c r="AG864">
        <v>2025</v>
      </c>
      <c r="AH864" s="2">
        <v>6800</v>
      </c>
      <c r="AI864" s="2">
        <v>4101.1181640625</v>
      </c>
      <c r="AJ864" s="2">
        <f t="shared" si="104"/>
        <v>2698.8818359375</v>
      </c>
      <c r="AK864" s="6">
        <f t="shared" si="105"/>
        <v>0.39689438763786766</v>
      </c>
      <c r="AL864" s="12">
        <v>6800</v>
      </c>
      <c r="AM864" s="12">
        <v>3921.3588793113022</v>
      </c>
      <c r="AN864" s="12">
        <f t="shared" si="106"/>
        <v>2878.6411206886978</v>
      </c>
      <c r="AO864" s="13">
        <f t="shared" si="107"/>
        <v>0.42332957657186732</v>
      </c>
      <c r="AP864" s="16">
        <v>6800</v>
      </c>
      <c r="AQ864" s="16">
        <v>4289.4899413984203</v>
      </c>
      <c r="AR864" s="16">
        <f t="shared" si="108"/>
        <v>2510.5100586015797</v>
      </c>
      <c r="AS864" s="17">
        <f t="shared" si="109"/>
        <v>0.3691926556767029</v>
      </c>
      <c r="AT864" s="20">
        <v>6800</v>
      </c>
      <c r="AU864" s="20">
        <v>4142.12451171875</v>
      </c>
      <c r="AV864" s="20">
        <f t="shared" si="110"/>
        <v>2657.87548828125</v>
      </c>
      <c r="AW864" s="21">
        <f t="shared" si="111"/>
        <v>0.39086404239430145</v>
      </c>
    </row>
    <row r="865" spans="1:49" x14ac:dyDescent="0.25">
      <c r="A865" t="s">
        <v>128</v>
      </c>
      <c r="B865" t="s">
        <v>129</v>
      </c>
      <c r="C865">
        <v>159387</v>
      </c>
      <c r="D865">
        <v>2010</v>
      </c>
      <c r="E865" t="s">
        <v>40</v>
      </c>
      <c r="F865" t="s">
        <v>233</v>
      </c>
      <c r="G865" t="s">
        <v>830</v>
      </c>
      <c r="H865" t="s">
        <v>1079</v>
      </c>
      <c r="I865">
        <v>6</v>
      </c>
      <c r="J865" t="s">
        <v>61</v>
      </c>
      <c r="K865">
        <v>4</v>
      </c>
      <c r="L865" t="s">
        <v>44</v>
      </c>
      <c r="M865">
        <v>3.5</v>
      </c>
      <c r="N865" t="s">
        <v>91</v>
      </c>
      <c r="O865" t="s">
        <v>46</v>
      </c>
      <c r="P865">
        <v>3</v>
      </c>
      <c r="Q865" t="s">
        <v>62</v>
      </c>
      <c r="R865" t="s">
        <v>63</v>
      </c>
      <c r="S865" t="s">
        <v>93</v>
      </c>
      <c r="T865">
        <v>269</v>
      </c>
      <c r="U865" t="s">
        <v>50</v>
      </c>
      <c r="V865" t="s">
        <v>76</v>
      </c>
      <c r="W865" t="s">
        <v>290</v>
      </c>
      <c r="X865" t="s">
        <v>65</v>
      </c>
      <c r="Y865" t="s">
        <v>103</v>
      </c>
      <c r="AA865">
        <v>0</v>
      </c>
      <c r="AB865" t="s">
        <v>79</v>
      </c>
      <c r="AC865" t="s">
        <v>87</v>
      </c>
      <c r="AD865">
        <v>36</v>
      </c>
      <c r="AE865">
        <v>9</v>
      </c>
      <c r="AF865">
        <v>3</v>
      </c>
      <c r="AG865">
        <v>2025</v>
      </c>
      <c r="AH865" s="2">
        <v>4000</v>
      </c>
      <c r="AI865" s="2">
        <v>3371.45703125</v>
      </c>
      <c r="AJ865" s="2">
        <f t="shared" si="104"/>
        <v>628.54296875</v>
      </c>
      <c r="AK865" s="6">
        <f t="shared" si="105"/>
        <v>0.15713574218750001</v>
      </c>
      <c r="AL865" s="12">
        <v>4000</v>
      </c>
      <c r="AM865" s="12">
        <v>3743.4355494579981</v>
      </c>
      <c r="AN865" s="12">
        <f t="shared" si="106"/>
        <v>256.56445054200185</v>
      </c>
      <c r="AO865" s="13">
        <f t="shared" si="107"/>
        <v>6.4141112635500458E-2</v>
      </c>
      <c r="AP865" s="16">
        <v>4000</v>
      </c>
      <c r="AQ865" s="16">
        <v>2847.744321850299</v>
      </c>
      <c r="AR865" s="16">
        <f t="shared" si="108"/>
        <v>1152.255678149701</v>
      </c>
      <c r="AS865" s="17">
        <f t="shared" si="109"/>
        <v>0.28806391953742527</v>
      </c>
      <c r="AT865" s="20">
        <v>4000</v>
      </c>
      <c r="AU865" s="20">
        <v>3407.356689453125</v>
      </c>
      <c r="AV865" s="20">
        <f t="shared" si="110"/>
        <v>592.643310546875</v>
      </c>
      <c r="AW865" s="21">
        <f t="shared" si="111"/>
        <v>0.14816082763671876</v>
      </c>
    </row>
    <row r="866" spans="1:49" x14ac:dyDescent="0.25">
      <c r="A866" t="s">
        <v>81</v>
      </c>
      <c r="B866" t="s">
        <v>82</v>
      </c>
      <c r="C866">
        <v>250679</v>
      </c>
      <c r="D866">
        <v>2015</v>
      </c>
      <c r="E866" t="s">
        <v>146</v>
      </c>
      <c r="F866" t="s">
        <v>334</v>
      </c>
      <c r="I866">
        <v>4</v>
      </c>
      <c r="J866" t="s">
        <v>61</v>
      </c>
      <c r="K866">
        <v>4</v>
      </c>
      <c r="L866" t="s">
        <v>44</v>
      </c>
      <c r="M866">
        <v>2.5</v>
      </c>
      <c r="N866" t="s">
        <v>45</v>
      </c>
      <c r="O866" t="s">
        <v>46</v>
      </c>
      <c r="Q866" t="s">
        <v>47</v>
      </c>
      <c r="R866" t="s">
        <v>123</v>
      </c>
      <c r="S866" t="s">
        <v>101</v>
      </c>
      <c r="U866" t="s">
        <v>50</v>
      </c>
      <c r="X866" t="s">
        <v>125</v>
      </c>
      <c r="Y866" t="s">
        <v>78</v>
      </c>
      <c r="AA866">
        <v>0</v>
      </c>
      <c r="AB866" t="s">
        <v>79</v>
      </c>
      <c r="AC866" t="s">
        <v>127</v>
      </c>
      <c r="AD866">
        <v>36</v>
      </c>
      <c r="AE866">
        <v>9</v>
      </c>
      <c r="AF866">
        <v>3</v>
      </c>
      <c r="AG866">
        <v>2025</v>
      </c>
      <c r="AH866" s="2">
        <v>400</v>
      </c>
      <c r="AI866" s="2">
        <v>943.88995361328125</v>
      </c>
      <c r="AJ866" s="2">
        <f t="shared" si="104"/>
        <v>543.88995361328125</v>
      </c>
      <c r="AK866" s="6">
        <f t="shared" si="105"/>
        <v>1.359724884033203</v>
      </c>
      <c r="AL866" s="12">
        <v>400</v>
      </c>
      <c r="AM866" s="12">
        <v>1060.5043487694579</v>
      </c>
      <c r="AN866" s="12">
        <f t="shared" si="106"/>
        <v>660.50434876945792</v>
      </c>
      <c r="AO866" s="13">
        <f t="shared" si="107"/>
        <v>1.6512608719236448</v>
      </c>
      <c r="AP866" s="16">
        <v>400</v>
      </c>
      <c r="AQ866" s="16">
        <v>849.69266343205948</v>
      </c>
      <c r="AR866" s="16">
        <f t="shared" si="108"/>
        <v>449.69266343205948</v>
      </c>
      <c r="AS866" s="17">
        <f t="shared" si="109"/>
        <v>1.1242316585801486</v>
      </c>
      <c r="AT866" s="20">
        <v>400</v>
      </c>
      <c r="AU866" s="20">
        <v>919.52838134765625</v>
      </c>
      <c r="AV866" s="20">
        <f t="shared" si="110"/>
        <v>519.52838134765625</v>
      </c>
      <c r="AW866" s="21">
        <f t="shared" si="111"/>
        <v>1.2988209533691406</v>
      </c>
    </row>
    <row r="867" spans="1:49" x14ac:dyDescent="0.25">
      <c r="A867" t="s">
        <v>81</v>
      </c>
      <c r="B867" t="s">
        <v>82</v>
      </c>
      <c r="C867">
        <v>156421</v>
      </c>
      <c r="D867">
        <v>2014</v>
      </c>
      <c r="E867" t="s">
        <v>166</v>
      </c>
      <c r="F867" t="s">
        <v>562</v>
      </c>
      <c r="G867" t="s">
        <v>670</v>
      </c>
      <c r="I867">
        <v>6</v>
      </c>
      <c r="J867" t="s">
        <v>61</v>
      </c>
      <c r="K867">
        <v>4</v>
      </c>
      <c r="L867" t="s">
        <v>44</v>
      </c>
      <c r="M867">
        <v>3.5</v>
      </c>
      <c r="N867" t="s">
        <v>45</v>
      </c>
      <c r="O867" t="s">
        <v>46</v>
      </c>
      <c r="Q867" t="s">
        <v>47</v>
      </c>
      <c r="R867" t="s">
        <v>123</v>
      </c>
      <c r="T867">
        <v>278</v>
      </c>
      <c r="U867" t="s">
        <v>50</v>
      </c>
      <c r="V867" t="s">
        <v>76</v>
      </c>
      <c r="W867" t="s">
        <v>671</v>
      </c>
      <c r="X867" t="s">
        <v>65</v>
      </c>
      <c r="Y867" t="s">
        <v>78</v>
      </c>
      <c r="AA867">
        <v>0</v>
      </c>
      <c r="AB867" t="s">
        <v>79</v>
      </c>
      <c r="AC867" t="s">
        <v>127</v>
      </c>
      <c r="AD867">
        <v>36</v>
      </c>
      <c r="AE867">
        <v>9</v>
      </c>
      <c r="AF867">
        <v>3</v>
      </c>
      <c r="AG867">
        <v>2025</v>
      </c>
      <c r="AH867" s="2">
        <v>5300</v>
      </c>
      <c r="AI867" s="2">
        <v>4328.8291015625</v>
      </c>
      <c r="AJ867" s="2">
        <f t="shared" si="104"/>
        <v>971.1708984375</v>
      </c>
      <c r="AK867" s="6">
        <f t="shared" si="105"/>
        <v>0.18323979215801886</v>
      </c>
      <c r="AL867" s="12">
        <v>5300</v>
      </c>
      <c r="AM867" s="12">
        <v>4648.1424834326781</v>
      </c>
      <c r="AN867" s="12">
        <f t="shared" si="106"/>
        <v>651.85751656732191</v>
      </c>
      <c r="AO867" s="13">
        <f t="shared" si="107"/>
        <v>0.12299198425798527</v>
      </c>
      <c r="AP867" s="16">
        <v>5300</v>
      </c>
      <c r="AQ867" s="16">
        <v>3445.4179366335829</v>
      </c>
      <c r="AR867" s="16">
        <f t="shared" si="108"/>
        <v>1854.5820633664171</v>
      </c>
      <c r="AS867" s="17">
        <f t="shared" si="109"/>
        <v>0.34992114403139946</v>
      </c>
      <c r="AT867" s="20">
        <v>5300</v>
      </c>
      <c r="AU867" s="20">
        <v>4405.67529296875</v>
      </c>
      <c r="AV867" s="20">
        <f t="shared" si="110"/>
        <v>894.32470703125</v>
      </c>
      <c r="AW867" s="21">
        <f t="shared" si="111"/>
        <v>0.16874051076061319</v>
      </c>
    </row>
    <row r="868" spans="1:49" x14ac:dyDescent="0.25">
      <c r="A868" t="s">
        <v>128</v>
      </c>
      <c r="B868" t="s">
        <v>484</v>
      </c>
      <c r="C868">
        <v>118225</v>
      </c>
      <c r="D868">
        <v>2016</v>
      </c>
      <c r="E868" t="s">
        <v>174</v>
      </c>
      <c r="F868" t="s">
        <v>254</v>
      </c>
      <c r="H868" t="s">
        <v>1080</v>
      </c>
      <c r="I868">
        <v>4</v>
      </c>
      <c r="J868" t="s">
        <v>72</v>
      </c>
      <c r="K868">
        <v>4</v>
      </c>
      <c r="L868" t="s">
        <v>44</v>
      </c>
      <c r="M868">
        <v>2.4</v>
      </c>
      <c r="N868" t="s">
        <v>44</v>
      </c>
      <c r="O868" t="s">
        <v>46</v>
      </c>
      <c r="P868">
        <v>4</v>
      </c>
      <c r="Q868" t="s">
        <v>62</v>
      </c>
      <c r="R868" t="s">
        <v>63</v>
      </c>
      <c r="S868" t="s">
        <v>85</v>
      </c>
      <c r="U868" t="s">
        <v>50</v>
      </c>
      <c r="W868" t="s">
        <v>743</v>
      </c>
      <c r="X868" t="s">
        <v>141</v>
      </c>
      <c r="Y868" t="s">
        <v>103</v>
      </c>
      <c r="AA868">
        <v>0</v>
      </c>
      <c r="AB868" t="s">
        <v>79</v>
      </c>
      <c r="AC868" t="s">
        <v>87</v>
      </c>
      <c r="AD868">
        <v>36</v>
      </c>
      <c r="AE868">
        <v>9</v>
      </c>
      <c r="AF868">
        <v>3</v>
      </c>
      <c r="AG868">
        <v>2025</v>
      </c>
      <c r="AH868" s="2">
        <v>5000</v>
      </c>
      <c r="AI868" s="2">
        <v>6600.92431640625</v>
      </c>
      <c r="AJ868" s="2">
        <f t="shared" si="104"/>
        <v>1600.92431640625</v>
      </c>
      <c r="AK868" s="6">
        <f t="shared" si="105"/>
        <v>0.32018486328125001</v>
      </c>
      <c r="AL868" s="12">
        <v>5000</v>
      </c>
      <c r="AM868" s="12">
        <v>6662.1125137714334</v>
      </c>
      <c r="AN868" s="12">
        <f t="shared" si="106"/>
        <v>1662.1125137714334</v>
      </c>
      <c r="AO868" s="13">
        <f t="shared" si="107"/>
        <v>0.3324225027542867</v>
      </c>
      <c r="AP868" s="16">
        <v>5000</v>
      </c>
      <c r="AQ868" s="16">
        <v>6034.5143026976893</v>
      </c>
      <c r="AR868" s="16">
        <f t="shared" si="108"/>
        <v>1034.5143026976893</v>
      </c>
      <c r="AS868" s="17">
        <f t="shared" si="109"/>
        <v>0.20690286053953788</v>
      </c>
      <c r="AT868" s="20">
        <v>5000</v>
      </c>
      <c r="AU868" s="20">
        <v>6674.56787109375</v>
      </c>
      <c r="AV868" s="20">
        <f t="shared" si="110"/>
        <v>1674.56787109375</v>
      </c>
      <c r="AW868" s="21">
        <f t="shared" si="111"/>
        <v>0.33491357421875001</v>
      </c>
    </row>
    <row r="869" spans="1:49" x14ac:dyDescent="0.25">
      <c r="A869" t="s">
        <v>38</v>
      </c>
      <c r="B869" t="s">
        <v>39</v>
      </c>
      <c r="C869">
        <v>99574</v>
      </c>
      <c r="D869">
        <v>2013</v>
      </c>
      <c r="E869" t="s">
        <v>83</v>
      </c>
      <c r="F869" t="s">
        <v>1081</v>
      </c>
      <c r="G869" t="s">
        <v>1082</v>
      </c>
      <c r="I869">
        <v>4</v>
      </c>
      <c r="J869" t="s">
        <v>72</v>
      </c>
      <c r="K869">
        <v>4</v>
      </c>
      <c r="L869" t="s">
        <v>44</v>
      </c>
      <c r="M869">
        <v>2</v>
      </c>
      <c r="N869" t="s">
        <v>45</v>
      </c>
      <c r="O869" t="s">
        <v>46</v>
      </c>
      <c r="P869">
        <v>3</v>
      </c>
      <c r="Q869" t="s">
        <v>47</v>
      </c>
      <c r="R869" t="s">
        <v>123</v>
      </c>
      <c r="T869">
        <v>150</v>
      </c>
      <c r="U869" t="s">
        <v>50</v>
      </c>
      <c r="V869" t="s">
        <v>51</v>
      </c>
      <c r="W869" t="s">
        <v>1083</v>
      </c>
      <c r="X869" t="s">
        <v>53</v>
      </c>
      <c r="Y869" t="s">
        <v>78</v>
      </c>
      <c r="AA869">
        <v>0</v>
      </c>
      <c r="AB869" t="s">
        <v>79</v>
      </c>
      <c r="AC869" t="s">
        <v>127</v>
      </c>
      <c r="AD869">
        <v>36</v>
      </c>
      <c r="AE869">
        <v>9</v>
      </c>
      <c r="AF869">
        <v>3</v>
      </c>
      <c r="AG869">
        <v>2025</v>
      </c>
      <c r="AH869" s="2">
        <v>6700</v>
      </c>
      <c r="AI869" s="2">
        <v>3391.802978515625</v>
      </c>
      <c r="AJ869" s="2">
        <f t="shared" si="104"/>
        <v>3308.197021484375</v>
      </c>
      <c r="AK869" s="6">
        <f t="shared" si="105"/>
        <v>0.49376074947527987</v>
      </c>
      <c r="AL869" s="12">
        <v>6700</v>
      </c>
      <c r="AM869" s="12">
        <v>4268.7262168662292</v>
      </c>
      <c r="AN869" s="12">
        <f t="shared" si="106"/>
        <v>2431.2737831337708</v>
      </c>
      <c r="AO869" s="13">
        <f t="shared" si="107"/>
        <v>0.36287668404981654</v>
      </c>
      <c r="AP869" s="16">
        <v>6700</v>
      </c>
      <c r="AQ869" s="16">
        <v>5576.509957756517</v>
      </c>
      <c r="AR869" s="16">
        <f t="shared" si="108"/>
        <v>1123.490042243483</v>
      </c>
      <c r="AS869" s="17">
        <f t="shared" si="109"/>
        <v>0.16768508093186313</v>
      </c>
      <c r="AT869" s="20">
        <v>6700</v>
      </c>
      <c r="AU869" s="20">
        <v>3447.0400390625</v>
      </c>
      <c r="AV869" s="20">
        <f t="shared" si="110"/>
        <v>3252.9599609375</v>
      </c>
      <c r="AW869" s="21">
        <f t="shared" si="111"/>
        <v>0.48551641208022389</v>
      </c>
    </row>
    <row r="870" spans="1:49" x14ac:dyDescent="0.25">
      <c r="A870" t="s">
        <v>38</v>
      </c>
      <c r="B870" t="s">
        <v>96</v>
      </c>
      <c r="C870">
        <v>81808</v>
      </c>
      <c r="D870">
        <v>2018</v>
      </c>
      <c r="E870" t="s">
        <v>142</v>
      </c>
      <c r="F870" t="s">
        <v>335</v>
      </c>
      <c r="G870" t="s">
        <v>610</v>
      </c>
      <c r="I870">
        <v>4</v>
      </c>
      <c r="J870" t="s">
        <v>43</v>
      </c>
      <c r="K870">
        <v>4</v>
      </c>
      <c r="L870" t="s">
        <v>44</v>
      </c>
      <c r="M870">
        <v>2.4</v>
      </c>
      <c r="N870" t="s">
        <v>91</v>
      </c>
      <c r="O870" t="s">
        <v>46</v>
      </c>
      <c r="P870">
        <v>5</v>
      </c>
      <c r="Q870" t="s">
        <v>62</v>
      </c>
      <c r="R870" t="s">
        <v>63</v>
      </c>
      <c r="S870" t="s">
        <v>93</v>
      </c>
      <c r="T870">
        <v>180</v>
      </c>
      <c r="U870" t="s">
        <v>50</v>
      </c>
      <c r="V870" t="s">
        <v>51</v>
      </c>
      <c r="X870" t="s">
        <v>65</v>
      </c>
      <c r="Y870" t="s">
        <v>126</v>
      </c>
      <c r="Z870">
        <v>24395</v>
      </c>
      <c r="AA870">
        <v>0</v>
      </c>
      <c r="AB870" t="s">
        <v>79</v>
      </c>
      <c r="AC870" t="s">
        <v>87</v>
      </c>
      <c r="AD870">
        <v>36</v>
      </c>
      <c r="AE870">
        <v>9</v>
      </c>
      <c r="AF870">
        <v>3</v>
      </c>
      <c r="AG870">
        <v>2025</v>
      </c>
      <c r="AH870" s="2">
        <v>12000</v>
      </c>
      <c r="AI870" s="2">
        <v>12043.2802734375</v>
      </c>
      <c r="AJ870" s="2">
        <f t="shared" si="104"/>
        <v>43.2802734375</v>
      </c>
      <c r="AK870" s="6">
        <f t="shared" si="105"/>
        <v>3.6066894531249999E-3</v>
      </c>
      <c r="AL870" s="12">
        <v>12000</v>
      </c>
      <c r="AM870" s="12">
        <v>11126.885135956571</v>
      </c>
      <c r="AN870" s="12">
        <f t="shared" si="106"/>
        <v>873.11486404342941</v>
      </c>
      <c r="AO870" s="13">
        <f t="shared" si="107"/>
        <v>7.2759572003619113E-2</v>
      </c>
      <c r="AP870" s="16">
        <v>12000</v>
      </c>
      <c r="AQ870" s="16">
        <v>11408.143714502719</v>
      </c>
      <c r="AR870" s="16">
        <f t="shared" si="108"/>
        <v>591.85628549728062</v>
      </c>
      <c r="AS870" s="17">
        <f t="shared" si="109"/>
        <v>4.9321357124773382E-2</v>
      </c>
      <c r="AT870" s="20">
        <v>12000</v>
      </c>
      <c r="AU870" s="20">
        <v>11906.3544921875</v>
      </c>
      <c r="AV870" s="20">
        <f t="shared" si="110"/>
        <v>93.6455078125</v>
      </c>
      <c r="AW870" s="21">
        <f t="shared" si="111"/>
        <v>7.8037923177083331E-3</v>
      </c>
    </row>
    <row r="871" spans="1:49" x14ac:dyDescent="0.25">
      <c r="A871" t="s">
        <v>38</v>
      </c>
      <c r="B871" t="s">
        <v>110</v>
      </c>
      <c r="C871">
        <v>91074</v>
      </c>
      <c r="D871">
        <v>2019</v>
      </c>
      <c r="E871" t="s">
        <v>97</v>
      </c>
      <c r="F871" t="s">
        <v>198</v>
      </c>
      <c r="G871" t="s">
        <v>155</v>
      </c>
      <c r="I871">
        <v>6</v>
      </c>
      <c r="J871" t="s">
        <v>72</v>
      </c>
      <c r="K871">
        <v>4</v>
      </c>
      <c r="L871" t="s">
        <v>44</v>
      </c>
      <c r="M871">
        <v>3.6</v>
      </c>
      <c r="N871" t="s">
        <v>45</v>
      </c>
      <c r="Q871" t="s">
        <v>62</v>
      </c>
      <c r="R871" t="s">
        <v>63</v>
      </c>
      <c r="S871" t="s">
        <v>101</v>
      </c>
      <c r="U871" t="s">
        <v>50</v>
      </c>
      <c r="V871" t="s">
        <v>76</v>
      </c>
      <c r="W871" t="s">
        <v>1084</v>
      </c>
      <c r="X871" t="s">
        <v>94</v>
      </c>
      <c r="Y871" t="s">
        <v>78</v>
      </c>
      <c r="Z871">
        <v>40295</v>
      </c>
      <c r="AA871">
        <v>0</v>
      </c>
      <c r="AB871" t="s">
        <v>79</v>
      </c>
      <c r="AC871" t="s">
        <v>109</v>
      </c>
      <c r="AD871">
        <v>36</v>
      </c>
      <c r="AE871">
        <v>9</v>
      </c>
      <c r="AF871">
        <v>3</v>
      </c>
      <c r="AG871">
        <v>2025</v>
      </c>
      <c r="AH871" s="2">
        <v>15000</v>
      </c>
      <c r="AI871" s="2">
        <v>15591.701171875</v>
      </c>
      <c r="AJ871" s="2">
        <f t="shared" si="104"/>
        <v>591.701171875</v>
      </c>
      <c r="AK871" s="6">
        <f t="shared" si="105"/>
        <v>3.9446744791666669E-2</v>
      </c>
      <c r="AL871" s="12">
        <v>15000</v>
      </c>
      <c r="AM871" s="12">
        <v>12222.60039487613</v>
      </c>
      <c r="AN871" s="12">
        <f t="shared" si="106"/>
        <v>2777.3996051238701</v>
      </c>
      <c r="AO871" s="13">
        <f t="shared" si="107"/>
        <v>0.18515997367492468</v>
      </c>
      <c r="AP871" s="16">
        <v>15000</v>
      </c>
      <c r="AQ871" s="16">
        <v>12131.61264557337</v>
      </c>
      <c r="AR871" s="16">
        <f t="shared" si="108"/>
        <v>2868.3873544266298</v>
      </c>
      <c r="AS871" s="17">
        <f t="shared" si="109"/>
        <v>0.19122582362844198</v>
      </c>
      <c r="AT871" s="20">
        <v>15000</v>
      </c>
      <c r="AU871" s="20">
        <v>14784.3740234375</v>
      </c>
      <c r="AV871" s="20">
        <f t="shared" si="110"/>
        <v>215.6259765625</v>
      </c>
      <c r="AW871" s="21">
        <f t="shared" si="111"/>
        <v>1.4375065104166666E-2</v>
      </c>
    </row>
    <row r="872" spans="1:49" x14ac:dyDescent="0.25">
      <c r="A872" t="s">
        <v>38</v>
      </c>
      <c r="B872" t="s">
        <v>68</v>
      </c>
      <c r="C872">
        <v>105615</v>
      </c>
      <c r="D872">
        <v>2017</v>
      </c>
      <c r="E872" t="s">
        <v>132</v>
      </c>
      <c r="F872" t="s">
        <v>664</v>
      </c>
      <c r="G872" t="s">
        <v>1085</v>
      </c>
      <c r="H872" t="s">
        <v>1086</v>
      </c>
      <c r="I872">
        <v>6</v>
      </c>
      <c r="J872" t="s">
        <v>72</v>
      </c>
      <c r="K872">
        <v>4</v>
      </c>
      <c r="L872" t="s">
        <v>44</v>
      </c>
      <c r="M872">
        <v>3</v>
      </c>
      <c r="N872" t="s">
        <v>44</v>
      </c>
      <c r="O872" t="s">
        <v>46</v>
      </c>
      <c r="Q872" t="s">
        <v>62</v>
      </c>
      <c r="R872" t="s">
        <v>63</v>
      </c>
      <c r="S872" t="s">
        <v>85</v>
      </c>
      <c r="V872" t="s">
        <v>76</v>
      </c>
      <c r="X872" t="s">
        <v>94</v>
      </c>
      <c r="Y872" t="s">
        <v>78</v>
      </c>
      <c r="AA872">
        <v>0</v>
      </c>
      <c r="AB872" t="s">
        <v>79</v>
      </c>
      <c r="AC872" t="s">
        <v>87</v>
      </c>
      <c r="AD872">
        <v>36</v>
      </c>
      <c r="AE872">
        <v>9</v>
      </c>
      <c r="AF872">
        <v>3</v>
      </c>
      <c r="AG872">
        <v>2025</v>
      </c>
      <c r="AH872" s="2">
        <v>22000</v>
      </c>
      <c r="AI872" s="2">
        <v>18374.7578125</v>
      </c>
      <c r="AJ872" s="2">
        <f t="shared" si="104"/>
        <v>3625.2421875</v>
      </c>
      <c r="AK872" s="6">
        <f t="shared" si="105"/>
        <v>0.16478373579545455</v>
      </c>
      <c r="AL872" s="12">
        <v>22000</v>
      </c>
      <c r="AM872" s="12">
        <v>9735.7848513159624</v>
      </c>
      <c r="AN872" s="12">
        <f t="shared" si="106"/>
        <v>12264.215148684038</v>
      </c>
      <c r="AO872" s="13">
        <f t="shared" si="107"/>
        <v>0.5574643249401835</v>
      </c>
      <c r="AP872" s="16">
        <v>22000</v>
      </c>
      <c r="AQ872" s="16">
        <v>17191.687381574349</v>
      </c>
      <c r="AR872" s="16">
        <f t="shared" si="108"/>
        <v>4808.3126184256507</v>
      </c>
      <c r="AS872" s="17">
        <f t="shared" si="109"/>
        <v>0.21855966447389322</v>
      </c>
      <c r="AT872" s="20">
        <v>22000</v>
      </c>
      <c r="AU872" s="20">
        <v>16949.625</v>
      </c>
      <c r="AV872" s="20">
        <f t="shared" si="110"/>
        <v>5050.375</v>
      </c>
      <c r="AW872" s="21">
        <f t="shared" si="111"/>
        <v>0.2295625</v>
      </c>
    </row>
    <row r="873" spans="1:49" x14ac:dyDescent="0.25">
      <c r="A873" t="s">
        <v>38</v>
      </c>
      <c r="B873" t="s">
        <v>110</v>
      </c>
      <c r="C873">
        <v>221886</v>
      </c>
      <c r="D873">
        <v>2011</v>
      </c>
      <c r="E873" t="s">
        <v>132</v>
      </c>
      <c r="F873" t="s">
        <v>361</v>
      </c>
      <c r="H873" t="s">
        <v>1087</v>
      </c>
      <c r="I873">
        <v>6</v>
      </c>
      <c r="J873" t="s">
        <v>72</v>
      </c>
      <c r="K873">
        <v>4</v>
      </c>
      <c r="L873" t="s">
        <v>44</v>
      </c>
      <c r="M873">
        <v>3</v>
      </c>
      <c r="N873" t="s">
        <v>73</v>
      </c>
      <c r="Q873" t="s">
        <v>47</v>
      </c>
      <c r="R873" t="s">
        <v>123</v>
      </c>
      <c r="U873" t="s">
        <v>50</v>
      </c>
      <c r="V873" t="s">
        <v>76</v>
      </c>
      <c r="X873" t="s">
        <v>125</v>
      </c>
      <c r="Y873" t="s">
        <v>588</v>
      </c>
      <c r="AA873">
        <v>0</v>
      </c>
      <c r="AB873" t="s">
        <v>79</v>
      </c>
      <c r="AC873" t="s">
        <v>127</v>
      </c>
      <c r="AD873">
        <v>36</v>
      </c>
      <c r="AE873">
        <v>9</v>
      </c>
      <c r="AF873">
        <v>3</v>
      </c>
      <c r="AG873">
        <v>2025</v>
      </c>
      <c r="AH873" s="2">
        <v>800</v>
      </c>
      <c r="AI873" s="2">
        <v>1211.666381835938</v>
      </c>
      <c r="AJ873" s="2">
        <f t="shared" si="104"/>
        <v>411.66638183593795</v>
      </c>
      <c r="AK873" s="6">
        <f t="shared" si="105"/>
        <v>0.51458297729492242</v>
      </c>
      <c r="AL873" s="12">
        <v>800</v>
      </c>
      <c r="AM873" s="12">
        <v>1421.948760980483</v>
      </c>
      <c r="AN873" s="12">
        <f t="shared" si="106"/>
        <v>621.94876098048303</v>
      </c>
      <c r="AO873" s="13">
        <f t="shared" si="107"/>
        <v>0.77743595122560383</v>
      </c>
      <c r="AP873" s="16">
        <v>800</v>
      </c>
      <c r="AQ873" s="16">
        <v>1170.5524285412471</v>
      </c>
      <c r="AR873" s="16">
        <f t="shared" si="108"/>
        <v>370.55242854124708</v>
      </c>
      <c r="AS873" s="17">
        <f t="shared" si="109"/>
        <v>0.46319053567655888</v>
      </c>
      <c r="AT873" s="20">
        <v>800</v>
      </c>
      <c r="AU873" s="20">
        <v>1204.439697265625</v>
      </c>
      <c r="AV873" s="20">
        <f t="shared" si="110"/>
        <v>404.439697265625</v>
      </c>
      <c r="AW873" s="21">
        <f t="shared" si="111"/>
        <v>0.50554962158203121</v>
      </c>
    </row>
    <row r="874" spans="1:49" x14ac:dyDescent="0.25">
      <c r="A874" t="s">
        <v>128</v>
      </c>
      <c r="B874" t="s">
        <v>129</v>
      </c>
      <c r="C874">
        <v>35049</v>
      </c>
      <c r="D874">
        <v>2020</v>
      </c>
      <c r="E874" t="s">
        <v>345</v>
      </c>
      <c r="F874" t="s">
        <v>1088</v>
      </c>
      <c r="G874" t="s">
        <v>1089</v>
      </c>
      <c r="H874" t="s">
        <v>587</v>
      </c>
      <c r="I874">
        <v>4</v>
      </c>
      <c r="J874" t="s">
        <v>61</v>
      </c>
      <c r="K874">
        <v>4</v>
      </c>
      <c r="L874" t="s">
        <v>44</v>
      </c>
      <c r="M874">
        <v>2</v>
      </c>
      <c r="N874" t="s">
        <v>73</v>
      </c>
      <c r="O874" t="s">
        <v>46</v>
      </c>
      <c r="P874">
        <v>1</v>
      </c>
      <c r="Q874" t="s">
        <v>47</v>
      </c>
      <c r="R874" t="s">
        <v>123</v>
      </c>
      <c r="S874" t="s">
        <v>179</v>
      </c>
      <c r="T874">
        <v>255</v>
      </c>
      <c r="U874" t="s">
        <v>50</v>
      </c>
      <c r="X874" t="s">
        <v>125</v>
      </c>
      <c r="Y874" t="s">
        <v>126</v>
      </c>
      <c r="AA874">
        <v>0</v>
      </c>
      <c r="AB874" t="s">
        <v>79</v>
      </c>
      <c r="AC874" t="s">
        <v>127</v>
      </c>
      <c r="AD874">
        <v>36</v>
      </c>
      <c r="AE874">
        <v>9</v>
      </c>
      <c r="AF874">
        <v>3</v>
      </c>
      <c r="AG874">
        <v>2025</v>
      </c>
      <c r="AH874" s="2">
        <v>21900</v>
      </c>
      <c r="AI874" s="2">
        <v>13214.45703125</v>
      </c>
      <c r="AJ874" s="2">
        <f t="shared" si="104"/>
        <v>8685.54296875</v>
      </c>
      <c r="AK874" s="6">
        <f t="shared" si="105"/>
        <v>0.39660013555936074</v>
      </c>
      <c r="AL874" s="12">
        <v>21900</v>
      </c>
      <c r="AM874" s="12">
        <v>11429.26826968507</v>
      </c>
      <c r="AN874" s="12">
        <f t="shared" si="106"/>
        <v>10470.73173031493</v>
      </c>
      <c r="AO874" s="13">
        <f t="shared" si="107"/>
        <v>0.47811560412396942</v>
      </c>
      <c r="AP874" s="16">
        <v>21900</v>
      </c>
      <c r="AQ874" s="16">
        <v>12298.468842305359</v>
      </c>
      <c r="AR874" s="16">
        <f t="shared" si="108"/>
        <v>9601.5311576946406</v>
      </c>
      <c r="AS874" s="17">
        <f t="shared" si="109"/>
        <v>0.43842608026002927</v>
      </c>
      <c r="AT874" s="20">
        <v>21900</v>
      </c>
      <c r="AU874" s="20">
        <v>12790.2333984375</v>
      </c>
      <c r="AV874" s="20">
        <f t="shared" si="110"/>
        <v>9109.7666015625</v>
      </c>
      <c r="AW874" s="21">
        <f t="shared" si="111"/>
        <v>0.41597107769691782</v>
      </c>
    </row>
    <row r="875" spans="1:49" x14ac:dyDescent="0.25">
      <c r="A875" t="s">
        <v>38</v>
      </c>
      <c r="B875" t="s">
        <v>110</v>
      </c>
      <c r="C875">
        <v>66951</v>
      </c>
      <c r="D875">
        <v>2017</v>
      </c>
      <c r="E875" t="s">
        <v>69</v>
      </c>
      <c r="F875" t="s">
        <v>250</v>
      </c>
      <c r="H875" t="s">
        <v>224</v>
      </c>
      <c r="I875">
        <v>4</v>
      </c>
      <c r="J875" t="s">
        <v>178</v>
      </c>
      <c r="K875">
        <v>4</v>
      </c>
      <c r="L875" t="s">
        <v>44</v>
      </c>
      <c r="M875">
        <v>1.5</v>
      </c>
      <c r="N875" t="s">
        <v>45</v>
      </c>
      <c r="O875" t="s">
        <v>46</v>
      </c>
      <c r="P875">
        <v>3</v>
      </c>
      <c r="Q875" t="s">
        <v>62</v>
      </c>
      <c r="R875" t="s">
        <v>63</v>
      </c>
      <c r="S875" t="s">
        <v>49</v>
      </c>
      <c r="T875">
        <v>170</v>
      </c>
      <c r="U875" t="s">
        <v>50</v>
      </c>
      <c r="V875" t="s">
        <v>51</v>
      </c>
      <c r="W875" t="s">
        <v>928</v>
      </c>
      <c r="X875" t="s">
        <v>65</v>
      </c>
      <c r="Y875" t="s">
        <v>78</v>
      </c>
      <c r="Z875">
        <v>25250</v>
      </c>
      <c r="AA875">
        <v>0</v>
      </c>
      <c r="AB875" t="s">
        <v>79</v>
      </c>
      <c r="AC875" t="s">
        <v>87</v>
      </c>
      <c r="AD875">
        <v>36</v>
      </c>
      <c r="AE875">
        <v>9</v>
      </c>
      <c r="AF875">
        <v>3</v>
      </c>
      <c r="AG875">
        <v>2025</v>
      </c>
      <c r="AH875" s="2">
        <v>7000</v>
      </c>
      <c r="AI875" s="2">
        <v>5448.3076171875</v>
      </c>
      <c r="AJ875" s="2">
        <f t="shared" si="104"/>
        <v>1551.6923828125</v>
      </c>
      <c r="AK875" s="6">
        <f t="shared" si="105"/>
        <v>0.22167034040178571</v>
      </c>
      <c r="AL875" s="12">
        <v>7000</v>
      </c>
      <c r="AM875" s="12">
        <v>6607.6681668927522</v>
      </c>
      <c r="AN875" s="12">
        <f t="shared" si="106"/>
        <v>392.3318331072478</v>
      </c>
      <c r="AO875" s="13">
        <f t="shared" si="107"/>
        <v>5.6047404729606828E-2</v>
      </c>
      <c r="AP875" s="16">
        <v>7000</v>
      </c>
      <c r="AQ875" s="16">
        <v>5871.7664180954816</v>
      </c>
      <c r="AR875" s="16">
        <f t="shared" si="108"/>
        <v>1128.2335819045184</v>
      </c>
      <c r="AS875" s="17">
        <f t="shared" si="109"/>
        <v>0.16117622598635978</v>
      </c>
      <c r="AT875" s="20">
        <v>7000</v>
      </c>
      <c r="AU875" s="20">
        <v>5586.3994140625</v>
      </c>
      <c r="AV875" s="20">
        <f t="shared" si="110"/>
        <v>1413.6005859375</v>
      </c>
      <c r="AW875" s="21">
        <f t="shared" si="111"/>
        <v>0.20194294084821429</v>
      </c>
    </row>
    <row r="876" spans="1:49" x14ac:dyDescent="0.25">
      <c r="A876" t="s">
        <v>38</v>
      </c>
      <c r="B876" t="s">
        <v>110</v>
      </c>
      <c r="C876">
        <v>92532</v>
      </c>
      <c r="D876">
        <v>2009</v>
      </c>
      <c r="E876" t="s">
        <v>403</v>
      </c>
      <c r="F876" t="s">
        <v>1090</v>
      </c>
      <c r="I876">
        <v>8</v>
      </c>
      <c r="J876" t="s">
        <v>241</v>
      </c>
      <c r="K876">
        <v>4</v>
      </c>
      <c r="L876" t="s">
        <v>44</v>
      </c>
      <c r="M876">
        <v>4.5999999999999996</v>
      </c>
      <c r="N876" t="s">
        <v>45</v>
      </c>
      <c r="Q876" t="s">
        <v>47</v>
      </c>
      <c r="R876" t="s">
        <v>123</v>
      </c>
      <c r="U876" t="s">
        <v>50</v>
      </c>
      <c r="V876" t="s">
        <v>76</v>
      </c>
      <c r="W876" t="s">
        <v>1091</v>
      </c>
      <c r="X876" t="s">
        <v>125</v>
      </c>
      <c r="Y876" t="s">
        <v>78</v>
      </c>
      <c r="AA876">
        <v>0</v>
      </c>
      <c r="AB876" t="s">
        <v>79</v>
      </c>
      <c r="AC876" t="s">
        <v>127</v>
      </c>
      <c r="AD876">
        <v>36</v>
      </c>
      <c r="AE876">
        <v>9</v>
      </c>
      <c r="AF876">
        <v>3</v>
      </c>
      <c r="AG876">
        <v>2025</v>
      </c>
      <c r="AH876" s="2">
        <v>700</v>
      </c>
      <c r="AI876" s="2">
        <v>3011.759033203125</v>
      </c>
      <c r="AJ876" s="2">
        <f t="shared" si="104"/>
        <v>2311.759033203125</v>
      </c>
      <c r="AK876" s="6">
        <f t="shared" si="105"/>
        <v>3.302512904575893</v>
      </c>
      <c r="AL876" s="12">
        <v>700</v>
      </c>
      <c r="AM876" s="12">
        <v>3046.3553995416182</v>
      </c>
      <c r="AN876" s="12">
        <f t="shared" si="106"/>
        <v>2346.3553995416182</v>
      </c>
      <c r="AO876" s="13">
        <f t="shared" si="107"/>
        <v>3.3519362850594545</v>
      </c>
      <c r="AP876" s="16">
        <v>700</v>
      </c>
      <c r="AQ876" s="16">
        <v>1918.158186557132</v>
      </c>
      <c r="AR876" s="16">
        <f t="shared" si="108"/>
        <v>1218.158186557132</v>
      </c>
      <c r="AS876" s="17">
        <f t="shared" si="109"/>
        <v>1.7402259807959028</v>
      </c>
      <c r="AT876" s="20">
        <v>700</v>
      </c>
      <c r="AU876" s="20">
        <v>3028.98388671875</v>
      </c>
      <c r="AV876" s="20">
        <f t="shared" si="110"/>
        <v>2328.98388671875</v>
      </c>
      <c r="AW876" s="21">
        <f t="shared" si="111"/>
        <v>3.3271198381696427</v>
      </c>
    </row>
    <row r="877" spans="1:49" x14ac:dyDescent="0.25">
      <c r="A877" t="s">
        <v>38</v>
      </c>
      <c r="B877" t="s">
        <v>96</v>
      </c>
      <c r="C877">
        <v>120740</v>
      </c>
      <c r="D877">
        <v>2013</v>
      </c>
      <c r="E877" t="s">
        <v>132</v>
      </c>
      <c r="F877" t="s">
        <v>361</v>
      </c>
      <c r="H877" t="s">
        <v>362</v>
      </c>
      <c r="I877">
        <v>4</v>
      </c>
      <c r="J877" t="s">
        <v>72</v>
      </c>
      <c r="K877">
        <v>4</v>
      </c>
      <c r="L877" t="s">
        <v>44</v>
      </c>
      <c r="M877">
        <v>1.8</v>
      </c>
      <c r="N877" t="s">
        <v>73</v>
      </c>
      <c r="O877" t="s">
        <v>46</v>
      </c>
      <c r="Q877" t="s">
        <v>47</v>
      </c>
      <c r="R877" t="s">
        <v>123</v>
      </c>
      <c r="U877" t="s">
        <v>50</v>
      </c>
      <c r="V877" t="s">
        <v>51</v>
      </c>
      <c r="X877" t="s">
        <v>125</v>
      </c>
      <c r="Y877" t="s">
        <v>588</v>
      </c>
      <c r="AA877">
        <v>0</v>
      </c>
      <c r="AB877" t="s">
        <v>79</v>
      </c>
      <c r="AC877" t="s">
        <v>127</v>
      </c>
      <c r="AD877">
        <v>36</v>
      </c>
      <c r="AE877">
        <v>9</v>
      </c>
      <c r="AF877">
        <v>3</v>
      </c>
      <c r="AG877">
        <v>2025</v>
      </c>
      <c r="AH877" s="2">
        <v>1900</v>
      </c>
      <c r="AI877" s="2">
        <v>2895.243896484375</v>
      </c>
      <c r="AJ877" s="2">
        <f t="shared" si="104"/>
        <v>995.243896484375</v>
      </c>
      <c r="AK877" s="6">
        <f t="shared" si="105"/>
        <v>0.52381257709703943</v>
      </c>
      <c r="AL877" s="12">
        <v>1900</v>
      </c>
      <c r="AM877" s="12">
        <v>3520.2827751638101</v>
      </c>
      <c r="AN877" s="12">
        <f t="shared" si="106"/>
        <v>1620.2827751638101</v>
      </c>
      <c r="AO877" s="13">
        <f t="shared" si="107"/>
        <v>0.85278040798095267</v>
      </c>
      <c r="AP877" s="16">
        <v>1900</v>
      </c>
      <c r="AQ877" s="16">
        <v>3309.9364839206519</v>
      </c>
      <c r="AR877" s="16">
        <f t="shared" si="108"/>
        <v>1409.9364839206519</v>
      </c>
      <c r="AS877" s="17">
        <f t="shared" si="109"/>
        <v>0.74207183364244833</v>
      </c>
      <c r="AT877" s="20">
        <v>1900</v>
      </c>
      <c r="AU877" s="20">
        <v>2922.23974609375</v>
      </c>
      <c r="AV877" s="20">
        <f t="shared" si="110"/>
        <v>1022.23974609375</v>
      </c>
      <c r="AW877" s="21">
        <f t="shared" si="111"/>
        <v>0.53802091899671056</v>
      </c>
    </row>
    <row r="878" spans="1:49" x14ac:dyDescent="0.25">
      <c r="A878" t="s">
        <v>38</v>
      </c>
      <c r="B878" t="s">
        <v>370</v>
      </c>
      <c r="C878">
        <v>45081</v>
      </c>
      <c r="D878">
        <v>2022</v>
      </c>
      <c r="E878" t="s">
        <v>341</v>
      </c>
      <c r="F878" t="s">
        <v>574</v>
      </c>
      <c r="G878" t="s">
        <v>1092</v>
      </c>
      <c r="I878">
        <v>6</v>
      </c>
      <c r="J878" t="s">
        <v>61</v>
      </c>
      <c r="K878">
        <v>4</v>
      </c>
      <c r="L878" t="s">
        <v>44</v>
      </c>
      <c r="M878">
        <v>3.6</v>
      </c>
      <c r="N878" t="s">
        <v>44</v>
      </c>
      <c r="O878" t="s">
        <v>46</v>
      </c>
      <c r="Q878" t="s">
        <v>62</v>
      </c>
      <c r="R878" t="s">
        <v>63</v>
      </c>
      <c r="S878" t="s">
        <v>85</v>
      </c>
      <c r="U878" t="s">
        <v>50</v>
      </c>
      <c r="V878" t="s">
        <v>76</v>
      </c>
      <c r="W878" t="s">
        <v>576</v>
      </c>
      <c r="X878" t="s">
        <v>94</v>
      </c>
      <c r="Y878" t="s">
        <v>78</v>
      </c>
      <c r="AA878">
        <v>0</v>
      </c>
      <c r="AB878" t="s">
        <v>79</v>
      </c>
      <c r="AC878" t="s">
        <v>109</v>
      </c>
      <c r="AD878">
        <v>36</v>
      </c>
      <c r="AE878">
        <v>9</v>
      </c>
      <c r="AF878">
        <v>3</v>
      </c>
      <c r="AG878">
        <v>2025</v>
      </c>
      <c r="AH878" s="2">
        <v>34800</v>
      </c>
      <c r="AI878" s="2">
        <v>29220.736328125</v>
      </c>
      <c r="AJ878" s="2">
        <f t="shared" si="104"/>
        <v>5579.263671875</v>
      </c>
      <c r="AK878" s="6">
        <f t="shared" si="105"/>
        <v>0.16032366873204024</v>
      </c>
      <c r="AL878" s="12">
        <v>34800</v>
      </c>
      <c r="AM878" s="12">
        <v>30436.888966524632</v>
      </c>
      <c r="AN878" s="12">
        <f t="shared" si="106"/>
        <v>4363.1110334753685</v>
      </c>
      <c r="AO878" s="13">
        <f t="shared" si="107"/>
        <v>0.12537675383549909</v>
      </c>
      <c r="AP878" s="16">
        <v>34800</v>
      </c>
      <c r="AQ878" s="16">
        <v>30030.395803790379</v>
      </c>
      <c r="AR878" s="16">
        <f t="shared" si="108"/>
        <v>4769.6041962096206</v>
      </c>
      <c r="AS878" s="17">
        <f t="shared" si="109"/>
        <v>0.13705759184510405</v>
      </c>
      <c r="AT878" s="20">
        <v>34800</v>
      </c>
      <c r="AU878" s="20">
        <v>29257.349609375</v>
      </c>
      <c r="AV878" s="20">
        <f t="shared" si="110"/>
        <v>5542.650390625</v>
      </c>
      <c r="AW878" s="21">
        <f t="shared" si="111"/>
        <v>0.15927156294899425</v>
      </c>
    </row>
    <row r="879" spans="1:49" x14ac:dyDescent="0.25">
      <c r="A879" t="s">
        <v>38</v>
      </c>
      <c r="B879" t="s">
        <v>39</v>
      </c>
      <c r="C879">
        <v>112220</v>
      </c>
      <c r="D879">
        <v>2019</v>
      </c>
      <c r="E879" t="s">
        <v>97</v>
      </c>
      <c r="F879" t="s">
        <v>772</v>
      </c>
      <c r="G879" t="s">
        <v>155</v>
      </c>
      <c r="H879" t="s">
        <v>89</v>
      </c>
      <c r="I879">
        <v>8</v>
      </c>
      <c r="J879" t="s">
        <v>122</v>
      </c>
      <c r="K879">
        <v>4</v>
      </c>
      <c r="L879" t="s">
        <v>44</v>
      </c>
      <c r="M879">
        <v>5.3</v>
      </c>
      <c r="N879" t="s">
        <v>73</v>
      </c>
      <c r="O879" t="s">
        <v>46</v>
      </c>
      <c r="Q879" t="s">
        <v>74</v>
      </c>
      <c r="R879" t="s">
        <v>92</v>
      </c>
      <c r="S879" t="s">
        <v>49</v>
      </c>
      <c r="U879" t="s">
        <v>50</v>
      </c>
      <c r="W879" t="s">
        <v>773</v>
      </c>
      <c r="X879" t="s">
        <v>94</v>
      </c>
      <c r="Y879" t="s">
        <v>103</v>
      </c>
      <c r="AA879">
        <v>0</v>
      </c>
      <c r="AB879" t="s">
        <v>79</v>
      </c>
      <c r="AC879" t="s">
        <v>95</v>
      </c>
      <c r="AD879">
        <v>36</v>
      </c>
      <c r="AE879">
        <v>9</v>
      </c>
      <c r="AF879">
        <v>3</v>
      </c>
      <c r="AG879">
        <v>2025</v>
      </c>
      <c r="AH879" s="2">
        <v>11250</v>
      </c>
      <c r="AI879" s="2">
        <v>17273.943359375</v>
      </c>
      <c r="AJ879" s="2">
        <f t="shared" si="104"/>
        <v>6023.943359375</v>
      </c>
      <c r="AK879" s="6">
        <f t="shared" si="105"/>
        <v>0.53546163194444441</v>
      </c>
      <c r="AL879" s="12">
        <v>11250</v>
      </c>
      <c r="AM879" s="12">
        <v>18428.223873762501</v>
      </c>
      <c r="AN879" s="12">
        <f t="shared" si="106"/>
        <v>7178.2238737625012</v>
      </c>
      <c r="AO879" s="13">
        <f t="shared" si="107"/>
        <v>0.63806434433444459</v>
      </c>
      <c r="AP879" s="16">
        <v>11250</v>
      </c>
      <c r="AQ879" s="16">
        <v>15465.56805153906</v>
      </c>
      <c r="AR879" s="16">
        <f t="shared" si="108"/>
        <v>4215.5680515390595</v>
      </c>
      <c r="AS879" s="17">
        <f t="shared" si="109"/>
        <v>0.37471716013680528</v>
      </c>
      <c r="AT879" s="20">
        <v>11250</v>
      </c>
      <c r="AU879" s="20">
        <v>17333.486328125</v>
      </c>
      <c r="AV879" s="20">
        <f t="shared" si="110"/>
        <v>6083.486328125</v>
      </c>
      <c r="AW879" s="21">
        <f t="shared" si="111"/>
        <v>0.5407543402777778</v>
      </c>
    </row>
    <row r="880" spans="1:49" x14ac:dyDescent="0.25">
      <c r="A880" t="s">
        <v>38</v>
      </c>
      <c r="B880" t="s">
        <v>110</v>
      </c>
      <c r="C880">
        <v>147456</v>
      </c>
      <c r="D880">
        <v>2017</v>
      </c>
      <c r="E880" t="s">
        <v>174</v>
      </c>
      <c r="F880" t="s">
        <v>314</v>
      </c>
      <c r="G880" t="s">
        <v>315</v>
      </c>
      <c r="H880" t="s">
        <v>89</v>
      </c>
      <c r="I880">
        <v>8</v>
      </c>
      <c r="J880" t="s">
        <v>106</v>
      </c>
      <c r="K880">
        <v>4</v>
      </c>
      <c r="L880" t="s">
        <v>44</v>
      </c>
      <c r="M880">
        <v>5.3</v>
      </c>
      <c r="N880" t="s">
        <v>73</v>
      </c>
      <c r="Q880" t="s">
        <v>74</v>
      </c>
      <c r="R880" t="s">
        <v>92</v>
      </c>
      <c r="S880" t="s">
        <v>49</v>
      </c>
      <c r="U880" t="s">
        <v>50</v>
      </c>
      <c r="W880" t="s">
        <v>459</v>
      </c>
      <c r="X880" t="s">
        <v>94</v>
      </c>
      <c r="Y880" t="s">
        <v>126</v>
      </c>
      <c r="Z880">
        <v>40375</v>
      </c>
      <c r="AA880">
        <v>0</v>
      </c>
      <c r="AB880" t="s">
        <v>79</v>
      </c>
      <c r="AC880" t="s">
        <v>95</v>
      </c>
      <c r="AD880">
        <v>36</v>
      </c>
      <c r="AE880">
        <v>9</v>
      </c>
      <c r="AF880">
        <v>3</v>
      </c>
      <c r="AG880">
        <v>2025</v>
      </c>
      <c r="AH880" s="2">
        <v>2700</v>
      </c>
      <c r="AI880" s="2">
        <v>12333.6181640625</v>
      </c>
      <c r="AJ880" s="2">
        <f t="shared" si="104"/>
        <v>9633.6181640625</v>
      </c>
      <c r="AK880" s="6">
        <f t="shared" si="105"/>
        <v>3.5680067274305554</v>
      </c>
      <c r="AL880" s="12">
        <v>2700</v>
      </c>
      <c r="AM880" s="12">
        <v>13182.999942583639</v>
      </c>
      <c r="AN880" s="12">
        <f t="shared" si="106"/>
        <v>10482.999942583639</v>
      </c>
      <c r="AO880" s="13">
        <f t="shared" si="107"/>
        <v>3.8825925713272738</v>
      </c>
      <c r="AP880" s="16">
        <v>2700</v>
      </c>
      <c r="AQ880" s="16">
        <v>11876.20393089949</v>
      </c>
      <c r="AR880" s="16">
        <f t="shared" si="108"/>
        <v>9176.2039308994899</v>
      </c>
      <c r="AS880" s="17">
        <f t="shared" si="109"/>
        <v>3.3985940484812924</v>
      </c>
      <c r="AT880" s="20">
        <v>2700</v>
      </c>
      <c r="AU880" s="20">
        <v>12550.451171875</v>
      </c>
      <c r="AV880" s="20">
        <f t="shared" si="110"/>
        <v>9850.451171875</v>
      </c>
      <c r="AW880" s="21">
        <f t="shared" si="111"/>
        <v>3.6483152488425925</v>
      </c>
    </row>
    <row r="881" spans="1:49" x14ac:dyDescent="0.25">
      <c r="A881" t="s">
        <v>38</v>
      </c>
      <c r="B881" t="s">
        <v>96</v>
      </c>
      <c r="C881">
        <v>131153</v>
      </c>
      <c r="D881">
        <v>2019</v>
      </c>
      <c r="E881" t="s">
        <v>69</v>
      </c>
      <c r="F881" t="s">
        <v>157</v>
      </c>
      <c r="G881" t="s">
        <v>457</v>
      </c>
      <c r="I881">
        <v>6</v>
      </c>
      <c r="J881" t="s">
        <v>61</v>
      </c>
      <c r="K881">
        <v>4</v>
      </c>
      <c r="L881" t="s">
        <v>44</v>
      </c>
      <c r="M881">
        <v>3.5</v>
      </c>
      <c r="N881" t="s">
        <v>91</v>
      </c>
      <c r="O881" t="s">
        <v>46</v>
      </c>
      <c r="P881">
        <v>1</v>
      </c>
      <c r="Q881" t="s">
        <v>62</v>
      </c>
      <c r="R881" t="s">
        <v>63</v>
      </c>
      <c r="S881" t="s">
        <v>93</v>
      </c>
      <c r="T881">
        <v>365</v>
      </c>
      <c r="U881" t="s">
        <v>50</v>
      </c>
      <c r="V881" t="s">
        <v>76</v>
      </c>
      <c r="W881" t="s">
        <v>107</v>
      </c>
      <c r="X881" t="s">
        <v>94</v>
      </c>
      <c r="Y881" t="s">
        <v>78</v>
      </c>
      <c r="Z881">
        <v>46625</v>
      </c>
      <c r="AA881">
        <v>0</v>
      </c>
      <c r="AB881" t="s">
        <v>79</v>
      </c>
      <c r="AC881" t="s">
        <v>109</v>
      </c>
      <c r="AD881">
        <v>36</v>
      </c>
      <c r="AE881">
        <v>9</v>
      </c>
      <c r="AF881">
        <v>3</v>
      </c>
      <c r="AG881">
        <v>2025</v>
      </c>
      <c r="AH881" s="2">
        <v>8500</v>
      </c>
      <c r="AI881" s="2">
        <v>9568.2607421875</v>
      </c>
      <c r="AJ881" s="2">
        <f t="shared" si="104"/>
        <v>1068.2607421875</v>
      </c>
      <c r="AK881" s="6">
        <f t="shared" si="105"/>
        <v>0.12567773437499999</v>
      </c>
      <c r="AL881" s="12">
        <v>8500</v>
      </c>
      <c r="AM881" s="12">
        <v>8985.714780453467</v>
      </c>
      <c r="AN881" s="12">
        <f t="shared" si="106"/>
        <v>485.71478045346703</v>
      </c>
      <c r="AO881" s="13">
        <f t="shared" si="107"/>
        <v>5.7142915347466711E-2</v>
      </c>
      <c r="AP881" s="16">
        <v>8500</v>
      </c>
      <c r="AQ881" s="16">
        <v>7878.6275922458753</v>
      </c>
      <c r="AR881" s="16">
        <f t="shared" si="108"/>
        <v>621.37240775412465</v>
      </c>
      <c r="AS881" s="17">
        <f t="shared" si="109"/>
        <v>7.3102636206367602E-2</v>
      </c>
      <c r="AT881" s="20">
        <v>8500</v>
      </c>
      <c r="AU881" s="20">
        <v>9571.62890625</v>
      </c>
      <c r="AV881" s="20">
        <f t="shared" si="110"/>
        <v>1071.62890625</v>
      </c>
      <c r="AW881" s="21">
        <f t="shared" si="111"/>
        <v>0.12607398897058825</v>
      </c>
    </row>
    <row r="882" spans="1:49" x14ac:dyDescent="0.25">
      <c r="A882" t="s">
        <v>128</v>
      </c>
      <c r="B882" t="s">
        <v>129</v>
      </c>
      <c r="C882">
        <v>231637</v>
      </c>
      <c r="D882">
        <v>2016</v>
      </c>
      <c r="E882" t="s">
        <v>69</v>
      </c>
      <c r="F882" t="s">
        <v>231</v>
      </c>
      <c r="I882">
        <v>6</v>
      </c>
      <c r="J882" t="s">
        <v>72</v>
      </c>
      <c r="K882">
        <v>4</v>
      </c>
      <c r="L882" t="s">
        <v>44</v>
      </c>
      <c r="M882">
        <v>3.5</v>
      </c>
      <c r="N882" t="s">
        <v>91</v>
      </c>
      <c r="Q882" t="s">
        <v>74</v>
      </c>
      <c r="R882" t="s">
        <v>92</v>
      </c>
      <c r="S882" t="s">
        <v>93</v>
      </c>
      <c r="T882">
        <v>365</v>
      </c>
      <c r="U882" t="s">
        <v>50</v>
      </c>
      <c r="V882" t="s">
        <v>76</v>
      </c>
      <c r="X882" t="s">
        <v>108</v>
      </c>
      <c r="Y882" t="s">
        <v>78</v>
      </c>
      <c r="AA882">
        <v>0</v>
      </c>
      <c r="AB882" t="s">
        <v>79</v>
      </c>
      <c r="AC882" t="s">
        <v>95</v>
      </c>
      <c r="AD882">
        <v>36</v>
      </c>
      <c r="AE882">
        <v>9</v>
      </c>
      <c r="AF882">
        <v>3</v>
      </c>
      <c r="AG882">
        <v>2025</v>
      </c>
      <c r="AH882" s="2">
        <v>6200</v>
      </c>
      <c r="AI882" s="2">
        <v>6555.54736328125</v>
      </c>
      <c r="AJ882" s="2">
        <f t="shared" si="104"/>
        <v>355.54736328125</v>
      </c>
      <c r="AK882" s="6">
        <f t="shared" si="105"/>
        <v>5.7346348916330649E-2</v>
      </c>
      <c r="AL882" s="12">
        <v>6200</v>
      </c>
      <c r="AM882" s="12">
        <v>7020.7632863070876</v>
      </c>
      <c r="AN882" s="12">
        <f t="shared" si="106"/>
        <v>820.76328630708758</v>
      </c>
      <c r="AO882" s="13">
        <f t="shared" si="107"/>
        <v>0.13238117521082057</v>
      </c>
      <c r="AP882" s="16">
        <v>6200</v>
      </c>
      <c r="AQ882" s="16">
        <v>6339.9314056757257</v>
      </c>
      <c r="AR882" s="16">
        <f t="shared" si="108"/>
        <v>139.93140567572573</v>
      </c>
      <c r="AS882" s="17">
        <f t="shared" si="109"/>
        <v>2.2569581560600925E-2</v>
      </c>
      <c r="AT882" s="20">
        <v>6200</v>
      </c>
      <c r="AU882" s="20">
        <v>6720.12744140625</v>
      </c>
      <c r="AV882" s="20">
        <f t="shared" si="110"/>
        <v>520.12744140625</v>
      </c>
      <c r="AW882" s="21">
        <f t="shared" si="111"/>
        <v>8.3891522807459679E-2</v>
      </c>
    </row>
    <row r="883" spans="1:49" x14ac:dyDescent="0.25">
      <c r="A883" t="s">
        <v>38</v>
      </c>
      <c r="B883" t="s">
        <v>39</v>
      </c>
      <c r="C883">
        <v>149910</v>
      </c>
      <c r="D883">
        <v>2018</v>
      </c>
      <c r="E883" t="s">
        <v>399</v>
      </c>
      <c r="F883" t="s">
        <v>768</v>
      </c>
      <c r="G883" t="s">
        <v>1093</v>
      </c>
      <c r="I883">
        <v>4</v>
      </c>
      <c r="J883" t="s">
        <v>135</v>
      </c>
      <c r="K883">
        <v>4</v>
      </c>
      <c r="L883" t="s">
        <v>44</v>
      </c>
      <c r="M883">
        <v>2.5</v>
      </c>
      <c r="N883" t="s">
        <v>44</v>
      </c>
      <c r="O883" t="s">
        <v>46</v>
      </c>
      <c r="Q883" t="s">
        <v>62</v>
      </c>
      <c r="R883" t="s">
        <v>63</v>
      </c>
      <c r="S883" t="s">
        <v>93</v>
      </c>
      <c r="T883">
        <v>175</v>
      </c>
      <c r="U883" t="s">
        <v>50</v>
      </c>
      <c r="W883" t="s">
        <v>1094</v>
      </c>
      <c r="X883" t="s">
        <v>65</v>
      </c>
      <c r="Y883" t="s">
        <v>78</v>
      </c>
      <c r="AA883">
        <v>0</v>
      </c>
      <c r="AB883" t="s">
        <v>79</v>
      </c>
      <c r="AC883" t="s">
        <v>87</v>
      </c>
      <c r="AD883">
        <v>36</v>
      </c>
      <c r="AE883">
        <v>9</v>
      </c>
      <c r="AF883">
        <v>3</v>
      </c>
      <c r="AG883">
        <v>2025</v>
      </c>
      <c r="AH883" s="2">
        <v>7100</v>
      </c>
      <c r="AI883" s="2">
        <v>5638.46044921875</v>
      </c>
      <c r="AJ883" s="2">
        <f t="shared" si="104"/>
        <v>1461.53955078125</v>
      </c>
      <c r="AK883" s="6">
        <f t="shared" si="105"/>
        <v>0.20585064095510563</v>
      </c>
      <c r="AL883" s="12">
        <v>7100</v>
      </c>
      <c r="AM883" s="12">
        <v>5158.6382471441721</v>
      </c>
      <c r="AN883" s="12">
        <f t="shared" si="106"/>
        <v>1941.3617528558279</v>
      </c>
      <c r="AO883" s="13">
        <f t="shared" si="107"/>
        <v>0.27343123279659548</v>
      </c>
      <c r="AP883" s="16">
        <v>7100</v>
      </c>
      <c r="AQ883" s="16">
        <v>6186.6507780948396</v>
      </c>
      <c r="AR883" s="16">
        <f t="shared" si="108"/>
        <v>913.34922190516045</v>
      </c>
      <c r="AS883" s="17">
        <f t="shared" si="109"/>
        <v>0.12864073547960006</v>
      </c>
      <c r="AT883" s="20">
        <v>7100</v>
      </c>
      <c r="AU883" s="20">
        <v>5599.97705078125</v>
      </c>
      <c r="AV883" s="20">
        <f t="shared" si="110"/>
        <v>1500.02294921875</v>
      </c>
      <c r="AW883" s="21">
        <f t="shared" si="111"/>
        <v>0.21127083791813381</v>
      </c>
    </row>
    <row r="884" spans="1:49" x14ac:dyDescent="0.25">
      <c r="A884" t="s">
        <v>38</v>
      </c>
      <c r="B884" t="s">
        <v>39</v>
      </c>
      <c r="C884">
        <v>96428</v>
      </c>
      <c r="D884">
        <v>2001</v>
      </c>
      <c r="E884" t="s">
        <v>132</v>
      </c>
      <c r="F884" t="s">
        <v>1095</v>
      </c>
      <c r="H884" t="s">
        <v>1096</v>
      </c>
      <c r="I884">
        <v>6</v>
      </c>
      <c r="J884" t="s">
        <v>72</v>
      </c>
      <c r="K884">
        <v>2</v>
      </c>
      <c r="L884" t="s">
        <v>44</v>
      </c>
      <c r="M884">
        <v>3.2</v>
      </c>
      <c r="N884" t="s">
        <v>73</v>
      </c>
      <c r="O884" t="s">
        <v>46</v>
      </c>
      <c r="Q884" t="s">
        <v>47</v>
      </c>
      <c r="R884" t="s">
        <v>530</v>
      </c>
      <c r="T884">
        <v>215</v>
      </c>
      <c r="U884" t="s">
        <v>50</v>
      </c>
      <c r="V884" t="s">
        <v>76</v>
      </c>
      <c r="W884" t="s">
        <v>1097</v>
      </c>
      <c r="X884" t="s">
        <v>125</v>
      </c>
      <c r="Y884" t="s">
        <v>137</v>
      </c>
      <c r="AA884">
        <v>0</v>
      </c>
      <c r="AB884" t="s">
        <v>79</v>
      </c>
      <c r="AC884" t="s">
        <v>531</v>
      </c>
      <c r="AD884">
        <v>36</v>
      </c>
      <c r="AE884">
        <v>9</v>
      </c>
      <c r="AF884">
        <v>3</v>
      </c>
      <c r="AG884">
        <v>2025</v>
      </c>
      <c r="AH884" s="2">
        <v>4300</v>
      </c>
      <c r="AI884" s="2">
        <v>2445.91357421875</v>
      </c>
      <c r="AJ884" s="2">
        <f t="shared" si="104"/>
        <v>1854.08642578125</v>
      </c>
      <c r="AK884" s="6">
        <f t="shared" si="105"/>
        <v>0.43118288971656976</v>
      </c>
      <c r="AL884" s="12">
        <v>4300</v>
      </c>
      <c r="AM884" s="12">
        <v>2386.9158853574781</v>
      </c>
      <c r="AN884" s="12">
        <f t="shared" si="106"/>
        <v>1913.0841146425219</v>
      </c>
      <c r="AO884" s="13">
        <f t="shared" si="107"/>
        <v>0.4449032824750051</v>
      </c>
      <c r="AP884" s="16">
        <v>4300</v>
      </c>
      <c r="AQ884" s="16">
        <v>2103.9045732717982</v>
      </c>
      <c r="AR884" s="16">
        <f t="shared" si="108"/>
        <v>2196.0954267282018</v>
      </c>
      <c r="AS884" s="17">
        <f t="shared" si="109"/>
        <v>0.51071986668097713</v>
      </c>
      <c r="AT884" s="20">
        <v>4300</v>
      </c>
      <c r="AU884" s="20">
        <v>2466.126953125</v>
      </c>
      <c r="AV884" s="20">
        <f t="shared" si="110"/>
        <v>1833.873046875</v>
      </c>
      <c r="AW884" s="21">
        <f t="shared" si="111"/>
        <v>0.4264821039244186</v>
      </c>
    </row>
    <row r="885" spans="1:49" x14ac:dyDescent="0.25">
      <c r="A885" t="s">
        <v>38</v>
      </c>
      <c r="B885" t="s">
        <v>39</v>
      </c>
      <c r="C885">
        <v>100342</v>
      </c>
      <c r="D885">
        <v>2022</v>
      </c>
      <c r="E885" t="s">
        <v>719</v>
      </c>
      <c r="F885" t="s">
        <v>1098</v>
      </c>
      <c r="J885" t="s">
        <v>106</v>
      </c>
      <c r="K885">
        <v>4</v>
      </c>
      <c r="L885" t="s">
        <v>44</v>
      </c>
      <c r="N885" t="s">
        <v>44</v>
      </c>
      <c r="O885" t="s">
        <v>46</v>
      </c>
      <c r="Q885" t="s">
        <v>62</v>
      </c>
      <c r="R885" t="s">
        <v>63</v>
      </c>
      <c r="S885" t="s">
        <v>85</v>
      </c>
      <c r="U885" t="s">
        <v>601</v>
      </c>
      <c r="X885" t="s">
        <v>141</v>
      </c>
      <c r="Y885" t="s">
        <v>78</v>
      </c>
      <c r="AA885">
        <v>1</v>
      </c>
      <c r="AB885" t="s">
        <v>603</v>
      </c>
      <c r="AC885" t="s">
        <v>67</v>
      </c>
      <c r="AD885">
        <v>36</v>
      </c>
      <c r="AE885">
        <v>9</v>
      </c>
      <c r="AF885">
        <v>3</v>
      </c>
      <c r="AG885">
        <v>2025</v>
      </c>
      <c r="AH885" s="2">
        <v>16750</v>
      </c>
      <c r="AI885" s="2">
        <v>17296.974609375</v>
      </c>
      <c r="AJ885" s="2">
        <f t="shared" si="104"/>
        <v>546.974609375</v>
      </c>
      <c r="AK885" s="6">
        <f t="shared" si="105"/>
        <v>3.2655200559701496E-2</v>
      </c>
      <c r="AL885" s="12">
        <v>16750</v>
      </c>
      <c r="AM885" s="12">
        <v>16472.10272327108</v>
      </c>
      <c r="AN885" s="12">
        <f t="shared" si="106"/>
        <v>277.89727672891968</v>
      </c>
      <c r="AO885" s="13">
        <f t="shared" si="107"/>
        <v>1.6590882192771324E-2</v>
      </c>
      <c r="AP885" s="16">
        <v>16750</v>
      </c>
      <c r="AQ885" s="16">
        <v>17438.069945942611</v>
      </c>
      <c r="AR885" s="16">
        <f t="shared" si="108"/>
        <v>688.0699459426105</v>
      </c>
      <c r="AS885" s="17">
        <f t="shared" si="109"/>
        <v>4.1078802742842417E-2</v>
      </c>
      <c r="AT885" s="20">
        <v>16750</v>
      </c>
      <c r="AU885" s="20">
        <v>16840.3125</v>
      </c>
      <c r="AV885" s="20">
        <f t="shared" si="110"/>
        <v>90.3125</v>
      </c>
      <c r="AW885" s="21">
        <f t="shared" si="111"/>
        <v>5.3917910447761194E-3</v>
      </c>
    </row>
    <row r="886" spans="1:49" x14ac:dyDescent="0.25">
      <c r="A886" t="s">
        <v>38</v>
      </c>
      <c r="B886" t="s">
        <v>39</v>
      </c>
      <c r="C886">
        <v>135999</v>
      </c>
      <c r="D886">
        <v>2012</v>
      </c>
      <c r="E886" t="s">
        <v>116</v>
      </c>
      <c r="F886" t="s">
        <v>117</v>
      </c>
      <c r="G886" t="s">
        <v>195</v>
      </c>
      <c r="I886">
        <v>8</v>
      </c>
      <c r="J886" t="s">
        <v>61</v>
      </c>
      <c r="K886">
        <v>4</v>
      </c>
      <c r="L886" t="s">
        <v>44</v>
      </c>
      <c r="M886">
        <v>5.7</v>
      </c>
      <c r="N886" t="s">
        <v>44</v>
      </c>
      <c r="O886" t="s">
        <v>46</v>
      </c>
      <c r="Q886" t="s">
        <v>62</v>
      </c>
      <c r="R886" t="s">
        <v>63</v>
      </c>
      <c r="S886" t="s">
        <v>85</v>
      </c>
      <c r="T886">
        <v>360</v>
      </c>
      <c r="U886" t="s">
        <v>50</v>
      </c>
      <c r="V886" t="s">
        <v>76</v>
      </c>
      <c r="X886" t="s">
        <v>108</v>
      </c>
      <c r="Y886" t="s">
        <v>78</v>
      </c>
      <c r="AA886">
        <v>0</v>
      </c>
      <c r="AB886" t="s">
        <v>79</v>
      </c>
      <c r="AC886" t="s">
        <v>87</v>
      </c>
      <c r="AD886">
        <v>36</v>
      </c>
      <c r="AE886">
        <v>9</v>
      </c>
      <c r="AF886">
        <v>3</v>
      </c>
      <c r="AG886">
        <v>2025</v>
      </c>
      <c r="AH886" s="2">
        <v>7000</v>
      </c>
      <c r="AI886" s="2">
        <v>5732.26416015625</v>
      </c>
      <c r="AJ886" s="2">
        <f t="shared" si="104"/>
        <v>1267.73583984375</v>
      </c>
      <c r="AK886" s="6">
        <f t="shared" si="105"/>
        <v>0.18110511997767856</v>
      </c>
      <c r="AL886" s="12">
        <v>7000</v>
      </c>
      <c r="AM886" s="12">
        <v>4664.5554036847916</v>
      </c>
      <c r="AN886" s="12">
        <f t="shared" si="106"/>
        <v>2335.4445963152084</v>
      </c>
      <c r="AO886" s="13">
        <f t="shared" si="107"/>
        <v>0.33363494233074403</v>
      </c>
      <c r="AP886" s="16">
        <v>7000</v>
      </c>
      <c r="AQ886" s="16">
        <v>4976.9800132915616</v>
      </c>
      <c r="AR886" s="16">
        <f t="shared" si="108"/>
        <v>2023.0199867084384</v>
      </c>
      <c r="AS886" s="17">
        <f t="shared" si="109"/>
        <v>0.28900285524406261</v>
      </c>
      <c r="AT886" s="20">
        <v>7000</v>
      </c>
      <c r="AU886" s="20">
        <v>5647.2822265625</v>
      </c>
      <c r="AV886" s="20">
        <f t="shared" si="110"/>
        <v>1352.7177734375</v>
      </c>
      <c r="AW886" s="21">
        <f t="shared" si="111"/>
        <v>0.19324539620535713</v>
      </c>
    </row>
    <row r="887" spans="1:49" x14ac:dyDescent="0.25">
      <c r="A887" t="s">
        <v>38</v>
      </c>
      <c r="B887" t="s">
        <v>110</v>
      </c>
      <c r="C887">
        <v>88700</v>
      </c>
      <c r="D887">
        <v>2019</v>
      </c>
      <c r="E887" t="s">
        <v>142</v>
      </c>
      <c r="F887" t="s">
        <v>143</v>
      </c>
      <c r="H887" t="s">
        <v>494</v>
      </c>
      <c r="I887">
        <v>6</v>
      </c>
      <c r="J887" t="s">
        <v>72</v>
      </c>
      <c r="K887">
        <v>4</v>
      </c>
      <c r="L887" t="s">
        <v>44</v>
      </c>
      <c r="M887">
        <v>3.2</v>
      </c>
      <c r="N887" t="s">
        <v>91</v>
      </c>
      <c r="Q887" t="s">
        <v>62</v>
      </c>
      <c r="R887" t="s">
        <v>63</v>
      </c>
      <c r="S887" t="s">
        <v>93</v>
      </c>
      <c r="T887">
        <v>271</v>
      </c>
      <c r="U887" t="s">
        <v>50</v>
      </c>
      <c r="V887" t="s">
        <v>76</v>
      </c>
      <c r="X887" t="s">
        <v>141</v>
      </c>
      <c r="Y887" t="s">
        <v>78</v>
      </c>
      <c r="Z887">
        <v>34195</v>
      </c>
      <c r="AA887">
        <v>0</v>
      </c>
      <c r="AB887" t="s">
        <v>79</v>
      </c>
      <c r="AC887" t="s">
        <v>87</v>
      </c>
      <c r="AD887">
        <v>36</v>
      </c>
      <c r="AE887">
        <v>9</v>
      </c>
      <c r="AF887">
        <v>3</v>
      </c>
      <c r="AG887">
        <v>2025</v>
      </c>
      <c r="AH887" s="2">
        <v>12000</v>
      </c>
      <c r="AI887" s="2">
        <v>12133.8671875</v>
      </c>
      <c r="AJ887" s="2">
        <f t="shared" si="104"/>
        <v>133.8671875</v>
      </c>
      <c r="AK887" s="6">
        <f t="shared" si="105"/>
        <v>1.1155598958333334E-2</v>
      </c>
      <c r="AL887" s="12">
        <v>12000</v>
      </c>
      <c r="AM887" s="12">
        <v>14406.69127344632</v>
      </c>
      <c r="AN887" s="12">
        <f t="shared" si="106"/>
        <v>2406.6912734463203</v>
      </c>
      <c r="AO887" s="13">
        <f t="shared" si="107"/>
        <v>0.2005576061205267</v>
      </c>
      <c r="AP887" s="16">
        <v>12000</v>
      </c>
      <c r="AQ887" s="16">
        <v>11705.440653572299</v>
      </c>
      <c r="AR887" s="16">
        <f t="shared" si="108"/>
        <v>294.5593464277008</v>
      </c>
      <c r="AS887" s="17">
        <f t="shared" si="109"/>
        <v>2.4546612202308402E-2</v>
      </c>
      <c r="AT887" s="20">
        <v>12000</v>
      </c>
      <c r="AU887" s="20">
        <v>12664.791015625</v>
      </c>
      <c r="AV887" s="20">
        <f t="shared" si="110"/>
        <v>664.791015625</v>
      </c>
      <c r="AW887" s="21">
        <f t="shared" si="111"/>
        <v>5.5399251302083334E-2</v>
      </c>
    </row>
    <row r="888" spans="1:49" x14ac:dyDescent="0.25">
      <c r="A888" t="s">
        <v>128</v>
      </c>
      <c r="B888" t="s">
        <v>129</v>
      </c>
      <c r="C888">
        <v>85353</v>
      </c>
      <c r="D888">
        <v>2019</v>
      </c>
      <c r="E888" t="s">
        <v>464</v>
      </c>
      <c r="F888" t="s">
        <v>1099</v>
      </c>
      <c r="G888" t="s">
        <v>852</v>
      </c>
      <c r="I888">
        <v>6</v>
      </c>
      <c r="J888" t="s">
        <v>61</v>
      </c>
      <c r="K888">
        <v>4</v>
      </c>
      <c r="L888" t="s">
        <v>44</v>
      </c>
      <c r="M888">
        <v>3</v>
      </c>
      <c r="N888" t="s">
        <v>91</v>
      </c>
      <c r="O888" t="s">
        <v>46</v>
      </c>
      <c r="P888">
        <v>3</v>
      </c>
      <c r="Q888" t="s">
        <v>62</v>
      </c>
      <c r="R888" t="s">
        <v>63</v>
      </c>
      <c r="S888" t="s">
        <v>85</v>
      </c>
      <c r="T888">
        <v>340</v>
      </c>
      <c r="U888" t="s">
        <v>50</v>
      </c>
      <c r="V888" t="s">
        <v>76</v>
      </c>
      <c r="W888" t="s">
        <v>1026</v>
      </c>
      <c r="X888" t="s">
        <v>94</v>
      </c>
      <c r="Y888" t="s">
        <v>427</v>
      </c>
      <c r="Z888">
        <v>59100</v>
      </c>
      <c r="AA888">
        <v>0</v>
      </c>
      <c r="AB888" t="s">
        <v>79</v>
      </c>
      <c r="AC888" t="s">
        <v>87</v>
      </c>
      <c r="AD888">
        <v>36</v>
      </c>
      <c r="AE888">
        <v>9</v>
      </c>
      <c r="AF888">
        <v>3</v>
      </c>
      <c r="AG888">
        <v>2025</v>
      </c>
      <c r="AH888" s="2">
        <v>12600</v>
      </c>
      <c r="AI888" s="2">
        <v>15919.556640625</v>
      </c>
      <c r="AJ888" s="2">
        <f t="shared" si="104"/>
        <v>3319.556640625</v>
      </c>
      <c r="AK888" s="6">
        <f t="shared" si="105"/>
        <v>0.26345687624007935</v>
      </c>
      <c r="AL888" s="12">
        <v>12600</v>
      </c>
      <c r="AM888" s="12">
        <v>18334.868808882289</v>
      </c>
      <c r="AN888" s="12">
        <f t="shared" si="106"/>
        <v>5734.8688088822892</v>
      </c>
      <c r="AO888" s="13">
        <f t="shared" si="107"/>
        <v>0.45514831816526102</v>
      </c>
      <c r="AP888" s="16">
        <v>12600</v>
      </c>
      <c r="AQ888" s="16">
        <v>13812.80055432227</v>
      </c>
      <c r="AR888" s="16">
        <f t="shared" si="108"/>
        <v>1212.8005543222698</v>
      </c>
      <c r="AS888" s="17">
        <f t="shared" si="109"/>
        <v>9.6254012247799198E-2</v>
      </c>
      <c r="AT888" s="20">
        <v>12600</v>
      </c>
      <c r="AU888" s="20">
        <v>16243.6123046875</v>
      </c>
      <c r="AV888" s="20">
        <f t="shared" si="110"/>
        <v>3643.6123046875</v>
      </c>
      <c r="AW888" s="21">
        <f t="shared" si="111"/>
        <v>0.28917557973710317</v>
      </c>
    </row>
    <row r="889" spans="1:49" x14ac:dyDescent="0.25">
      <c r="A889" t="s">
        <v>38</v>
      </c>
      <c r="B889" t="s">
        <v>39</v>
      </c>
      <c r="C889">
        <v>124030</v>
      </c>
      <c r="D889">
        <v>2015</v>
      </c>
      <c r="E889" t="s">
        <v>162</v>
      </c>
      <c r="F889" t="s">
        <v>163</v>
      </c>
      <c r="G889" t="s">
        <v>1100</v>
      </c>
      <c r="I889">
        <v>4</v>
      </c>
      <c r="J889" t="s">
        <v>106</v>
      </c>
      <c r="K889">
        <v>4</v>
      </c>
      <c r="L889" t="s">
        <v>44</v>
      </c>
      <c r="M889">
        <v>2.4</v>
      </c>
      <c r="N889" t="s">
        <v>45</v>
      </c>
      <c r="O889" t="s">
        <v>46</v>
      </c>
      <c r="Q889" t="s">
        <v>47</v>
      </c>
      <c r="R889" t="s">
        <v>123</v>
      </c>
      <c r="U889" t="s">
        <v>50</v>
      </c>
      <c r="W889" t="s">
        <v>165</v>
      </c>
      <c r="X889" t="s">
        <v>125</v>
      </c>
      <c r="Y889" t="s">
        <v>78</v>
      </c>
      <c r="AA889">
        <v>0</v>
      </c>
      <c r="AB889" t="s">
        <v>79</v>
      </c>
      <c r="AC889" t="s">
        <v>127</v>
      </c>
      <c r="AD889">
        <v>36</v>
      </c>
      <c r="AE889">
        <v>9</v>
      </c>
      <c r="AF889">
        <v>3</v>
      </c>
      <c r="AG889">
        <v>2025</v>
      </c>
      <c r="AH889" s="2">
        <v>2750</v>
      </c>
      <c r="AI889" s="2">
        <v>3659.3662109375</v>
      </c>
      <c r="AJ889" s="2">
        <f t="shared" si="104"/>
        <v>909.3662109375</v>
      </c>
      <c r="AK889" s="6">
        <f t="shared" si="105"/>
        <v>0.33067862215909088</v>
      </c>
      <c r="AL889" s="12">
        <v>2750</v>
      </c>
      <c r="AM889" s="12">
        <v>3402.6430689012182</v>
      </c>
      <c r="AN889" s="12">
        <f t="shared" si="106"/>
        <v>652.64306890121816</v>
      </c>
      <c r="AO889" s="13">
        <f t="shared" si="107"/>
        <v>0.23732475232771569</v>
      </c>
      <c r="AP889" s="16">
        <v>2750</v>
      </c>
      <c r="AQ889" s="16">
        <v>2948.8764662080589</v>
      </c>
      <c r="AR889" s="16">
        <f t="shared" si="108"/>
        <v>198.8764662080589</v>
      </c>
      <c r="AS889" s="17">
        <f t="shared" si="109"/>
        <v>7.2318714984748692E-2</v>
      </c>
      <c r="AT889" s="20">
        <v>2750</v>
      </c>
      <c r="AU889" s="20">
        <v>3672.1962890625</v>
      </c>
      <c r="AV889" s="20">
        <f t="shared" si="110"/>
        <v>922.1962890625</v>
      </c>
      <c r="AW889" s="21">
        <f t="shared" si="111"/>
        <v>0.33534410511363638</v>
      </c>
    </row>
    <row r="890" spans="1:49" x14ac:dyDescent="0.25">
      <c r="A890" t="s">
        <v>128</v>
      </c>
      <c r="B890" t="s">
        <v>129</v>
      </c>
      <c r="C890">
        <v>148226</v>
      </c>
      <c r="D890">
        <v>2015</v>
      </c>
      <c r="E890" t="s">
        <v>116</v>
      </c>
      <c r="F890" t="s">
        <v>194</v>
      </c>
      <c r="G890" t="s">
        <v>1101</v>
      </c>
      <c r="I890">
        <v>8</v>
      </c>
      <c r="J890" t="s">
        <v>61</v>
      </c>
      <c r="K890">
        <v>2</v>
      </c>
      <c r="L890" t="s">
        <v>44</v>
      </c>
      <c r="M890">
        <v>6.4</v>
      </c>
      <c r="N890" t="s">
        <v>73</v>
      </c>
      <c r="O890" t="s">
        <v>46</v>
      </c>
      <c r="Q890" t="s">
        <v>47</v>
      </c>
      <c r="R890" t="s">
        <v>197</v>
      </c>
      <c r="S890" t="s">
        <v>179</v>
      </c>
      <c r="U890" t="s">
        <v>50</v>
      </c>
      <c r="X890" t="s">
        <v>125</v>
      </c>
      <c r="Y890" t="s">
        <v>103</v>
      </c>
      <c r="AA890">
        <v>0</v>
      </c>
      <c r="AB890" t="s">
        <v>79</v>
      </c>
      <c r="AC890" t="s">
        <v>197</v>
      </c>
      <c r="AD890">
        <v>36</v>
      </c>
      <c r="AE890">
        <v>9</v>
      </c>
      <c r="AF890">
        <v>3</v>
      </c>
      <c r="AG890">
        <v>2025</v>
      </c>
      <c r="AH890" s="2">
        <v>14500</v>
      </c>
      <c r="AI890" s="2">
        <v>7894.06591796875</v>
      </c>
      <c r="AJ890" s="2">
        <f t="shared" si="104"/>
        <v>6605.93408203125</v>
      </c>
      <c r="AK890" s="6">
        <f t="shared" si="105"/>
        <v>0.45558166082974139</v>
      </c>
      <c r="AL890" s="12">
        <v>14500</v>
      </c>
      <c r="AM890" s="12">
        <v>7879.2667940731526</v>
      </c>
      <c r="AN890" s="12">
        <f t="shared" si="106"/>
        <v>6620.7332059268474</v>
      </c>
      <c r="AO890" s="13">
        <f t="shared" si="107"/>
        <v>0.4566022900639205</v>
      </c>
      <c r="AP890" s="16">
        <v>14500</v>
      </c>
      <c r="AQ890" s="16">
        <v>9091.8249243033479</v>
      </c>
      <c r="AR890" s="16">
        <f t="shared" si="108"/>
        <v>5408.1750756966521</v>
      </c>
      <c r="AS890" s="17">
        <f t="shared" si="109"/>
        <v>0.37297759142735532</v>
      </c>
      <c r="AT890" s="20">
        <v>14500</v>
      </c>
      <c r="AU890" s="20">
        <v>7972.78369140625</v>
      </c>
      <c r="AV890" s="20">
        <f t="shared" si="110"/>
        <v>6527.21630859375</v>
      </c>
      <c r="AW890" s="21">
        <f t="shared" si="111"/>
        <v>0.45015284886853446</v>
      </c>
    </row>
    <row r="891" spans="1:49" x14ac:dyDescent="0.25">
      <c r="A891" t="s">
        <v>128</v>
      </c>
      <c r="B891" t="s">
        <v>210</v>
      </c>
      <c r="C891">
        <v>197643</v>
      </c>
      <c r="D891">
        <v>2009</v>
      </c>
      <c r="E891" t="s">
        <v>341</v>
      </c>
      <c r="F891" t="s">
        <v>574</v>
      </c>
      <c r="G891" t="s">
        <v>1102</v>
      </c>
      <c r="H891" t="s">
        <v>177</v>
      </c>
      <c r="I891">
        <v>6</v>
      </c>
      <c r="J891" t="s">
        <v>241</v>
      </c>
      <c r="K891">
        <v>4</v>
      </c>
      <c r="L891" t="s">
        <v>44</v>
      </c>
      <c r="M891">
        <v>3.6</v>
      </c>
      <c r="N891" t="s">
        <v>45</v>
      </c>
      <c r="O891" t="s">
        <v>46</v>
      </c>
      <c r="Q891" t="s">
        <v>62</v>
      </c>
      <c r="R891" t="s">
        <v>63</v>
      </c>
      <c r="S891" t="s">
        <v>101</v>
      </c>
      <c r="U891" t="s">
        <v>50</v>
      </c>
      <c r="X891" t="s">
        <v>94</v>
      </c>
      <c r="Y891" t="s">
        <v>78</v>
      </c>
      <c r="AA891">
        <v>0</v>
      </c>
      <c r="AB891" t="s">
        <v>79</v>
      </c>
      <c r="AC891" t="s">
        <v>87</v>
      </c>
      <c r="AD891">
        <v>36</v>
      </c>
      <c r="AE891">
        <v>9</v>
      </c>
      <c r="AF891">
        <v>3</v>
      </c>
      <c r="AG891">
        <v>2025</v>
      </c>
      <c r="AH891" s="2">
        <v>500</v>
      </c>
      <c r="AI891" s="2">
        <v>964.17431640625</v>
      </c>
      <c r="AJ891" s="2">
        <f t="shared" si="104"/>
        <v>464.17431640625</v>
      </c>
      <c r="AK891" s="6">
        <f t="shared" si="105"/>
        <v>0.92834863281250002</v>
      </c>
      <c r="AL891" s="12">
        <v>500</v>
      </c>
      <c r="AM891" s="12">
        <v>1120.2678860886199</v>
      </c>
      <c r="AN891" s="12">
        <f t="shared" si="106"/>
        <v>620.26788608861989</v>
      </c>
      <c r="AO891" s="13">
        <f t="shared" si="107"/>
        <v>1.2405357721772399</v>
      </c>
      <c r="AP891" s="16">
        <v>500</v>
      </c>
      <c r="AQ891" s="16">
        <v>952.74381069322158</v>
      </c>
      <c r="AR891" s="16">
        <f t="shared" si="108"/>
        <v>452.74381069322158</v>
      </c>
      <c r="AS891" s="17">
        <f t="shared" si="109"/>
        <v>0.90548762138644312</v>
      </c>
      <c r="AT891" s="20">
        <v>500</v>
      </c>
      <c r="AU891" s="20">
        <v>951.63922119140625</v>
      </c>
      <c r="AV891" s="20">
        <f t="shared" si="110"/>
        <v>451.63922119140625</v>
      </c>
      <c r="AW891" s="21">
        <f t="shared" si="111"/>
        <v>0.90327844238281252</v>
      </c>
    </row>
    <row r="892" spans="1:49" x14ac:dyDescent="0.25">
      <c r="A892" t="s">
        <v>38</v>
      </c>
      <c r="B892" t="s">
        <v>39</v>
      </c>
      <c r="C892">
        <v>109225</v>
      </c>
      <c r="D892">
        <v>2018</v>
      </c>
      <c r="E892" t="s">
        <v>69</v>
      </c>
      <c r="F892" t="s">
        <v>231</v>
      </c>
      <c r="I892">
        <v>6</v>
      </c>
      <c r="J892" t="s">
        <v>106</v>
      </c>
      <c r="K892">
        <v>4</v>
      </c>
      <c r="L892" t="s">
        <v>44</v>
      </c>
      <c r="M892">
        <v>3.5</v>
      </c>
      <c r="N892" t="s">
        <v>91</v>
      </c>
      <c r="O892" t="s">
        <v>46</v>
      </c>
      <c r="Q892" t="s">
        <v>74</v>
      </c>
      <c r="R892" t="s">
        <v>92</v>
      </c>
      <c r="S892" t="s">
        <v>93</v>
      </c>
      <c r="T892">
        <v>375</v>
      </c>
      <c r="U892" t="s">
        <v>50</v>
      </c>
      <c r="V892" t="s">
        <v>76</v>
      </c>
      <c r="W892" t="s">
        <v>107</v>
      </c>
      <c r="X892" t="s">
        <v>94</v>
      </c>
      <c r="Y892" t="s">
        <v>78</v>
      </c>
      <c r="AA892">
        <v>0</v>
      </c>
      <c r="AB892" t="s">
        <v>79</v>
      </c>
      <c r="AC892" t="s">
        <v>95</v>
      </c>
      <c r="AD892">
        <v>36</v>
      </c>
      <c r="AE892">
        <v>9</v>
      </c>
      <c r="AF892">
        <v>3</v>
      </c>
      <c r="AG892">
        <v>2025</v>
      </c>
      <c r="AH892" s="2">
        <v>24000</v>
      </c>
      <c r="AI892" s="2">
        <v>18208.767578125</v>
      </c>
      <c r="AJ892" s="2">
        <f t="shared" si="104"/>
        <v>5791.232421875</v>
      </c>
      <c r="AK892" s="6">
        <f t="shared" si="105"/>
        <v>0.24130135091145832</v>
      </c>
      <c r="AL892" s="12">
        <v>24000</v>
      </c>
      <c r="AM892" s="12">
        <v>17253.996833600329</v>
      </c>
      <c r="AN892" s="12">
        <f t="shared" si="106"/>
        <v>6746.0031663996706</v>
      </c>
      <c r="AO892" s="13">
        <f t="shared" si="107"/>
        <v>0.28108346526665295</v>
      </c>
      <c r="AP892" s="16">
        <v>24000</v>
      </c>
      <c r="AQ892" s="16">
        <v>17257.41648563003</v>
      </c>
      <c r="AR892" s="16">
        <f t="shared" si="108"/>
        <v>6742.5835143699696</v>
      </c>
      <c r="AS892" s="17">
        <f t="shared" si="109"/>
        <v>0.28094097976541538</v>
      </c>
      <c r="AT892" s="20">
        <v>24000</v>
      </c>
      <c r="AU892" s="20">
        <v>17634.328125</v>
      </c>
      <c r="AV892" s="20">
        <f t="shared" si="110"/>
        <v>6365.671875</v>
      </c>
      <c r="AW892" s="21">
        <f t="shared" si="111"/>
        <v>0.26523632812499998</v>
      </c>
    </row>
    <row r="893" spans="1:49" x14ac:dyDescent="0.25">
      <c r="A893" t="s">
        <v>114</v>
      </c>
      <c r="B893" t="s">
        <v>340</v>
      </c>
      <c r="C893">
        <v>180086</v>
      </c>
      <c r="D893">
        <v>2013</v>
      </c>
      <c r="E893" t="s">
        <v>97</v>
      </c>
      <c r="F893" t="s">
        <v>98</v>
      </c>
      <c r="G893" t="s">
        <v>199</v>
      </c>
      <c r="I893">
        <v>4</v>
      </c>
      <c r="J893" t="s">
        <v>135</v>
      </c>
      <c r="K893">
        <v>4</v>
      </c>
      <c r="L893" t="s">
        <v>44</v>
      </c>
      <c r="M893">
        <v>2.4</v>
      </c>
      <c r="N893" t="s">
        <v>45</v>
      </c>
      <c r="O893" t="s">
        <v>46</v>
      </c>
      <c r="P893">
        <v>3</v>
      </c>
      <c r="Q893" t="s">
        <v>62</v>
      </c>
      <c r="R893" t="s">
        <v>63</v>
      </c>
      <c r="S893" t="s">
        <v>101</v>
      </c>
      <c r="U893" t="s">
        <v>50</v>
      </c>
      <c r="W893" t="s">
        <v>479</v>
      </c>
      <c r="X893" t="s">
        <v>65</v>
      </c>
      <c r="Y893" t="s">
        <v>103</v>
      </c>
      <c r="AA893">
        <v>0</v>
      </c>
      <c r="AB893" t="s">
        <v>79</v>
      </c>
      <c r="AC893" t="s">
        <v>87</v>
      </c>
      <c r="AD893">
        <v>36</v>
      </c>
      <c r="AE893">
        <v>9</v>
      </c>
      <c r="AF893">
        <v>3</v>
      </c>
      <c r="AG893">
        <v>2025</v>
      </c>
      <c r="AH893" s="2">
        <v>1400</v>
      </c>
      <c r="AI893" s="2">
        <v>1531.951782226562</v>
      </c>
      <c r="AJ893" s="2">
        <f t="shared" si="104"/>
        <v>131.95178222656205</v>
      </c>
      <c r="AK893" s="6">
        <f t="shared" si="105"/>
        <v>9.4251273018972889E-2</v>
      </c>
      <c r="AL893" s="12">
        <v>1400</v>
      </c>
      <c r="AM893" s="12">
        <v>1677.9116446865339</v>
      </c>
      <c r="AN893" s="12">
        <f t="shared" si="106"/>
        <v>277.91164468653392</v>
      </c>
      <c r="AO893" s="13">
        <f t="shared" si="107"/>
        <v>0.19850831763323851</v>
      </c>
      <c r="AP893" s="16">
        <v>1400</v>
      </c>
      <c r="AQ893" s="16">
        <v>1291.8736255878571</v>
      </c>
      <c r="AR893" s="16">
        <f t="shared" si="108"/>
        <v>108.12637441214292</v>
      </c>
      <c r="AS893" s="17">
        <f t="shared" si="109"/>
        <v>7.7233124580102092E-2</v>
      </c>
      <c r="AT893" s="20">
        <v>1400</v>
      </c>
      <c r="AU893" s="20">
        <v>1530.447509765625</v>
      </c>
      <c r="AV893" s="20">
        <f t="shared" si="110"/>
        <v>130.447509765625</v>
      </c>
      <c r="AW893" s="21">
        <f t="shared" si="111"/>
        <v>9.3176792689732141E-2</v>
      </c>
    </row>
    <row r="894" spans="1:49" x14ac:dyDescent="0.25">
      <c r="A894" t="s">
        <v>38</v>
      </c>
      <c r="B894" t="s">
        <v>39</v>
      </c>
      <c r="C894">
        <v>205501</v>
      </c>
      <c r="D894">
        <v>2014</v>
      </c>
      <c r="E894" t="s">
        <v>174</v>
      </c>
      <c r="F894" t="s">
        <v>314</v>
      </c>
      <c r="G894" t="s">
        <v>176</v>
      </c>
      <c r="H894" t="s">
        <v>89</v>
      </c>
      <c r="I894">
        <v>8</v>
      </c>
      <c r="J894" t="s">
        <v>122</v>
      </c>
      <c r="K894">
        <v>4</v>
      </c>
      <c r="L894" t="s">
        <v>44</v>
      </c>
      <c r="M894">
        <v>5.3</v>
      </c>
      <c r="N894" t="s">
        <v>73</v>
      </c>
      <c r="O894" t="s">
        <v>46</v>
      </c>
      <c r="P894">
        <v>3</v>
      </c>
      <c r="Q894" t="s">
        <v>74</v>
      </c>
      <c r="R894" t="s">
        <v>92</v>
      </c>
      <c r="S894" t="s">
        <v>179</v>
      </c>
      <c r="U894" t="s">
        <v>50</v>
      </c>
      <c r="W894" t="s">
        <v>712</v>
      </c>
      <c r="X894" t="s">
        <v>94</v>
      </c>
      <c r="Y894" t="s">
        <v>126</v>
      </c>
      <c r="AA894">
        <v>0</v>
      </c>
      <c r="AB894" t="s">
        <v>79</v>
      </c>
      <c r="AC894" t="s">
        <v>95</v>
      </c>
      <c r="AD894">
        <v>36</v>
      </c>
      <c r="AE894">
        <v>9</v>
      </c>
      <c r="AF894">
        <v>3</v>
      </c>
      <c r="AG894">
        <v>2025</v>
      </c>
      <c r="AH894" s="2">
        <v>8100</v>
      </c>
      <c r="AI894" s="2">
        <v>8358.873046875</v>
      </c>
      <c r="AJ894" s="2">
        <f t="shared" si="104"/>
        <v>258.873046875</v>
      </c>
      <c r="AK894" s="6">
        <f t="shared" si="105"/>
        <v>3.1959635416666667E-2</v>
      </c>
      <c r="AL894" s="12">
        <v>8100</v>
      </c>
      <c r="AM894" s="12">
        <v>6254.590649597134</v>
      </c>
      <c r="AN894" s="12">
        <f t="shared" si="106"/>
        <v>1845.409350402866</v>
      </c>
      <c r="AO894" s="13">
        <f t="shared" si="107"/>
        <v>0.22782831486455135</v>
      </c>
      <c r="AP894" s="16">
        <v>8100</v>
      </c>
      <c r="AQ894" s="16">
        <v>6576.033948256154</v>
      </c>
      <c r="AR894" s="16">
        <f t="shared" si="108"/>
        <v>1523.966051743846</v>
      </c>
      <c r="AS894" s="17">
        <f t="shared" si="109"/>
        <v>0.18814395700541309</v>
      </c>
      <c r="AT894" s="20">
        <v>8100</v>
      </c>
      <c r="AU894" s="20">
        <v>8015.466796875</v>
      </c>
      <c r="AV894" s="20">
        <f t="shared" si="110"/>
        <v>84.533203125</v>
      </c>
      <c r="AW894" s="21">
        <f t="shared" si="111"/>
        <v>1.0436197916666667E-2</v>
      </c>
    </row>
    <row r="895" spans="1:49" x14ac:dyDescent="0.25">
      <c r="A895" t="s">
        <v>128</v>
      </c>
      <c r="B895" t="s">
        <v>129</v>
      </c>
      <c r="C895">
        <v>58081</v>
      </c>
      <c r="D895">
        <v>2019</v>
      </c>
      <c r="E895" t="s">
        <v>40</v>
      </c>
      <c r="F895" t="s">
        <v>149</v>
      </c>
      <c r="G895" t="s">
        <v>150</v>
      </c>
      <c r="H895" t="s">
        <v>151</v>
      </c>
      <c r="I895">
        <v>6</v>
      </c>
      <c r="J895" t="s">
        <v>106</v>
      </c>
      <c r="K895">
        <v>4</v>
      </c>
      <c r="L895" t="s">
        <v>44</v>
      </c>
      <c r="M895">
        <v>3.5</v>
      </c>
      <c r="N895" t="s">
        <v>73</v>
      </c>
      <c r="O895" t="s">
        <v>46</v>
      </c>
      <c r="P895">
        <v>3</v>
      </c>
      <c r="Q895" t="s">
        <v>74</v>
      </c>
      <c r="R895" t="s">
        <v>92</v>
      </c>
      <c r="S895" t="s">
        <v>49</v>
      </c>
      <c r="T895">
        <v>278</v>
      </c>
      <c r="U895" t="s">
        <v>50</v>
      </c>
      <c r="V895" t="s">
        <v>76</v>
      </c>
      <c r="W895" t="s">
        <v>152</v>
      </c>
      <c r="X895" t="s">
        <v>141</v>
      </c>
      <c r="Y895" t="s">
        <v>126</v>
      </c>
      <c r="Z895">
        <v>27625</v>
      </c>
      <c r="AA895">
        <v>0</v>
      </c>
      <c r="AB895" t="s">
        <v>79</v>
      </c>
      <c r="AC895" t="s">
        <v>95</v>
      </c>
      <c r="AD895">
        <v>36</v>
      </c>
      <c r="AE895">
        <v>9</v>
      </c>
      <c r="AF895">
        <v>3</v>
      </c>
      <c r="AG895">
        <v>2025</v>
      </c>
      <c r="AH895" s="2">
        <v>26200</v>
      </c>
      <c r="AI895" s="2">
        <v>18817.505859375</v>
      </c>
      <c r="AJ895" s="2">
        <f t="shared" si="104"/>
        <v>7382.494140625</v>
      </c>
      <c r="AK895" s="6">
        <f t="shared" si="105"/>
        <v>0.28177458552003815</v>
      </c>
      <c r="AL895" s="12">
        <v>26200</v>
      </c>
      <c r="AM895" s="12">
        <v>18516.838398551001</v>
      </c>
      <c r="AN895" s="12">
        <f t="shared" si="106"/>
        <v>7683.1616014489991</v>
      </c>
      <c r="AO895" s="13">
        <f t="shared" si="107"/>
        <v>0.2932504428033969</v>
      </c>
      <c r="AP895" s="16">
        <v>26200</v>
      </c>
      <c r="AQ895" s="16">
        <v>17984.031893688971</v>
      </c>
      <c r="AR895" s="16">
        <f t="shared" si="108"/>
        <v>8215.9681063110293</v>
      </c>
      <c r="AS895" s="17">
        <f t="shared" si="109"/>
        <v>0.31358656894316905</v>
      </c>
      <c r="AT895" s="20">
        <v>26200</v>
      </c>
      <c r="AU895" s="20">
        <v>18553.63671875</v>
      </c>
      <c r="AV895" s="20">
        <f t="shared" si="110"/>
        <v>7646.36328125</v>
      </c>
      <c r="AW895" s="21">
        <f t="shared" si="111"/>
        <v>0.29184592676526716</v>
      </c>
    </row>
    <row r="896" spans="1:49" x14ac:dyDescent="0.25">
      <c r="A896" t="s">
        <v>38</v>
      </c>
      <c r="B896" t="s">
        <v>39</v>
      </c>
      <c r="C896">
        <v>170453</v>
      </c>
      <c r="D896">
        <v>2010</v>
      </c>
      <c r="E896" t="s">
        <v>166</v>
      </c>
      <c r="F896" t="s">
        <v>247</v>
      </c>
      <c r="G896" t="s">
        <v>581</v>
      </c>
      <c r="I896">
        <v>4</v>
      </c>
      <c r="J896" t="s">
        <v>43</v>
      </c>
      <c r="K896">
        <v>4</v>
      </c>
      <c r="L896" t="s">
        <v>44</v>
      </c>
      <c r="M896">
        <v>2.4</v>
      </c>
      <c r="N896" t="s">
        <v>45</v>
      </c>
      <c r="O896" t="s">
        <v>46</v>
      </c>
      <c r="Q896" t="s">
        <v>62</v>
      </c>
      <c r="R896" t="s">
        <v>63</v>
      </c>
      <c r="S896" t="s">
        <v>101</v>
      </c>
      <c r="T896">
        <v>180</v>
      </c>
      <c r="U896" t="s">
        <v>50</v>
      </c>
      <c r="V896" t="s">
        <v>51</v>
      </c>
      <c r="W896" t="s">
        <v>582</v>
      </c>
      <c r="X896" t="s">
        <v>65</v>
      </c>
      <c r="Y896" t="s">
        <v>54</v>
      </c>
      <c r="AA896">
        <v>0</v>
      </c>
      <c r="AB896" t="s">
        <v>79</v>
      </c>
      <c r="AC896" t="s">
        <v>87</v>
      </c>
      <c r="AD896">
        <v>36</v>
      </c>
      <c r="AE896">
        <v>9</v>
      </c>
      <c r="AF896">
        <v>3</v>
      </c>
      <c r="AG896">
        <v>2025</v>
      </c>
      <c r="AH896" s="2">
        <v>6500</v>
      </c>
      <c r="AI896" s="2">
        <v>3906.34619140625</v>
      </c>
      <c r="AJ896" s="2">
        <f t="shared" si="104"/>
        <v>2593.65380859375</v>
      </c>
      <c r="AK896" s="6">
        <f t="shared" si="105"/>
        <v>0.39902366286057694</v>
      </c>
      <c r="AL896" s="12">
        <v>6500</v>
      </c>
      <c r="AM896" s="12">
        <v>2928.0273974794368</v>
      </c>
      <c r="AN896" s="12">
        <f t="shared" si="106"/>
        <v>3571.9726025205632</v>
      </c>
      <c r="AO896" s="13">
        <f t="shared" si="107"/>
        <v>0.54953424654162508</v>
      </c>
      <c r="AP896" s="16">
        <v>6500</v>
      </c>
      <c r="AQ896" s="16">
        <v>2830.8967693847599</v>
      </c>
      <c r="AR896" s="16">
        <f t="shared" si="108"/>
        <v>3669.1032306152401</v>
      </c>
      <c r="AS896" s="17">
        <f t="shared" si="109"/>
        <v>0.56447742009465229</v>
      </c>
      <c r="AT896" s="20">
        <v>6500</v>
      </c>
      <c r="AU896" s="20">
        <v>3833.4580078125</v>
      </c>
      <c r="AV896" s="20">
        <f t="shared" si="110"/>
        <v>2666.5419921875</v>
      </c>
      <c r="AW896" s="21">
        <f t="shared" si="111"/>
        <v>0.41023722956730768</v>
      </c>
    </row>
    <row r="897" spans="1:49" x14ac:dyDescent="0.25">
      <c r="A897" t="s">
        <v>38</v>
      </c>
      <c r="B897" t="s">
        <v>39</v>
      </c>
      <c r="C897">
        <v>108315</v>
      </c>
      <c r="D897">
        <v>2020</v>
      </c>
      <c r="E897" t="s">
        <v>174</v>
      </c>
      <c r="F897" t="s">
        <v>774</v>
      </c>
      <c r="H897" t="s">
        <v>273</v>
      </c>
      <c r="I897">
        <v>8</v>
      </c>
      <c r="J897" t="s">
        <v>61</v>
      </c>
      <c r="K897">
        <v>4</v>
      </c>
      <c r="L897" t="s">
        <v>44</v>
      </c>
      <c r="M897">
        <v>5.3</v>
      </c>
      <c r="N897" t="s">
        <v>91</v>
      </c>
      <c r="O897" t="s">
        <v>46</v>
      </c>
      <c r="Q897" t="s">
        <v>62</v>
      </c>
      <c r="R897" t="s">
        <v>63</v>
      </c>
      <c r="S897" t="s">
        <v>93</v>
      </c>
      <c r="U897" t="s">
        <v>50</v>
      </c>
      <c r="W897" t="s">
        <v>1016</v>
      </c>
      <c r="X897" t="s">
        <v>108</v>
      </c>
      <c r="Y897" t="s">
        <v>78</v>
      </c>
      <c r="AA897">
        <v>0</v>
      </c>
      <c r="AB897" t="s">
        <v>79</v>
      </c>
      <c r="AC897" t="s">
        <v>109</v>
      </c>
      <c r="AD897">
        <v>36</v>
      </c>
      <c r="AE897">
        <v>9</v>
      </c>
      <c r="AF897">
        <v>3</v>
      </c>
      <c r="AG897">
        <v>2025</v>
      </c>
      <c r="AH897" s="2">
        <v>21000</v>
      </c>
      <c r="AI897" s="2">
        <v>29579.662109375</v>
      </c>
      <c r="AJ897" s="2">
        <f t="shared" si="104"/>
        <v>8579.662109375</v>
      </c>
      <c r="AK897" s="6">
        <f t="shared" si="105"/>
        <v>0.40855533854166665</v>
      </c>
      <c r="AL897" s="12">
        <v>21000</v>
      </c>
      <c r="AM897" s="12">
        <v>25468.524195113201</v>
      </c>
      <c r="AN897" s="12">
        <f t="shared" si="106"/>
        <v>4468.5241951132011</v>
      </c>
      <c r="AO897" s="13">
        <f t="shared" si="107"/>
        <v>0.21278686643396197</v>
      </c>
      <c r="AP897" s="16">
        <v>21000</v>
      </c>
      <c r="AQ897" s="16">
        <v>24910.359626410791</v>
      </c>
      <c r="AR897" s="16">
        <f t="shared" si="108"/>
        <v>3910.359626410791</v>
      </c>
      <c r="AS897" s="17">
        <f t="shared" si="109"/>
        <v>0.1862076012576567</v>
      </c>
      <c r="AT897" s="20">
        <v>21000</v>
      </c>
      <c r="AU897" s="20">
        <v>28644.169921875</v>
      </c>
      <c r="AV897" s="20">
        <f t="shared" si="110"/>
        <v>7644.169921875</v>
      </c>
      <c r="AW897" s="21">
        <f t="shared" si="111"/>
        <v>0.36400809151785712</v>
      </c>
    </row>
    <row r="898" spans="1:49" x14ac:dyDescent="0.25">
      <c r="A898" t="s">
        <v>38</v>
      </c>
      <c r="B898" t="s">
        <v>39</v>
      </c>
      <c r="C898">
        <v>140804</v>
      </c>
      <c r="D898">
        <v>2019</v>
      </c>
      <c r="E898" t="s">
        <v>58</v>
      </c>
      <c r="F898" t="s">
        <v>391</v>
      </c>
      <c r="G898" t="s">
        <v>1103</v>
      </c>
      <c r="I898">
        <v>4</v>
      </c>
      <c r="J898" t="s">
        <v>106</v>
      </c>
      <c r="K898">
        <v>4</v>
      </c>
      <c r="L898" t="s">
        <v>44</v>
      </c>
      <c r="M898">
        <v>2.4</v>
      </c>
      <c r="N898" t="s">
        <v>45</v>
      </c>
      <c r="O898" t="s">
        <v>46</v>
      </c>
      <c r="Q898" t="s">
        <v>47</v>
      </c>
      <c r="R898" t="s">
        <v>123</v>
      </c>
      <c r="T898">
        <v>185</v>
      </c>
      <c r="U898" t="s">
        <v>50</v>
      </c>
      <c r="W898" t="s">
        <v>64</v>
      </c>
      <c r="X898" t="s">
        <v>125</v>
      </c>
      <c r="Y898" t="s">
        <v>78</v>
      </c>
      <c r="Z898">
        <v>22990</v>
      </c>
      <c r="AA898">
        <v>0</v>
      </c>
      <c r="AB898" t="s">
        <v>79</v>
      </c>
      <c r="AC898" t="s">
        <v>127</v>
      </c>
      <c r="AD898">
        <v>36</v>
      </c>
      <c r="AE898">
        <v>9</v>
      </c>
      <c r="AF898">
        <v>3</v>
      </c>
      <c r="AG898">
        <v>2025</v>
      </c>
      <c r="AH898" s="2">
        <v>3250</v>
      </c>
      <c r="AI898" s="2">
        <v>4511.43310546875</v>
      </c>
      <c r="AJ898" s="2">
        <f t="shared" si="104"/>
        <v>1261.43310546875</v>
      </c>
      <c r="AK898" s="6">
        <f t="shared" si="105"/>
        <v>0.38813326322115382</v>
      </c>
      <c r="AL898" s="12">
        <v>3250</v>
      </c>
      <c r="AM898" s="12">
        <v>4609.1163774936367</v>
      </c>
      <c r="AN898" s="12">
        <f t="shared" si="106"/>
        <v>1359.1163774936367</v>
      </c>
      <c r="AO898" s="13">
        <f t="shared" si="107"/>
        <v>0.41818965461342666</v>
      </c>
      <c r="AP898" s="16">
        <v>3250</v>
      </c>
      <c r="AQ898" s="16">
        <v>4172.2365891974632</v>
      </c>
      <c r="AR898" s="16">
        <f t="shared" si="108"/>
        <v>922.23658919746322</v>
      </c>
      <c r="AS898" s="17">
        <f t="shared" si="109"/>
        <v>0.28376510436845021</v>
      </c>
      <c r="AT898" s="20">
        <v>3250</v>
      </c>
      <c r="AU898" s="20">
        <v>4593.91650390625</v>
      </c>
      <c r="AV898" s="20">
        <f t="shared" si="110"/>
        <v>1343.91650390625</v>
      </c>
      <c r="AW898" s="21">
        <f t="shared" si="111"/>
        <v>0.4135127704326923</v>
      </c>
    </row>
    <row r="899" spans="1:49" x14ac:dyDescent="0.25">
      <c r="A899" t="s">
        <v>38</v>
      </c>
      <c r="B899" t="s">
        <v>96</v>
      </c>
      <c r="C899">
        <v>124749</v>
      </c>
      <c r="D899">
        <v>2020</v>
      </c>
      <c r="E899" t="s">
        <v>97</v>
      </c>
      <c r="F899" t="s">
        <v>470</v>
      </c>
      <c r="G899" t="s">
        <v>513</v>
      </c>
      <c r="I899">
        <v>4</v>
      </c>
      <c r="J899" t="s">
        <v>106</v>
      </c>
      <c r="K899">
        <v>4</v>
      </c>
      <c r="L899" t="s">
        <v>44</v>
      </c>
      <c r="M899">
        <v>1.5</v>
      </c>
      <c r="N899" t="s">
        <v>45</v>
      </c>
      <c r="O899" t="s">
        <v>46</v>
      </c>
      <c r="P899">
        <v>3</v>
      </c>
      <c r="Q899" t="s">
        <v>47</v>
      </c>
      <c r="R899" t="s">
        <v>123</v>
      </c>
      <c r="S899" t="s">
        <v>101</v>
      </c>
      <c r="U899" t="s">
        <v>50</v>
      </c>
      <c r="V899" t="s">
        <v>51</v>
      </c>
      <c r="W899" t="s">
        <v>687</v>
      </c>
      <c r="X899" t="s">
        <v>125</v>
      </c>
      <c r="Y899" t="s">
        <v>78</v>
      </c>
      <c r="AA899">
        <v>0</v>
      </c>
      <c r="AB899" t="s">
        <v>79</v>
      </c>
      <c r="AC899" t="s">
        <v>127</v>
      </c>
      <c r="AD899">
        <v>36</v>
      </c>
      <c r="AE899">
        <v>9</v>
      </c>
      <c r="AF899">
        <v>3</v>
      </c>
      <c r="AG899">
        <v>2025</v>
      </c>
      <c r="AH899" s="2">
        <v>3000</v>
      </c>
      <c r="AI899" s="2">
        <v>7284.619140625</v>
      </c>
      <c r="AJ899" s="2">
        <f t="shared" ref="AJ899:AJ963" si="112">ABS(AH899-AI899)</f>
        <v>4284.619140625</v>
      </c>
      <c r="AK899" s="6">
        <f t="shared" ref="AK899:AK963" si="113">ABS($AH899-AI899)/$AH899</f>
        <v>1.4282063802083333</v>
      </c>
      <c r="AL899" s="12">
        <v>3000</v>
      </c>
      <c r="AM899" s="12">
        <v>7315.5175495491294</v>
      </c>
      <c r="AN899" s="12">
        <f t="shared" ref="AN899:AN963" si="114">ABS(AL899-AM899)</f>
        <v>4315.5175495491294</v>
      </c>
      <c r="AO899" s="13">
        <f t="shared" ref="AO899:AO963" si="115">ABS($AH899-AM899)/$AH899</f>
        <v>1.4385058498497099</v>
      </c>
      <c r="AP899" s="16">
        <v>3000</v>
      </c>
      <c r="AQ899" s="16">
        <v>5993.8002819744179</v>
      </c>
      <c r="AR899" s="16">
        <f t="shared" ref="AR899:AR963" si="116">ABS(AP899-AQ899)</f>
        <v>2993.8002819744179</v>
      </c>
      <c r="AS899" s="17">
        <f t="shared" ref="AS899:AS962" si="117">ABS($AH899-AQ899)/$AH899</f>
        <v>0.99793342732480594</v>
      </c>
      <c r="AT899" s="20">
        <v>3000</v>
      </c>
      <c r="AU899" s="20">
        <v>7339.9755859375</v>
      </c>
      <c r="AV899" s="20">
        <f t="shared" ref="AV899:AV962" si="118">ABS(AT899-AU899)</f>
        <v>4339.9755859375</v>
      </c>
      <c r="AW899" s="21">
        <f t="shared" ref="AW899:AW963" si="119">ABS($AH899-AU899)/$AH899</f>
        <v>1.4466585286458333</v>
      </c>
    </row>
    <row r="900" spans="1:49" x14ac:dyDescent="0.25">
      <c r="A900" t="s">
        <v>81</v>
      </c>
      <c r="B900" t="s">
        <v>82</v>
      </c>
      <c r="C900">
        <v>272063</v>
      </c>
      <c r="D900">
        <v>2014</v>
      </c>
      <c r="E900" t="s">
        <v>162</v>
      </c>
      <c r="F900" t="s">
        <v>532</v>
      </c>
      <c r="G900" t="s">
        <v>221</v>
      </c>
      <c r="I900">
        <v>6</v>
      </c>
      <c r="J900" t="s">
        <v>106</v>
      </c>
      <c r="K900">
        <v>4</v>
      </c>
      <c r="L900" t="s">
        <v>44</v>
      </c>
      <c r="M900">
        <v>3.3</v>
      </c>
      <c r="N900" t="s">
        <v>44</v>
      </c>
      <c r="O900" t="s">
        <v>46</v>
      </c>
      <c r="Q900" t="s">
        <v>62</v>
      </c>
      <c r="R900" t="s">
        <v>63</v>
      </c>
      <c r="S900" t="s">
        <v>93</v>
      </c>
      <c r="U900" t="s">
        <v>50</v>
      </c>
      <c r="W900" t="s">
        <v>1104</v>
      </c>
      <c r="X900" t="s">
        <v>141</v>
      </c>
      <c r="Y900" t="s">
        <v>66</v>
      </c>
      <c r="AA900">
        <v>0</v>
      </c>
      <c r="AB900" t="s">
        <v>79</v>
      </c>
      <c r="AC900" t="s">
        <v>87</v>
      </c>
      <c r="AD900">
        <v>36</v>
      </c>
      <c r="AE900">
        <v>9</v>
      </c>
      <c r="AF900">
        <v>3</v>
      </c>
      <c r="AG900">
        <v>2025</v>
      </c>
      <c r="AH900" s="2">
        <v>1200</v>
      </c>
      <c r="AI900" s="2">
        <v>1304.431884765625</v>
      </c>
      <c r="AJ900" s="2">
        <f t="shared" si="112"/>
        <v>104.431884765625</v>
      </c>
      <c r="AK900" s="6">
        <f t="shared" si="113"/>
        <v>8.7026570638020828E-2</v>
      </c>
      <c r="AL900" s="12">
        <v>1200</v>
      </c>
      <c r="AM900" s="12">
        <v>1535.070831153505</v>
      </c>
      <c r="AN900" s="12">
        <f t="shared" si="114"/>
        <v>335.07083115350497</v>
      </c>
      <c r="AO900" s="13">
        <f t="shared" si="115"/>
        <v>0.2792256926279208</v>
      </c>
      <c r="AP900" s="16">
        <v>1200</v>
      </c>
      <c r="AQ900" s="16">
        <v>1079.24310056834</v>
      </c>
      <c r="AR900" s="16">
        <f t="shared" si="116"/>
        <v>120.75689943166003</v>
      </c>
      <c r="AS900" s="17">
        <f t="shared" si="117"/>
        <v>0.10063074952638336</v>
      </c>
      <c r="AT900" s="20">
        <v>1200</v>
      </c>
      <c r="AU900" s="20">
        <v>1299.368530273438</v>
      </c>
      <c r="AV900" s="20">
        <f t="shared" si="118"/>
        <v>99.368530273437955</v>
      </c>
      <c r="AW900" s="21">
        <f t="shared" si="119"/>
        <v>8.28071085611983E-2</v>
      </c>
    </row>
    <row r="901" spans="1:49" x14ac:dyDescent="0.25">
      <c r="A901" t="s">
        <v>114</v>
      </c>
      <c r="B901" t="s">
        <v>340</v>
      </c>
      <c r="C901">
        <v>48420</v>
      </c>
      <c r="D901">
        <v>2001</v>
      </c>
      <c r="E901" t="s">
        <v>69</v>
      </c>
      <c r="F901" t="s">
        <v>1105</v>
      </c>
      <c r="H901" t="s">
        <v>224</v>
      </c>
      <c r="I901">
        <v>4</v>
      </c>
      <c r="J901" t="s">
        <v>135</v>
      </c>
      <c r="K901">
        <v>4</v>
      </c>
      <c r="L901" t="s">
        <v>44</v>
      </c>
      <c r="M901">
        <v>2</v>
      </c>
      <c r="N901" t="s">
        <v>45</v>
      </c>
      <c r="O901" t="s">
        <v>46</v>
      </c>
      <c r="P901">
        <v>2</v>
      </c>
      <c r="Q901" t="s">
        <v>47</v>
      </c>
      <c r="R901" t="s">
        <v>123</v>
      </c>
      <c r="T901">
        <v>110</v>
      </c>
      <c r="U901" t="s">
        <v>50</v>
      </c>
      <c r="V901" t="s">
        <v>51</v>
      </c>
      <c r="X901" t="s">
        <v>125</v>
      </c>
      <c r="Y901" t="s">
        <v>126</v>
      </c>
      <c r="AA901">
        <v>0</v>
      </c>
      <c r="AB901" t="s">
        <v>79</v>
      </c>
      <c r="AC901" t="s">
        <v>127</v>
      </c>
      <c r="AD901">
        <v>36</v>
      </c>
      <c r="AE901">
        <v>9</v>
      </c>
      <c r="AF901">
        <v>3</v>
      </c>
      <c r="AG901">
        <v>2025</v>
      </c>
      <c r="AH901" s="2">
        <v>800</v>
      </c>
      <c r="AI901" s="2">
        <v>899.54400634765625</v>
      </c>
      <c r="AJ901" s="2">
        <f t="shared" si="112"/>
        <v>99.54400634765625</v>
      </c>
      <c r="AK901" s="6">
        <f t="shared" si="113"/>
        <v>0.12443000793457032</v>
      </c>
      <c r="AL901" s="12">
        <v>800</v>
      </c>
      <c r="AM901" s="12">
        <v>779.35056363324952</v>
      </c>
      <c r="AN901" s="12">
        <f t="shared" si="114"/>
        <v>20.649436366750479</v>
      </c>
      <c r="AO901" s="13">
        <f t="shared" si="115"/>
        <v>2.5811795458438098E-2</v>
      </c>
      <c r="AP901" s="16">
        <v>800</v>
      </c>
      <c r="AQ901" s="16">
        <v>647.12440524809062</v>
      </c>
      <c r="AR901" s="16">
        <f t="shared" si="116"/>
        <v>152.87559475190938</v>
      </c>
      <c r="AS901" s="17">
        <f t="shared" si="117"/>
        <v>0.19109449343988671</v>
      </c>
      <c r="AT901" s="20">
        <v>800</v>
      </c>
      <c r="AU901" s="20">
        <v>852.13238525390625</v>
      </c>
      <c r="AV901" s="20">
        <f t="shared" si="118"/>
        <v>52.13238525390625</v>
      </c>
      <c r="AW901" s="21">
        <f t="shared" si="119"/>
        <v>6.5165481567382819E-2</v>
      </c>
    </row>
    <row r="902" spans="1:49" x14ac:dyDescent="0.25">
      <c r="A902" t="s">
        <v>128</v>
      </c>
      <c r="B902" t="s">
        <v>129</v>
      </c>
      <c r="C902">
        <v>94082</v>
      </c>
      <c r="D902">
        <v>2019</v>
      </c>
      <c r="E902" t="s">
        <v>40</v>
      </c>
      <c r="F902" t="s">
        <v>201</v>
      </c>
      <c r="G902" t="s">
        <v>1106</v>
      </c>
      <c r="H902" t="s">
        <v>203</v>
      </c>
      <c r="I902">
        <v>4</v>
      </c>
      <c r="J902" t="s">
        <v>135</v>
      </c>
      <c r="K902">
        <v>4</v>
      </c>
      <c r="L902" t="s">
        <v>44</v>
      </c>
      <c r="M902">
        <v>1.8</v>
      </c>
      <c r="N902" t="s">
        <v>45</v>
      </c>
      <c r="O902" t="s">
        <v>46</v>
      </c>
      <c r="P902">
        <v>3</v>
      </c>
      <c r="Q902" t="s">
        <v>47</v>
      </c>
      <c r="R902" t="s">
        <v>123</v>
      </c>
      <c r="S902" t="s">
        <v>49</v>
      </c>
      <c r="T902">
        <v>132</v>
      </c>
      <c r="U902" t="s">
        <v>50</v>
      </c>
      <c r="V902" t="s">
        <v>51</v>
      </c>
      <c r="W902" t="s">
        <v>204</v>
      </c>
      <c r="X902" t="s">
        <v>125</v>
      </c>
      <c r="Y902" t="s">
        <v>103</v>
      </c>
      <c r="AA902">
        <v>0</v>
      </c>
      <c r="AB902" t="s">
        <v>79</v>
      </c>
      <c r="AC902" t="s">
        <v>127</v>
      </c>
      <c r="AD902">
        <v>36</v>
      </c>
      <c r="AE902">
        <v>9</v>
      </c>
      <c r="AF902">
        <v>3</v>
      </c>
      <c r="AG902">
        <v>2025</v>
      </c>
      <c r="AH902" s="2">
        <v>9100</v>
      </c>
      <c r="AI902" s="2">
        <v>7607.36865234375</v>
      </c>
      <c r="AJ902" s="2">
        <f t="shared" si="112"/>
        <v>1492.63134765625</v>
      </c>
      <c r="AK902" s="6">
        <f t="shared" si="113"/>
        <v>0.16402542281936813</v>
      </c>
      <c r="AL902" s="12">
        <v>9100</v>
      </c>
      <c r="AM902" s="12">
        <v>8335.0304882071596</v>
      </c>
      <c r="AN902" s="12">
        <f t="shared" si="114"/>
        <v>764.96951179284042</v>
      </c>
      <c r="AO902" s="13">
        <f t="shared" si="115"/>
        <v>8.4062583713498951E-2</v>
      </c>
      <c r="AP902" s="16">
        <v>9100</v>
      </c>
      <c r="AQ902" s="16">
        <v>7204.8124491549479</v>
      </c>
      <c r="AR902" s="16">
        <f t="shared" si="116"/>
        <v>1895.1875508450521</v>
      </c>
      <c r="AS902" s="17">
        <f t="shared" si="117"/>
        <v>0.20826236822473099</v>
      </c>
      <c r="AT902" s="20">
        <v>9100</v>
      </c>
      <c r="AU902" s="20">
        <v>7838.67236328125</v>
      </c>
      <c r="AV902" s="20">
        <f t="shared" si="118"/>
        <v>1261.32763671875</v>
      </c>
      <c r="AW902" s="21">
        <f t="shared" si="119"/>
        <v>0.13860743260645605</v>
      </c>
    </row>
    <row r="903" spans="1:49" x14ac:dyDescent="0.25">
      <c r="A903" t="s">
        <v>114</v>
      </c>
      <c r="B903" t="s">
        <v>340</v>
      </c>
      <c r="C903">
        <v>141848</v>
      </c>
      <c r="D903">
        <v>2014</v>
      </c>
      <c r="E903" t="s">
        <v>69</v>
      </c>
      <c r="F903" t="s">
        <v>250</v>
      </c>
      <c r="H903" t="s">
        <v>224</v>
      </c>
      <c r="I903">
        <v>4</v>
      </c>
      <c r="J903" t="s">
        <v>253</v>
      </c>
      <c r="K903">
        <v>4</v>
      </c>
      <c r="L903" t="s">
        <v>44</v>
      </c>
      <c r="M903">
        <v>1.6</v>
      </c>
      <c r="N903" t="s">
        <v>45</v>
      </c>
      <c r="O903" t="s">
        <v>46</v>
      </c>
      <c r="P903">
        <v>3</v>
      </c>
      <c r="Q903" t="s">
        <v>62</v>
      </c>
      <c r="R903" t="s">
        <v>63</v>
      </c>
      <c r="S903" t="s">
        <v>49</v>
      </c>
      <c r="T903">
        <v>178</v>
      </c>
      <c r="U903" t="s">
        <v>50</v>
      </c>
      <c r="V903" t="s">
        <v>51</v>
      </c>
      <c r="X903" t="s">
        <v>65</v>
      </c>
      <c r="Y903" t="s">
        <v>78</v>
      </c>
      <c r="AA903">
        <v>0</v>
      </c>
      <c r="AB903" t="s">
        <v>79</v>
      </c>
      <c r="AC903" t="s">
        <v>87</v>
      </c>
      <c r="AD903">
        <v>36</v>
      </c>
      <c r="AE903">
        <v>9</v>
      </c>
      <c r="AF903">
        <v>3</v>
      </c>
      <c r="AG903">
        <v>2025</v>
      </c>
      <c r="AH903" s="2">
        <v>1500</v>
      </c>
      <c r="AI903" s="2">
        <v>1907.004028320312</v>
      </c>
      <c r="AJ903" s="2">
        <f t="shared" si="112"/>
        <v>407.00402832031205</v>
      </c>
      <c r="AK903" s="6">
        <f t="shared" si="113"/>
        <v>0.27133601888020803</v>
      </c>
      <c r="AL903" s="12">
        <v>1500</v>
      </c>
      <c r="AM903" s="12">
        <v>2260.5726271106851</v>
      </c>
      <c r="AN903" s="12">
        <f t="shared" si="114"/>
        <v>760.57262711068506</v>
      </c>
      <c r="AO903" s="13">
        <f t="shared" si="115"/>
        <v>0.50704841807379009</v>
      </c>
      <c r="AP903" s="16">
        <v>1500</v>
      </c>
      <c r="AQ903" s="16">
        <v>1801.512304221294</v>
      </c>
      <c r="AR903" s="16">
        <f t="shared" si="116"/>
        <v>301.51230422129402</v>
      </c>
      <c r="AS903" s="17">
        <f t="shared" si="117"/>
        <v>0.20100820281419601</v>
      </c>
      <c r="AT903" s="20">
        <v>1500</v>
      </c>
      <c r="AU903" s="20">
        <v>1924.2587890625</v>
      </c>
      <c r="AV903" s="20">
        <f t="shared" si="118"/>
        <v>424.2587890625</v>
      </c>
      <c r="AW903" s="21">
        <f t="shared" si="119"/>
        <v>0.28283919270833335</v>
      </c>
    </row>
    <row r="904" spans="1:49" x14ac:dyDescent="0.25">
      <c r="A904" t="s">
        <v>38</v>
      </c>
      <c r="B904" t="s">
        <v>110</v>
      </c>
      <c r="C904">
        <v>149835</v>
      </c>
      <c r="D904">
        <v>2014</v>
      </c>
      <c r="E904" t="s">
        <v>69</v>
      </c>
      <c r="F904" t="s">
        <v>231</v>
      </c>
      <c r="I904">
        <v>6</v>
      </c>
      <c r="J904" t="s">
        <v>135</v>
      </c>
      <c r="K904">
        <v>4</v>
      </c>
      <c r="L904" t="s">
        <v>44</v>
      </c>
      <c r="M904">
        <v>3.7</v>
      </c>
      <c r="N904" t="s">
        <v>73</v>
      </c>
      <c r="O904" t="s">
        <v>46</v>
      </c>
      <c r="P904">
        <v>2</v>
      </c>
      <c r="Q904" t="s">
        <v>74</v>
      </c>
      <c r="R904" t="s">
        <v>92</v>
      </c>
      <c r="S904" t="s">
        <v>49</v>
      </c>
      <c r="T904">
        <v>302</v>
      </c>
      <c r="U904" t="s">
        <v>50</v>
      </c>
      <c r="V904" t="s">
        <v>76</v>
      </c>
      <c r="X904" t="s">
        <v>94</v>
      </c>
      <c r="Y904" t="s">
        <v>78</v>
      </c>
      <c r="AA904">
        <v>0</v>
      </c>
      <c r="AB904" t="s">
        <v>79</v>
      </c>
      <c r="AC904" t="s">
        <v>95</v>
      </c>
      <c r="AD904">
        <v>36</v>
      </c>
      <c r="AE904">
        <v>9</v>
      </c>
      <c r="AF904">
        <v>3</v>
      </c>
      <c r="AG904">
        <v>2025</v>
      </c>
      <c r="AH904" s="2">
        <v>8300</v>
      </c>
      <c r="AI904" s="2">
        <v>4969.86279296875</v>
      </c>
      <c r="AJ904" s="2">
        <f t="shared" si="112"/>
        <v>3330.13720703125</v>
      </c>
      <c r="AK904" s="6">
        <f t="shared" si="113"/>
        <v>0.40122135024472894</v>
      </c>
      <c r="AL904" s="12">
        <v>8300</v>
      </c>
      <c r="AM904" s="12">
        <v>4746.6990416762601</v>
      </c>
      <c r="AN904" s="12">
        <f t="shared" si="114"/>
        <v>3553.3009583237399</v>
      </c>
      <c r="AO904" s="13">
        <f t="shared" si="115"/>
        <v>0.42810854919563129</v>
      </c>
      <c r="AP904" s="16">
        <v>8300</v>
      </c>
      <c r="AQ904" s="16">
        <v>4794.8428212532726</v>
      </c>
      <c r="AR904" s="16">
        <f t="shared" si="116"/>
        <v>3505.1571787467274</v>
      </c>
      <c r="AS904" s="17">
        <f t="shared" si="117"/>
        <v>0.42230809382490692</v>
      </c>
      <c r="AT904" s="20">
        <v>8300</v>
      </c>
      <c r="AU904" s="20">
        <v>4968.60693359375</v>
      </c>
      <c r="AV904" s="20">
        <f t="shared" si="118"/>
        <v>3331.39306640625</v>
      </c>
      <c r="AW904" s="21">
        <f t="shared" si="119"/>
        <v>0.40137265860316262</v>
      </c>
    </row>
    <row r="905" spans="1:49" x14ac:dyDescent="0.25">
      <c r="A905" t="s">
        <v>128</v>
      </c>
      <c r="B905" t="s">
        <v>129</v>
      </c>
      <c r="C905">
        <v>88495</v>
      </c>
      <c r="D905">
        <v>2012</v>
      </c>
      <c r="E905" t="s">
        <v>69</v>
      </c>
      <c r="F905" t="s">
        <v>394</v>
      </c>
      <c r="H905" t="s">
        <v>224</v>
      </c>
      <c r="I905">
        <v>6</v>
      </c>
      <c r="J905" t="s">
        <v>106</v>
      </c>
      <c r="K905">
        <v>4</v>
      </c>
      <c r="L905" t="s">
        <v>44</v>
      </c>
      <c r="M905">
        <v>3</v>
      </c>
      <c r="N905" t="s">
        <v>45</v>
      </c>
      <c r="Q905" t="s">
        <v>47</v>
      </c>
      <c r="R905" t="s">
        <v>123</v>
      </c>
      <c r="T905">
        <v>240</v>
      </c>
      <c r="U905" t="s">
        <v>50</v>
      </c>
      <c r="V905" t="s">
        <v>76</v>
      </c>
      <c r="X905" t="s">
        <v>125</v>
      </c>
      <c r="Y905" t="s">
        <v>126</v>
      </c>
      <c r="AA905">
        <v>0</v>
      </c>
      <c r="AB905" t="s">
        <v>79</v>
      </c>
      <c r="AC905" t="s">
        <v>127</v>
      </c>
      <c r="AD905">
        <v>36</v>
      </c>
      <c r="AE905">
        <v>9</v>
      </c>
      <c r="AF905">
        <v>3</v>
      </c>
      <c r="AG905">
        <v>2025</v>
      </c>
      <c r="AH905" s="2">
        <v>5000</v>
      </c>
      <c r="AI905" s="2">
        <v>4030.4130859375</v>
      </c>
      <c r="AJ905" s="2">
        <f t="shared" si="112"/>
        <v>969.5869140625</v>
      </c>
      <c r="AK905" s="6">
        <f t="shared" si="113"/>
        <v>0.19391738281250001</v>
      </c>
      <c r="AL905" s="12">
        <v>5000</v>
      </c>
      <c r="AM905" s="12">
        <v>3768.8780900518932</v>
      </c>
      <c r="AN905" s="12">
        <f t="shared" si="114"/>
        <v>1231.1219099481068</v>
      </c>
      <c r="AO905" s="13">
        <f t="shared" si="115"/>
        <v>0.24622438198962135</v>
      </c>
      <c r="AP905" s="16">
        <v>5000</v>
      </c>
      <c r="AQ905" s="16">
        <v>3065.0593225047019</v>
      </c>
      <c r="AR905" s="16">
        <f t="shared" si="116"/>
        <v>1934.9406774952981</v>
      </c>
      <c r="AS905" s="17">
        <f t="shared" si="117"/>
        <v>0.38698813549905964</v>
      </c>
      <c r="AT905" s="20">
        <v>5000</v>
      </c>
      <c r="AU905" s="20">
        <v>4090.1630859375</v>
      </c>
      <c r="AV905" s="20">
        <f t="shared" si="118"/>
        <v>909.8369140625</v>
      </c>
      <c r="AW905" s="21">
        <f t="shared" si="119"/>
        <v>0.18196738281249999</v>
      </c>
    </row>
    <row r="906" spans="1:49" x14ac:dyDescent="0.25">
      <c r="A906" t="s">
        <v>38</v>
      </c>
      <c r="B906" t="s">
        <v>39</v>
      </c>
      <c r="C906">
        <v>133104</v>
      </c>
      <c r="D906">
        <v>2018</v>
      </c>
      <c r="E906" t="s">
        <v>146</v>
      </c>
      <c r="F906" t="s">
        <v>147</v>
      </c>
      <c r="I906">
        <v>4</v>
      </c>
      <c r="J906" t="s">
        <v>135</v>
      </c>
      <c r="K906">
        <v>4</v>
      </c>
      <c r="L906" t="s">
        <v>44</v>
      </c>
      <c r="M906">
        <v>2.5</v>
      </c>
      <c r="N906" t="s">
        <v>45</v>
      </c>
      <c r="O906" t="s">
        <v>46</v>
      </c>
      <c r="Q906" t="s">
        <v>62</v>
      </c>
      <c r="R906" t="s">
        <v>148</v>
      </c>
      <c r="S906" t="s">
        <v>49</v>
      </c>
      <c r="T906">
        <v>170</v>
      </c>
      <c r="U906" t="s">
        <v>50</v>
      </c>
      <c r="X906" t="s">
        <v>65</v>
      </c>
      <c r="Y906" t="s">
        <v>78</v>
      </c>
      <c r="Z906">
        <v>24800</v>
      </c>
      <c r="AA906">
        <v>0</v>
      </c>
      <c r="AB906" t="s">
        <v>79</v>
      </c>
      <c r="AC906" t="s">
        <v>87</v>
      </c>
      <c r="AD906">
        <v>36</v>
      </c>
      <c r="AE906">
        <v>9</v>
      </c>
      <c r="AF906">
        <v>3</v>
      </c>
      <c r="AG906">
        <v>2025</v>
      </c>
      <c r="AH906" s="2">
        <v>7300</v>
      </c>
      <c r="AI906" s="2">
        <v>4727.33544921875</v>
      </c>
      <c r="AJ906" s="2">
        <f t="shared" si="112"/>
        <v>2572.66455078125</v>
      </c>
      <c r="AK906" s="6">
        <f t="shared" si="113"/>
        <v>0.35241980147688357</v>
      </c>
      <c r="AL906" s="12">
        <v>7300</v>
      </c>
      <c r="AM906" s="12">
        <v>4770.6295880641692</v>
      </c>
      <c r="AN906" s="12">
        <f t="shared" si="114"/>
        <v>2529.3704119358308</v>
      </c>
      <c r="AO906" s="13">
        <f t="shared" si="115"/>
        <v>0.34648909752545626</v>
      </c>
      <c r="AP906" s="16">
        <v>7300</v>
      </c>
      <c r="AQ906" s="16">
        <v>4532.1033282907092</v>
      </c>
      <c r="AR906" s="16">
        <f t="shared" si="116"/>
        <v>2767.8966717092908</v>
      </c>
      <c r="AS906" s="17">
        <f t="shared" si="117"/>
        <v>0.37916392763140971</v>
      </c>
      <c r="AT906" s="20">
        <v>7300</v>
      </c>
      <c r="AU906" s="20">
        <v>4811.86474609375</v>
      </c>
      <c r="AV906" s="20">
        <f t="shared" si="118"/>
        <v>2488.13525390625</v>
      </c>
      <c r="AW906" s="21">
        <f t="shared" si="119"/>
        <v>0.3408404457405822</v>
      </c>
    </row>
    <row r="907" spans="1:49" x14ac:dyDescent="0.25">
      <c r="A907" t="s">
        <v>38</v>
      </c>
      <c r="B907" t="s">
        <v>110</v>
      </c>
      <c r="C907">
        <v>74080</v>
      </c>
      <c r="D907">
        <v>2019</v>
      </c>
      <c r="E907" t="s">
        <v>69</v>
      </c>
      <c r="F907" t="s">
        <v>231</v>
      </c>
      <c r="I907">
        <v>6</v>
      </c>
      <c r="J907" t="s">
        <v>122</v>
      </c>
      <c r="K907">
        <v>4</v>
      </c>
      <c r="L907" t="s">
        <v>44</v>
      </c>
      <c r="M907">
        <v>3.5</v>
      </c>
      <c r="N907" t="s">
        <v>91</v>
      </c>
      <c r="Q907" t="s">
        <v>74</v>
      </c>
      <c r="R907" t="s">
        <v>92</v>
      </c>
      <c r="S907" t="s">
        <v>93</v>
      </c>
      <c r="T907">
        <v>375</v>
      </c>
      <c r="U907" t="s">
        <v>50</v>
      </c>
      <c r="V907" t="s">
        <v>76</v>
      </c>
      <c r="W907" t="s">
        <v>308</v>
      </c>
      <c r="X907" t="s">
        <v>94</v>
      </c>
      <c r="Y907" t="s">
        <v>78</v>
      </c>
      <c r="AA907">
        <v>0</v>
      </c>
      <c r="AB907" t="s">
        <v>79</v>
      </c>
      <c r="AC907" t="s">
        <v>95</v>
      </c>
      <c r="AD907">
        <v>36</v>
      </c>
      <c r="AE907">
        <v>9</v>
      </c>
      <c r="AF907">
        <v>3</v>
      </c>
      <c r="AG907">
        <v>2025</v>
      </c>
      <c r="AH907" s="2">
        <v>32000</v>
      </c>
      <c r="AI907" s="2">
        <v>23751.142578125</v>
      </c>
      <c r="AJ907" s="2">
        <f t="shared" si="112"/>
        <v>8248.857421875</v>
      </c>
      <c r="AK907" s="6">
        <f t="shared" si="113"/>
        <v>0.25777679443359375</v>
      </c>
      <c r="AL907" s="12">
        <v>32000</v>
      </c>
      <c r="AM907" s="12">
        <v>23929.465258032491</v>
      </c>
      <c r="AN907" s="12">
        <f t="shared" si="114"/>
        <v>8070.534741967509</v>
      </c>
      <c r="AO907" s="13">
        <f t="shared" si="115"/>
        <v>0.25220421068648463</v>
      </c>
      <c r="AP907" s="16">
        <v>32000</v>
      </c>
      <c r="AQ907" s="16">
        <v>23053.717921017989</v>
      </c>
      <c r="AR907" s="16">
        <f t="shared" si="116"/>
        <v>8946.2820789820107</v>
      </c>
      <c r="AS907" s="17">
        <f t="shared" si="117"/>
        <v>0.27957131496818782</v>
      </c>
      <c r="AT907" s="20">
        <v>32000</v>
      </c>
      <c r="AU907" s="20">
        <v>23617.8046875</v>
      </c>
      <c r="AV907" s="20">
        <f t="shared" si="118"/>
        <v>8382.1953125</v>
      </c>
      <c r="AW907" s="21">
        <f t="shared" si="119"/>
        <v>0.26194360351562501</v>
      </c>
    </row>
    <row r="908" spans="1:49" x14ac:dyDescent="0.25">
      <c r="A908" t="s">
        <v>128</v>
      </c>
      <c r="B908" t="s">
        <v>129</v>
      </c>
      <c r="C908">
        <v>150322</v>
      </c>
      <c r="D908">
        <v>2013</v>
      </c>
      <c r="E908" t="s">
        <v>58</v>
      </c>
      <c r="F908" t="s">
        <v>220</v>
      </c>
      <c r="G908" t="s">
        <v>1107</v>
      </c>
      <c r="I908">
        <v>4</v>
      </c>
      <c r="J908" t="s">
        <v>599</v>
      </c>
      <c r="K908">
        <v>4</v>
      </c>
      <c r="L908" t="s">
        <v>44</v>
      </c>
      <c r="M908">
        <v>2.4</v>
      </c>
      <c r="N908" t="s">
        <v>45</v>
      </c>
      <c r="Q908" t="s">
        <v>62</v>
      </c>
      <c r="R908" t="s">
        <v>63</v>
      </c>
      <c r="S908" t="s">
        <v>49</v>
      </c>
      <c r="U908" t="s">
        <v>50</v>
      </c>
      <c r="W908" t="s">
        <v>1108</v>
      </c>
      <c r="X908" t="s">
        <v>141</v>
      </c>
      <c r="Y908" t="s">
        <v>78</v>
      </c>
      <c r="AA908">
        <v>0</v>
      </c>
      <c r="AB908" t="s">
        <v>79</v>
      </c>
      <c r="AC908" t="s">
        <v>87</v>
      </c>
      <c r="AD908">
        <v>36</v>
      </c>
      <c r="AE908">
        <v>9</v>
      </c>
      <c r="AF908">
        <v>3</v>
      </c>
      <c r="AG908">
        <v>2025</v>
      </c>
      <c r="AH908" s="2">
        <v>2900</v>
      </c>
      <c r="AI908" s="2">
        <v>1919.034912109375</v>
      </c>
      <c r="AJ908" s="2">
        <f t="shared" si="112"/>
        <v>980.965087890625</v>
      </c>
      <c r="AK908" s="6">
        <f t="shared" si="113"/>
        <v>0.33826382341056033</v>
      </c>
      <c r="AL908" s="12">
        <v>2900</v>
      </c>
      <c r="AM908" s="12">
        <v>2334.814661363951</v>
      </c>
      <c r="AN908" s="12">
        <f t="shared" si="114"/>
        <v>565.18533863604898</v>
      </c>
      <c r="AO908" s="13">
        <f t="shared" si="115"/>
        <v>0.19489149608139619</v>
      </c>
      <c r="AP908" s="16">
        <v>2900</v>
      </c>
      <c r="AQ908" s="16">
        <v>1918.1310951633279</v>
      </c>
      <c r="AR908" s="16">
        <f t="shared" si="116"/>
        <v>981.86890483667207</v>
      </c>
      <c r="AS908" s="17">
        <f t="shared" si="117"/>
        <v>0.33857548442643864</v>
      </c>
      <c r="AT908" s="20">
        <v>2900</v>
      </c>
      <c r="AU908" s="20">
        <v>1947.226196289062</v>
      </c>
      <c r="AV908" s="20">
        <f t="shared" si="118"/>
        <v>952.77380371093795</v>
      </c>
      <c r="AW908" s="21">
        <f t="shared" si="119"/>
        <v>0.3285426909348062</v>
      </c>
    </row>
    <row r="909" spans="1:49" x14ac:dyDescent="0.25">
      <c r="A909" t="s">
        <v>128</v>
      </c>
      <c r="B909" t="s">
        <v>129</v>
      </c>
      <c r="C909">
        <v>146937</v>
      </c>
      <c r="D909">
        <v>2010</v>
      </c>
      <c r="E909" t="s">
        <v>515</v>
      </c>
      <c r="F909" t="s">
        <v>1109</v>
      </c>
      <c r="G909" t="s">
        <v>1110</v>
      </c>
      <c r="I909">
        <v>4</v>
      </c>
      <c r="J909" t="s">
        <v>43</v>
      </c>
      <c r="K909">
        <v>4</v>
      </c>
      <c r="L909" t="s">
        <v>44</v>
      </c>
      <c r="M909">
        <v>2</v>
      </c>
      <c r="N909" t="s">
        <v>44</v>
      </c>
      <c r="O909" t="s">
        <v>46</v>
      </c>
      <c r="Q909" t="s">
        <v>47</v>
      </c>
      <c r="R909" t="s">
        <v>123</v>
      </c>
      <c r="S909" t="s">
        <v>85</v>
      </c>
      <c r="T909">
        <v>211</v>
      </c>
      <c r="U909" t="s">
        <v>50</v>
      </c>
      <c r="X909" t="s">
        <v>125</v>
      </c>
      <c r="Y909" t="s">
        <v>137</v>
      </c>
      <c r="AA909">
        <v>0</v>
      </c>
      <c r="AB909" t="s">
        <v>79</v>
      </c>
      <c r="AC909" t="s">
        <v>127</v>
      </c>
      <c r="AD909">
        <v>36</v>
      </c>
      <c r="AE909">
        <v>9</v>
      </c>
      <c r="AF909">
        <v>3</v>
      </c>
      <c r="AG909">
        <v>2025</v>
      </c>
      <c r="AH909" s="2">
        <v>1400</v>
      </c>
      <c r="AI909" s="2">
        <v>2138.373291015625</v>
      </c>
      <c r="AJ909" s="2">
        <f t="shared" si="112"/>
        <v>738.373291015625</v>
      </c>
      <c r="AK909" s="6">
        <f t="shared" si="113"/>
        <v>0.52740949358258926</v>
      </c>
      <c r="AL909" s="12">
        <v>1400</v>
      </c>
      <c r="AM909" s="12">
        <v>1744.5678265737131</v>
      </c>
      <c r="AN909" s="12">
        <f t="shared" si="114"/>
        <v>344.56782657371309</v>
      </c>
      <c r="AO909" s="13">
        <f t="shared" si="115"/>
        <v>0.24611987612408079</v>
      </c>
      <c r="AP909" s="16">
        <v>1400</v>
      </c>
      <c r="AQ909" s="16">
        <v>1699.153249698177</v>
      </c>
      <c r="AR909" s="16">
        <f t="shared" si="116"/>
        <v>299.15324969817698</v>
      </c>
      <c r="AS909" s="17">
        <f t="shared" si="117"/>
        <v>0.21368089264155499</v>
      </c>
      <c r="AT909" s="20">
        <v>1400</v>
      </c>
      <c r="AU909" s="20">
        <v>2097.965576171875</v>
      </c>
      <c r="AV909" s="20">
        <f t="shared" si="118"/>
        <v>697.965576171875</v>
      </c>
      <c r="AW909" s="21">
        <f t="shared" si="119"/>
        <v>0.49854684012276784</v>
      </c>
    </row>
    <row r="910" spans="1:49" x14ac:dyDescent="0.25">
      <c r="A910" t="s">
        <v>81</v>
      </c>
      <c r="B910" t="s">
        <v>82</v>
      </c>
      <c r="C910">
        <v>48768</v>
      </c>
      <c r="D910">
        <v>2008</v>
      </c>
      <c r="E910" t="s">
        <v>162</v>
      </c>
      <c r="F910" t="s">
        <v>211</v>
      </c>
      <c r="G910" t="s">
        <v>1111</v>
      </c>
      <c r="I910">
        <v>4</v>
      </c>
      <c r="J910" t="s">
        <v>106</v>
      </c>
      <c r="K910">
        <v>4</v>
      </c>
      <c r="L910" t="s">
        <v>44</v>
      </c>
      <c r="M910">
        <v>2</v>
      </c>
      <c r="N910" t="s">
        <v>45</v>
      </c>
      <c r="O910" t="s">
        <v>46</v>
      </c>
      <c r="Q910" t="s">
        <v>47</v>
      </c>
      <c r="R910" t="s">
        <v>123</v>
      </c>
      <c r="S910" t="s">
        <v>101</v>
      </c>
      <c r="T910">
        <v>138</v>
      </c>
      <c r="U910" t="s">
        <v>50</v>
      </c>
      <c r="V910" t="s">
        <v>51</v>
      </c>
      <c r="X910" t="s">
        <v>125</v>
      </c>
      <c r="Y910" t="s">
        <v>66</v>
      </c>
      <c r="AA910">
        <v>0</v>
      </c>
      <c r="AB910" t="s">
        <v>79</v>
      </c>
      <c r="AC910" t="s">
        <v>127</v>
      </c>
      <c r="AD910">
        <v>36</v>
      </c>
      <c r="AE910">
        <v>9</v>
      </c>
      <c r="AF910">
        <v>3</v>
      </c>
      <c r="AG910">
        <v>2025</v>
      </c>
      <c r="AH910" s="2">
        <v>3100</v>
      </c>
      <c r="AI910" s="2">
        <v>1523.785278320312</v>
      </c>
      <c r="AJ910" s="2">
        <f t="shared" si="112"/>
        <v>1576.214721679688</v>
      </c>
      <c r="AK910" s="6">
        <f t="shared" si="113"/>
        <v>0.50845636183215737</v>
      </c>
      <c r="AL910" s="12">
        <v>3100</v>
      </c>
      <c r="AM910" s="12">
        <v>2160.0476571614931</v>
      </c>
      <c r="AN910" s="12">
        <f t="shared" si="114"/>
        <v>939.95234283850687</v>
      </c>
      <c r="AO910" s="13">
        <f t="shared" si="115"/>
        <v>0.30321043317371188</v>
      </c>
      <c r="AP910" s="16">
        <v>3100</v>
      </c>
      <c r="AQ910" s="16">
        <v>1955.8682541286389</v>
      </c>
      <c r="AR910" s="16">
        <f t="shared" si="116"/>
        <v>1144.1317458713611</v>
      </c>
      <c r="AS910" s="17">
        <f t="shared" si="117"/>
        <v>0.36907475673269713</v>
      </c>
      <c r="AT910" s="20">
        <v>3100</v>
      </c>
      <c r="AU910" s="20">
        <v>1538.609985351562</v>
      </c>
      <c r="AV910" s="20">
        <f t="shared" si="118"/>
        <v>1561.390014648438</v>
      </c>
      <c r="AW910" s="21">
        <f t="shared" si="119"/>
        <v>0.50367419827368964</v>
      </c>
    </row>
    <row r="911" spans="1:49" x14ac:dyDescent="0.25">
      <c r="A911" t="s">
        <v>38</v>
      </c>
      <c r="B911" t="s">
        <v>39</v>
      </c>
      <c r="C911">
        <v>180557</v>
      </c>
      <c r="D911">
        <v>2018</v>
      </c>
      <c r="E911" t="s">
        <v>88</v>
      </c>
      <c r="F911" t="s">
        <v>312</v>
      </c>
      <c r="G911" t="s">
        <v>1112</v>
      </c>
      <c r="H911" t="s">
        <v>956</v>
      </c>
      <c r="I911">
        <v>8</v>
      </c>
      <c r="J911" t="s">
        <v>135</v>
      </c>
      <c r="K911">
        <v>4</v>
      </c>
      <c r="L911" t="s">
        <v>44</v>
      </c>
      <c r="M911">
        <v>6.4</v>
      </c>
      <c r="N911" t="s">
        <v>91</v>
      </c>
      <c r="O911" t="s">
        <v>46</v>
      </c>
      <c r="Q911" t="s">
        <v>74</v>
      </c>
      <c r="R911" t="s">
        <v>92</v>
      </c>
      <c r="S911" t="s">
        <v>93</v>
      </c>
      <c r="T911">
        <v>410</v>
      </c>
      <c r="U911" t="s">
        <v>50</v>
      </c>
      <c r="V911" t="s">
        <v>76</v>
      </c>
      <c r="X911" t="s">
        <v>230</v>
      </c>
      <c r="Y911" t="s">
        <v>126</v>
      </c>
      <c r="AA911">
        <v>0</v>
      </c>
      <c r="AB911" t="s">
        <v>79</v>
      </c>
      <c r="AC911" t="s">
        <v>95</v>
      </c>
      <c r="AD911">
        <v>36</v>
      </c>
      <c r="AE911">
        <v>9</v>
      </c>
      <c r="AF911">
        <v>3</v>
      </c>
      <c r="AG911">
        <v>2025</v>
      </c>
      <c r="AH911" s="2">
        <v>8000</v>
      </c>
      <c r="AI911" s="2">
        <v>11574.052734375</v>
      </c>
      <c r="AJ911" s="2">
        <f t="shared" si="112"/>
        <v>3574.052734375</v>
      </c>
      <c r="AK911" s="6">
        <f t="shared" si="113"/>
        <v>0.44675659179687499</v>
      </c>
      <c r="AL911" s="12">
        <v>8000</v>
      </c>
      <c r="AM911" s="12">
        <v>11706.191641027959</v>
      </c>
      <c r="AN911" s="12">
        <f t="shared" si="114"/>
        <v>3706.1916410279591</v>
      </c>
      <c r="AO911" s="13">
        <f t="shared" si="115"/>
        <v>0.4632739551284949</v>
      </c>
      <c r="AP911" s="16">
        <v>8000</v>
      </c>
      <c r="AQ911" s="16">
        <v>13716.529748881871</v>
      </c>
      <c r="AR911" s="16">
        <f t="shared" si="116"/>
        <v>5716.5297488818705</v>
      </c>
      <c r="AS911" s="17">
        <f t="shared" si="117"/>
        <v>0.71456621861023384</v>
      </c>
      <c r="AT911" s="20">
        <v>8000</v>
      </c>
      <c r="AU911" s="20">
        <v>11703.361328125</v>
      </c>
      <c r="AV911" s="20">
        <f t="shared" si="118"/>
        <v>3703.361328125</v>
      </c>
      <c r="AW911" s="21">
        <f t="shared" si="119"/>
        <v>0.46292016601562502</v>
      </c>
    </row>
    <row r="912" spans="1:49" x14ac:dyDescent="0.25">
      <c r="A912" t="s">
        <v>38</v>
      </c>
      <c r="B912" t="s">
        <v>96</v>
      </c>
      <c r="C912">
        <v>124806</v>
      </c>
      <c r="D912">
        <v>2015</v>
      </c>
      <c r="E912" t="s">
        <v>97</v>
      </c>
      <c r="F912" t="s">
        <v>244</v>
      </c>
      <c r="G912" t="s">
        <v>380</v>
      </c>
      <c r="H912" t="s">
        <v>177</v>
      </c>
      <c r="I912">
        <v>8</v>
      </c>
      <c r="J912" t="s">
        <v>135</v>
      </c>
      <c r="K912">
        <v>4</v>
      </c>
      <c r="L912" t="s">
        <v>44</v>
      </c>
      <c r="M912">
        <v>5.3</v>
      </c>
      <c r="N912" t="s">
        <v>73</v>
      </c>
      <c r="O912" t="s">
        <v>46</v>
      </c>
      <c r="Q912" t="s">
        <v>62</v>
      </c>
      <c r="R912" t="s">
        <v>63</v>
      </c>
      <c r="S912" t="s">
        <v>179</v>
      </c>
      <c r="U912" t="s">
        <v>50</v>
      </c>
      <c r="W912" t="s">
        <v>473</v>
      </c>
      <c r="X912" t="s">
        <v>108</v>
      </c>
      <c r="Y912" t="s">
        <v>78</v>
      </c>
      <c r="AA912">
        <v>0</v>
      </c>
      <c r="AB912" t="s">
        <v>79</v>
      </c>
      <c r="AC912" t="s">
        <v>87</v>
      </c>
      <c r="AD912">
        <v>36</v>
      </c>
      <c r="AE912">
        <v>9</v>
      </c>
      <c r="AF912">
        <v>3</v>
      </c>
      <c r="AG912">
        <v>2025</v>
      </c>
      <c r="AH912" s="2">
        <v>12000</v>
      </c>
      <c r="AI912" s="2">
        <v>14350.03125</v>
      </c>
      <c r="AJ912" s="2">
        <f t="shared" si="112"/>
        <v>2350.03125</v>
      </c>
      <c r="AK912" s="6">
        <f t="shared" si="113"/>
        <v>0.1958359375</v>
      </c>
      <c r="AL912" s="12">
        <v>12000</v>
      </c>
      <c r="AM912" s="12">
        <v>14071.459531816539</v>
      </c>
      <c r="AN912" s="12">
        <f t="shared" si="114"/>
        <v>2071.4595318165393</v>
      </c>
      <c r="AO912" s="13">
        <f t="shared" si="115"/>
        <v>0.17262162765137828</v>
      </c>
      <c r="AP912" s="16">
        <v>12000</v>
      </c>
      <c r="AQ912" s="16">
        <v>12393.527748098049</v>
      </c>
      <c r="AR912" s="16">
        <f t="shared" si="116"/>
        <v>393.52774809804941</v>
      </c>
      <c r="AS912" s="17">
        <f t="shared" si="117"/>
        <v>3.2793979008170784E-2</v>
      </c>
      <c r="AT912" s="20">
        <v>12000</v>
      </c>
      <c r="AU912" s="20">
        <v>14261.2783203125</v>
      </c>
      <c r="AV912" s="20">
        <f t="shared" si="118"/>
        <v>2261.2783203125</v>
      </c>
      <c r="AW912" s="21">
        <f t="shared" si="119"/>
        <v>0.18843986002604166</v>
      </c>
    </row>
    <row r="913" spans="1:49" x14ac:dyDescent="0.25">
      <c r="A913" t="s">
        <v>38</v>
      </c>
      <c r="B913" t="s">
        <v>96</v>
      </c>
      <c r="C913">
        <v>169316</v>
      </c>
      <c r="D913">
        <v>2018</v>
      </c>
      <c r="E913" t="s">
        <v>97</v>
      </c>
      <c r="F913" t="s">
        <v>159</v>
      </c>
      <c r="G913" t="s">
        <v>155</v>
      </c>
      <c r="H913" t="s">
        <v>89</v>
      </c>
      <c r="I913">
        <v>8</v>
      </c>
      <c r="J913" t="s">
        <v>72</v>
      </c>
      <c r="K913">
        <v>4</v>
      </c>
      <c r="L913" t="s">
        <v>44</v>
      </c>
      <c r="M913">
        <v>5.3</v>
      </c>
      <c r="N913" t="s">
        <v>91</v>
      </c>
      <c r="O913" t="s">
        <v>46</v>
      </c>
      <c r="Q913" t="s">
        <v>74</v>
      </c>
      <c r="R913" t="s">
        <v>92</v>
      </c>
      <c r="S913" t="s">
        <v>93</v>
      </c>
      <c r="U913" t="s">
        <v>50</v>
      </c>
      <c r="W913" t="s">
        <v>424</v>
      </c>
      <c r="X913" t="s">
        <v>108</v>
      </c>
      <c r="Y913" t="s">
        <v>126</v>
      </c>
      <c r="AA913">
        <v>0</v>
      </c>
      <c r="AB913" t="s">
        <v>79</v>
      </c>
      <c r="AC913" t="s">
        <v>95</v>
      </c>
      <c r="AD913">
        <v>36</v>
      </c>
      <c r="AE913">
        <v>9</v>
      </c>
      <c r="AF913">
        <v>3</v>
      </c>
      <c r="AG913">
        <v>2025</v>
      </c>
      <c r="AH913" s="2">
        <v>7600</v>
      </c>
      <c r="AI913" s="2">
        <v>12784.0380859375</v>
      </c>
      <c r="AJ913" s="2">
        <f t="shared" si="112"/>
        <v>5184.0380859375</v>
      </c>
      <c r="AK913" s="6">
        <f t="shared" si="113"/>
        <v>0.68211027446546058</v>
      </c>
      <c r="AL913" s="12">
        <v>7600</v>
      </c>
      <c r="AM913" s="12">
        <v>14481.960872956721</v>
      </c>
      <c r="AN913" s="12">
        <f t="shared" si="114"/>
        <v>6881.9608729567208</v>
      </c>
      <c r="AO913" s="13">
        <f t="shared" si="115"/>
        <v>0.90552116749430533</v>
      </c>
      <c r="AP913" s="16">
        <v>7600</v>
      </c>
      <c r="AQ913" s="16">
        <v>12623.50076047445</v>
      </c>
      <c r="AR913" s="16">
        <f t="shared" si="116"/>
        <v>5023.5007604744496</v>
      </c>
      <c r="AS913" s="17">
        <f t="shared" si="117"/>
        <v>0.66098694216769072</v>
      </c>
      <c r="AT913" s="20">
        <v>7600</v>
      </c>
      <c r="AU913" s="20">
        <v>13151.9921875</v>
      </c>
      <c r="AV913" s="20">
        <f t="shared" si="118"/>
        <v>5551.9921875</v>
      </c>
      <c r="AW913" s="21">
        <f t="shared" si="119"/>
        <v>0.73052528782894732</v>
      </c>
    </row>
    <row r="914" spans="1:49" x14ac:dyDescent="0.25">
      <c r="A914" t="s">
        <v>114</v>
      </c>
      <c r="B914" t="s">
        <v>596</v>
      </c>
      <c r="C914">
        <v>29711</v>
      </c>
      <c r="D914">
        <v>2023</v>
      </c>
      <c r="E914" t="s">
        <v>69</v>
      </c>
      <c r="F914" t="s">
        <v>70</v>
      </c>
      <c r="H914" t="s">
        <v>71</v>
      </c>
      <c r="I914">
        <v>6</v>
      </c>
      <c r="J914" t="s">
        <v>72</v>
      </c>
      <c r="K914">
        <v>3</v>
      </c>
      <c r="L914" t="s">
        <v>44</v>
      </c>
      <c r="M914">
        <v>3.5</v>
      </c>
      <c r="N914" t="s">
        <v>73</v>
      </c>
      <c r="O914" t="s">
        <v>46</v>
      </c>
      <c r="P914">
        <v>3</v>
      </c>
      <c r="Q914" t="s">
        <v>74</v>
      </c>
      <c r="R914" t="s">
        <v>75</v>
      </c>
      <c r="S914" t="s">
        <v>179</v>
      </c>
      <c r="U914" t="s">
        <v>50</v>
      </c>
      <c r="V914" t="s">
        <v>76</v>
      </c>
      <c r="W914" t="s">
        <v>640</v>
      </c>
      <c r="X914" t="s">
        <v>230</v>
      </c>
      <c r="Y914" t="s">
        <v>78</v>
      </c>
      <c r="AA914">
        <v>0</v>
      </c>
      <c r="AB914" t="s">
        <v>79</v>
      </c>
      <c r="AC914" t="s">
        <v>80</v>
      </c>
      <c r="AD914">
        <v>36</v>
      </c>
      <c r="AE914">
        <v>9</v>
      </c>
      <c r="AF914">
        <v>3</v>
      </c>
      <c r="AG914">
        <v>2025</v>
      </c>
      <c r="AH914" s="2">
        <v>25200</v>
      </c>
      <c r="AI914" s="2">
        <v>24840.044921875</v>
      </c>
      <c r="AJ914" s="2">
        <f t="shared" si="112"/>
        <v>359.955078125</v>
      </c>
      <c r="AK914" s="6">
        <f t="shared" si="113"/>
        <v>1.4283931671626985E-2</v>
      </c>
      <c r="AL914" s="12">
        <v>25200</v>
      </c>
      <c r="AM914" s="12">
        <v>31252.42822449443</v>
      </c>
      <c r="AN914" s="12">
        <f t="shared" si="114"/>
        <v>6052.4282244944297</v>
      </c>
      <c r="AO914" s="13">
        <f t="shared" si="115"/>
        <v>0.24017572319422339</v>
      </c>
      <c r="AP914" s="16">
        <v>25200</v>
      </c>
      <c r="AQ914" s="16">
        <v>28296.716601731929</v>
      </c>
      <c r="AR914" s="16">
        <f t="shared" si="116"/>
        <v>3096.7166017319287</v>
      </c>
      <c r="AS914" s="17">
        <f t="shared" si="117"/>
        <v>0.12288557943380669</v>
      </c>
      <c r="AT914" s="20">
        <v>25200</v>
      </c>
      <c r="AU914" s="20">
        <v>25869.19140625</v>
      </c>
      <c r="AV914" s="20">
        <f t="shared" si="118"/>
        <v>669.19140625</v>
      </c>
      <c r="AW914" s="21">
        <f t="shared" si="119"/>
        <v>2.6555214533730158E-2</v>
      </c>
    </row>
    <row r="915" spans="1:49" x14ac:dyDescent="0.25">
      <c r="A915" t="s">
        <v>38</v>
      </c>
      <c r="B915" t="s">
        <v>110</v>
      </c>
      <c r="C915">
        <v>199448</v>
      </c>
      <c r="D915">
        <v>1997</v>
      </c>
      <c r="E915" t="s">
        <v>286</v>
      </c>
      <c r="F915" t="s">
        <v>653</v>
      </c>
      <c r="G915" t="s">
        <v>1113</v>
      </c>
      <c r="H915" t="s">
        <v>654</v>
      </c>
      <c r="I915">
        <v>6</v>
      </c>
      <c r="J915" t="s">
        <v>72</v>
      </c>
      <c r="K915">
        <v>4</v>
      </c>
      <c r="L915" t="s">
        <v>44</v>
      </c>
      <c r="M915">
        <v>3</v>
      </c>
      <c r="N915" t="s">
        <v>45</v>
      </c>
      <c r="Q915" t="s">
        <v>47</v>
      </c>
      <c r="R915" t="s">
        <v>123</v>
      </c>
      <c r="S915" t="s">
        <v>49</v>
      </c>
      <c r="T915">
        <v>200</v>
      </c>
      <c r="U915" t="s">
        <v>50</v>
      </c>
      <c r="V915" t="s">
        <v>76</v>
      </c>
      <c r="W915" t="s">
        <v>526</v>
      </c>
      <c r="X915" t="s">
        <v>125</v>
      </c>
      <c r="Y915" t="s">
        <v>54</v>
      </c>
      <c r="AA915">
        <v>0</v>
      </c>
      <c r="AB915" t="s">
        <v>79</v>
      </c>
      <c r="AC915" t="s">
        <v>127</v>
      </c>
      <c r="AD915">
        <v>36</v>
      </c>
      <c r="AE915">
        <v>9</v>
      </c>
      <c r="AF915">
        <v>3</v>
      </c>
      <c r="AG915">
        <v>2025</v>
      </c>
      <c r="AH915" s="2">
        <v>1600</v>
      </c>
      <c r="AI915" s="2">
        <v>707.99566650390625</v>
      </c>
      <c r="AJ915" s="2">
        <f t="shared" si="112"/>
        <v>892.00433349609375</v>
      </c>
      <c r="AK915" s="6">
        <f t="shared" si="113"/>
        <v>0.55750270843505856</v>
      </c>
      <c r="AL915" s="12">
        <v>1600</v>
      </c>
      <c r="AM915" s="12">
        <v>855.04121610295033</v>
      </c>
      <c r="AN915" s="12">
        <f t="shared" si="114"/>
        <v>744.95878389704967</v>
      </c>
      <c r="AO915" s="13">
        <f t="shared" si="115"/>
        <v>0.46559923993565605</v>
      </c>
      <c r="AP915" s="16">
        <v>1600</v>
      </c>
      <c r="AQ915" s="16">
        <v>609.47541372652506</v>
      </c>
      <c r="AR915" s="16">
        <f t="shared" si="116"/>
        <v>990.52458627347494</v>
      </c>
      <c r="AS915" s="17">
        <f t="shared" si="117"/>
        <v>0.61907786642092189</v>
      </c>
      <c r="AT915" s="20">
        <v>1600</v>
      </c>
      <c r="AU915" s="20">
        <v>697.51617431640625</v>
      </c>
      <c r="AV915" s="20">
        <f t="shared" si="118"/>
        <v>902.48382568359375</v>
      </c>
      <c r="AW915" s="21">
        <f t="shared" si="119"/>
        <v>0.56405239105224614</v>
      </c>
    </row>
    <row r="916" spans="1:49" x14ac:dyDescent="0.25">
      <c r="A916" t="s">
        <v>128</v>
      </c>
      <c r="B916" t="s">
        <v>309</v>
      </c>
      <c r="C916">
        <v>145325</v>
      </c>
      <c r="D916">
        <v>2011</v>
      </c>
      <c r="E916" t="s">
        <v>116</v>
      </c>
      <c r="F916" t="s">
        <v>269</v>
      </c>
      <c r="G916" t="s">
        <v>1114</v>
      </c>
      <c r="H916" t="s">
        <v>1115</v>
      </c>
      <c r="I916">
        <v>8</v>
      </c>
      <c r="J916" t="s">
        <v>72</v>
      </c>
      <c r="K916">
        <v>4</v>
      </c>
      <c r="L916" t="s">
        <v>44</v>
      </c>
      <c r="M916">
        <v>4.7</v>
      </c>
      <c r="N916" t="s">
        <v>91</v>
      </c>
      <c r="Q916" t="s">
        <v>74</v>
      </c>
      <c r="R916" t="s">
        <v>92</v>
      </c>
      <c r="S916" t="s">
        <v>93</v>
      </c>
      <c r="U916" t="s">
        <v>50</v>
      </c>
      <c r="X916" t="s">
        <v>94</v>
      </c>
      <c r="Y916" t="s">
        <v>78</v>
      </c>
      <c r="AA916">
        <v>0</v>
      </c>
      <c r="AB916" t="s">
        <v>79</v>
      </c>
      <c r="AC916" t="s">
        <v>95</v>
      </c>
      <c r="AD916">
        <v>36</v>
      </c>
      <c r="AE916">
        <v>9</v>
      </c>
      <c r="AF916">
        <v>3</v>
      </c>
      <c r="AG916">
        <v>2025</v>
      </c>
      <c r="AH916" s="2">
        <v>6700</v>
      </c>
      <c r="AI916" s="2">
        <v>4876.89404296875</v>
      </c>
      <c r="AJ916" s="2">
        <f t="shared" si="112"/>
        <v>1823.10595703125</v>
      </c>
      <c r="AK916" s="6">
        <f t="shared" si="113"/>
        <v>0.2721053667210821</v>
      </c>
      <c r="AL916" s="12">
        <v>6700</v>
      </c>
      <c r="AM916" s="12">
        <v>5239.9674259605245</v>
      </c>
      <c r="AN916" s="12">
        <f t="shared" si="114"/>
        <v>1460.0325740394755</v>
      </c>
      <c r="AO916" s="13">
        <f t="shared" si="115"/>
        <v>0.21791530955813068</v>
      </c>
      <c r="AP916" s="16">
        <v>6700</v>
      </c>
      <c r="AQ916" s="16">
        <v>3695.0905744231468</v>
      </c>
      <c r="AR916" s="16">
        <f t="shared" si="116"/>
        <v>3004.9094255768532</v>
      </c>
      <c r="AS916" s="17">
        <f t="shared" si="117"/>
        <v>0.44849394411594823</v>
      </c>
      <c r="AT916" s="20">
        <v>6700</v>
      </c>
      <c r="AU916" s="20">
        <v>4978.255859375</v>
      </c>
      <c r="AV916" s="20">
        <f t="shared" si="118"/>
        <v>1721.744140625</v>
      </c>
      <c r="AW916" s="21">
        <f t="shared" si="119"/>
        <v>0.25697673740671639</v>
      </c>
    </row>
    <row r="917" spans="1:49" x14ac:dyDescent="0.25">
      <c r="A917" t="s">
        <v>38</v>
      </c>
      <c r="B917" t="s">
        <v>110</v>
      </c>
      <c r="C917">
        <v>79340</v>
      </c>
      <c r="D917">
        <v>2018</v>
      </c>
      <c r="E917" t="s">
        <v>97</v>
      </c>
      <c r="F917" t="s">
        <v>198</v>
      </c>
      <c r="G917" t="s">
        <v>364</v>
      </c>
      <c r="I917">
        <v>6</v>
      </c>
      <c r="J917" t="s">
        <v>72</v>
      </c>
      <c r="K917">
        <v>4</v>
      </c>
      <c r="L917" t="s">
        <v>44</v>
      </c>
      <c r="M917">
        <v>3.6</v>
      </c>
      <c r="N917" t="s">
        <v>45</v>
      </c>
      <c r="Q917" t="s">
        <v>62</v>
      </c>
      <c r="R917" t="s">
        <v>63</v>
      </c>
      <c r="S917" t="s">
        <v>101</v>
      </c>
      <c r="U917" t="s">
        <v>50</v>
      </c>
      <c r="V917" t="s">
        <v>76</v>
      </c>
      <c r="W917" t="s">
        <v>1084</v>
      </c>
      <c r="X917" t="s">
        <v>94</v>
      </c>
      <c r="Y917" t="s">
        <v>78</v>
      </c>
      <c r="Z917">
        <v>45000</v>
      </c>
      <c r="AA917">
        <v>0</v>
      </c>
      <c r="AB917" t="s">
        <v>79</v>
      </c>
      <c r="AC917" t="s">
        <v>87</v>
      </c>
      <c r="AD917">
        <v>36</v>
      </c>
      <c r="AE917">
        <v>9</v>
      </c>
      <c r="AF917">
        <v>3</v>
      </c>
      <c r="AG917">
        <v>2025</v>
      </c>
      <c r="AH917" s="2">
        <v>17000</v>
      </c>
      <c r="AI917" s="2">
        <v>16902.923828125</v>
      </c>
      <c r="AJ917" s="2">
        <f t="shared" si="112"/>
        <v>97.076171875</v>
      </c>
      <c r="AK917" s="6">
        <f t="shared" si="113"/>
        <v>5.7103630514705886E-3</v>
      </c>
      <c r="AL917" s="12">
        <v>17000</v>
      </c>
      <c r="AM917" s="12">
        <v>12022.91334618745</v>
      </c>
      <c r="AN917" s="12">
        <f t="shared" si="114"/>
        <v>4977.0866538125501</v>
      </c>
      <c r="AO917" s="13">
        <f t="shared" si="115"/>
        <v>0.29276980316544415</v>
      </c>
      <c r="AP917" s="16">
        <v>17000</v>
      </c>
      <c r="AQ917" s="16">
        <v>13270.422920766499</v>
      </c>
      <c r="AR917" s="16">
        <f t="shared" si="116"/>
        <v>3729.5770792335006</v>
      </c>
      <c r="AS917" s="17">
        <f t="shared" si="117"/>
        <v>0.21938688701373532</v>
      </c>
      <c r="AT917" s="20">
        <v>17000</v>
      </c>
      <c r="AU917" s="20">
        <v>16125.7138671875</v>
      </c>
      <c r="AV917" s="20">
        <f t="shared" si="118"/>
        <v>874.2861328125</v>
      </c>
      <c r="AW917" s="21">
        <f t="shared" si="119"/>
        <v>5.1428596047794116E-2</v>
      </c>
    </row>
    <row r="918" spans="1:49" x14ac:dyDescent="0.25">
      <c r="A918" t="s">
        <v>38</v>
      </c>
      <c r="B918" t="s">
        <v>68</v>
      </c>
      <c r="C918">
        <v>29880</v>
      </c>
      <c r="D918">
        <v>2022</v>
      </c>
      <c r="E918" t="s">
        <v>40</v>
      </c>
      <c r="F918" t="s">
        <v>201</v>
      </c>
      <c r="G918" t="s">
        <v>572</v>
      </c>
      <c r="H918" t="s">
        <v>1116</v>
      </c>
      <c r="I918">
        <v>4</v>
      </c>
      <c r="J918" t="s">
        <v>135</v>
      </c>
      <c r="K918">
        <v>4</v>
      </c>
      <c r="L918" t="s">
        <v>44</v>
      </c>
      <c r="M918">
        <v>1.8</v>
      </c>
      <c r="N918" t="s">
        <v>45</v>
      </c>
      <c r="O918" t="s">
        <v>46</v>
      </c>
      <c r="P918">
        <v>4</v>
      </c>
      <c r="Q918" t="s">
        <v>47</v>
      </c>
      <c r="R918" t="s">
        <v>123</v>
      </c>
      <c r="S918" t="s">
        <v>49</v>
      </c>
      <c r="T918">
        <v>139</v>
      </c>
      <c r="U918" t="s">
        <v>50</v>
      </c>
      <c r="V918" t="s">
        <v>51</v>
      </c>
      <c r="W918" t="s">
        <v>693</v>
      </c>
      <c r="X918" t="s">
        <v>125</v>
      </c>
      <c r="Y918" t="s">
        <v>78</v>
      </c>
      <c r="AA918">
        <v>0</v>
      </c>
      <c r="AB918" t="s">
        <v>79</v>
      </c>
      <c r="AC918" t="s">
        <v>127</v>
      </c>
      <c r="AD918">
        <v>36</v>
      </c>
      <c r="AE918">
        <v>9</v>
      </c>
      <c r="AF918">
        <v>3</v>
      </c>
      <c r="AG918">
        <v>2025</v>
      </c>
      <c r="AH918" s="2">
        <v>17500</v>
      </c>
      <c r="AI918" s="2">
        <v>14827.400390625</v>
      </c>
      <c r="AJ918" s="2">
        <f t="shared" si="112"/>
        <v>2672.599609375</v>
      </c>
      <c r="AK918" s="6">
        <f t="shared" si="113"/>
        <v>0.15271997767857143</v>
      </c>
      <c r="AL918" s="12">
        <v>17500</v>
      </c>
      <c r="AM918" s="12">
        <v>16299.078324579579</v>
      </c>
      <c r="AN918" s="12">
        <f t="shared" si="114"/>
        <v>1200.9216754204208</v>
      </c>
      <c r="AO918" s="13">
        <f t="shared" si="115"/>
        <v>6.8624095738309757E-2</v>
      </c>
      <c r="AP918" s="16">
        <v>17500</v>
      </c>
      <c r="AQ918" s="16">
        <v>17148.660548810989</v>
      </c>
      <c r="AR918" s="16">
        <f t="shared" si="116"/>
        <v>351.33945118901102</v>
      </c>
      <c r="AS918" s="17">
        <f t="shared" si="117"/>
        <v>2.0076540067943488E-2</v>
      </c>
      <c r="AT918" s="20">
        <v>17500</v>
      </c>
      <c r="AU918" s="20">
        <v>15080.3173828125</v>
      </c>
      <c r="AV918" s="20">
        <f t="shared" si="118"/>
        <v>2419.6826171875</v>
      </c>
      <c r="AW918" s="21">
        <f t="shared" si="119"/>
        <v>0.13826757812500001</v>
      </c>
    </row>
    <row r="919" spans="1:49" x14ac:dyDescent="0.25">
      <c r="A919" t="s">
        <v>38</v>
      </c>
      <c r="B919" t="s">
        <v>110</v>
      </c>
      <c r="C919">
        <v>174460</v>
      </c>
      <c r="D919">
        <v>2014</v>
      </c>
      <c r="E919" t="s">
        <v>146</v>
      </c>
      <c r="F919" t="s">
        <v>302</v>
      </c>
      <c r="I919">
        <v>6</v>
      </c>
      <c r="J919" t="s">
        <v>43</v>
      </c>
      <c r="K919">
        <v>4</v>
      </c>
      <c r="L919" t="s">
        <v>44</v>
      </c>
      <c r="M919">
        <v>3.5</v>
      </c>
      <c r="N919" t="s">
        <v>45</v>
      </c>
      <c r="Q919" t="s">
        <v>62</v>
      </c>
      <c r="R919" t="s">
        <v>148</v>
      </c>
      <c r="S919" t="s">
        <v>49</v>
      </c>
      <c r="U919" t="s">
        <v>50</v>
      </c>
      <c r="X919" t="s">
        <v>141</v>
      </c>
      <c r="Y919" t="s">
        <v>78</v>
      </c>
      <c r="AA919">
        <v>0</v>
      </c>
      <c r="AB919" t="s">
        <v>79</v>
      </c>
      <c r="AC919" t="s">
        <v>87</v>
      </c>
      <c r="AD919">
        <v>36</v>
      </c>
      <c r="AE919">
        <v>9</v>
      </c>
      <c r="AF919">
        <v>3</v>
      </c>
      <c r="AG919">
        <v>2025</v>
      </c>
      <c r="AH919" s="2">
        <v>1800</v>
      </c>
      <c r="AI919" s="2">
        <v>1430.784545898438</v>
      </c>
      <c r="AJ919" s="2">
        <f t="shared" si="112"/>
        <v>369.21545410156205</v>
      </c>
      <c r="AK919" s="6">
        <f t="shared" si="113"/>
        <v>0.20511969672309002</v>
      </c>
      <c r="AL919" s="12">
        <v>1800</v>
      </c>
      <c r="AM919" s="12">
        <v>1887.0558743806721</v>
      </c>
      <c r="AN919" s="12">
        <f t="shared" si="114"/>
        <v>87.055874380672094</v>
      </c>
      <c r="AO919" s="13">
        <f t="shared" si="115"/>
        <v>4.8364374655928938E-2</v>
      </c>
      <c r="AP919" s="16">
        <v>1800</v>
      </c>
      <c r="AQ919" s="16">
        <v>1623.993597648486</v>
      </c>
      <c r="AR919" s="16">
        <f t="shared" si="116"/>
        <v>176.006402351514</v>
      </c>
      <c r="AS919" s="17">
        <f t="shared" si="117"/>
        <v>9.7781334639730003E-2</v>
      </c>
      <c r="AT919" s="20">
        <v>1800</v>
      </c>
      <c r="AU919" s="20">
        <v>1421.125244140625</v>
      </c>
      <c r="AV919" s="20">
        <f t="shared" si="118"/>
        <v>378.874755859375</v>
      </c>
      <c r="AW919" s="21">
        <f t="shared" si="119"/>
        <v>0.21048597547743056</v>
      </c>
    </row>
    <row r="920" spans="1:49" x14ac:dyDescent="0.25">
      <c r="A920" t="s">
        <v>38</v>
      </c>
      <c r="B920" t="s">
        <v>57</v>
      </c>
      <c r="C920">
        <v>68200</v>
      </c>
      <c r="D920">
        <v>2003</v>
      </c>
      <c r="E920" t="s">
        <v>97</v>
      </c>
      <c r="F920" t="s">
        <v>1117</v>
      </c>
      <c r="I920">
        <v>4</v>
      </c>
      <c r="J920" t="s">
        <v>178</v>
      </c>
      <c r="K920">
        <v>4</v>
      </c>
      <c r="L920" t="s">
        <v>44</v>
      </c>
      <c r="M920">
        <v>2.2000000000000002</v>
      </c>
      <c r="N920" t="s">
        <v>45</v>
      </c>
      <c r="O920" t="s">
        <v>46</v>
      </c>
      <c r="P920">
        <v>2</v>
      </c>
      <c r="Q920" t="s">
        <v>47</v>
      </c>
      <c r="R920" t="s">
        <v>123</v>
      </c>
      <c r="T920">
        <v>170</v>
      </c>
      <c r="U920" t="s">
        <v>50</v>
      </c>
      <c r="V920" t="s">
        <v>51</v>
      </c>
      <c r="W920" t="s">
        <v>1048</v>
      </c>
      <c r="X920" t="s">
        <v>125</v>
      </c>
      <c r="Y920" t="s">
        <v>78</v>
      </c>
      <c r="AA920">
        <v>0</v>
      </c>
      <c r="AB920" t="s">
        <v>79</v>
      </c>
      <c r="AC920" t="s">
        <v>127</v>
      </c>
      <c r="AD920">
        <v>36</v>
      </c>
      <c r="AE920">
        <v>9</v>
      </c>
      <c r="AF920">
        <v>3</v>
      </c>
      <c r="AG920">
        <v>2025</v>
      </c>
      <c r="AH920" s="2">
        <v>2700</v>
      </c>
      <c r="AI920" s="2">
        <v>849.321533203125</v>
      </c>
      <c r="AJ920" s="2">
        <f t="shared" si="112"/>
        <v>1850.678466796875</v>
      </c>
      <c r="AK920" s="6">
        <f t="shared" si="113"/>
        <v>0.68543646918402779</v>
      </c>
      <c r="AL920" s="12">
        <v>2700</v>
      </c>
      <c r="AM920" s="12">
        <v>948.41068294829427</v>
      </c>
      <c r="AN920" s="12">
        <f t="shared" si="114"/>
        <v>1751.5893170517056</v>
      </c>
      <c r="AO920" s="13">
        <f t="shared" si="115"/>
        <v>0.64873678409322433</v>
      </c>
      <c r="AP920" s="16">
        <v>2700</v>
      </c>
      <c r="AQ920" s="16">
        <v>820.42872652358562</v>
      </c>
      <c r="AR920" s="16">
        <f t="shared" si="116"/>
        <v>1879.5712734764143</v>
      </c>
      <c r="AS920" s="17">
        <f t="shared" si="117"/>
        <v>0.69613750869496827</v>
      </c>
      <c r="AT920" s="20">
        <v>2700</v>
      </c>
      <c r="AU920" s="20">
        <v>845.327392578125</v>
      </c>
      <c r="AV920" s="20">
        <f t="shared" si="118"/>
        <v>1854.672607421875</v>
      </c>
      <c r="AW920" s="21">
        <f t="shared" si="119"/>
        <v>0.68691578052662039</v>
      </c>
    </row>
    <row r="921" spans="1:49" x14ac:dyDescent="0.25">
      <c r="A921" t="s">
        <v>38</v>
      </c>
      <c r="B921" t="s">
        <v>110</v>
      </c>
      <c r="C921">
        <v>124331</v>
      </c>
      <c r="D921">
        <v>2018</v>
      </c>
      <c r="E921" t="s">
        <v>166</v>
      </c>
      <c r="F921" t="s">
        <v>247</v>
      </c>
      <c r="G921" t="s">
        <v>248</v>
      </c>
      <c r="I921">
        <v>4</v>
      </c>
      <c r="J921" t="s">
        <v>277</v>
      </c>
      <c r="K921">
        <v>4</v>
      </c>
      <c r="L921" t="s">
        <v>44</v>
      </c>
      <c r="M921">
        <v>1.5</v>
      </c>
      <c r="N921" t="s">
        <v>44</v>
      </c>
      <c r="O921" t="s">
        <v>46</v>
      </c>
      <c r="P921">
        <v>3</v>
      </c>
      <c r="Q921" t="s">
        <v>62</v>
      </c>
      <c r="R921" t="s">
        <v>63</v>
      </c>
      <c r="T921">
        <v>190</v>
      </c>
      <c r="U921" t="s">
        <v>50</v>
      </c>
      <c r="V921" t="s">
        <v>51</v>
      </c>
      <c r="W921" t="s">
        <v>249</v>
      </c>
      <c r="X921" t="s">
        <v>65</v>
      </c>
      <c r="Y921" t="s">
        <v>78</v>
      </c>
      <c r="Z921">
        <v>27050</v>
      </c>
      <c r="AA921">
        <v>0</v>
      </c>
      <c r="AB921" t="s">
        <v>79</v>
      </c>
      <c r="AC921" t="s">
        <v>87</v>
      </c>
      <c r="AD921">
        <v>36</v>
      </c>
      <c r="AE921">
        <v>9</v>
      </c>
      <c r="AF921">
        <v>3</v>
      </c>
      <c r="AG921">
        <v>2025</v>
      </c>
      <c r="AH921" s="2">
        <v>12250</v>
      </c>
      <c r="AI921" s="2">
        <v>12138.6357421875</v>
      </c>
      <c r="AJ921" s="2">
        <f t="shared" si="112"/>
        <v>111.3642578125</v>
      </c>
      <c r="AK921" s="6">
        <f t="shared" si="113"/>
        <v>9.0909598214285719E-3</v>
      </c>
      <c r="AL921" s="12">
        <v>12250</v>
      </c>
      <c r="AM921" s="12">
        <v>10242.73387538711</v>
      </c>
      <c r="AN921" s="12">
        <f t="shared" si="114"/>
        <v>2007.2661246128901</v>
      </c>
      <c r="AO921" s="13">
        <f t="shared" si="115"/>
        <v>0.16385845915207264</v>
      </c>
      <c r="AP921" s="16">
        <v>12250</v>
      </c>
      <c r="AQ921" s="16">
        <v>7808.607664302931</v>
      </c>
      <c r="AR921" s="16">
        <f t="shared" si="116"/>
        <v>4441.392335697069</v>
      </c>
      <c r="AS921" s="17">
        <f t="shared" si="117"/>
        <v>0.3625626396487403</v>
      </c>
      <c r="AT921" s="20">
        <v>12250</v>
      </c>
      <c r="AU921" s="20">
        <v>11848.2529296875</v>
      </c>
      <c r="AV921" s="20">
        <f t="shared" si="118"/>
        <v>401.7470703125</v>
      </c>
      <c r="AW921" s="21">
        <f t="shared" si="119"/>
        <v>3.2795679209183672E-2</v>
      </c>
    </row>
    <row r="922" spans="1:49" x14ac:dyDescent="0.25">
      <c r="A922" t="s">
        <v>38</v>
      </c>
      <c r="B922" t="s">
        <v>96</v>
      </c>
      <c r="C922">
        <v>110227</v>
      </c>
      <c r="D922">
        <v>2019</v>
      </c>
      <c r="E922" t="s">
        <v>146</v>
      </c>
      <c r="F922" t="s">
        <v>887</v>
      </c>
      <c r="I922">
        <v>4</v>
      </c>
      <c r="J922" t="s">
        <v>135</v>
      </c>
      <c r="K922">
        <v>4</v>
      </c>
      <c r="L922" t="s">
        <v>44</v>
      </c>
      <c r="M922">
        <v>1.6</v>
      </c>
      <c r="N922" t="s">
        <v>45</v>
      </c>
      <c r="O922" t="s">
        <v>46</v>
      </c>
      <c r="P922">
        <v>3</v>
      </c>
      <c r="Q922" t="s">
        <v>47</v>
      </c>
      <c r="R922" t="s">
        <v>48</v>
      </c>
      <c r="S922" t="s">
        <v>49</v>
      </c>
      <c r="U922" t="s">
        <v>50</v>
      </c>
      <c r="X922" t="s">
        <v>125</v>
      </c>
      <c r="Y922" t="s">
        <v>126</v>
      </c>
      <c r="AA922">
        <v>0</v>
      </c>
      <c r="AB922" t="s">
        <v>79</v>
      </c>
      <c r="AC922" t="s">
        <v>359</v>
      </c>
      <c r="AD922">
        <v>36</v>
      </c>
      <c r="AE922">
        <v>9</v>
      </c>
      <c r="AF922">
        <v>3</v>
      </c>
      <c r="AG922">
        <v>2025</v>
      </c>
      <c r="AH922" s="2">
        <v>3600</v>
      </c>
      <c r="AI922" s="2">
        <v>4591.55078125</v>
      </c>
      <c r="AJ922" s="2">
        <f t="shared" si="112"/>
        <v>991.55078125</v>
      </c>
      <c r="AK922" s="6">
        <f t="shared" si="113"/>
        <v>0.27543077256944443</v>
      </c>
      <c r="AL922" s="12">
        <v>3600</v>
      </c>
      <c r="AM922" s="12">
        <v>5381.8457234222678</v>
      </c>
      <c r="AN922" s="12">
        <f t="shared" si="114"/>
        <v>1781.8457234222678</v>
      </c>
      <c r="AO922" s="13">
        <f t="shared" si="115"/>
        <v>0.4949571453950744</v>
      </c>
      <c r="AP922" s="16">
        <v>3600</v>
      </c>
      <c r="AQ922" s="16">
        <v>5288.5941582162213</v>
      </c>
      <c r="AR922" s="16">
        <f t="shared" si="116"/>
        <v>1688.5941582162213</v>
      </c>
      <c r="AS922" s="17">
        <f t="shared" si="117"/>
        <v>0.46905393283783925</v>
      </c>
      <c r="AT922" s="20">
        <v>3600</v>
      </c>
      <c r="AU922" s="20">
        <v>4655.72119140625</v>
      </c>
      <c r="AV922" s="20">
        <f t="shared" si="118"/>
        <v>1055.72119140625</v>
      </c>
      <c r="AW922" s="21">
        <f t="shared" si="119"/>
        <v>0.29325588650173612</v>
      </c>
    </row>
    <row r="923" spans="1:49" x14ac:dyDescent="0.25">
      <c r="A923" t="s">
        <v>128</v>
      </c>
      <c r="B923" t="s">
        <v>129</v>
      </c>
      <c r="C923">
        <v>171581</v>
      </c>
      <c r="D923">
        <v>2016</v>
      </c>
      <c r="E923" t="s">
        <v>166</v>
      </c>
      <c r="F923" t="s">
        <v>562</v>
      </c>
      <c r="G923" t="s">
        <v>457</v>
      </c>
      <c r="I923">
        <v>4</v>
      </c>
      <c r="J923" t="s">
        <v>72</v>
      </c>
      <c r="K923">
        <v>4</v>
      </c>
      <c r="L923" t="s">
        <v>44</v>
      </c>
      <c r="M923">
        <v>2.4</v>
      </c>
      <c r="N923" t="s">
        <v>45</v>
      </c>
      <c r="Q923" t="s">
        <v>47</v>
      </c>
      <c r="R923" t="s">
        <v>123</v>
      </c>
      <c r="S923" t="s">
        <v>49</v>
      </c>
      <c r="T923">
        <v>185</v>
      </c>
      <c r="U923" t="s">
        <v>50</v>
      </c>
      <c r="V923" t="s">
        <v>51</v>
      </c>
      <c r="W923" t="s">
        <v>614</v>
      </c>
      <c r="X923" t="s">
        <v>65</v>
      </c>
      <c r="Y923" t="s">
        <v>78</v>
      </c>
      <c r="AA923">
        <v>0</v>
      </c>
      <c r="AB923" t="s">
        <v>79</v>
      </c>
      <c r="AC923" t="s">
        <v>127</v>
      </c>
      <c r="AD923">
        <v>36</v>
      </c>
      <c r="AE923">
        <v>9</v>
      </c>
      <c r="AF923">
        <v>3</v>
      </c>
      <c r="AG923">
        <v>2025</v>
      </c>
      <c r="AH923" s="2">
        <v>5000</v>
      </c>
      <c r="AI923" s="2">
        <v>5771.42578125</v>
      </c>
      <c r="AJ923" s="2">
        <f t="shared" si="112"/>
        <v>771.42578125</v>
      </c>
      <c r="AK923" s="6">
        <f t="shared" si="113"/>
        <v>0.15428515625</v>
      </c>
      <c r="AL923" s="12">
        <v>5000</v>
      </c>
      <c r="AM923" s="12">
        <v>4937.1711913874851</v>
      </c>
      <c r="AN923" s="12">
        <f t="shared" si="114"/>
        <v>62.828808612514877</v>
      </c>
      <c r="AO923" s="13">
        <f t="shared" si="115"/>
        <v>1.2565761722502976E-2</v>
      </c>
      <c r="AP923" s="16">
        <v>5000</v>
      </c>
      <c r="AQ923" s="16">
        <v>4439.1582773621703</v>
      </c>
      <c r="AR923" s="16">
        <f t="shared" si="116"/>
        <v>560.84172263782966</v>
      </c>
      <c r="AS923" s="17">
        <f t="shared" si="117"/>
        <v>0.11216834452756594</v>
      </c>
      <c r="AT923" s="20">
        <v>5000</v>
      </c>
      <c r="AU923" s="20">
        <v>5786.0654296875</v>
      </c>
      <c r="AV923" s="20">
        <f t="shared" si="118"/>
        <v>786.0654296875</v>
      </c>
      <c r="AW923" s="21">
        <f t="shared" si="119"/>
        <v>0.1572130859375</v>
      </c>
    </row>
    <row r="924" spans="1:49" x14ac:dyDescent="0.25">
      <c r="A924" t="s">
        <v>128</v>
      </c>
      <c r="B924" t="s">
        <v>210</v>
      </c>
      <c r="C924">
        <v>112723</v>
      </c>
      <c r="D924">
        <v>2005</v>
      </c>
      <c r="E924" t="s">
        <v>40</v>
      </c>
      <c r="F924" t="s">
        <v>643</v>
      </c>
      <c r="G924" t="s">
        <v>572</v>
      </c>
      <c r="H924" t="s">
        <v>1118</v>
      </c>
      <c r="I924">
        <v>6</v>
      </c>
      <c r="J924" t="s">
        <v>106</v>
      </c>
      <c r="K924">
        <v>4</v>
      </c>
      <c r="L924" t="s">
        <v>44</v>
      </c>
      <c r="M924">
        <v>3.3</v>
      </c>
      <c r="N924" t="s">
        <v>45</v>
      </c>
      <c r="O924" t="s">
        <v>46</v>
      </c>
      <c r="Q924" t="s">
        <v>62</v>
      </c>
      <c r="R924" t="s">
        <v>225</v>
      </c>
      <c r="S924" t="s">
        <v>49</v>
      </c>
      <c r="T924">
        <v>215</v>
      </c>
      <c r="U924" t="s">
        <v>50</v>
      </c>
      <c r="V924" t="s">
        <v>76</v>
      </c>
      <c r="W924" t="s">
        <v>1119</v>
      </c>
      <c r="X924" t="s">
        <v>141</v>
      </c>
      <c r="Y924" t="s">
        <v>78</v>
      </c>
      <c r="AA924">
        <v>0</v>
      </c>
      <c r="AB924" t="s">
        <v>79</v>
      </c>
      <c r="AC924" t="s">
        <v>225</v>
      </c>
      <c r="AD924">
        <v>36</v>
      </c>
      <c r="AE924">
        <v>9</v>
      </c>
      <c r="AF924">
        <v>3</v>
      </c>
      <c r="AG924">
        <v>2025</v>
      </c>
      <c r="AH924" s="2">
        <v>1800</v>
      </c>
      <c r="AI924" s="2">
        <v>1977.688354492188</v>
      </c>
      <c r="AJ924" s="2">
        <f t="shared" si="112"/>
        <v>177.68835449218795</v>
      </c>
      <c r="AK924" s="6">
        <f t="shared" si="113"/>
        <v>9.8715752495659975E-2</v>
      </c>
      <c r="AL924" s="12">
        <v>1800</v>
      </c>
      <c r="AM924" s="12">
        <v>2036.892476603321</v>
      </c>
      <c r="AN924" s="12">
        <f t="shared" si="114"/>
        <v>236.89247660332103</v>
      </c>
      <c r="AO924" s="13">
        <f t="shared" si="115"/>
        <v>0.13160693144628946</v>
      </c>
      <c r="AP924" s="16">
        <v>1800</v>
      </c>
      <c r="AQ924" s="16">
        <v>1882.1038197052901</v>
      </c>
      <c r="AR924" s="16">
        <f t="shared" si="116"/>
        <v>82.103819705290107</v>
      </c>
      <c r="AS924" s="17">
        <f t="shared" si="117"/>
        <v>4.5613233169605617E-2</v>
      </c>
      <c r="AT924" s="20">
        <v>1800</v>
      </c>
      <c r="AU924" s="20">
        <v>1959.10595703125</v>
      </c>
      <c r="AV924" s="20">
        <f t="shared" si="118"/>
        <v>159.10595703125</v>
      </c>
      <c r="AW924" s="21">
        <f t="shared" si="119"/>
        <v>8.8392198350694451E-2</v>
      </c>
    </row>
    <row r="925" spans="1:49" x14ac:dyDescent="0.25">
      <c r="A925" t="s">
        <v>38</v>
      </c>
      <c r="B925" t="s">
        <v>68</v>
      </c>
      <c r="C925">
        <v>146249</v>
      </c>
      <c r="D925">
        <v>2015</v>
      </c>
      <c r="E925" t="s">
        <v>146</v>
      </c>
      <c r="F925" t="s">
        <v>334</v>
      </c>
      <c r="I925">
        <v>4</v>
      </c>
      <c r="J925" t="s">
        <v>277</v>
      </c>
      <c r="K925">
        <v>4</v>
      </c>
      <c r="L925" t="s">
        <v>44</v>
      </c>
      <c r="M925">
        <v>2.5</v>
      </c>
      <c r="N925" t="s">
        <v>45</v>
      </c>
      <c r="O925" t="s">
        <v>46</v>
      </c>
      <c r="P925">
        <v>3</v>
      </c>
      <c r="Q925" t="s">
        <v>47</v>
      </c>
      <c r="R925" t="s">
        <v>123</v>
      </c>
      <c r="S925" t="s">
        <v>101</v>
      </c>
      <c r="U925" t="s">
        <v>50</v>
      </c>
      <c r="X925" t="s">
        <v>125</v>
      </c>
      <c r="Y925" t="s">
        <v>78</v>
      </c>
      <c r="AA925">
        <v>0</v>
      </c>
      <c r="AB925" t="s">
        <v>79</v>
      </c>
      <c r="AC925" t="s">
        <v>127</v>
      </c>
      <c r="AD925">
        <v>36</v>
      </c>
      <c r="AE925">
        <v>9</v>
      </c>
      <c r="AF925">
        <v>3</v>
      </c>
      <c r="AG925">
        <v>2025</v>
      </c>
      <c r="AH925" s="2">
        <v>2600</v>
      </c>
      <c r="AI925" s="2">
        <v>2353.705810546875</v>
      </c>
      <c r="AJ925" s="2">
        <f t="shared" si="112"/>
        <v>246.294189453125</v>
      </c>
      <c r="AK925" s="6">
        <f t="shared" si="113"/>
        <v>9.4728534405048082E-2</v>
      </c>
      <c r="AL925" s="12">
        <v>2600</v>
      </c>
      <c r="AM925" s="12">
        <v>2269.9344757562471</v>
      </c>
      <c r="AN925" s="12">
        <f t="shared" si="114"/>
        <v>330.06552424375286</v>
      </c>
      <c r="AO925" s="13">
        <f t="shared" si="115"/>
        <v>0.12694827855528956</v>
      </c>
      <c r="AP925" s="16">
        <v>2600</v>
      </c>
      <c r="AQ925" s="16">
        <v>2238.695953256306</v>
      </c>
      <c r="AR925" s="16">
        <f t="shared" si="116"/>
        <v>361.30404674369402</v>
      </c>
      <c r="AS925" s="17">
        <f t="shared" si="117"/>
        <v>0.13896309490142078</v>
      </c>
      <c r="AT925" s="20">
        <v>2600</v>
      </c>
      <c r="AU925" s="20">
        <v>2355.376220703125</v>
      </c>
      <c r="AV925" s="20">
        <f t="shared" si="118"/>
        <v>244.623779296875</v>
      </c>
      <c r="AW925" s="21">
        <f t="shared" si="119"/>
        <v>9.4086068960336541E-2</v>
      </c>
    </row>
    <row r="926" spans="1:49" x14ac:dyDescent="0.25">
      <c r="A926" t="s">
        <v>128</v>
      </c>
      <c r="B926" t="s">
        <v>210</v>
      </c>
      <c r="C926">
        <v>110923</v>
      </c>
      <c r="D926">
        <v>2015</v>
      </c>
      <c r="E926" t="s">
        <v>97</v>
      </c>
      <c r="F926" t="s">
        <v>419</v>
      </c>
      <c r="G926" t="s">
        <v>155</v>
      </c>
      <c r="H926" t="s">
        <v>177</v>
      </c>
      <c r="I926">
        <v>8</v>
      </c>
      <c r="J926" t="s">
        <v>135</v>
      </c>
      <c r="K926">
        <v>4</v>
      </c>
      <c r="L926" t="s">
        <v>44</v>
      </c>
      <c r="M926">
        <v>5.3</v>
      </c>
      <c r="N926" t="s">
        <v>73</v>
      </c>
      <c r="O926" t="s">
        <v>46</v>
      </c>
      <c r="Q926" t="s">
        <v>62</v>
      </c>
      <c r="R926" t="s">
        <v>63</v>
      </c>
      <c r="U926" t="s">
        <v>50</v>
      </c>
      <c r="W926" t="s">
        <v>473</v>
      </c>
      <c r="X926" t="s">
        <v>108</v>
      </c>
      <c r="Y926" t="s">
        <v>78</v>
      </c>
      <c r="AA926">
        <v>0</v>
      </c>
      <c r="AB926" t="s">
        <v>79</v>
      </c>
      <c r="AC926" t="s">
        <v>87</v>
      </c>
      <c r="AD926">
        <v>36</v>
      </c>
      <c r="AE926">
        <v>9</v>
      </c>
      <c r="AF926">
        <v>3</v>
      </c>
      <c r="AG926">
        <v>2025</v>
      </c>
      <c r="AH926" s="2">
        <v>10800</v>
      </c>
      <c r="AI926" s="2">
        <v>14663.591796875</v>
      </c>
      <c r="AJ926" s="2">
        <f t="shared" si="112"/>
        <v>3863.591796875</v>
      </c>
      <c r="AK926" s="6">
        <f t="shared" si="113"/>
        <v>0.35773998119212963</v>
      </c>
      <c r="AL926" s="12">
        <v>10800</v>
      </c>
      <c r="AM926" s="12">
        <v>15522.379714422899</v>
      </c>
      <c r="AN926" s="12">
        <f t="shared" si="114"/>
        <v>4722.3797144228993</v>
      </c>
      <c r="AO926" s="13">
        <f t="shared" si="115"/>
        <v>0.43725738096508326</v>
      </c>
      <c r="AP926" s="16">
        <v>10800</v>
      </c>
      <c r="AQ926" s="16">
        <v>12855.66348783399</v>
      </c>
      <c r="AR926" s="16">
        <f t="shared" si="116"/>
        <v>2055.6634878339901</v>
      </c>
      <c r="AS926" s="17">
        <f t="shared" si="117"/>
        <v>0.19033921183648056</v>
      </c>
      <c r="AT926" s="20">
        <v>10800</v>
      </c>
      <c r="AU926" s="20">
        <v>14639.8359375</v>
      </c>
      <c r="AV926" s="20">
        <f t="shared" si="118"/>
        <v>3839.8359375</v>
      </c>
      <c r="AW926" s="21">
        <f t="shared" si="119"/>
        <v>0.35554036458333332</v>
      </c>
    </row>
    <row r="927" spans="1:49" x14ac:dyDescent="0.25">
      <c r="A927" t="s">
        <v>38</v>
      </c>
      <c r="B927" t="s">
        <v>68</v>
      </c>
      <c r="C927">
        <v>90511</v>
      </c>
      <c r="D927">
        <v>2006</v>
      </c>
      <c r="E927" t="s">
        <v>132</v>
      </c>
      <c r="F927" t="s">
        <v>1064</v>
      </c>
      <c r="H927" t="s">
        <v>1120</v>
      </c>
      <c r="I927">
        <v>8</v>
      </c>
      <c r="J927" t="s">
        <v>106</v>
      </c>
      <c r="K927">
        <v>4</v>
      </c>
      <c r="L927" t="s">
        <v>44</v>
      </c>
      <c r="M927">
        <v>5</v>
      </c>
      <c r="N927" t="s">
        <v>73</v>
      </c>
      <c r="O927" t="s">
        <v>46</v>
      </c>
      <c r="P927">
        <v>3</v>
      </c>
      <c r="Q927" t="s">
        <v>47</v>
      </c>
      <c r="R927" t="s">
        <v>123</v>
      </c>
      <c r="T927">
        <v>302</v>
      </c>
      <c r="U927" t="s">
        <v>50</v>
      </c>
      <c r="V927" t="s">
        <v>76</v>
      </c>
      <c r="X927" t="s">
        <v>125</v>
      </c>
      <c r="Y927" t="s">
        <v>137</v>
      </c>
      <c r="AA927">
        <v>0</v>
      </c>
      <c r="AB927" t="s">
        <v>79</v>
      </c>
      <c r="AC927" t="s">
        <v>127</v>
      </c>
      <c r="AD927">
        <v>36</v>
      </c>
      <c r="AE927">
        <v>9</v>
      </c>
      <c r="AF927">
        <v>3</v>
      </c>
      <c r="AG927">
        <v>2025</v>
      </c>
      <c r="AH927" s="2">
        <v>3750</v>
      </c>
      <c r="AI927" s="2">
        <v>3431.9404296875</v>
      </c>
      <c r="AJ927" s="2">
        <f t="shared" si="112"/>
        <v>318.0595703125</v>
      </c>
      <c r="AK927" s="6">
        <f t="shared" si="113"/>
        <v>8.4815885416666667E-2</v>
      </c>
      <c r="AL927" s="12">
        <v>3750</v>
      </c>
      <c r="AM927" s="12">
        <v>2966.4449963847551</v>
      </c>
      <c r="AN927" s="12">
        <f t="shared" si="114"/>
        <v>783.55500361524491</v>
      </c>
      <c r="AO927" s="13">
        <f t="shared" si="115"/>
        <v>0.20894800096406532</v>
      </c>
      <c r="AP927" s="16">
        <v>3750</v>
      </c>
      <c r="AQ927" s="16">
        <v>2919.7246959025861</v>
      </c>
      <c r="AR927" s="16">
        <f t="shared" si="116"/>
        <v>830.27530409741394</v>
      </c>
      <c r="AS927" s="17">
        <f t="shared" si="117"/>
        <v>0.22140674775931038</v>
      </c>
      <c r="AT927" s="20">
        <v>3750</v>
      </c>
      <c r="AU927" s="20">
        <v>3437.231689453125</v>
      </c>
      <c r="AV927" s="20">
        <f t="shared" si="118"/>
        <v>312.768310546875</v>
      </c>
      <c r="AW927" s="21">
        <f t="shared" si="119"/>
        <v>8.3404882812499997E-2</v>
      </c>
    </row>
    <row r="928" spans="1:49" x14ac:dyDescent="0.25">
      <c r="A928" t="s">
        <v>81</v>
      </c>
      <c r="B928" t="s">
        <v>82</v>
      </c>
      <c r="C928">
        <v>139387</v>
      </c>
      <c r="D928">
        <v>2014</v>
      </c>
      <c r="E928" t="s">
        <v>345</v>
      </c>
      <c r="F928" t="s">
        <v>585</v>
      </c>
      <c r="G928" t="s">
        <v>1121</v>
      </c>
      <c r="H928" t="s">
        <v>587</v>
      </c>
      <c r="I928">
        <v>4</v>
      </c>
      <c r="J928" t="s">
        <v>106</v>
      </c>
      <c r="K928">
        <v>4</v>
      </c>
      <c r="L928" t="s">
        <v>44</v>
      </c>
      <c r="M928">
        <v>2</v>
      </c>
      <c r="N928" t="s">
        <v>44</v>
      </c>
      <c r="O928" t="s">
        <v>100</v>
      </c>
      <c r="Q928" t="s">
        <v>47</v>
      </c>
      <c r="R928" t="s">
        <v>123</v>
      </c>
      <c r="S928" t="s">
        <v>85</v>
      </c>
      <c r="T928">
        <v>241</v>
      </c>
      <c r="U928" t="s">
        <v>50</v>
      </c>
      <c r="X928" t="s">
        <v>125</v>
      </c>
      <c r="Y928" t="s">
        <v>137</v>
      </c>
      <c r="AA928">
        <v>0</v>
      </c>
      <c r="AB928" t="s">
        <v>79</v>
      </c>
      <c r="AC928" t="s">
        <v>127</v>
      </c>
      <c r="AD928">
        <v>36</v>
      </c>
      <c r="AE928">
        <v>9</v>
      </c>
      <c r="AF928">
        <v>3</v>
      </c>
      <c r="AG928">
        <v>2025</v>
      </c>
      <c r="AH928" s="2">
        <v>800</v>
      </c>
      <c r="AI928" s="2">
        <v>1237.027221679688</v>
      </c>
      <c r="AJ928" s="2">
        <f t="shared" si="112"/>
        <v>437.02722167968795</v>
      </c>
      <c r="AK928" s="6">
        <f t="shared" si="113"/>
        <v>0.54628402709960999</v>
      </c>
      <c r="AL928" s="12">
        <v>800</v>
      </c>
      <c r="AM928" s="12">
        <v>1115.1001719974281</v>
      </c>
      <c r="AN928" s="12">
        <f t="shared" si="114"/>
        <v>315.10017199742811</v>
      </c>
      <c r="AO928" s="13">
        <f t="shared" si="115"/>
        <v>0.39387521499678513</v>
      </c>
      <c r="AP928" s="16">
        <v>800</v>
      </c>
      <c r="AQ928" s="16">
        <v>1011.833028822392</v>
      </c>
      <c r="AR928" s="16">
        <f t="shared" si="116"/>
        <v>211.83302882239195</v>
      </c>
      <c r="AS928" s="17">
        <f t="shared" si="117"/>
        <v>0.26479128602798996</v>
      </c>
      <c r="AT928" s="20">
        <v>800</v>
      </c>
      <c r="AU928" s="20">
        <v>1170.772338867188</v>
      </c>
      <c r="AV928" s="20">
        <f t="shared" si="118"/>
        <v>370.77233886718795</v>
      </c>
      <c r="AW928" s="21">
        <f t="shared" si="119"/>
        <v>0.46346542358398496</v>
      </c>
    </row>
    <row r="929" spans="1:49" x14ac:dyDescent="0.25">
      <c r="A929" t="s">
        <v>114</v>
      </c>
      <c r="B929" t="s">
        <v>340</v>
      </c>
      <c r="C929">
        <v>184746</v>
      </c>
      <c r="D929">
        <v>2009</v>
      </c>
      <c r="E929" t="s">
        <v>69</v>
      </c>
      <c r="F929" t="s">
        <v>231</v>
      </c>
      <c r="I929">
        <v>8</v>
      </c>
      <c r="J929" t="s">
        <v>61</v>
      </c>
      <c r="K929">
        <v>4</v>
      </c>
      <c r="L929" t="s">
        <v>44</v>
      </c>
      <c r="M929">
        <v>5.4</v>
      </c>
      <c r="N929" t="s">
        <v>91</v>
      </c>
      <c r="O929" t="s">
        <v>190</v>
      </c>
      <c r="P929">
        <v>2</v>
      </c>
      <c r="Q929" t="s">
        <v>74</v>
      </c>
      <c r="R929" t="s">
        <v>92</v>
      </c>
      <c r="S929" t="s">
        <v>93</v>
      </c>
      <c r="T929">
        <v>320</v>
      </c>
      <c r="U929" t="s">
        <v>180</v>
      </c>
      <c r="V929" t="s">
        <v>76</v>
      </c>
      <c r="X929" t="s">
        <v>108</v>
      </c>
      <c r="Y929" t="s">
        <v>78</v>
      </c>
      <c r="AA929">
        <v>0</v>
      </c>
      <c r="AB929" t="s">
        <v>79</v>
      </c>
      <c r="AC929" t="s">
        <v>95</v>
      </c>
      <c r="AD929">
        <v>36</v>
      </c>
      <c r="AE929">
        <v>9</v>
      </c>
      <c r="AF929">
        <v>3</v>
      </c>
      <c r="AG929">
        <v>2025</v>
      </c>
      <c r="AH929" s="2">
        <v>850</v>
      </c>
      <c r="AI929" s="2">
        <v>757.41180419921875</v>
      </c>
      <c r="AJ929" s="2">
        <f t="shared" si="112"/>
        <v>92.58819580078125</v>
      </c>
      <c r="AK929" s="6">
        <f t="shared" si="113"/>
        <v>0.10892728917738971</v>
      </c>
      <c r="AL929" s="12">
        <v>850</v>
      </c>
      <c r="AM929" s="12">
        <v>1167.884070352774</v>
      </c>
      <c r="AN929" s="12">
        <f t="shared" si="114"/>
        <v>317.88407035277396</v>
      </c>
      <c r="AO929" s="13">
        <f t="shared" si="115"/>
        <v>0.37398125923855763</v>
      </c>
      <c r="AP929" s="16">
        <v>850</v>
      </c>
      <c r="AQ929" s="16">
        <v>993.61758710284118</v>
      </c>
      <c r="AR929" s="16">
        <f t="shared" si="116"/>
        <v>143.61758710284118</v>
      </c>
      <c r="AS929" s="17">
        <f t="shared" si="117"/>
        <v>0.16896186717981315</v>
      </c>
      <c r="AT929" s="20">
        <v>850</v>
      </c>
      <c r="AU929" s="20">
        <v>778.967041015625</v>
      </c>
      <c r="AV929" s="20">
        <f t="shared" si="118"/>
        <v>71.032958984375</v>
      </c>
      <c r="AW929" s="21">
        <f t="shared" si="119"/>
        <v>8.356818704044118E-2</v>
      </c>
    </row>
    <row r="930" spans="1:49" x14ac:dyDescent="0.25">
      <c r="A930" t="s">
        <v>38</v>
      </c>
      <c r="B930" t="s">
        <v>39</v>
      </c>
      <c r="C930">
        <v>148810</v>
      </c>
      <c r="D930">
        <v>2013</v>
      </c>
      <c r="E930" t="s">
        <v>142</v>
      </c>
      <c r="F930" t="s">
        <v>633</v>
      </c>
      <c r="G930" t="s">
        <v>787</v>
      </c>
      <c r="I930">
        <v>6</v>
      </c>
      <c r="J930" t="s">
        <v>72</v>
      </c>
      <c r="K930">
        <v>4</v>
      </c>
      <c r="L930" t="s">
        <v>44</v>
      </c>
      <c r="M930">
        <v>3.6</v>
      </c>
      <c r="N930" t="s">
        <v>91</v>
      </c>
      <c r="O930" t="s">
        <v>46</v>
      </c>
      <c r="Q930" t="s">
        <v>62</v>
      </c>
      <c r="R930" t="s">
        <v>63</v>
      </c>
      <c r="S930" t="s">
        <v>93</v>
      </c>
      <c r="T930">
        <v>283</v>
      </c>
      <c r="U930" t="s">
        <v>50</v>
      </c>
      <c r="X930" t="s">
        <v>141</v>
      </c>
      <c r="Y930" t="s">
        <v>78</v>
      </c>
      <c r="AA930">
        <v>0</v>
      </c>
      <c r="AB930" t="s">
        <v>79</v>
      </c>
      <c r="AC930" t="s">
        <v>87</v>
      </c>
      <c r="AD930">
        <v>36</v>
      </c>
      <c r="AE930">
        <v>9</v>
      </c>
      <c r="AF930">
        <v>3</v>
      </c>
      <c r="AG930">
        <v>2025</v>
      </c>
      <c r="AH930" s="2">
        <v>12000</v>
      </c>
      <c r="AI930" s="2">
        <v>7881.9755859375</v>
      </c>
      <c r="AJ930" s="2">
        <f t="shared" si="112"/>
        <v>4118.0244140625</v>
      </c>
      <c r="AK930" s="6">
        <f t="shared" si="113"/>
        <v>0.34316870117187498</v>
      </c>
      <c r="AL930" s="12">
        <v>12000</v>
      </c>
      <c r="AM930" s="12">
        <v>7726.2393951603299</v>
      </c>
      <c r="AN930" s="12">
        <f t="shared" si="114"/>
        <v>4273.7606048396701</v>
      </c>
      <c r="AO930" s="13">
        <f t="shared" si="115"/>
        <v>0.35614671706997253</v>
      </c>
      <c r="AP930" s="16">
        <v>12000</v>
      </c>
      <c r="AQ930" s="16">
        <v>9004.1572623254488</v>
      </c>
      <c r="AR930" s="16">
        <f t="shared" si="116"/>
        <v>2995.8427376745512</v>
      </c>
      <c r="AS930" s="17">
        <f t="shared" si="117"/>
        <v>0.24965356147287926</v>
      </c>
      <c r="AT930" s="20">
        <v>12000</v>
      </c>
      <c r="AU930" s="20">
        <v>7972.78369140625</v>
      </c>
      <c r="AV930" s="20">
        <f t="shared" si="118"/>
        <v>4027.21630859375</v>
      </c>
      <c r="AW930" s="21">
        <f t="shared" si="119"/>
        <v>0.33560135904947919</v>
      </c>
    </row>
    <row r="931" spans="1:49" x14ac:dyDescent="0.25">
      <c r="A931" t="s">
        <v>38</v>
      </c>
      <c r="B931" t="s">
        <v>96</v>
      </c>
      <c r="C931">
        <v>171064</v>
      </c>
      <c r="D931">
        <v>2015</v>
      </c>
      <c r="E931" t="s">
        <v>286</v>
      </c>
      <c r="F931" t="s">
        <v>1122</v>
      </c>
      <c r="G931" t="s">
        <v>71</v>
      </c>
      <c r="H931" t="s">
        <v>1123</v>
      </c>
      <c r="I931">
        <v>6</v>
      </c>
      <c r="J931" t="s">
        <v>106</v>
      </c>
      <c r="K931">
        <v>4</v>
      </c>
      <c r="L931" t="s">
        <v>44</v>
      </c>
      <c r="M931">
        <v>2.5</v>
      </c>
      <c r="N931" t="s">
        <v>73</v>
      </c>
      <c r="O931" t="s">
        <v>46</v>
      </c>
      <c r="P931">
        <v>1</v>
      </c>
      <c r="Q931" t="s">
        <v>47</v>
      </c>
      <c r="R931" t="s">
        <v>123</v>
      </c>
      <c r="S931" t="s">
        <v>49</v>
      </c>
      <c r="T931">
        <v>236</v>
      </c>
      <c r="U931" t="s">
        <v>50</v>
      </c>
      <c r="V931" t="s">
        <v>76</v>
      </c>
      <c r="W931" t="s">
        <v>1124</v>
      </c>
      <c r="X931" t="s">
        <v>125</v>
      </c>
      <c r="Y931" t="s">
        <v>54</v>
      </c>
      <c r="AA931">
        <v>0</v>
      </c>
      <c r="AB931" t="s">
        <v>79</v>
      </c>
      <c r="AC931" t="s">
        <v>127</v>
      </c>
      <c r="AD931">
        <v>36</v>
      </c>
      <c r="AE931">
        <v>9</v>
      </c>
      <c r="AF931">
        <v>3</v>
      </c>
      <c r="AG931">
        <v>2025</v>
      </c>
      <c r="AH931" s="2">
        <v>5200</v>
      </c>
      <c r="AI931" s="2">
        <v>3725.080322265625</v>
      </c>
      <c r="AJ931" s="2">
        <f t="shared" si="112"/>
        <v>1474.919677734375</v>
      </c>
      <c r="AK931" s="6">
        <f t="shared" si="113"/>
        <v>0.28363839956430287</v>
      </c>
      <c r="AL931" s="12">
        <v>5200</v>
      </c>
      <c r="AM931" s="12">
        <v>4628.1879195555812</v>
      </c>
      <c r="AN931" s="12">
        <f t="shared" si="114"/>
        <v>571.81208044441883</v>
      </c>
      <c r="AO931" s="13">
        <f t="shared" si="115"/>
        <v>0.1099638616239267</v>
      </c>
      <c r="AP931" s="16">
        <v>5200</v>
      </c>
      <c r="AQ931" s="16">
        <v>3542.8848526574711</v>
      </c>
      <c r="AR931" s="16">
        <f t="shared" si="116"/>
        <v>1657.1151473425289</v>
      </c>
      <c r="AS931" s="17">
        <f t="shared" si="117"/>
        <v>0.31867598987356327</v>
      </c>
      <c r="AT931" s="20">
        <v>5200</v>
      </c>
      <c r="AU931" s="20">
        <v>3822.32080078125</v>
      </c>
      <c r="AV931" s="20">
        <f t="shared" si="118"/>
        <v>1377.67919921875</v>
      </c>
      <c r="AW931" s="21">
        <f t="shared" si="119"/>
        <v>0.26493830754206732</v>
      </c>
    </row>
    <row r="932" spans="1:49" x14ac:dyDescent="0.25">
      <c r="A932" t="s">
        <v>128</v>
      </c>
      <c r="B932" t="s">
        <v>129</v>
      </c>
      <c r="C932">
        <v>103435</v>
      </c>
      <c r="D932">
        <v>2021</v>
      </c>
      <c r="E932" t="s">
        <v>146</v>
      </c>
      <c r="F932" t="s">
        <v>147</v>
      </c>
      <c r="G932" t="s">
        <v>280</v>
      </c>
      <c r="I932">
        <v>4</v>
      </c>
      <c r="J932" t="s">
        <v>72</v>
      </c>
      <c r="K932">
        <v>4</v>
      </c>
      <c r="L932" t="s">
        <v>44</v>
      </c>
      <c r="M932">
        <v>2.5</v>
      </c>
      <c r="N932" t="s">
        <v>45</v>
      </c>
      <c r="Q932" t="s">
        <v>62</v>
      </c>
      <c r="R932" t="s">
        <v>63</v>
      </c>
      <c r="S932" t="s">
        <v>49</v>
      </c>
      <c r="U932" t="s">
        <v>50</v>
      </c>
      <c r="X932" t="s">
        <v>65</v>
      </c>
      <c r="Y932" t="s">
        <v>54</v>
      </c>
      <c r="AA932">
        <v>0</v>
      </c>
      <c r="AB932" t="s">
        <v>79</v>
      </c>
      <c r="AC932" t="s">
        <v>87</v>
      </c>
      <c r="AD932">
        <v>36</v>
      </c>
      <c r="AE932">
        <v>9</v>
      </c>
      <c r="AF932">
        <v>3</v>
      </c>
      <c r="AG932">
        <v>2025</v>
      </c>
      <c r="AH932" s="2">
        <v>10200</v>
      </c>
      <c r="AI932" s="2">
        <v>10600.2109375</v>
      </c>
      <c r="AJ932" s="2">
        <f t="shared" si="112"/>
        <v>400.2109375</v>
      </c>
      <c r="AK932" s="6">
        <f t="shared" si="113"/>
        <v>3.9236366421568629E-2</v>
      </c>
      <c r="AL932" s="12">
        <v>10200</v>
      </c>
      <c r="AM932" s="12">
        <v>10101.532238665681</v>
      </c>
      <c r="AN932" s="12">
        <f t="shared" si="114"/>
        <v>98.467761334319221</v>
      </c>
      <c r="AO932" s="13">
        <f t="shared" si="115"/>
        <v>9.6537020915999239E-3</v>
      </c>
      <c r="AP932" s="16">
        <v>10200</v>
      </c>
      <c r="AQ932" s="16">
        <v>9305.1711565326332</v>
      </c>
      <c r="AR932" s="16">
        <f t="shared" si="116"/>
        <v>894.82884346736682</v>
      </c>
      <c r="AS932" s="17">
        <f t="shared" si="117"/>
        <v>8.7728317986996748E-2</v>
      </c>
      <c r="AT932" s="20">
        <v>10200</v>
      </c>
      <c r="AU932" s="20">
        <v>10482.7998046875</v>
      </c>
      <c r="AV932" s="20">
        <f t="shared" si="118"/>
        <v>282.7998046875</v>
      </c>
      <c r="AW932" s="21">
        <f t="shared" si="119"/>
        <v>2.7725471047794117E-2</v>
      </c>
    </row>
    <row r="933" spans="1:49" x14ac:dyDescent="0.25">
      <c r="A933" t="s">
        <v>38</v>
      </c>
      <c r="B933" t="s">
        <v>110</v>
      </c>
      <c r="C933">
        <v>51013</v>
      </c>
      <c r="D933">
        <v>2020</v>
      </c>
      <c r="E933" t="s">
        <v>116</v>
      </c>
      <c r="F933" t="s">
        <v>194</v>
      </c>
      <c r="H933" t="s">
        <v>396</v>
      </c>
      <c r="I933">
        <v>6</v>
      </c>
      <c r="J933" t="s">
        <v>43</v>
      </c>
      <c r="K933">
        <v>2</v>
      </c>
      <c r="L933" t="s">
        <v>44</v>
      </c>
      <c r="M933">
        <v>3.6</v>
      </c>
      <c r="N933" t="s">
        <v>73</v>
      </c>
      <c r="O933" t="s">
        <v>46</v>
      </c>
      <c r="P933">
        <v>3</v>
      </c>
      <c r="Q933" t="s">
        <v>47</v>
      </c>
      <c r="R933" t="s">
        <v>123</v>
      </c>
      <c r="S933" t="s">
        <v>179</v>
      </c>
      <c r="T933">
        <v>305</v>
      </c>
      <c r="U933" t="s">
        <v>50</v>
      </c>
      <c r="V933" t="s">
        <v>76</v>
      </c>
      <c r="X933" t="s">
        <v>125</v>
      </c>
      <c r="Y933" t="s">
        <v>103</v>
      </c>
      <c r="Z933">
        <v>28095</v>
      </c>
      <c r="AA933">
        <v>0</v>
      </c>
      <c r="AB933" t="s">
        <v>79</v>
      </c>
      <c r="AC933" t="s">
        <v>127</v>
      </c>
      <c r="AD933">
        <v>36</v>
      </c>
      <c r="AE933">
        <v>9</v>
      </c>
      <c r="AF933">
        <v>3</v>
      </c>
      <c r="AG933">
        <v>2025</v>
      </c>
      <c r="AH933" s="2">
        <v>16500</v>
      </c>
      <c r="AI933" s="2">
        <v>13865.0283203125</v>
      </c>
      <c r="AJ933" s="2">
        <f t="shared" si="112"/>
        <v>2634.9716796875</v>
      </c>
      <c r="AK933" s="6">
        <f t="shared" si="113"/>
        <v>0.15969525331439394</v>
      </c>
      <c r="AL933" s="12">
        <v>16500</v>
      </c>
      <c r="AM933" s="12">
        <v>17915.94729975157</v>
      </c>
      <c r="AN933" s="12">
        <f t="shared" si="114"/>
        <v>1415.9472997515695</v>
      </c>
      <c r="AO933" s="13">
        <f t="shared" si="115"/>
        <v>8.5814987863731484E-2</v>
      </c>
      <c r="AP933" s="16">
        <v>16500</v>
      </c>
      <c r="AQ933" s="16">
        <v>14933.02162963706</v>
      </c>
      <c r="AR933" s="16">
        <f t="shared" si="116"/>
        <v>1566.97837036294</v>
      </c>
      <c r="AS933" s="17">
        <f t="shared" si="117"/>
        <v>9.4968386082602427E-2</v>
      </c>
      <c r="AT933" s="20">
        <v>16500</v>
      </c>
      <c r="AU933" s="20">
        <v>14616.71875</v>
      </c>
      <c r="AV933" s="20">
        <f t="shared" si="118"/>
        <v>1883.28125</v>
      </c>
      <c r="AW933" s="21">
        <f t="shared" si="119"/>
        <v>0.11413825757575757</v>
      </c>
    </row>
    <row r="934" spans="1:49" x14ac:dyDescent="0.25">
      <c r="A934" t="s">
        <v>128</v>
      </c>
      <c r="B934" t="s">
        <v>129</v>
      </c>
      <c r="C934">
        <v>153018</v>
      </c>
      <c r="D934">
        <v>2012</v>
      </c>
      <c r="E934" t="s">
        <v>146</v>
      </c>
      <c r="F934" t="s">
        <v>334</v>
      </c>
      <c r="I934">
        <v>4</v>
      </c>
      <c r="J934" t="s">
        <v>43</v>
      </c>
      <c r="K934">
        <v>4</v>
      </c>
      <c r="L934" t="s">
        <v>44</v>
      </c>
      <c r="M934">
        <v>2.5</v>
      </c>
      <c r="N934" t="s">
        <v>45</v>
      </c>
      <c r="Q934" t="s">
        <v>47</v>
      </c>
      <c r="R934" t="s">
        <v>123</v>
      </c>
      <c r="S934" t="s">
        <v>49</v>
      </c>
      <c r="T934">
        <v>170</v>
      </c>
      <c r="U934" t="s">
        <v>50</v>
      </c>
      <c r="X934" t="s">
        <v>125</v>
      </c>
      <c r="Y934" t="s">
        <v>78</v>
      </c>
      <c r="AA934">
        <v>0</v>
      </c>
      <c r="AB934" t="s">
        <v>79</v>
      </c>
      <c r="AC934" t="s">
        <v>127</v>
      </c>
      <c r="AD934">
        <v>36</v>
      </c>
      <c r="AE934">
        <v>9</v>
      </c>
      <c r="AF934">
        <v>3</v>
      </c>
      <c r="AG934">
        <v>2025</v>
      </c>
      <c r="AH934" s="2">
        <v>600</v>
      </c>
      <c r="AI934" s="2">
        <v>1225.256713867188</v>
      </c>
      <c r="AJ934" s="2">
        <f t="shared" si="112"/>
        <v>625.25671386718795</v>
      </c>
      <c r="AK934" s="6">
        <f t="shared" si="113"/>
        <v>1.04209452311198</v>
      </c>
      <c r="AL934" s="12">
        <v>600</v>
      </c>
      <c r="AM934" s="12">
        <v>1414.8716255644711</v>
      </c>
      <c r="AN934" s="12">
        <f t="shared" si="114"/>
        <v>814.87162556447106</v>
      </c>
      <c r="AO934" s="13">
        <f t="shared" si="115"/>
        <v>1.358119375940785</v>
      </c>
      <c r="AP934" s="16">
        <v>600</v>
      </c>
      <c r="AQ934" s="16">
        <v>1266.5722283204971</v>
      </c>
      <c r="AR934" s="16">
        <f t="shared" si="116"/>
        <v>666.57222832049706</v>
      </c>
      <c r="AS934" s="17">
        <f t="shared" si="117"/>
        <v>1.1109537138674952</v>
      </c>
      <c r="AT934" s="20">
        <v>600</v>
      </c>
      <c r="AU934" s="20">
        <v>1204.439697265625</v>
      </c>
      <c r="AV934" s="20">
        <f t="shared" si="118"/>
        <v>604.439697265625</v>
      </c>
      <c r="AW934" s="21">
        <f t="shared" si="119"/>
        <v>1.0073994954427083</v>
      </c>
    </row>
    <row r="935" spans="1:49" x14ac:dyDescent="0.25">
      <c r="A935" t="s">
        <v>114</v>
      </c>
      <c r="B935" t="s">
        <v>596</v>
      </c>
      <c r="C935">
        <v>10187</v>
      </c>
      <c r="D935">
        <v>2022</v>
      </c>
      <c r="E935" t="s">
        <v>174</v>
      </c>
      <c r="F935" t="s">
        <v>254</v>
      </c>
      <c r="H935" t="s">
        <v>176</v>
      </c>
      <c r="I935">
        <v>4</v>
      </c>
      <c r="J935" t="s">
        <v>61</v>
      </c>
      <c r="K935">
        <v>4</v>
      </c>
      <c r="L935" t="s">
        <v>44</v>
      </c>
      <c r="M935">
        <v>1.5</v>
      </c>
      <c r="N935" t="s">
        <v>44</v>
      </c>
      <c r="O935" t="s">
        <v>46</v>
      </c>
      <c r="P935">
        <v>4</v>
      </c>
      <c r="Q935" t="s">
        <v>62</v>
      </c>
      <c r="R935" t="s">
        <v>63</v>
      </c>
      <c r="S935" t="s">
        <v>85</v>
      </c>
      <c r="U935" t="s">
        <v>50</v>
      </c>
      <c r="V935" t="s">
        <v>51</v>
      </c>
      <c r="W935" t="s">
        <v>255</v>
      </c>
      <c r="X935" t="s">
        <v>65</v>
      </c>
      <c r="Y935" t="s">
        <v>126</v>
      </c>
      <c r="AA935">
        <v>0</v>
      </c>
      <c r="AB935" t="s">
        <v>79</v>
      </c>
      <c r="AC935" t="s">
        <v>87</v>
      </c>
      <c r="AD935">
        <v>36</v>
      </c>
      <c r="AE935">
        <v>9</v>
      </c>
      <c r="AF935">
        <v>3</v>
      </c>
      <c r="AG935">
        <v>2025</v>
      </c>
      <c r="AH935" s="2">
        <v>24100</v>
      </c>
      <c r="AI935" s="2">
        <v>25927.755859375</v>
      </c>
      <c r="AJ935" s="2">
        <f t="shared" si="112"/>
        <v>1827.755859375</v>
      </c>
      <c r="AK935" s="6">
        <f t="shared" si="113"/>
        <v>7.5840492090248957E-2</v>
      </c>
      <c r="AL935" s="12">
        <v>24100</v>
      </c>
      <c r="AM935" s="12">
        <v>26219.211549482741</v>
      </c>
      <c r="AN935" s="12">
        <f t="shared" si="114"/>
        <v>2119.2115494827412</v>
      </c>
      <c r="AO935" s="13">
        <f t="shared" si="115"/>
        <v>8.7934089190155232E-2</v>
      </c>
      <c r="AP935" s="16">
        <v>24100</v>
      </c>
      <c r="AQ935" s="16">
        <v>22813.907165780802</v>
      </c>
      <c r="AR935" s="16">
        <f t="shared" si="116"/>
        <v>1286.0928342191983</v>
      </c>
      <c r="AS935" s="17">
        <f t="shared" si="117"/>
        <v>5.3364847892912792E-2</v>
      </c>
      <c r="AT935" s="20">
        <v>24100</v>
      </c>
      <c r="AU935" s="20">
        <v>25740.947265625</v>
      </c>
      <c r="AV935" s="20">
        <f t="shared" si="118"/>
        <v>1640.947265625</v>
      </c>
      <c r="AW935" s="21">
        <f t="shared" si="119"/>
        <v>6.8089098158713696E-2</v>
      </c>
    </row>
    <row r="936" spans="1:49" x14ac:dyDescent="0.25">
      <c r="A936" t="s">
        <v>128</v>
      </c>
      <c r="B936" t="s">
        <v>129</v>
      </c>
      <c r="C936">
        <v>120240</v>
      </c>
      <c r="D936">
        <v>2009</v>
      </c>
      <c r="E936" t="s">
        <v>97</v>
      </c>
      <c r="F936" t="s">
        <v>470</v>
      </c>
      <c r="G936" t="s">
        <v>199</v>
      </c>
      <c r="I936">
        <v>4</v>
      </c>
      <c r="J936" t="s">
        <v>61</v>
      </c>
      <c r="K936">
        <v>4</v>
      </c>
      <c r="L936" t="s">
        <v>44</v>
      </c>
      <c r="M936">
        <v>2.4</v>
      </c>
      <c r="N936" t="s">
        <v>45</v>
      </c>
      <c r="Q936" t="s">
        <v>47</v>
      </c>
      <c r="R936" t="s">
        <v>123</v>
      </c>
      <c r="U936" t="s">
        <v>50</v>
      </c>
      <c r="V936" t="s">
        <v>51</v>
      </c>
      <c r="W936" t="s">
        <v>478</v>
      </c>
      <c r="X936" t="s">
        <v>125</v>
      </c>
      <c r="Y936" t="s">
        <v>78</v>
      </c>
      <c r="AA936">
        <v>0</v>
      </c>
      <c r="AB936" t="s">
        <v>79</v>
      </c>
      <c r="AC936" t="s">
        <v>127</v>
      </c>
      <c r="AD936">
        <v>36</v>
      </c>
      <c r="AE936">
        <v>9</v>
      </c>
      <c r="AF936">
        <v>3</v>
      </c>
      <c r="AG936">
        <v>2025</v>
      </c>
      <c r="AH936" s="2">
        <v>1100</v>
      </c>
      <c r="AI936" s="2">
        <v>1557.142456054688</v>
      </c>
      <c r="AJ936" s="2">
        <f t="shared" si="112"/>
        <v>457.14245605468795</v>
      </c>
      <c r="AK936" s="6">
        <f t="shared" si="113"/>
        <v>0.41558405095880724</v>
      </c>
      <c r="AL936" s="12">
        <v>1100</v>
      </c>
      <c r="AM936" s="12">
        <v>1580.3213047682129</v>
      </c>
      <c r="AN936" s="12">
        <f t="shared" si="114"/>
        <v>480.32130476821294</v>
      </c>
      <c r="AO936" s="13">
        <f t="shared" si="115"/>
        <v>0.43665573160746629</v>
      </c>
      <c r="AP936" s="16">
        <v>1100</v>
      </c>
      <c r="AQ936" s="16">
        <v>1375.7804392860039</v>
      </c>
      <c r="AR936" s="16">
        <f t="shared" si="116"/>
        <v>275.78043928600391</v>
      </c>
      <c r="AS936" s="17">
        <f t="shared" si="117"/>
        <v>0.25070949026000355</v>
      </c>
      <c r="AT936" s="20">
        <v>1100</v>
      </c>
      <c r="AU936" s="20">
        <v>1551.169311523438</v>
      </c>
      <c r="AV936" s="20">
        <f t="shared" si="118"/>
        <v>451.16931152343795</v>
      </c>
      <c r="AW936" s="21">
        <f t="shared" si="119"/>
        <v>0.41015391956676178</v>
      </c>
    </row>
    <row r="937" spans="1:49" x14ac:dyDescent="0.25">
      <c r="A937" t="s">
        <v>38</v>
      </c>
      <c r="B937" t="s">
        <v>110</v>
      </c>
      <c r="C937">
        <v>38683</v>
      </c>
      <c r="D937">
        <v>2022</v>
      </c>
      <c r="E937" t="s">
        <v>388</v>
      </c>
      <c r="F937" t="s">
        <v>829</v>
      </c>
      <c r="I937">
        <v>4</v>
      </c>
      <c r="J937" t="s">
        <v>61</v>
      </c>
      <c r="K937">
        <v>4</v>
      </c>
      <c r="L937" t="s">
        <v>44</v>
      </c>
      <c r="M937">
        <v>2</v>
      </c>
      <c r="N937" t="s">
        <v>45</v>
      </c>
      <c r="O937" t="s">
        <v>46</v>
      </c>
      <c r="P937">
        <v>3</v>
      </c>
      <c r="Q937" t="s">
        <v>62</v>
      </c>
      <c r="R937" t="s">
        <v>63</v>
      </c>
      <c r="S937" t="s">
        <v>49</v>
      </c>
      <c r="T937">
        <v>148</v>
      </c>
      <c r="U937" t="s">
        <v>50</v>
      </c>
      <c r="V937" t="s">
        <v>51</v>
      </c>
      <c r="W937" t="s">
        <v>438</v>
      </c>
      <c r="X937" t="s">
        <v>65</v>
      </c>
      <c r="Y937" t="s">
        <v>54</v>
      </c>
      <c r="AA937">
        <v>0</v>
      </c>
      <c r="AB937" t="s">
        <v>79</v>
      </c>
      <c r="AC937" t="s">
        <v>87</v>
      </c>
      <c r="AD937">
        <v>36</v>
      </c>
      <c r="AE937">
        <v>9</v>
      </c>
      <c r="AF937">
        <v>3</v>
      </c>
      <c r="AG937">
        <v>2025</v>
      </c>
      <c r="AH937" s="2">
        <v>13750</v>
      </c>
      <c r="AI937" s="2">
        <v>12953.49609375</v>
      </c>
      <c r="AJ937" s="2">
        <f t="shared" si="112"/>
        <v>796.50390625</v>
      </c>
      <c r="AK937" s="6">
        <f t="shared" si="113"/>
        <v>5.7927556818181819E-2</v>
      </c>
      <c r="AL937" s="12">
        <v>13750</v>
      </c>
      <c r="AM937" s="12">
        <v>13277.871523008171</v>
      </c>
      <c r="AN937" s="12">
        <f t="shared" si="114"/>
        <v>472.1284769918293</v>
      </c>
      <c r="AO937" s="13">
        <f t="shared" si="115"/>
        <v>3.4336616508496676E-2</v>
      </c>
      <c r="AP937" s="16">
        <v>13750</v>
      </c>
      <c r="AQ937" s="16">
        <v>11715.608390567701</v>
      </c>
      <c r="AR937" s="16">
        <f t="shared" si="116"/>
        <v>2034.3916094322994</v>
      </c>
      <c r="AS937" s="17">
        <f t="shared" si="117"/>
        <v>0.14795575341325815</v>
      </c>
      <c r="AT937" s="20">
        <v>13750</v>
      </c>
      <c r="AU937" s="20">
        <v>13046.7724609375</v>
      </c>
      <c r="AV937" s="20">
        <f t="shared" si="118"/>
        <v>703.2275390625</v>
      </c>
      <c r="AW937" s="21">
        <f t="shared" si="119"/>
        <v>5.114382102272727E-2</v>
      </c>
    </row>
    <row r="938" spans="1:49" x14ac:dyDescent="0.25">
      <c r="A938" t="s">
        <v>81</v>
      </c>
      <c r="B938" t="s">
        <v>82</v>
      </c>
      <c r="C938">
        <v>67911</v>
      </c>
      <c r="D938">
        <v>2019</v>
      </c>
      <c r="E938" t="s">
        <v>119</v>
      </c>
      <c r="F938" t="s">
        <v>120</v>
      </c>
      <c r="G938" t="s">
        <v>1125</v>
      </c>
      <c r="I938">
        <v>4</v>
      </c>
      <c r="J938" t="s">
        <v>135</v>
      </c>
      <c r="K938">
        <v>4</v>
      </c>
      <c r="L938" t="s">
        <v>44</v>
      </c>
      <c r="M938">
        <v>1.4</v>
      </c>
      <c r="N938" t="s">
        <v>45</v>
      </c>
      <c r="O938" t="s">
        <v>46</v>
      </c>
      <c r="Q938" t="s">
        <v>47</v>
      </c>
      <c r="R938" t="s">
        <v>123</v>
      </c>
      <c r="T938">
        <v>147</v>
      </c>
      <c r="U938" t="s">
        <v>50</v>
      </c>
      <c r="W938" t="s">
        <v>1126</v>
      </c>
      <c r="X938" t="s">
        <v>125</v>
      </c>
      <c r="Y938" t="s">
        <v>126</v>
      </c>
      <c r="Z938">
        <v>22395</v>
      </c>
      <c r="AA938">
        <v>0</v>
      </c>
      <c r="AB938" t="s">
        <v>79</v>
      </c>
      <c r="AC938" t="s">
        <v>127</v>
      </c>
      <c r="AD938">
        <v>36</v>
      </c>
      <c r="AE938">
        <v>9</v>
      </c>
      <c r="AF938">
        <v>3</v>
      </c>
      <c r="AG938">
        <v>2025</v>
      </c>
      <c r="AH938" s="2">
        <v>6800</v>
      </c>
      <c r="AI938" s="2">
        <v>5820.978515625</v>
      </c>
      <c r="AJ938" s="2">
        <f t="shared" si="112"/>
        <v>979.021484375</v>
      </c>
      <c r="AK938" s="6">
        <f t="shared" si="113"/>
        <v>0.14397374770220589</v>
      </c>
      <c r="AL938" s="12">
        <v>6800</v>
      </c>
      <c r="AM938" s="12">
        <v>6664.9008677958973</v>
      </c>
      <c r="AN938" s="12">
        <f t="shared" si="114"/>
        <v>135.09913220410272</v>
      </c>
      <c r="AO938" s="13">
        <f t="shared" si="115"/>
        <v>1.9867519441779811E-2</v>
      </c>
      <c r="AP938" s="16">
        <v>6800</v>
      </c>
      <c r="AQ938" s="16">
        <v>7386.8259703948306</v>
      </c>
      <c r="AR938" s="16">
        <f t="shared" si="116"/>
        <v>586.82597039483062</v>
      </c>
      <c r="AS938" s="17">
        <f t="shared" si="117"/>
        <v>8.6297936822769206E-2</v>
      </c>
      <c r="AT938" s="20">
        <v>6800</v>
      </c>
      <c r="AU938" s="20">
        <v>6053.11328125</v>
      </c>
      <c r="AV938" s="20">
        <f t="shared" si="118"/>
        <v>746.88671875</v>
      </c>
      <c r="AW938" s="21">
        <f t="shared" si="119"/>
        <v>0.10983628216911764</v>
      </c>
    </row>
    <row r="939" spans="1:49" x14ac:dyDescent="0.25">
      <c r="A939" t="s">
        <v>128</v>
      </c>
      <c r="B939" t="s">
        <v>129</v>
      </c>
      <c r="C939">
        <v>100931</v>
      </c>
      <c r="D939">
        <v>2016</v>
      </c>
      <c r="E939" t="s">
        <v>58</v>
      </c>
      <c r="F939" t="s">
        <v>111</v>
      </c>
      <c r="G939" t="s">
        <v>1127</v>
      </c>
      <c r="I939">
        <v>4</v>
      </c>
      <c r="J939" t="s">
        <v>72</v>
      </c>
      <c r="K939">
        <v>4</v>
      </c>
      <c r="L939" t="s">
        <v>44</v>
      </c>
      <c r="M939">
        <v>1.6</v>
      </c>
      <c r="N939" t="s">
        <v>45</v>
      </c>
      <c r="Q939" t="s">
        <v>62</v>
      </c>
      <c r="R939" t="s">
        <v>63</v>
      </c>
      <c r="U939" t="s">
        <v>50</v>
      </c>
      <c r="W939" t="s">
        <v>802</v>
      </c>
      <c r="X939" t="s">
        <v>53</v>
      </c>
      <c r="Y939" t="s">
        <v>66</v>
      </c>
      <c r="AA939">
        <v>0</v>
      </c>
      <c r="AB939" t="s">
        <v>79</v>
      </c>
      <c r="AC939" t="s">
        <v>87</v>
      </c>
      <c r="AD939">
        <v>36</v>
      </c>
      <c r="AE939">
        <v>9</v>
      </c>
      <c r="AF939">
        <v>3</v>
      </c>
      <c r="AG939">
        <v>2025</v>
      </c>
      <c r="AH939" s="2">
        <v>2500</v>
      </c>
      <c r="AI939" s="2">
        <v>3500.553955078125</v>
      </c>
      <c r="AJ939" s="2">
        <f t="shared" si="112"/>
        <v>1000.553955078125</v>
      </c>
      <c r="AK939" s="6">
        <f t="shared" si="113"/>
        <v>0.40022158203125002</v>
      </c>
      <c r="AL939" s="12">
        <v>2500</v>
      </c>
      <c r="AM939" s="12">
        <v>4463.9596089958886</v>
      </c>
      <c r="AN939" s="12">
        <f t="shared" si="114"/>
        <v>1963.9596089958886</v>
      </c>
      <c r="AO939" s="13">
        <f t="shared" si="115"/>
        <v>0.78558384359835542</v>
      </c>
      <c r="AP939" s="16">
        <v>2500</v>
      </c>
      <c r="AQ939" s="16">
        <v>3072.2381937016012</v>
      </c>
      <c r="AR939" s="16">
        <f t="shared" si="116"/>
        <v>572.23819370160118</v>
      </c>
      <c r="AS939" s="17">
        <f t="shared" si="117"/>
        <v>0.22889527748064048</v>
      </c>
      <c r="AT939" s="20">
        <v>2500</v>
      </c>
      <c r="AU939" s="20">
        <v>3585.334716796875</v>
      </c>
      <c r="AV939" s="20">
        <f t="shared" si="118"/>
        <v>1085.334716796875</v>
      </c>
      <c r="AW939" s="21">
        <f t="shared" si="119"/>
        <v>0.43413388671874997</v>
      </c>
    </row>
    <row r="940" spans="1:49" x14ac:dyDescent="0.25">
      <c r="A940" t="s">
        <v>128</v>
      </c>
      <c r="B940" t="s">
        <v>129</v>
      </c>
      <c r="C940">
        <v>193046</v>
      </c>
      <c r="D940">
        <v>2013</v>
      </c>
      <c r="E940" t="s">
        <v>97</v>
      </c>
      <c r="F940" t="s">
        <v>159</v>
      </c>
      <c r="G940" t="s">
        <v>380</v>
      </c>
      <c r="H940" t="s">
        <v>89</v>
      </c>
      <c r="I940">
        <v>8</v>
      </c>
      <c r="J940" t="s">
        <v>61</v>
      </c>
      <c r="K940">
        <v>4</v>
      </c>
      <c r="L940" t="s">
        <v>44</v>
      </c>
      <c r="M940">
        <v>5.3</v>
      </c>
      <c r="N940" t="s">
        <v>91</v>
      </c>
      <c r="O940" t="s">
        <v>46</v>
      </c>
      <c r="P940">
        <v>2</v>
      </c>
      <c r="Q940" t="s">
        <v>74</v>
      </c>
      <c r="R940" t="s">
        <v>92</v>
      </c>
      <c r="S940" t="s">
        <v>93</v>
      </c>
      <c r="U940" t="s">
        <v>180</v>
      </c>
      <c r="V940" t="s">
        <v>76</v>
      </c>
      <c r="W940" t="s">
        <v>708</v>
      </c>
      <c r="X940" t="s">
        <v>94</v>
      </c>
      <c r="Y940" t="s">
        <v>126</v>
      </c>
      <c r="AA940">
        <v>0</v>
      </c>
      <c r="AB940" t="s">
        <v>79</v>
      </c>
      <c r="AC940" t="s">
        <v>95</v>
      </c>
      <c r="AD940">
        <v>36</v>
      </c>
      <c r="AE940">
        <v>9</v>
      </c>
      <c r="AF940">
        <v>3</v>
      </c>
      <c r="AG940">
        <v>2025</v>
      </c>
      <c r="AH940" s="2">
        <v>4100</v>
      </c>
      <c r="AI940" s="2">
        <v>3254.9541015625</v>
      </c>
      <c r="AJ940" s="2">
        <f t="shared" si="112"/>
        <v>845.0458984375</v>
      </c>
      <c r="AK940" s="6">
        <f t="shared" si="113"/>
        <v>0.20610875571646342</v>
      </c>
      <c r="AL940" s="12">
        <v>4100</v>
      </c>
      <c r="AM940" s="12">
        <v>4628.7653759858949</v>
      </c>
      <c r="AN940" s="12">
        <f t="shared" si="114"/>
        <v>528.76537598589493</v>
      </c>
      <c r="AO940" s="13">
        <f t="shared" si="115"/>
        <v>0.12896716487460852</v>
      </c>
      <c r="AP940" s="16">
        <v>4100</v>
      </c>
      <c r="AQ940" s="16">
        <v>3982.322457649675</v>
      </c>
      <c r="AR940" s="16">
        <f t="shared" si="116"/>
        <v>117.67754235032498</v>
      </c>
      <c r="AS940" s="17">
        <f t="shared" si="117"/>
        <v>2.8701839597640239E-2</v>
      </c>
      <c r="AT940" s="20">
        <v>4100</v>
      </c>
      <c r="AU940" s="20">
        <v>3463.662841796875</v>
      </c>
      <c r="AV940" s="20">
        <f t="shared" si="118"/>
        <v>636.337158203125</v>
      </c>
      <c r="AW940" s="21">
        <f t="shared" si="119"/>
        <v>0.15520418492759147</v>
      </c>
    </row>
    <row r="941" spans="1:49" x14ac:dyDescent="0.25">
      <c r="A941" t="s">
        <v>38</v>
      </c>
      <c r="B941" t="s">
        <v>96</v>
      </c>
      <c r="C941">
        <v>27692</v>
      </c>
      <c r="D941">
        <v>2021</v>
      </c>
      <c r="E941" t="s">
        <v>719</v>
      </c>
      <c r="F941" t="s">
        <v>1128</v>
      </c>
      <c r="J941" t="s">
        <v>61</v>
      </c>
      <c r="K941">
        <v>4</v>
      </c>
      <c r="L941" t="s">
        <v>44</v>
      </c>
      <c r="N941" t="s">
        <v>73</v>
      </c>
      <c r="O941" t="s">
        <v>46</v>
      </c>
      <c r="P941">
        <v>4</v>
      </c>
      <c r="Q941" t="s">
        <v>47</v>
      </c>
      <c r="R941" t="s">
        <v>123</v>
      </c>
      <c r="U941" t="s">
        <v>601</v>
      </c>
      <c r="X941" t="s">
        <v>125</v>
      </c>
      <c r="Y941" t="s">
        <v>78</v>
      </c>
      <c r="AA941">
        <v>1</v>
      </c>
      <c r="AB941" t="s">
        <v>603</v>
      </c>
      <c r="AC941" t="s">
        <v>393</v>
      </c>
      <c r="AD941">
        <v>36</v>
      </c>
      <c r="AE941">
        <v>9</v>
      </c>
      <c r="AF941">
        <v>3</v>
      </c>
      <c r="AG941">
        <v>2025</v>
      </c>
      <c r="AH941" s="2">
        <v>21600</v>
      </c>
      <c r="AI941" s="2">
        <v>20792.548828125</v>
      </c>
      <c r="AJ941" s="2">
        <f t="shared" si="112"/>
        <v>807.451171875</v>
      </c>
      <c r="AK941" s="6">
        <f t="shared" si="113"/>
        <v>3.7381998697916669E-2</v>
      </c>
      <c r="AL941" s="12">
        <v>21600</v>
      </c>
      <c r="AM941" s="12">
        <v>22809.936023475639</v>
      </c>
      <c r="AN941" s="12">
        <f t="shared" si="114"/>
        <v>1209.9360234756386</v>
      </c>
      <c r="AO941" s="13">
        <f t="shared" si="115"/>
        <v>5.6015556642390676E-2</v>
      </c>
      <c r="AP941" s="16">
        <v>21600</v>
      </c>
      <c r="AQ941" s="16">
        <v>22019.55224662551</v>
      </c>
      <c r="AR941" s="16">
        <f t="shared" si="116"/>
        <v>419.55224662550972</v>
      </c>
      <c r="AS941" s="17">
        <f t="shared" si="117"/>
        <v>1.9423715121551378E-2</v>
      </c>
      <c r="AT941" s="20">
        <v>21600</v>
      </c>
      <c r="AU941" s="20">
        <v>21064.478515625</v>
      </c>
      <c r="AV941" s="20">
        <f t="shared" si="118"/>
        <v>535.521484375</v>
      </c>
      <c r="AW941" s="21">
        <f t="shared" si="119"/>
        <v>2.4792661313657406E-2</v>
      </c>
    </row>
    <row r="942" spans="1:49" x14ac:dyDescent="0.25">
      <c r="A942" t="s">
        <v>38</v>
      </c>
      <c r="B942" t="s">
        <v>39</v>
      </c>
      <c r="C942">
        <v>225465</v>
      </c>
      <c r="D942">
        <v>2014</v>
      </c>
      <c r="E942" t="s">
        <v>97</v>
      </c>
      <c r="F942" t="s">
        <v>379</v>
      </c>
      <c r="G942" t="s">
        <v>1043</v>
      </c>
      <c r="I942">
        <v>4</v>
      </c>
      <c r="J942" t="s">
        <v>135</v>
      </c>
      <c r="K942">
        <v>4</v>
      </c>
      <c r="L942" t="s">
        <v>44</v>
      </c>
      <c r="M942">
        <v>1.8</v>
      </c>
      <c r="N942" t="s">
        <v>45</v>
      </c>
      <c r="O942" t="s">
        <v>46</v>
      </c>
      <c r="Q942" t="s">
        <v>47</v>
      </c>
      <c r="R942" t="s">
        <v>123</v>
      </c>
      <c r="U942" t="s">
        <v>50</v>
      </c>
      <c r="W942" t="s">
        <v>1129</v>
      </c>
      <c r="X942" t="s">
        <v>125</v>
      </c>
      <c r="Y942" t="s">
        <v>78</v>
      </c>
      <c r="AA942">
        <v>0</v>
      </c>
      <c r="AB942" t="s">
        <v>79</v>
      </c>
      <c r="AC942" t="s">
        <v>127</v>
      </c>
      <c r="AD942">
        <v>36</v>
      </c>
      <c r="AE942">
        <v>9</v>
      </c>
      <c r="AF942">
        <v>3</v>
      </c>
      <c r="AG942">
        <v>2025</v>
      </c>
      <c r="AH942" s="2">
        <v>750</v>
      </c>
      <c r="AI942" s="2">
        <v>1218.660766601562</v>
      </c>
      <c r="AJ942" s="2">
        <f t="shared" si="112"/>
        <v>468.66076660156205</v>
      </c>
      <c r="AK942" s="6">
        <f t="shared" si="113"/>
        <v>0.62488102213541608</v>
      </c>
      <c r="AL942" s="12">
        <v>750</v>
      </c>
      <c r="AM942" s="12">
        <v>1310.949244659286</v>
      </c>
      <c r="AN942" s="12">
        <f t="shared" si="114"/>
        <v>560.94924465928602</v>
      </c>
      <c r="AO942" s="13">
        <f t="shared" si="115"/>
        <v>0.74793232621238137</v>
      </c>
      <c r="AP942" s="16">
        <v>750</v>
      </c>
      <c r="AQ942" s="16">
        <v>913.45038429911358</v>
      </c>
      <c r="AR942" s="16">
        <f t="shared" si="116"/>
        <v>163.45038429911358</v>
      </c>
      <c r="AS942" s="17">
        <f t="shared" si="117"/>
        <v>0.21793384573215144</v>
      </c>
      <c r="AT942" s="20">
        <v>750</v>
      </c>
      <c r="AU942" s="20">
        <v>1197.496704101562</v>
      </c>
      <c r="AV942" s="20">
        <f t="shared" si="118"/>
        <v>447.49670410156205</v>
      </c>
      <c r="AW942" s="21">
        <f t="shared" si="119"/>
        <v>0.59666227213541601</v>
      </c>
    </row>
    <row r="943" spans="1:49" x14ac:dyDescent="0.25">
      <c r="A943" t="s">
        <v>38</v>
      </c>
      <c r="B943" t="s">
        <v>110</v>
      </c>
      <c r="C943">
        <v>124125</v>
      </c>
      <c r="D943">
        <v>2016</v>
      </c>
      <c r="E943" t="s">
        <v>58</v>
      </c>
      <c r="F943" t="s">
        <v>295</v>
      </c>
      <c r="G943" t="s">
        <v>1130</v>
      </c>
      <c r="I943">
        <v>6</v>
      </c>
      <c r="J943" t="s">
        <v>61</v>
      </c>
      <c r="K943">
        <v>4</v>
      </c>
      <c r="L943" t="s">
        <v>44</v>
      </c>
      <c r="M943">
        <v>3.3</v>
      </c>
      <c r="N943" t="s">
        <v>45</v>
      </c>
      <c r="O943" t="s">
        <v>46</v>
      </c>
      <c r="P943">
        <v>3</v>
      </c>
      <c r="Q943" t="s">
        <v>62</v>
      </c>
      <c r="R943" t="s">
        <v>225</v>
      </c>
      <c r="U943" t="s">
        <v>50</v>
      </c>
      <c r="V943" t="s">
        <v>76</v>
      </c>
      <c r="W943" t="s">
        <v>1033</v>
      </c>
      <c r="X943" t="s">
        <v>94</v>
      </c>
      <c r="Y943" t="s">
        <v>66</v>
      </c>
      <c r="AA943">
        <v>0</v>
      </c>
      <c r="AB943" t="s">
        <v>79</v>
      </c>
      <c r="AC943" t="s">
        <v>225</v>
      </c>
      <c r="AD943">
        <v>36</v>
      </c>
      <c r="AE943">
        <v>9</v>
      </c>
      <c r="AF943">
        <v>3</v>
      </c>
      <c r="AG943">
        <v>2025</v>
      </c>
      <c r="AH943" s="2">
        <v>1400</v>
      </c>
      <c r="AI943" s="2">
        <v>4162.37646484375</v>
      </c>
      <c r="AJ943" s="2">
        <f t="shared" si="112"/>
        <v>2762.37646484375</v>
      </c>
      <c r="AK943" s="6">
        <f t="shared" si="113"/>
        <v>1.9731260463169642</v>
      </c>
      <c r="AL943" s="12">
        <v>1400</v>
      </c>
      <c r="AM943" s="12">
        <v>3903.8056443357441</v>
      </c>
      <c r="AN943" s="12">
        <f t="shared" si="114"/>
        <v>2503.8056443357441</v>
      </c>
      <c r="AO943" s="13">
        <f t="shared" si="115"/>
        <v>1.7884326030969602</v>
      </c>
      <c r="AP943" s="16">
        <v>1400</v>
      </c>
      <c r="AQ943" s="16">
        <v>2646.660950885795</v>
      </c>
      <c r="AR943" s="16">
        <f t="shared" si="116"/>
        <v>1246.660950885795</v>
      </c>
      <c r="AS943" s="17">
        <f t="shared" si="117"/>
        <v>0.89047210777556784</v>
      </c>
      <c r="AT943" s="20">
        <v>1400</v>
      </c>
      <c r="AU943" s="20">
        <v>4220.9404296875</v>
      </c>
      <c r="AV943" s="20">
        <f t="shared" si="118"/>
        <v>2820.9404296875</v>
      </c>
      <c r="AW943" s="21">
        <f t="shared" si="119"/>
        <v>2.0149574497767859</v>
      </c>
    </row>
    <row r="944" spans="1:49" x14ac:dyDescent="0.25">
      <c r="A944" t="s">
        <v>128</v>
      </c>
      <c r="B944" t="s">
        <v>129</v>
      </c>
      <c r="C944">
        <v>124767</v>
      </c>
      <c r="D944">
        <v>2008</v>
      </c>
      <c r="E944" t="s">
        <v>213</v>
      </c>
      <c r="F944" t="s">
        <v>1131</v>
      </c>
      <c r="I944">
        <v>6</v>
      </c>
      <c r="J944" t="s">
        <v>43</v>
      </c>
      <c r="K944">
        <v>4</v>
      </c>
      <c r="L944" t="s">
        <v>44</v>
      </c>
      <c r="M944">
        <v>3.5</v>
      </c>
      <c r="N944" t="s">
        <v>73</v>
      </c>
      <c r="Q944" t="s">
        <v>47</v>
      </c>
      <c r="R944" t="s">
        <v>757</v>
      </c>
      <c r="S944" t="s">
        <v>49</v>
      </c>
      <c r="U944" t="s">
        <v>50</v>
      </c>
      <c r="X944" t="s">
        <v>125</v>
      </c>
      <c r="Y944" t="s">
        <v>54</v>
      </c>
      <c r="AA944">
        <v>0</v>
      </c>
      <c r="AB944" t="s">
        <v>79</v>
      </c>
      <c r="AC944" t="s">
        <v>757</v>
      </c>
      <c r="AD944">
        <v>36</v>
      </c>
      <c r="AE944">
        <v>9</v>
      </c>
      <c r="AF944">
        <v>3</v>
      </c>
      <c r="AG944">
        <v>2025</v>
      </c>
      <c r="AH944" s="2">
        <v>700</v>
      </c>
      <c r="AI944" s="2">
        <v>2070.326171875</v>
      </c>
      <c r="AJ944" s="2">
        <f t="shared" si="112"/>
        <v>1370.326171875</v>
      </c>
      <c r="AK944" s="6">
        <f t="shared" si="113"/>
        <v>1.9576088169642858</v>
      </c>
      <c r="AL944" s="12">
        <v>700</v>
      </c>
      <c r="AM944" s="12">
        <v>2321.3419963128272</v>
      </c>
      <c r="AN944" s="12">
        <f t="shared" si="114"/>
        <v>1621.3419963128272</v>
      </c>
      <c r="AO944" s="13">
        <f t="shared" si="115"/>
        <v>2.3162028518754676</v>
      </c>
      <c r="AP944" s="16">
        <v>700</v>
      </c>
      <c r="AQ944" s="16">
        <v>2257.0367533937301</v>
      </c>
      <c r="AR944" s="16">
        <f t="shared" si="116"/>
        <v>1557.0367533937301</v>
      </c>
      <c r="AS944" s="17">
        <f t="shared" si="117"/>
        <v>2.2243382191339003</v>
      </c>
      <c r="AT944" s="20">
        <v>700</v>
      </c>
      <c r="AU944" s="20">
        <v>2077.38232421875</v>
      </c>
      <c r="AV944" s="20">
        <f t="shared" si="118"/>
        <v>1377.38232421875</v>
      </c>
      <c r="AW944" s="21">
        <f t="shared" si="119"/>
        <v>1.9676890345982143</v>
      </c>
    </row>
    <row r="945" spans="1:49" x14ac:dyDescent="0.25">
      <c r="A945" t="s">
        <v>38</v>
      </c>
      <c r="B945" t="s">
        <v>39</v>
      </c>
      <c r="C945">
        <v>118513</v>
      </c>
      <c r="D945">
        <v>2008</v>
      </c>
      <c r="E945" t="s">
        <v>58</v>
      </c>
      <c r="F945" t="s">
        <v>1040</v>
      </c>
      <c r="G945" t="s">
        <v>1041</v>
      </c>
      <c r="I945">
        <v>4</v>
      </c>
      <c r="J945" t="s">
        <v>122</v>
      </c>
      <c r="K945">
        <v>4</v>
      </c>
      <c r="L945" t="s">
        <v>358</v>
      </c>
      <c r="M945">
        <v>1.6</v>
      </c>
      <c r="N945" t="s">
        <v>45</v>
      </c>
      <c r="Q945" t="s">
        <v>47</v>
      </c>
      <c r="R945" t="s">
        <v>123</v>
      </c>
      <c r="S945" t="s">
        <v>101</v>
      </c>
      <c r="T945">
        <v>110</v>
      </c>
      <c r="U945" t="s">
        <v>50</v>
      </c>
      <c r="V945" t="s">
        <v>51</v>
      </c>
      <c r="X945" t="s">
        <v>125</v>
      </c>
      <c r="Y945" t="s">
        <v>66</v>
      </c>
      <c r="AA945">
        <v>0</v>
      </c>
      <c r="AB945" t="s">
        <v>79</v>
      </c>
      <c r="AC945" t="s">
        <v>127</v>
      </c>
      <c r="AD945">
        <v>36</v>
      </c>
      <c r="AE945">
        <v>9</v>
      </c>
      <c r="AF945">
        <v>3</v>
      </c>
      <c r="AG945">
        <v>2025</v>
      </c>
      <c r="AH945" s="2">
        <v>1200</v>
      </c>
      <c r="AI945" s="2">
        <v>1053.1044921875</v>
      </c>
      <c r="AJ945" s="2">
        <f t="shared" si="112"/>
        <v>146.8955078125</v>
      </c>
      <c r="AK945" s="6">
        <f t="shared" si="113"/>
        <v>0.12241292317708333</v>
      </c>
      <c r="AL945" s="12">
        <v>1200</v>
      </c>
      <c r="AM945" s="12">
        <v>1101.464042815667</v>
      </c>
      <c r="AN945" s="12">
        <f t="shared" si="114"/>
        <v>98.535957184333029</v>
      </c>
      <c r="AO945" s="13">
        <f t="shared" si="115"/>
        <v>8.2113297653610862E-2</v>
      </c>
      <c r="AP945" s="16">
        <v>1200</v>
      </c>
      <c r="AQ945" s="16">
        <v>1018.357579310255</v>
      </c>
      <c r="AR945" s="16">
        <f t="shared" si="116"/>
        <v>181.64242068974499</v>
      </c>
      <c r="AS945" s="17">
        <f t="shared" si="117"/>
        <v>0.15136868390812083</v>
      </c>
      <c r="AT945" s="20">
        <v>1200</v>
      </c>
      <c r="AU945" s="20">
        <v>1027.039672851562</v>
      </c>
      <c r="AV945" s="20">
        <f t="shared" si="118"/>
        <v>172.96032714843795</v>
      </c>
      <c r="AW945" s="21">
        <f t="shared" si="119"/>
        <v>0.14413360595703162</v>
      </c>
    </row>
    <row r="946" spans="1:49" x14ac:dyDescent="0.25">
      <c r="A946" t="s">
        <v>38</v>
      </c>
      <c r="B946" t="s">
        <v>96</v>
      </c>
      <c r="C946">
        <v>111587</v>
      </c>
      <c r="D946">
        <v>2023</v>
      </c>
      <c r="E946" t="s">
        <v>97</v>
      </c>
      <c r="F946" t="s">
        <v>470</v>
      </c>
      <c r="G946" t="s">
        <v>513</v>
      </c>
      <c r="I946">
        <v>4</v>
      </c>
      <c r="J946" t="s">
        <v>135</v>
      </c>
      <c r="K946">
        <v>4</v>
      </c>
      <c r="L946" t="s">
        <v>44</v>
      </c>
      <c r="M946">
        <v>1.5</v>
      </c>
      <c r="N946" t="s">
        <v>45</v>
      </c>
      <c r="O946" t="s">
        <v>46</v>
      </c>
      <c r="P946">
        <v>2</v>
      </c>
      <c r="Q946" t="s">
        <v>47</v>
      </c>
      <c r="R946" t="s">
        <v>123</v>
      </c>
      <c r="U946" t="s">
        <v>50</v>
      </c>
      <c r="V946" t="s">
        <v>51</v>
      </c>
      <c r="W946" t="s">
        <v>751</v>
      </c>
      <c r="X946" t="s">
        <v>125</v>
      </c>
      <c r="Y946" t="s">
        <v>78</v>
      </c>
      <c r="AA946">
        <v>0</v>
      </c>
      <c r="AB946" t="s">
        <v>79</v>
      </c>
      <c r="AC946" t="s">
        <v>127</v>
      </c>
      <c r="AD946">
        <v>36</v>
      </c>
      <c r="AE946">
        <v>9</v>
      </c>
      <c r="AF946">
        <v>3</v>
      </c>
      <c r="AG946">
        <v>2025</v>
      </c>
      <c r="AH946" s="2">
        <v>8500</v>
      </c>
      <c r="AI946" s="2">
        <v>9942.6650390625</v>
      </c>
      <c r="AJ946" s="2">
        <f t="shared" si="112"/>
        <v>1442.6650390625</v>
      </c>
      <c r="AK946" s="6">
        <f t="shared" si="113"/>
        <v>0.1697252987132353</v>
      </c>
      <c r="AL946" s="12">
        <v>8500</v>
      </c>
      <c r="AM946" s="12">
        <v>9031.4407365795105</v>
      </c>
      <c r="AN946" s="12">
        <f t="shared" si="114"/>
        <v>531.44073657951049</v>
      </c>
      <c r="AO946" s="13">
        <f t="shared" si="115"/>
        <v>6.2522439597589463E-2</v>
      </c>
      <c r="AP946" s="16">
        <v>8500</v>
      </c>
      <c r="AQ946" s="16">
        <v>8244.5849175374497</v>
      </c>
      <c r="AR946" s="16">
        <f t="shared" si="116"/>
        <v>255.41508246255034</v>
      </c>
      <c r="AS946" s="17">
        <f t="shared" si="117"/>
        <v>3.0048833230888274E-2</v>
      </c>
      <c r="AT946" s="20">
        <v>8500</v>
      </c>
      <c r="AU946" s="20">
        <v>9867.5693359375</v>
      </c>
      <c r="AV946" s="20">
        <f t="shared" si="118"/>
        <v>1367.5693359375</v>
      </c>
      <c r="AW946" s="21">
        <f t="shared" si="119"/>
        <v>0.16089051011029412</v>
      </c>
    </row>
    <row r="947" spans="1:49" x14ac:dyDescent="0.25">
      <c r="A947" t="s">
        <v>38</v>
      </c>
      <c r="B947" t="s">
        <v>96</v>
      </c>
      <c r="C947">
        <v>133461</v>
      </c>
      <c r="D947">
        <v>2013</v>
      </c>
      <c r="E947" t="s">
        <v>40</v>
      </c>
      <c r="F947" t="s">
        <v>201</v>
      </c>
      <c r="H947" t="s">
        <v>496</v>
      </c>
      <c r="I947">
        <v>4</v>
      </c>
      <c r="J947" t="s">
        <v>135</v>
      </c>
      <c r="K947">
        <v>4</v>
      </c>
      <c r="L947" t="s">
        <v>44</v>
      </c>
      <c r="M947">
        <v>1.8</v>
      </c>
      <c r="N947" t="s">
        <v>45</v>
      </c>
      <c r="O947" t="s">
        <v>46</v>
      </c>
      <c r="Q947" t="s">
        <v>47</v>
      </c>
      <c r="R947" t="s">
        <v>123</v>
      </c>
      <c r="S947" t="s">
        <v>49</v>
      </c>
      <c r="T947">
        <v>132</v>
      </c>
      <c r="U947" t="s">
        <v>50</v>
      </c>
      <c r="V947" t="s">
        <v>51</v>
      </c>
      <c r="W947" t="s">
        <v>204</v>
      </c>
      <c r="X947" t="s">
        <v>125</v>
      </c>
      <c r="Y947" t="s">
        <v>78</v>
      </c>
      <c r="AA947">
        <v>0</v>
      </c>
      <c r="AB947" t="s">
        <v>79</v>
      </c>
      <c r="AC947" t="s">
        <v>127</v>
      </c>
      <c r="AD947">
        <v>36</v>
      </c>
      <c r="AE947">
        <v>9</v>
      </c>
      <c r="AF947">
        <v>3</v>
      </c>
      <c r="AG947">
        <v>2025</v>
      </c>
      <c r="AH947" s="2">
        <v>8750</v>
      </c>
      <c r="AI947" s="2">
        <v>3747.566650390625</v>
      </c>
      <c r="AJ947" s="2">
        <f t="shared" si="112"/>
        <v>5002.433349609375</v>
      </c>
      <c r="AK947" s="6">
        <f t="shared" si="113"/>
        <v>0.57170666852678576</v>
      </c>
      <c r="AL947" s="12">
        <v>8750</v>
      </c>
      <c r="AM947" s="12">
        <v>3649.777882310098</v>
      </c>
      <c r="AN947" s="12">
        <f t="shared" si="114"/>
        <v>5100.222117689902</v>
      </c>
      <c r="AO947" s="13">
        <f t="shared" si="115"/>
        <v>0.58288252773598881</v>
      </c>
      <c r="AP947" s="16">
        <v>8750</v>
      </c>
      <c r="AQ947" s="16">
        <v>3173.1486134902771</v>
      </c>
      <c r="AR947" s="16">
        <f t="shared" si="116"/>
        <v>5576.8513865097229</v>
      </c>
      <c r="AS947" s="17">
        <f t="shared" si="117"/>
        <v>0.63735444417253972</v>
      </c>
      <c r="AT947" s="20">
        <v>8750</v>
      </c>
      <c r="AU947" s="20">
        <v>3786.281494140625</v>
      </c>
      <c r="AV947" s="20">
        <f t="shared" si="118"/>
        <v>4963.718505859375</v>
      </c>
      <c r="AW947" s="21">
        <f t="shared" si="119"/>
        <v>0.56728211495535719</v>
      </c>
    </row>
    <row r="948" spans="1:49" x14ac:dyDescent="0.25">
      <c r="A948" t="s">
        <v>38</v>
      </c>
      <c r="B948" t="s">
        <v>96</v>
      </c>
      <c r="C948">
        <v>120427</v>
      </c>
      <c r="D948">
        <v>2018</v>
      </c>
      <c r="E948" t="s">
        <v>97</v>
      </c>
      <c r="F948" t="s">
        <v>419</v>
      </c>
      <c r="G948" t="s">
        <v>155</v>
      </c>
      <c r="I948">
        <v>8</v>
      </c>
      <c r="J948" t="s">
        <v>135</v>
      </c>
      <c r="K948">
        <v>4</v>
      </c>
      <c r="L948" t="s">
        <v>44</v>
      </c>
      <c r="M948">
        <v>5.3</v>
      </c>
      <c r="N948" t="s">
        <v>73</v>
      </c>
      <c r="O948" t="s">
        <v>46</v>
      </c>
      <c r="Q948" t="s">
        <v>62</v>
      </c>
      <c r="R948" t="s">
        <v>63</v>
      </c>
      <c r="S948" t="s">
        <v>49</v>
      </c>
      <c r="U948" t="s">
        <v>50</v>
      </c>
      <c r="W948" t="s">
        <v>1016</v>
      </c>
      <c r="X948" t="s">
        <v>108</v>
      </c>
      <c r="Y948" t="s">
        <v>78</v>
      </c>
      <c r="Z948">
        <v>52600</v>
      </c>
      <c r="AA948">
        <v>0</v>
      </c>
      <c r="AB948" t="s">
        <v>79</v>
      </c>
      <c r="AC948" t="s">
        <v>109</v>
      </c>
      <c r="AD948">
        <v>36</v>
      </c>
      <c r="AE948">
        <v>9</v>
      </c>
      <c r="AF948">
        <v>3</v>
      </c>
      <c r="AG948">
        <v>2025</v>
      </c>
      <c r="AH948" s="2">
        <v>17000</v>
      </c>
      <c r="AI948" s="2">
        <v>20644.076171875</v>
      </c>
      <c r="AJ948" s="2">
        <f t="shared" si="112"/>
        <v>3644.076171875</v>
      </c>
      <c r="AK948" s="6">
        <f t="shared" si="113"/>
        <v>0.21435742187500001</v>
      </c>
      <c r="AL948" s="12">
        <v>17000</v>
      </c>
      <c r="AM948" s="12">
        <v>18505.798130222141</v>
      </c>
      <c r="AN948" s="12">
        <f t="shared" si="114"/>
        <v>1505.7981302221415</v>
      </c>
      <c r="AO948" s="13">
        <f t="shared" si="115"/>
        <v>8.8576360601302445E-2</v>
      </c>
      <c r="AP948" s="16">
        <v>17000</v>
      </c>
      <c r="AQ948" s="16">
        <v>16377.66381817862</v>
      </c>
      <c r="AR948" s="16">
        <f t="shared" si="116"/>
        <v>622.3361818213798</v>
      </c>
      <c r="AS948" s="17">
        <f t="shared" si="117"/>
        <v>3.6608010695375282E-2</v>
      </c>
      <c r="AT948" s="20">
        <v>17000</v>
      </c>
      <c r="AU948" s="20">
        <v>19958.63671875</v>
      </c>
      <c r="AV948" s="20">
        <f t="shared" si="118"/>
        <v>2958.63671875</v>
      </c>
      <c r="AW948" s="21">
        <f t="shared" si="119"/>
        <v>0.17403745404411763</v>
      </c>
    </row>
    <row r="949" spans="1:49" x14ac:dyDescent="0.25">
      <c r="A949" t="s">
        <v>128</v>
      </c>
      <c r="B949" t="s">
        <v>129</v>
      </c>
      <c r="C949">
        <v>79373</v>
      </c>
      <c r="D949">
        <v>2021</v>
      </c>
      <c r="E949" t="s">
        <v>97</v>
      </c>
      <c r="F949" t="s">
        <v>159</v>
      </c>
      <c r="G949" t="s">
        <v>579</v>
      </c>
      <c r="H949" t="s">
        <v>312</v>
      </c>
      <c r="I949">
        <v>8</v>
      </c>
      <c r="J949" t="s">
        <v>61</v>
      </c>
      <c r="K949">
        <v>4</v>
      </c>
      <c r="L949" t="s">
        <v>44</v>
      </c>
      <c r="M949">
        <v>6.6</v>
      </c>
      <c r="N949" t="s">
        <v>91</v>
      </c>
      <c r="O949" t="s">
        <v>46</v>
      </c>
      <c r="Q949" t="s">
        <v>74</v>
      </c>
      <c r="R949" t="s">
        <v>92</v>
      </c>
      <c r="S949" t="s">
        <v>93</v>
      </c>
      <c r="U949" t="s">
        <v>229</v>
      </c>
      <c r="V949" t="s">
        <v>76</v>
      </c>
      <c r="W949" t="s">
        <v>957</v>
      </c>
      <c r="X949" t="s">
        <v>260</v>
      </c>
      <c r="Y949" t="s">
        <v>78</v>
      </c>
      <c r="AA949">
        <v>0</v>
      </c>
      <c r="AB949" t="s">
        <v>79</v>
      </c>
      <c r="AC949" t="s">
        <v>261</v>
      </c>
      <c r="AD949">
        <v>36</v>
      </c>
      <c r="AE949">
        <v>9</v>
      </c>
      <c r="AF949">
        <v>3</v>
      </c>
      <c r="AG949">
        <v>2025</v>
      </c>
      <c r="AH949" s="2">
        <v>35000</v>
      </c>
      <c r="AI949" s="2">
        <v>49389.5390625</v>
      </c>
      <c r="AJ949" s="2">
        <f t="shared" si="112"/>
        <v>14389.5390625</v>
      </c>
      <c r="AK949" s="6">
        <f t="shared" si="113"/>
        <v>0.41112968750000001</v>
      </c>
      <c r="AL949" s="12">
        <v>35000</v>
      </c>
      <c r="AM949" s="12">
        <v>43203.869682033037</v>
      </c>
      <c r="AN949" s="12">
        <f t="shared" si="114"/>
        <v>8203.869682033037</v>
      </c>
      <c r="AO949" s="13">
        <f t="shared" si="115"/>
        <v>0.23439627662951534</v>
      </c>
      <c r="AP949" s="16">
        <v>35000</v>
      </c>
      <c r="AQ949" s="16">
        <v>47880.263075766743</v>
      </c>
      <c r="AR949" s="16">
        <f t="shared" si="116"/>
        <v>12880.263075766743</v>
      </c>
      <c r="AS949" s="17">
        <f t="shared" si="117"/>
        <v>0.36800751645047836</v>
      </c>
      <c r="AT949" s="20">
        <v>35000</v>
      </c>
      <c r="AU949" s="20">
        <v>48158.16015625</v>
      </c>
      <c r="AV949" s="20">
        <f t="shared" si="118"/>
        <v>13158.16015625</v>
      </c>
      <c r="AW949" s="21">
        <f t="shared" si="119"/>
        <v>0.37594743303571426</v>
      </c>
    </row>
    <row r="950" spans="1:49" x14ac:dyDescent="0.25">
      <c r="A950" t="s">
        <v>38</v>
      </c>
      <c r="B950" t="s">
        <v>96</v>
      </c>
      <c r="C950">
        <v>161695</v>
      </c>
      <c r="D950">
        <v>2014</v>
      </c>
      <c r="E950" t="s">
        <v>146</v>
      </c>
      <c r="F950" t="s">
        <v>1132</v>
      </c>
      <c r="I950">
        <v>4</v>
      </c>
      <c r="J950" t="s">
        <v>135</v>
      </c>
      <c r="K950">
        <v>4</v>
      </c>
      <c r="L950" t="s">
        <v>44</v>
      </c>
      <c r="M950">
        <v>2.5</v>
      </c>
      <c r="N950" t="s">
        <v>45</v>
      </c>
      <c r="O950" t="s">
        <v>46</v>
      </c>
      <c r="Q950" t="s">
        <v>62</v>
      </c>
      <c r="R950" t="s">
        <v>148</v>
      </c>
      <c r="S950" t="s">
        <v>49</v>
      </c>
      <c r="U950" t="s">
        <v>50</v>
      </c>
      <c r="X950" t="s">
        <v>65</v>
      </c>
      <c r="Y950" t="s">
        <v>54</v>
      </c>
      <c r="AA950">
        <v>0</v>
      </c>
      <c r="AB950" t="s">
        <v>79</v>
      </c>
      <c r="AC950" t="s">
        <v>87</v>
      </c>
      <c r="AD950">
        <v>36</v>
      </c>
      <c r="AE950">
        <v>9</v>
      </c>
      <c r="AF950">
        <v>3</v>
      </c>
      <c r="AG950">
        <v>2025</v>
      </c>
      <c r="AH950" s="2">
        <v>1000</v>
      </c>
      <c r="AI950" s="2">
        <v>1646.082275390625</v>
      </c>
      <c r="AJ950" s="2">
        <f t="shared" si="112"/>
        <v>646.082275390625</v>
      </c>
      <c r="AK950" s="6">
        <f t="shared" si="113"/>
        <v>0.64608227539062502</v>
      </c>
      <c r="AL950" s="12">
        <v>1000</v>
      </c>
      <c r="AM950" s="12">
        <v>2079.677516461471</v>
      </c>
      <c r="AN950" s="12">
        <f t="shared" si="114"/>
        <v>1079.677516461471</v>
      </c>
      <c r="AO950" s="13">
        <f t="shared" si="115"/>
        <v>1.0796775164614709</v>
      </c>
      <c r="AP950" s="16">
        <v>1000</v>
      </c>
      <c r="AQ950" s="16">
        <v>1553.0911150916691</v>
      </c>
      <c r="AR950" s="16">
        <f t="shared" si="116"/>
        <v>553.09111509166905</v>
      </c>
      <c r="AS950" s="17">
        <f t="shared" si="117"/>
        <v>0.55309111509166908</v>
      </c>
      <c r="AT950" s="20">
        <v>1000</v>
      </c>
      <c r="AU950" s="20">
        <v>1670.147216796875</v>
      </c>
      <c r="AV950" s="20">
        <f t="shared" si="118"/>
        <v>670.147216796875</v>
      </c>
      <c r="AW950" s="21">
        <f t="shared" si="119"/>
        <v>0.67014721679687494</v>
      </c>
    </row>
    <row r="951" spans="1:49" x14ac:dyDescent="0.25">
      <c r="A951" t="s">
        <v>114</v>
      </c>
      <c r="B951" t="s">
        <v>340</v>
      </c>
      <c r="C951">
        <v>204948</v>
      </c>
      <c r="D951">
        <v>2013</v>
      </c>
      <c r="E951" t="s">
        <v>40</v>
      </c>
      <c r="F951" t="s">
        <v>182</v>
      </c>
      <c r="H951" t="s">
        <v>949</v>
      </c>
      <c r="I951">
        <v>6</v>
      </c>
      <c r="J951" t="s">
        <v>72</v>
      </c>
      <c r="K951">
        <v>4</v>
      </c>
      <c r="L951" t="s">
        <v>44</v>
      </c>
      <c r="M951">
        <v>4</v>
      </c>
      <c r="N951" t="s">
        <v>91</v>
      </c>
      <c r="O951" t="s">
        <v>46</v>
      </c>
      <c r="P951">
        <v>3</v>
      </c>
      <c r="Q951" t="s">
        <v>62</v>
      </c>
      <c r="R951" t="s">
        <v>63</v>
      </c>
      <c r="S951" t="s">
        <v>93</v>
      </c>
      <c r="T951">
        <v>270</v>
      </c>
      <c r="U951" t="s">
        <v>50</v>
      </c>
      <c r="V951" t="s">
        <v>76</v>
      </c>
      <c r="W951" t="s">
        <v>185</v>
      </c>
      <c r="X951" t="s">
        <v>94</v>
      </c>
      <c r="Y951" t="s">
        <v>54</v>
      </c>
      <c r="AA951">
        <v>0</v>
      </c>
      <c r="AB951" t="s">
        <v>79</v>
      </c>
      <c r="AC951" t="s">
        <v>87</v>
      </c>
      <c r="AD951">
        <v>36</v>
      </c>
      <c r="AE951">
        <v>9</v>
      </c>
      <c r="AF951">
        <v>3</v>
      </c>
      <c r="AG951">
        <v>2025</v>
      </c>
      <c r="AH951" s="2">
        <v>9000</v>
      </c>
      <c r="AI951" s="2">
        <v>7282.048828125</v>
      </c>
      <c r="AJ951" s="2">
        <f t="shared" si="112"/>
        <v>1717.951171875</v>
      </c>
      <c r="AK951" s="6">
        <f t="shared" si="113"/>
        <v>0.19088346354166666</v>
      </c>
      <c r="AL951" s="12">
        <v>9000</v>
      </c>
      <c r="AM951" s="12">
        <v>5307.5572165470276</v>
      </c>
      <c r="AN951" s="12">
        <f t="shared" si="114"/>
        <v>3692.4427834529724</v>
      </c>
      <c r="AO951" s="13">
        <f t="shared" si="115"/>
        <v>0.4102714203836636</v>
      </c>
      <c r="AP951" s="16">
        <v>9000</v>
      </c>
      <c r="AQ951" s="16">
        <v>4177.1953057439241</v>
      </c>
      <c r="AR951" s="16">
        <f t="shared" si="116"/>
        <v>4822.8046942560759</v>
      </c>
      <c r="AS951" s="17">
        <f t="shared" si="117"/>
        <v>0.53586718825067514</v>
      </c>
      <c r="AT951" s="20">
        <v>9000</v>
      </c>
      <c r="AU951" s="20">
        <v>7098.2568359375</v>
      </c>
      <c r="AV951" s="20">
        <f t="shared" si="118"/>
        <v>1901.7431640625</v>
      </c>
      <c r="AW951" s="21">
        <f t="shared" si="119"/>
        <v>0.21130479600694443</v>
      </c>
    </row>
    <row r="952" spans="1:49" x14ac:dyDescent="0.25">
      <c r="A952" t="s">
        <v>38</v>
      </c>
      <c r="B952" t="s">
        <v>96</v>
      </c>
      <c r="C952">
        <v>70568</v>
      </c>
      <c r="D952">
        <v>2020</v>
      </c>
      <c r="E952" t="s">
        <v>69</v>
      </c>
      <c r="F952" t="s">
        <v>231</v>
      </c>
      <c r="I952">
        <v>6</v>
      </c>
      <c r="J952" t="s">
        <v>43</v>
      </c>
      <c r="K952">
        <v>4</v>
      </c>
      <c r="L952" t="s">
        <v>44</v>
      </c>
      <c r="M952">
        <v>3.3</v>
      </c>
      <c r="N952" t="s">
        <v>73</v>
      </c>
      <c r="O952" t="s">
        <v>46</v>
      </c>
      <c r="P952">
        <v>2</v>
      </c>
      <c r="Q952" t="s">
        <v>74</v>
      </c>
      <c r="R952" t="s">
        <v>92</v>
      </c>
      <c r="S952" t="s">
        <v>49</v>
      </c>
      <c r="T952">
        <v>290</v>
      </c>
      <c r="U952" t="s">
        <v>50</v>
      </c>
      <c r="V952" t="s">
        <v>76</v>
      </c>
      <c r="W952" t="s">
        <v>864</v>
      </c>
      <c r="X952" t="s">
        <v>94</v>
      </c>
      <c r="Y952" t="s">
        <v>78</v>
      </c>
      <c r="AA952">
        <v>0</v>
      </c>
      <c r="AB952" t="s">
        <v>79</v>
      </c>
      <c r="AC952" t="s">
        <v>95</v>
      </c>
      <c r="AD952">
        <v>36</v>
      </c>
      <c r="AE952">
        <v>9</v>
      </c>
      <c r="AF952">
        <v>3</v>
      </c>
      <c r="AG952">
        <v>2025</v>
      </c>
      <c r="AH952" s="2">
        <v>17750</v>
      </c>
      <c r="AI952" s="2">
        <v>13731.36328125</v>
      </c>
      <c r="AJ952" s="2">
        <f t="shared" si="112"/>
        <v>4018.63671875</v>
      </c>
      <c r="AK952" s="6">
        <f t="shared" si="113"/>
        <v>0.22640206866197182</v>
      </c>
      <c r="AL952" s="12">
        <v>17750</v>
      </c>
      <c r="AM952" s="12">
        <v>15401.161003573259</v>
      </c>
      <c r="AN952" s="12">
        <f t="shared" si="114"/>
        <v>2348.8389964267408</v>
      </c>
      <c r="AO952" s="13">
        <f t="shared" si="115"/>
        <v>0.13232895754516849</v>
      </c>
      <c r="AP952" s="16">
        <v>17750</v>
      </c>
      <c r="AQ952" s="16">
        <v>15130.431538776829</v>
      </c>
      <c r="AR952" s="16">
        <f t="shared" si="116"/>
        <v>2619.5684612231707</v>
      </c>
      <c r="AS952" s="17">
        <f t="shared" si="117"/>
        <v>0.14758132175905186</v>
      </c>
      <c r="AT952" s="20">
        <v>17750</v>
      </c>
      <c r="AU952" s="20">
        <v>13991.3837890625</v>
      </c>
      <c r="AV952" s="20">
        <f t="shared" si="118"/>
        <v>3758.6162109375</v>
      </c>
      <c r="AW952" s="21">
        <f t="shared" si="119"/>
        <v>0.21175302596830986</v>
      </c>
    </row>
    <row r="953" spans="1:49" x14ac:dyDescent="0.25">
      <c r="A953" t="s">
        <v>38</v>
      </c>
      <c r="B953" t="s">
        <v>68</v>
      </c>
      <c r="C953">
        <v>165483</v>
      </c>
      <c r="D953">
        <v>2016</v>
      </c>
      <c r="E953" t="s">
        <v>40</v>
      </c>
      <c r="F953" t="s">
        <v>149</v>
      </c>
      <c r="G953" t="s">
        <v>1133</v>
      </c>
      <c r="H953" t="s">
        <v>151</v>
      </c>
      <c r="I953">
        <v>6</v>
      </c>
      <c r="J953" t="s">
        <v>253</v>
      </c>
      <c r="K953">
        <v>4</v>
      </c>
      <c r="L953" t="s">
        <v>44</v>
      </c>
      <c r="M953">
        <v>3.5</v>
      </c>
      <c r="N953" t="s">
        <v>73</v>
      </c>
      <c r="O953" t="s">
        <v>46</v>
      </c>
      <c r="P953">
        <v>5</v>
      </c>
      <c r="Q953" t="s">
        <v>74</v>
      </c>
      <c r="R953" t="s">
        <v>92</v>
      </c>
      <c r="S953" t="s">
        <v>49</v>
      </c>
      <c r="T953">
        <v>278</v>
      </c>
      <c r="U953" t="s">
        <v>50</v>
      </c>
      <c r="V953" t="s">
        <v>76</v>
      </c>
      <c r="W953" t="s">
        <v>152</v>
      </c>
      <c r="X953" t="s">
        <v>141</v>
      </c>
      <c r="Y953" t="s">
        <v>78</v>
      </c>
      <c r="AA953">
        <v>0</v>
      </c>
      <c r="AB953" t="s">
        <v>79</v>
      </c>
      <c r="AC953" t="s">
        <v>95</v>
      </c>
      <c r="AD953">
        <v>36</v>
      </c>
      <c r="AE953">
        <v>9</v>
      </c>
      <c r="AF953">
        <v>3</v>
      </c>
      <c r="AG953">
        <v>2025</v>
      </c>
      <c r="AH953" s="2">
        <v>14750</v>
      </c>
      <c r="AI953" s="2">
        <v>11712.0595703125</v>
      </c>
      <c r="AJ953" s="2">
        <f t="shared" si="112"/>
        <v>3037.9404296875</v>
      </c>
      <c r="AK953" s="6">
        <f t="shared" si="113"/>
        <v>0.20596206302966102</v>
      </c>
      <c r="AL953" s="12">
        <v>14750</v>
      </c>
      <c r="AM953" s="12">
        <v>12634.948403469911</v>
      </c>
      <c r="AN953" s="12">
        <f t="shared" si="114"/>
        <v>2115.0515965300892</v>
      </c>
      <c r="AO953" s="13">
        <f t="shared" si="115"/>
        <v>0.14339332857831114</v>
      </c>
      <c r="AP953" s="16">
        <v>14750</v>
      </c>
      <c r="AQ953" s="16">
        <v>10958.47950506091</v>
      </c>
      <c r="AR953" s="16">
        <f t="shared" si="116"/>
        <v>3791.52049493909</v>
      </c>
      <c r="AS953" s="17">
        <f t="shared" si="117"/>
        <v>0.25705223694502305</v>
      </c>
      <c r="AT953" s="20">
        <v>14750</v>
      </c>
      <c r="AU953" s="20">
        <v>12070.568359375</v>
      </c>
      <c r="AV953" s="20">
        <f t="shared" si="118"/>
        <v>2679.431640625</v>
      </c>
      <c r="AW953" s="21">
        <f t="shared" si="119"/>
        <v>0.18165638241525423</v>
      </c>
    </row>
    <row r="954" spans="1:49" x14ac:dyDescent="0.25">
      <c r="A954" t="s">
        <v>38</v>
      </c>
      <c r="B954" t="s">
        <v>68</v>
      </c>
      <c r="C954">
        <v>186136</v>
      </c>
      <c r="D954">
        <v>2020</v>
      </c>
      <c r="E954" t="s">
        <v>97</v>
      </c>
      <c r="F954" t="s">
        <v>159</v>
      </c>
      <c r="G954" t="s">
        <v>155</v>
      </c>
      <c r="H954" t="s">
        <v>89</v>
      </c>
      <c r="I954">
        <v>8</v>
      </c>
      <c r="J954" t="s">
        <v>72</v>
      </c>
      <c r="K954">
        <v>4</v>
      </c>
      <c r="L954" t="s">
        <v>44</v>
      </c>
      <c r="M954">
        <v>5.3</v>
      </c>
      <c r="N954" t="s">
        <v>73</v>
      </c>
      <c r="O954" t="s">
        <v>46</v>
      </c>
      <c r="P954">
        <v>3</v>
      </c>
      <c r="Q954" t="s">
        <v>74</v>
      </c>
      <c r="R954" t="s">
        <v>92</v>
      </c>
      <c r="S954" t="s">
        <v>49</v>
      </c>
      <c r="U954" t="s">
        <v>50</v>
      </c>
      <c r="W954" t="s">
        <v>577</v>
      </c>
      <c r="X954" t="s">
        <v>94</v>
      </c>
      <c r="Y954" t="s">
        <v>126</v>
      </c>
      <c r="AA954">
        <v>0</v>
      </c>
      <c r="AB954" t="s">
        <v>79</v>
      </c>
      <c r="AC954" t="s">
        <v>95</v>
      </c>
      <c r="AD954">
        <v>36</v>
      </c>
      <c r="AE954">
        <v>9</v>
      </c>
      <c r="AF954">
        <v>3</v>
      </c>
      <c r="AG954">
        <v>2025</v>
      </c>
      <c r="AH954" s="2">
        <v>11000</v>
      </c>
      <c r="AI954" s="2">
        <v>12089.197265625</v>
      </c>
      <c r="AJ954" s="2">
        <f t="shared" si="112"/>
        <v>1089.197265625</v>
      </c>
      <c r="AK954" s="6">
        <f t="shared" si="113"/>
        <v>9.9017933238636363E-2</v>
      </c>
      <c r="AL954" s="12">
        <v>11000</v>
      </c>
      <c r="AM954" s="12">
        <v>14556.399547688199</v>
      </c>
      <c r="AN954" s="12">
        <f t="shared" si="114"/>
        <v>3556.3995476881992</v>
      </c>
      <c r="AO954" s="13">
        <f t="shared" si="115"/>
        <v>0.32330904978983627</v>
      </c>
      <c r="AP954" s="16">
        <v>11000</v>
      </c>
      <c r="AQ954" s="16">
        <v>10188.634006733</v>
      </c>
      <c r="AR954" s="16">
        <f t="shared" si="116"/>
        <v>811.36599326699979</v>
      </c>
      <c r="AS954" s="17">
        <f t="shared" si="117"/>
        <v>7.376054484245452E-2</v>
      </c>
      <c r="AT954" s="20">
        <v>11000</v>
      </c>
      <c r="AU954" s="20">
        <v>12530.2978515625</v>
      </c>
      <c r="AV954" s="20">
        <f t="shared" si="118"/>
        <v>1530.2978515625</v>
      </c>
      <c r="AW954" s="21">
        <f t="shared" si="119"/>
        <v>0.13911798650568183</v>
      </c>
    </row>
    <row r="955" spans="1:49" x14ac:dyDescent="0.25">
      <c r="A955" t="s">
        <v>38</v>
      </c>
      <c r="B955" t="s">
        <v>39</v>
      </c>
      <c r="C955">
        <v>94029</v>
      </c>
      <c r="D955">
        <v>2017</v>
      </c>
      <c r="E955" t="s">
        <v>213</v>
      </c>
      <c r="F955" t="s">
        <v>855</v>
      </c>
      <c r="I955">
        <v>6</v>
      </c>
      <c r="J955" t="s">
        <v>72</v>
      </c>
      <c r="K955">
        <v>4</v>
      </c>
      <c r="L955" t="s">
        <v>44</v>
      </c>
      <c r="M955">
        <v>3.7</v>
      </c>
      <c r="N955" t="s">
        <v>73</v>
      </c>
      <c r="O955" t="s">
        <v>46</v>
      </c>
      <c r="Q955" t="s">
        <v>47</v>
      </c>
      <c r="R955" t="s">
        <v>757</v>
      </c>
      <c r="S955" t="s">
        <v>49</v>
      </c>
      <c r="U955" t="s">
        <v>50</v>
      </c>
      <c r="X955" t="s">
        <v>125</v>
      </c>
      <c r="Y955" t="s">
        <v>54</v>
      </c>
      <c r="AA955">
        <v>0</v>
      </c>
      <c r="AB955" t="s">
        <v>79</v>
      </c>
      <c r="AC955" t="s">
        <v>757</v>
      </c>
      <c r="AD955">
        <v>36</v>
      </c>
      <c r="AE955">
        <v>9</v>
      </c>
      <c r="AF955">
        <v>3</v>
      </c>
      <c r="AG955">
        <v>2025</v>
      </c>
      <c r="AH955" s="2">
        <v>10750</v>
      </c>
      <c r="AI955" s="2">
        <v>8745.8125</v>
      </c>
      <c r="AJ955" s="2">
        <f t="shared" si="112"/>
        <v>2004.1875</v>
      </c>
      <c r="AK955" s="6">
        <f t="shared" si="113"/>
        <v>0.1864360465116279</v>
      </c>
      <c r="AL955" s="12">
        <v>10750</v>
      </c>
      <c r="AM955" s="12">
        <v>9967.1517394467901</v>
      </c>
      <c r="AN955" s="12">
        <f t="shared" si="114"/>
        <v>782.84826055320991</v>
      </c>
      <c r="AO955" s="13">
        <f t="shared" si="115"/>
        <v>7.2823094004949754E-2</v>
      </c>
      <c r="AP955" s="16">
        <v>10750</v>
      </c>
      <c r="AQ955" s="16">
        <v>9688.7403699553161</v>
      </c>
      <c r="AR955" s="16">
        <f t="shared" si="116"/>
        <v>1061.2596300446839</v>
      </c>
      <c r="AS955" s="17">
        <f t="shared" si="117"/>
        <v>9.8721826050668274E-2</v>
      </c>
      <c r="AT955" s="20">
        <v>10750</v>
      </c>
      <c r="AU955" s="20">
        <v>8990.9580078125</v>
      </c>
      <c r="AV955" s="20">
        <f t="shared" si="118"/>
        <v>1759.0419921875</v>
      </c>
      <c r="AW955" s="21">
        <f t="shared" si="119"/>
        <v>0.16363181322674419</v>
      </c>
    </row>
    <row r="956" spans="1:49" x14ac:dyDescent="0.25">
      <c r="A956" t="s">
        <v>38</v>
      </c>
      <c r="B956" t="s">
        <v>96</v>
      </c>
      <c r="C956">
        <v>129944</v>
      </c>
      <c r="D956">
        <v>2019</v>
      </c>
      <c r="E956" t="s">
        <v>97</v>
      </c>
      <c r="F956" t="s">
        <v>772</v>
      </c>
      <c r="G956" t="s">
        <v>155</v>
      </c>
      <c r="H956" t="s">
        <v>89</v>
      </c>
      <c r="I956">
        <v>8</v>
      </c>
      <c r="J956" t="s">
        <v>72</v>
      </c>
      <c r="K956">
        <v>4</v>
      </c>
      <c r="L956" t="s">
        <v>44</v>
      </c>
      <c r="M956">
        <v>5.3</v>
      </c>
      <c r="N956" t="s">
        <v>91</v>
      </c>
      <c r="O956" t="s">
        <v>46</v>
      </c>
      <c r="Q956" t="s">
        <v>74</v>
      </c>
      <c r="R956" t="s">
        <v>92</v>
      </c>
      <c r="S956" t="s">
        <v>93</v>
      </c>
      <c r="U956" t="s">
        <v>50</v>
      </c>
      <c r="W956" t="s">
        <v>773</v>
      </c>
      <c r="X956" t="s">
        <v>108</v>
      </c>
      <c r="Y956" t="s">
        <v>103</v>
      </c>
      <c r="AA956">
        <v>0</v>
      </c>
      <c r="AB956" t="s">
        <v>79</v>
      </c>
      <c r="AC956" t="s">
        <v>95</v>
      </c>
      <c r="AD956">
        <v>36</v>
      </c>
      <c r="AE956">
        <v>9</v>
      </c>
      <c r="AF956">
        <v>3</v>
      </c>
      <c r="AG956">
        <v>2025</v>
      </c>
      <c r="AH956" s="2">
        <v>13250</v>
      </c>
      <c r="AI956" s="2">
        <v>18176.82421875</v>
      </c>
      <c r="AJ956" s="2">
        <f t="shared" si="112"/>
        <v>4926.82421875</v>
      </c>
      <c r="AK956" s="6">
        <f t="shared" si="113"/>
        <v>0.37183579009433965</v>
      </c>
      <c r="AL956" s="12">
        <v>13250</v>
      </c>
      <c r="AM956" s="12">
        <v>19837.248357296699</v>
      </c>
      <c r="AN956" s="12">
        <f t="shared" si="114"/>
        <v>6587.2483572966994</v>
      </c>
      <c r="AO956" s="13">
        <f t="shared" si="115"/>
        <v>0.49715081941861883</v>
      </c>
      <c r="AP956" s="16">
        <v>13250</v>
      </c>
      <c r="AQ956" s="16">
        <v>15330.701524659889</v>
      </c>
      <c r="AR956" s="16">
        <f t="shared" si="116"/>
        <v>2080.7015246598894</v>
      </c>
      <c r="AS956" s="17">
        <f t="shared" si="117"/>
        <v>0.15703407733282185</v>
      </c>
      <c r="AT956" s="20">
        <v>13250</v>
      </c>
      <c r="AU956" s="20">
        <v>18247.291015625</v>
      </c>
      <c r="AV956" s="20">
        <f t="shared" si="118"/>
        <v>4997.291015625</v>
      </c>
      <c r="AW956" s="21">
        <f t="shared" si="119"/>
        <v>0.37715403891509436</v>
      </c>
    </row>
    <row r="957" spans="1:49" x14ac:dyDescent="0.25">
      <c r="A957" t="s">
        <v>114</v>
      </c>
      <c r="B957" t="s">
        <v>340</v>
      </c>
      <c r="C957">
        <v>42167</v>
      </c>
      <c r="D957">
        <v>2019</v>
      </c>
      <c r="E957" t="s">
        <v>388</v>
      </c>
      <c r="F957" t="s">
        <v>829</v>
      </c>
      <c r="H957" t="s">
        <v>985</v>
      </c>
      <c r="I957">
        <v>4</v>
      </c>
      <c r="J957" t="s">
        <v>61</v>
      </c>
      <c r="K957">
        <v>4</v>
      </c>
      <c r="L957" t="s">
        <v>44</v>
      </c>
      <c r="M957">
        <v>2</v>
      </c>
      <c r="N957" t="s">
        <v>91</v>
      </c>
      <c r="O957" t="s">
        <v>46</v>
      </c>
      <c r="P957">
        <v>4</v>
      </c>
      <c r="Q957" t="s">
        <v>62</v>
      </c>
      <c r="R957" t="s">
        <v>63</v>
      </c>
      <c r="S957" t="s">
        <v>93</v>
      </c>
      <c r="T957">
        <v>148</v>
      </c>
      <c r="U957" t="s">
        <v>50</v>
      </c>
      <c r="V957" t="s">
        <v>51</v>
      </c>
      <c r="W957" t="s">
        <v>438</v>
      </c>
      <c r="X957" t="s">
        <v>65</v>
      </c>
      <c r="Y957" t="s">
        <v>54</v>
      </c>
      <c r="AA957">
        <v>0</v>
      </c>
      <c r="AB957" t="s">
        <v>79</v>
      </c>
      <c r="AC957" t="s">
        <v>87</v>
      </c>
      <c r="AD957">
        <v>36</v>
      </c>
      <c r="AE957">
        <v>9</v>
      </c>
      <c r="AF957">
        <v>3</v>
      </c>
      <c r="AG957">
        <v>2025</v>
      </c>
      <c r="AH957" s="2">
        <v>11100</v>
      </c>
      <c r="AI957" s="2">
        <v>10824.3115234375</v>
      </c>
      <c r="AJ957" s="2">
        <f t="shared" si="112"/>
        <v>275.6884765625</v>
      </c>
      <c r="AK957" s="6">
        <f t="shared" si="113"/>
        <v>2.4836799690315315E-2</v>
      </c>
      <c r="AL957" s="12">
        <v>11100</v>
      </c>
      <c r="AM957" s="12">
        <v>12158.78479561056</v>
      </c>
      <c r="AN957" s="12">
        <f t="shared" si="114"/>
        <v>1058.7847956105597</v>
      </c>
      <c r="AO957" s="13">
        <f t="shared" si="115"/>
        <v>9.5386017622572955E-2</v>
      </c>
      <c r="AP957" s="16">
        <v>11100</v>
      </c>
      <c r="AQ957" s="16">
        <v>12026.94900630228</v>
      </c>
      <c r="AR957" s="16">
        <f t="shared" si="116"/>
        <v>926.9490063022804</v>
      </c>
      <c r="AS957" s="17">
        <f t="shared" si="117"/>
        <v>8.3508919486691924E-2</v>
      </c>
      <c r="AT957" s="20">
        <v>11100</v>
      </c>
      <c r="AU957" s="20">
        <v>11169.4775390625</v>
      </c>
      <c r="AV957" s="20">
        <f t="shared" si="118"/>
        <v>69.4775390625</v>
      </c>
      <c r="AW957" s="21">
        <f t="shared" si="119"/>
        <v>6.2592377533783787E-3</v>
      </c>
    </row>
    <row r="958" spans="1:49" x14ac:dyDescent="0.25">
      <c r="A958" t="s">
        <v>38</v>
      </c>
      <c r="B958" t="s">
        <v>39</v>
      </c>
      <c r="C958">
        <v>196935</v>
      </c>
      <c r="D958">
        <v>2007</v>
      </c>
      <c r="E958" t="s">
        <v>83</v>
      </c>
      <c r="F958" t="s">
        <v>765</v>
      </c>
      <c r="I958">
        <v>4</v>
      </c>
      <c r="J958" t="s">
        <v>135</v>
      </c>
      <c r="K958">
        <v>4</v>
      </c>
      <c r="L958" t="s">
        <v>44</v>
      </c>
      <c r="M958">
        <v>2.4</v>
      </c>
      <c r="N958" t="s">
        <v>45</v>
      </c>
      <c r="O958" t="s">
        <v>46</v>
      </c>
      <c r="Q958" t="s">
        <v>47</v>
      </c>
      <c r="R958" t="s">
        <v>123</v>
      </c>
      <c r="T958">
        <v>205</v>
      </c>
      <c r="U958" t="s">
        <v>50</v>
      </c>
      <c r="V958" t="s">
        <v>51</v>
      </c>
      <c r="W958" t="s">
        <v>1134</v>
      </c>
      <c r="X958" t="s">
        <v>65</v>
      </c>
      <c r="Y958" t="s">
        <v>54</v>
      </c>
      <c r="AA958">
        <v>0</v>
      </c>
      <c r="AB958" t="s">
        <v>79</v>
      </c>
      <c r="AC958" t="s">
        <v>127</v>
      </c>
      <c r="AD958">
        <v>36</v>
      </c>
      <c r="AE958">
        <v>9</v>
      </c>
      <c r="AF958">
        <v>3</v>
      </c>
      <c r="AG958">
        <v>2025</v>
      </c>
      <c r="AH958" s="2">
        <v>1100</v>
      </c>
      <c r="AI958" s="2">
        <v>1146.4716796875</v>
      </c>
      <c r="AJ958" s="2">
        <f t="shared" si="112"/>
        <v>46.4716796875</v>
      </c>
      <c r="AK958" s="6">
        <f t="shared" si="113"/>
        <v>4.2246981534090906E-2</v>
      </c>
      <c r="AL958" s="12">
        <v>1100</v>
      </c>
      <c r="AM958" s="12">
        <v>1416.7008730879741</v>
      </c>
      <c r="AN958" s="12">
        <f t="shared" si="114"/>
        <v>316.70087308797406</v>
      </c>
      <c r="AO958" s="13">
        <f t="shared" si="115"/>
        <v>0.28790988462543099</v>
      </c>
      <c r="AP958" s="16">
        <v>1100</v>
      </c>
      <c r="AQ958" s="16">
        <v>1626.6627045874991</v>
      </c>
      <c r="AR958" s="16">
        <f t="shared" si="116"/>
        <v>526.66270458749909</v>
      </c>
      <c r="AS958" s="17">
        <f t="shared" si="117"/>
        <v>0.47878427689772646</v>
      </c>
      <c r="AT958" s="20">
        <v>1100</v>
      </c>
      <c r="AU958" s="20">
        <v>1125.732055664062</v>
      </c>
      <c r="AV958" s="20">
        <f t="shared" si="118"/>
        <v>25.732055664062045</v>
      </c>
      <c r="AW958" s="21">
        <f t="shared" si="119"/>
        <v>2.3392777876420041E-2</v>
      </c>
    </row>
    <row r="959" spans="1:49" x14ac:dyDescent="0.25">
      <c r="A959" t="s">
        <v>38</v>
      </c>
      <c r="B959" t="s">
        <v>39</v>
      </c>
      <c r="C959">
        <v>216546</v>
      </c>
      <c r="D959">
        <v>2014</v>
      </c>
      <c r="E959" t="s">
        <v>97</v>
      </c>
      <c r="F959" t="s">
        <v>159</v>
      </c>
      <c r="G959" t="s">
        <v>155</v>
      </c>
      <c r="H959" t="s">
        <v>89</v>
      </c>
      <c r="I959">
        <v>8</v>
      </c>
      <c r="J959" t="s">
        <v>122</v>
      </c>
      <c r="K959">
        <v>4</v>
      </c>
      <c r="L959" t="s">
        <v>44</v>
      </c>
      <c r="M959">
        <v>5.3</v>
      </c>
      <c r="N959" t="s">
        <v>73</v>
      </c>
      <c r="O959" t="s">
        <v>46</v>
      </c>
      <c r="Q959" t="s">
        <v>74</v>
      </c>
      <c r="R959" t="s">
        <v>92</v>
      </c>
      <c r="S959" t="s">
        <v>49</v>
      </c>
      <c r="U959" t="s">
        <v>50</v>
      </c>
      <c r="W959" t="s">
        <v>712</v>
      </c>
      <c r="X959" t="s">
        <v>94</v>
      </c>
      <c r="Y959" t="s">
        <v>78</v>
      </c>
      <c r="AA959">
        <v>0</v>
      </c>
      <c r="AB959" t="s">
        <v>79</v>
      </c>
      <c r="AC959" t="s">
        <v>95</v>
      </c>
      <c r="AD959">
        <v>36</v>
      </c>
      <c r="AE959">
        <v>9</v>
      </c>
      <c r="AF959">
        <v>3</v>
      </c>
      <c r="AG959">
        <v>2025</v>
      </c>
      <c r="AH959" s="2">
        <v>3800</v>
      </c>
      <c r="AI959" s="2">
        <v>5346.0537109375</v>
      </c>
      <c r="AJ959" s="2">
        <f t="shared" si="112"/>
        <v>1546.0537109375</v>
      </c>
      <c r="AK959" s="6">
        <f t="shared" si="113"/>
        <v>0.40685623972039475</v>
      </c>
      <c r="AL959" s="12">
        <v>3800</v>
      </c>
      <c r="AM959" s="12">
        <v>5103.6300050367436</v>
      </c>
      <c r="AN959" s="12">
        <f t="shared" si="114"/>
        <v>1303.6300050367436</v>
      </c>
      <c r="AO959" s="13">
        <f t="shared" si="115"/>
        <v>0.34306052764124828</v>
      </c>
      <c r="AP959" s="16">
        <v>3800</v>
      </c>
      <c r="AQ959" s="16">
        <v>5561.9707972240221</v>
      </c>
      <c r="AR959" s="16">
        <f t="shared" si="116"/>
        <v>1761.9707972240221</v>
      </c>
      <c r="AS959" s="17">
        <f t="shared" si="117"/>
        <v>0.46367652558526901</v>
      </c>
      <c r="AT959" s="20">
        <v>3800</v>
      </c>
      <c r="AU959" s="20">
        <v>5326.13232421875</v>
      </c>
      <c r="AV959" s="20">
        <f t="shared" si="118"/>
        <v>1526.13232421875</v>
      </c>
      <c r="AW959" s="21">
        <f t="shared" si="119"/>
        <v>0.40161376953125</v>
      </c>
    </row>
    <row r="960" spans="1:49" x14ac:dyDescent="0.25">
      <c r="A960" t="s">
        <v>38</v>
      </c>
      <c r="B960" t="s">
        <v>96</v>
      </c>
      <c r="C960">
        <v>96270</v>
      </c>
      <c r="D960">
        <v>2017</v>
      </c>
      <c r="E960" t="s">
        <v>40</v>
      </c>
      <c r="F960" t="s">
        <v>297</v>
      </c>
      <c r="G960" t="s">
        <v>727</v>
      </c>
      <c r="H960" t="s">
        <v>298</v>
      </c>
      <c r="I960">
        <v>4</v>
      </c>
      <c r="J960" t="s">
        <v>122</v>
      </c>
      <c r="K960">
        <v>4</v>
      </c>
      <c r="L960" t="s">
        <v>44</v>
      </c>
      <c r="M960">
        <v>2.5</v>
      </c>
      <c r="N960" t="s">
        <v>45</v>
      </c>
      <c r="O960" t="s">
        <v>46</v>
      </c>
      <c r="P960">
        <v>3</v>
      </c>
      <c r="Q960" t="s">
        <v>47</v>
      </c>
      <c r="R960" t="s">
        <v>123</v>
      </c>
      <c r="S960" t="s">
        <v>49</v>
      </c>
      <c r="T960">
        <v>178</v>
      </c>
      <c r="U960" t="s">
        <v>50</v>
      </c>
      <c r="V960" t="s">
        <v>51</v>
      </c>
      <c r="W960" t="s">
        <v>236</v>
      </c>
      <c r="X960" t="s">
        <v>125</v>
      </c>
      <c r="Y960" t="s">
        <v>78</v>
      </c>
      <c r="Z960">
        <v>23070</v>
      </c>
      <c r="AA960">
        <v>0</v>
      </c>
      <c r="AB960" t="s">
        <v>79</v>
      </c>
      <c r="AC960" t="s">
        <v>127</v>
      </c>
      <c r="AD960">
        <v>36</v>
      </c>
      <c r="AE960">
        <v>9</v>
      </c>
      <c r="AF960">
        <v>3</v>
      </c>
      <c r="AG960">
        <v>2025</v>
      </c>
      <c r="AH960" s="2">
        <v>12250</v>
      </c>
      <c r="AI960" s="2">
        <v>7466.224609375</v>
      </c>
      <c r="AJ960" s="2">
        <f t="shared" si="112"/>
        <v>4783.775390625</v>
      </c>
      <c r="AK960" s="6">
        <f t="shared" si="113"/>
        <v>0.39051227678571426</v>
      </c>
      <c r="AL960" s="12">
        <v>12250</v>
      </c>
      <c r="AM960" s="12">
        <v>7826.5577779767236</v>
      </c>
      <c r="AN960" s="12">
        <f t="shared" si="114"/>
        <v>4423.4422220232764</v>
      </c>
      <c r="AO960" s="13">
        <f t="shared" si="115"/>
        <v>0.36109732424679808</v>
      </c>
      <c r="AP960" s="16">
        <v>12250</v>
      </c>
      <c r="AQ960" s="16">
        <v>7211.2686906645122</v>
      </c>
      <c r="AR960" s="16">
        <f t="shared" si="116"/>
        <v>5038.7313093354878</v>
      </c>
      <c r="AS960" s="17">
        <f t="shared" si="117"/>
        <v>0.41132500484371332</v>
      </c>
      <c r="AT960" s="20">
        <v>12250</v>
      </c>
      <c r="AU960" s="20">
        <v>7540.8056640625</v>
      </c>
      <c r="AV960" s="20">
        <f t="shared" si="118"/>
        <v>4709.1943359375</v>
      </c>
      <c r="AW960" s="21">
        <f t="shared" si="119"/>
        <v>0.38442402742346937</v>
      </c>
    </row>
    <row r="961" spans="1:49" x14ac:dyDescent="0.25">
      <c r="A961" t="s">
        <v>128</v>
      </c>
      <c r="B961" t="s">
        <v>129</v>
      </c>
      <c r="C961">
        <v>216487</v>
      </c>
      <c r="D961">
        <v>2015</v>
      </c>
      <c r="E961" t="s">
        <v>40</v>
      </c>
      <c r="F961" t="s">
        <v>41</v>
      </c>
      <c r="H961" t="s">
        <v>42</v>
      </c>
      <c r="I961">
        <v>4</v>
      </c>
      <c r="J961" t="s">
        <v>106</v>
      </c>
      <c r="K961">
        <v>4</v>
      </c>
      <c r="L961" t="s">
        <v>44</v>
      </c>
      <c r="M961">
        <v>1.8</v>
      </c>
      <c r="N961" t="s">
        <v>45</v>
      </c>
      <c r="O961" t="s">
        <v>46</v>
      </c>
      <c r="P961">
        <v>3</v>
      </c>
      <c r="Q961" t="s">
        <v>47</v>
      </c>
      <c r="R961" t="s">
        <v>48</v>
      </c>
      <c r="S961" t="s">
        <v>49</v>
      </c>
      <c r="U961" t="s">
        <v>50</v>
      </c>
      <c r="V961" t="s">
        <v>51</v>
      </c>
      <c r="W961" t="s">
        <v>52</v>
      </c>
      <c r="X961" t="s">
        <v>125</v>
      </c>
      <c r="Y961" t="s">
        <v>54</v>
      </c>
      <c r="AA961">
        <v>1</v>
      </c>
      <c r="AB961" t="s">
        <v>55</v>
      </c>
      <c r="AC961" t="s">
        <v>56</v>
      </c>
      <c r="AD961">
        <v>36</v>
      </c>
      <c r="AE961">
        <v>9</v>
      </c>
      <c r="AF961">
        <v>3</v>
      </c>
      <c r="AG961">
        <v>2025</v>
      </c>
      <c r="AH961" s="2">
        <v>1800</v>
      </c>
      <c r="AI961" s="2">
        <v>2388.909423828125</v>
      </c>
      <c r="AJ961" s="2">
        <f t="shared" si="112"/>
        <v>588.909423828125</v>
      </c>
      <c r="AK961" s="6">
        <f t="shared" si="113"/>
        <v>0.32717190212673614</v>
      </c>
      <c r="AL961" s="12">
        <v>1800</v>
      </c>
      <c r="AM961" s="12">
        <v>2578.309160389399</v>
      </c>
      <c r="AN961" s="12">
        <f t="shared" si="114"/>
        <v>778.30916038939904</v>
      </c>
      <c r="AO961" s="13">
        <f t="shared" si="115"/>
        <v>0.43239397799411056</v>
      </c>
      <c r="AP961" s="16">
        <v>1800</v>
      </c>
      <c r="AQ961" s="16">
        <v>1605.4384261458399</v>
      </c>
      <c r="AR961" s="16">
        <f t="shared" si="116"/>
        <v>194.56157385416009</v>
      </c>
      <c r="AS961" s="17">
        <f t="shared" si="117"/>
        <v>0.10808976325231116</v>
      </c>
      <c r="AT961" s="20">
        <v>1800</v>
      </c>
      <c r="AU961" s="20">
        <v>2405.564453125</v>
      </c>
      <c r="AV961" s="20">
        <f t="shared" si="118"/>
        <v>605.564453125</v>
      </c>
      <c r="AW961" s="21">
        <f t="shared" si="119"/>
        <v>0.33642469618055554</v>
      </c>
    </row>
    <row r="962" spans="1:49" x14ac:dyDescent="0.25">
      <c r="A962" t="s">
        <v>38</v>
      </c>
      <c r="B962" t="s">
        <v>39</v>
      </c>
      <c r="C962">
        <v>120211</v>
      </c>
      <c r="D962">
        <v>2017</v>
      </c>
      <c r="E962" t="s">
        <v>557</v>
      </c>
      <c r="F962" t="s">
        <v>940</v>
      </c>
      <c r="G962" t="s">
        <v>1135</v>
      </c>
      <c r="I962">
        <v>6</v>
      </c>
      <c r="J962" t="s">
        <v>135</v>
      </c>
      <c r="K962">
        <v>4</v>
      </c>
      <c r="L962" t="s">
        <v>44</v>
      </c>
      <c r="M962">
        <v>3.6</v>
      </c>
      <c r="N962" t="s">
        <v>45</v>
      </c>
      <c r="O962" t="s">
        <v>46</v>
      </c>
      <c r="Q962" t="s">
        <v>62</v>
      </c>
      <c r="R962" t="s">
        <v>225</v>
      </c>
      <c r="S962" t="s">
        <v>101</v>
      </c>
      <c r="T962">
        <v>287</v>
      </c>
      <c r="U962" t="s">
        <v>50</v>
      </c>
      <c r="V962" t="s">
        <v>76</v>
      </c>
      <c r="X962" t="s">
        <v>94</v>
      </c>
      <c r="Y962" t="s">
        <v>103</v>
      </c>
      <c r="Z962">
        <v>34995</v>
      </c>
      <c r="AA962">
        <v>0</v>
      </c>
      <c r="AB962" t="s">
        <v>79</v>
      </c>
      <c r="AC962" t="s">
        <v>225</v>
      </c>
      <c r="AD962">
        <v>36</v>
      </c>
      <c r="AE962">
        <v>9</v>
      </c>
      <c r="AF962">
        <v>3</v>
      </c>
      <c r="AG962">
        <v>2025</v>
      </c>
      <c r="AH962" s="2">
        <v>6250</v>
      </c>
      <c r="AI962" s="2">
        <v>6470.0771484375</v>
      </c>
      <c r="AJ962" s="2">
        <f t="shared" si="112"/>
        <v>220.0771484375</v>
      </c>
      <c r="AK962" s="6">
        <f t="shared" si="113"/>
        <v>3.521234375E-2</v>
      </c>
      <c r="AL962" s="12">
        <v>6250</v>
      </c>
      <c r="AM962" s="12">
        <v>6660.3946689317672</v>
      </c>
      <c r="AN962" s="12">
        <f t="shared" si="114"/>
        <v>410.39466893176723</v>
      </c>
      <c r="AO962" s="13">
        <f t="shared" si="115"/>
        <v>6.5663147029082755E-2</v>
      </c>
      <c r="AP962" s="16">
        <v>6250</v>
      </c>
      <c r="AQ962" s="16">
        <v>7103.163113175734</v>
      </c>
      <c r="AR962" s="16">
        <f t="shared" si="116"/>
        <v>853.163113175734</v>
      </c>
      <c r="AS962" s="17">
        <f t="shared" si="117"/>
        <v>0.13650609810811745</v>
      </c>
      <c r="AT962" s="20">
        <v>6250</v>
      </c>
      <c r="AU962" s="20">
        <v>6562.09130859375</v>
      </c>
      <c r="AV962" s="20">
        <f t="shared" si="118"/>
        <v>312.09130859375</v>
      </c>
      <c r="AW962" s="21">
        <f t="shared" si="119"/>
        <v>4.9934609375000001E-2</v>
      </c>
    </row>
    <row r="963" spans="1:49" x14ac:dyDescent="0.25">
      <c r="A963" t="s">
        <v>128</v>
      </c>
      <c r="B963" t="s">
        <v>129</v>
      </c>
      <c r="C963">
        <v>203258</v>
      </c>
      <c r="D963">
        <v>2011</v>
      </c>
      <c r="E963" t="s">
        <v>69</v>
      </c>
      <c r="F963" t="s">
        <v>250</v>
      </c>
      <c r="H963" t="s">
        <v>1136</v>
      </c>
      <c r="I963">
        <v>4</v>
      </c>
      <c r="J963" t="s">
        <v>43</v>
      </c>
      <c r="K963">
        <v>4</v>
      </c>
      <c r="L963" t="s">
        <v>44</v>
      </c>
      <c r="M963">
        <v>2.5</v>
      </c>
      <c r="N963" t="s">
        <v>91</v>
      </c>
      <c r="O963" t="s">
        <v>190</v>
      </c>
      <c r="P963">
        <v>1</v>
      </c>
      <c r="Q963" t="s">
        <v>62</v>
      </c>
      <c r="R963" t="s">
        <v>63</v>
      </c>
      <c r="U963" t="s">
        <v>50</v>
      </c>
      <c r="V963" t="s">
        <v>51</v>
      </c>
      <c r="X963" t="s">
        <v>65</v>
      </c>
      <c r="Y963" t="s">
        <v>78</v>
      </c>
      <c r="AA963">
        <v>0</v>
      </c>
      <c r="AB963" t="s">
        <v>79</v>
      </c>
      <c r="AC963" t="s">
        <v>87</v>
      </c>
      <c r="AD963">
        <v>36</v>
      </c>
      <c r="AE963">
        <v>9</v>
      </c>
      <c r="AF963">
        <v>3</v>
      </c>
      <c r="AG963">
        <v>2025</v>
      </c>
      <c r="AH963" s="2">
        <v>400</v>
      </c>
      <c r="AI963" s="2">
        <v>493.10018920898438</v>
      </c>
      <c r="AJ963" s="2">
        <f t="shared" si="112"/>
        <v>93.100189208984375</v>
      </c>
      <c r="AK963" s="6">
        <f t="shared" si="113"/>
        <v>0.23275047302246094</v>
      </c>
      <c r="AL963" s="12">
        <v>400</v>
      </c>
      <c r="AM963" s="12">
        <v>406.04554307329948</v>
      </c>
      <c r="AN963" s="12">
        <f t="shared" si="114"/>
        <v>6.0455430732994841</v>
      </c>
      <c r="AO963" s="13">
        <f t="shared" si="115"/>
        <v>1.5113857683248711E-2</v>
      </c>
      <c r="AP963" s="16">
        <v>400</v>
      </c>
      <c r="AQ963" s="16">
        <v>359.99411595831998</v>
      </c>
      <c r="AR963" s="16">
        <f t="shared" si="116"/>
        <v>40.005884041680019</v>
      </c>
      <c r="AS963" s="17">
        <f t="shared" ref="AS963:AS1026" si="120">ABS($AH963-AQ963)/$AH963</f>
        <v>0.10001471010420004</v>
      </c>
      <c r="AT963" s="20">
        <v>400</v>
      </c>
      <c r="AU963" s="20">
        <v>460.00308227539063</v>
      </c>
      <c r="AV963" s="20">
        <f t="shared" ref="AV963:AV1026" si="121">ABS(AT963-AU963)</f>
        <v>60.003082275390625</v>
      </c>
      <c r="AW963" s="21">
        <f t="shared" si="119"/>
        <v>0.15000770568847657</v>
      </c>
    </row>
    <row r="964" spans="1:49" x14ac:dyDescent="0.25">
      <c r="A964" t="s">
        <v>114</v>
      </c>
      <c r="B964" t="s">
        <v>115</v>
      </c>
      <c r="C964">
        <v>108119</v>
      </c>
      <c r="D964">
        <v>2002</v>
      </c>
      <c r="E964" t="s">
        <v>97</v>
      </c>
      <c r="F964" t="s">
        <v>701</v>
      </c>
      <c r="I964">
        <v>6</v>
      </c>
      <c r="J964" t="s">
        <v>106</v>
      </c>
      <c r="K964">
        <v>4</v>
      </c>
      <c r="L964" t="s">
        <v>44</v>
      </c>
      <c r="M964">
        <v>3.4</v>
      </c>
      <c r="N964" t="s">
        <v>45</v>
      </c>
      <c r="O964" t="s">
        <v>46</v>
      </c>
      <c r="Q964" t="s">
        <v>47</v>
      </c>
      <c r="R964" t="s">
        <v>123</v>
      </c>
      <c r="U964" t="s">
        <v>50</v>
      </c>
      <c r="V964" t="s">
        <v>76</v>
      </c>
      <c r="W964" t="s">
        <v>621</v>
      </c>
      <c r="X964" t="s">
        <v>125</v>
      </c>
      <c r="Y964" t="s">
        <v>103</v>
      </c>
      <c r="AA964">
        <v>0</v>
      </c>
      <c r="AB964" t="s">
        <v>79</v>
      </c>
      <c r="AC964" t="s">
        <v>127</v>
      </c>
      <c r="AD964">
        <v>36</v>
      </c>
      <c r="AE964">
        <v>9</v>
      </c>
      <c r="AF964">
        <v>3</v>
      </c>
      <c r="AG964">
        <v>2025</v>
      </c>
      <c r="AH964" s="2">
        <v>1400</v>
      </c>
      <c r="AI964" s="2">
        <v>1056.428588867188</v>
      </c>
      <c r="AJ964" s="2">
        <f t="shared" ref="AJ964:AJ1027" si="122">ABS(AH964-AI964)</f>
        <v>343.57141113281205</v>
      </c>
      <c r="AK964" s="6">
        <f t="shared" ref="AK964:AK1027" si="123">ABS($AH964-AI964)/$AH964</f>
        <v>0.24540815080915146</v>
      </c>
      <c r="AL964" s="12">
        <v>1400</v>
      </c>
      <c r="AM964" s="12">
        <v>953.2456898266995</v>
      </c>
      <c r="AN964" s="12">
        <f t="shared" ref="AN964:AN1027" si="124">ABS(AL964-AM964)</f>
        <v>446.7543101733005</v>
      </c>
      <c r="AO964" s="13">
        <f t="shared" ref="AO964:AO1027" si="125">ABS($AH964-AM964)/$AH964</f>
        <v>0.31911022155235752</v>
      </c>
      <c r="AP964" s="16">
        <v>1400</v>
      </c>
      <c r="AQ964" s="16">
        <v>731.39605802197207</v>
      </c>
      <c r="AR964" s="16">
        <f t="shared" ref="AR964:AR1027" si="126">ABS(AP964-AQ964)</f>
        <v>668.60394197802793</v>
      </c>
      <c r="AS964" s="17">
        <f t="shared" si="120"/>
        <v>0.47757424427001993</v>
      </c>
      <c r="AT964" s="20">
        <v>1400</v>
      </c>
      <c r="AU964" s="20">
        <v>1001.211730957031</v>
      </c>
      <c r="AV964" s="20">
        <f t="shared" si="121"/>
        <v>398.78826904296898</v>
      </c>
      <c r="AW964" s="21">
        <f t="shared" ref="AW964:AW1027" si="127">ABS($AH964-AU964)/$AH964</f>
        <v>0.28484876360212069</v>
      </c>
    </row>
    <row r="965" spans="1:49" x14ac:dyDescent="0.25">
      <c r="A965" t="s">
        <v>128</v>
      </c>
      <c r="B965" t="s">
        <v>129</v>
      </c>
      <c r="C965">
        <v>235165</v>
      </c>
      <c r="D965">
        <v>2008</v>
      </c>
      <c r="E965" t="s">
        <v>83</v>
      </c>
      <c r="F965" t="s">
        <v>187</v>
      </c>
      <c r="I965">
        <v>6</v>
      </c>
      <c r="J965" t="s">
        <v>106</v>
      </c>
      <c r="K965">
        <v>4</v>
      </c>
      <c r="L965" t="s">
        <v>44</v>
      </c>
      <c r="M965">
        <v>3.7</v>
      </c>
      <c r="N965" t="s">
        <v>44</v>
      </c>
      <c r="O965" t="s">
        <v>46</v>
      </c>
      <c r="Q965" t="s">
        <v>62</v>
      </c>
      <c r="R965" t="s">
        <v>63</v>
      </c>
      <c r="T965">
        <v>300</v>
      </c>
      <c r="U965" t="s">
        <v>50</v>
      </c>
      <c r="V965" t="s">
        <v>76</v>
      </c>
      <c r="W965" t="s">
        <v>209</v>
      </c>
      <c r="X965" t="s">
        <v>141</v>
      </c>
      <c r="Y965" t="s">
        <v>103</v>
      </c>
      <c r="AA965">
        <v>0</v>
      </c>
      <c r="AB965" t="s">
        <v>79</v>
      </c>
      <c r="AC965" t="s">
        <v>87</v>
      </c>
      <c r="AD965">
        <v>36</v>
      </c>
      <c r="AE965">
        <v>9</v>
      </c>
      <c r="AF965">
        <v>3</v>
      </c>
      <c r="AG965">
        <v>2025</v>
      </c>
      <c r="AH965" s="2">
        <v>1000</v>
      </c>
      <c r="AI965" s="2">
        <v>1124.552856445312</v>
      </c>
      <c r="AJ965" s="2">
        <f t="shared" si="122"/>
        <v>124.55285644531205</v>
      </c>
      <c r="AK965" s="6">
        <f t="shared" si="123"/>
        <v>0.12455285644531204</v>
      </c>
      <c r="AL965" s="12">
        <v>1000</v>
      </c>
      <c r="AM965" s="12">
        <v>1244.270407238937</v>
      </c>
      <c r="AN965" s="12">
        <f t="shared" si="124"/>
        <v>244.27040723893697</v>
      </c>
      <c r="AO965" s="13">
        <f t="shared" si="125"/>
        <v>0.24427040723893698</v>
      </c>
      <c r="AP965" s="16">
        <v>1000</v>
      </c>
      <c r="AQ965" s="16">
        <v>1216.676665723578</v>
      </c>
      <c r="AR965" s="16">
        <f t="shared" si="126"/>
        <v>216.67666572357803</v>
      </c>
      <c r="AS965" s="17">
        <f t="shared" si="120"/>
        <v>0.21667666572357802</v>
      </c>
      <c r="AT965" s="20">
        <v>1000</v>
      </c>
      <c r="AU965" s="20">
        <v>1119.1328125</v>
      </c>
      <c r="AV965" s="20">
        <f t="shared" si="121"/>
        <v>119.1328125</v>
      </c>
      <c r="AW965" s="21">
        <f t="shared" si="127"/>
        <v>0.1191328125</v>
      </c>
    </row>
    <row r="966" spans="1:49" x14ac:dyDescent="0.25">
      <c r="A966" t="s">
        <v>128</v>
      </c>
      <c r="B966" t="s">
        <v>129</v>
      </c>
      <c r="C966">
        <v>264997</v>
      </c>
      <c r="D966">
        <v>2002</v>
      </c>
      <c r="E966" t="s">
        <v>40</v>
      </c>
      <c r="F966" t="s">
        <v>182</v>
      </c>
      <c r="G966" t="s">
        <v>150</v>
      </c>
      <c r="H966" t="s">
        <v>1137</v>
      </c>
      <c r="I966">
        <v>6</v>
      </c>
      <c r="J966" t="s">
        <v>106</v>
      </c>
      <c r="K966">
        <v>4</v>
      </c>
      <c r="L966" t="s">
        <v>44</v>
      </c>
      <c r="M966">
        <v>3.4</v>
      </c>
      <c r="N966" t="s">
        <v>73</v>
      </c>
      <c r="Q966" t="s">
        <v>62</v>
      </c>
      <c r="R966" t="s">
        <v>63</v>
      </c>
      <c r="S966" t="s">
        <v>49</v>
      </c>
      <c r="T966">
        <v>183</v>
      </c>
      <c r="U966" t="s">
        <v>50</v>
      </c>
      <c r="V966" t="s">
        <v>76</v>
      </c>
      <c r="W966" t="s">
        <v>1138</v>
      </c>
      <c r="X966" t="s">
        <v>141</v>
      </c>
      <c r="Y966" t="s">
        <v>54</v>
      </c>
      <c r="AA966">
        <v>0</v>
      </c>
      <c r="AB966" t="s">
        <v>79</v>
      </c>
      <c r="AC966" t="s">
        <v>87</v>
      </c>
      <c r="AD966">
        <v>36</v>
      </c>
      <c r="AE966">
        <v>9</v>
      </c>
      <c r="AF966">
        <v>3</v>
      </c>
      <c r="AG966">
        <v>2025</v>
      </c>
      <c r="AH966" s="2">
        <v>1700</v>
      </c>
      <c r="AI966" s="2">
        <v>1337.94775390625</v>
      </c>
      <c r="AJ966" s="2">
        <f t="shared" si="122"/>
        <v>362.05224609375</v>
      </c>
      <c r="AK966" s="6">
        <f t="shared" si="123"/>
        <v>0.21297190946691177</v>
      </c>
      <c r="AL966" s="12">
        <v>1700</v>
      </c>
      <c r="AM966" s="12">
        <v>1096.9720999671199</v>
      </c>
      <c r="AN966" s="12">
        <f t="shared" si="124"/>
        <v>603.0279000328801</v>
      </c>
      <c r="AO966" s="13">
        <f t="shared" si="125"/>
        <v>0.3547222941369883</v>
      </c>
      <c r="AP966" s="16">
        <v>1700</v>
      </c>
      <c r="AQ966" s="16">
        <v>978.52560033207305</v>
      </c>
      <c r="AR966" s="16">
        <f t="shared" si="126"/>
        <v>721.47439966792695</v>
      </c>
      <c r="AS966" s="17">
        <f t="shared" si="120"/>
        <v>0.42439670568701587</v>
      </c>
      <c r="AT966" s="20">
        <v>1700</v>
      </c>
      <c r="AU966" s="20">
        <v>1259.025756835938</v>
      </c>
      <c r="AV966" s="20">
        <f t="shared" si="121"/>
        <v>440.97424316406205</v>
      </c>
      <c r="AW966" s="21">
        <f t="shared" si="127"/>
        <v>0.25939661362591887</v>
      </c>
    </row>
    <row r="967" spans="1:49" x14ac:dyDescent="0.25">
      <c r="A967" t="s">
        <v>128</v>
      </c>
      <c r="B967" t="s">
        <v>484</v>
      </c>
      <c r="C967">
        <v>54898</v>
      </c>
      <c r="D967">
        <v>2018</v>
      </c>
      <c r="E967" t="s">
        <v>341</v>
      </c>
      <c r="F967" t="s">
        <v>592</v>
      </c>
      <c r="G967" t="s">
        <v>1139</v>
      </c>
      <c r="I967">
        <v>4</v>
      </c>
      <c r="J967" t="s">
        <v>106</v>
      </c>
      <c r="K967">
        <v>4</v>
      </c>
      <c r="L967" t="s">
        <v>44</v>
      </c>
      <c r="M967">
        <v>1.4</v>
      </c>
      <c r="N967" t="s">
        <v>45</v>
      </c>
      <c r="O967" t="s">
        <v>46</v>
      </c>
      <c r="P967">
        <v>5</v>
      </c>
      <c r="Q967" t="s">
        <v>62</v>
      </c>
      <c r="R967" t="s">
        <v>63</v>
      </c>
      <c r="S967" t="s">
        <v>101</v>
      </c>
      <c r="U967" t="s">
        <v>50</v>
      </c>
      <c r="W967" t="s">
        <v>1140</v>
      </c>
      <c r="X967" t="s">
        <v>65</v>
      </c>
      <c r="Y967" t="s">
        <v>66</v>
      </c>
      <c r="Z967">
        <v>24400</v>
      </c>
      <c r="AA967">
        <v>0</v>
      </c>
      <c r="AB967" t="s">
        <v>79</v>
      </c>
      <c r="AC967" t="s">
        <v>87</v>
      </c>
      <c r="AD967">
        <v>36</v>
      </c>
      <c r="AE967">
        <v>9</v>
      </c>
      <c r="AF967">
        <v>3</v>
      </c>
      <c r="AG967">
        <v>2025</v>
      </c>
      <c r="AH967" s="2">
        <v>11800</v>
      </c>
      <c r="AI967" s="2">
        <v>11058.369140625</v>
      </c>
      <c r="AJ967" s="2">
        <f t="shared" si="122"/>
        <v>741.630859375</v>
      </c>
      <c r="AK967" s="6">
        <f t="shared" si="123"/>
        <v>6.2850072828389836E-2</v>
      </c>
      <c r="AL967" s="12">
        <v>11800</v>
      </c>
      <c r="AM967" s="12">
        <v>12279.22052387775</v>
      </c>
      <c r="AN967" s="12">
        <f t="shared" si="124"/>
        <v>479.22052387774966</v>
      </c>
      <c r="AO967" s="13">
        <f t="shared" si="125"/>
        <v>4.061190880319912E-2</v>
      </c>
      <c r="AP967" s="16">
        <v>11800</v>
      </c>
      <c r="AQ967" s="16">
        <v>11213.18097636025</v>
      </c>
      <c r="AR967" s="16">
        <f t="shared" si="126"/>
        <v>586.8190236397495</v>
      </c>
      <c r="AS967" s="17">
        <f t="shared" si="120"/>
        <v>4.9730425732182164E-2</v>
      </c>
      <c r="AT967" s="20">
        <v>11800</v>
      </c>
      <c r="AU967" s="20">
        <v>11401.3818359375</v>
      </c>
      <c r="AV967" s="20">
        <f t="shared" si="121"/>
        <v>398.6181640625</v>
      </c>
      <c r="AW967" s="21">
        <f t="shared" si="127"/>
        <v>3.3781200344279658E-2</v>
      </c>
    </row>
    <row r="968" spans="1:49" x14ac:dyDescent="0.25">
      <c r="A968" t="s">
        <v>38</v>
      </c>
      <c r="B968" t="s">
        <v>110</v>
      </c>
      <c r="C968">
        <v>134965</v>
      </c>
      <c r="D968">
        <v>2014</v>
      </c>
      <c r="E968" t="s">
        <v>97</v>
      </c>
      <c r="F968" t="s">
        <v>379</v>
      </c>
      <c r="G968" t="s">
        <v>380</v>
      </c>
      <c r="I968">
        <v>4</v>
      </c>
      <c r="J968" t="s">
        <v>61</v>
      </c>
      <c r="K968">
        <v>4</v>
      </c>
      <c r="L968" t="s">
        <v>44</v>
      </c>
      <c r="M968">
        <v>1.4</v>
      </c>
      <c r="N968" t="s">
        <v>45</v>
      </c>
      <c r="Q968" t="s">
        <v>47</v>
      </c>
      <c r="R968" t="s">
        <v>123</v>
      </c>
      <c r="U968" t="s">
        <v>50</v>
      </c>
      <c r="V968" t="s">
        <v>51</v>
      </c>
      <c r="W968" t="s">
        <v>381</v>
      </c>
      <c r="X968" t="s">
        <v>125</v>
      </c>
      <c r="Y968" t="s">
        <v>78</v>
      </c>
      <c r="AA968">
        <v>0</v>
      </c>
      <c r="AB968" t="s">
        <v>79</v>
      </c>
      <c r="AC968" t="s">
        <v>127</v>
      </c>
      <c r="AD968">
        <v>36</v>
      </c>
      <c r="AE968">
        <v>9</v>
      </c>
      <c r="AF968">
        <v>3</v>
      </c>
      <c r="AG968">
        <v>2025</v>
      </c>
      <c r="AH968" s="2">
        <v>2800</v>
      </c>
      <c r="AI968" s="2">
        <v>2449.460693359375</v>
      </c>
      <c r="AJ968" s="2">
        <f t="shared" si="122"/>
        <v>350.539306640625</v>
      </c>
      <c r="AK968" s="6">
        <f t="shared" si="123"/>
        <v>0.12519260951450892</v>
      </c>
      <c r="AL968" s="12">
        <v>2800</v>
      </c>
      <c r="AM968" s="12">
        <v>2270.3632665057521</v>
      </c>
      <c r="AN968" s="12">
        <f t="shared" si="124"/>
        <v>529.63673349424789</v>
      </c>
      <c r="AO968" s="13">
        <f t="shared" si="125"/>
        <v>0.18915597624794567</v>
      </c>
      <c r="AP968" s="16">
        <v>2800</v>
      </c>
      <c r="AQ968" s="16">
        <v>1617.6755437533161</v>
      </c>
      <c r="AR968" s="16">
        <f t="shared" si="126"/>
        <v>1182.3244562466839</v>
      </c>
      <c r="AS968" s="17">
        <f t="shared" si="120"/>
        <v>0.42225873437381567</v>
      </c>
      <c r="AT968" s="20">
        <v>2800</v>
      </c>
      <c r="AU968" s="20">
        <v>2452.492431640625</v>
      </c>
      <c r="AV968" s="20">
        <f t="shared" si="121"/>
        <v>347.507568359375</v>
      </c>
      <c r="AW968" s="21">
        <f t="shared" si="127"/>
        <v>0.12410984584263393</v>
      </c>
    </row>
    <row r="969" spans="1:49" x14ac:dyDescent="0.25">
      <c r="A969" t="s">
        <v>38</v>
      </c>
      <c r="B969" t="s">
        <v>110</v>
      </c>
      <c r="C969">
        <v>84244</v>
      </c>
      <c r="D969">
        <v>2014</v>
      </c>
      <c r="E969" t="s">
        <v>97</v>
      </c>
      <c r="F969" t="s">
        <v>1066</v>
      </c>
      <c r="G969" t="s">
        <v>130</v>
      </c>
      <c r="I969">
        <v>4</v>
      </c>
      <c r="J969" t="s">
        <v>122</v>
      </c>
      <c r="K969">
        <v>4</v>
      </c>
      <c r="L969" t="s">
        <v>44</v>
      </c>
      <c r="M969">
        <v>1.2</v>
      </c>
      <c r="N969" t="s">
        <v>45</v>
      </c>
      <c r="O969" t="s">
        <v>100</v>
      </c>
      <c r="Q969" t="s">
        <v>47</v>
      </c>
      <c r="R969" t="s">
        <v>48</v>
      </c>
      <c r="U969" t="s">
        <v>50</v>
      </c>
      <c r="V969" t="s">
        <v>51</v>
      </c>
      <c r="W969" t="s">
        <v>1070</v>
      </c>
      <c r="X969" t="s">
        <v>125</v>
      </c>
      <c r="Y969" t="s">
        <v>66</v>
      </c>
      <c r="AA969">
        <v>0</v>
      </c>
      <c r="AB969" t="s">
        <v>79</v>
      </c>
      <c r="AC969" t="s">
        <v>359</v>
      </c>
      <c r="AD969">
        <v>36</v>
      </c>
      <c r="AE969">
        <v>9</v>
      </c>
      <c r="AF969">
        <v>3</v>
      </c>
      <c r="AG969">
        <v>2025</v>
      </c>
      <c r="AH969" s="2">
        <v>1000</v>
      </c>
      <c r="AI969" s="2">
        <v>1034.828002929688</v>
      </c>
      <c r="AJ969" s="2">
        <f t="shared" si="122"/>
        <v>34.828002929687955</v>
      </c>
      <c r="AK969" s="6">
        <f t="shared" si="123"/>
        <v>3.4828002929687955E-2</v>
      </c>
      <c r="AL969" s="12">
        <v>1000</v>
      </c>
      <c r="AM969" s="12">
        <v>1282.6353817041149</v>
      </c>
      <c r="AN969" s="12">
        <f t="shared" si="124"/>
        <v>282.63538170411493</v>
      </c>
      <c r="AO969" s="13">
        <f t="shared" si="125"/>
        <v>0.28263538170411495</v>
      </c>
      <c r="AP969" s="16">
        <v>1000</v>
      </c>
      <c r="AQ969" s="16">
        <v>892.03085833794933</v>
      </c>
      <c r="AR969" s="16">
        <f t="shared" si="126"/>
        <v>107.96914166205067</v>
      </c>
      <c r="AS969" s="17">
        <f t="shared" si="120"/>
        <v>0.10796914166205067</v>
      </c>
      <c r="AT969" s="20">
        <v>1000</v>
      </c>
      <c r="AU969" s="20">
        <v>1048.521362304688</v>
      </c>
      <c r="AV969" s="20">
        <f t="shared" si="121"/>
        <v>48.521362304687955</v>
      </c>
      <c r="AW969" s="21">
        <f t="shared" si="127"/>
        <v>4.8521362304687954E-2</v>
      </c>
    </row>
    <row r="970" spans="1:49" x14ac:dyDescent="0.25">
      <c r="A970" t="s">
        <v>38</v>
      </c>
      <c r="B970" t="s">
        <v>39</v>
      </c>
      <c r="C970">
        <v>100709</v>
      </c>
      <c r="D970">
        <v>2013</v>
      </c>
      <c r="E970" t="s">
        <v>58</v>
      </c>
      <c r="F970" t="s">
        <v>391</v>
      </c>
      <c r="G970" t="s">
        <v>240</v>
      </c>
      <c r="I970">
        <v>4</v>
      </c>
      <c r="J970" t="s">
        <v>61</v>
      </c>
      <c r="K970">
        <v>4</v>
      </c>
      <c r="L970" t="s">
        <v>44</v>
      </c>
      <c r="M970">
        <v>2.4</v>
      </c>
      <c r="N970" t="s">
        <v>45</v>
      </c>
      <c r="O970" t="s">
        <v>46</v>
      </c>
      <c r="Q970" t="s">
        <v>47</v>
      </c>
      <c r="R970" t="s">
        <v>123</v>
      </c>
      <c r="U970" t="s">
        <v>50</v>
      </c>
      <c r="W970" t="s">
        <v>511</v>
      </c>
      <c r="X970" t="s">
        <v>125</v>
      </c>
      <c r="Y970" t="s">
        <v>78</v>
      </c>
      <c r="AA970">
        <v>0</v>
      </c>
      <c r="AB970" t="s">
        <v>79</v>
      </c>
      <c r="AC970" t="s">
        <v>127</v>
      </c>
      <c r="AD970">
        <v>36</v>
      </c>
      <c r="AE970">
        <v>9</v>
      </c>
      <c r="AF970">
        <v>3</v>
      </c>
      <c r="AG970">
        <v>2025</v>
      </c>
      <c r="AH970" s="2">
        <v>4000</v>
      </c>
      <c r="AI970" s="2">
        <v>3213.463134765625</v>
      </c>
      <c r="AJ970" s="2">
        <f t="shared" si="122"/>
        <v>786.536865234375</v>
      </c>
      <c r="AK970" s="6">
        <f t="shared" si="123"/>
        <v>0.19663421630859376</v>
      </c>
      <c r="AL970" s="12">
        <v>4000</v>
      </c>
      <c r="AM970" s="12">
        <v>3186.7497067652048</v>
      </c>
      <c r="AN970" s="12">
        <f t="shared" si="124"/>
        <v>813.25029323479521</v>
      </c>
      <c r="AO970" s="13">
        <f t="shared" si="125"/>
        <v>0.20331257330869881</v>
      </c>
      <c r="AP970" s="16">
        <v>4000</v>
      </c>
      <c r="AQ970" s="16">
        <v>3342.9794782648692</v>
      </c>
      <c r="AR970" s="16">
        <f t="shared" si="126"/>
        <v>657.02052173513084</v>
      </c>
      <c r="AS970" s="17">
        <f t="shared" si="120"/>
        <v>0.1642551304337827</v>
      </c>
      <c r="AT970" s="20">
        <v>4000</v>
      </c>
      <c r="AU970" s="20">
        <v>3245.39501953125</v>
      </c>
      <c r="AV970" s="20">
        <f t="shared" si="121"/>
        <v>754.60498046875</v>
      </c>
      <c r="AW970" s="21">
        <f t="shared" si="127"/>
        <v>0.1886512451171875</v>
      </c>
    </row>
    <row r="971" spans="1:49" x14ac:dyDescent="0.25">
      <c r="A971" t="s">
        <v>38</v>
      </c>
      <c r="B971" t="s">
        <v>39</v>
      </c>
      <c r="C971">
        <v>122076</v>
      </c>
      <c r="D971">
        <v>2014</v>
      </c>
      <c r="E971" t="s">
        <v>142</v>
      </c>
      <c r="F971" t="s">
        <v>633</v>
      </c>
      <c r="G971" t="s">
        <v>457</v>
      </c>
      <c r="I971">
        <v>6</v>
      </c>
      <c r="J971" t="s">
        <v>61</v>
      </c>
      <c r="K971">
        <v>4</v>
      </c>
      <c r="L971" t="s">
        <v>44</v>
      </c>
      <c r="M971">
        <v>3.6</v>
      </c>
      <c r="N971" t="s">
        <v>91</v>
      </c>
      <c r="O971" t="s">
        <v>46</v>
      </c>
      <c r="Q971" t="s">
        <v>62</v>
      </c>
      <c r="R971" t="s">
        <v>63</v>
      </c>
      <c r="S971" t="s">
        <v>93</v>
      </c>
      <c r="U971" t="s">
        <v>50</v>
      </c>
      <c r="X971" t="s">
        <v>141</v>
      </c>
      <c r="Y971" t="s">
        <v>78</v>
      </c>
      <c r="AA971">
        <v>0</v>
      </c>
      <c r="AB971" t="s">
        <v>79</v>
      </c>
      <c r="AC971" t="s">
        <v>87</v>
      </c>
      <c r="AD971">
        <v>36</v>
      </c>
      <c r="AE971">
        <v>9</v>
      </c>
      <c r="AF971">
        <v>3</v>
      </c>
      <c r="AG971">
        <v>2025</v>
      </c>
      <c r="AH971" s="2">
        <v>12250</v>
      </c>
      <c r="AI971" s="2">
        <v>9328.599609375</v>
      </c>
      <c r="AJ971" s="2">
        <f t="shared" si="122"/>
        <v>2921.400390625</v>
      </c>
      <c r="AK971" s="6">
        <f t="shared" si="123"/>
        <v>0.23848166454081632</v>
      </c>
      <c r="AL971" s="12">
        <v>12250</v>
      </c>
      <c r="AM971" s="12">
        <v>8863.255567167078</v>
      </c>
      <c r="AN971" s="12">
        <f t="shared" si="124"/>
        <v>3386.744432832922</v>
      </c>
      <c r="AO971" s="13">
        <f t="shared" si="125"/>
        <v>0.27646893329248345</v>
      </c>
      <c r="AP971" s="16">
        <v>12250</v>
      </c>
      <c r="AQ971" s="16">
        <v>8358.1769492197946</v>
      </c>
      <c r="AR971" s="16">
        <f t="shared" si="126"/>
        <v>3891.8230507802054</v>
      </c>
      <c r="AS971" s="17">
        <f t="shared" si="120"/>
        <v>0.31769984088001679</v>
      </c>
      <c r="AT971" s="20">
        <v>12250</v>
      </c>
      <c r="AU971" s="20">
        <v>9368.75</v>
      </c>
      <c r="AV971" s="20">
        <f t="shared" si="121"/>
        <v>2881.25</v>
      </c>
      <c r="AW971" s="21">
        <f t="shared" si="127"/>
        <v>0.23520408163265305</v>
      </c>
    </row>
    <row r="972" spans="1:49" x14ac:dyDescent="0.25">
      <c r="A972" t="s">
        <v>38</v>
      </c>
      <c r="B972" t="s">
        <v>39</v>
      </c>
      <c r="C972">
        <v>108314</v>
      </c>
      <c r="D972">
        <v>2009</v>
      </c>
      <c r="E972" t="s">
        <v>69</v>
      </c>
      <c r="F972" t="s">
        <v>310</v>
      </c>
      <c r="I972">
        <v>6</v>
      </c>
      <c r="J972" t="s">
        <v>122</v>
      </c>
      <c r="K972">
        <v>2</v>
      </c>
      <c r="L972" t="s">
        <v>44</v>
      </c>
      <c r="M972">
        <v>4</v>
      </c>
      <c r="N972" t="s">
        <v>73</v>
      </c>
      <c r="O972" t="s">
        <v>46</v>
      </c>
      <c r="Q972" t="s">
        <v>47</v>
      </c>
      <c r="R972" t="s">
        <v>197</v>
      </c>
      <c r="T972">
        <v>210</v>
      </c>
      <c r="U972" t="s">
        <v>50</v>
      </c>
      <c r="V972" t="s">
        <v>76</v>
      </c>
      <c r="X972" t="s">
        <v>125</v>
      </c>
      <c r="AA972">
        <v>0</v>
      </c>
      <c r="AB972" t="s">
        <v>79</v>
      </c>
      <c r="AC972" t="s">
        <v>197</v>
      </c>
      <c r="AD972">
        <v>36</v>
      </c>
      <c r="AE972">
        <v>9</v>
      </c>
      <c r="AF972">
        <v>3</v>
      </c>
      <c r="AG972">
        <v>2025</v>
      </c>
      <c r="AH972" s="2">
        <v>2300</v>
      </c>
      <c r="AI972" s="2">
        <v>3370.476318359375</v>
      </c>
      <c r="AJ972" s="2">
        <f t="shared" si="122"/>
        <v>1070.476318359375</v>
      </c>
      <c r="AK972" s="6">
        <f t="shared" si="123"/>
        <v>0.46542448624320654</v>
      </c>
      <c r="AL972" s="12">
        <v>2300</v>
      </c>
      <c r="AM972" s="12">
        <v>3517.1645313146701</v>
      </c>
      <c r="AN972" s="12">
        <f t="shared" si="124"/>
        <v>1217.1645313146701</v>
      </c>
      <c r="AO972" s="13">
        <f t="shared" si="125"/>
        <v>0.52920197013681303</v>
      </c>
      <c r="AP972" s="16">
        <v>2300</v>
      </c>
      <c r="AQ972" s="16">
        <v>3544.5537485830209</v>
      </c>
      <c r="AR972" s="16">
        <f t="shared" si="126"/>
        <v>1244.5537485830209</v>
      </c>
      <c r="AS972" s="17">
        <f t="shared" si="120"/>
        <v>0.54111032547087867</v>
      </c>
      <c r="AT972" s="20">
        <v>2300</v>
      </c>
      <c r="AU972" s="20">
        <v>3408.686279296875</v>
      </c>
      <c r="AV972" s="20">
        <f t="shared" si="121"/>
        <v>1108.686279296875</v>
      </c>
      <c r="AW972" s="21">
        <f t="shared" si="127"/>
        <v>0.48203751273777173</v>
      </c>
    </row>
    <row r="973" spans="1:49" x14ac:dyDescent="0.25">
      <c r="A973" t="s">
        <v>38</v>
      </c>
      <c r="B973" t="s">
        <v>1018</v>
      </c>
      <c r="C973">
        <v>39381</v>
      </c>
      <c r="D973">
        <v>2023</v>
      </c>
      <c r="E973" t="s">
        <v>97</v>
      </c>
      <c r="F973" t="s">
        <v>470</v>
      </c>
      <c r="G973" t="s">
        <v>513</v>
      </c>
      <c r="I973">
        <v>4</v>
      </c>
      <c r="K973">
        <v>4</v>
      </c>
      <c r="L973" t="s">
        <v>44</v>
      </c>
      <c r="M973">
        <v>1.5</v>
      </c>
      <c r="N973" t="s">
        <v>45</v>
      </c>
      <c r="Q973" t="s">
        <v>47</v>
      </c>
      <c r="R973" t="s">
        <v>123</v>
      </c>
      <c r="U973" t="s">
        <v>50</v>
      </c>
      <c r="V973" t="s">
        <v>51</v>
      </c>
      <c r="W973" t="s">
        <v>751</v>
      </c>
      <c r="X973" t="s">
        <v>125</v>
      </c>
      <c r="Y973" t="s">
        <v>78</v>
      </c>
      <c r="AA973">
        <v>0</v>
      </c>
      <c r="AB973" t="s">
        <v>79</v>
      </c>
      <c r="AC973" t="s">
        <v>127</v>
      </c>
      <c r="AD973">
        <v>36</v>
      </c>
      <c r="AE973">
        <v>9</v>
      </c>
      <c r="AF973">
        <v>3</v>
      </c>
      <c r="AG973">
        <v>2025</v>
      </c>
      <c r="AH973" s="2">
        <v>16700</v>
      </c>
      <c r="AI973" s="2">
        <v>18684.3125</v>
      </c>
      <c r="AJ973" s="2">
        <f t="shared" si="122"/>
        <v>1984.3125</v>
      </c>
      <c r="AK973" s="6">
        <f t="shared" si="123"/>
        <v>0.11882110778443114</v>
      </c>
      <c r="AL973" s="12">
        <v>16700</v>
      </c>
      <c r="AM973" s="12">
        <v>17352.392727802238</v>
      </c>
      <c r="AN973" s="12">
        <f t="shared" si="124"/>
        <v>652.39272780223837</v>
      </c>
      <c r="AO973" s="13">
        <f t="shared" si="125"/>
        <v>3.9065432802529242E-2</v>
      </c>
      <c r="AP973" s="16">
        <v>16700</v>
      </c>
      <c r="AQ973" s="16">
        <v>15050.406037631121</v>
      </c>
      <c r="AR973" s="16">
        <f t="shared" si="126"/>
        <v>1649.5939623688791</v>
      </c>
      <c r="AS973" s="17">
        <f t="shared" si="120"/>
        <v>9.8778081578974802E-2</v>
      </c>
      <c r="AT973" s="20">
        <v>16700</v>
      </c>
      <c r="AU973" s="20">
        <v>18167.15234375</v>
      </c>
      <c r="AV973" s="20">
        <f t="shared" si="121"/>
        <v>1467.15234375</v>
      </c>
      <c r="AW973" s="21">
        <f t="shared" si="127"/>
        <v>8.7853433757485028E-2</v>
      </c>
    </row>
    <row r="974" spans="1:49" x14ac:dyDescent="0.25">
      <c r="A974" t="s">
        <v>38</v>
      </c>
      <c r="B974" t="s">
        <v>39</v>
      </c>
      <c r="C974">
        <v>116477</v>
      </c>
      <c r="D974">
        <v>2018</v>
      </c>
      <c r="E974" t="s">
        <v>97</v>
      </c>
      <c r="F974" t="s">
        <v>159</v>
      </c>
      <c r="G974" t="s">
        <v>155</v>
      </c>
      <c r="H974" t="s">
        <v>89</v>
      </c>
      <c r="I974">
        <v>8</v>
      </c>
      <c r="J974" t="s">
        <v>61</v>
      </c>
      <c r="K974">
        <v>4</v>
      </c>
      <c r="L974" t="s">
        <v>44</v>
      </c>
      <c r="M974">
        <v>5.3</v>
      </c>
      <c r="N974" t="s">
        <v>73</v>
      </c>
      <c r="O974" t="s">
        <v>46</v>
      </c>
      <c r="Q974" t="s">
        <v>74</v>
      </c>
      <c r="R974" t="s">
        <v>92</v>
      </c>
      <c r="S974" t="s">
        <v>49</v>
      </c>
      <c r="U974" t="s">
        <v>50</v>
      </c>
      <c r="W974" t="s">
        <v>424</v>
      </c>
      <c r="X974" t="s">
        <v>94</v>
      </c>
      <c r="Y974" t="s">
        <v>78</v>
      </c>
      <c r="AA974">
        <v>0</v>
      </c>
      <c r="AB974" t="s">
        <v>79</v>
      </c>
      <c r="AC974" t="s">
        <v>95</v>
      </c>
      <c r="AD974">
        <v>36</v>
      </c>
      <c r="AE974">
        <v>9</v>
      </c>
      <c r="AF974">
        <v>3</v>
      </c>
      <c r="AG974">
        <v>2025</v>
      </c>
      <c r="AH974" s="2">
        <v>13750</v>
      </c>
      <c r="AI974" s="2">
        <v>16448.03515625</v>
      </c>
      <c r="AJ974" s="2">
        <f t="shared" si="122"/>
        <v>2698.03515625</v>
      </c>
      <c r="AK974" s="6">
        <f t="shared" si="123"/>
        <v>0.19622073863636363</v>
      </c>
      <c r="AL974" s="12">
        <v>13750</v>
      </c>
      <c r="AM974" s="12">
        <v>14656.644912386029</v>
      </c>
      <c r="AN974" s="12">
        <f t="shared" si="124"/>
        <v>906.64491238602932</v>
      </c>
      <c r="AO974" s="13">
        <f t="shared" si="125"/>
        <v>6.593781180989304E-2</v>
      </c>
      <c r="AP974" s="16">
        <v>13750</v>
      </c>
      <c r="AQ974" s="16">
        <v>14097.228708717041</v>
      </c>
      <c r="AR974" s="16">
        <f t="shared" si="126"/>
        <v>347.22870871704072</v>
      </c>
      <c r="AS974" s="17">
        <f t="shared" si="120"/>
        <v>2.5252996997602962E-2</v>
      </c>
      <c r="AT974" s="20">
        <v>13750</v>
      </c>
      <c r="AU974" s="20">
        <v>15889.7802734375</v>
      </c>
      <c r="AV974" s="20">
        <f t="shared" si="121"/>
        <v>2139.7802734375</v>
      </c>
      <c r="AW974" s="21">
        <f t="shared" si="127"/>
        <v>0.15562038352272728</v>
      </c>
    </row>
    <row r="975" spans="1:49" x14ac:dyDescent="0.25">
      <c r="A975" t="s">
        <v>128</v>
      </c>
      <c r="B975" t="s">
        <v>129</v>
      </c>
      <c r="C975">
        <v>168534</v>
      </c>
      <c r="D975">
        <v>2022</v>
      </c>
      <c r="E975" t="s">
        <v>69</v>
      </c>
      <c r="F975" t="s">
        <v>1141</v>
      </c>
      <c r="H975" t="s">
        <v>105</v>
      </c>
      <c r="I975">
        <v>4</v>
      </c>
      <c r="J975" t="s">
        <v>135</v>
      </c>
      <c r="K975">
        <v>4</v>
      </c>
      <c r="L975" t="s">
        <v>44</v>
      </c>
      <c r="M975">
        <v>2</v>
      </c>
      <c r="N975" t="s">
        <v>45</v>
      </c>
      <c r="O975" t="s">
        <v>46</v>
      </c>
      <c r="P975">
        <v>2</v>
      </c>
      <c r="Q975" t="s">
        <v>74</v>
      </c>
      <c r="R975" t="s">
        <v>80</v>
      </c>
      <c r="U975" t="s">
        <v>50</v>
      </c>
      <c r="V975" t="s">
        <v>51</v>
      </c>
      <c r="W975" t="s">
        <v>64</v>
      </c>
      <c r="X975" t="s">
        <v>141</v>
      </c>
      <c r="Y975" t="s">
        <v>1142</v>
      </c>
      <c r="AA975">
        <v>0</v>
      </c>
      <c r="AB975" t="s">
        <v>79</v>
      </c>
      <c r="AC975" t="s">
        <v>80</v>
      </c>
      <c r="AD975">
        <v>36</v>
      </c>
      <c r="AE975">
        <v>9</v>
      </c>
      <c r="AF975">
        <v>3</v>
      </c>
      <c r="AG975">
        <v>2025</v>
      </c>
      <c r="AH975" s="2">
        <v>5300</v>
      </c>
      <c r="AI975" s="2">
        <v>6297.1103515625</v>
      </c>
      <c r="AJ975" s="2">
        <f t="shared" si="122"/>
        <v>997.1103515625</v>
      </c>
      <c r="AK975" s="6">
        <f t="shared" si="123"/>
        <v>0.18813402859669812</v>
      </c>
      <c r="AL975" s="12">
        <v>5300</v>
      </c>
      <c r="AM975" s="12">
        <v>7003.4480623714308</v>
      </c>
      <c r="AN975" s="12">
        <f t="shared" si="124"/>
        <v>1703.4480623714308</v>
      </c>
      <c r="AO975" s="13">
        <f t="shared" si="125"/>
        <v>0.32140529478706242</v>
      </c>
      <c r="AP975" s="16">
        <v>5300</v>
      </c>
      <c r="AQ975" s="16">
        <v>5939.6455560919367</v>
      </c>
      <c r="AR975" s="16">
        <f t="shared" si="126"/>
        <v>639.64555609193667</v>
      </c>
      <c r="AS975" s="17">
        <f t="shared" si="120"/>
        <v>0.12068784077206353</v>
      </c>
      <c r="AT975" s="20">
        <v>5300</v>
      </c>
      <c r="AU975" s="20">
        <v>6476.03515625</v>
      </c>
      <c r="AV975" s="20">
        <f t="shared" si="121"/>
        <v>1176.03515625</v>
      </c>
      <c r="AW975" s="21">
        <f t="shared" si="127"/>
        <v>0.22189342570754716</v>
      </c>
    </row>
    <row r="976" spans="1:49" x14ac:dyDescent="0.25">
      <c r="A976" t="s">
        <v>38</v>
      </c>
      <c r="B976" t="s">
        <v>96</v>
      </c>
      <c r="C976">
        <v>128919</v>
      </c>
      <c r="D976">
        <v>2012</v>
      </c>
      <c r="E976" t="s">
        <v>399</v>
      </c>
      <c r="F976" t="s">
        <v>768</v>
      </c>
      <c r="G976" t="s">
        <v>1143</v>
      </c>
      <c r="I976">
        <v>4</v>
      </c>
      <c r="J976" t="s">
        <v>43</v>
      </c>
      <c r="K976">
        <v>4</v>
      </c>
      <c r="L976" t="s">
        <v>44</v>
      </c>
      <c r="M976">
        <v>2.5</v>
      </c>
      <c r="N976" t="s">
        <v>44</v>
      </c>
      <c r="O976" t="s">
        <v>46</v>
      </c>
      <c r="Q976" t="s">
        <v>62</v>
      </c>
      <c r="R976" t="s">
        <v>63</v>
      </c>
      <c r="S976" t="s">
        <v>85</v>
      </c>
      <c r="W976" t="s">
        <v>1144</v>
      </c>
      <c r="X976" t="s">
        <v>65</v>
      </c>
      <c r="Y976" t="s">
        <v>78</v>
      </c>
      <c r="AA976">
        <v>0</v>
      </c>
      <c r="AB976" t="s">
        <v>79</v>
      </c>
      <c r="AC976" t="s">
        <v>87</v>
      </c>
      <c r="AD976">
        <v>36</v>
      </c>
      <c r="AE976">
        <v>9</v>
      </c>
      <c r="AF976">
        <v>3</v>
      </c>
      <c r="AG976">
        <v>2025</v>
      </c>
      <c r="AH976" s="2">
        <v>4200</v>
      </c>
      <c r="AI976" s="2">
        <v>2778.656982421875</v>
      </c>
      <c r="AJ976" s="2">
        <f t="shared" si="122"/>
        <v>1421.343017578125</v>
      </c>
      <c r="AK976" s="6">
        <f t="shared" si="123"/>
        <v>0.33841500418526788</v>
      </c>
      <c r="AL976" s="12">
        <v>4200</v>
      </c>
      <c r="AM976" s="12">
        <v>2775.3437936754849</v>
      </c>
      <c r="AN976" s="12">
        <f t="shared" si="124"/>
        <v>1424.6562063245151</v>
      </c>
      <c r="AO976" s="13">
        <f t="shared" si="125"/>
        <v>0.33920385864869407</v>
      </c>
      <c r="AP976" s="16">
        <v>4200</v>
      </c>
      <c r="AQ976" s="16">
        <v>2720.9432473144252</v>
      </c>
      <c r="AR976" s="16">
        <f t="shared" si="126"/>
        <v>1479.0567526855748</v>
      </c>
      <c r="AS976" s="17">
        <f t="shared" si="120"/>
        <v>0.35215636968704161</v>
      </c>
      <c r="AT976" s="20">
        <v>4200</v>
      </c>
      <c r="AU976" s="20">
        <v>2779.89111328125</v>
      </c>
      <c r="AV976" s="20">
        <f t="shared" si="121"/>
        <v>1420.10888671875</v>
      </c>
      <c r="AW976" s="21">
        <f t="shared" si="127"/>
        <v>0.33812116350446431</v>
      </c>
    </row>
    <row r="977" spans="1:49" x14ac:dyDescent="0.25">
      <c r="A977" t="s">
        <v>128</v>
      </c>
      <c r="B977" t="s">
        <v>129</v>
      </c>
      <c r="C977">
        <v>148055</v>
      </c>
      <c r="D977">
        <v>2015</v>
      </c>
      <c r="E977" t="s">
        <v>40</v>
      </c>
      <c r="F977" t="s">
        <v>297</v>
      </c>
      <c r="H977" t="s">
        <v>298</v>
      </c>
      <c r="I977">
        <v>4</v>
      </c>
      <c r="J977" t="s">
        <v>106</v>
      </c>
      <c r="K977">
        <v>4</v>
      </c>
      <c r="L977" t="s">
        <v>44</v>
      </c>
      <c r="M977">
        <v>2.5</v>
      </c>
      <c r="N977" t="s">
        <v>45</v>
      </c>
      <c r="O977" t="s">
        <v>46</v>
      </c>
      <c r="P977">
        <v>3</v>
      </c>
      <c r="Q977" t="s">
        <v>47</v>
      </c>
      <c r="R977" t="s">
        <v>123</v>
      </c>
      <c r="S977" t="s">
        <v>49</v>
      </c>
      <c r="T977">
        <v>268</v>
      </c>
      <c r="U977" t="s">
        <v>50</v>
      </c>
      <c r="V977" t="s">
        <v>51</v>
      </c>
      <c r="W977" t="s">
        <v>236</v>
      </c>
      <c r="X977" t="s">
        <v>125</v>
      </c>
      <c r="Y977" t="s">
        <v>78</v>
      </c>
      <c r="AA977">
        <v>0</v>
      </c>
      <c r="AB977" t="s">
        <v>79</v>
      </c>
      <c r="AC977" t="s">
        <v>127</v>
      </c>
      <c r="AD977">
        <v>36</v>
      </c>
      <c r="AE977">
        <v>9</v>
      </c>
      <c r="AF977">
        <v>3</v>
      </c>
      <c r="AG977">
        <v>2025</v>
      </c>
      <c r="AH977" s="2">
        <v>6000</v>
      </c>
      <c r="AI977" s="2">
        <v>4207.212890625</v>
      </c>
      <c r="AJ977" s="2">
        <f t="shared" si="122"/>
        <v>1792.787109375</v>
      </c>
      <c r="AK977" s="6">
        <f t="shared" si="123"/>
        <v>0.29879785156249999</v>
      </c>
      <c r="AL977" s="12">
        <v>6000</v>
      </c>
      <c r="AM977" s="12">
        <v>4640.4422862776182</v>
      </c>
      <c r="AN977" s="12">
        <f t="shared" si="124"/>
        <v>1359.5577137223818</v>
      </c>
      <c r="AO977" s="13">
        <f t="shared" si="125"/>
        <v>0.22659295228706364</v>
      </c>
      <c r="AP977" s="16">
        <v>6000</v>
      </c>
      <c r="AQ977" s="16">
        <v>3354.029748230219</v>
      </c>
      <c r="AR977" s="16">
        <f t="shared" si="126"/>
        <v>2645.970251769781</v>
      </c>
      <c r="AS977" s="17">
        <f t="shared" si="120"/>
        <v>0.4409950419616302</v>
      </c>
      <c r="AT977" s="20">
        <v>6000</v>
      </c>
      <c r="AU977" s="20">
        <v>4292.5126953125</v>
      </c>
      <c r="AV977" s="20">
        <f t="shared" si="121"/>
        <v>1707.4873046875</v>
      </c>
      <c r="AW977" s="21">
        <f t="shared" si="127"/>
        <v>0.28458121744791665</v>
      </c>
    </row>
    <row r="978" spans="1:49" x14ac:dyDescent="0.25">
      <c r="A978" t="s">
        <v>128</v>
      </c>
      <c r="B978" t="s">
        <v>210</v>
      </c>
      <c r="C978">
        <v>119906</v>
      </c>
      <c r="D978">
        <v>2019</v>
      </c>
      <c r="E978" t="s">
        <v>40</v>
      </c>
      <c r="F978" t="s">
        <v>201</v>
      </c>
      <c r="G978" t="s">
        <v>1106</v>
      </c>
      <c r="H978" t="s">
        <v>203</v>
      </c>
      <c r="I978">
        <v>4</v>
      </c>
      <c r="J978" t="s">
        <v>106</v>
      </c>
      <c r="K978">
        <v>4</v>
      </c>
      <c r="L978" t="s">
        <v>44</v>
      </c>
      <c r="M978">
        <v>1.8</v>
      </c>
      <c r="N978" t="s">
        <v>45</v>
      </c>
      <c r="O978" t="s">
        <v>46</v>
      </c>
      <c r="Q978" t="s">
        <v>47</v>
      </c>
      <c r="R978" t="s">
        <v>123</v>
      </c>
      <c r="S978" t="s">
        <v>49</v>
      </c>
      <c r="T978">
        <v>132</v>
      </c>
      <c r="U978" t="s">
        <v>50</v>
      </c>
      <c r="V978" t="s">
        <v>51</v>
      </c>
      <c r="W978" t="s">
        <v>204</v>
      </c>
      <c r="X978" t="s">
        <v>125</v>
      </c>
      <c r="Y978" t="s">
        <v>103</v>
      </c>
      <c r="AA978">
        <v>0</v>
      </c>
      <c r="AB978" t="s">
        <v>79</v>
      </c>
      <c r="AC978" t="s">
        <v>127</v>
      </c>
      <c r="AD978">
        <v>36</v>
      </c>
      <c r="AE978">
        <v>9</v>
      </c>
      <c r="AF978">
        <v>3</v>
      </c>
      <c r="AG978">
        <v>2025</v>
      </c>
      <c r="AH978" s="2">
        <v>7200</v>
      </c>
      <c r="AI978" s="2">
        <v>6021.826171875</v>
      </c>
      <c r="AJ978" s="2">
        <f t="shared" si="122"/>
        <v>1178.173828125</v>
      </c>
      <c r="AK978" s="6">
        <f t="shared" si="123"/>
        <v>0.16363525390625</v>
      </c>
      <c r="AL978" s="12">
        <v>7200</v>
      </c>
      <c r="AM978" s="12">
        <v>7358.0864964600423</v>
      </c>
      <c r="AN978" s="12">
        <f t="shared" si="124"/>
        <v>158.08649646004233</v>
      </c>
      <c r="AO978" s="13">
        <f t="shared" si="125"/>
        <v>2.1956457841672546E-2</v>
      </c>
      <c r="AP978" s="16">
        <v>7200</v>
      </c>
      <c r="AQ978" s="16">
        <v>6575.3443477137907</v>
      </c>
      <c r="AR978" s="16">
        <f t="shared" si="126"/>
        <v>624.65565228620926</v>
      </c>
      <c r="AS978" s="17">
        <f t="shared" si="120"/>
        <v>8.6757729484195731E-2</v>
      </c>
      <c r="AT978" s="20">
        <v>7200</v>
      </c>
      <c r="AU978" s="20">
        <v>6154.61279296875</v>
      </c>
      <c r="AV978" s="20">
        <f t="shared" si="121"/>
        <v>1045.38720703125</v>
      </c>
      <c r="AW978" s="21">
        <f t="shared" si="127"/>
        <v>0.14519266764322916</v>
      </c>
    </row>
    <row r="979" spans="1:49" x14ac:dyDescent="0.25">
      <c r="A979" t="s">
        <v>81</v>
      </c>
      <c r="B979" t="s">
        <v>186</v>
      </c>
      <c r="C979">
        <v>56056</v>
      </c>
      <c r="D979">
        <v>2023</v>
      </c>
      <c r="E979" t="s">
        <v>88</v>
      </c>
      <c r="F979" t="s">
        <v>89</v>
      </c>
      <c r="G979" t="s">
        <v>262</v>
      </c>
      <c r="H979" t="s">
        <v>176</v>
      </c>
      <c r="I979">
        <v>6</v>
      </c>
      <c r="J979" t="s">
        <v>122</v>
      </c>
      <c r="K979">
        <v>4</v>
      </c>
      <c r="L979" t="s">
        <v>44</v>
      </c>
      <c r="M979">
        <v>3.6</v>
      </c>
      <c r="N979" t="s">
        <v>91</v>
      </c>
      <c r="O979" t="s">
        <v>46</v>
      </c>
      <c r="P979">
        <v>3</v>
      </c>
      <c r="Q979" t="s">
        <v>74</v>
      </c>
      <c r="R979" t="s">
        <v>92</v>
      </c>
      <c r="S979" t="s">
        <v>93</v>
      </c>
      <c r="T979">
        <v>305</v>
      </c>
      <c r="U979" t="s">
        <v>50</v>
      </c>
      <c r="V979" t="s">
        <v>76</v>
      </c>
      <c r="X979" t="s">
        <v>94</v>
      </c>
      <c r="Y979" t="s">
        <v>78</v>
      </c>
      <c r="AA979">
        <v>0</v>
      </c>
      <c r="AB979" t="s">
        <v>79</v>
      </c>
      <c r="AC979" t="s">
        <v>95</v>
      </c>
      <c r="AD979">
        <v>36</v>
      </c>
      <c r="AE979">
        <v>9</v>
      </c>
      <c r="AF979">
        <v>3</v>
      </c>
      <c r="AG979">
        <v>2025</v>
      </c>
      <c r="AH979" s="2">
        <v>23400</v>
      </c>
      <c r="AI979" s="2">
        <v>24383.5390625</v>
      </c>
      <c r="AJ979" s="2">
        <f t="shared" si="122"/>
        <v>983.5390625</v>
      </c>
      <c r="AK979" s="6">
        <f t="shared" si="123"/>
        <v>4.2031583867521365E-2</v>
      </c>
      <c r="AL979" s="12">
        <v>23400</v>
      </c>
      <c r="AM979" s="12">
        <v>26854.612894319511</v>
      </c>
      <c r="AN979" s="12">
        <f t="shared" si="124"/>
        <v>3454.6128943195108</v>
      </c>
      <c r="AO979" s="13">
        <f t="shared" si="125"/>
        <v>0.14763302967177397</v>
      </c>
      <c r="AP979" s="16">
        <v>23400</v>
      </c>
      <c r="AQ979" s="16">
        <v>25273.605651693371</v>
      </c>
      <c r="AR979" s="16">
        <f t="shared" si="126"/>
        <v>1873.6056516933713</v>
      </c>
      <c r="AS979" s="17">
        <f t="shared" si="120"/>
        <v>8.0068617593733821E-2</v>
      </c>
      <c r="AT979" s="20">
        <v>23400</v>
      </c>
      <c r="AU979" s="20">
        <v>24792.259765625</v>
      </c>
      <c r="AV979" s="20">
        <f t="shared" si="121"/>
        <v>1392.259765625</v>
      </c>
      <c r="AW979" s="21">
        <f t="shared" si="127"/>
        <v>5.9498280582264959E-2</v>
      </c>
    </row>
    <row r="980" spans="1:49" x14ac:dyDescent="0.25">
      <c r="A980" t="s">
        <v>38</v>
      </c>
      <c r="B980" t="s">
        <v>96</v>
      </c>
      <c r="C980">
        <v>117071</v>
      </c>
      <c r="D980">
        <v>2019</v>
      </c>
      <c r="E980" t="s">
        <v>97</v>
      </c>
      <c r="F980" t="s">
        <v>98</v>
      </c>
      <c r="G980" t="s">
        <v>199</v>
      </c>
      <c r="I980">
        <v>4</v>
      </c>
      <c r="J980" t="s">
        <v>106</v>
      </c>
      <c r="K980">
        <v>4</v>
      </c>
      <c r="L980" t="s">
        <v>44</v>
      </c>
      <c r="M980">
        <v>1.5</v>
      </c>
      <c r="N980" t="s">
        <v>45</v>
      </c>
      <c r="O980" t="s">
        <v>46</v>
      </c>
      <c r="P980">
        <v>4</v>
      </c>
      <c r="Q980" t="s">
        <v>62</v>
      </c>
      <c r="R980" t="s">
        <v>63</v>
      </c>
      <c r="S980" t="s">
        <v>101</v>
      </c>
      <c r="U980" t="s">
        <v>50</v>
      </c>
      <c r="V980" t="s">
        <v>51</v>
      </c>
      <c r="W980" t="s">
        <v>879</v>
      </c>
      <c r="X980" t="s">
        <v>65</v>
      </c>
      <c r="Y980" t="s">
        <v>103</v>
      </c>
      <c r="Z980">
        <v>27095</v>
      </c>
      <c r="AA980">
        <v>0</v>
      </c>
      <c r="AB980" t="s">
        <v>79</v>
      </c>
      <c r="AC980" t="s">
        <v>87</v>
      </c>
      <c r="AD980">
        <v>36</v>
      </c>
      <c r="AE980">
        <v>9</v>
      </c>
      <c r="AF980">
        <v>3</v>
      </c>
      <c r="AG980">
        <v>2025</v>
      </c>
      <c r="AH980" s="2">
        <v>7750</v>
      </c>
      <c r="AI980" s="2">
        <v>8914.05859375</v>
      </c>
      <c r="AJ980" s="2">
        <f t="shared" si="122"/>
        <v>1164.05859375</v>
      </c>
      <c r="AK980" s="6">
        <f t="shared" si="123"/>
        <v>0.15020110887096774</v>
      </c>
      <c r="AL980" s="12">
        <v>7750</v>
      </c>
      <c r="AM980" s="12">
        <v>8259.6371992958066</v>
      </c>
      <c r="AN980" s="12">
        <f t="shared" si="124"/>
        <v>509.63719929580657</v>
      </c>
      <c r="AO980" s="13">
        <f t="shared" si="125"/>
        <v>6.5759638618813746E-2</v>
      </c>
      <c r="AP980" s="16">
        <v>7750</v>
      </c>
      <c r="AQ980" s="16">
        <v>7386.7132788487261</v>
      </c>
      <c r="AR980" s="16">
        <f t="shared" si="126"/>
        <v>363.28672115127392</v>
      </c>
      <c r="AS980" s="17">
        <f t="shared" si="120"/>
        <v>4.6875705955003087E-2</v>
      </c>
      <c r="AT980" s="20">
        <v>7750</v>
      </c>
      <c r="AU980" s="20">
        <v>8908.8740234375</v>
      </c>
      <c r="AV980" s="20">
        <f t="shared" si="121"/>
        <v>1158.8740234375</v>
      </c>
      <c r="AW980" s="21">
        <f t="shared" si="127"/>
        <v>0.14953213205645161</v>
      </c>
    </row>
    <row r="981" spans="1:49" x14ac:dyDescent="0.25">
      <c r="A981" t="s">
        <v>38</v>
      </c>
      <c r="B981" t="s">
        <v>68</v>
      </c>
      <c r="C981">
        <v>37058</v>
      </c>
      <c r="D981">
        <v>2024</v>
      </c>
      <c r="E981" t="s">
        <v>142</v>
      </c>
      <c r="F981" t="s">
        <v>1025</v>
      </c>
      <c r="H981" t="s">
        <v>118</v>
      </c>
      <c r="I981">
        <v>6</v>
      </c>
      <c r="J981" t="s">
        <v>135</v>
      </c>
      <c r="K981">
        <v>4</v>
      </c>
      <c r="L981" t="s">
        <v>44</v>
      </c>
      <c r="M981">
        <v>3.6</v>
      </c>
      <c r="N981" t="s">
        <v>91</v>
      </c>
      <c r="O981" t="s">
        <v>46</v>
      </c>
      <c r="P981">
        <v>3</v>
      </c>
      <c r="Q981" t="s">
        <v>62</v>
      </c>
      <c r="R981" t="s">
        <v>63</v>
      </c>
      <c r="S981" t="s">
        <v>93</v>
      </c>
      <c r="T981">
        <v>293</v>
      </c>
      <c r="U981" t="s">
        <v>50</v>
      </c>
      <c r="V981" t="s">
        <v>76</v>
      </c>
      <c r="X981" t="s">
        <v>94</v>
      </c>
      <c r="Y981" t="s">
        <v>78</v>
      </c>
      <c r="AA981">
        <v>0</v>
      </c>
      <c r="AB981" t="s">
        <v>79</v>
      </c>
      <c r="AC981" t="s">
        <v>109</v>
      </c>
      <c r="AD981">
        <v>36</v>
      </c>
      <c r="AE981">
        <v>9</v>
      </c>
      <c r="AF981">
        <v>3</v>
      </c>
      <c r="AG981">
        <v>2025</v>
      </c>
      <c r="AH981" s="2">
        <v>28500</v>
      </c>
      <c r="AI981" s="2">
        <v>27244.55078125</v>
      </c>
      <c r="AJ981" s="2">
        <f t="shared" si="122"/>
        <v>1255.44921875</v>
      </c>
      <c r="AK981" s="6">
        <f t="shared" si="123"/>
        <v>4.4050849780701756E-2</v>
      </c>
      <c r="AL981" s="12">
        <v>28500</v>
      </c>
      <c r="AM981" s="12">
        <v>35849.994317747973</v>
      </c>
      <c r="AN981" s="12">
        <f t="shared" si="124"/>
        <v>7349.9943177479727</v>
      </c>
      <c r="AO981" s="13">
        <f t="shared" si="125"/>
        <v>0.25789453746484114</v>
      </c>
      <c r="AP981" s="16">
        <v>28500</v>
      </c>
      <c r="AQ981" s="16">
        <v>30274.974562603169</v>
      </c>
      <c r="AR981" s="16">
        <f t="shared" si="126"/>
        <v>1774.974562603169</v>
      </c>
      <c r="AS981" s="17">
        <f t="shared" si="120"/>
        <v>6.2279809214146283E-2</v>
      </c>
      <c r="AT981" s="20">
        <v>28500</v>
      </c>
      <c r="AU981" s="20">
        <v>28321.515625</v>
      </c>
      <c r="AV981" s="20">
        <f t="shared" si="121"/>
        <v>178.484375</v>
      </c>
      <c r="AW981" s="21">
        <f t="shared" si="127"/>
        <v>6.2626096491228073E-3</v>
      </c>
    </row>
    <row r="982" spans="1:49" x14ac:dyDescent="0.25">
      <c r="A982" t="s">
        <v>38</v>
      </c>
      <c r="B982" t="s">
        <v>110</v>
      </c>
      <c r="C982">
        <v>187929</v>
      </c>
      <c r="D982">
        <v>2010</v>
      </c>
      <c r="E982" t="s">
        <v>69</v>
      </c>
      <c r="F982" t="s">
        <v>310</v>
      </c>
      <c r="G982" t="s">
        <v>112</v>
      </c>
      <c r="I982">
        <v>6</v>
      </c>
      <c r="J982" t="s">
        <v>135</v>
      </c>
      <c r="K982">
        <v>2</v>
      </c>
      <c r="L982" t="s">
        <v>44</v>
      </c>
      <c r="M982">
        <v>4</v>
      </c>
      <c r="N982" t="s">
        <v>73</v>
      </c>
      <c r="O982" t="s">
        <v>100</v>
      </c>
      <c r="Q982" t="s">
        <v>47</v>
      </c>
      <c r="R982" t="s">
        <v>197</v>
      </c>
      <c r="T982">
        <v>210</v>
      </c>
      <c r="U982" t="s">
        <v>50</v>
      </c>
      <c r="V982" t="s">
        <v>76</v>
      </c>
      <c r="W982" t="s">
        <v>625</v>
      </c>
      <c r="X982" t="s">
        <v>125</v>
      </c>
      <c r="Y982" t="s">
        <v>78</v>
      </c>
      <c r="AA982">
        <v>0</v>
      </c>
      <c r="AB982" t="s">
        <v>79</v>
      </c>
      <c r="AC982" t="s">
        <v>197</v>
      </c>
      <c r="AD982">
        <v>36</v>
      </c>
      <c r="AE982">
        <v>9</v>
      </c>
      <c r="AF982">
        <v>3</v>
      </c>
      <c r="AG982">
        <v>2025</v>
      </c>
      <c r="AH982" s="2">
        <v>800</v>
      </c>
      <c r="AI982" s="2">
        <v>848.42547607421875</v>
      </c>
      <c r="AJ982" s="2">
        <f t="shared" si="122"/>
        <v>48.42547607421875</v>
      </c>
      <c r="AK982" s="6">
        <f t="shared" si="123"/>
        <v>6.0531845092773436E-2</v>
      </c>
      <c r="AL982" s="12">
        <v>800</v>
      </c>
      <c r="AM982" s="12">
        <v>864.86853953228615</v>
      </c>
      <c r="AN982" s="12">
        <f t="shared" si="124"/>
        <v>64.86853953228615</v>
      </c>
      <c r="AO982" s="13">
        <f t="shared" si="125"/>
        <v>8.1085674415357689E-2</v>
      </c>
      <c r="AP982" s="16">
        <v>800</v>
      </c>
      <c r="AQ982" s="16">
        <v>819.26126143665283</v>
      </c>
      <c r="AR982" s="16">
        <f t="shared" si="126"/>
        <v>19.261261436652831</v>
      </c>
      <c r="AS982" s="17">
        <f t="shared" si="120"/>
        <v>2.4076576795816037E-2</v>
      </c>
      <c r="AT982" s="20">
        <v>800</v>
      </c>
      <c r="AU982" s="20">
        <v>801.1800537109375</v>
      </c>
      <c r="AV982" s="20">
        <f t="shared" si="121"/>
        <v>1.1800537109375</v>
      </c>
      <c r="AW982" s="21">
        <f t="shared" si="127"/>
        <v>1.475067138671875E-3</v>
      </c>
    </row>
    <row r="983" spans="1:49" x14ac:dyDescent="0.25">
      <c r="A983" t="s">
        <v>38</v>
      </c>
      <c r="B983" t="s">
        <v>39</v>
      </c>
      <c r="C983">
        <v>93151</v>
      </c>
      <c r="D983">
        <v>2018</v>
      </c>
      <c r="E983" t="s">
        <v>146</v>
      </c>
      <c r="F983" t="s">
        <v>887</v>
      </c>
      <c r="I983">
        <v>4</v>
      </c>
      <c r="J983" t="s">
        <v>61</v>
      </c>
      <c r="K983">
        <v>4</v>
      </c>
      <c r="L983" t="s">
        <v>44</v>
      </c>
      <c r="M983">
        <v>1.6</v>
      </c>
      <c r="N983" t="s">
        <v>45</v>
      </c>
      <c r="O983" t="s">
        <v>46</v>
      </c>
      <c r="Q983" t="s">
        <v>47</v>
      </c>
      <c r="R983" t="s">
        <v>48</v>
      </c>
      <c r="U983" t="s">
        <v>50</v>
      </c>
      <c r="X983" t="s">
        <v>125</v>
      </c>
      <c r="Y983" t="s">
        <v>126</v>
      </c>
      <c r="Z983">
        <v>18290</v>
      </c>
      <c r="AA983">
        <v>0</v>
      </c>
      <c r="AB983" t="s">
        <v>79</v>
      </c>
      <c r="AC983" t="s">
        <v>359</v>
      </c>
      <c r="AD983">
        <v>36</v>
      </c>
      <c r="AE983">
        <v>9</v>
      </c>
      <c r="AF983">
        <v>3</v>
      </c>
      <c r="AG983">
        <v>2025</v>
      </c>
      <c r="AH983" s="2">
        <v>8500</v>
      </c>
      <c r="AI983" s="2">
        <v>5566.56982421875</v>
      </c>
      <c r="AJ983" s="2">
        <f t="shared" si="122"/>
        <v>2933.43017578125</v>
      </c>
      <c r="AK983" s="6">
        <f t="shared" si="123"/>
        <v>0.34510943244485293</v>
      </c>
      <c r="AL983" s="12">
        <v>8500</v>
      </c>
      <c r="AM983" s="12">
        <v>5852.551615708494</v>
      </c>
      <c r="AN983" s="12">
        <f t="shared" si="124"/>
        <v>2647.448384291506</v>
      </c>
      <c r="AO983" s="13">
        <f t="shared" si="125"/>
        <v>0.3114645157990007</v>
      </c>
      <c r="AP983" s="16">
        <v>8500</v>
      </c>
      <c r="AQ983" s="16">
        <v>6126.8182922939523</v>
      </c>
      <c r="AR983" s="16">
        <f t="shared" si="126"/>
        <v>2373.1817077060477</v>
      </c>
      <c r="AS983" s="17">
        <f t="shared" si="120"/>
        <v>0.27919784796541736</v>
      </c>
      <c r="AT983" s="20">
        <v>8500</v>
      </c>
      <c r="AU983" s="20">
        <v>5643.3515625</v>
      </c>
      <c r="AV983" s="20">
        <f t="shared" si="121"/>
        <v>2856.6484375</v>
      </c>
      <c r="AW983" s="21">
        <f t="shared" si="127"/>
        <v>0.33607628676470586</v>
      </c>
    </row>
    <row r="984" spans="1:49" x14ac:dyDescent="0.25">
      <c r="A984" t="s">
        <v>38</v>
      </c>
      <c r="B984" t="s">
        <v>96</v>
      </c>
      <c r="C984">
        <v>166038</v>
      </c>
      <c r="D984">
        <v>2016</v>
      </c>
      <c r="E984" t="s">
        <v>69</v>
      </c>
      <c r="F984" t="s">
        <v>157</v>
      </c>
      <c r="G984" t="s">
        <v>118</v>
      </c>
      <c r="I984">
        <v>6</v>
      </c>
      <c r="J984" t="s">
        <v>135</v>
      </c>
      <c r="K984">
        <v>4</v>
      </c>
      <c r="L984" t="s">
        <v>44</v>
      </c>
      <c r="M984">
        <v>3.5</v>
      </c>
      <c r="N984" t="s">
        <v>45</v>
      </c>
      <c r="O984" t="s">
        <v>46</v>
      </c>
      <c r="P984">
        <v>2</v>
      </c>
      <c r="Q984" t="s">
        <v>62</v>
      </c>
      <c r="R984" t="s">
        <v>63</v>
      </c>
      <c r="S984" t="s">
        <v>101</v>
      </c>
      <c r="T984">
        <v>290</v>
      </c>
      <c r="U984" t="s">
        <v>50</v>
      </c>
      <c r="V984" t="s">
        <v>76</v>
      </c>
      <c r="X984" t="s">
        <v>94</v>
      </c>
      <c r="Y984" t="s">
        <v>78</v>
      </c>
      <c r="AA984">
        <v>0</v>
      </c>
      <c r="AB984" t="s">
        <v>79</v>
      </c>
      <c r="AC984" t="s">
        <v>87</v>
      </c>
      <c r="AD984">
        <v>36</v>
      </c>
      <c r="AE984">
        <v>9</v>
      </c>
      <c r="AF984">
        <v>3</v>
      </c>
      <c r="AG984">
        <v>2025</v>
      </c>
      <c r="AH984" s="2">
        <v>3600</v>
      </c>
      <c r="AI984" s="2">
        <v>3804.684814453125</v>
      </c>
      <c r="AJ984" s="2">
        <f t="shared" si="122"/>
        <v>204.684814453125</v>
      </c>
      <c r="AK984" s="6">
        <f t="shared" si="123"/>
        <v>5.6856892903645831E-2</v>
      </c>
      <c r="AL984" s="12">
        <v>3600</v>
      </c>
      <c r="AM984" s="12">
        <v>4025.237128830569</v>
      </c>
      <c r="AN984" s="12">
        <f t="shared" si="124"/>
        <v>425.23712883056896</v>
      </c>
      <c r="AO984" s="13">
        <f t="shared" si="125"/>
        <v>0.11812142467515804</v>
      </c>
      <c r="AP984" s="16">
        <v>3600</v>
      </c>
      <c r="AQ984" s="16">
        <v>3442.3669505928392</v>
      </c>
      <c r="AR984" s="16">
        <f t="shared" si="126"/>
        <v>157.6330494071608</v>
      </c>
      <c r="AS984" s="17">
        <f t="shared" si="120"/>
        <v>4.3786958168655778E-2</v>
      </c>
      <c r="AT984" s="20">
        <v>3600</v>
      </c>
      <c r="AU984" s="20">
        <v>3833.80908203125</v>
      </c>
      <c r="AV984" s="20">
        <f t="shared" si="121"/>
        <v>233.80908203125</v>
      </c>
      <c r="AW984" s="21">
        <f t="shared" si="127"/>
        <v>6.4946967230902777E-2</v>
      </c>
    </row>
    <row r="985" spans="1:49" x14ac:dyDescent="0.25">
      <c r="A985" t="s">
        <v>38</v>
      </c>
      <c r="B985" t="s">
        <v>39</v>
      </c>
      <c r="C985">
        <v>74582</v>
      </c>
      <c r="D985">
        <v>2013</v>
      </c>
      <c r="E985" t="s">
        <v>116</v>
      </c>
      <c r="F985" t="s">
        <v>1145</v>
      </c>
      <c r="G985" t="s">
        <v>1146</v>
      </c>
      <c r="I985">
        <v>4</v>
      </c>
      <c r="J985" t="s">
        <v>122</v>
      </c>
      <c r="K985">
        <v>4</v>
      </c>
      <c r="L985" t="s">
        <v>44</v>
      </c>
      <c r="M985">
        <v>2</v>
      </c>
      <c r="N985" t="s">
        <v>45</v>
      </c>
      <c r="O985" t="s">
        <v>46</v>
      </c>
      <c r="Q985" t="s">
        <v>47</v>
      </c>
      <c r="R985" t="s">
        <v>123</v>
      </c>
      <c r="S985" t="s">
        <v>101</v>
      </c>
      <c r="U985" t="s">
        <v>50</v>
      </c>
      <c r="X985" t="s">
        <v>125</v>
      </c>
      <c r="Y985" t="s">
        <v>78</v>
      </c>
      <c r="AA985">
        <v>0</v>
      </c>
      <c r="AB985" t="s">
        <v>79</v>
      </c>
      <c r="AC985" t="s">
        <v>127</v>
      </c>
      <c r="AD985">
        <v>36</v>
      </c>
      <c r="AE985">
        <v>9</v>
      </c>
      <c r="AF985">
        <v>3</v>
      </c>
      <c r="AG985">
        <v>2025</v>
      </c>
      <c r="AH985" s="2">
        <v>3000</v>
      </c>
      <c r="AI985" s="2">
        <v>3658.978759765625</v>
      </c>
      <c r="AJ985" s="2">
        <f t="shared" si="122"/>
        <v>658.978759765625</v>
      </c>
      <c r="AK985" s="6">
        <f t="shared" si="123"/>
        <v>0.21965958658854168</v>
      </c>
      <c r="AL985" s="12">
        <v>3000</v>
      </c>
      <c r="AM985" s="12">
        <v>3860.2548326063438</v>
      </c>
      <c r="AN985" s="12">
        <f t="shared" si="124"/>
        <v>860.25483260634383</v>
      </c>
      <c r="AO985" s="13">
        <f t="shared" si="125"/>
        <v>0.28675161086878126</v>
      </c>
      <c r="AP985" s="16">
        <v>3000</v>
      </c>
      <c r="AQ985" s="16">
        <v>2871.518439674554</v>
      </c>
      <c r="AR985" s="16">
        <f t="shared" si="126"/>
        <v>128.48156032544603</v>
      </c>
      <c r="AS985" s="17">
        <f t="shared" si="120"/>
        <v>4.2827186775148678E-2</v>
      </c>
      <c r="AT985" s="20">
        <v>3000</v>
      </c>
      <c r="AU985" s="20">
        <v>3696.721923828125</v>
      </c>
      <c r="AV985" s="20">
        <f t="shared" si="121"/>
        <v>696.721923828125</v>
      </c>
      <c r="AW985" s="21">
        <f t="shared" si="127"/>
        <v>0.23224064127604166</v>
      </c>
    </row>
    <row r="986" spans="1:49" x14ac:dyDescent="0.25">
      <c r="A986" t="s">
        <v>114</v>
      </c>
      <c r="B986" t="s">
        <v>491</v>
      </c>
      <c r="C986">
        <v>59060</v>
      </c>
      <c r="D986">
        <v>2023</v>
      </c>
      <c r="E986" t="s">
        <v>142</v>
      </c>
      <c r="F986" t="s">
        <v>373</v>
      </c>
      <c r="G986" t="s">
        <v>1147</v>
      </c>
      <c r="I986">
        <v>4</v>
      </c>
      <c r="J986" t="s">
        <v>61</v>
      </c>
      <c r="K986">
        <v>4</v>
      </c>
      <c r="L986" t="s">
        <v>44</v>
      </c>
      <c r="M986">
        <v>2</v>
      </c>
      <c r="N986" t="s">
        <v>91</v>
      </c>
      <c r="O986" t="s">
        <v>46</v>
      </c>
      <c r="P986">
        <v>4</v>
      </c>
      <c r="Q986" t="s">
        <v>62</v>
      </c>
      <c r="R986" t="s">
        <v>63</v>
      </c>
      <c r="S986" t="s">
        <v>93</v>
      </c>
      <c r="T986">
        <v>375</v>
      </c>
      <c r="U986" t="s">
        <v>601</v>
      </c>
      <c r="V986" t="s">
        <v>51</v>
      </c>
      <c r="X986" t="s">
        <v>94</v>
      </c>
      <c r="Y986" t="s">
        <v>78</v>
      </c>
      <c r="AA986">
        <v>1</v>
      </c>
      <c r="AB986" t="s">
        <v>603</v>
      </c>
      <c r="AC986" t="s">
        <v>67</v>
      </c>
      <c r="AD986">
        <v>36</v>
      </c>
      <c r="AE986">
        <v>9</v>
      </c>
      <c r="AF986">
        <v>3</v>
      </c>
      <c r="AG986">
        <v>2025</v>
      </c>
      <c r="AH986" s="2">
        <v>22300</v>
      </c>
      <c r="AI986" s="2">
        <v>26697.529296875</v>
      </c>
      <c r="AJ986" s="2">
        <f t="shared" si="122"/>
        <v>4397.529296875</v>
      </c>
      <c r="AK986" s="6">
        <f t="shared" si="123"/>
        <v>0.19719862317825113</v>
      </c>
      <c r="AL986" s="12">
        <v>22300</v>
      </c>
      <c r="AM986" s="12">
        <v>31203.12501145112</v>
      </c>
      <c r="AN986" s="12">
        <f t="shared" si="124"/>
        <v>8903.1250114511204</v>
      </c>
      <c r="AO986" s="13">
        <f t="shared" si="125"/>
        <v>0.39924327405610405</v>
      </c>
      <c r="AP986" s="16">
        <v>22300</v>
      </c>
      <c r="AQ986" s="16">
        <v>25940.730158737671</v>
      </c>
      <c r="AR986" s="16">
        <f t="shared" si="126"/>
        <v>3640.7301587376714</v>
      </c>
      <c r="AS986" s="17">
        <f t="shared" si="120"/>
        <v>0.16326144209585972</v>
      </c>
      <c r="AT986" s="20">
        <v>22300</v>
      </c>
      <c r="AU986" s="20">
        <v>27285.740234375</v>
      </c>
      <c r="AV986" s="20">
        <f t="shared" si="121"/>
        <v>4985.740234375</v>
      </c>
      <c r="AW986" s="21">
        <f t="shared" si="127"/>
        <v>0.22357579526345292</v>
      </c>
    </row>
    <row r="987" spans="1:49" x14ac:dyDescent="0.25">
      <c r="A987" t="s">
        <v>38</v>
      </c>
      <c r="B987" t="s">
        <v>110</v>
      </c>
      <c r="C987">
        <v>81518</v>
      </c>
      <c r="D987">
        <v>2021</v>
      </c>
      <c r="E987" t="s">
        <v>162</v>
      </c>
      <c r="F987" t="s">
        <v>736</v>
      </c>
      <c r="G987" t="s">
        <v>224</v>
      </c>
      <c r="I987">
        <v>4</v>
      </c>
      <c r="J987" t="s">
        <v>106</v>
      </c>
      <c r="K987">
        <v>4</v>
      </c>
      <c r="L987" t="s">
        <v>44</v>
      </c>
      <c r="M987">
        <v>2</v>
      </c>
      <c r="N987" t="s">
        <v>45</v>
      </c>
      <c r="O987" t="s">
        <v>46</v>
      </c>
      <c r="P987">
        <v>2</v>
      </c>
      <c r="Q987" t="s">
        <v>62</v>
      </c>
      <c r="R987" t="s">
        <v>63</v>
      </c>
      <c r="S987" t="s">
        <v>49</v>
      </c>
      <c r="T987">
        <v>147</v>
      </c>
      <c r="U987" t="s">
        <v>50</v>
      </c>
      <c r="W987" t="s">
        <v>463</v>
      </c>
      <c r="X987" t="s">
        <v>53</v>
      </c>
      <c r="Y987" t="s">
        <v>66</v>
      </c>
      <c r="AA987">
        <v>0</v>
      </c>
      <c r="AB987" t="s">
        <v>79</v>
      </c>
      <c r="AC987" t="s">
        <v>87</v>
      </c>
      <c r="AD987">
        <v>36</v>
      </c>
      <c r="AE987">
        <v>9</v>
      </c>
      <c r="AF987">
        <v>3</v>
      </c>
      <c r="AG987">
        <v>2025</v>
      </c>
      <c r="AH987" s="2">
        <v>7600</v>
      </c>
      <c r="AI987" s="2">
        <v>7249.19384765625</v>
      </c>
      <c r="AJ987" s="2">
        <f t="shared" si="122"/>
        <v>350.80615234375</v>
      </c>
      <c r="AK987" s="6">
        <f t="shared" si="123"/>
        <v>4.6158704255756577E-2</v>
      </c>
      <c r="AL987" s="12">
        <v>7600</v>
      </c>
      <c r="AM987" s="12">
        <v>8083.0479989719342</v>
      </c>
      <c r="AN987" s="12">
        <f t="shared" si="124"/>
        <v>483.04799897193425</v>
      </c>
      <c r="AO987" s="13">
        <f t="shared" si="125"/>
        <v>6.3558947233149241E-2</v>
      </c>
      <c r="AP987" s="16">
        <v>7600</v>
      </c>
      <c r="AQ987" s="16">
        <v>6915.5301738927037</v>
      </c>
      <c r="AR987" s="16">
        <f t="shared" si="126"/>
        <v>684.46982610729629</v>
      </c>
      <c r="AS987" s="17">
        <f t="shared" si="120"/>
        <v>9.0061819224644249E-2</v>
      </c>
      <c r="AT987" s="20">
        <v>7600</v>
      </c>
      <c r="AU987" s="20">
        <v>7448.1015625</v>
      </c>
      <c r="AV987" s="20">
        <f t="shared" si="121"/>
        <v>151.8984375</v>
      </c>
      <c r="AW987" s="21">
        <f t="shared" si="127"/>
        <v>1.9986636513157893E-2</v>
      </c>
    </row>
    <row r="988" spans="1:49" x14ac:dyDescent="0.25">
      <c r="A988" t="s">
        <v>38</v>
      </c>
      <c r="B988" t="s">
        <v>39</v>
      </c>
      <c r="C988">
        <v>191492</v>
      </c>
      <c r="D988">
        <v>2013</v>
      </c>
      <c r="E988" t="s">
        <v>97</v>
      </c>
      <c r="F988" t="s">
        <v>379</v>
      </c>
      <c r="G988" t="s">
        <v>590</v>
      </c>
      <c r="I988">
        <v>4</v>
      </c>
      <c r="J988" t="s">
        <v>106</v>
      </c>
      <c r="K988">
        <v>4</v>
      </c>
      <c r="L988" t="s">
        <v>44</v>
      </c>
      <c r="M988">
        <v>1.4</v>
      </c>
      <c r="N988" t="s">
        <v>45</v>
      </c>
      <c r="O988" t="s">
        <v>46</v>
      </c>
      <c r="Q988" t="s">
        <v>47</v>
      </c>
      <c r="R988" t="s">
        <v>123</v>
      </c>
      <c r="U988" t="s">
        <v>50</v>
      </c>
      <c r="V988" t="s">
        <v>51</v>
      </c>
      <c r="W988" t="s">
        <v>381</v>
      </c>
      <c r="X988" t="s">
        <v>125</v>
      </c>
      <c r="Y988" t="s">
        <v>78</v>
      </c>
      <c r="AA988">
        <v>0</v>
      </c>
      <c r="AB988" t="s">
        <v>79</v>
      </c>
      <c r="AC988" t="s">
        <v>127</v>
      </c>
      <c r="AD988">
        <v>36</v>
      </c>
      <c r="AE988">
        <v>9</v>
      </c>
      <c r="AF988">
        <v>3</v>
      </c>
      <c r="AG988">
        <v>2025</v>
      </c>
      <c r="AH988" s="2">
        <v>2000</v>
      </c>
      <c r="AI988" s="2">
        <v>1346.789428710938</v>
      </c>
      <c r="AJ988" s="2">
        <f t="shared" si="122"/>
        <v>653.21057128906205</v>
      </c>
      <c r="AK988" s="6">
        <f t="shared" si="123"/>
        <v>0.32660528564453101</v>
      </c>
      <c r="AL988" s="12">
        <v>2000</v>
      </c>
      <c r="AM988" s="12">
        <v>1426.687994412099</v>
      </c>
      <c r="AN988" s="12">
        <f t="shared" si="124"/>
        <v>573.31200558790101</v>
      </c>
      <c r="AO988" s="13">
        <f t="shared" si="125"/>
        <v>0.28665600279395048</v>
      </c>
      <c r="AP988" s="16">
        <v>2000</v>
      </c>
      <c r="AQ988" s="16">
        <v>1161.8702731222279</v>
      </c>
      <c r="AR988" s="16">
        <f t="shared" si="126"/>
        <v>838.1297268777721</v>
      </c>
      <c r="AS988" s="17">
        <f t="shared" si="120"/>
        <v>0.41906486343888605</v>
      </c>
      <c r="AT988" s="20">
        <v>2000</v>
      </c>
      <c r="AU988" s="20">
        <v>1340.781616210938</v>
      </c>
      <c r="AV988" s="20">
        <f t="shared" si="121"/>
        <v>659.21838378906205</v>
      </c>
      <c r="AW988" s="21">
        <f t="shared" si="127"/>
        <v>0.32960919189453103</v>
      </c>
    </row>
    <row r="989" spans="1:49" x14ac:dyDescent="0.25">
      <c r="A989" t="s">
        <v>128</v>
      </c>
      <c r="B989" t="s">
        <v>210</v>
      </c>
      <c r="C989">
        <v>123738</v>
      </c>
      <c r="D989">
        <v>2008</v>
      </c>
      <c r="E989" t="s">
        <v>142</v>
      </c>
      <c r="F989" t="s">
        <v>649</v>
      </c>
      <c r="G989" t="s">
        <v>112</v>
      </c>
      <c r="H989" t="s">
        <v>775</v>
      </c>
      <c r="I989">
        <v>4</v>
      </c>
      <c r="J989" t="s">
        <v>72</v>
      </c>
      <c r="K989">
        <v>4</v>
      </c>
      <c r="L989" t="s">
        <v>44</v>
      </c>
      <c r="M989">
        <v>2.4</v>
      </c>
      <c r="N989" t="s">
        <v>45</v>
      </c>
      <c r="O989" t="s">
        <v>46</v>
      </c>
      <c r="Q989" t="s">
        <v>62</v>
      </c>
      <c r="R989" t="s">
        <v>63</v>
      </c>
      <c r="S989" t="s">
        <v>101</v>
      </c>
      <c r="U989" t="s">
        <v>50</v>
      </c>
      <c r="V989" t="s">
        <v>51</v>
      </c>
      <c r="X989" t="s">
        <v>65</v>
      </c>
      <c r="Y989" t="s">
        <v>78</v>
      </c>
      <c r="AA989">
        <v>0</v>
      </c>
      <c r="AB989" t="s">
        <v>79</v>
      </c>
      <c r="AC989" t="s">
        <v>87</v>
      </c>
      <c r="AD989">
        <v>36</v>
      </c>
      <c r="AE989">
        <v>9</v>
      </c>
      <c r="AF989">
        <v>3</v>
      </c>
      <c r="AG989">
        <v>2025</v>
      </c>
      <c r="AH989" s="2">
        <v>750</v>
      </c>
      <c r="AI989" s="2">
        <v>1224.613159179688</v>
      </c>
      <c r="AJ989" s="2">
        <f t="shared" si="122"/>
        <v>474.61315917968795</v>
      </c>
      <c r="AK989" s="6">
        <f t="shared" si="123"/>
        <v>0.63281754557291725</v>
      </c>
      <c r="AL989" s="12">
        <v>750</v>
      </c>
      <c r="AM989" s="12">
        <v>1328.3520798820939</v>
      </c>
      <c r="AN989" s="12">
        <f t="shared" si="124"/>
        <v>578.3520798820939</v>
      </c>
      <c r="AO989" s="13">
        <f t="shared" si="125"/>
        <v>0.77113610650945852</v>
      </c>
      <c r="AP989" s="16">
        <v>750</v>
      </c>
      <c r="AQ989" s="16">
        <v>1069.2817702855821</v>
      </c>
      <c r="AR989" s="16">
        <f t="shared" si="126"/>
        <v>319.28177028558207</v>
      </c>
      <c r="AS989" s="17">
        <f t="shared" si="120"/>
        <v>0.42570902704744273</v>
      </c>
      <c r="AT989" s="20">
        <v>750</v>
      </c>
      <c r="AU989" s="20">
        <v>1197.496704101562</v>
      </c>
      <c r="AV989" s="20">
        <f t="shared" si="121"/>
        <v>447.49670410156205</v>
      </c>
      <c r="AW989" s="21">
        <f t="shared" si="127"/>
        <v>0.59666227213541601</v>
      </c>
    </row>
    <row r="990" spans="1:49" x14ac:dyDescent="0.25">
      <c r="A990" t="s">
        <v>38</v>
      </c>
      <c r="B990" t="s">
        <v>39</v>
      </c>
      <c r="C990">
        <v>75915</v>
      </c>
      <c r="D990">
        <v>2018</v>
      </c>
      <c r="E990" t="s">
        <v>40</v>
      </c>
      <c r="F990" t="s">
        <v>1148</v>
      </c>
      <c r="G990" t="s">
        <v>1149</v>
      </c>
      <c r="H990" t="s">
        <v>1150</v>
      </c>
      <c r="I990">
        <v>4</v>
      </c>
      <c r="J990" t="s">
        <v>122</v>
      </c>
      <c r="K990">
        <v>4</v>
      </c>
      <c r="L990" t="s">
        <v>44</v>
      </c>
      <c r="M990">
        <v>2</v>
      </c>
      <c r="N990" t="s">
        <v>45</v>
      </c>
      <c r="O990" t="s">
        <v>46</v>
      </c>
      <c r="Q990" t="s">
        <v>47</v>
      </c>
      <c r="R990" t="s">
        <v>148</v>
      </c>
      <c r="S990" t="s">
        <v>101</v>
      </c>
      <c r="T990">
        <v>145</v>
      </c>
      <c r="U990" t="s">
        <v>50</v>
      </c>
      <c r="V990" t="s">
        <v>51</v>
      </c>
      <c r="W990" t="s">
        <v>1151</v>
      </c>
      <c r="X990" t="s">
        <v>125</v>
      </c>
      <c r="Y990" t="s">
        <v>1152</v>
      </c>
      <c r="Z990">
        <v>22500</v>
      </c>
      <c r="AA990">
        <v>0</v>
      </c>
      <c r="AB990" t="s">
        <v>79</v>
      </c>
      <c r="AC990" t="s">
        <v>87</v>
      </c>
      <c r="AD990">
        <v>36</v>
      </c>
      <c r="AE990">
        <v>9</v>
      </c>
      <c r="AF990">
        <v>3</v>
      </c>
      <c r="AG990">
        <v>2025</v>
      </c>
      <c r="AH990" s="2">
        <v>10500</v>
      </c>
      <c r="AI990" s="2">
        <v>8257.0341796875</v>
      </c>
      <c r="AJ990" s="2">
        <f t="shared" si="122"/>
        <v>2242.9658203125</v>
      </c>
      <c r="AK990" s="6">
        <f t="shared" si="123"/>
        <v>0.21361579241071429</v>
      </c>
      <c r="AL990" s="12">
        <v>10500</v>
      </c>
      <c r="AM990" s="12">
        <v>8243.9579419361216</v>
      </c>
      <c r="AN990" s="12">
        <f t="shared" si="124"/>
        <v>2256.0420580638784</v>
      </c>
      <c r="AO990" s="13">
        <f t="shared" si="125"/>
        <v>0.21486114838703604</v>
      </c>
      <c r="AP990" s="16">
        <v>10500</v>
      </c>
      <c r="AQ990" s="16">
        <v>9593.727188972025</v>
      </c>
      <c r="AR990" s="16">
        <f t="shared" si="126"/>
        <v>906.27281102797497</v>
      </c>
      <c r="AS990" s="17">
        <f t="shared" si="120"/>
        <v>8.6311696288378564E-2</v>
      </c>
      <c r="AT990" s="20">
        <v>10500</v>
      </c>
      <c r="AU990" s="20">
        <v>8350.0205078125</v>
      </c>
      <c r="AV990" s="20">
        <f t="shared" si="121"/>
        <v>2149.9794921875</v>
      </c>
      <c r="AW990" s="21">
        <f t="shared" si="127"/>
        <v>0.20475995163690477</v>
      </c>
    </row>
    <row r="991" spans="1:49" x14ac:dyDescent="0.25">
      <c r="A991" t="s">
        <v>38</v>
      </c>
      <c r="B991" t="s">
        <v>96</v>
      </c>
      <c r="C991">
        <v>166619</v>
      </c>
      <c r="D991">
        <v>2014</v>
      </c>
      <c r="E991" t="s">
        <v>305</v>
      </c>
      <c r="F991" t="s">
        <v>1153</v>
      </c>
      <c r="H991" t="s">
        <v>1154</v>
      </c>
      <c r="I991">
        <v>6</v>
      </c>
      <c r="J991" t="s">
        <v>61</v>
      </c>
      <c r="K991">
        <v>4</v>
      </c>
      <c r="L991" t="s">
        <v>44</v>
      </c>
      <c r="M991">
        <v>3.7</v>
      </c>
      <c r="N991" t="s">
        <v>44</v>
      </c>
      <c r="O991" t="s">
        <v>100</v>
      </c>
      <c r="P991">
        <v>1</v>
      </c>
      <c r="Q991" t="s">
        <v>47</v>
      </c>
      <c r="R991" t="s">
        <v>123</v>
      </c>
      <c r="S991" t="s">
        <v>85</v>
      </c>
      <c r="T991">
        <v>300</v>
      </c>
      <c r="U991" t="s">
        <v>50</v>
      </c>
      <c r="V991" t="s">
        <v>76</v>
      </c>
      <c r="X991" t="s">
        <v>125</v>
      </c>
      <c r="Y991" t="s">
        <v>126</v>
      </c>
      <c r="AA991">
        <v>0</v>
      </c>
      <c r="AB991" t="s">
        <v>79</v>
      </c>
      <c r="AC991" t="s">
        <v>127</v>
      </c>
      <c r="AD991">
        <v>36</v>
      </c>
      <c r="AE991">
        <v>9</v>
      </c>
      <c r="AF991">
        <v>3</v>
      </c>
      <c r="AG991">
        <v>2025</v>
      </c>
      <c r="AH991" s="2">
        <v>900</v>
      </c>
      <c r="AI991" s="2">
        <v>1092.534057617188</v>
      </c>
      <c r="AJ991" s="2">
        <f t="shared" si="122"/>
        <v>192.53405761718795</v>
      </c>
      <c r="AK991" s="6">
        <f t="shared" si="123"/>
        <v>0.2139267306857644</v>
      </c>
      <c r="AL991" s="12">
        <v>900</v>
      </c>
      <c r="AM991" s="12">
        <v>1130.016506152697</v>
      </c>
      <c r="AN991" s="12">
        <f t="shared" si="124"/>
        <v>230.01650615269705</v>
      </c>
      <c r="AO991" s="13">
        <f t="shared" si="125"/>
        <v>0.25557389572521894</v>
      </c>
      <c r="AP991" s="16">
        <v>900</v>
      </c>
      <c r="AQ991" s="16">
        <v>736.42170692743366</v>
      </c>
      <c r="AR991" s="16">
        <f t="shared" si="126"/>
        <v>163.57829307256634</v>
      </c>
      <c r="AS991" s="17">
        <f t="shared" si="120"/>
        <v>0.18175365896951814</v>
      </c>
      <c r="AT991" s="20">
        <v>900</v>
      </c>
      <c r="AU991" s="20">
        <v>1080.793212890625</v>
      </c>
      <c r="AV991" s="20">
        <f t="shared" si="121"/>
        <v>180.793212890625</v>
      </c>
      <c r="AW991" s="21">
        <f t="shared" si="127"/>
        <v>0.20088134765624999</v>
      </c>
    </row>
    <row r="992" spans="1:49" x14ac:dyDescent="0.25">
      <c r="A992" t="s">
        <v>38</v>
      </c>
      <c r="B992" t="s">
        <v>57</v>
      </c>
      <c r="C992">
        <v>155391</v>
      </c>
      <c r="D992">
        <v>2019</v>
      </c>
      <c r="E992" t="s">
        <v>69</v>
      </c>
      <c r="F992" t="s">
        <v>231</v>
      </c>
      <c r="I992">
        <v>8</v>
      </c>
      <c r="J992" t="s">
        <v>72</v>
      </c>
      <c r="K992">
        <v>4</v>
      </c>
      <c r="L992" t="s">
        <v>44</v>
      </c>
      <c r="M992">
        <v>5</v>
      </c>
      <c r="N992" t="s">
        <v>73</v>
      </c>
      <c r="O992" t="s">
        <v>46</v>
      </c>
      <c r="P992">
        <v>3</v>
      </c>
      <c r="Q992" t="s">
        <v>74</v>
      </c>
      <c r="R992" t="s">
        <v>92</v>
      </c>
      <c r="S992" t="s">
        <v>49</v>
      </c>
      <c r="T992">
        <v>395</v>
      </c>
      <c r="U992" t="s">
        <v>50</v>
      </c>
      <c r="V992" t="s">
        <v>76</v>
      </c>
      <c r="W992" t="s">
        <v>652</v>
      </c>
      <c r="X992" t="s">
        <v>94</v>
      </c>
      <c r="Y992" t="s">
        <v>78</v>
      </c>
      <c r="AA992">
        <v>0</v>
      </c>
      <c r="AB992" t="s">
        <v>79</v>
      </c>
      <c r="AC992" t="s">
        <v>95</v>
      </c>
      <c r="AD992">
        <v>36</v>
      </c>
      <c r="AE992">
        <v>9</v>
      </c>
      <c r="AF992">
        <v>3</v>
      </c>
      <c r="AG992">
        <v>2025</v>
      </c>
      <c r="AH992" s="2">
        <v>6900</v>
      </c>
      <c r="AI992" s="2">
        <v>8670.2490234375</v>
      </c>
      <c r="AJ992" s="2">
        <f t="shared" si="122"/>
        <v>1770.2490234375</v>
      </c>
      <c r="AK992" s="6">
        <f t="shared" si="123"/>
        <v>0.25655782948369565</v>
      </c>
      <c r="AL992" s="12">
        <v>6900</v>
      </c>
      <c r="AM992" s="12">
        <v>11799.42648296713</v>
      </c>
      <c r="AN992" s="12">
        <f t="shared" si="124"/>
        <v>4899.4264829671301</v>
      </c>
      <c r="AO992" s="13">
        <f t="shared" si="125"/>
        <v>0.71006180912567107</v>
      </c>
      <c r="AP992" s="16">
        <v>6900</v>
      </c>
      <c r="AQ992" s="16">
        <v>8746.197059155038</v>
      </c>
      <c r="AR992" s="16">
        <f t="shared" si="126"/>
        <v>1846.197059155038</v>
      </c>
      <c r="AS992" s="17">
        <f t="shared" si="120"/>
        <v>0.26756479118188958</v>
      </c>
      <c r="AT992" s="20">
        <v>6900</v>
      </c>
      <c r="AU992" s="20">
        <v>9290.1171875</v>
      </c>
      <c r="AV992" s="20">
        <f t="shared" si="121"/>
        <v>2390.1171875</v>
      </c>
      <c r="AW992" s="21">
        <f t="shared" si="127"/>
        <v>0.34639379528985509</v>
      </c>
    </row>
    <row r="993" spans="1:49" x14ac:dyDescent="0.25">
      <c r="A993" t="s">
        <v>128</v>
      </c>
      <c r="B993" t="s">
        <v>210</v>
      </c>
      <c r="C993">
        <v>186411</v>
      </c>
      <c r="D993">
        <v>2008</v>
      </c>
      <c r="E993" t="s">
        <v>166</v>
      </c>
      <c r="F993" t="s">
        <v>167</v>
      </c>
      <c r="G993" t="s">
        <v>581</v>
      </c>
      <c r="I993">
        <v>6</v>
      </c>
      <c r="J993" t="s">
        <v>61</v>
      </c>
      <c r="K993">
        <v>4</v>
      </c>
      <c r="L993" t="s">
        <v>44</v>
      </c>
      <c r="M993">
        <v>3.5</v>
      </c>
      <c r="N993" t="s">
        <v>45</v>
      </c>
      <c r="O993" t="s">
        <v>46</v>
      </c>
      <c r="Q993" t="s">
        <v>62</v>
      </c>
      <c r="R993" t="s">
        <v>63</v>
      </c>
      <c r="S993" t="s">
        <v>101</v>
      </c>
      <c r="T993">
        <v>244</v>
      </c>
      <c r="U993" t="s">
        <v>50</v>
      </c>
      <c r="V993" t="s">
        <v>76</v>
      </c>
      <c r="W993" t="s">
        <v>986</v>
      </c>
      <c r="X993" t="s">
        <v>141</v>
      </c>
      <c r="Y993" t="s">
        <v>78</v>
      </c>
      <c r="AA993">
        <v>0</v>
      </c>
      <c r="AB993" t="s">
        <v>79</v>
      </c>
      <c r="AC993" t="s">
        <v>87</v>
      </c>
      <c r="AD993">
        <v>36</v>
      </c>
      <c r="AE993">
        <v>9</v>
      </c>
      <c r="AF993">
        <v>3</v>
      </c>
      <c r="AG993">
        <v>2025</v>
      </c>
      <c r="AH993" s="2">
        <v>500</v>
      </c>
      <c r="AI993" s="2">
        <v>1542.494873046875</v>
      </c>
      <c r="AJ993" s="2">
        <f t="shared" si="122"/>
        <v>1042.494873046875</v>
      </c>
      <c r="AK993" s="6">
        <f t="shared" si="123"/>
        <v>2.0849897460937501</v>
      </c>
      <c r="AL993" s="12">
        <v>500</v>
      </c>
      <c r="AM993" s="12">
        <v>1869.0390449434069</v>
      </c>
      <c r="AN993" s="12">
        <f t="shared" si="124"/>
        <v>1369.0390449434069</v>
      </c>
      <c r="AO993" s="13">
        <f t="shared" si="125"/>
        <v>2.7380780898868138</v>
      </c>
      <c r="AP993" s="16">
        <v>500</v>
      </c>
      <c r="AQ993" s="16">
        <v>1442.02312829775</v>
      </c>
      <c r="AR993" s="16">
        <f t="shared" si="126"/>
        <v>942.02312829774996</v>
      </c>
      <c r="AS993" s="17">
        <f t="shared" si="120"/>
        <v>1.8840462565954998</v>
      </c>
      <c r="AT993" s="20">
        <v>500</v>
      </c>
      <c r="AU993" s="20">
        <v>1533.56884765625</v>
      </c>
      <c r="AV993" s="20">
        <f t="shared" si="121"/>
        <v>1033.56884765625</v>
      </c>
      <c r="AW993" s="21">
        <f t="shared" si="127"/>
        <v>2.0671376953124998</v>
      </c>
    </row>
    <row r="994" spans="1:49" x14ac:dyDescent="0.25">
      <c r="A994" t="s">
        <v>38</v>
      </c>
      <c r="B994" t="s">
        <v>96</v>
      </c>
      <c r="C994">
        <v>107638</v>
      </c>
      <c r="D994">
        <v>2018</v>
      </c>
      <c r="E994" t="s">
        <v>166</v>
      </c>
      <c r="F994" t="s">
        <v>562</v>
      </c>
      <c r="G994" t="s">
        <v>240</v>
      </c>
      <c r="I994">
        <v>4</v>
      </c>
      <c r="J994" t="s">
        <v>72</v>
      </c>
      <c r="K994">
        <v>4</v>
      </c>
      <c r="L994" t="s">
        <v>44</v>
      </c>
      <c r="M994">
        <v>1.5</v>
      </c>
      <c r="N994" t="s">
        <v>45</v>
      </c>
      <c r="O994" t="s">
        <v>46</v>
      </c>
      <c r="P994">
        <v>4</v>
      </c>
      <c r="Q994" t="s">
        <v>47</v>
      </c>
      <c r="R994" t="s">
        <v>123</v>
      </c>
      <c r="S994" t="s">
        <v>49</v>
      </c>
      <c r="T994">
        <v>192</v>
      </c>
      <c r="U994" t="s">
        <v>50</v>
      </c>
      <c r="V994" t="s">
        <v>51</v>
      </c>
      <c r="W994" t="s">
        <v>249</v>
      </c>
      <c r="X994" t="s">
        <v>65</v>
      </c>
      <c r="Y994" t="s">
        <v>78</v>
      </c>
      <c r="Z994">
        <v>23570</v>
      </c>
      <c r="AA994">
        <v>0</v>
      </c>
      <c r="AB994" t="s">
        <v>79</v>
      </c>
      <c r="AC994" t="s">
        <v>127</v>
      </c>
      <c r="AD994">
        <v>36</v>
      </c>
      <c r="AE994">
        <v>9</v>
      </c>
      <c r="AF994">
        <v>3</v>
      </c>
      <c r="AG994">
        <v>2025</v>
      </c>
      <c r="AH994" s="2">
        <v>12200</v>
      </c>
      <c r="AI994" s="2">
        <v>14257.9189453125</v>
      </c>
      <c r="AJ994" s="2">
        <f t="shared" si="122"/>
        <v>2057.9189453125</v>
      </c>
      <c r="AK994" s="6">
        <f t="shared" si="123"/>
        <v>0.16868188076331966</v>
      </c>
      <c r="AL994" s="12">
        <v>12200</v>
      </c>
      <c r="AM994" s="12">
        <v>11934.972375721291</v>
      </c>
      <c r="AN994" s="12">
        <f t="shared" si="124"/>
        <v>265.02762427870948</v>
      </c>
      <c r="AO994" s="13">
        <f t="shared" si="125"/>
        <v>2.1723575760549958E-2</v>
      </c>
      <c r="AP994" s="16">
        <v>12200</v>
      </c>
      <c r="AQ994" s="16">
        <v>10494.12821853614</v>
      </c>
      <c r="AR994" s="16">
        <f t="shared" si="126"/>
        <v>1705.8717814638603</v>
      </c>
      <c r="AS994" s="17">
        <f t="shared" si="120"/>
        <v>0.13982555585769346</v>
      </c>
      <c r="AT994" s="20">
        <v>12200</v>
      </c>
      <c r="AU994" s="20">
        <v>13782.2841796875</v>
      </c>
      <c r="AV994" s="20">
        <f t="shared" si="121"/>
        <v>1582.2841796875</v>
      </c>
      <c r="AW994" s="21">
        <f t="shared" si="127"/>
        <v>0.12969542456454919</v>
      </c>
    </row>
    <row r="995" spans="1:49" x14ac:dyDescent="0.25">
      <c r="A995" t="s">
        <v>38</v>
      </c>
      <c r="B995" t="s">
        <v>110</v>
      </c>
      <c r="C995">
        <v>122927</v>
      </c>
      <c r="D995">
        <v>2020</v>
      </c>
      <c r="E995" t="s">
        <v>97</v>
      </c>
      <c r="F995" t="s">
        <v>419</v>
      </c>
      <c r="G995" t="s">
        <v>199</v>
      </c>
      <c r="I995">
        <v>8</v>
      </c>
      <c r="J995" t="s">
        <v>106</v>
      </c>
      <c r="K995">
        <v>4</v>
      </c>
      <c r="L995" t="s">
        <v>44</v>
      </c>
      <c r="M995">
        <v>5.3</v>
      </c>
      <c r="N995" t="s">
        <v>73</v>
      </c>
      <c r="O995" t="s">
        <v>46</v>
      </c>
      <c r="P995">
        <v>3</v>
      </c>
      <c r="Q995" t="s">
        <v>62</v>
      </c>
      <c r="R995" t="s">
        <v>63</v>
      </c>
      <c r="S995" t="s">
        <v>49</v>
      </c>
      <c r="U995" t="s">
        <v>50</v>
      </c>
      <c r="W995" t="s">
        <v>1016</v>
      </c>
      <c r="X995" t="s">
        <v>108</v>
      </c>
      <c r="Y995" t="s">
        <v>78</v>
      </c>
      <c r="AA995">
        <v>0</v>
      </c>
      <c r="AB995" t="s">
        <v>79</v>
      </c>
      <c r="AC995" t="s">
        <v>109</v>
      </c>
      <c r="AD995">
        <v>36</v>
      </c>
      <c r="AE995">
        <v>9</v>
      </c>
      <c r="AF995">
        <v>3</v>
      </c>
      <c r="AG995">
        <v>2025</v>
      </c>
      <c r="AH995" s="2">
        <v>13000</v>
      </c>
      <c r="AI995" s="2">
        <v>18846.638671875</v>
      </c>
      <c r="AJ995" s="2">
        <f t="shared" si="122"/>
        <v>5846.638671875</v>
      </c>
      <c r="AK995" s="6">
        <f t="shared" si="123"/>
        <v>0.44974143629807695</v>
      </c>
      <c r="AL995" s="12">
        <v>13000</v>
      </c>
      <c r="AM995" s="12">
        <v>20064.93324095762</v>
      </c>
      <c r="AN995" s="12">
        <f t="shared" si="124"/>
        <v>7064.93324095762</v>
      </c>
      <c r="AO995" s="13">
        <f t="shared" si="125"/>
        <v>0.54345640315058619</v>
      </c>
      <c r="AP995" s="16">
        <v>13000</v>
      </c>
      <c r="AQ995" s="16">
        <v>14348.96807596898</v>
      </c>
      <c r="AR995" s="16">
        <f t="shared" si="126"/>
        <v>1348.96807596898</v>
      </c>
      <c r="AS995" s="17">
        <f t="shared" si="120"/>
        <v>0.10376677507453692</v>
      </c>
      <c r="AT995" s="20">
        <v>13000</v>
      </c>
      <c r="AU995" s="20">
        <v>19001.91015625</v>
      </c>
      <c r="AV995" s="20">
        <f t="shared" si="121"/>
        <v>6001.91015625</v>
      </c>
      <c r="AW995" s="21">
        <f t="shared" si="127"/>
        <v>0.46168539663461539</v>
      </c>
    </row>
    <row r="996" spans="1:49" x14ac:dyDescent="0.25">
      <c r="A996" t="s">
        <v>38</v>
      </c>
      <c r="B996" t="s">
        <v>370</v>
      </c>
      <c r="C996">
        <v>43263</v>
      </c>
      <c r="D996">
        <v>2024</v>
      </c>
      <c r="E996" t="s">
        <v>97</v>
      </c>
      <c r="F996" t="s">
        <v>470</v>
      </c>
      <c r="G996" t="s">
        <v>513</v>
      </c>
      <c r="I996">
        <v>4</v>
      </c>
      <c r="J996" t="s">
        <v>72</v>
      </c>
      <c r="K996">
        <v>4</v>
      </c>
      <c r="L996" t="s">
        <v>44</v>
      </c>
      <c r="M996">
        <v>1.5</v>
      </c>
      <c r="N996" t="s">
        <v>45</v>
      </c>
      <c r="O996" t="s">
        <v>46</v>
      </c>
      <c r="P996">
        <v>4</v>
      </c>
      <c r="Q996" t="s">
        <v>47</v>
      </c>
      <c r="R996" t="s">
        <v>123</v>
      </c>
      <c r="U996" t="s">
        <v>50</v>
      </c>
      <c r="V996" t="s">
        <v>51</v>
      </c>
      <c r="W996" t="s">
        <v>751</v>
      </c>
      <c r="X996" t="s">
        <v>53</v>
      </c>
      <c r="Y996" t="s">
        <v>78</v>
      </c>
      <c r="AA996">
        <v>0</v>
      </c>
      <c r="AB996" t="s">
        <v>79</v>
      </c>
      <c r="AC996" t="s">
        <v>127</v>
      </c>
      <c r="AD996">
        <v>36</v>
      </c>
      <c r="AE996">
        <v>9</v>
      </c>
      <c r="AF996">
        <v>3</v>
      </c>
      <c r="AG996">
        <v>2025</v>
      </c>
      <c r="AH996" s="2">
        <v>16900</v>
      </c>
      <c r="AI996" s="2">
        <v>18324.986328125</v>
      </c>
      <c r="AJ996" s="2">
        <f t="shared" si="122"/>
        <v>1424.986328125</v>
      </c>
      <c r="AK996" s="6">
        <f t="shared" si="123"/>
        <v>8.4318717640532545E-2</v>
      </c>
      <c r="AL996" s="12">
        <v>16900</v>
      </c>
      <c r="AM996" s="12">
        <v>22915.08612913085</v>
      </c>
      <c r="AN996" s="12">
        <f t="shared" si="124"/>
        <v>6015.0861291308502</v>
      </c>
      <c r="AO996" s="13">
        <f t="shared" si="125"/>
        <v>0.35592225616158879</v>
      </c>
      <c r="AP996" s="16">
        <v>16900</v>
      </c>
      <c r="AQ996" s="16">
        <v>17508.267269633219</v>
      </c>
      <c r="AR996" s="16">
        <f t="shared" si="126"/>
        <v>608.26726963321926</v>
      </c>
      <c r="AS996" s="17">
        <f t="shared" si="120"/>
        <v>3.5992146132143153E-2</v>
      </c>
      <c r="AT996" s="20">
        <v>16900</v>
      </c>
      <c r="AU996" s="20">
        <v>18806.095703125</v>
      </c>
      <c r="AV996" s="20">
        <f t="shared" si="121"/>
        <v>1906.095703125</v>
      </c>
      <c r="AW996" s="21">
        <f t="shared" si="127"/>
        <v>0.11278672799556214</v>
      </c>
    </row>
    <row r="997" spans="1:49" x14ac:dyDescent="0.25">
      <c r="A997" t="s">
        <v>128</v>
      </c>
      <c r="B997" t="s">
        <v>129</v>
      </c>
      <c r="C997">
        <v>169515</v>
      </c>
      <c r="D997">
        <v>2014</v>
      </c>
      <c r="E997" t="s">
        <v>399</v>
      </c>
      <c r="F997" t="s">
        <v>492</v>
      </c>
      <c r="G997" t="s">
        <v>1155</v>
      </c>
      <c r="I997">
        <v>4</v>
      </c>
      <c r="J997" t="s">
        <v>122</v>
      </c>
      <c r="K997">
        <v>4</v>
      </c>
      <c r="L997" t="s">
        <v>44</v>
      </c>
      <c r="M997">
        <v>2</v>
      </c>
      <c r="N997" t="s">
        <v>44</v>
      </c>
      <c r="Q997" t="s">
        <v>62</v>
      </c>
      <c r="R997" t="s">
        <v>63</v>
      </c>
      <c r="S997" t="s">
        <v>85</v>
      </c>
      <c r="U997" t="s">
        <v>50</v>
      </c>
      <c r="W997" t="s">
        <v>1156</v>
      </c>
      <c r="X997" t="s">
        <v>65</v>
      </c>
      <c r="Y997" t="s">
        <v>54</v>
      </c>
      <c r="AA997">
        <v>0</v>
      </c>
      <c r="AB997" t="s">
        <v>79</v>
      </c>
      <c r="AC997" t="s">
        <v>87</v>
      </c>
      <c r="AD997">
        <v>36</v>
      </c>
      <c r="AE997">
        <v>9</v>
      </c>
      <c r="AF997">
        <v>3</v>
      </c>
      <c r="AG997">
        <v>2025</v>
      </c>
      <c r="AH997" s="2">
        <v>700</v>
      </c>
      <c r="AI997" s="2">
        <v>2126.809814453125</v>
      </c>
      <c r="AJ997" s="2">
        <f t="shared" si="122"/>
        <v>1426.809814453125</v>
      </c>
      <c r="AK997" s="6">
        <f t="shared" si="123"/>
        <v>2.0382997349330356</v>
      </c>
      <c r="AL997" s="12">
        <v>700</v>
      </c>
      <c r="AM997" s="12">
        <v>2281.8991499772542</v>
      </c>
      <c r="AN997" s="12">
        <f t="shared" si="124"/>
        <v>1581.8991499772542</v>
      </c>
      <c r="AO997" s="13">
        <f t="shared" si="125"/>
        <v>2.2598559285389346</v>
      </c>
      <c r="AP997" s="16">
        <v>700</v>
      </c>
      <c r="AQ997" s="16">
        <v>2336.8164901856239</v>
      </c>
      <c r="AR997" s="16">
        <f t="shared" si="126"/>
        <v>1636.8164901856239</v>
      </c>
      <c r="AS997" s="17">
        <f t="shared" si="120"/>
        <v>2.3383092716937486</v>
      </c>
      <c r="AT997" s="20">
        <v>700</v>
      </c>
      <c r="AU997" s="20">
        <v>2139.724365234375</v>
      </c>
      <c r="AV997" s="20">
        <f t="shared" si="121"/>
        <v>1439.724365234375</v>
      </c>
      <c r="AW997" s="21">
        <f t="shared" si="127"/>
        <v>2.0567490931919643</v>
      </c>
    </row>
    <row r="998" spans="1:49" x14ac:dyDescent="0.25">
      <c r="A998" t="s">
        <v>38</v>
      </c>
      <c r="B998" t="s">
        <v>96</v>
      </c>
      <c r="C998">
        <v>96247</v>
      </c>
      <c r="D998">
        <v>2020</v>
      </c>
      <c r="E998" t="s">
        <v>146</v>
      </c>
      <c r="F998" t="s">
        <v>334</v>
      </c>
      <c r="G998" t="s">
        <v>303</v>
      </c>
      <c r="I998">
        <v>4</v>
      </c>
      <c r="J998" t="s">
        <v>135</v>
      </c>
      <c r="K998">
        <v>4</v>
      </c>
      <c r="L998" t="s">
        <v>44</v>
      </c>
      <c r="M998">
        <v>2.5</v>
      </c>
      <c r="N998" t="s">
        <v>45</v>
      </c>
      <c r="O998" t="s">
        <v>46</v>
      </c>
      <c r="P998">
        <v>4</v>
      </c>
      <c r="Q998" t="s">
        <v>47</v>
      </c>
      <c r="R998" t="s">
        <v>123</v>
      </c>
      <c r="S998" t="s">
        <v>49</v>
      </c>
      <c r="U998" t="s">
        <v>50</v>
      </c>
      <c r="X998" t="s">
        <v>125</v>
      </c>
      <c r="Y998" t="s">
        <v>78</v>
      </c>
      <c r="Z998">
        <v>243000</v>
      </c>
      <c r="AA998">
        <v>0</v>
      </c>
      <c r="AB998" t="s">
        <v>79</v>
      </c>
      <c r="AC998" t="s">
        <v>127</v>
      </c>
      <c r="AD998">
        <v>36</v>
      </c>
      <c r="AE998">
        <v>9</v>
      </c>
      <c r="AF998">
        <v>3</v>
      </c>
      <c r="AG998">
        <v>2025</v>
      </c>
      <c r="AH998" s="2">
        <v>9750</v>
      </c>
      <c r="AI998" s="2">
        <v>10925.6572265625</v>
      </c>
      <c r="AJ998" s="2">
        <f t="shared" si="122"/>
        <v>1175.6572265625</v>
      </c>
      <c r="AK998" s="6">
        <f t="shared" si="123"/>
        <v>0.12058022836538461</v>
      </c>
      <c r="AL998" s="12">
        <v>9750</v>
      </c>
      <c r="AM998" s="12">
        <v>10586.51577450038</v>
      </c>
      <c r="AN998" s="12">
        <f t="shared" si="124"/>
        <v>836.51577450037985</v>
      </c>
      <c r="AO998" s="13">
        <f t="shared" si="125"/>
        <v>8.5796489692346656E-2</v>
      </c>
      <c r="AP998" s="16">
        <v>9750</v>
      </c>
      <c r="AQ998" s="16">
        <v>10254.51595324253</v>
      </c>
      <c r="AR998" s="16">
        <f t="shared" si="126"/>
        <v>504.51595324252958</v>
      </c>
      <c r="AS998" s="17">
        <f t="shared" si="120"/>
        <v>5.1745225973592775E-2</v>
      </c>
      <c r="AT998" s="20">
        <v>9750</v>
      </c>
      <c r="AU998" s="20">
        <v>10890.4716796875</v>
      </c>
      <c r="AV998" s="20">
        <f t="shared" si="121"/>
        <v>1140.4716796875</v>
      </c>
      <c r="AW998" s="21">
        <f t="shared" si="127"/>
        <v>0.11697145432692307</v>
      </c>
    </row>
    <row r="999" spans="1:49" x14ac:dyDescent="0.25">
      <c r="A999" t="s">
        <v>38</v>
      </c>
      <c r="B999" t="s">
        <v>39</v>
      </c>
      <c r="C999">
        <v>109611</v>
      </c>
      <c r="D999">
        <v>2013</v>
      </c>
      <c r="E999" t="s">
        <v>97</v>
      </c>
      <c r="F999" t="s">
        <v>198</v>
      </c>
      <c r="G999" t="s">
        <v>130</v>
      </c>
      <c r="I999">
        <v>6</v>
      </c>
      <c r="J999" t="s">
        <v>72</v>
      </c>
      <c r="K999">
        <v>4</v>
      </c>
      <c r="L999" t="s">
        <v>44</v>
      </c>
      <c r="M999">
        <v>3.6</v>
      </c>
      <c r="N999" t="s">
        <v>45</v>
      </c>
      <c r="O999" t="s">
        <v>46</v>
      </c>
      <c r="Q999" t="s">
        <v>62</v>
      </c>
      <c r="R999" t="s">
        <v>63</v>
      </c>
      <c r="S999" t="s">
        <v>101</v>
      </c>
      <c r="U999" t="s">
        <v>50</v>
      </c>
      <c r="V999" t="s">
        <v>76</v>
      </c>
      <c r="W999" t="s">
        <v>200</v>
      </c>
      <c r="X999" t="s">
        <v>94</v>
      </c>
      <c r="Y999" t="s">
        <v>78</v>
      </c>
      <c r="AA999">
        <v>0</v>
      </c>
      <c r="AB999" t="s">
        <v>79</v>
      </c>
      <c r="AC999" t="s">
        <v>87</v>
      </c>
      <c r="AD999">
        <v>36</v>
      </c>
      <c r="AE999">
        <v>9</v>
      </c>
      <c r="AF999">
        <v>3</v>
      </c>
      <c r="AG999">
        <v>2025</v>
      </c>
      <c r="AH999" s="2">
        <v>7200</v>
      </c>
      <c r="AI999" s="2">
        <v>5102.30859375</v>
      </c>
      <c r="AJ999" s="2">
        <f t="shared" si="122"/>
        <v>2097.69140625</v>
      </c>
      <c r="AK999" s="6">
        <f t="shared" si="123"/>
        <v>0.29134602864583331</v>
      </c>
      <c r="AL999" s="12">
        <v>7200</v>
      </c>
      <c r="AM999" s="12">
        <v>4400.9744536747257</v>
      </c>
      <c r="AN999" s="12">
        <f t="shared" si="124"/>
        <v>2799.0255463252743</v>
      </c>
      <c r="AO999" s="13">
        <f t="shared" si="125"/>
        <v>0.38875354810073254</v>
      </c>
      <c r="AP999" s="16">
        <v>7200</v>
      </c>
      <c r="AQ999" s="16">
        <v>3534.2847651743591</v>
      </c>
      <c r="AR999" s="16">
        <f t="shared" si="126"/>
        <v>3665.7152348256409</v>
      </c>
      <c r="AS999" s="17">
        <f t="shared" si="120"/>
        <v>0.50912711594800564</v>
      </c>
      <c r="AT999" s="20">
        <v>7200</v>
      </c>
      <c r="AU999" s="20">
        <v>5067.21337890625</v>
      </c>
      <c r="AV999" s="20">
        <f t="shared" si="121"/>
        <v>2132.78662109375</v>
      </c>
      <c r="AW999" s="21">
        <f t="shared" si="127"/>
        <v>0.2962203640407986</v>
      </c>
    </row>
    <row r="1000" spans="1:49" x14ac:dyDescent="0.25">
      <c r="A1000" t="s">
        <v>38</v>
      </c>
      <c r="B1000" t="s">
        <v>96</v>
      </c>
      <c r="C1000">
        <v>56765</v>
      </c>
      <c r="D1000">
        <v>2018</v>
      </c>
      <c r="E1000" t="s">
        <v>146</v>
      </c>
      <c r="F1000" t="s">
        <v>451</v>
      </c>
      <c r="I1000">
        <v>4</v>
      </c>
      <c r="J1000" t="s">
        <v>106</v>
      </c>
      <c r="K1000">
        <v>4</v>
      </c>
      <c r="L1000" t="s">
        <v>44</v>
      </c>
      <c r="M1000">
        <v>1.6</v>
      </c>
      <c r="N1000" t="s">
        <v>45</v>
      </c>
      <c r="O1000" t="s">
        <v>46</v>
      </c>
      <c r="P1000">
        <v>3</v>
      </c>
      <c r="Q1000" t="s">
        <v>47</v>
      </c>
      <c r="R1000" t="s">
        <v>123</v>
      </c>
      <c r="S1000" t="s">
        <v>49</v>
      </c>
      <c r="T1000">
        <v>109</v>
      </c>
      <c r="U1000" t="s">
        <v>50</v>
      </c>
      <c r="V1000" t="s">
        <v>51</v>
      </c>
      <c r="X1000" t="s">
        <v>125</v>
      </c>
      <c r="Y1000" t="s">
        <v>126</v>
      </c>
      <c r="Z1000">
        <v>13005</v>
      </c>
      <c r="AA1000">
        <v>0</v>
      </c>
      <c r="AB1000" t="s">
        <v>79</v>
      </c>
      <c r="AC1000" t="s">
        <v>127</v>
      </c>
      <c r="AD1000">
        <v>36</v>
      </c>
      <c r="AE1000">
        <v>9</v>
      </c>
      <c r="AF1000">
        <v>3</v>
      </c>
      <c r="AG1000">
        <v>2025</v>
      </c>
      <c r="AH1000" s="2">
        <v>4000</v>
      </c>
      <c r="AI1000" s="2">
        <v>5005.08642578125</v>
      </c>
      <c r="AJ1000" s="2">
        <f t="shared" si="122"/>
        <v>1005.08642578125</v>
      </c>
      <c r="AK1000" s="6">
        <f t="shared" si="123"/>
        <v>0.25127160644531249</v>
      </c>
      <c r="AL1000" s="12">
        <v>4000</v>
      </c>
      <c r="AM1000" s="12">
        <v>5699.9044085400519</v>
      </c>
      <c r="AN1000" s="12">
        <f t="shared" si="124"/>
        <v>1699.9044085400519</v>
      </c>
      <c r="AO1000" s="13">
        <f t="shared" si="125"/>
        <v>0.42497610213501297</v>
      </c>
      <c r="AP1000" s="16">
        <v>4000</v>
      </c>
      <c r="AQ1000" s="16">
        <v>4680.9525035449406</v>
      </c>
      <c r="AR1000" s="16">
        <f t="shared" si="126"/>
        <v>680.95250354494056</v>
      </c>
      <c r="AS1000" s="17">
        <f t="shared" si="120"/>
        <v>0.17023812588623513</v>
      </c>
      <c r="AT1000" s="20">
        <v>4000</v>
      </c>
      <c r="AU1000" s="20">
        <v>5124.3544921875</v>
      </c>
      <c r="AV1000" s="20">
        <f t="shared" si="121"/>
        <v>1124.3544921875</v>
      </c>
      <c r="AW1000" s="21">
        <f t="shared" si="127"/>
        <v>0.28108862304687499</v>
      </c>
    </row>
    <row r="1001" spans="1:49" x14ac:dyDescent="0.25">
      <c r="A1001" t="s">
        <v>38</v>
      </c>
      <c r="B1001" t="s">
        <v>110</v>
      </c>
      <c r="C1001">
        <v>106681</v>
      </c>
      <c r="D1001">
        <v>2017</v>
      </c>
      <c r="E1001" t="s">
        <v>69</v>
      </c>
      <c r="F1001" t="s">
        <v>310</v>
      </c>
      <c r="H1001" t="s">
        <v>1157</v>
      </c>
      <c r="I1001">
        <v>4</v>
      </c>
      <c r="J1001" t="s">
        <v>61</v>
      </c>
      <c r="K1001">
        <v>2</v>
      </c>
      <c r="L1001" t="s">
        <v>44</v>
      </c>
      <c r="M1001">
        <v>2.2999999999999998</v>
      </c>
      <c r="N1001" t="s">
        <v>73</v>
      </c>
      <c r="O1001" t="s">
        <v>46</v>
      </c>
      <c r="P1001">
        <v>2</v>
      </c>
      <c r="Q1001" t="s">
        <v>47</v>
      </c>
      <c r="R1001" t="s">
        <v>530</v>
      </c>
      <c r="T1001">
        <v>310</v>
      </c>
      <c r="U1001" t="s">
        <v>50</v>
      </c>
      <c r="V1001" t="s">
        <v>51</v>
      </c>
      <c r="W1001" t="s">
        <v>1158</v>
      </c>
      <c r="X1001" t="s">
        <v>125</v>
      </c>
      <c r="Y1001" t="s">
        <v>78</v>
      </c>
      <c r="Z1001">
        <v>35695</v>
      </c>
      <c r="AA1001">
        <v>0</v>
      </c>
      <c r="AB1001" t="s">
        <v>79</v>
      </c>
      <c r="AC1001" t="s">
        <v>531</v>
      </c>
      <c r="AD1001">
        <v>36</v>
      </c>
      <c r="AE1001">
        <v>9</v>
      </c>
      <c r="AF1001">
        <v>3</v>
      </c>
      <c r="AG1001">
        <v>2025</v>
      </c>
      <c r="AH1001" s="2">
        <v>5500</v>
      </c>
      <c r="AI1001" s="2">
        <v>5646.80810546875</v>
      </c>
      <c r="AJ1001" s="2">
        <f t="shared" si="122"/>
        <v>146.80810546875</v>
      </c>
      <c r="AK1001" s="6">
        <f t="shared" si="123"/>
        <v>2.6692382812499998E-2</v>
      </c>
      <c r="AL1001" s="12">
        <v>5500</v>
      </c>
      <c r="AM1001" s="12">
        <v>7221.8928668089084</v>
      </c>
      <c r="AN1001" s="12">
        <f t="shared" si="124"/>
        <v>1721.8928668089084</v>
      </c>
      <c r="AO1001" s="13">
        <f t="shared" si="125"/>
        <v>0.31307143032889245</v>
      </c>
      <c r="AP1001" s="16">
        <v>5500</v>
      </c>
      <c r="AQ1001" s="16">
        <v>6075.0166861333073</v>
      </c>
      <c r="AR1001" s="16">
        <f t="shared" si="126"/>
        <v>575.0166861333073</v>
      </c>
      <c r="AS1001" s="17">
        <f t="shared" si="120"/>
        <v>0.10454848838787406</v>
      </c>
      <c r="AT1001" s="20">
        <v>5500</v>
      </c>
      <c r="AU1001" s="20">
        <v>5846.94873046875</v>
      </c>
      <c r="AV1001" s="20">
        <f t="shared" si="121"/>
        <v>346.94873046875</v>
      </c>
      <c r="AW1001" s="21">
        <f t="shared" si="127"/>
        <v>6.3081587357954549E-2</v>
      </c>
    </row>
    <row r="1002" spans="1:49" x14ac:dyDescent="0.25">
      <c r="A1002" t="s">
        <v>38</v>
      </c>
      <c r="B1002" t="s">
        <v>68</v>
      </c>
      <c r="C1002">
        <v>89375</v>
      </c>
      <c r="D1002">
        <v>2022</v>
      </c>
      <c r="E1002" t="s">
        <v>88</v>
      </c>
      <c r="F1002" t="s">
        <v>89</v>
      </c>
      <c r="G1002" t="s">
        <v>262</v>
      </c>
      <c r="H1002" t="s">
        <v>921</v>
      </c>
      <c r="I1002">
        <v>8</v>
      </c>
      <c r="J1002" t="s">
        <v>72</v>
      </c>
      <c r="K1002">
        <v>4</v>
      </c>
      <c r="L1002" t="s">
        <v>44</v>
      </c>
      <c r="M1002">
        <v>5.7</v>
      </c>
      <c r="N1002" t="s">
        <v>73</v>
      </c>
      <c r="O1002" t="s">
        <v>46</v>
      </c>
      <c r="P1002">
        <v>2</v>
      </c>
      <c r="Q1002" t="s">
        <v>74</v>
      </c>
      <c r="R1002" t="s">
        <v>92</v>
      </c>
      <c r="S1002" t="s">
        <v>49</v>
      </c>
      <c r="T1002">
        <v>391</v>
      </c>
      <c r="U1002" t="s">
        <v>50</v>
      </c>
      <c r="V1002" t="s">
        <v>76</v>
      </c>
      <c r="X1002" t="s">
        <v>94</v>
      </c>
      <c r="Y1002" t="s">
        <v>126</v>
      </c>
      <c r="AA1002">
        <v>0</v>
      </c>
      <c r="AB1002" t="s">
        <v>79</v>
      </c>
      <c r="AC1002" t="s">
        <v>95</v>
      </c>
      <c r="AD1002">
        <v>36</v>
      </c>
      <c r="AE1002">
        <v>9</v>
      </c>
      <c r="AF1002">
        <v>3</v>
      </c>
      <c r="AG1002">
        <v>2025</v>
      </c>
      <c r="AH1002" s="2">
        <v>15500</v>
      </c>
      <c r="AI1002" s="2">
        <v>15338.6455078125</v>
      </c>
      <c r="AJ1002" s="2">
        <f t="shared" si="122"/>
        <v>161.3544921875</v>
      </c>
      <c r="AK1002" s="6">
        <f t="shared" si="123"/>
        <v>1.0409967237903226E-2</v>
      </c>
      <c r="AL1002" s="12">
        <v>15500</v>
      </c>
      <c r="AM1002" s="12">
        <v>16760.262889665559</v>
      </c>
      <c r="AN1002" s="12">
        <f t="shared" si="124"/>
        <v>1260.2628896655588</v>
      </c>
      <c r="AO1002" s="13">
        <f t="shared" si="125"/>
        <v>8.13072832042296E-2</v>
      </c>
      <c r="AP1002" s="16">
        <v>15500</v>
      </c>
      <c r="AQ1002" s="16">
        <v>15245.758278339799</v>
      </c>
      <c r="AR1002" s="16">
        <f t="shared" si="126"/>
        <v>254.24172166020071</v>
      </c>
      <c r="AS1002" s="17">
        <f t="shared" si="120"/>
        <v>1.6402691720012949E-2</v>
      </c>
      <c r="AT1002" s="20">
        <v>15500</v>
      </c>
      <c r="AU1002" s="20">
        <v>15621.88671875</v>
      </c>
      <c r="AV1002" s="20">
        <f t="shared" si="121"/>
        <v>121.88671875</v>
      </c>
      <c r="AW1002" s="21">
        <f t="shared" si="127"/>
        <v>7.8636592741935483E-3</v>
      </c>
    </row>
    <row r="1003" spans="1:49" x14ac:dyDescent="0.25">
      <c r="A1003" t="s">
        <v>128</v>
      </c>
      <c r="B1003" t="s">
        <v>210</v>
      </c>
      <c r="C1003">
        <v>98292</v>
      </c>
      <c r="D1003">
        <v>2014</v>
      </c>
      <c r="E1003" t="s">
        <v>69</v>
      </c>
      <c r="F1003" t="s">
        <v>690</v>
      </c>
      <c r="G1003" t="s">
        <v>224</v>
      </c>
      <c r="I1003">
        <v>4</v>
      </c>
      <c r="J1003" t="s">
        <v>43</v>
      </c>
      <c r="K1003">
        <v>4</v>
      </c>
      <c r="L1003" t="s">
        <v>44</v>
      </c>
      <c r="M1003">
        <v>2</v>
      </c>
      <c r="N1003" t="s">
        <v>45</v>
      </c>
      <c r="O1003" t="s">
        <v>46</v>
      </c>
      <c r="Q1003" t="s">
        <v>47</v>
      </c>
      <c r="R1003" t="s">
        <v>123</v>
      </c>
      <c r="T1003">
        <v>160</v>
      </c>
      <c r="U1003" t="s">
        <v>50</v>
      </c>
      <c r="V1003" t="s">
        <v>51</v>
      </c>
      <c r="X1003" t="s">
        <v>125</v>
      </c>
      <c r="Y1003" t="s">
        <v>78</v>
      </c>
      <c r="AA1003">
        <v>0</v>
      </c>
      <c r="AB1003" t="s">
        <v>79</v>
      </c>
      <c r="AC1003" t="s">
        <v>127</v>
      </c>
      <c r="AD1003">
        <v>36</v>
      </c>
      <c r="AE1003">
        <v>9</v>
      </c>
      <c r="AF1003">
        <v>3</v>
      </c>
      <c r="AG1003">
        <v>2025</v>
      </c>
      <c r="AH1003" s="2">
        <v>1500</v>
      </c>
      <c r="AI1003" s="2">
        <v>2270.50537109375</v>
      </c>
      <c r="AJ1003" s="2">
        <f t="shared" si="122"/>
        <v>770.50537109375</v>
      </c>
      <c r="AK1003" s="6">
        <f t="shared" si="123"/>
        <v>0.51367024739583333</v>
      </c>
      <c r="AL1003" s="12">
        <v>1500</v>
      </c>
      <c r="AM1003" s="12">
        <v>2845.1325772211922</v>
      </c>
      <c r="AN1003" s="12">
        <f t="shared" si="124"/>
        <v>1345.1325772211922</v>
      </c>
      <c r="AO1003" s="13">
        <f t="shared" si="125"/>
        <v>0.89675505148079482</v>
      </c>
      <c r="AP1003" s="16">
        <v>1500</v>
      </c>
      <c r="AQ1003" s="16">
        <v>2056.3536844428731</v>
      </c>
      <c r="AR1003" s="16">
        <f t="shared" si="126"/>
        <v>556.35368444287315</v>
      </c>
      <c r="AS1003" s="17">
        <f t="shared" si="120"/>
        <v>0.37090245629524876</v>
      </c>
      <c r="AT1003" s="20">
        <v>1500</v>
      </c>
      <c r="AU1003" s="20">
        <v>2298.394775390625</v>
      </c>
      <c r="AV1003" s="20">
        <f t="shared" si="121"/>
        <v>798.394775390625</v>
      </c>
      <c r="AW1003" s="21">
        <f t="shared" si="127"/>
        <v>0.53226318359375002</v>
      </c>
    </row>
    <row r="1004" spans="1:49" x14ac:dyDescent="0.25">
      <c r="A1004" t="s">
        <v>128</v>
      </c>
      <c r="B1004" t="s">
        <v>129</v>
      </c>
      <c r="C1004">
        <v>183723</v>
      </c>
      <c r="D1004">
        <v>2015</v>
      </c>
      <c r="E1004" t="s">
        <v>97</v>
      </c>
      <c r="F1004" t="s">
        <v>159</v>
      </c>
      <c r="G1004" t="s">
        <v>155</v>
      </c>
      <c r="H1004" t="s">
        <v>89</v>
      </c>
      <c r="I1004">
        <v>8</v>
      </c>
      <c r="J1004" t="s">
        <v>135</v>
      </c>
      <c r="K1004">
        <v>4</v>
      </c>
      <c r="L1004" t="s">
        <v>44</v>
      </c>
      <c r="M1004">
        <v>5.3</v>
      </c>
      <c r="N1004" t="s">
        <v>91</v>
      </c>
      <c r="Q1004" t="s">
        <v>74</v>
      </c>
      <c r="R1004" t="s">
        <v>92</v>
      </c>
      <c r="S1004" t="s">
        <v>93</v>
      </c>
      <c r="U1004" t="s">
        <v>50</v>
      </c>
      <c r="W1004" t="s">
        <v>473</v>
      </c>
      <c r="X1004" t="s">
        <v>108</v>
      </c>
      <c r="Y1004" t="s">
        <v>78</v>
      </c>
      <c r="AA1004">
        <v>0</v>
      </c>
      <c r="AB1004" t="s">
        <v>79</v>
      </c>
      <c r="AC1004" t="s">
        <v>95</v>
      </c>
      <c r="AD1004">
        <v>36</v>
      </c>
      <c r="AE1004">
        <v>9</v>
      </c>
      <c r="AF1004">
        <v>3</v>
      </c>
      <c r="AG1004">
        <v>2025</v>
      </c>
      <c r="AH1004" s="2">
        <v>7000</v>
      </c>
      <c r="AI1004" s="2">
        <v>8131.10693359375</v>
      </c>
      <c r="AJ1004" s="2">
        <f t="shared" si="122"/>
        <v>1131.10693359375</v>
      </c>
      <c r="AK1004" s="6">
        <f t="shared" si="123"/>
        <v>0.16158670479910714</v>
      </c>
      <c r="AL1004" s="12">
        <v>7000</v>
      </c>
      <c r="AM1004" s="12">
        <v>8930.6635708131234</v>
      </c>
      <c r="AN1004" s="12">
        <f t="shared" si="124"/>
        <v>1930.6635708131234</v>
      </c>
      <c r="AO1004" s="13">
        <f t="shared" si="125"/>
        <v>0.27580908154473194</v>
      </c>
      <c r="AP1004" s="16">
        <v>7000</v>
      </c>
      <c r="AQ1004" s="16">
        <v>8242.4771991340967</v>
      </c>
      <c r="AR1004" s="16">
        <f t="shared" si="126"/>
        <v>1242.4771991340967</v>
      </c>
      <c r="AS1004" s="17">
        <f t="shared" si="120"/>
        <v>0.1774967427334424</v>
      </c>
      <c r="AT1004" s="20">
        <v>7000</v>
      </c>
      <c r="AU1004" s="20">
        <v>8362.8916015625</v>
      </c>
      <c r="AV1004" s="20">
        <f t="shared" si="121"/>
        <v>1362.8916015625</v>
      </c>
      <c r="AW1004" s="21">
        <f t="shared" si="127"/>
        <v>0.19469880022321429</v>
      </c>
    </row>
    <row r="1005" spans="1:49" x14ac:dyDescent="0.25">
      <c r="A1005" t="s">
        <v>81</v>
      </c>
      <c r="B1005" t="s">
        <v>82</v>
      </c>
      <c r="C1005">
        <v>236854</v>
      </c>
      <c r="D1005">
        <v>2011</v>
      </c>
      <c r="E1005" t="s">
        <v>40</v>
      </c>
      <c r="F1005" t="s">
        <v>41</v>
      </c>
      <c r="H1005" t="s">
        <v>42</v>
      </c>
      <c r="I1005">
        <v>4</v>
      </c>
      <c r="J1005" t="s">
        <v>106</v>
      </c>
      <c r="K1005">
        <v>4</v>
      </c>
      <c r="L1005" t="s">
        <v>44</v>
      </c>
      <c r="M1005">
        <v>1.8</v>
      </c>
      <c r="N1005" t="s">
        <v>45</v>
      </c>
      <c r="O1005" t="s">
        <v>100</v>
      </c>
      <c r="Q1005" t="s">
        <v>47</v>
      </c>
      <c r="R1005" t="s">
        <v>48</v>
      </c>
      <c r="S1005" t="s">
        <v>49</v>
      </c>
      <c r="U1005" t="s">
        <v>50</v>
      </c>
      <c r="V1005" t="s">
        <v>51</v>
      </c>
      <c r="W1005" t="s">
        <v>52</v>
      </c>
      <c r="X1005" t="s">
        <v>53</v>
      </c>
      <c r="Y1005" t="s">
        <v>54</v>
      </c>
      <c r="AA1005">
        <v>1</v>
      </c>
      <c r="AB1005" t="s">
        <v>55</v>
      </c>
      <c r="AC1005" t="s">
        <v>56</v>
      </c>
      <c r="AD1005">
        <v>36</v>
      </c>
      <c r="AE1005">
        <v>9</v>
      </c>
      <c r="AF1005">
        <v>3</v>
      </c>
      <c r="AG1005">
        <v>2025</v>
      </c>
      <c r="AH1005" s="2">
        <v>1850</v>
      </c>
      <c r="AI1005" s="2">
        <v>622.43975830078125</v>
      </c>
      <c r="AJ1005" s="2">
        <f t="shared" si="122"/>
        <v>1227.5602416992188</v>
      </c>
      <c r="AK1005" s="6">
        <f t="shared" si="123"/>
        <v>0.66354607659417231</v>
      </c>
      <c r="AL1005" s="12">
        <v>1850</v>
      </c>
      <c r="AM1005" s="12">
        <v>733.50080485903675</v>
      </c>
      <c r="AN1005" s="12">
        <f t="shared" si="124"/>
        <v>1116.4991951409634</v>
      </c>
      <c r="AO1005" s="13">
        <f t="shared" si="125"/>
        <v>0.6035130784545748</v>
      </c>
      <c r="AP1005" s="16">
        <v>1850</v>
      </c>
      <c r="AQ1005" s="16">
        <v>431.15721561192407</v>
      </c>
      <c r="AR1005" s="16">
        <f t="shared" si="126"/>
        <v>1418.8427843880759</v>
      </c>
      <c r="AS1005" s="17">
        <f t="shared" si="120"/>
        <v>0.76694204561517609</v>
      </c>
      <c r="AT1005" s="20">
        <v>1850</v>
      </c>
      <c r="AU1005" s="20">
        <v>616.9681396484375</v>
      </c>
      <c r="AV1005" s="20">
        <f t="shared" si="121"/>
        <v>1233.0318603515625</v>
      </c>
      <c r="AW1005" s="21">
        <f t="shared" si="127"/>
        <v>0.66650370829814187</v>
      </c>
    </row>
    <row r="1006" spans="1:49" x14ac:dyDescent="0.25">
      <c r="A1006" t="s">
        <v>128</v>
      </c>
      <c r="B1006" t="s">
        <v>210</v>
      </c>
      <c r="C1006">
        <v>168275</v>
      </c>
      <c r="D1006">
        <v>2012</v>
      </c>
      <c r="E1006" t="s">
        <v>40</v>
      </c>
      <c r="F1006" t="s">
        <v>1159</v>
      </c>
      <c r="H1006" t="s">
        <v>1160</v>
      </c>
      <c r="I1006">
        <v>4</v>
      </c>
      <c r="J1006" t="s">
        <v>106</v>
      </c>
      <c r="K1006">
        <v>4</v>
      </c>
      <c r="L1006" t="s">
        <v>44</v>
      </c>
      <c r="M1006">
        <v>1.5</v>
      </c>
      <c r="N1006" t="s">
        <v>45</v>
      </c>
      <c r="O1006" t="s">
        <v>46</v>
      </c>
      <c r="Q1006" t="s">
        <v>47</v>
      </c>
      <c r="R1006" t="s">
        <v>123</v>
      </c>
      <c r="S1006" t="s">
        <v>49</v>
      </c>
      <c r="T1006">
        <v>106</v>
      </c>
      <c r="U1006" t="s">
        <v>50</v>
      </c>
      <c r="V1006" t="s">
        <v>51</v>
      </c>
      <c r="W1006" t="s">
        <v>1161</v>
      </c>
      <c r="X1006" t="s">
        <v>125</v>
      </c>
      <c r="Y1006" t="s">
        <v>54</v>
      </c>
      <c r="AA1006">
        <v>0</v>
      </c>
      <c r="AB1006" t="s">
        <v>79</v>
      </c>
      <c r="AC1006" t="s">
        <v>127</v>
      </c>
      <c r="AD1006">
        <v>36</v>
      </c>
      <c r="AE1006">
        <v>9</v>
      </c>
      <c r="AF1006">
        <v>3</v>
      </c>
      <c r="AG1006">
        <v>2025</v>
      </c>
      <c r="AH1006" s="2">
        <v>2700</v>
      </c>
      <c r="AI1006" s="2">
        <v>2184.384521484375</v>
      </c>
      <c r="AJ1006" s="2">
        <f t="shared" si="122"/>
        <v>515.615478515625</v>
      </c>
      <c r="AK1006" s="6">
        <f t="shared" si="123"/>
        <v>0.19096869574652778</v>
      </c>
      <c r="AL1006" s="12">
        <v>2700</v>
      </c>
      <c r="AM1006" s="12">
        <v>2397.2225206167668</v>
      </c>
      <c r="AN1006" s="12">
        <f t="shared" si="124"/>
        <v>302.77747938323319</v>
      </c>
      <c r="AO1006" s="13">
        <f t="shared" si="125"/>
        <v>0.11213980717897526</v>
      </c>
      <c r="AP1006" s="16">
        <v>2700</v>
      </c>
      <c r="AQ1006" s="16">
        <v>1319.3707011568511</v>
      </c>
      <c r="AR1006" s="16">
        <f t="shared" si="126"/>
        <v>1380.6292988431489</v>
      </c>
      <c r="AS1006" s="17">
        <f t="shared" si="120"/>
        <v>0.51134418475672183</v>
      </c>
      <c r="AT1006" s="20">
        <v>2700</v>
      </c>
      <c r="AU1006" s="20">
        <v>2230.213623046875</v>
      </c>
      <c r="AV1006" s="20">
        <f t="shared" si="121"/>
        <v>469.786376953125</v>
      </c>
      <c r="AW1006" s="21">
        <f t="shared" si="127"/>
        <v>0.17399495442708332</v>
      </c>
    </row>
    <row r="1007" spans="1:49" x14ac:dyDescent="0.25">
      <c r="A1007" t="s">
        <v>128</v>
      </c>
      <c r="B1007" t="s">
        <v>129</v>
      </c>
      <c r="C1007">
        <v>56254</v>
      </c>
      <c r="D1007">
        <v>2015</v>
      </c>
      <c r="E1007" t="s">
        <v>132</v>
      </c>
      <c r="F1007" t="s">
        <v>1064</v>
      </c>
      <c r="H1007" t="s">
        <v>1162</v>
      </c>
      <c r="I1007">
        <v>12</v>
      </c>
      <c r="J1007" t="s">
        <v>61</v>
      </c>
      <c r="K1007">
        <v>4</v>
      </c>
      <c r="L1007" t="s">
        <v>44</v>
      </c>
      <c r="M1007">
        <v>6</v>
      </c>
      <c r="N1007" t="s">
        <v>73</v>
      </c>
      <c r="O1007" t="s">
        <v>46</v>
      </c>
      <c r="P1007">
        <v>4</v>
      </c>
      <c r="Q1007" t="s">
        <v>47</v>
      </c>
      <c r="R1007" t="s">
        <v>123</v>
      </c>
      <c r="U1007" t="s">
        <v>50</v>
      </c>
      <c r="V1007" t="s">
        <v>76</v>
      </c>
      <c r="X1007" t="s">
        <v>125</v>
      </c>
      <c r="Y1007" t="s">
        <v>137</v>
      </c>
      <c r="AA1007">
        <v>0</v>
      </c>
      <c r="AB1007" t="s">
        <v>79</v>
      </c>
      <c r="AC1007" t="s">
        <v>127</v>
      </c>
      <c r="AD1007">
        <v>36</v>
      </c>
      <c r="AE1007">
        <v>9</v>
      </c>
      <c r="AF1007">
        <v>3</v>
      </c>
      <c r="AG1007">
        <v>2025</v>
      </c>
      <c r="AH1007" s="2">
        <v>37200</v>
      </c>
      <c r="AI1007" s="2">
        <v>24387.65625</v>
      </c>
      <c r="AJ1007" s="2">
        <f t="shared" si="122"/>
        <v>12812.34375</v>
      </c>
      <c r="AK1007" s="6">
        <f t="shared" si="123"/>
        <v>0.34441784274193549</v>
      </c>
      <c r="AL1007" s="12">
        <v>37200</v>
      </c>
      <c r="AM1007" s="12">
        <v>21400.419138529811</v>
      </c>
      <c r="AN1007" s="12">
        <f t="shared" si="124"/>
        <v>15799.580861470189</v>
      </c>
      <c r="AO1007" s="13">
        <f t="shared" si="125"/>
        <v>0.42471991563091904</v>
      </c>
      <c r="AP1007" s="16">
        <v>37200</v>
      </c>
      <c r="AQ1007" s="16">
        <v>17236.690908057451</v>
      </c>
      <c r="AR1007" s="16">
        <f t="shared" si="126"/>
        <v>19963.309091942549</v>
      </c>
      <c r="AS1007" s="17">
        <f t="shared" si="120"/>
        <v>0.53664809386942336</v>
      </c>
      <c r="AT1007" s="20">
        <v>37200</v>
      </c>
      <c r="AU1007" s="20">
        <v>23870.703125</v>
      </c>
      <c r="AV1007" s="20">
        <f t="shared" si="121"/>
        <v>13329.296875</v>
      </c>
      <c r="AW1007" s="21">
        <f t="shared" si="127"/>
        <v>0.35831443212365593</v>
      </c>
    </row>
    <row r="1008" spans="1:49" x14ac:dyDescent="0.25">
      <c r="A1008" t="s">
        <v>38</v>
      </c>
      <c r="B1008" t="s">
        <v>39</v>
      </c>
      <c r="C1008">
        <v>133374</v>
      </c>
      <c r="D1008">
        <v>2021</v>
      </c>
      <c r="E1008" t="s">
        <v>97</v>
      </c>
      <c r="F1008" t="s">
        <v>159</v>
      </c>
      <c r="G1008" t="s">
        <v>432</v>
      </c>
      <c r="H1008" t="s">
        <v>312</v>
      </c>
      <c r="I1008">
        <v>8</v>
      </c>
      <c r="J1008" t="s">
        <v>72</v>
      </c>
      <c r="K1008">
        <v>4</v>
      </c>
      <c r="L1008" t="s">
        <v>44</v>
      </c>
      <c r="M1008">
        <v>6.6</v>
      </c>
      <c r="N1008" t="s">
        <v>91</v>
      </c>
      <c r="O1008" t="s">
        <v>46</v>
      </c>
      <c r="Q1008" t="s">
        <v>74</v>
      </c>
      <c r="R1008" t="s">
        <v>92</v>
      </c>
      <c r="S1008" t="s">
        <v>93</v>
      </c>
      <c r="U1008" t="s">
        <v>229</v>
      </c>
      <c r="V1008" t="s">
        <v>76</v>
      </c>
      <c r="W1008" t="s">
        <v>957</v>
      </c>
      <c r="X1008" t="s">
        <v>260</v>
      </c>
      <c r="Y1008" t="s">
        <v>78</v>
      </c>
      <c r="AA1008">
        <v>0</v>
      </c>
      <c r="AB1008" t="s">
        <v>79</v>
      </c>
      <c r="AC1008" t="s">
        <v>261</v>
      </c>
      <c r="AD1008">
        <v>36</v>
      </c>
      <c r="AE1008">
        <v>9</v>
      </c>
      <c r="AF1008">
        <v>3</v>
      </c>
      <c r="AG1008">
        <v>2025</v>
      </c>
      <c r="AH1008" s="2">
        <v>37000</v>
      </c>
      <c r="AI1008" s="2">
        <v>42370.65234375</v>
      </c>
      <c r="AJ1008" s="2">
        <f t="shared" si="122"/>
        <v>5370.65234375</v>
      </c>
      <c r="AK1008" s="6">
        <f t="shared" si="123"/>
        <v>0.14515276604729729</v>
      </c>
      <c r="AL1008" s="12">
        <v>37000</v>
      </c>
      <c r="AM1008" s="12">
        <v>32337.2025306252</v>
      </c>
      <c r="AN1008" s="12">
        <f t="shared" si="124"/>
        <v>4662.7974693748001</v>
      </c>
      <c r="AO1008" s="13">
        <f t="shared" si="125"/>
        <v>0.12602155322634595</v>
      </c>
      <c r="AP1008" s="16">
        <v>37000</v>
      </c>
      <c r="AQ1008" s="16">
        <v>35903.74115977154</v>
      </c>
      <c r="AR1008" s="16">
        <f t="shared" si="126"/>
        <v>1096.25884022846</v>
      </c>
      <c r="AS1008" s="17">
        <f t="shared" si="120"/>
        <v>2.9628617303471893E-2</v>
      </c>
      <c r="AT1008" s="20">
        <v>37000</v>
      </c>
      <c r="AU1008" s="20">
        <v>42398.22265625</v>
      </c>
      <c r="AV1008" s="20">
        <f t="shared" si="121"/>
        <v>5398.22265625</v>
      </c>
      <c r="AW1008" s="21">
        <f t="shared" si="127"/>
        <v>0.14589790962837837</v>
      </c>
    </row>
    <row r="1009" spans="1:49" x14ac:dyDescent="0.25">
      <c r="A1009" t="s">
        <v>38</v>
      </c>
      <c r="B1009" t="s">
        <v>96</v>
      </c>
      <c r="C1009">
        <v>142856</v>
      </c>
      <c r="D1009">
        <v>2015</v>
      </c>
      <c r="E1009" t="s">
        <v>142</v>
      </c>
      <c r="F1009" t="s">
        <v>143</v>
      </c>
      <c r="G1009" t="s">
        <v>336</v>
      </c>
      <c r="I1009">
        <v>6</v>
      </c>
      <c r="J1009" t="s">
        <v>135</v>
      </c>
      <c r="K1009">
        <v>4</v>
      </c>
      <c r="L1009" t="s">
        <v>44</v>
      </c>
      <c r="M1009">
        <v>3.2</v>
      </c>
      <c r="N1009" t="s">
        <v>45</v>
      </c>
      <c r="O1009" t="s">
        <v>46</v>
      </c>
      <c r="P1009">
        <v>1</v>
      </c>
      <c r="Q1009" t="s">
        <v>62</v>
      </c>
      <c r="R1009" t="s">
        <v>63</v>
      </c>
      <c r="S1009" t="s">
        <v>49</v>
      </c>
      <c r="U1009" t="s">
        <v>50</v>
      </c>
      <c r="X1009" t="s">
        <v>141</v>
      </c>
      <c r="Y1009" t="s">
        <v>78</v>
      </c>
      <c r="AA1009">
        <v>0</v>
      </c>
      <c r="AB1009" t="s">
        <v>79</v>
      </c>
      <c r="AC1009" t="s">
        <v>87</v>
      </c>
      <c r="AD1009">
        <v>36</v>
      </c>
      <c r="AE1009">
        <v>9</v>
      </c>
      <c r="AF1009">
        <v>3</v>
      </c>
      <c r="AG1009">
        <v>2025</v>
      </c>
      <c r="AH1009" s="2">
        <v>2000</v>
      </c>
      <c r="AI1009" s="2">
        <v>2284.21240234375</v>
      </c>
      <c r="AJ1009" s="2">
        <f t="shared" si="122"/>
        <v>284.21240234375</v>
      </c>
      <c r="AK1009" s="6">
        <f t="shared" si="123"/>
        <v>0.142106201171875</v>
      </c>
      <c r="AL1009" s="12">
        <v>2000</v>
      </c>
      <c r="AM1009" s="12">
        <v>2521.4034861520158</v>
      </c>
      <c r="AN1009" s="12">
        <f t="shared" si="124"/>
        <v>521.40348615201583</v>
      </c>
      <c r="AO1009" s="13">
        <f t="shared" si="125"/>
        <v>0.26070174307600791</v>
      </c>
      <c r="AP1009" s="16">
        <v>2000</v>
      </c>
      <c r="AQ1009" s="16">
        <v>2317.2970783459209</v>
      </c>
      <c r="AR1009" s="16">
        <f t="shared" si="126"/>
        <v>317.29707834592091</v>
      </c>
      <c r="AS1009" s="17">
        <f t="shared" si="120"/>
        <v>0.15864853917296046</v>
      </c>
      <c r="AT1009" s="20">
        <v>2000</v>
      </c>
      <c r="AU1009" s="20">
        <v>2280.509521484375</v>
      </c>
      <c r="AV1009" s="20">
        <f t="shared" si="121"/>
        <v>280.509521484375</v>
      </c>
      <c r="AW1009" s="21">
        <f t="shared" si="127"/>
        <v>0.14025476074218751</v>
      </c>
    </row>
    <row r="1010" spans="1:49" x14ac:dyDescent="0.25">
      <c r="A1010" t="s">
        <v>38</v>
      </c>
      <c r="B1010" t="s">
        <v>39</v>
      </c>
      <c r="C1010">
        <v>114433</v>
      </c>
      <c r="D1010">
        <v>2015</v>
      </c>
      <c r="E1010" t="s">
        <v>162</v>
      </c>
      <c r="F1010" t="s">
        <v>800</v>
      </c>
      <c r="G1010" t="s">
        <v>1163</v>
      </c>
      <c r="I1010">
        <v>4</v>
      </c>
      <c r="J1010" t="s">
        <v>135</v>
      </c>
      <c r="K1010">
        <v>3</v>
      </c>
      <c r="L1010" t="s">
        <v>44</v>
      </c>
      <c r="M1010">
        <v>1.6</v>
      </c>
      <c r="N1010" t="s">
        <v>45</v>
      </c>
      <c r="O1010" t="s">
        <v>46</v>
      </c>
      <c r="Q1010" t="s">
        <v>47</v>
      </c>
      <c r="R1010" t="s">
        <v>197</v>
      </c>
      <c r="U1010" t="s">
        <v>50</v>
      </c>
      <c r="W1010" t="s">
        <v>965</v>
      </c>
      <c r="X1010" t="s">
        <v>125</v>
      </c>
      <c r="Y1010" t="s">
        <v>66</v>
      </c>
      <c r="AA1010">
        <v>0</v>
      </c>
      <c r="AB1010" t="s">
        <v>79</v>
      </c>
      <c r="AC1010" t="s">
        <v>197</v>
      </c>
      <c r="AD1010">
        <v>36</v>
      </c>
      <c r="AE1010">
        <v>9</v>
      </c>
      <c r="AF1010">
        <v>3</v>
      </c>
      <c r="AG1010">
        <v>2025</v>
      </c>
      <c r="AH1010" s="2">
        <v>2600</v>
      </c>
      <c r="AI1010" s="2">
        <v>3124.8828125</v>
      </c>
      <c r="AJ1010" s="2">
        <f t="shared" si="122"/>
        <v>524.8828125</v>
      </c>
      <c r="AK1010" s="6">
        <f t="shared" si="123"/>
        <v>0.2018780048076923</v>
      </c>
      <c r="AL1010" s="12">
        <v>2600</v>
      </c>
      <c r="AM1010" s="12">
        <v>3517.8104990042261</v>
      </c>
      <c r="AN1010" s="12">
        <f t="shared" si="124"/>
        <v>917.81049900422613</v>
      </c>
      <c r="AO1010" s="13">
        <f t="shared" si="125"/>
        <v>0.35300403807854852</v>
      </c>
      <c r="AP1010" s="16">
        <v>2600</v>
      </c>
      <c r="AQ1010" s="16">
        <v>2671.165776255395</v>
      </c>
      <c r="AR1010" s="16">
        <f t="shared" si="126"/>
        <v>71.165776255395031</v>
      </c>
      <c r="AS1010" s="17">
        <f t="shared" si="120"/>
        <v>2.7371452405921166E-2</v>
      </c>
      <c r="AT1010" s="20">
        <v>2600</v>
      </c>
      <c r="AU1010" s="20">
        <v>3179.056884765625</v>
      </c>
      <c r="AV1010" s="20">
        <f t="shared" si="121"/>
        <v>579.056884765625</v>
      </c>
      <c r="AW1010" s="21">
        <f t="shared" si="127"/>
        <v>0.22271418644831731</v>
      </c>
    </row>
    <row r="1011" spans="1:49" x14ac:dyDescent="0.25">
      <c r="A1011" t="s">
        <v>38</v>
      </c>
      <c r="B1011" t="s">
        <v>110</v>
      </c>
      <c r="C1011">
        <v>51117</v>
      </c>
      <c r="D1011">
        <v>2018</v>
      </c>
      <c r="E1011" t="s">
        <v>146</v>
      </c>
      <c r="F1011" t="s">
        <v>1164</v>
      </c>
      <c r="I1011">
        <v>4</v>
      </c>
      <c r="J1011" t="s">
        <v>72</v>
      </c>
      <c r="K1011">
        <v>4</v>
      </c>
      <c r="L1011" t="s">
        <v>44</v>
      </c>
      <c r="M1011">
        <v>1.6</v>
      </c>
      <c r="N1011" t="s">
        <v>45</v>
      </c>
      <c r="O1011" t="s">
        <v>46</v>
      </c>
      <c r="Q1011" t="s">
        <v>47</v>
      </c>
      <c r="R1011" t="s">
        <v>48</v>
      </c>
      <c r="S1011" t="s">
        <v>49</v>
      </c>
      <c r="U1011" t="s">
        <v>50</v>
      </c>
      <c r="X1011" t="s">
        <v>125</v>
      </c>
      <c r="Y1011" t="s">
        <v>126</v>
      </c>
      <c r="Z1011">
        <v>15600</v>
      </c>
      <c r="AA1011">
        <v>0</v>
      </c>
      <c r="AB1011" t="s">
        <v>79</v>
      </c>
      <c r="AC1011" t="s">
        <v>359</v>
      </c>
      <c r="AD1011">
        <v>36</v>
      </c>
      <c r="AE1011">
        <v>9</v>
      </c>
      <c r="AF1011">
        <v>3</v>
      </c>
      <c r="AG1011">
        <v>2025</v>
      </c>
      <c r="AH1011" s="2">
        <v>3500</v>
      </c>
      <c r="AI1011" s="2">
        <v>5429.8173828125</v>
      </c>
      <c r="AJ1011" s="2">
        <f t="shared" si="122"/>
        <v>1929.8173828125</v>
      </c>
      <c r="AK1011" s="6">
        <f t="shared" si="123"/>
        <v>0.55137639508928571</v>
      </c>
      <c r="AL1011" s="12">
        <v>3500</v>
      </c>
      <c r="AM1011" s="12">
        <v>6121.4883781081289</v>
      </c>
      <c r="AN1011" s="12">
        <f t="shared" si="124"/>
        <v>2621.4883781081289</v>
      </c>
      <c r="AO1011" s="13">
        <f t="shared" si="125"/>
        <v>0.74899667945946535</v>
      </c>
      <c r="AP1011" s="16">
        <v>3500</v>
      </c>
      <c r="AQ1011" s="16">
        <v>4855.8187707443594</v>
      </c>
      <c r="AR1011" s="16">
        <f t="shared" si="126"/>
        <v>1355.8187707443594</v>
      </c>
      <c r="AS1011" s="17">
        <f t="shared" si="120"/>
        <v>0.38737679164124555</v>
      </c>
      <c r="AT1011" s="20">
        <v>3500</v>
      </c>
      <c r="AU1011" s="20">
        <v>5557.18994140625</v>
      </c>
      <c r="AV1011" s="20">
        <f t="shared" si="121"/>
        <v>2057.18994140625</v>
      </c>
      <c r="AW1011" s="21">
        <f t="shared" si="127"/>
        <v>0.5877685546875</v>
      </c>
    </row>
    <row r="1012" spans="1:49" x14ac:dyDescent="0.25">
      <c r="A1012" t="s">
        <v>38</v>
      </c>
      <c r="B1012" t="s">
        <v>39</v>
      </c>
      <c r="C1012">
        <v>154493</v>
      </c>
      <c r="D1012">
        <v>2018</v>
      </c>
      <c r="E1012" t="s">
        <v>97</v>
      </c>
      <c r="F1012" t="s">
        <v>198</v>
      </c>
      <c r="G1012" t="s">
        <v>364</v>
      </c>
      <c r="I1012">
        <v>6</v>
      </c>
      <c r="J1012" t="s">
        <v>135</v>
      </c>
      <c r="K1012">
        <v>4</v>
      </c>
      <c r="L1012" t="s">
        <v>44</v>
      </c>
      <c r="M1012">
        <v>3.6</v>
      </c>
      <c r="N1012" t="s">
        <v>45</v>
      </c>
      <c r="O1012" t="s">
        <v>46</v>
      </c>
      <c r="Q1012" t="s">
        <v>62</v>
      </c>
      <c r="R1012" t="s">
        <v>63</v>
      </c>
      <c r="S1012" t="s">
        <v>101</v>
      </c>
      <c r="U1012" t="s">
        <v>50</v>
      </c>
      <c r="V1012" t="s">
        <v>76</v>
      </c>
      <c r="W1012" t="s">
        <v>1084</v>
      </c>
      <c r="X1012" t="s">
        <v>94</v>
      </c>
      <c r="Y1012" t="s">
        <v>78</v>
      </c>
      <c r="Z1012">
        <v>45000</v>
      </c>
      <c r="AA1012">
        <v>0</v>
      </c>
      <c r="AB1012" t="s">
        <v>79</v>
      </c>
      <c r="AC1012" t="s">
        <v>87</v>
      </c>
      <c r="AD1012">
        <v>36</v>
      </c>
      <c r="AE1012">
        <v>9</v>
      </c>
      <c r="AF1012">
        <v>3</v>
      </c>
      <c r="AG1012">
        <v>2025</v>
      </c>
      <c r="AH1012" s="2">
        <v>9250</v>
      </c>
      <c r="AI1012" s="2">
        <v>7834.50927734375</v>
      </c>
      <c r="AJ1012" s="2">
        <f t="shared" si="122"/>
        <v>1415.49072265625</v>
      </c>
      <c r="AK1012" s="6">
        <f t="shared" si="123"/>
        <v>0.15302602407094595</v>
      </c>
      <c r="AL1012" s="12">
        <v>9250</v>
      </c>
      <c r="AM1012" s="12">
        <v>6415.6178521379006</v>
      </c>
      <c r="AN1012" s="12">
        <f t="shared" si="124"/>
        <v>2834.3821478620994</v>
      </c>
      <c r="AO1012" s="13">
        <f t="shared" si="125"/>
        <v>0.30641969166076749</v>
      </c>
      <c r="AP1012" s="16">
        <v>9250</v>
      </c>
      <c r="AQ1012" s="16">
        <v>6868.3143926301018</v>
      </c>
      <c r="AR1012" s="16">
        <f t="shared" si="126"/>
        <v>2381.6856073698982</v>
      </c>
      <c r="AS1012" s="17">
        <f t="shared" si="120"/>
        <v>0.25747952512107009</v>
      </c>
      <c r="AT1012" s="20">
        <v>9250</v>
      </c>
      <c r="AU1012" s="20">
        <v>7699.05859375</v>
      </c>
      <c r="AV1012" s="20">
        <f t="shared" si="121"/>
        <v>1550.94140625</v>
      </c>
      <c r="AW1012" s="21">
        <f t="shared" si="127"/>
        <v>0.16766934121621621</v>
      </c>
    </row>
    <row r="1013" spans="1:49" x14ac:dyDescent="0.25">
      <c r="A1013" t="s">
        <v>38</v>
      </c>
      <c r="B1013" t="s">
        <v>68</v>
      </c>
      <c r="C1013">
        <v>133018</v>
      </c>
      <c r="D1013">
        <v>2011</v>
      </c>
      <c r="E1013" t="s">
        <v>515</v>
      </c>
      <c r="F1013" t="s">
        <v>1165</v>
      </c>
      <c r="G1013" t="s">
        <v>517</v>
      </c>
      <c r="I1013">
        <v>6</v>
      </c>
      <c r="J1013" t="s">
        <v>72</v>
      </c>
      <c r="K1013">
        <v>4</v>
      </c>
      <c r="L1013" t="s">
        <v>44</v>
      </c>
      <c r="M1013">
        <v>3</v>
      </c>
      <c r="N1013" t="s">
        <v>44</v>
      </c>
      <c r="O1013" t="s">
        <v>46</v>
      </c>
      <c r="P1013">
        <v>2</v>
      </c>
      <c r="Q1013" t="s">
        <v>47</v>
      </c>
      <c r="R1013" t="s">
        <v>123</v>
      </c>
      <c r="S1013" t="s">
        <v>85</v>
      </c>
      <c r="T1013">
        <v>333</v>
      </c>
      <c r="U1013" t="s">
        <v>50</v>
      </c>
      <c r="W1013" t="s">
        <v>1166</v>
      </c>
      <c r="X1013" t="s">
        <v>125</v>
      </c>
      <c r="Y1013" t="s">
        <v>137</v>
      </c>
      <c r="AA1013">
        <v>0</v>
      </c>
      <c r="AB1013" t="s">
        <v>79</v>
      </c>
      <c r="AC1013" t="s">
        <v>127</v>
      </c>
      <c r="AD1013">
        <v>36</v>
      </c>
      <c r="AE1013">
        <v>9</v>
      </c>
      <c r="AF1013">
        <v>3</v>
      </c>
      <c r="AG1013">
        <v>2025</v>
      </c>
      <c r="AH1013" s="2">
        <v>2100</v>
      </c>
      <c r="AI1013" s="2">
        <v>2740.95947265625</v>
      </c>
      <c r="AJ1013" s="2">
        <f t="shared" si="122"/>
        <v>640.95947265625</v>
      </c>
      <c r="AK1013" s="6">
        <f t="shared" si="123"/>
        <v>0.30521879650297618</v>
      </c>
      <c r="AL1013" s="12">
        <v>2100</v>
      </c>
      <c r="AM1013" s="12">
        <v>2676.1480655598189</v>
      </c>
      <c r="AN1013" s="12">
        <f t="shared" si="124"/>
        <v>576.14806555981886</v>
      </c>
      <c r="AO1013" s="13">
        <f t="shared" si="125"/>
        <v>0.27435622169515184</v>
      </c>
      <c r="AP1013" s="16">
        <v>2100</v>
      </c>
      <c r="AQ1013" s="16">
        <v>3206.465127774652</v>
      </c>
      <c r="AR1013" s="16">
        <f t="shared" si="126"/>
        <v>1106.465127774652</v>
      </c>
      <c r="AS1013" s="17">
        <f t="shared" si="120"/>
        <v>0.52688815608316764</v>
      </c>
      <c r="AT1013" s="20">
        <v>2100</v>
      </c>
      <c r="AU1013" s="20">
        <v>2779.89111328125</v>
      </c>
      <c r="AV1013" s="20">
        <f t="shared" si="121"/>
        <v>679.89111328125</v>
      </c>
      <c r="AW1013" s="21">
        <f t="shared" si="127"/>
        <v>0.32375767299107144</v>
      </c>
    </row>
    <row r="1014" spans="1:49" x14ac:dyDescent="0.25">
      <c r="A1014" t="s">
        <v>38</v>
      </c>
      <c r="B1014" t="s">
        <v>57</v>
      </c>
      <c r="C1014">
        <v>89548</v>
      </c>
      <c r="D1014">
        <v>2019</v>
      </c>
      <c r="E1014" t="s">
        <v>317</v>
      </c>
      <c r="F1014" t="s">
        <v>744</v>
      </c>
      <c r="G1014" t="s">
        <v>843</v>
      </c>
      <c r="H1014" t="s">
        <v>1167</v>
      </c>
      <c r="I1014">
        <v>4</v>
      </c>
      <c r="J1014" t="s">
        <v>43</v>
      </c>
      <c r="K1014">
        <v>4</v>
      </c>
      <c r="L1014" t="s">
        <v>44</v>
      </c>
      <c r="M1014">
        <v>2</v>
      </c>
      <c r="N1014" t="s">
        <v>45</v>
      </c>
      <c r="O1014" t="s">
        <v>46</v>
      </c>
      <c r="P1014">
        <v>4</v>
      </c>
      <c r="Q1014" t="s">
        <v>47</v>
      </c>
      <c r="R1014" t="s">
        <v>123</v>
      </c>
      <c r="S1014" t="s">
        <v>85</v>
      </c>
      <c r="T1014">
        <v>250</v>
      </c>
      <c r="U1014" t="s">
        <v>50</v>
      </c>
      <c r="W1014" t="s">
        <v>1168</v>
      </c>
      <c r="X1014" t="s">
        <v>125</v>
      </c>
      <c r="Y1014" t="s">
        <v>78</v>
      </c>
      <c r="Z1014">
        <v>55400</v>
      </c>
      <c r="AA1014">
        <v>0</v>
      </c>
      <c r="AB1014" t="s">
        <v>79</v>
      </c>
      <c r="AC1014" t="s">
        <v>127</v>
      </c>
      <c r="AD1014">
        <v>36</v>
      </c>
      <c r="AE1014">
        <v>9</v>
      </c>
      <c r="AF1014">
        <v>3</v>
      </c>
      <c r="AG1014">
        <v>2025</v>
      </c>
      <c r="AH1014" s="2">
        <v>14000</v>
      </c>
      <c r="AI1014" s="2">
        <v>9778.154296875</v>
      </c>
      <c r="AJ1014" s="2">
        <f t="shared" si="122"/>
        <v>4221.845703125</v>
      </c>
      <c r="AK1014" s="6">
        <f t="shared" si="123"/>
        <v>0.30156040736607143</v>
      </c>
      <c r="AL1014" s="12">
        <v>14000</v>
      </c>
      <c r="AM1014" s="12">
        <v>10478.385015454591</v>
      </c>
      <c r="AN1014" s="12">
        <f t="shared" si="124"/>
        <v>3521.6149845454092</v>
      </c>
      <c r="AO1014" s="13">
        <f t="shared" si="125"/>
        <v>0.25154392746752924</v>
      </c>
      <c r="AP1014" s="16">
        <v>14000</v>
      </c>
      <c r="AQ1014" s="16">
        <v>12525.07785084265</v>
      </c>
      <c r="AR1014" s="16">
        <f t="shared" si="126"/>
        <v>1474.9221491573498</v>
      </c>
      <c r="AS1014" s="17">
        <f t="shared" si="120"/>
        <v>0.10535158208266784</v>
      </c>
      <c r="AT1014" s="20">
        <v>14000</v>
      </c>
      <c r="AU1014" s="20">
        <v>10033.9384765625</v>
      </c>
      <c r="AV1014" s="20">
        <f t="shared" si="121"/>
        <v>3966.0615234375</v>
      </c>
      <c r="AW1014" s="21">
        <f t="shared" si="127"/>
        <v>0.28329010881696426</v>
      </c>
    </row>
    <row r="1015" spans="1:49" x14ac:dyDescent="0.25">
      <c r="A1015" t="s">
        <v>38</v>
      </c>
      <c r="B1015" t="s">
        <v>96</v>
      </c>
      <c r="C1015">
        <v>97731</v>
      </c>
      <c r="D1015">
        <v>2020</v>
      </c>
      <c r="E1015" t="s">
        <v>88</v>
      </c>
      <c r="F1015" t="s">
        <v>89</v>
      </c>
      <c r="G1015" t="s">
        <v>685</v>
      </c>
      <c r="H1015" t="s">
        <v>686</v>
      </c>
      <c r="I1015">
        <v>6</v>
      </c>
      <c r="J1015" t="s">
        <v>106</v>
      </c>
      <c r="K1015">
        <v>4</v>
      </c>
      <c r="L1015" t="s">
        <v>44</v>
      </c>
      <c r="M1015">
        <v>3.6</v>
      </c>
      <c r="N1015" t="s">
        <v>91</v>
      </c>
      <c r="O1015" t="s">
        <v>46</v>
      </c>
      <c r="Q1015" t="s">
        <v>74</v>
      </c>
      <c r="R1015" t="s">
        <v>92</v>
      </c>
      <c r="S1015" t="s">
        <v>93</v>
      </c>
      <c r="T1015">
        <v>305</v>
      </c>
      <c r="U1015" t="s">
        <v>50</v>
      </c>
      <c r="V1015" t="s">
        <v>76</v>
      </c>
      <c r="X1015" t="s">
        <v>94</v>
      </c>
      <c r="Y1015" t="s">
        <v>78</v>
      </c>
      <c r="AA1015">
        <v>0</v>
      </c>
      <c r="AB1015" t="s">
        <v>79</v>
      </c>
      <c r="AC1015" t="s">
        <v>95</v>
      </c>
      <c r="AD1015">
        <v>36</v>
      </c>
      <c r="AE1015">
        <v>9</v>
      </c>
      <c r="AF1015">
        <v>3</v>
      </c>
      <c r="AG1015">
        <v>2025</v>
      </c>
      <c r="AH1015" s="2">
        <v>19000</v>
      </c>
      <c r="AI1015" s="2">
        <v>20722.90234375</v>
      </c>
      <c r="AJ1015" s="2">
        <f t="shared" si="122"/>
        <v>1722.90234375</v>
      </c>
      <c r="AK1015" s="6">
        <f t="shared" si="123"/>
        <v>9.067907072368421E-2</v>
      </c>
      <c r="AL1015" s="12">
        <v>19000</v>
      </c>
      <c r="AM1015" s="12">
        <v>19764.703880457</v>
      </c>
      <c r="AN1015" s="12">
        <f t="shared" si="124"/>
        <v>764.7038804570002</v>
      </c>
      <c r="AO1015" s="13">
        <f t="shared" si="125"/>
        <v>4.0247572655631586E-2</v>
      </c>
      <c r="AP1015" s="16">
        <v>19000</v>
      </c>
      <c r="AQ1015" s="16">
        <v>20683.188751811049</v>
      </c>
      <c r="AR1015" s="16">
        <f t="shared" si="126"/>
        <v>1683.1887518110489</v>
      </c>
      <c r="AS1015" s="17">
        <f t="shared" si="120"/>
        <v>8.8588881674265735E-2</v>
      </c>
      <c r="AT1015" s="20">
        <v>19000</v>
      </c>
      <c r="AU1015" s="20">
        <v>20227.568359375</v>
      </c>
      <c r="AV1015" s="20">
        <f t="shared" si="121"/>
        <v>1227.568359375</v>
      </c>
      <c r="AW1015" s="21">
        <f t="shared" si="127"/>
        <v>6.4608861019736841E-2</v>
      </c>
    </row>
    <row r="1016" spans="1:49" x14ac:dyDescent="0.25">
      <c r="A1016" t="s">
        <v>38</v>
      </c>
      <c r="B1016" t="s">
        <v>68</v>
      </c>
      <c r="C1016">
        <v>95501</v>
      </c>
      <c r="D1016">
        <v>2021</v>
      </c>
      <c r="E1016" t="s">
        <v>69</v>
      </c>
      <c r="F1016" t="s">
        <v>157</v>
      </c>
      <c r="G1016" t="s">
        <v>105</v>
      </c>
      <c r="I1016">
        <v>4</v>
      </c>
      <c r="J1016" t="s">
        <v>43</v>
      </c>
      <c r="K1016">
        <v>4</v>
      </c>
      <c r="L1016" t="s">
        <v>44</v>
      </c>
      <c r="M1016">
        <v>2.2999999999999998</v>
      </c>
      <c r="N1016" t="s">
        <v>73</v>
      </c>
      <c r="O1016" t="s">
        <v>46</v>
      </c>
      <c r="Q1016" t="s">
        <v>62</v>
      </c>
      <c r="R1016" t="s">
        <v>63</v>
      </c>
      <c r="S1016" t="s">
        <v>179</v>
      </c>
      <c r="T1016">
        <v>270</v>
      </c>
      <c r="U1016" t="s">
        <v>50</v>
      </c>
      <c r="V1016" t="s">
        <v>51</v>
      </c>
      <c r="X1016" t="s">
        <v>141</v>
      </c>
      <c r="Y1016" t="s">
        <v>78</v>
      </c>
      <c r="AA1016">
        <v>0</v>
      </c>
      <c r="AB1016" t="s">
        <v>79</v>
      </c>
      <c r="AC1016" t="s">
        <v>109</v>
      </c>
      <c r="AD1016">
        <v>36</v>
      </c>
      <c r="AE1016">
        <v>9</v>
      </c>
      <c r="AF1016">
        <v>3</v>
      </c>
      <c r="AG1016">
        <v>2025</v>
      </c>
      <c r="AH1016" s="2">
        <v>17750</v>
      </c>
      <c r="AI1016" s="2">
        <v>17791.705078125</v>
      </c>
      <c r="AJ1016" s="2">
        <f t="shared" si="122"/>
        <v>41.705078125</v>
      </c>
      <c r="AK1016" s="6">
        <f t="shared" si="123"/>
        <v>2.3495818661971829E-3</v>
      </c>
      <c r="AL1016" s="12">
        <v>17750</v>
      </c>
      <c r="AM1016" s="12">
        <v>18167.55119486844</v>
      </c>
      <c r="AN1016" s="12">
        <f t="shared" si="124"/>
        <v>417.55119486843978</v>
      </c>
      <c r="AO1016" s="13">
        <f t="shared" si="125"/>
        <v>2.3524010978503651E-2</v>
      </c>
      <c r="AP1016" s="16">
        <v>17750</v>
      </c>
      <c r="AQ1016" s="16">
        <v>15437.41261336334</v>
      </c>
      <c r="AR1016" s="16">
        <f t="shared" si="126"/>
        <v>2312.5873866366601</v>
      </c>
      <c r="AS1016" s="17">
        <f t="shared" si="120"/>
        <v>0.13028661333164282</v>
      </c>
      <c r="AT1016" s="20">
        <v>17750</v>
      </c>
      <c r="AU1016" s="20">
        <v>17779.1015625</v>
      </c>
      <c r="AV1016" s="20">
        <f t="shared" si="121"/>
        <v>29.1015625</v>
      </c>
      <c r="AW1016" s="21">
        <f t="shared" si="127"/>
        <v>1.6395246478873239E-3</v>
      </c>
    </row>
    <row r="1017" spans="1:49" x14ac:dyDescent="0.25">
      <c r="A1017" t="s">
        <v>128</v>
      </c>
      <c r="B1017" t="s">
        <v>129</v>
      </c>
      <c r="C1017">
        <v>133695</v>
      </c>
      <c r="D1017">
        <v>2015</v>
      </c>
      <c r="E1017" t="s">
        <v>69</v>
      </c>
      <c r="F1017" t="s">
        <v>310</v>
      </c>
      <c r="H1017" t="s">
        <v>311</v>
      </c>
      <c r="I1017">
        <v>8</v>
      </c>
      <c r="J1017" t="s">
        <v>61</v>
      </c>
      <c r="K1017">
        <v>2</v>
      </c>
      <c r="L1017" t="s">
        <v>402</v>
      </c>
      <c r="M1017">
        <v>5</v>
      </c>
      <c r="N1017" t="s">
        <v>73</v>
      </c>
      <c r="O1017" t="s">
        <v>46</v>
      </c>
      <c r="P1017">
        <v>3</v>
      </c>
      <c r="Q1017" t="s">
        <v>47</v>
      </c>
      <c r="R1017" t="s">
        <v>197</v>
      </c>
      <c r="T1017">
        <v>406</v>
      </c>
      <c r="U1017" t="s">
        <v>50</v>
      </c>
      <c r="V1017" t="s">
        <v>76</v>
      </c>
      <c r="X1017" t="s">
        <v>125</v>
      </c>
      <c r="Y1017" t="s">
        <v>78</v>
      </c>
      <c r="AA1017">
        <v>0</v>
      </c>
      <c r="AB1017" t="s">
        <v>79</v>
      </c>
      <c r="AC1017" t="s">
        <v>197</v>
      </c>
      <c r="AD1017">
        <v>36</v>
      </c>
      <c r="AE1017">
        <v>9</v>
      </c>
      <c r="AF1017">
        <v>3</v>
      </c>
      <c r="AG1017">
        <v>2025</v>
      </c>
      <c r="AH1017" s="2">
        <v>13600</v>
      </c>
      <c r="AI1017" s="2">
        <v>7059.6494140625</v>
      </c>
      <c r="AJ1017" s="2">
        <f t="shared" si="122"/>
        <v>6540.3505859375</v>
      </c>
      <c r="AK1017" s="6">
        <f t="shared" si="123"/>
        <v>0.48090813131893384</v>
      </c>
      <c r="AL1017" s="12">
        <v>13600</v>
      </c>
      <c r="AM1017" s="12">
        <v>8075.6257673107693</v>
      </c>
      <c r="AN1017" s="12">
        <f t="shared" si="124"/>
        <v>5524.3742326892307</v>
      </c>
      <c r="AO1017" s="13">
        <f t="shared" si="125"/>
        <v>0.40620398769773752</v>
      </c>
      <c r="AP1017" s="16">
        <v>13600</v>
      </c>
      <c r="AQ1017" s="16">
        <v>6914.6198439871696</v>
      </c>
      <c r="AR1017" s="16">
        <f t="shared" si="126"/>
        <v>6685.3801560128304</v>
      </c>
      <c r="AS1017" s="17">
        <f t="shared" si="120"/>
        <v>0.49157207029506106</v>
      </c>
      <c r="AT1017" s="20">
        <v>13600</v>
      </c>
      <c r="AU1017" s="20">
        <v>7302.427734375</v>
      </c>
      <c r="AV1017" s="20">
        <f t="shared" si="121"/>
        <v>6297.572265625</v>
      </c>
      <c r="AW1017" s="21">
        <f t="shared" si="127"/>
        <v>0.46305678423713237</v>
      </c>
    </row>
    <row r="1018" spans="1:49" x14ac:dyDescent="0.25">
      <c r="A1018" t="s">
        <v>38</v>
      </c>
      <c r="B1018" t="s">
        <v>39</v>
      </c>
      <c r="C1018">
        <v>145509</v>
      </c>
      <c r="D1018">
        <v>2009</v>
      </c>
      <c r="E1018" t="s">
        <v>166</v>
      </c>
      <c r="F1018" t="s">
        <v>628</v>
      </c>
      <c r="G1018" t="s">
        <v>240</v>
      </c>
      <c r="I1018">
        <v>4</v>
      </c>
      <c r="J1018" t="s">
        <v>106</v>
      </c>
      <c r="K1018">
        <v>4</v>
      </c>
      <c r="L1018" t="s">
        <v>44</v>
      </c>
      <c r="M1018">
        <v>1.8</v>
      </c>
      <c r="N1018" t="s">
        <v>45</v>
      </c>
      <c r="O1018" t="s">
        <v>46</v>
      </c>
      <c r="Q1018" t="s">
        <v>47</v>
      </c>
      <c r="R1018" t="s">
        <v>123</v>
      </c>
      <c r="T1018">
        <v>140</v>
      </c>
      <c r="U1018" t="s">
        <v>50</v>
      </c>
      <c r="V1018" t="s">
        <v>51</v>
      </c>
      <c r="W1018" t="s">
        <v>767</v>
      </c>
      <c r="X1018" t="s">
        <v>53</v>
      </c>
      <c r="Y1018" t="s">
        <v>78</v>
      </c>
      <c r="AA1018">
        <v>0</v>
      </c>
      <c r="AB1018" t="s">
        <v>79</v>
      </c>
      <c r="AC1018" t="s">
        <v>127</v>
      </c>
      <c r="AD1018">
        <v>36</v>
      </c>
      <c r="AE1018">
        <v>9</v>
      </c>
      <c r="AF1018">
        <v>3</v>
      </c>
      <c r="AG1018">
        <v>2025</v>
      </c>
      <c r="AH1018" s="2">
        <v>3300</v>
      </c>
      <c r="AI1018" s="2">
        <v>2371.041748046875</v>
      </c>
      <c r="AJ1018" s="2">
        <f t="shared" si="122"/>
        <v>928.958251953125</v>
      </c>
      <c r="AK1018" s="6">
        <f t="shared" si="123"/>
        <v>0.28150250059185605</v>
      </c>
      <c r="AL1018" s="12">
        <v>3300</v>
      </c>
      <c r="AM1018" s="12">
        <v>2610.8419806963561</v>
      </c>
      <c r="AN1018" s="12">
        <f t="shared" si="124"/>
        <v>689.15801930364387</v>
      </c>
      <c r="AO1018" s="13">
        <f t="shared" si="125"/>
        <v>0.20883576342534663</v>
      </c>
      <c r="AP1018" s="16">
        <v>3300</v>
      </c>
      <c r="AQ1018" s="16">
        <v>2251.7480266809198</v>
      </c>
      <c r="AR1018" s="16">
        <f t="shared" si="126"/>
        <v>1048.2519733190802</v>
      </c>
      <c r="AS1018" s="17">
        <f t="shared" si="120"/>
        <v>0.31765211312699398</v>
      </c>
      <c r="AT1018" s="20">
        <v>3300</v>
      </c>
      <c r="AU1018" s="20">
        <v>2405.564453125</v>
      </c>
      <c r="AV1018" s="20">
        <f t="shared" si="121"/>
        <v>894.435546875</v>
      </c>
      <c r="AW1018" s="21">
        <f t="shared" si="127"/>
        <v>0.27104107481060608</v>
      </c>
    </row>
    <row r="1019" spans="1:49" x14ac:dyDescent="0.25">
      <c r="A1019" t="s">
        <v>38</v>
      </c>
      <c r="B1019" t="s">
        <v>370</v>
      </c>
      <c r="C1019">
        <v>43865</v>
      </c>
      <c r="D1019">
        <v>2022</v>
      </c>
      <c r="E1019" t="s">
        <v>88</v>
      </c>
      <c r="F1019" t="s">
        <v>89</v>
      </c>
      <c r="G1019" t="s">
        <v>262</v>
      </c>
      <c r="H1019" t="s">
        <v>90</v>
      </c>
      <c r="I1019">
        <v>8</v>
      </c>
      <c r="J1019" t="s">
        <v>72</v>
      </c>
      <c r="K1019">
        <v>4</v>
      </c>
      <c r="L1019" t="s">
        <v>44</v>
      </c>
      <c r="M1019">
        <v>5.7</v>
      </c>
      <c r="N1019" t="s">
        <v>91</v>
      </c>
      <c r="O1019" t="s">
        <v>46</v>
      </c>
      <c r="Q1019" t="s">
        <v>74</v>
      </c>
      <c r="R1019" t="s">
        <v>92</v>
      </c>
      <c r="S1019" t="s">
        <v>93</v>
      </c>
      <c r="T1019">
        <v>395</v>
      </c>
      <c r="U1019" t="s">
        <v>50</v>
      </c>
      <c r="V1019" t="s">
        <v>76</v>
      </c>
      <c r="X1019" t="s">
        <v>108</v>
      </c>
      <c r="Y1019" t="s">
        <v>78</v>
      </c>
      <c r="AA1019">
        <v>0</v>
      </c>
      <c r="AB1019" t="s">
        <v>79</v>
      </c>
      <c r="AC1019" t="s">
        <v>95</v>
      </c>
      <c r="AD1019">
        <v>36</v>
      </c>
      <c r="AE1019">
        <v>9</v>
      </c>
      <c r="AF1019">
        <v>3</v>
      </c>
      <c r="AG1019">
        <v>2025</v>
      </c>
      <c r="AH1019" s="2">
        <v>36500</v>
      </c>
      <c r="AI1019" s="2">
        <v>38419.80859375</v>
      </c>
      <c r="AJ1019" s="2">
        <f t="shared" si="122"/>
        <v>1919.80859375</v>
      </c>
      <c r="AK1019" s="6">
        <f t="shared" si="123"/>
        <v>5.2597495719178079E-2</v>
      </c>
      <c r="AL1019" s="12">
        <v>36500</v>
      </c>
      <c r="AM1019" s="12">
        <v>37346.413210003862</v>
      </c>
      <c r="AN1019" s="12">
        <f t="shared" si="124"/>
        <v>846.41321000386233</v>
      </c>
      <c r="AO1019" s="13">
        <f t="shared" si="125"/>
        <v>2.3189403013804448E-2</v>
      </c>
      <c r="AP1019" s="16">
        <v>36500</v>
      </c>
      <c r="AQ1019" s="16">
        <v>35020.413014836267</v>
      </c>
      <c r="AR1019" s="16">
        <f t="shared" si="126"/>
        <v>1479.5869851637326</v>
      </c>
      <c r="AS1019" s="17">
        <f t="shared" si="120"/>
        <v>4.0536629730513224E-2</v>
      </c>
      <c r="AT1019" s="20">
        <v>36500</v>
      </c>
      <c r="AU1019" s="20">
        <v>37748.9765625</v>
      </c>
      <c r="AV1019" s="20">
        <f t="shared" si="121"/>
        <v>1248.9765625</v>
      </c>
      <c r="AW1019" s="21">
        <f t="shared" si="127"/>
        <v>3.421853595890411E-2</v>
      </c>
    </row>
    <row r="1020" spans="1:49" x14ac:dyDescent="0.25">
      <c r="A1020" t="s">
        <v>38</v>
      </c>
      <c r="B1020" t="s">
        <v>96</v>
      </c>
      <c r="C1020">
        <v>90548</v>
      </c>
      <c r="D1020">
        <v>2022</v>
      </c>
      <c r="E1020" t="s">
        <v>88</v>
      </c>
      <c r="F1020" t="s">
        <v>312</v>
      </c>
      <c r="G1020" t="s">
        <v>1169</v>
      </c>
      <c r="H1020" t="s">
        <v>301</v>
      </c>
      <c r="I1020">
        <v>6</v>
      </c>
      <c r="J1020" t="s">
        <v>72</v>
      </c>
      <c r="K1020">
        <v>4</v>
      </c>
      <c r="L1020" t="s">
        <v>44</v>
      </c>
      <c r="M1020">
        <v>6.7</v>
      </c>
      <c r="N1020" t="s">
        <v>91</v>
      </c>
      <c r="O1020" t="s">
        <v>46</v>
      </c>
      <c r="P1020">
        <v>3</v>
      </c>
      <c r="Q1020" t="s">
        <v>74</v>
      </c>
      <c r="R1020" t="s">
        <v>92</v>
      </c>
      <c r="S1020" t="s">
        <v>93</v>
      </c>
      <c r="T1020">
        <v>370</v>
      </c>
      <c r="U1020" t="s">
        <v>229</v>
      </c>
      <c r="V1020" t="s">
        <v>51</v>
      </c>
      <c r="X1020" t="s">
        <v>230</v>
      </c>
      <c r="Y1020" t="s">
        <v>126</v>
      </c>
      <c r="AA1020">
        <v>0</v>
      </c>
      <c r="AB1020" t="s">
        <v>79</v>
      </c>
      <c r="AC1020" t="s">
        <v>95</v>
      </c>
      <c r="AD1020">
        <v>36</v>
      </c>
      <c r="AE1020">
        <v>9</v>
      </c>
      <c r="AF1020">
        <v>3</v>
      </c>
      <c r="AG1020">
        <v>2025</v>
      </c>
      <c r="AH1020" s="2">
        <v>33000</v>
      </c>
      <c r="AI1020" s="2">
        <v>30400.1015625</v>
      </c>
      <c r="AJ1020" s="2">
        <f t="shared" si="122"/>
        <v>2599.8984375</v>
      </c>
      <c r="AK1020" s="6">
        <f t="shared" si="123"/>
        <v>7.878480113636363E-2</v>
      </c>
      <c r="AL1020" s="12">
        <v>33000</v>
      </c>
      <c r="AM1020" s="12">
        <v>37476.162329598723</v>
      </c>
      <c r="AN1020" s="12">
        <f t="shared" si="124"/>
        <v>4476.1623295987229</v>
      </c>
      <c r="AO1020" s="13">
        <f t="shared" si="125"/>
        <v>0.1356412827151128</v>
      </c>
      <c r="AP1020" s="16">
        <v>33000</v>
      </c>
      <c r="AQ1020" s="16">
        <v>31690.09702581153</v>
      </c>
      <c r="AR1020" s="16">
        <f t="shared" si="126"/>
        <v>1309.9029741884697</v>
      </c>
      <c r="AS1020" s="17">
        <f t="shared" si="120"/>
        <v>3.969402952086272E-2</v>
      </c>
      <c r="AT1020" s="20">
        <v>33000</v>
      </c>
      <c r="AU1020" s="20">
        <v>30972.31640625</v>
      </c>
      <c r="AV1020" s="20">
        <f t="shared" si="121"/>
        <v>2027.68359375</v>
      </c>
      <c r="AW1020" s="21">
        <f t="shared" si="127"/>
        <v>6.1444957386363637E-2</v>
      </c>
    </row>
    <row r="1021" spans="1:49" x14ac:dyDescent="0.25">
      <c r="A1021" t="s">
        <v>38</v>
      </c>
      <c r="B1021" t="s">
        <v>96</v>
      </c>
      <c r="C1021">
        <v>274870</v>
      </c>
      <c r="D1021">
        <v>2012</v>
      </c>
      <c r="E1021" t="s">
        <v>305</v>
      </c>
      <c r="F1021" t="s">
        <v>1057</v>
      </c>
      <c r="G1021" t="s">
        <v>1170</v>
      </c>
      <c r="I1021">
        <v>8</v>
      </c>
      <c r="J1021" t="s">
        <v>106</v>
      </c>
      <c r="K1021">
        <v>4</v>
      </c>
      <c r="L1021" t="s">
        <v>44</v>
      </c>
      <c r="M1021">
        <v>5.4</v>
      </c>
      <c r="N1021" t="s">
        <v>73</v>
      </c>
      <c r="O1021" t="s">
        <v>46</v>
      </c>
      <c r="P1021">
        <v>4</v>
      </c>
      <c r="Q1021" t="s">
        <v>62</v>
      </c>
      <c r="R1021" t="s">
        <v>63</v>
      </c>
      <c r="S1021" t="s">
        <v>49</v>
      </c>
      <c r="T1021">
        <v>310</v>
      </c>
      <c r="U1021" t="s">
        <v>50</v>
      </c>
      <c r="V1021" t="s">
        <v>76</v>
      </c>
      <c r="X1021" t="s">
        <v>108</v>
      </c>
      <c r="Y1021" t="s">
        <v>78</v>
      </c>
      <c r="AA1021">
        <v>0</v>
      </c>
      <c r="AB1021" t="s">
        <v>79</v>
      </c>
      <c r="AC1021" t="s">
        <v>87</v>
      </c>
      <c r="AD1021">
        <v>36</v>
      </c>
      <c r="AE1021">
        <v>9</v>
      </c>
      <c r="AF1021">
        <v>3</v>
      </c>
      <c r="AG1021">
        <v>2025</v>
      </c>
      <c r="AH1021" s="2">
        <v>1400</v>
      </c>
      <c r="AI1021" s="2">
        <v>2084.974853515625</v>
      </c>
      <c r="AJ1021" s="2">
        <f t="shared" si="122"/>
        <v>684.974853515625</v>
      </c>
      <c r="AK1021" s="6">
        <f t="shared" si="123"/>
        <v>0.48926775251116073</v>
      </c>
      <c r="AL1021" s="12">
        <v>1400</v>
      </c>
      <c r="AM1021" s="12">
        <v>2546.1881827785801</v>
      </c>
      <c r="AN1021" s="12">
        <f t="shared" si="124"/>
        <v>1146.1881827785801</v>
      </c>
      <c r="AO1021" s="13">
        <f t="shared" si="125"/>
        <v>0.81870584484184294</v>
      </c>
      <c r="AP1021" s="16">
        <v>1400</v>
      </c>
      <c r="AQ1021" s="16">
        <v>1899.386606096469</v>
      </c>
      <c r="AR1021" s="16">
        <f t="shared" si="126"/>
        <v>499.386606096469</v>
      </c>
      <c r="AS1021" s="17">
        <f t="shared" si="120"/>
        <v>0.35670471864033498</v>
      </c>
      <c r="AT1021" s="20">
        <v>1400</v>
      </c>
      <c r="AU1021" s="20">
        <v>2107.12646484375</v>
      </c>
      <c r="AV1021" s="20">
        <f t="shared" si="121"/>
        <v>707.12646484375</v>
      </c>
      <c r="AW1021" s="21">
        <f t="shared" si="127"/>
        <v>0.50509033203124998</v>
      </c>
    </row>
    <row r="1022" spans="1:49" x14ac:dyDescent="0.25">
      <c r="A1022" t="s">
        <v>114</v>
      </c>
      <c r="B1022" t="s">
        <v>115</v>
      </c>
      <c r="C1022">
        <v>194292</v>
      </c>
      <c r="D1022">
        <v>2015</v>
      </c>
      <c r="E1022" t="s">
        <v>69</v>
      </c>
      <c r="F1022" t="s">
        <v>250</v>
      </c>
      <c r="H1022" t="s">
        <v>224</v>
      </c>
      <c r="I1022">
        <v>4</v>
      </c>
      <c r="J1022" t="s">
        <v>122</v>
      </c>
      <c r="K1022">
        <v>4</v>
      </c>
      <c r="L1022" t="s">
        <v>44</v>
      </c>
      <c r="M1022">
        <v>2</v>
      </c>
      <c r="N1022" t="s">
        <v>91</v>
      </c>
      <c r="O1022" t="s">
        <v>46</v>
      </c>
      <c r="Q1022" t="s">
        <v>62</v>
      </c>
      <c r="R1022" t="s">
        <v>63</v>
      </c>
      <c r="S1022" t="s">
        <v>93</v>
      </c>
      <c r="T1022">
        <v>240</v>
      </c>
      <c r="U1022" t="s">
        <v>50</v>
      </c>
      <c r="V1022" t="s">
        <v>51</v>
      </c>
      <c r="X1022" t="s">
        <v>65</v>
      </c>
      <c r="Y1022" t="s">
        <v>78</v>
      </c>
      <c r="AA1022">
        <v>0</v>
      </c>
      <c r="AB1022" t="s">
        <v>79</v>
      </c>
      <c r="AC1022" t="s">
        <v>87</v>
      </c>
      <c r="AD1022">
        <v>36</v>
      </c>
      <c r="AE1022">
        <v>9</v>
      </c>
      <c r="AF1022">
        <v>3</v>
      </c>
      <c r="AG1022">
        <v>2025</v>
      </c>
      <c r="AH1022" s="2">
        <v>1100</v>
      </c>
      <c r="AI1022" s="2">
        <v>1401.816528320312</v>
      </c>
      <c r="AJ1022" s="2">
        <f t="shared" si="122"/>
        <v>301.81652832031205</v>
      </c>
      <c r="AK1022" s="6">
        <f t="shared" si="123"/>
        <v>0.27437866210937456</v>
      </c>
      <c r="AL1022" s="12">
        <v>1100</v>
      </c>
      <c r="AM1022" s="12">
        <v>2092.8381701124881</v>
      </c>
      <c r="AN1022" s="12">
        <f t="shared" si="124"/>
        <v>992.83817011248811</v>
      </c>
      <c r="AO1022" s="13">
        <f t="shared" si="125"/>
        <v>0.90258015464771646</v>
      </c>
      <c r="AP1022" s="16">
        <v>1100</v>
      </c>
      <c r="AQ1022" s="16">
        <v>1362.8477773974209</v>
      </c>
      <c r="AR1022" s="16">
        <f t="shared" si="126"/>
        <v>262.84777739742094</v>
      </c>
      <c r="AS1022" s="17">
        <f t="shared" si="120"/>
        <v>0.23895252490674632</v>
      </c>
      <c r="AT1022" s="20">
        <v>1100</v>
      </c>
      <c r="AU1022" s="20">
        <v>1429.592407226562</v>
      </c>
      <c r="AV1022" s="20">
        <f t="shared" si="121"/>
        <v>329.59240722656205</v>
      </c>
      <c r="AW1022" s="21">
        <f t="shared" si="127"/>
        <v>0.29962946111505639</v>
      </c>
    </row>
    <row r="1023" spans="1:49" x14ac:dyDescent="0.25">
      <c r="A1023" t="s">
        <v>81</v>
      </c>
      <c r="B1023" t="s">
        <v>186</v>
      </c>
      <c r="C1023">
        <v>129914</v>
      </c>
      <c r="D1023">
        <v>2018</v>
      </c>
      <c r="E1023" t="s">
        <v>69</v>
      </c>
      <c r="F1023" t="s">
        <v>1141</v>
      </c>
      <c r="H1023" t="s">
        <v>1171</v>
      </c>
      <c r="I1023">
        <v>4</v>
      </c>
      <c r="J1023" t="s">
        <v>72</v>
      </c>
      <c r="K1023">
        <v>4</v>
      </c>
      <c r="L1023" t="s">
        <v>44</v>
      </c>
      <c r="M1023">
        <v>2.5</v>
      </c>
      <c r="N1023" t="s">
        <v>45</v>
      </c>
      <c r="O1023" t="s">
        <v>46</v>
      </c>
      <c r="P1023">
        <v>4</v>
      </c>
      <c r="Q1023" t="s">
        <v>74</v>
      </c>
      <c r="R1023" t="s">
        <v>75</v>
      </c>
      <c r="T1023">
        <v>169</v>
      </c>
      <c r="U1023" t="s">
        <v>50</v>
      </c>
      <c r="V1023" t="s">
        <v>51</v>
      </c>
      <c r="W1023" t="s">
        <v>1172</v>
      </c>
      <c r="X1023" t="s">
        <v>141</v>
      </c>
      <c r="Y1023" t="s">
        <v>1142</v>
      </c>
      <c r="AA1023">
        <v>0</v>
      </c>
      <c r="AB1023" t="s">
        <v>79</v>
      </c>
      <c r="AC1023" t="s">
        <v>80</v>
      </c>
      <c r="AD1023">
        <v>36</v>
      </c>
      <c r="AE1023">
        <v>9</v>
      </c>
      <c r="AF1023">
        <v>3</v>
      </c>
      <c r="AG1023">
        <v>2025</v>
      </c>
      <c r="AH1023" s="2">
        <v>7900</v>
      </c>
      <c r="AI1023" s="2">
        <v>7134.7001953125</v>
      </c>
      <c r="AJ1023" s="2">
        <f t="shared" si="122"/>
        <v>765.2998046875</v>
      </c>
      <c r="AK1023" s="6">
        <f t="shared" si="123"/>
        <v>9.6873392998417726E-2</v>
      </c>
      <c r="AL1023" s="12">
        <v>7900</v>
      </c>
      <c r="AM1023" s="12">
        <v>7433.6718403914456</v>
      </c>
      <c r="AN1023" s="12">
        <f t="shared" si="124"/>
        <v>466.32815960855442</v>
      </c>
      <c r="AO1023" s="13">
        <f t="shared" si="125"/>
        <v>5.9028880963108155E-2</v>
      </c>
      <c r="AP1023" s="16">
        <v>7900</v>
      </c>
      <c r="AQ1023" s="16">
        <v>6654.0279403356244</v>
      </c>
      <c r="AR1023" s="16">
        <f t="shared" si="126"/>
        <v>1245.9720596643756</v>
      </c>
      <c r="AS1023" s="17">
        <f t="shared" si="120"/>
        <v>0.15771798223599692</v>
      </c>
      <c r="AT1023" s="20">
        <v>7900</v>
      </c>
      <c r="AU1023" s="20">
        <v>7303.1103515625</v>
      </c>
      <c r="AV1023" s="20">
        <f t="shared" si="121"/>
        <v>596.8896484375</v>
      </c>
      <c r="AW1023" s="21">
        <f t="shared" si="127"/>
        <v>7.5555651700949369E-2</v>
      </c>
    </row>
    <row r="1024" spans="1:49" x14ac:dyDescent="0.25">
      <c r="A1024" t="s">
        <v>38</v>
      </c>
      <c r="B1024" t="s">
        <v>110</v>
      </c>
      <c r="C1024">
        <v>137128</v>
      </c>
      <c r="D1024">
        <v>2014</v>
      </c>
      <c r="E1024" t="s">
        <v>142</v>
      </c>
      <c r="F1024" t="s">
        <v>373</v>
      </c>
      <c r="G1024" t="s">
        <v>118</v>
      </c>
      <c r="I1024">
        <v>6</v>
      </c>
      <c r="J1024" t="s">
        <v>122</v>
      </c>
      <c r="K1024">
        <v>4</v>
      </c>
      <c r="L1024" t="s">
        <v>44</v>
      </c>
      <c r="M1024">
        <v>3</v>
      </c>
      <c r="N1024" t="s">
        <v>73</v>
      </c>
      <c r="O1024" t="s">
        <v>46</v>
      </c>
      <c r="P1024">
        <v>3</v>
      </c>
      <c r="Q1024" t="s">
        <v>62</v>
      </c>
      <c r="R1024" t="s">
        <v>63</v>
      </c>
      <c r="S1024" t="s">
        <v>49</v>
      </c>
      <c r="U1024" t="s">
        <v>229</v>
      </c>
      <c r="X1024" t="s">
        <v>94</v>
      </c>
      <c r="Y1024" t="s">
        <v>78</v>
      </c>
      <c r="AA1024">
        <v>0</v>
      </c>
      <c r="AB1024" t="s">
        <v>79</v>
      </c>
      <c r="AC1024" t="s">
        <v>87</v>
      </c>
      <c r="AD1024">
        <v>36</v>
      </c>
      <c r="AE1024">
        <v>9</v>
      </c>
      <c r="AF1024">
        <v>3</v>
      </c>
      <c r="AG1024">
        <v>2025</v>
      </c>
      <c r="AH1024" s="2">
        <v>4300</v>
      </c>
      <c r="AI1024" s="2">
        <v>4147.16552734375</v>
      </c>
      <c r="AJ1024" s="2">
        <f t="shared" si="122"/>
        <v>152.83447265625</v>
      </c>
      <c r="AK1024" s="6">
        <f t="shared" si="123"/>
        <v>3.5542900617732555E-2</v>
      </c>
      <c r="AL1024" s="12">
        <v>4300</v>
      </c>
      <c r="AM1024" s="12">
        <v>6449.2419823268619</v>
      </c>
      <c r="AN1024" s="12">
        <f t="shared" si="124"/>
        <v>2149.2419823268619</v>
      </c>
      <c r="AO1024" s="13">
        <f t="shared" si="125"/>
        <v>0.49982371682020044</v>
      </c>
      <c r="AP1024" s="16">
        <v>4300</v>
      </c>
      <c r="AQ1024" s="16">
        <v>4726.0651063190417</v>
      </c>
      <c r="AR1024" s="16">
        <f t="shared" si="126"/>
        <v>426.06510631904166</v>
      </c>
      <c r="AS1024" s="17">
        <f t="shared" si="120"/>
        <v>9.9084908446288755E-2</v>
      </c>
      <c r="AT1024" s="20">
        <v>4300</v>
      </c>
      <c r="AU1024" s="20">
        <v>4300.6650390625</v>
      </c>
      <c r="AV1024" s="20">
        <f t="shared" si="121"/>
        <v>0.6650390625</v>
      </c>
      <c r="AW1024" s="21">
        <f t="shared" si="127"/>
        <v>1.5466024709302325E-4</v>
      </c>
    </row>
    <row r="1025" spans="1:49" x14ac:dyDescent="0.25">
      <c r="A1025" t="s">
        <v>81</v>
      </c>
      <c r="B1025" t="s">
        <v>186</v>
      </c>
      <c r="C1025">
        <v>56868</v>
      </c>
      <c r="D1025">
        <v>2018</v>
      </c>
      <c r="E1025" t="s">
        <v>142</v>
      </c>
      <c r="F1025" t="s">
        <v>630</v>
      </c>
      <c r="G1025" t="s">
        <v>1173</v>
      </c>
      <c r="I1025">
        <v>4</v>
      </c>
      <c r="J1025" t="s">
        <v>72</v>
      </c>
      <c r="K1025">
        <v>4</v>
      </c>
      <c r="L1025" t="s">
        <v>44</v>
      </c>
      <c r="M1025">
        <v>2.4</v>
      </c>
      <c r="N1025" t="s">
        <v>45</v>
      </c>
      <c r="O1025" t="s">
        <v>46</v>
      </c>
      <c r="P1025">
        <v>3</v>
      </c>
      <c r="Q1025" t="s">
        <v>62</v>
      </c>
      <c r="R1025" t="s">
        <v>63</v>
      </c>
      <c r="S1025" t="s">
        <v>101</v>
      </c>
      <c r="T1025">
        <v>180</v>
      </c>
      <c r="U1025" t="s">
        <v>50</v>
      </c>
      <c r="X1025" t="s">
        <v>65</v>
      </c>
      <c r="Y1025" t="s">
        <v>632</v>
      </c>
      <c r="Z1025">
        <v>21945</v>
      </c>
      <c r="AA1025">
        <v>0</v>
      </c>
      <c r="AB1025" t="s">
        <v>79</v>
      </c>
      <c r="AC1025" t="s">
        <v>87</v>
      </c>
      <c r="AD1025">
        <v>36</v>
      </c>
      <c r="AE1025">
        <v>9</v>
      </c>
      <c r="AF1025">
        <v>3</v>
      </c>
      <c r="AG1025">
        <v>2025</v>
      </c>
      <c r="AH1025" s="2">
        <v>9540</v>
      </c>
      <c r="AI1025" s="2">
        <v>9608.0322265625</v>
      </c>
      <c r="AJ1025" s="2">
        <f t="shared" si="122"/>
        <v>68.0322265625</v>
      </c>
      <c r="AK1025" s="6">
        <f t="shared" si="123"/>
        <v>7.1312606459643605E-3</v>
      </c>
      <c r="AL1025" s="12">
        <v>9540</v>
      </c>
      <c r="AM1025" s="12">
        <v>9899.7243154376029</v>
      </c>
      <c r="AN1025" s="12">
        <f t="shared" si="124"/>
        <v>359.72431543760285</v>
      </c>
      <c r="AO1025" s="13">
        <f t="shared" si="125"/>
        <v>3.7706951303731959E-2</v>
      </c>
      <c r="AP1025" s="16">
        <v>9540</v>
      </c>
      <c r="AQ1025" s="16">
        <v>8482.5589338024456</v>
      </c>
      <c r="AR1025" s="16">
        <f t="shared" si="126"/>
        <v>1057.4410661975544</v>
      </c>
      <c r="AS1025" s="17">
        <f t="shared" si="120"/>
        <v>0.11084287905634742</v>
      </c>
      <c r="AT1025" s="20">
        <v>9540</v>
      </c>
      <c r="AU1025" s="20">
        <v>9736.5458984375</v>
      </c>
      <c r="AV1025" s="20">
        <f t="shared" si="121"/>
        <v>196.5458984375</v>
      </c>
      <c r="AW1025" s="21">
        <f t="shared" si="127"/>
        <v>2.0602295433700211E-2</v>
      </c>
    </row>
    <row r="1026" spans="1:49" x14ac:dyDescent="0.25">
      <c r="A1026" t="s">
        <v>38</v>
      </c>
      <c r="B1026" t="s">
        <v>96</v>
      </c>
      <c r="C1026">
        <v>68514</v>
      </c>
      <c r="D1026">
        <v>2022</v>
      </c>
      <c r="E1026" t="s">
        <v>69</v>
      </c>
      <c r="F1026" t="s">
        <v>250</v>
      </c>
      <c r="H1026" t="s">
        <v>224</v>
      </c>
      <c r="I1026">
        <v>3</v>
      </c>
      <c r="J1026" t="s">
        <v>122</v>
      </c>
      <c r="K1026">
        <v>4</v>
      </c>
      <c r="L1026" t="s">
        <v>44</v>
      </c>
      <c r="M1026">
        <v>1.5</v>
      </c>
      <c r="N1026" t="s">
        <v>45</v>
      </c>
      <c r="O1026" t="s">
        <v>46</v>
      </c>
      <c r="Q1026" t="s">
        <v>62</v>
      </c>
      <c r="R1026" t="s">
        <v>63</v>
      </c>
      <c r="S1026" t="s">
        <v>49</v>
      </c>
      <c r="T1026">
        <v>181</v>
      </c>
      <c r="U1026" t="s">
        <v>50</v>
      </c>
      <c r="V1026" t="s">
        <v>51</v>
      </c>
      <c r="W1026" t="s">
        <v>275</v>
      </c>
      <c r="X1026" t="s">
        <v>65</v>
      </c>
      <c r="Y1026" t="s">
        <v>78</v>
      </c>
      <c r="AA1026">
        <v>0</v>
      </c>
      <c r="AB1026" t="s">
        <v>79</v>
      </c>
      <c r="AC1026" t="s">
        <v>87</v>
      </c>
      <c r="AD1026">
        <v>36</v>
      </c>
      <c r="AE1026">
        <v>9</v>
      </c>
      <c r="AF1026">
        <v>3</v>
      </c>
      <c r="AG1026">
        <v>2025</v>
      </c>
      <c r="AH1026" s="2">
        <v>11600</v>
      </c>
      <c r="AI1026" s="2">
        <v>14781.44140625</v>
      </c>
      <c r="AJ1026" s="2">
        <f t="shared" si="122"/>
        <v>3181.44140625</v>
      </c>
      <c r="AK1026" s="6">
        <f t="shared" si="123"/>
        <v>0.27426219019396553</v>
      </c>
      <c r="AL1026" s="12">
        <v>11600</v>
      </c>
      <c r="AM1026" s="12">
        <v>13252.62921922812</v>
      </c>
      <c r="AN1026" s="12">
        <f t="shared" si="124"/>
        <v>1652.6292192281198</v>
      </c>
      <c r="AO1026" s="13">
        <f t="shared" si="125"/>
        <v>0.14246803614035516</v>
      </c>
      <c r="AP1026" s="16">
        <v>11600</v>
      </c>
      <c r="AQ1026" s="16">
        <v>12757.297382879409</v>
      </c>
      <c r="AR1026" s="16">
        <f t="shared" si="126"/>
        <v>1157.2973828794093</v>
      </c>
      <c r="AS1026" s="17">
        <f t="shared" si="120"/>
        <v>9.9767015765466316E-2</v>
      </c>
      <c r="AT1026" s="20">
        <v>11600</v>
      </c>
      <c r="AU1026" s="20">
        <v>14357.478515625</v>
      </c>
      <c r="AV1026" s="20">
        <f t="shared" si="121"/>
        <v>2757.478515625</v>
      </c>
      <c r="AW1026" s="21">
        <f t="shared" si="127"/>
        <v>0.23771366514008621</v>
      </c>
    </row>
    <row r="1027" spans="1:49" x14ac:dyDescent="0.25">
      <c r="A1027" t="s">
        <v>38</v>
      </c>
      <c r="B1027" t="s">
        <v>110</v>
      </c>
      <c r="C1027">
        <v>73309</v>
      </c>
      <c r="D1027">
        <v>2018</v>
      </c>
      <c r="E1027" t="s">
        <v>425</v>
      </c>
      <c r="F1027" t="s">
        <v>1174</v>
      </c>
      <c r="H1027" t="s">
        <v>1175</v>
      </c>
      <c r="I1027">
        <v>4</v>
      </c>
      <c r="J1027" t="s">
        <v>253</v>
      </c>
      <c r="K1027">
        <v>4</v>
      </c>
      <c r="L1027" t="s">
        <v>44</v>
      </c>
      <c r="M1027">
        <v>2</v>
      </c>
      <c r="N1027" t="s">
        <v>45</v>
      </c>
      <c r="O1027" t="s">
        <v>46</v>
      </c>
      <c r="P1027">
        <v>2</v>
      </c>
      <c r="Q1027" t="s">
        <v>47</v>
      </c>
      <c r="R1027" t="s">
        <v>48</v>
      </c>
      <c r="S1027" t="s">
        <v>101</v>
      </c>
      <c r="T1027">
        <v>189</v>
      </c>
      <c r="U1027" t="s">
        <v>50</v>
      </c>
      <c r="X1027" t="s">
        <v>125</v>
      </c>
      <c r="Y1027" t="s">
        <v>467</v>
      </c>
      <c r="Z1027">
        <v>26400</v>
      </c>
      <c r="AA1027">
        <v>0</v>
      </c>
      <c r="AB1027" t="s">
        <v>79</v>
      </c>
      <c r="AC1027" t="s">
        <v>359</v>
      </c>
      <c r="AD1027">
        <v>36</v>
      </c>
      <c r="AE1027">
        <v>9</v>
      </c>
      <c r="AF1027">
        <v>3</v>
      </c>
      <c r="AG1027">
        <v>2025</v>
      </c>
      <c r="AH1027" s="2">
        <v>8800</v>
      </c>
      <c r="AI1027" s="2">
        <v>5541.53271484375</v>
      </c>
      <c r="AJ1027" s="2">
        <f t="shared" si="122"/>
        <v>3258.46728515625</v>
      </c>
      <c r="AK1027" s="6">
        <f t="shared" si="123"/>
        <v>0.37028037331321023</v>
      </c>
      <c r="AL1027" s="12">
        <v>8800</v>
      </c>
      <c r="AM1027" s="12">
        <v>5243.9184618742966</v>
      </c>
      <c r="AN1027" s="12">
        <f t="shared" si="124"/>
        <v>3556.0815381257034</v>
      </c>
      <c r="AO1027" s="13">
        <f t="shared" si="125"/>
        <v>0.40410017478701177</v>
      </c>
      <c r="AP1027" s="16">
        <v>8800</v>
      </c>
      <c r="AQ1027" s="16">
        <v>5049.6596572705994</v>
      </c>
      <c r="AR1027" s="16">
        <f t="shared" si="126"/>
        <v>3750.3403427294006</v>
      </c>
      <c r="AS1027" s="17">
        <f t="shared" ref="AS1027:AS1090" si="128">ABS($AH1027-AQ1027)/$AH1027</f>
        <v>0.42617503894652281</v>
      </c>
      <c r="AT1027" s="20">
        <v>8800</v>
      </c>
      <c r="AU1027" s="20">
        <v>5582.46826171875</v>
      </c>
      <c r="AV1027" s="20">
        <f t="shared" ref="AV1027:AV1090" si="129">ABS(AT1027-AU1027)</f>
        <v>3217.53173828125</v>
      </c>
      <c r="AW1027" s="21">
        <f t="shared" si="127"/>
        <v>0.36562860662286933</v>
      </c>
    </row>
    <row r="1028" spans="1:49" x14ac:dyDescent="0.25">
      <c r="A1028" t="s">
        <v>38</v>
      </c>
      <c r="B1028" t="s">
        <v>39</v>
      </c>
      <c r="C1028">
        <v>88313</v>
      </c>
      <c r="D1028">
        <v>2020</v>
      </c>
      <c r="E1028" t="s">
        <v>88</v>
      </c>
      <c r="F1028" t="s">
        <v>89</v>
      </c>
      <c r="G1028" t="s">
        <v>685</v>
      </c>
      <c r="H1028" t="s">
        <v>686</v>
      </c>
      <c r="I1028">
        <v>8</v>
      </c>
      <c r="J1028" t="s">
        <v>135</v>
      </c>
      <c r="K1028">
        <v>4</v>
      </c>
      <c r="L1028" t="s">
        <v>44</v>
      </c>
      <c r="M1028">
        <v>5.7</v>
      </c>
      <c r="N1028" t="s">
        <v>91</v>
      </c>
      <c r="O1028" t="s">
        <v>46</v>
      </c>
      <c r="Q1028" t="s">
        <v>74</v>
      </c>
      <c r="R1028" t="s">
        <v>92</v>
      </c>
      <c r="S1028" t="s">
        <v>93</v>
      </c>
      <c r="T1028">
        <v>395</v>
      </c>
      <c r="U1028" t="s">
        <v>50</v>
      </c>
      <c r="V1028" t="s">
        <v>76</v>
      </c>
      <c r="X1028" t="s">
        <v>108</v>
      </c>
      <c r="Y1028" t="s">
        <v>78</v>
      </c>
      <c r="AA1028">
        <v>0</v>
      </c>
      <c r="AB1028" t="s">
        <v>79</v>
      </c>
      <c r="AC1028" t="s">
        <v>95</v>
      </c>
      <c r="AD1028">
        <v>36</v>
      </c>
      <c r="AE1028">
        <v>9</v>
      </c>
      <c r="AF1028">
        <v>3</v>
      </c>
      <c r="AG1028">
        <v>2025</v>
      </c>
      <c r="AH1028" s="2">
        <v>25500</v>
      </c>
      <c r="AI1028" s="2">
        <v>26496.05078125</v>
      </c>
      <c r="AJ1028" s="2">
        <f t="shared" ref="AJ1028:AJ1091" si="130">ABS(AH1028-AI1028)</f>
        <v>996.05078125</v>
      </c>
      <c r="AK1028" s="6">
        <f t="shared" ref="AK1028:AK1091" si="131">ABS($AH1028-AI1028)/$AH1028</f>
        <v>3.9060814950980391E-2</v>
      </c>
      <c r="AL1028" s="12">
        <v>25500</v>
      </c>
      <c r="AM1028" s="12">
        <v>26183.949475758742</v>
      </c>
      <c r="AN1028" s="12">
        <f t="shared" ref="AN1028:AN1091" si="132">ABS(AL1028-AM1028)</f>
        <v>683.94947575874176</v>
      </c>
      <c r="AO1028" s="13">
        <f t="shared" ref="AO1028:AO1091" si="133">ABS($AH1028-AM1028)/$AH1028</f>
        <v>2.6821548068970264E-2</v>
      </c>
      <c r="AP1028" s="16">
        <v>25500</v>
      </c>
      <c r="AQ1028" s="16">
        <v>26018.185180003311</v>
      </c>
      <c r="AR1028" s="16">
        <f t="shared" ref="AR1028:AR1091" si="134">ABS(AP1028-AQ1028)</f>
        <v>518.18518000331096</v>
      </c>
      <c r="AS1028" s="17">
        <f t="shared" si="128"/>
        <v>2.0320987451110235E-2</v>
      </c>
      <c r="AT1028" s="20">
        <v>25500</v>
      </c>
      <c r="AU1028" s="20">
        <v>26400.98046875</v>
      </c>
      <c r="AV1028" s="20">
        <f t="shared" si="129"/>
        <v>900.98046875</v>
      </c>
      <c r="AW1028" s="21">
        <f t="shared" ref="AW1028:AW1091" si="135">ABS($AH1028-AU1028)/$AH1028</f>
        <v>3.5332567401960786E-2</v>
      </c>
    </row>
    <row r="1029" spans="1:49" x14ac:dyDescent="0.25">
      <c r="A1029" t="s">
        <v>38</v>
      </c>
      <c r="B1029" t="s">
        <v>39</v>
      </c>
      <c r="C1029">
        <v>127414</v>
      </c>
      <c r="D1029">
        <v>2012</v>
      </c>
      <c r="E1029" t="s">
        <v>69</v>
      </c>
      <c r="F1029" t="s">
        <v>690</v>
      </c>
      <c r="G1029" t="s">
        <v>224</v>
      </c>
      <c r="I1029">
        <v>4</v>
      </c>
      <c r="J1029" t="s">
        <v>43</v>
      </c>
      <c r="K1029">
        <v>4</v>
      </c>
      <c r="L1029" t="s">
        <v>44</v>
      </c>
      <c r="M1029">
        <v>2</v>
      </c>
      <c r="N1029" t="s">
        <v>45</v>
      </c>
      <c r="O1029" t="s">
        <v>46</v>
      </c>
      <c r="Q1029" t="s">
        <v>47</v>
      </c>
      <c r="R1029" t="s">
        <v>123</v>
      </c>
      <c r="T1029">
        <v>160</v>
      </c>
      <c r="U1029" t="s">
        <v>50</v>
      </c>
      <c r="V1029" t="s">
        <v>51</v>
      </c>
      <c r="X1029" t="s">
        <v>125</v>
      </c>
      <c r="Y1029" t="s">
        <v>78</v>
      </c>
      <c r="AA1029">
        <v>0</v>
      </c>
      <c r="AB1029" t="s">
        <v>79</v>
      </c>
      <c r="AC1029" t="s">
        <v>127</v>
      </c>
      <c r="AD1029">
        <v>36</v>
      </c>
      <c r="AE1029">
        <v>9</v>
      </c>
      <c r="AF1029">
        <v>3</v>
      </c>
      <c r="AG1029">
        <v>2025</v>
      </c>
      <c r="AH1029" s="2">
        <v>1900</v>
      </c>
      <c r="AI1029" s="2">
        <v>1570.075439453125</v>
      </c>
      <c r="AJ1029" s="2">
        <f t="shared" si="130"/>
        <v>329.924560546875</v>
      </c>
      <c r="AK1029" s="6">
        <f t="shared" si="131"/>
        <v>0.17364450555098684</v>
      </c>
      <c r="AL1029" s="12">
        <v>1900</v>
      </c>
      <c r="AM1029" s="12">
        <v>1659.8158925081291</v>
      </c>
      <c r="AN1029" s="12">
        <f t="shared" si="132"/>
        <v>240.18410749187092</v>
      </c>
      <c r="AO1029" s="13">
        <f t="shared" si="133"/>
        <v>0.12641268815361628</v>
      </c>
      <c r="AP1029" s="16">
        <v>1900</v>
      </c>
      <c r="AQ1029" s="16">
        <v>1331.8633118757371</v>
      </c>
      <c r="AR1029" s="16">
        <f t="shared" si="134"/>
        <v>568.13668812426295</v>
      </c>
      <c r="AS1029" s="17">
        <f t="shared" si="128"/>
        <v>0.29901930953908579</v>
      </c>
      <c r="AT1029" s="20">
        <v>1900</v>
      </c>
      <c r="AU1029" s="20">
        <v>1557.346801757812</v>
      </c>
      <c r="AV1029" s="20">
        <f t="shared" si="129"/>
        <v>342.65319824218795</v>
      </c>
      <c r="AW1029" s="21">
        <f t="shared" si="135"/>
        <v>0.18034378854851998</v>
      </c>
    </row>
    <row r="1030" spans="1:49" x14ac:dyDescent="0.25">
      <c r="A1030" t="s">
        <v>114</v>
      </c>
      <c r="B1030" t="s">
        <v>596</v>
      </c>
      <c r="C1030">
        <v>14634</v>
      </c>
      <c r="D1030">
        <v>2023</v>
      </c>
      <c r="E1030" t="s">
        <v>97</v>
      </c>
      <c r="F1030" t="s">
        <v>98</v>
      </c>
      <c r="G1030" t="s">
        <v>513</v>
      </c>
      <c r="I1030">
        <v>4</v>
      </c>
      <c r="J1030" t="s">
        <v>135</v>
      </c>
      <c r="K1030">
        <v>4</v>
      </c>
      <c r="L1030" t="s">
        <v>44</v>
      </c>
      <c r="M1030">
        <v>1.5</v>
      </c>
      <c r="N1030" t="s">
        <v>45</v>
      </c>
      <c r="O1030" t="s">
        <v>46</v>
      </c>
      <c r="P1030">
        <v>4</v>
      </c>
      <c r="Q1030" t="s">
        <v>62</v>
      </c>
      <c r="R1030" t="s">
        <v>63</v>
      </c>
      <c r="S1030" t="s">
        <v>101</v>
      </c>
      <c r="U1030" t="s">
        <v>50</v>
      </c>
      <c r="V1030" t="s">
        <v>51</v>
      </c>
      <c r="W1030" t="s">
        <v>283</v>
      </c>
      <c r="X1030" t="s">
        <v>65</v>
      </c>
      <c r="Y1030" t="s">
        <v>126</v>
      </c>
      <c r="AA1030">
        <v>0</v>
      </c>
      <c r="AB1030" t="s">
        <v>79</v>
      </c>
      <c r="AC1030" t="s">
        <v>87</v>
      </c>
      <c r="AD1030">
        <v>36</v>
      </c>
      <c r="AE1030">
        <v>9</v>
      </c>
      <c r="AF1030">
        <v>3</v>
      </c>
      <c r="AG1030">
        <v>2025</v>
      </c>
      <c r="AH1030" s="2">
        <v>19200</v>
      </c>
      <c r="AI1030" s="2">
        <v>20725.986328125</v>
      </c>
      <c r="AJ1030" s="2">
        <f t="shared" si="130"/>
        <v>1525.986328125</v>
      </c>
      <c r="AK1030" s="6">
        <f t="shared" si="131"/>
        <v>7.9478454589843747E-2</v>
      </c>
      <c r="AL1030" s="12">
        <v>19200</v>
      </c>
      <c r="AM1030" s="12">
        <v>23118.181492719101</v>
      </c>
      <c r="AN1030" s="12">
        <f t="shared" si="132"/>
        <v>3918.1814927191008</v>
      </c>
      <c r="AO1030" s="13">
        <f t="shared" si="133"/>
        <v>0.20407195274578649</v>
      </c>
      <c r="AP1030" s="16">
        <v>19200</v>
      </c>
      <c r="AQ1030" s="16">
        <v>19641.181539634479</v>
      </c>
      <c r="AR1030" s="16">
        <f t="shared" si="134"/>
        <v>441.18153963447912</v>
      </c>
      <c r="AS1030" s="17">
        <f t="shared" si="128"/>
        <v>2.2978205189295789E-2</v>
      </c>
      <c r="AT1030" s="20">
        <v>19200</v>
      </c>
      <c r="AU1030" s="20">
        <v>20842.025390625</v>
      </c>
      <c r="AV1030" s="20">
        <f t="shared" si="129"/>
        <v>1642.025390625</v>
      </c>
      <c r="AW1030" s="21">
        <f t="shared" si="135"/>
        <v>8.5522155761718746E-2</v>
      </c>
    </row>
    <row r="1031" spans="1:49" x14ac:dyDescent="0.25">
      <c r="A1031" t="s">
        <v>38</v>
      </c>
      <c r="B1031" t="s">
        <v>68</v>
      </c>
      <c r="C1031">
        <v>114488</v>
      </c>
      <c r="D1031">
        <v>2018</v>
      </c>
      <c r="E1031" t="s">
        <v>142</v>
      </c>
      <c r="F1031" t="s">
        <v>335</v>
      </c>
      <c r="G1031" t="s">
        <v>610</v>
      </c>
      <c r="I1031">
        <v>4</v>
      </c>
      <c r="J1031" t="s">
        <v>135</v>
      </c>
      <c r="K1031">
        <v>4</v>
      </c>
      <c r="L1031" t="s">
        <v>44</v>
      </c>
      <c r="M1031">
        <v>2.4</v>
      </c>
      <c r="N1031" t="s">
        <v>91</v>
      </c>
      <c r="O1031" t="s">
        <v>46</v>
      </c>
      <c r="P1031">
        <v>4</v>
      </c>
      <c r="Q1031" t="s">
        <v>62</v>
      </c>
      <c r="R1031" t="s">
        <v>63</v>
      </c>
      <c r="S1031" t="s">
        <v>93</v>
      </c>
      <c r="T1031">
        <v>180</v>
      </c>
      <c r="U1031" t="s">
        <v>50</v>
      </c>
      <c r="V1031" t="s">
        <v>51</v>
      </c>
      <c r="X1031" t="s">
        <v>65</v>
      </c>
      <c r="Y1031" t="s">
        <v>126</v>
      </c>
      <c r="Z1031">
        <v>24395</v>
      </c>
      <c r="AA1031">
        <v>0</v>
      </c>
      <c r="AB1031" t="s">
        <v>79</v>
      </c>
      <c r="AC1031" t="s">
        <v>87</v>
      </c>
      <c r="AD1031">
        <v>36</v>
      </c>
      <c r="AE1031">
        <v>9</v>
      </c>
      <c r="AF1031">
        <v>3</v>
      </c>
      <c r="AG1031">
        <v>2025</v>
      </c>
      <c r="AH1031" s="2">
        <v>6000</v>
      </c>
      <c r="AI1031" s="2">
        <v>8878.9208984375</v>
      </c>
      <c r="AJ1031" s="2">
        <f t="shared" si="130"/>
        <v>2878.9208984375</v>
      </c>
      <c r="AK1031" s="6">
        <f t="shared" si="131"/>
        <v>0.47982014973958331</v>
      </c>
      <c r="AL1031" s="12">
        <v>6000</v>
      </c>
      <c r="AM1031" s="12">
        <v>8036.7189689734432</v>
      </c>
      <c r="AN1031" s="12">
        <f t="shared" si="132"/>
        <v>2036.7189689734432</v>
      </c>
      <c r="AO1031" s="13">
        <f t="shared" si="133"/>
        <v>0.33945316149557386</v>
      </c>
      <c r="AP1031" s="16">
        <v>6000</v>
      </c>
      <c r="AQ1031" s="16">
        <v>7962.4610636738907</v>
      </c>
      <c r="AR1031" s="16">
        <f t="shared" si="134"/>
        <v>1962.4610636738907</v>
      </c>
      <c r="AS1031" s="17">
        <f t="shared" si="128"/>
        <v>0.32707684394564845</v>
      </c>
      <c r="AT1031" s="20">
        <v>6000</v>
      </c>
      <c r="AU1031" s="20">
        <v>8749.525390625</v>
      </c>
      <c r="AV1031" s="20">
        <f t="shared" si="129"/>
        <v>2749.525390625</v>
      </c>
      <c r="AW1031" s="21">
        <f t="shared" si="135"/>
        <v>0.45825423177083335</v>
      </c>
    </row>
    <row r="1032" spans="1:49" x14ac:dyDescent="0.25">
      <c r="A1032" t="s">
        <v>38</v>
      </c>
      <c r="B1032" t="s">
        <v>110</v>
      </c>
      <c r="C1032">
        <v>9010</v>
      </c>
      <c r="D1032">
        <v>2025</v>
      </c>
      <c r="E1032" t="s">
        <v>142</v>
      </c>
      <c r="F1032" t="s">
        <v>335</v>
      </c>
      <c r="G1032" t="s">
        <v>1176</v>
      </c>
      <c r="I1032">
        <v>4</v>
      </c>
      <c r="J1032" t="s">
        <v>61</v>
      </c>
      <c r="K1032">
        <v>4</v>
      </c>
      <c r="L1032" t="s">
        <v>44</v>
      </c>
      <c r="M1032">
        <v>2</v>
      </c>
      <c r="N1032" t="s">
        <v>91</v>
      </c>
      <c r="O1032" t="s">
        <v>190</v>
      </c>
      <c r="Q1032" t="s">
        <v>62</v>
      </c>
      <c r="R1032" t="s">
        <v>63</v>
      </c>
      <c r="S1032" t="s">
        <v>93</v>
      </c>
      <c r="T1032">
        <v>200</v>
      </c>
      <c r="U1032" t="s">
        <v>50</v>
      </c>
      <c r="V1032" t="s">
        <v>51</v>
      </c>
      <c r="X1032" t="s">
        <v>65</v>
      </c>
      <c r="Y1032" t="s">
        <v>126</v>
      </c>
      <c r="AA1032">
        <v>0</v>
      </c>
      <c r="AB1032" t="s">
        <v>79</v>
      </c>
      <c r="AC1032" t="s">
        <v>87</v>
      </c>
      <c r="AD1032">
        <v>36</v>
      </c>
      <c r="AE1032">
        <v>9</v>
      </c>
      <c r="AF1032">
        <v>3</v>
      </c>
      <c r="AG1032">
        <v>2025</v>
      </c>
      <c r="AH1032" s="2">
        <v>7000</v>
      </c>
      <c r="AI1032" s="2">
        <v>10255.091796875</v>
      </c>
      <c r="AJ1032" s="2">
        <f t="shared" si="130"/>
        <v>3255.091796875</v>
      </c>
      <c r="AK1032" s="6">
        <f t="shared" si="131"/>
        <v>0.46501311383928573</v>
      </c>
      <c r="AL1032" s="12">
        <v>7000</v>
      </c>
      <c r="AM1032" s="12">
        <v>10536.648448349169</v>
      </c>
      <c r="AN1032" s="12">
        <f t="shared" si="132"/>
        <v>3536.6484483491695</v>
      </c>
      <c r="AO1032" s="13">
        <f t="shared" si="133"/>
        <v>0.50523549262130996</v>
      </c>
      <c r="AP1032" s="16">
        <v>7000</v>
      </c>
      <c r="AQ1032" s="16">
        <v>9471.6621849324947</v>
      </c>
      <c r="AR1032" s="16">
        <f t="shared" si="134"/>
        <v>2471.6621849324947</v>
      </c>
      <c r="AS1032" s="17">
        <f t="shared" si="128"/>
        <v>0.35309459784749925</v>
      </c>
      <c r="AT1032" s="20">
        <v>7000</v>
      </c>
      <c r="AU1032" s="20">
        <v>10488.9501953125</v>
      </c>
      <c r="AV1032" s="20">
        <f t="shared" si="129"/>
        <v>3488.9501953125</v>
      </c>
      <c r="AW1032" s="21">
        <f t="shared" si="135"/>
        <v>0.49842145647321429</v>
      </c>
    </row>
    <row r="1033" spans="1:49" x14ac:dyDescent="0.25">
      <c r="A1033" t="s">
        <v>38</v>
      </c>
      <c r="B1033" t="s">
        <v>96</v>
      </c>
      <c r="C1033">
        <v>46090</v>
      </c>
      <c r="D1033">
        <v>2020</v>
      </c>
      <c r="E1033" t="s">
        <v>403</v>
      </c>
      <c r="F1033" t="s">
        <v>456</v>
      </c>
      <c r="G1033" t="s">
        <v>405</v>
      </c>
      <c r="I1033">
        <v>4</v>
      </c>
      <c r="J1033" t="s">
        <v>72</v>
      </c>
      <c r="K1033">
        <v>4</v>
      </c>
      <c r="L1033" t="s">
        <v>44</v>
      </c>
      <c r="M1033">
        <v>2</v>
      </c>
      <c r="N1033" t="s">
        <v>73</v>
      </c>
      <c r="O1033" t="s">
        <v>46</v>
      </c>
      <c r="P1033">
        <v>3</v>
      </c>
      <c r="Q1033" t="s">
        <v>47</v>
      </c>
      <c r="R1033" t="s">
        <v>123</v>
      </c>
      <c r="S1033" t="s">
        <v>179</v>
      </c>
      <c r="U1033" t="s">
        <v>50</v>
      </c>
      <c r="V1033" t="s">
        <v>51</v>
      </c>
      <c r="W1033" t="s">
        <v>458</v>
      </c>
      <c r="X1033" t="s">
        <v>125</v>
      </c>
      <c r="Y1033" t="s">
        <v>78</v>
      </c>
      <c r="AA1033">
        <v>0</v>
      </c>
      <c r="AB1033" t="s">
        <v>79</v>
      </c>
      <c r="AC1033" t="s">
        <v>127</v>
      </c>
      <c r="AD1033">
        <v>36</v>
      </c>
      <c r="AE1033">
        <v>9</v>
      </c>
      <c r="AF1033">
        <v>3</v>
      </c>
      <c r="AG1033">
        <v>2025</v>
      </c>
      <c r="AH1033" s="2">
        <v>19800</v>
      </c>
      <c r="AI1033" s="2">
        <v>16106.3935546875</v>
      </c>
      <c r="AJ1033" s="2">
        <f t="shared" si="130"/>
        <v>3693.6064453125</v>
      </c>
      <c r="AK1033" s="6">
        <f t="shared" si="131"/>
        <v>0.18654578006628789</v>
      </c>
      <c r="AL1033" s="12">
        <v>19800</v>
      </c>
      <c r="AM1033" s="12">
        <v>16485.357243741091</v>
      </c>
      <c r="AN1033" s="12">
        <f t="shared" si="132"/>
        <v>3314.6427562589088</v>
      </c>
      <c r="AO1033" s="13">
        <f t="shared" si="133"/>
        <v>0.16740619981105601</v>
      </c>
      <c r="AP1033" s="16">
        <v>19800</v>
      </c>
      <c r="AQ1033" s="16">
        <v>17207.710122055731</v>
      </c>
      <c r="AR1033" s="16">
        <f t="shared" si="134"/>
        <v>2592.2898779442694</v>
      </c>
      <c r="AS1033" s="17">
        <f t="shared" si="128"/>
        <v>0.13092373120930653</v>
      </c>
      <c r="AT1033" s="20">
        <v>19800</v>
      </c>
      <c r="AU1033" s="20">
        <v>16103.9970703125</v>
      </c>
      <c r="AV1033" s="20">
        <f t="shared" si="129"/>
        <v>3696.0029296875</v>
      </c>
      <c r="AW1033" s="21">
        <f t="shared" si="135"/>
        <v>0.18666681463068183</v>
      </c>
    </row>
    <row r="1034" spans="1:49" x14ac:dyDescent="0.25">
      <c r="A1034" t="s">
        <v>38</v>
      </c>
      <c r="B1034" t="s">
        <v>110</v>
      </c>
      <c r="C1034">
        <v>92118</v>
      </c>
      <c r="D1034">
        <v>2017</v>
      </c>
      <c r="E1034" t="s">
        <v>146</v>
      </c>
      <c r="F1034" t="s">
        <v>279</v>
      </c>
      <c r="I1034">
        <v>4</v>
      </c>
      <c r="J1034" t="s">
        <v>106</v>
      </c>
      <c r="K1034">
        <v>4</v>
      </c>
      <c r="L1034" t="s">
        <v>44</v>
      </c>
      <c r="M1034">
        <v>1.8</v>
      </c>
      <c r="N1034" t="s">
        <v>45</v>
      </c>
      <c r="Q1034" t="s">
        <v>47</v>
      </c>
      <c r="R1034" t="s">
        <v>123</v>
      </c>
      <c r="S1034" t="s">
        <v>49</v>
      </c>
      <c r="T1034">
        <v>130</v>
      </c>
      <c r="U1034" t="s">
        <v>50</v>
      </c>
      <c r="V1034" t="s">
        <v>51</v>
      </c>
      <c r="X1034" t="s">
        <v>125</v>
      </c>
      <c r="Y1034" t="s">
        <v>126</v>
      </c>
      <c r="AA1034">
        <v>0</v>
      </c>
      <c r="AB1034" t="s">
        <v>79</v>
      </c>
      <c r="AC1034" t="s">
        <v>127</v>
      </c>
      <c r="AD1034">
        <v>36</v>
      </c>
      <c r="AE1034">
        <v>9</v>
      </c>
      <c r="AF1034">
        <v>3</v>
      </c>
      <c r="AG1034">
        <v>2025</v>
      </c>
      <c r="AH1034" s="2">
        <v>1400</v>
      </c>
      <c r="AI1034" s="2">
        <v>3164.780517578125</v>
      </c>
      <c r="AJ1034" s="2">
        <f t="shared" si="130"/>
        <v>1764.780517578125</v>
      </c>
      <c r="AK1034" s="6">
        <f t="shared" si="131"/>
        <v>1.2605575125558035</v>
      </c>
      <c r="AL1034" s="12">
        <v>1400</v>
      </c>
      <c r="AM1034" s="12">
        <v>3818.0597216021151</v>
      </c>
      <c r="AN1034" s="12">
        <f t="shared" si="132"/>
        <v>2418.0597216021151</v>
      </c>
      <c r="AO1034" s="13">
        <f t="shared" si="133"/>
        <v>1.7271855154300821</v>
      </c>
      <c r="AP1034" s="16">
        <v>1400</v>
      </c>
      <c r="AQ1034" s="16">
        <v>3189.4006246254748</v>
      </c>
      <c r="AR1034" s="16">
        <f t="shared" si="134"/>
        <v>1789.4006246254748</v>
      </c>
      <c r="AS1034" s="17">
        <f t="shared" si="128"/>
        <v>1.2781433033039107</v>
      </c>
      <c r="AT1034" s="20">
        <v>1400</v>
      </c>
      <c r="AU1034" s="20">
        <v>3257.98291015625</v>
      </c>
      <c r="AV1034" s="20">
        <f t="shared" si="129"/>
        <v>1857.98291015625</v>
      </c>
      <c r="AW1034" s="21">
        <f t="shared" si="135"/>
        <v>1.3271306501116071</v>
      </c>
    </row>
    <row r="1035" spans="1:49" x14ac:dyDescent="0.25">
      <c r="A1035" t="s">
        <v>114</v>
      </c>
      <c r="B1035" t="s">
        <v>340</v>
      </c>
      <c r="C1035">
        <v>197642</v>
      </c>
      <c r="D1035">
        <v>2007</v>
      </c>
      <c r="E1035" t="s">
        <v>83</v>
      </c>
      <c r="F1035" t="s">
        <v>187</v>
      </c>
      <c r="I1035">
        <v>6</v>
      </c>
      <c r="J1035" t="s">
        <v>61</v>
      </c>
      <c r="K1035">
        <v>4</v>
      </c>
      <c r="L1035" t="s">
        <v>44</v>
      </c>
      <c r="M1035">
        <v>3.7</v>
      </c>
      <c r="N1035" t="s">
        <v>44</v>
      </c>
      <c r="O1035" t="s">
        <v>46</v>
      </c>
      <c r="P1035">
        <v>3</v>
      </c>
      <c r="Q1035" t="s">
        <v>62</v>
      </c>
      <c r="R1035" t="s">
        <v>63</v>
      </c>
      <c r="T1035">
        <v>300</v>
      </c>
      <c r="U1035" t="s">
        <v>50</v>
      </c>
      <c r="V1035" t="s">
        <v>76</v>
      </c>
      <c r="W1035" t="s">
        <v>209</v>
      </c>
      <c r="X1035" t="s">
        <v>141</v>
      </c>
      <c r="Y1035" t="s">
        <v>103</v>
      </c>
      <c r="AA1035">
        <v>0</v>
      </c>
      <c r="AB1035" t="s">
        <v>79</v>
      </c>
      <c r="AC1035" t="s">
        <v>87</v>
      </c>
      <c r="AD1035">
        <v>36</v>
      </c>
      <c r="AE1035">
        <v>9</v>
      </c>
      <c r="AF1035">
        <v>3</v>
      </c>
      <c r="AG1035">
        <v>2025</v>
      </c>
      <c r="AH1035" s="2">
        <v>900</v>
      </c>
      <c r="AI1035" s="2">
        <v>1093.326904296875</v>
      </c>
      <c r="AJ1035" s="2">
        <f t="shared" si="130"/>
        <v>193.326904296875</v>
      </c>
      <c r="AK1035" s="6">
        <f t="shared" si="131"/>
        <v>0.21480767144097221</v>
      </c>
      <c r="AL1035" s="12">
        <v>900</v>
      </c>
      <c r="AM1035" s="12">
        <v>1139.078820898369</v>
      </c>
      <c r="AN1035" s="12">
        <f t="shared" si="132"/>
        <v>239.07882089836903</v>
      </c>
      <c r="AO1035" s="13">
        <f t="shared" si="133"/>
        <v>0.26564313433152115</v>
      </c>
      <c r="AP1035" s="16">
        <v>900</v>
      </c>
      <c r="AQ1035" s="16">
        <v>1186.738343008285</v>
      </c>
      <c r="AR1035" s="16">
        <f t="shared" si="134"/>
        <v>286.73834300828503</v>
      </c>
      <c r="AS1035" s="17">
        <f t="shared" si="128"/>
        <v>0.31859815889809445</v>
      </c>
      <c r="AT1035" s="20">
        <v>900</v>
      </c>
      <c r="AU1035" s="20">
        <v>1080.793212890625</v>
      </c>
      <c r="AV1035" s="20">
        <f t="shared" si="129"/>
        <v>180.793212890625</v>
      </c>
      <c r="AW1035" s="21">
        <f t="shared" si="135"/>
        <v>0.20088134765624999</v>
      </c>
    </row>
    <row r="1036" spans="1:49" x14ac:dyDescent="0.25">
      <c r="A1036" t="s">
        <v>38</v>
      </c>
      <c r="B1036" t="s">
        <v>39</v>
      </c>
      <c r="C1036">
        <v>187489</v>
      </c>
      <c r="D1036">
        <v>2018</v>
      </c>
      <c r="E1036" t="s">
        <v>97</v>
      </c>
      <c r="F1036" t="s">
        <v>159</v>
      </c>
      <c r="G1036" t="s">
        <v>155</v>
      </c>
      <c r="H1036" t="s">
        <v>89</v>
      </c>
      <c r="I1036">
        <v>8</v>
      </c>
      <c r="J1036" t="s">
        <v>72</v>
      </c>
      <c r="K1036">
        <v>4</v>
      </c>
      <c r="L1036" t="s">
        <v>44</v>
      </c>
      <c r="M1036">
        <v>5.3</v>
      </c>
      <c r="N1036" t="s">
        <v>91</v>
      </c>
      <c r="O1036" t="s">
        <v>46</v>
      </c>
      <c r="Q1036" t="s">
        <v>74</v>
      </c>
      <c r="R1036" t="s">
        <v>92</v>
      </c>
      <c r="S1036" t="s">
        <v>93</v>
      </c>
      <c r="U1036" t="s">
        <v>50</v>
      </c>
      <c r="W1036" t="s">
        <v>424</v>
      </c>
      <c r="X1036" t="s">
        <v>108</v>
      </c>
      <c r="Y1036" t="s">
        <v>126</v>
      </c>
      <c r="AA1036">
        <v>0</v>
      </c>
      <c r="AB1036" t="s">
        <v>79</v>
      </c>
      <c r="AC1036" t="s">
        <v>95</v>
      </c>
      <c r="AD1036">
        <v>36</v>
      </c>
      <c r="AE1036">
        <v>9</v>
      </c>
      <c r="AF1036">
        <v>3</v>
      </c>
      <c r="AG1036">
        <v>2025</v>
      </c>
      <c r="AH1036" s="2">
        <v>8750</v>
      </c>
      <c r="AI1036" s="2">
        <v>12043.0498046875</v>
      </c>
      <c r="AJ1036" s="2">
        <f t="shared" si="130"/>
        <v>3293.0498046875</v>
      </c>
      <c r="AK1036" s="6">
        <f t="shared" si="131"/>
        <v>0.37634854910714288</v>
      </c>
      <c r="AL1036" s="12">
        <v>8750</v>
      </c>
      <c r="AM1036" s="12">
        <v>13314.22366582599</v>
      </c>
      <c r="AN1036" s="12">
        <f t="shared" si="132"/>
        <v>4564.2236658259899</v>
      </c>
      <c r="AO1036" s="13">
        <f t="shared" si="133"/>
        <v>0.52162556180868458</v>
      </c>
      <c r="AP1036" s="16">
        <v>8750</v>
      </c>
      <c r="AQ1036" s="16">
        <v>11377.42698800731</v>
      </c>
      <c r="AR1036" s="16">
        <f t="shared" si="134"/>
        <v>2627.4269880073098</v>
      </c>
      <c r="AS1036" s="17">
        <f t="shared" si="128"/>
        <v>0.30027737005797828</v>
      </c>
      <c r="AT1036" s="20">
        <v>8750</v>
      </c>
      <c r="AU1036" s="20">
        <v>12331.9951171875</v>
      </c>
      <c r="AV1036" s="20">
        <f t="shared" si="129"/>
        <v>3581.9951171875</v>
      </c>
      <c r="AW1036" s="21">
        <f t="shared" si="135"/>
        <v>0.4093708705357143</v>
      </c>
    </row>
    <row r="1037" spans="1:49" x14ac:dyDescent="0.25">
      <c r="A1037" t="s">
        <v>38</v>
      </c>
      <c r="B1037" t="s">
        <v>110</v>
      </c>
      <c r="C1037">
        <v>134117</v>
      </c>
      <c r="D1037">
        <v>2013</v>
      </c>
      <c r="E1037" t="s">
        <v>83</v>
      </c>
      <c r="F1037" t="s">
        <v>84</v>
      </c>
      <c r="G1037" t="s">
        <v>1177</v>
      </c>
      <c r="I1037">
        <v>6</v>
      </c>
      <c r="J1037" t="s">
        <v>106</v>
      </c>
      <c r="K1037">
        <v>4</v>
      </c>
      <c r="L1037" t="s">
        <v>44</v>
      </c>
      <c r="M1037">
        <v>3.5</v>
      </c>
      <c r="N1037" t="s">
        <v>45</v>
      </c>
      <c r="O1037" t="s">
        <v>46</v>
      </c>
      <c r="P1037">
        <v>3</v>
      </c>
      <c r="Q1037" t="s">
        <v>62</v>
      </c>
      <c r="R1037" t="s">
        <v>63</v>
      </c>
      <c r="T1037">
        <v>273</v>
      </c>
      <c r="U1037" t="s">
        <v>50</v>
      </c>
      <c r="V1037" t="s">
        <v>51</v>
      </c>
      <c r="W1037" t="s">
        <v>86</v>
      </c>
      <c r="X1037" t="s">
        <v>65</v>
      </c>
      <c r="Y1037" t="s">
        <v>78</v>
      </c>
      <c r="AA1037">
        <v>0</v>
      </c>
      <c r="AB1037" t="s">
        <v>79</v>
      </c>
      <c r="AC1037" t="s">
        <v>87</v>
      </c>
      <c r="AD1037">
        <v>36</v>
      </c>
      <c r="AE1037">
        <v>9</v>
      </c>
      <c r="AF1037">
        <v>3</v>
      </c>
      <c r="AG1037">
        <v>2025</v>
      </c>
      <c r="AH1037" s="2">
        <v>4500</v>
      </c>
      <c r="AI1037" s="2">
        <v>2960.39111328125</v>
      </c>
      <c r="AJ1037" s="2">
        <f t="shared" si="130"/>
        <v>1539.60888671875</v>
      </c>
      <c r="AK1037" s="6">
        <f t="shared" si="131"/>
        <v>0.34213530815972221</v>
      </c>
      <c r="AL1037" s="12">
        <v>4500</v>
      </c>
      <c r="AM1037" s="12">
        <v>3966.4598884435381</v>
      </c>
      <c r="AN1037" s="12">
        <f t="shared" si="132"/>
        <v>533.54011155646185</v>
      </c>
      <c r="AO1037" s="13">
        <f t="shared" si="133"/>
        <v>0.11856446923476931</v>
      </c>
      <c r="AP1037" s="16">
        <v>4500</v>
      </c>
      <c r="AQ1037" s="16">
        <v>3984.8159224992419</v>
      </c>
      <c r="AR1037" s="16">
        <f t="shared" si="134"/>
        <v>515.18407750075812</v>
      </c>
      <c r="AS1037" s="17">
        <f t="shared" si="128"/>
        <v>0.11448535055572402</v>
      </c>
      <c r="AT1037" s="20">
        <v>4500</v>
      </c>
      <c r="AU1037" s="20">
        <v>3046.135986328125</v>
      </c>
      <c r="AV1037" s="20">
        <f t="shared" si="129"/>
        <v>1453.864013671875</v>
      </c>
      <c r="AW1037" s="21">
        <f t="shared" si="135"/>
        <v>0.32308089192708334</v>
      </c>
    </row>
    <row r="1038" spans="1:49" x14ac:dyDescent="0.25">
      <c r="A1038" t="s">
        <v>81</v>
      </c>
      <c r="B1038" t="s">
        <v>82</v>
      </c>
      <c r="C1038">
        <v>107881</v>
      </c>
      <c r="D1038">
        <v>2017</v>
      </c>
      <c r="E1038" t="s">
        <v>403</v>
      </c>
      <c r="F1038" t="s">
        <v>1178</v>
      </c>
      <c r="G1038" t="s">
        <v>405</v>
      </c>
      <c r="I1038">
        <v>6</v>
      </c>
      <c r="J1038" t="s">
        <v>122</v>
      </c>
      <c r="K1038">
        <v>4</v>
      </c>
      <c r="L1038" t="s">
        <v>44</v>
      </c>
      <c r="M1038">
        <v>3.6</v>
      </c>
      <c r="N1038" t="s">
        <v>45</v>
      </c>
      <c r="O1038" t="s">
        <v>46</v>
      </c>
      <c r="Q1038" t="s">
        <v>47</v>
      </c>
      <c r="R1038" t="s">
        <v>123</v>
      </c>
      <c r="S1038" t="s">
        <v>101</v>
      </c>
      <c r="U1038" t="s">
        <v>50</v>
      </c>
      <c r="W1038" t="s">
        <v>1179</v>
      </c>
      <c r="X1038" t="s">
        <v>125</v>
      </c>
      <c r="Y1038" t="s">
        <v>103</v>
      </c>
      <c r="Z1038">
        <v>49595</v>
      </c>
      <c r="AA1038">
        <v>0</v>
      </c>
      <c r="AB1038" t="s">
        <v>79</v>
      </c>
      <c r="AC1038" t="s">
        <v>127</v>
      </c>
      <c r="AD1038">
        <v>36</v>
      </c>
      <c r="AE1038">
        <v>9</v>
      </c>
      <c r="AF1038">
        <v>3</v>
      </c>
      <c r="AG1038">
        <v>2025</v>
      </c>
      <c r="AH1038" s="2">
        <v>2500</v>
      </c>
      <c r="AI1038" s="2">
        <v>7297.275390625</v>
      </c>
      <c r="AJ1038" s="2">
        <f t="shared" si="130"/>
        <v>4797.275390625</v>
      </c>
      <c r="AK1038" s="6">
        <f t="shared" si="131"/>
        <v>1.9189101562499999</v>
      </c>
      <c r="AL1038" s="12">
        <v>2500</v>
      </c>
      <c r="AM1038" s="12">
        <v>6342.7931893649966</v>
      </c>
      <c r="AN1038" s="12">
        <f t="shared" si="132"/>
        <v>3842.7931893649966</v>
      </c>
      <c r="AO1038" s="13">
        <f t="shared" si="133"/>
        <v>1.5371172757459985</v>
      </c>
      <c r="AP1038" s="16">
        <v>2500</v>
      </c>
      <c r="AQ1038" s="16">
        <v>6374.0346065642507</v>
      </c>
      <c r="AR1038" s="16">
        <f t="shared" si="134"/>
        <v>3874.0346065642507</v>
      </c>
      <c r="AS1038" s="17">
        <f t="shared" si="128"/>
        <v>1.5496138426257002</v>
      </c>
      <c r="AT1038" s="20">
        <v>2500</v>
      </c>
      <c r="AU1038" s="20">
        <v>7206.70556640625</v>
      </c>
      <c r="AV1038" s="20">
        <f t="shared" si="129"/>
        <v>4706.70556640625</v>
      </c>
      <c r="AW1038" s="21">
        <f t="shared" si="135"/>
        <v>1.8826822265625001</v>
      </c>
    </row>
    <row r="1039" spans="1:49" x14ac:dyDescent="0.25">
      <c r="A1039" t="s">
        <v>114</v>
      </c>
      <c r="B1039" t="s">
        <v>340</v>
      </c>
      <c r="C1039">
        <v>258745</v>
      </c>
      <c r="D1039">
        <v>2008</v>
      </c>
      <c r="E1039" t="s">
        <v>166</v>
      </c>
      <c r="F1039" t="s">
        <v>628</v>
      </c>
      <c r="G1039" t="s">
        <v>240</v>
      </c>
      <c r="I1039">
        <v>4</v>
      </c>
      <c r="J1039" t="s">
        <v>106</v>
      </c>
      <c r="K1039">
        <v>4</v>
      </c>
      <c r="L1039" t="s">
        <v>44</v>
      </c>
      <c r="M1039">
        <v>1.8</v>
      </c>
      <c r="N1039" t="s">
        <v>45</v>
      </c>
      <c r="O1039" t="s">
        <v>46</v>
      </c>
      <c r="P1039">
        <v>3</v>
      </c>
      <c r="Q1039" t="s">
        <v>47</v>
      </c>
      <c r="R1039" t="s">
        <v>123</v>
      </c>
      <c r="T1039">
        <v>140</v>
      </c>
      <c r="U1039" t="s">
        <v>50</v>
      </c>
      <c r="V1039" t="s">
        <v>51</v>
      </c>
      <c r="W1039" t="s">
        <v>767</v>
      </c>
      <c r="X1039" t="s">
        <v>53</v>
      </c>
      <c r="Y1039" t="s">
        <v>78</v>
      </c>
      <c r="AA1039">
        <v>0</v>
      </c>
      <c r="AB1039" t="s">
        <v>79</v>
      </c>
      <c r="AC1039" t="s">
        <v>127</v>
      </c>
      <c r="AD1039">
        <v>36</v>
      </c>
      <c r="AE1039">
        <v>9</v>
      </c>
      <c r="AF1039">
        <v>3</v>
      </c>
      <c r="AG1039">
        <v>2025</v>
      </c>
      <c r="AH1039" s="2">
        <v>1200</v>
      </c>
      <c r="AI1039" s="2">
        <v>1159.550415039062</v>
      </c>
      <c r="AJ1039" s="2">
        <f t="shared" si="130"/>
        <v>40.449584960937955</v>
      </c>
      <c r="AK1039" s="6">
        <f t="shared" si="131"/>
        <v>3.3707987467448297E-2</v>
      </c>
      <c r="AL1039" s="12">
        <v>1200</v>
      </c>
      <c r="AM1039" s="12">
        <v>1136.455916574462</v>
      </c>
      <c r="AN1039" s="12">
        <f t="shared" si="132"/>
        <v>63.54408342553802</v>
      </c>
      <c r="AO1039" s="13">
        <f t="shared" si="133"/>
        <v>5.2953402854615014E-2</v>
      </c>
      <c r="AP1039" s="16">
        <v>1200</v>
      </c>
      <c r="AQ1039" s="16">
        <v>892.24642310489583</v>
      </c>
      <c r="AR1039" s="16">
        <f t="shared" si="134"/>
        <v>307.75357689510417</v>
      </c>
      <c r="AS1039" s="17">
        <f t="shared" si="128"/>
        <v>0.25646131407925349</v>
      </c>
      <c r="AT1039" s="20">
        <v>1200</v>
      </c>
      <c r="AU1039" s="20">
        <v>1149.055419921875</v>
      </c>
      <c r="AV1039" s="20">
        <f t="shared" si="129"/>
        <v>50.944580078125</v>
      </c>
      <c r="AW1039" s="21">
        <f t="shared" si="135"/>
        <v>4.2453816731770837E-2</v>
      </c>
    </row>
    <row r="1040" spans="1:49" x14ac:dyDescent="0.25">
      <c r="A1040" t="s">
        <v>38</v>
      </c>
      <c r="B1040" t="s">
        <v>96</v>
      </c>
      <c r="C1040">
        <v>186992</v>
      </c>
      <c r="D1040">
        <v>2005</v>
      </c>
      <c r="E1040" t="s">
        <v>286</v>
      </c>
      <c r="F1040" t="s">
        <v>653</v>
      </c>
      <c r="G1040" t="s">
        <v>1180</v>
      </c>
      <c r="H1040" t="s">
        <v>1181</v>
      </c>
      <c r="I1040">
        <v>6</v>
      </c>
      <c r="J1040" t="s">
        <v>106</v>
      </c>
      <c r="K1040">
        <v>4</v>
      </c>
      <c r="L1040" t="s">
        <v>44</v>
      </c>
      <c r="M1040">
        <v>3.3</v>
      </c>
      <c r="N1040" t="s">
        <v>45</v>
      </c>
      <c r="O1040" t="s">
        <v>46</v>
      </c>
      <c r="Q1040" t="s">
        <v>47</v>
      </c>
      <c r="R1040" t="s">
        <v>123</v>
      </c>
      <c r="S1040" t="s">
        <v>49</v>
      </c>
      <c r="T1040">
        <v>230</v>
      </c>
      <c r="U1040" t="s">
        <v>50</v>
      </c>
      <c r="V1040" t="s">
        <v>76</v>
      </c>
      <c r="W1040" t="s">
        <v>1119</v>
      </c>
      <c r="X1040" t="s">
        <v>125</v>
      </c>
      <c r="Y1040" t="s">
        <v>54</v>
      </c>
      <c r="AA1040">
        <v>0</v>
      </c>
      <c r="AB1040" t="s">
        <v>79</v>
      </c>
      <c r="AC1040" t="s">
        <v>127</v>
      </c>
      <c r="AD1040">
        <v>36</v>
      </c>
      <c r="AE1040">
        <v>9</v>
      </c>
      <c r="AF1040">
        <v>3</v>
      </c>
      <c r="AG1040">
        <v>2025</v>
      </c>
      <c r="AH1040" s="2">
        <v>500</v>
      </c>
      <c r="AI1040" s="2">
        <v>1889.638061523438</v>
      </c>
      <c r="AJ1040" s="2">
        <f t="shared" si="130"/>
        <v>1389.638061523438</v>
      </c>
      <c r="AK1040" s="6">
        <f t="shared" si="131"/>
        <v>2.7792761230468761</v>
      </c>
      <c r="AL1040" s="12">
        <v>500</v>
      </c>
      <c r="AM1040" s="12">
        <v>1676.3752792717851</v>
      </c>
      <c r="AN1040" s="12">
        <f t="shared" si="132"/>
        <v>1176.3752792717851</v>
      </c>
      <c r="AO1040" s="13">
        <f t="shared" si="133"/>
        <v>2.35275055854357</v>
      </c>
      <c r="AP1040" s="16">
        <v>500</v>
      </c>
      <c r="AQ1040" s="16">
        <v>1405.8319115504939</v>
      </c>
      <c r="AR1040" s="16">
        <f t="shared" si="134"/>
        <v>905.83191155049394</v>
      </c>
      <c r="AS1040" s="17">
        <f t="shared" si="128"/>
        <v>1.8116638231009878</v>
      </c>
      <c r="AT1040" s="20">
        <v>500</v>
      </c>
      <c r="AU1040" s="20">
        <v>1884.115234375</v>
      </c>
      <c r="AV1040" s="20">
        <f t="shared" si="129"/>
        <v>1384.115234375</v>
      </c>
      <c r="AW1040" s="21">
        <f t="shared" si="135"/>
        <v>2.7682304687500001</v>
      </c>
    </row>
    <row r="1041" spans="1:49" x14ac:dyDescent="0.25">
      <c r="A1041" t="s">
        <v>38</v>
      </c>
      <c r="B1041" t="s">
        <v>39</v>
      </c>
      <c r="C1041">
        <v>150432</v>
      </c>
      <c r="D1041">
        <v>2019</v>
      </c>
      <c r="E1041" t="s">
        <v>40</v>
      </c>
      <c r="F1041" t="s">
        <v>524</v>
      </c>
      <c r="G1041" t="s">
        <v>1182</v>
      </c>
      <c r="H1041" t="s">
        <v>1183</v>
      </c>
      <c r="I1041">
        <v>6</v>
      </c>
      <c r="J1041" t="s">
        <v>72</v>
      </c>
      <c r="K1041">
        <v>4</v>
      </c>
      <c r="L1041" t="s">
        <v>44</v>
      </c>
      <c r="M1041">
        <v>3.5</v>
      </c>
      <c r="N1041" t="s">
        <v>45</v>
      </c>
      <c r="O1041" t="s">
        <v>46</v>
      </c>
      <c r="Q1041" t="s">
        <v>47</v>
      </c>
      <c r="R1041" t="s">
        <v>123</v>
      </c>
      <c r="S1041" t="s">
        <v>49</v>
      </c>
      <c r="T1041">
        <v>301</v>
      </c>
      <c r="U1041" t="s">
        <v>50</v>
      </c>
      <c r="V1041" t="s">
        <v>76</v>
      </c>
      <c r="W1041" t="s">
        <v>152</v>
      </c>
      <c r="X1041" t="s">
        <v>125</v>
      </c>
      <c r="Y1041" t="s">
        <v>78</v>
      </c>
      <c r="AA1041">
        <v>0</v>
      </c>
      <c r="AB1041" t="s">
        <v>79</v>
      </c>
      <c r="AC1041" t="s">
        <v>127</v>
      </c>
      <c r="AD1041">
        <v>36</v>
      </c>
      <c r="AE1041">
        <v>9</v>
      </c>
      <c r="AF1041">
        <v>3</v>
      </c>
      <c r="AG1041">
        <v>2025</v>
      </c>
      <c r="AH1041" s="2">
        <v>10250</v>
      </c>
      <c r="AI1041" s="2">
        <v>7971.0498046875</v>
      </c>
      <c r="AJ1041" s="2">
        <f t="shared" si="130"/>
        <v>2278.9501953125</v>
      </c>
      <c r="AK1041" s="6">
        <f t="shared" si="131"/>
        <v>0.22233660442073172</v>
      </c>
      <c r="AL1041" s="12">
        <v>10250</v>
      </c>
      <c r="AM1041" s="12">
        <v>9083.3183218230915</v>
      </c>
      <c r="AN1041" s="12">
        <f t="shared" si="132"/>
        <v>1166.6816781769085</v>
      </c>
      <c r="AO1041" s="13">
        <f t="shared" si="133"/>
        <v>0.11382260274896668</v>
      </c>
      <c r="AP1041" s="16">
        <v>10250</v>
      </c>
      <c r="AQ1041" s="16">
        <v>8718.8151289351299</v>
      </c>
      <c r="AR1041" s="16">
        <f t="shared" si="134"/>
        <v>1531.1848710648701</v>
      </c>
      <c r="AS1041" s="17">
        <f t="shared" si="128"/>
        <v>0.14938388985998732</v>
      </c>
      <c r="AT1041" s="20">
        <v>10250</v>
      </c>
      <c r="AU1041" s="20">
        <v>8241.998046875</v>
      </c>
      <c r="AV1041" s="20">
        <f t="shared" si="129"/>
        <v>2008.001953125</v>
      </c>
      <c r="AW1041" s="21">
        <f t="shared" si="135"/>
        <v>0.19590262957317073</v>
      </c>
    </row>
    <row r="1042" spans="1:49" x14ac:dyDescent="0.25">
      <c r="A1042" t="s">
        <v>38</v>
      </c>
      <c r="B1042" t="s">
        <v>96</v>
      </c>
      <c r="C1042">
        <v>187375</v>
      </c>
      <c r="D1042">
        <v>2017</v>
      </c>
      <c r="E1042" t="s">
        <v>174</v>
      </c>
      <c r="F1042" t="s">
        <v>175</v>
      </c>
      <c r="H1042" t="s">
        <v>548</v>
      </c>
      <c r="I1042">
        <v>8</v>
      </c>
      <c r="J1042" t="s">
        <v>135</v>
      </c>
      <c r="K1042">
        <v>4</v>
      </c>
      <c r="L1042" t="s">
        <v>44</v>
      </c>
      <c r="M1042">
        <v>6.2</v>
      </c>
      <c r="N1042" t="s">
        <v>73</v>
      </c>
      <c r="O1042" t="s">
        <v>46</v>
      </c>
      <c r="Q1042" t="s">
        <v>62</v>
      </c>
      <c r="R1042" t="s">
        <v>63</v>
      </c>
      <c r="S1042" t="s">
        <v>49</v>
      </c>
      <c r="U1042" t="s">
        <v>50</v>
      </c>
      <c r="W1042" t="s">
        <v>790</v>
      </c>
      <c r="X1042" t="s">
        <v>108</v>
      </c>
      <c r="Y1042" t="s">
        <v>78</v>
      </c>
      <c r="Z1042">
        <v>65965</v>
      </c>
      <c r="AA1042">
        <v>0</v>
      </c>
      <c r="AB1042" t="s">
        <v>79</v>
      </c>
      <c r="AC1042" t="s">
        <v>109</v>
      </c>
      <c r="AD1042">
        <v>36</v>
      </c>
      <c r="AE1042">
        <v>9</v>
      </c>
      <c r="AF1042">
        <v>3</v>
      </c>
      <c r="AG1042">
        <v>2025</v>
      </c>
      <c r="AH1042" s="2">
        <v>13000</v>
      </c>
      <c r="AI1042" s="2">
        <v>9993.8427734375</v>
      </c>
      <c r="AJ1042" s="2">
        <f t="shared" si="130"/>
        <v>3006.1572265625</v>
      </c>
      <c r="AK1042" s="6">
        <f t="shared" si="131"/>
        <v>0.23124286358173077</v>
      </c>
      <c r="AL1042" s="12">
        <v>13000</v>
      </c>
      <c r="AM1042" s="12">
        <v>11103.24521017225</v>
      </c>
      <c r="AN1042" s="12">
        <f t="shared" si="132"/>
        <v>1896.7547898277498</v>
      </c>
      <c r="AO1042" s="13">
        <f t="shared" si="133"/>
        <v>0.1459042146021346</v>
      </c>
      <c r="AP1042" s="16">
        <v>13000</v>
      </c>
      <c r="AQ1042" s="16">
        <v>10268.15040416812</v>
      </c>
      <c r="AR1042" s="16">
        <f t="shared" si="134"/>
        <v>2731.8495958318799</v>
      </c>
      <c r="AS1042" s="17">
        <f t="shared" si="128"/>
        <v>0.2101422766024523</v>
      </c>
      <c r="AT1042" s="20">
        <v>13000</v>
      </c>
      <c r="AU1042" s="20">
        <v>10303.5048828125</v>
      </c>
      <c r="AV1042" s="20">
        <f t="shared" si="129"/>
        <v>2696.4951171875</v>
      </c>
      <c r="AW1042" s="21">
        <f t="shared" si="135"/>
        <v>0.20742270132211538</v>
      </c>
    </row>
    <row r="1043" spans="1:49" x14ac:dyDescent="0.25">
      <c r="A1043" t="s">
        <v>38</v>
      </c>
      <c r="B1043" t="s">
        <v>110</v>
      </c>
      <c r="C1043">
        <v>147639</v>
      </c>
      <c r="D1043">
        <v>2017</v>
      </c>
      <c r="E1043" t="s">
        <v>132</v>
      </c>
      <c r="F1043" t="s">
        <v>361</v>
      </c>
      <c r="H1043" t="s">
        <v>1184</v>
      </c>
      <c r="I1043">
        <v>4</v>
      </c>
      <c r="J1043" t="s">
        <v>43</v>
      </c>
      <c r="K1043">
        <v>4</v>
      </c>
      <c r="L1043" t="s">
        <v>44</v>
      </c>
      <c r="M1043">
        <v>2</v>
      </c>
      <c r="N1043" t="s">
        <v>44</v>
      </c>
      <c r="O1043" t="s">
        <v>789</v>
      </c>
      <c r="Q1043" t="s">
        <v>47</v>
      </c>
      <c r="R1043" t="s">
        <v>123</v>
      </c>
      <c r="U1043" t="s">
        <v>50</v>
      </c>
      <c r="V1043" t="s">
        <v>51</v>
      </c>
      <c r="X1043" t="s">
        <v>125</v>
      </c>
      <c r="Y1043" t="s">
        <v>78</v>
      </c>
      <c r="AA1043">
        <v>0</v>
      </c>
      <c r="AB1043" t="s">
        <v>79</v>
      </c>
      <c r="AC1043" t="s">
        <v>127</v>
      </c>
      <c r="AD1043">
        <v>36</v>
      </c>
      <c r="AE1043">
        <v>9</v>
      </c>
      <c r="AF1043">
        <v>3</v>
      </c>
      <c r="AG1043">
        <v>2025</v>
      </c>
      <c r="AH1043" s="2">
        <v>1000</v>
      </c>
      <c r="AI1043" s="2">
        <v>2558.194580078125</v>
      </c>
      <c r="AJ1043" s="2">
        <f t="shared" si="130"/>
        <v>1558.194580078125</v>
      </c>
      <c r="AK1043" s="6">
        <f t="shared" si="131"/>
        <v>1.5581945800781249</v>
      </c>
      <c r="AL1043" s="12">
        <v>1000</v>
      </c>
      <c r="AM1043" s="12">
        <v>2324.4186079740571</v>
      </c>
      <c r="AN1043" s="12">
        <f t="shared" si="132"/>
        <v>1324.4186079740571</v>
      </c>
      <c r="AO1043" s="13">
        <f t="shared" si="133"/>
        <v>1.324418607974057</v>
      </c>
      <c r="AP1043" s="16">
        <v>1000</v>
      </c>
      <c r="AQ1043" s="16">
        <v>2167.7630737591112</v>
      </c>
      <c r="AR1043" s="16">
        <f t="shared" si="134"/>
        <v>1167.7630737591112</v>
      </c>
      <c r="AS1043" s="17">
        <f t="shared" si="128"/>
        <v>1.1677630737591111</v>
      </c>
      <c r="AT1043" s="20">
        <v>1000</v>
      </c>
      <c r="AU1043" s="20">
        <v>2555.48681640625</v>
      </c>
      <c r="AV1043" s="20">
        <f t="shared" si="129"/>
        <v>1555.48681640625</v>
      </c>
      <c r="AW1043" s="21">
        <f t="shared" si="135"/>
        <v>1.5554868164062501</v>
      </c>
    </row>
    <row r="1044" spans="1:49" x14ac:dyDescent="0.25">
      <c r="A1044" t="s">
        <v>38</v>
      </c>
      <c r="B1044" t="s">
        <v>68</v>
      </c>
      <c r="C1044">
        <v>113755</v>
      </c>
      <c r="D1044">
        <v>2015</v>
      </c>
      <c r="E1044" t="s">
        <v>142</v>
      </c>
      <c r="F1044" t="s">
        <v>633</v>
      </c>
      <c r="G1044" t="s">
        <v>457</v>
      </c>
      <c r="I1044">
        <v>6</v>
      </c>
      <c r="J1044" t="s">
        <v>206</v>
      </c>
      <c r="K1044">
        <v>4</v>
      </c>
      <c r="L1044" t="s">
        <v>44</v>
      </c>
      <c r="M1044">
        <v>3.6</v>
      </c>
      <c r="N1044" t="s">
        <v>91</v>
      </c>
      <c r="O1044" t="s">
        <v>46</v>
      </c>
      <c r="P1044">
        <v>3</v>
      </c>
      <c r="Q1044" t="s">
        <v>62</v>
      </c>
      <c r="R1044" t="s">
        <v>63</v>
      </c>
      <c r="S1044" t="s">
        <v>93</v>
      </c>
      <c r="U1044" t="s">
        <v>50</v>
      </c>
      <c r="X1044" t="s">
        <v>141</v>
      </c>
      <c r="Y1044" t="s">
        <v>78</v>
      </c>
      <c r="AA1044">
        <v>0</v>
      </c>
      <c r="AB1044" t="s">
        <v>79</v>
      </c>
      <c r="AC1044" t="s">
        <v>87</v>
      </c>
      <c r="AD1044">
        <v>36</v>
      </c>
      <c r="AE1044">
        <v>9</v>
      </c>
      <c r="AF1044">
        <v>3</v>
      </c>
      <c r="AG1044">
        <v>2025</v>
      </c>
      <c r="AH1044" s="2">
        <v>10750</v>
      </c>
      <c r="AI1044" s="2">
        <v>10461.1162109375</v>
      </c>
      <c r="AJ1044" s="2">
        <f t="shared" si="130"/>
        <v>288.8837890625</v>
      </c>
      <c r="AK1044" s="6">
        <f t="shared" si="131"/>
        <v>2.6872910610465116E-2</v>
      </c>
      <c r="AL1044" s="12">
        <v>10750</v>
      </c>
      <c r="AM1044" s="12">
        <v>11099.590917858381</v>
      </c>
      <c r="AN1044" s="12">
        <f t="shared" si="132"/>
        <v>349.59091785838064</v>
      </c>
      <c r="AO1044" s="13">
        <f t="shared" si="133"/>
        <v>3.2520085382174942E-2</v>
      </c>
      <c r="AP1044" s="16">
        <v>10750</v>
      </c>
      <c r="AQ1044" s="16">
        <v>9582.7829242345433</v>
      </c>
      <c r="AR1044" s="16">
        <f t="shared" si="134"/>
        <v>1167.2170757654567</v>
      </c>
      <c r="AS1044" s="17">
        <f t="shared" si="128"/>
        <v>0.10857833262934481</v>
      </c>
      <c r="AT1044" s="20">
        <v>10750</v>
      </c>
      <c r="AU1044" s="20">
        <v>10629.6318359375</v>
      </c>
      <c r="AV1044" s="20">
        <f t="shared" si="129"/>
        <v>120.3681640625</v>
      </c>
      <c r="AW1044" s="21">
        <f t="shared" si="135"/>
        <v>1.119703851744186E-2</v>
      </c>
    </row>
    <row r="1045" spans="1:49" x14ac:dyDescent="0.25">
      <c r="A1045" t="s">
        <v>38</v>
      </c>
      <c r="B1045" t="s">
        <v>110</v>
      </c>
      <c r="C1045">
        <v>122149</v>
      </c>
      <c r="D1045">
        <v>2020</v>
      </c>
      <c r="E1045" t="s">
        <v>97</v>
      </c>
      <c r="F1045" t="s">
        <v>159</v>
      </c>
      <c r="G1045" t="s">
        <v>155</v>
      </c>
      <c r="H1045" t="s">
        <v>89</v>
      </c>
      <c r="I1045">
        <v>8</v>
      </c>
      <c r="J1045" t="s">
        <v>72</v>
      </c>
      <c r="K1045">
        <v>4</v>
      </c>
      <c r="L1045" t="s">
        <v>44</v>
      </c>
      <c r="M1045">
        <v>5.3</v>
      </c>
      <c r="N1045" t="s">
        <v>73</v>
      </c>
      <c r="O1045" t="s">
        <v>46</v>
      </c>
      <c r="Q1045" t="s">
        <v>74</v>
      </c>
      <c r="R1045" t="s">
        <v>92</v>
      </c>
      <c r="S1045" t="s">
        <v>49</v>
      </c>
      <c r="U1045" t="s">
        <v>50</v>
      </c>
      <c r="W1045" t="s">
        <v>577</v>
      </c>
      <c r="X1045" t="s">
        <v>94</v>
      </c>
      <c r="Y1045" t="s">
        <v>78</v>
      </c>
      <c r="AA1045">
        <v>0</v>
      </c>
      <c r="AB1045" t="s">
        <v>79</v>
      </c>
      <c r="AC1045" t="s">
        <v>95</v>
      </c>
      <c r="AD1045">
        <v>36</v>
      </c>
      <c r="AE1045">
        <v>9</v>
      </c>
      <c r="AF1045">
        <v>3</v>
      </c>
      <c r="AG1045">
        <v>2025</v>
      </c>
      <c r="AH1045" s="2">
        <v>14800</v>
      </c>
      <c r="AI1045" s="2">
        <v>17257.24609375</v>
      </c>
      <c r="AJ1045" s="2">
        <f t="shared" si="130"/>
        <v>2457.24609375</v>
      </c>
      <c r="AK1045" s="6">
        <f t="shared" si="131"/>
        <v>0.16603014146959461</v>
      </c>
      <c r="AL1045" s="12">
        <v>14800</v>
      </c>
      <c r="AM1045" s="12">
        <v>16718.305228086621</v>
      </c>
      <c r="AN1045" s="12">
        <f t="shared" si="132"/>
        <v>1918.3052280866214</v>
      </c>
      <c r="AO1045" s="13">
        <f t="shared" si="133"/>
        <v>0.1296152181139609</v>
      </c>
      <c r="AP1045" s="16">
        <v>14800</v>
      </c>
      <c r="AQ1045" s="16">
        <v>13967.38408607669</v>
      </c>
      <c r="AR1045" s="16">
        <f t="shared" si="134"/>
        <v>832.61591392330956</v>
      </c>
      <c r="AS1045" s="17">
        <f t="shared" si="128"/>
        <v>5.6257832021845242E-2</v>
      </c>
      <c r="AT1045" s="20">
        <v>14800</v>
      </c>
      <c r="AU1045" s="20">
        <v>16942.498046875</v>
      </c>
      <c r="AV1045" s="20">
        <f t="shared" si="129"/>
        <v>2142.498046875</v>
      </c>
      <c r="AW1045" s="21">
        <f t="shared" si="135"/>
        <v>0.14476338154560811</v>
      </c>
    </row>
    <row r="1046" spans="1:49" x14ac:dyDescent="0.25">
      <c r="A1046" t="s">
        <v>38</v>
      </c>
      <c r="B1046" t="s">
        <v>110</v>
      </c>
      <c r="C1046">
        <v>153146</v>
      </c>
      <c r="D1046">
        <v>2019</v>
      </c>
      <c r="E1046" t="s">
        <v>97</v>
      </c>
      <c r="F1046" t="s">
        <v>772</v>
      </c>
      <c r="G1046" t="s">
        <v>155</v>
      </c>
      <c r="H1046" t="s">
        <v>89</v>
      </c>
      <c r="I1046">
        <v>8</v>
      </c>
      <c r="J1046" t="s">
        <v>106</v>
      </c>
      <c r="K1046">
        <v>4</v>
      </c>
      <c r="L1046" t="s">
        <v>44</v>
      </c>
      <c r="M1046">
        <v>5.3</v>
      </c>
      <c r="N1046" t="s">
        <v>73</v>
      </c>
      <c r="Q1046" t="s">
        <v>74</v>
      </c>
      <c r="R1046" t="s">
        <v>92</v>
      </c>
      <c r="S1046" t="s">
        <v>49</v>
      </c>
      <c r="U1046" t="s">
        <v>50</v>
      </c>
      <c r="W1046" t="s">
        <v>773</v>
      </c>
      <c r="X1046" t="s">
        <v>94</v>
      </c>
      <c r="Y1046" t="s">
        <v>103</v>
      </c>
      <c r="AA1046">
        <v>0</v>
      </c>
      <c r="AB1046" t="s">
        <v>79</v>
      </c>
      <c r="AC1046" t="s">
        <v>95</v>
      </c>
      <c r="AD1046">
        <v>36</v>
      </c>
      <c r="AE1046">
        <v>9</v>
      </c>
      <c r="AF1046">
        <v>3</v>
      </c>
      <c r="AG1046">
        <v>2025</v>
      </c>
      <c r="AH1046" s="2">
        <v>6250</v>
      </c>
      <c r="AI1046" s="2">
        <v>12157.173828125</v>
      </c>
      <c r="AJ1046" s="2">
        <f t="shared" si="130"/>
        <v>5907.173828125</v>
      </c>
      <c r="AK1046" s="6">
        <f t="shared" si="131"/>
        <v>0.94514781250000002</v>
      </c>
      <c r="AL1046" s="12">
        <v>6250</v>
      </c>
      <c r="AM1046" s="12">
        <v>14856.86975176729</v>
      </c>
      <c r="AN1046" s="12">
        <f t="shared" si="132"/>
        <v>8606.8697517672899</v>
      </c>
      <c r="AO1046" s="13">
        <f t="shared" si="133"/>
        <v>1.3770991602827665</v>
      </c>
      <c r="AP1046" s="16">
        <v>6250</v>
      </c>
      <c r="AQ1046" s="16">
        <v>11691.250281025161</v>
      </c>
      <c r="AR1046" s="16">
        <f t="shared" si="134"/>
        <v>5441.2502810251608</v>
      </c>
      <c r="AS1046" s="17">
        <f t="shared" si="128"/>
        <v>0.87060004496402577</v>
      </c>
      <c r="AT1046" s="20">
        <v>6250</v>
      </c>
      <c r="AU1046" s="20">
        <v>12753.10546875</v>
      </c>
      <c r="AV1046" s="20">
        <f t="shared" si="129"/>
        <v>6503.10546875</v>
      </c>
      <c r="AW1046" s="21">
        <f t="shared" si="135"/>
        <v>1.0404968750000001</v>
      </c>
    </row>
    <row r="1047" spans="1:49" x14ac:dyDescent="0.25">
      <c r="A1047" t="s">
        <v>38</v>
      </c>
      <c r="B1047" t="s">
        <v>110</v>
      </c>
      <c r="C1047">
        <v>147419</v>
      </c>
      <c r="D1047">
        <v>2015</v>
      </c>
      <c r="E1047" t="s">
        <v>83</v>
      </c>
      <c r="F1047" t="s">
        <v>1185</v>
      </c>
      <c r="G1047" t="s">
        <v>1186</v>
      </c>
      <c r="I1047">
        <v>6</v>
      </c>
      <c r="J1047" t="s">
        <v>61</v>
      </c>
      <c r="K1047">
        <v>4</v>
      </c>
      <c r="L1047" t="s">
        <v>44</v>
      </c>
      <c r="M1047">
        <v>3.5</v>
      </c>
      <c r="N1047" t="s">
        <v>45</v>
      </c>
      <c r="Q1047" t="s">
        <v>47</v>
      </c>
      <c r="R1047" t="s">
        <v>123</v>
      </c>
      <c r="S1047" t="s">
        <v>101</v>
      </c>
      <c r="T1047">
        <v>290</v>
      </c>
      <c r="U1047" t="s">
        <v>50</v>
      </c>
      <c r="V1047" t="s">
        <v>76</v>
      </c>
      <c r="W1047" t="s">
        <v>412</v>
      </c>
      <c r="X1047" t="s">
        <v>65</v>
      </c>
      <c r="Y1047" t="s">
        <v>78</v>
      </c>
      <c r="AA1047">
        <v>0</v>
      </c>
      <c r="AB1047" t="s">
        <v>79</v>
      </c>
      <c r="AC1047" t="s">
        <v>127</v>
      </c>
      <c r="AD1047">
        <v>36</v>
      </c>
      <c r="AE1047">
        <v>9</v>
      </c>
      <c r="AF1047">
        <v>3</v>
      </c>
      <c r="AG1047">
        <v>2025</v>
      </c>
      <c r="AH1047" s="2">
        <v>3750</v>
      </c>
      <c r="AI1047" s="2">
        <v>3677.289794921875</v>
      </c>
      <c r="AJ1047" s="2">
        <f t="shared" si="130"/>
        <v>72.710205078125</v>
      </c>
      <c r="AK1047" s="6">
        <f t="shared" si="131"/>
        <v>1.9389388020833332E-2</v>
      </c>
      <c r="AL1047" s="12">
        <v>3750</v>
      </c>
      <c r="AM1047" s="12">
        <v>4721.853821667135</v>
      </c>
      <c r="AN1047" s="12">
        <f t="shared" si="132"/>
        <v>971.85382166713498</v>
      </c>
      <c r="AO1047" s="13">
        <f t="shared" si="133"/>
        <v>0.25916101911123601</v>
      </c>
      <c r="AP1047" s="16">
        <v>3750</v>
      </c>
      <c r="AQ1047" s="16">
        <v>5388.409915201084</v>
      </c>
      <c r="AR1047" s="16">
        <f t="shared" si="134"/>
        <v>1638.409915201084</v>
      </c>
      <c r="AS1047" s="17">
        <f t="shared" si="128"/>
        <v>0.43690931072028905</v>
      </c>
      <c r="AT1047" s="20">
        <v>3750</v>
      </c>
      <c r="AU1047" s="20">
        <v>3793.26953125</v>
      </c>
      <c r="AV1047" s="20">
        <f t="shared" si="129"/>
        <v>43.26953125</v>
      </c>
      <c r="AW1047" s="21">
        <f t="shared" si="135"/>
        <v>1.1538541666666667E-2</v>
      </c>
    </row>
    <row r="1048" spans="1:49" x14ac:dyDescent="0.25">
      <c r="A1048" t="s">
        <v>38</v>
      </c>
      <c r="B1048" t="s">
        <v>39</v>
      </c>
      <c r="C1048">
        <v>168715</v>
      </c>
      <c r="D1048">
        <v>2010</v>
      </c>
      <c r="E1048" t="s">
        <v>97</v>
      </c>
      <c r="F1048" t="s">
        <v>419</v>
      </c>
      <c r="G1048" t="s">
        <v>199</v>
      </c>
      <c r="H1048" t="s">
        <v>420</v>
      </c>
      <c r="I1048">
        <v>8</v>
      </c>
      <c r="J1048" t="s">
        <v>72</v>
      </c>
      <c r="K1048">
        <v>4</v>
      </c>
      <c r="L1048" t="s">
        <v>44</v>
      </c>
      <c r="M1048">
        <v>5.3</v>
      </c>
      <c r="N1048" t="s">
        <v>91</v>
      </c>
      <c r="O1048" t="s">
        <v>46</v>
      </c>
      <c r="Q1048" t="s">
        <v>62</v>
      </c>
      <c r="R1048" t="s">
        <v>63</v>
      </c>
      <c r="S1048" t="s">
        <v>93</v>
      </c>
      <c r="U1048" t="s">
        <v>180</v>
      </c>
      <c r="V1048" t="s">
        <v>76</v>
      </c>
      <c r="W1048" t="s">
        <v>421</v>
      </c>
      <c r="X1048" t="s">
        <v>108</v>
      </c>
      <c r="Y1048" t="s">
        <v>78</v>
      </c>
      <c r="AA1048">
        <v>0</v>
      </c>
      <c r="AB1048" t="s">
        <v>79</v>
      </c>
      <c r="AC1048" t="s">
        <v>87</v>
      </c>
      <c r="AD1048">
        <v>36</v>
      </c>
      <c r="AE1048">
        <v>9</v>
      </c>
      <c r="AF1048">
        <v>3</v>
      </c>
      <c r="AG1048">
        <v>2025</v>
      </c>
      <c r="AH1048" s="2">
        <v>2400</v>
      </c>
      <c r="AI1048" s="2">
        <v>4003.426025390625</v>
      </c>
      <c r="AJ1048" s="2">
        <f t="shared" si="130"/>
        <v>1603.426025390625</v>
      </c>
      <c r="AK1048" s="6">
        <f t="shared" si="131"/>
        <v>0.66809417724609377</v>
      </c>
      <c r="AL1048" s="12">
        <v>2400</v>
      </c>
      <c r="AM1048" s="12">
        <v>4457.7401880991656</v>
      </c>
      <c r="AN1048" s="12">
        <f t="shared" si="132"/>
        <v>2057.7401880991656</v>
      </c>
      <c r="AO1048" s="13">
        <f t="shared" si="133"/>
        <v>0.85739174504131899</v>
      </c>
      <c r="AP1048" s="16">
        <v>2400</v>
      </c>
      <c r="AQ1048" s="16">
        <v>4074.3159456215608</v>
      </c>
      <c r="AR1048" s="16">
        <f t="shared" si="134"/>
        <v>1674.3159456215608</v>
      </c>
      <c r="AS1048" s="17">
        <f t="shared" si="128"/>
        <v>0.6976316440089837</v>
      </c>
      <c r="AT1048" s="20">
        <v>2400</v>
      </c>
      <c r="AU1048" s="20">
        <v>4050.50537109375</v>
      </c>
      <c r="AV1048" s="20">
        <f t="shared" si="129"/>
        <v>1650.50537109375</v>
      </c>
      <c r="AW1048" s="21">
        <f t="shared" si="135"/>
        <v>0.68771057128906254</v>
      </c>
    </row>
    <row r="1049" spans="1:49" x14ac:dyDescent="0.25">
      <c r="A1049" t="s">
        <v>38</v>
      </c>
      <c r="B1049" t="s">
        <v>110</v>
      </c>
      <c r="C1049">
        <v>74730</v>
      </c>
      <c r="D1049">
        <v>2014</v>
      </c>
      <c r="E1049" t="s">
        <v>213</v>
      </c>
      <c r="F1049" t="s">
        <v>908</v>
      </c>
      <c r="I1049">
        <v>6</v>
      </c>
      <c r="J1049" t="s">
        <v>106</v>
      </c>
      <c r="K1049">
        <v>4</v>
      </c>
      <c r="L1049" t="s">
        <v>44</v>
      </c>
      <c r="M1049">
        <v>3.5</v>
      </c>
      <c r="N1049" t="s">
        <v>44</v>
      </c>
      <c r="Q1049" t="s">
        <v>62</v>
      </c>
      <c r="R1049" t="s">
        <v>148</v>
      </c>
      <c r="S1049" t="s">
        <v>93</v>
      </c>
      <c r="U1049" t="s">
        <v>50</v>
      </c>
      <c r="X1049" t="s">
        <v>141</v>
      </c>
      <c r="Y1049" t="s">
        <v>78</v>
      </c>
      <c r="AA1049">
        <v>0</v>
      </c>
      <c r="AB1049" t="s">
        <v>79</v>
      </c>
      <c r="AC1049" t="s">
        <v>87</v>
      </c>
      <c r="AD1049">
        <v>36</v>
      </c>
      <c r="AE1049">
        <v>9</v>
      </c>
      <c r="AF1049">
        <v>3</v>
      </c>
      <c r="AG1049">
        <v>2025</v>
      </c>
      <c r="AH1049" s="2">
        <v>2200</v>
      </c>
      <c r="AI1049" s="2">
        <v>7175.8671875</v>
      </c>
      <c r="AJ1049" s="2">
        <f t="shared" si="130"/>
        <v>4975.8671875</v>
      </c>
      <c r="AK1049" s="6">
        <f t="shared" si="131"/>
        <v>2.2617578125</v>
      </c>
      <c r="AL1049" s="12">
        <v>2200</v>
      </c>
      <c r="AM1049" s="12">
        <v>8052.4351140844319</v>
      </c>
      <c r="AN1049" s="12">
        <f t="shared" si="132"/>
        <v>5852.4351140844319</v>
      </c>
      <c r="AO1049" s="13">
        <f t="shared" si="133"/>
        <v>2.6601977791292875</v>
      </c>
      <c r="AP1049" s="16">
        <v>2200</v>
      </c>
      <c r="AQ1049" s="16">
        <v>7455.0371824130571</v>
      </c>
      <c r="AR1049" s="16">
        <f t="shared" si="134"/>
        <v>5255.0371824130571</v>
      </c>
      <c r="AS1049" s="17">
        <f t="shared" si="128"/>
        <v>2.3886532647332079</v>
      </c>
      <c r="AT1049" s="20">
        <v>2200</v>
      </c>
      <c r="AU1049" s="20">
        <v>7380.10888671875</v>
      </c>
      <c r="AV1049" s="20">
        <f t="shared" si="129"/>
        <v>5180.10888671875</v>
      </c>
      <c r="AW1049" s="21">
        <f t="shared" si="135"/>
        <v>2.3545949485085229</v>
      </c>
    </row>
    <row r="1050" spans="1:49" x14ac:dyDescent="0.25">
      <c r="A1050" t="s">
        <v>128</v>
      </c>
      <c r="B1050" t="s">
        <v>484</v>
      </c>
      <c r="C1050">
        <v>141667</v>
      </c>
      <c r="D1050">
        <v>2012</v>
      </c>
      <c r="E1050" t="s">
        <v>784</v>
      </c>
      <c r="F1050" t="s">
        <v>1187</v>
      </c>
      <c r="G1050" t="s">
        <v>1188</v>
      </c>
      <c r="I1050">
        <v>8</v>
      </c>
      <c r="J1050" t="s">
        <v>61</v>
      </c>
      <c r="K1050">
        <v>4</v>
      </c>
      <c r="L1050" t="s">
        <v>44</v>
      </c>
      <c r="M1050">
        <v>5</v>
      </c>
      <c r="N1050" t="s">
        <v>73</v>
      </c>
      <c r="O1050" t="s">
        <v>46</v>
      </c>
      <c r="P1050">
        <v>4</v>
      </c>
      <c r="Q1050" t="s">
        <v>47</v>
      </c>
      <c r="R1050" t="s">
        <v>123</v>
      </c>
      <c r="U1050" t="s">
        <v>50</v>
      </c>
      <c r="V1050" t="s">
        <v>76</v>
      </c>
      <c r="X1050" t="s">
        <v>125</v>
      </c>
      <c r="Y1050" t="s">
        <v>427</v>
      </c>
      <c r="AA1050">
        <v>0</v>
      </c>
      <c r="AB1050" t="s">
        <v>79</v>
      </c>
      <c r="AC1050" t="s">
        <v>127</v>
      </c>
      <c r="AD1050">
        <v>36</v>
      </c>
      <c r="AE1050">
        <v>9</v>
      </c>
      <c r="AF1050">
        <v>3</v>
      </c>
      <c r="AG1050">
        <v>2025</v>
      </c>
      <c r="AH1050" s="2">
        <v>1000</v>
      </c>
      <c r="AI1050" s="2">
        <v>3852.645751953125</v>
      </c>
      <c r="AJ1050" s="2">
        <f t="shared" si="130"/>
        <v>2852.645751953125</v>
      </c>
      <c r="AK1050" s="6">
        <f t="shared" si="131"/>
        <v>2.852645751953125</v>
      </c>
      <c r="AL1050" s="12">
        <v>1000</v>
      </c>
      <c r="AM1050" s="12">
        <v>4432.1086540585966</v>
      </c>
      <c r="AN1050" s="12">
        <f t="shared" si="132"/>
        <v>3432.1086540585966</v>
      </c>
      <c r="AO1050" s="13">
        <f t="shared" si="133"/>
        <v>3.4321086540585966</v>
      </c>
      <c r="AP1050" s="16">
        <v>1000</v>
      </c>
      <c r="AQ1050" s="16">
        <v>3555.1301601089222</v>
      </c>
      <c r="AR1050" s="16">
        <f t="shared" si="134"/>
        <v>2555.1301601089222</v>
      </c>
      <c r="AS1050" s="17">
        <f t="shared" si="128"/>
        <v>2.5551301601089222</v>
      </c>
      <c r="AT1050" s="20">
        <v>1000</v>
      </c>
      <c r="AU1050" s="20">
        <v>3903.988037109375</v>
      </c>
      <c r="AV1050" s="20">
        <f t="shared" si="129"/>
        <v>2903.988037109375</v>
      </c>
      <c r="AW1050" s="21">
        <f t="shared" si="135"/>
        <v>2.9039880371093751</v>
      </c>
    </row>
    <row r="1051" spans="1:49" x14ac:dyDescent="0.25">
      <c r="A1051" t="s">
        <v>128</v>
      </c>
      <c r="B1051" t="s">
        <v>129</v>
      </c>
      <c r="C1051">
        <v>107219</v>
      </c>
      <c r="D1051">
        <v>2018</v>
      </c>
      <c r="E1051" t="s">
        <v>146</v>
      </c>
      <c r="F1051" t="s">
        <v>279</v>
      </c>
      <c r="I1051">
        <v>4</v>
      </c>
      <c r="J1051" t="s">
        <v>43</v>
      </c>
      <c r="K1051">
        <v>4</v>
      </c>
      <c r="L1051" t="s">
        <v>44</v>
      </c>
      <c r="M1051">
        <v>1.8</v>
      </c>
      <c r="N1051" t="s">
        <v>45</v>
      </c>
      <c r="Q1051" t="s">
        <v>47</v>
      </c>
      <c r="R1051" t="s">
        <v>123</v>
      </c>
      <c r="S1051" t="s">
        <v>49</v>
      </c>
      <c r="T1051">
        <v>130</v>
      </c>
      <c r="U1051" t="s">
        <v>50</v>
      </c>
      <c r="V1051" t="s">
        <v>51</v>
      </c>
      <c r="X1051" t="s">
        <v>125</v>
      </c>
      <c r="Y1051" t="s">
        <v>126</v>
      </c>
      <c r="Z1051">
        <v>16685</v>
      </c>
      <c r="AA1051">
        <v>0</v>
      </c>
      <c r="AB1051" t="s">
        <v>79</v>
      </c>
      <c r="AC1051" t="s">
        <v>127</v>
      </c>
      <c r="AD1051">
        <v>36</v>
      </c>
      <c r="AE1051">
        <v>9</v>
      </c>
      <c r="AF1051">
        <v>3</v>
      </c>
      <c r="AG1051">
        <v>2025</v>
      </c>
      <c r="AH1051" s="2">
        <v>6200</v>
      </c>
      <c r="AI1051" s="2">
        <v>3201.660888671875</v>
      </c>
      <c r="AJ1051" s="2">
        <f t="shared" si="130"/>
        <v>2998.339111328125</v>
      </c>
      <c r="AK1051" s="6">
        <f t="shared" si="131"/>
        <v>0.48360308247227823</v>
      </c>
      <c r="AL1051" s="12">
        <v>6200</v>
      </c>
      <c r="AM1051" s="12">
        <v>3761.8348038638619</v>
      </c>
      <c r="AN1051" s="12">
        <f t="shared" si="132"/>
        <v>2438.1651961361381</v>
      </c>
      <c r="AO1051" s="13">
        <f t="shared" si="133"/>
        <v>0.39325245098969969</v>
      </c>
      <c r="AP1051" s="16">
        <v>6200</v>
      </c>
      <c r="AQ1051" s="16">
        <v>3316.925866513353</v>
      </c>
      <c r="AR1051" s="16">
        <f t="shared" si="134"/>
        <v>2883.074133486647</v>
      </c>
      <c r="AS1051" s="17">
        <f t="shared" si="128"/>
        <v>0.46501195701397535</v>
      </c>
      <c r="AT1051" s="20">
        <v>6200</v>
      </c>
      <c r="AU1051" s="20">
        <v>3266.69384765625</v>
      </c>
      <c r="AV1051" s="20">
        <f t="shared" si="129"/>
        <v>2933.30615234375</v>
      </c>
      <c r="AW1051" s="21">
        <f t="shared" si="135"/>
        <v>0.47311389553931449</v>
      </c>
    </row>
    <row r="1052" spans="1:49" x14ac:dyDescent="0.25">
      <c r="A1052" t="s">
        <v>38</v>
      </c>
      <c r="B1052" t="s">
        <v>68</v>
      </c>
      <c r="C1052">
        <v>118645</v>
      </c>
      <c r="D1052">
        <v>2019</v>
      </c>
      <c r="E1052" t="s">
        <v>119</v>
      </c>
      <c r="F1052" t="s">
        <v>120</v>
      </c>
      <c r="G1052" t="s">
        <v>1125</v>
      </c>
      <c r="I1052">
        <v>4</v>
      </c>
      <c r="J1052" t="s">
        <v>61</v>
      </c>
      <c r="K1052">
        <v>4</v>
      </c>
      <c r="L1052" t="s">
        <v>44</v>
      </c>
      <c r="M1052">
        <v>1.4</v>
      </c>
      <c r="N1052" t="s">
        <v>45</v>
      </c>
      <c r="O1052" t="s">
        <v>46</v>
      </c>
      <c r="P1052">
        <v>3</v>
      </c>
      <c r="Q1052" t="s">
        <v>47</v>
      </c>
      <c r="R1052" t="s">
        <v>123</v>
      </c>
      <c r="T1052">
        <v>147</v>
      </c>
      <c r="U1052" t="s">
        <v>50</v>
      </c>
      <c r="W1052" t="s">
        <v>1126</v>
      </c>
      <c r="X1052" t="s">
        <v>125</v>
      </c>
      <c r="Y1052" t="s">
        <v>126</v>
      </c>
      <c r="Z1052">
        <v>22395</v>
      </c>
      <c r="AA1052">
        <v>0</v>
      </c>
      <c r="AB1052" t="s">
        <v>79</v>
      </c>
      <c r="AC1052" t="s">
        <v>127</v>
      </c>
      <c r="AD1052">
        <v>36</v>
      </c>
      <c r="AE1052">
        <v>9</v>
      </c>
      <c r="AF1052">
        <v>3</v>
      </c>
      <c r="AG1052">
        <v>2025</v>
      </c>
      <c r="AH1052" s="2">
        <v>7300</v>
      </c>
      <c r="AI1052" s="2">
        <v>3815.876220703125</v>
      </c>
      <c r="AJ1052" s="2">
        <f t="shared" si="130"/>
        <v>3484.123779296875</v>
      </c>
      <c r="AK1052" s="6">
        <f t="shared" si="131"/>
        <v>0.4772772300406678</v>
      </c>
      <c r="AL1052" s="12">
        <v>7300</v>
      </c>
      <c r="AM1052" s="12">
        <v>4284.2534487515786</v>
      </c>
      <c r="AN1052" s="12">
        <f t="shared" si="132"/>
        <v>3015.7465512484214</v>
      </c>
      <c r="AO1052" s="13">
        <f t="shared" si="133"/>
        <v>0.41311596592444128</v>
      </c>
      <c r="AP1052" s="16">
        <v>7300</v>
      </c>
      <c r="AQ1052" s="16">
        <v>4660.9931493748181</v>
      </c>
      <c r="AR1052" s="16">
        <f t="shared" si="134"/>
        <v>2639.0068506251819</v>
      </c>
      <c r="AS1052" s="17">
        <f t="shared" si="128"/>
        <v>0.36150778775687425</v>
      </c>
      <c r="AT1052" s="20">
        <v>7300</v>
      </c>
      <c r="AU1052" s="20">
        <v>3838.70556640625</v>
      </c>
      <c r="AV1052" s="20">
        <f t="shared" si="129"/>
        <v>3461.29443359375</v>
      </c>
      <c r="AW1052" s="21">
        <f t="shared" si="135"/>
        <v>0.47414992241010273</v>
      </c>
    </row>
    <row r="1053" spans="1:49" x14ac:dyDescent="0.25">
      <c r="A1053" t="s">
        <v>38</v>
      </c>
      <c r="B1053" t="s">
        <v>96</v>
      </c>
      <c r="C1053">
        <v>85117</v>
      </c>
      <c r="D1053">
        <v>2021</v>
      </c>
      <c r="E1053" t="s">
        <v>69</v>
      </c>
      <c r="F1053" t="s">
        <v>1189</v>
      </c>
      <c r="H1053" t="s">
        <v>1190</v>
      </c>
      <c r="I1053">
        <v>3</v>
      </c>
      <c r="J1053" t="s">
        <v>43</v>
      </c>
      <c r="K1053">
        <v>4</v>
      </c>
      <c r="L1053" t="s">
        <v>44</v>
      </c>
      <c r="M1053">
        <v>1</v>
      </c>
      <c r="N1053" t="s">
        <v>45</v>
      </c>
      <c r="O1053" t="s">
        <v>46</v>
      </c>
      <c r="P1053">
        <v>2</v>
      </c>
      <c r="Q1053" t="s">
        <v>62</v>
      </c>
      <c r="R1053" t="s">
        <v>63</v>
      </c>
      <c r="S1053" t="s">
        <v>101</v>
      </c>
      <c r="U1053" t="s">
        <v>50</v>
      </c>
      <c r="V1053" t="s">
        <v>51</v>
      </c>
      <c r="X1053" t="s">
        <v>53</v>
      </c>
      <c r="Y1053" t="s">
        <v>1191</v>
      </c>
      <c r="AA1053">
        <v>0</v>
      </c>
      <c r="AB1053" t="s">
        <v>79</v>
      </c>
      <c r="AC1053" t="s">
        <v>87</v>
      </c>
      <c r="AD1053">
        <v>36</v>
      </c>
      <c r="AE1053">
        <v>9</v>
      </c>
      <c r="AF1053">
        <v>3</v>
      </c>
      <c r="AG1053">
        <v>2025</v>
      </c>
      <c r="AH1053" s="2">
        <v>6000</v>
      </c>
      <c r="AI1053" s="2">
        <v>6769.78662109375</v>
      </c>
      <c r="AJ1053" s="2">
        <f t="shared" si="130"/>
        <v>769.78662109375</v>
      </c>
      <c r="AK1053" s="6">
        <f t="shared" si="131"/>
        <v>0.12829777018229166</v>
      </c>
      <c r="AL1053" s="12">
        <v>6000</v>
      </c>
      <c r="AM1053" s="12">
        <v>8129.4988713974972</v>
      </c>
      <c r="AN1053" s="12">
        <f t="shared" si="132"/>
        <v>2129.4988713974972</v>
      </c>
      <c r="AO1053" s="13">
        <f t="shared" si="133"/>
        <v>0.35491647856624953</v>
      </c>
      <c r="AP1053" s="16">
        <v>6000</v>
      </c>
      <c r="AQ1053" s="16">
        <v>6026.4261478431408</v>
      </c>
      <c r="AR1053" s="16">
        <f t="shared" si="134"/>
        <v>26.426147843140825</v>
      </c>
      <c r="AS1053" s="17">
        <f t="shared" si="128"/>
        <v>4.4043579738568045E-3</v>
      </c>
      <c r="AT1053" s="20">
        <v>6000</v>
      </c>
      <c r="AU1053" s="20">
        <v>7029.373046875</v>
      </c>
      <c r="AV1053" s="20">
        <f t="shared" si="129"/>
        <v>1029.373046875</v>
      </c>
      <c r="AW1053" s="21">
        <f t="shared" si="135"/>
        <v>0.17156217447916666</v>
      </c>
    </row>
    <row r="1054" spans="1:49" x14ac:dyDescent="0.25">
      <c r="A1054" t="s">
        <v>38</v>
      </c>
      <c r="B1054" t="s">
        <v>110</v>
      </c>
      <c r="C1054">
        <v>136759</v>
      </c>
      <c r="D1054">
        <v>2013</v>
      </c>
      <c r="E1054" t="s">
        <v>58</v>
      </c>
      <c r="F1054" t="s">
        <v>391</v>
      </c>
      <c r="G1054" t="s">
        <v>240</v>
      </c>
      <c r="I1054">
        <v>4</v>
      </c>
      <c r="J1054" t="s">
        <v>106</v>
      </c>
      <c r="K1054">
        <v>4</v>
      </c>
      <c r="L1054" t="s">
        <v>44</v>
      </c>
      <c r="M1054">
        <v>2.4</v>
      </c>
      <c r="N1054" t="s">
        <v>45</v>
      </c>
      <c r="Q1054" t="s">
        <v>47</v>
      </c>
      <c r="R1054" t="s">
        <v>123</v>
      </c>
      <c r="U1054" t="s">
        <v>50</v>
      </c>
      <c r="W1054" t="s">
        <v>222</v>
      </c>
      <c r="X1054" t="s">
        <v>125</v>
      </c>
      <c r="Y1054" t="s">
        <v>66</v>
      </c>
      <c r="AA1054">
        <v>0</v>
      </c>
      <c r="AB1054" t="s">
        <v>79</v>
      </c>
      <c r="AC1054" t="s">
        <v>127</v>
      </c>
      <c r="AD1054">
        <v>36</v>
      </c>
      <c r="AE1054">
        <v>9</v>
      </c>
      <c r="AF1054">
        <v>3</v>
      </c>
      <c r="AG1054">
        <v>2025</v>
      </c>
      <c r="AH1054" s="2">
        <v>3000</v>
      </c>
      <c r="AI1054" s="2">
        <v>2060.540771484375</v>
      </c>
      <c r="AJ1054" s="2">
        <f t="shared" si="130"/>
        <v>939.459228515625</v>
      </c>
      <c r="AK1054" s="6">
        <f t="shared" si="131"/>
        <v>0.31315307617187499</v>
      </c>
      <c r="AL1054" s="12">
        <v>3000</v>
      </c>
      <c r="AM1054" s="12">
        <v>1796.754496969382</v>
      </c>
      <c r="AN1054" s="12">
        <f t="shared" si="132"/>
        <v>1203.245503030618</v>
      </c>
      <c r="AO1054" s="13">
        <f t="shared" si="133"/>
        <v>0.40108183434353933</v>
      </c>
      <c r="AP1054" s="16">
        <v>3000</v>
      </c>
      <c r="AQ1054" s="16">
        <v>1593.815946990386</v>
      </c>
      <c r="AR1054" s="16">
        <f t="shared" si="134"/>
        <v>1406.184053009614</v>
      </c>
      <c r="AS1054" s="17">
        <f t="shared" si="128"/>
        <v>0.46872801766987132</v>
      </c>
      <c r="AT1054" s="20">
        <v>3000</v>
      </c>
      <c r="AU1054" s="20">
        <v>2049.274658203125</v>
      </c>
      <c r="AV1054" s="20">
        <f t="shared" si="129"/>
        <v>950.725341796875</v>
      </c>
      <c r="AW1054" s="21">
        <f t="shared" si="135"/>
        <v>0.316908447265625</v>
      </c>
    </row>
    <row r="1055" spans="1:49" x14ac:dyDescent="0.25">
      <c r="A1055" t="s">
        <v>38</v>
      </c>
      <c r="B1055" t="s">
        <v>39</v>
      </c>
      <c r="C1055">
        <v>54098</v>
      </c>
      <c r="D1055">
        <v>2013</v>
      </c>
      <c r="E1055" t="s">
        <v>162</v>
      </c>
      <c r="F1055" t="s">
        <v>211</v>
      </c>
      <c r="G1055" t="s">
        <v>212</v>
      </c>
      <c r="I1055">
        <v>4</v>
      </c>
      <c r="J1055" t="s">
        <v>135</v>
      </c>
      <c r="K1055">
        <v>4</v>
      </c>
      <c r="L1055" t="s">
        <v>44</v>
      </c>
      <c r="M1055">
        <v>1.8</v>
      </c>
      <c r="N1055" t="s">
        <v>45</v>
      </c>
      <c r="O1055" t="s">
        <v>46</v>
      </c>
      <c r="Q1055" t="s">
        <v>47</v>
      </c>
      <c r="R1055" t="s">
        <v>123</v>
      </c>
      <c r="U1055" t="s">
        <v>50</v>
      </c>
      <c r="W1055" t="s">
        <v>1023</v>
      </c>
      <c r="X1055" t="s">
        <v>125</v>
      </c>
      <c r="Y1055" t="s">
        <v>66</v>
      </c>
      <c r="AA1055">
        <v>0</v>
      </c>
      <c r="AB1055" t="s">
        <v>79</v>
      </c>
      <c r="AC1055" t="s">
        <v>127</v>
      </c>
      <c r="AD1055">
        <v>36</v>
      </c>
      <c r="AE1055">
        <v>9</v>
      </c>
      <c r="AF1055">
        <v>3</v>
      </c>
      <c r="AG1055">
        <v>2025</v>
      </c>
      <c r="AH1055" s="2">
        <v>5500</v>
      </c>
      <c r="AI1055" s="2">
        <v>5341.1962890625</v>
      </c>
      <c r="AJ1055" s="2">
        <f t="shared" si="130"/>
        <v>158.8037109375</v>
      </c>
      <c r="AK1055" s="6">
        <f t="shared" si="131"/>
        <v>2.8873401988636364E-2</v>
      </c>
      <c r="AL1055" s="12">
        <v>5500</v>
      </c>
      <c r="AM1055" s="12">
        <v>4575.9034124111504</v>
      </c>
      <c r="AN1055" s="12">
        <f t="shared" si="132"/>
        <v>924.09658758884962</v>
      </c>
      <c r="AO1055" s="13">
        <f t="shared" si="133"/>
        <v>0.16801756137979085</v>
      </c>
      <c r="AP1055" s="16">
        <v>5500</v>
      </c>
      <c r="AQ1055" s="16">
        <v>4191.2973268948444</v>
      </c>
      <c r="AR1055" s="16">
        <f t="shared" si="134"/>
        <v>1308.7026731051556</v>
      </c>
      <c r="AS1055" s="17">
        <f t="shared" si="128"/>
        <v>0.23794594056457374</v>
      </c>
      <c r="AT1055" s="20">
        <v>5500</v>
      </c>
      <c r="AU1055" s="20">
        <v>5304.97412109375</v>
      </c>
      <c r="AV1055" s="20">
        <f t="shared" si="129"/>
        <v>195.02587890625</v>
      </c>
      <c r="AW1055" s="21">
        <f t="shared" si="135"/>
        <v>3.5459250710227271E-2</v>
      </c>
    </row>
    <row r="1056" spans="1:49" x14ac:dyDescent="0.25">
      <c r="A1056" t="s">
        <v>114</v>
      </c>
      <c r="B1056" t="s">
        <v>115</v>
      </c>
      <c r="C1056">
        <v>116788</v>
      </c>
      <c r="D1056">
        <v>2017</v>
      </c>
      <c r="E1056" t="s">
        <v>174</v>
      </c>
      <c r="F1056" t="s">
        <v>645</v>
      </c>
      <c r="H1056" t="s">
        <v>818</v>
      </c>
      <c r="I1056">
        <v>6</v>
      </c>
      <c r="J1056" t="s">
        <v>72</v>
      </c>
      <c r="K1056">
        <v>4</v>
      </c>
      <c r="L1056" t="s">
        <v>44</v>
      </c>
      <c r="M1056">
        <v>3.6</v>
      </c>
      <c r="N1056" t="s">
        <v>45</v>
      </c>
      <c r="O1056" t="s">
        <v>46</v>
      </c>
      <c r="P1056">
        <v>3</v>
      </c>
      <c r="Q1056" t="s">
        <v>62</v>
      </c>
      <c r="R1056" t="s">
        <v>63</v>
      </c>
      <c r="S1056" t="s">
        <v>101</v>
      </c>
      <c r="U1056" t="s">
        <v>50</v>
      </c>
      <c r="V1056" t="s">
        <v>76</v>
      </c>
      <c r="W1056" t="s">
        <v>833</v>
      </c>
      <c r="X1056" t="s">
        <v>94</v>
      </c>
      <c r="Y1056" t="s">
        <v>78</v>
      </c>
      <c r="Z1056">
        <v>38350</v>
      </c>
      <c r="AA1056">
        <v>0</v>
      </c>
      <c r="AB1056" t="s">
        <v>79</v>
      </c>
      <c r="AC1056" t="s">
        <v>109</v>
      </c>
      <c r="AD1056">
        <v>36</v>
      </c>
      <c r="AE1056">
        <v>9</v>
      </c>
      <c r="AF1056">
        <v>3</v>
      </c>
      <c r="AG1056">
        <v>2025</v>
      </c>
      <c r="AH1056" s="2">
        <v>5400</v>
      </c>
      <c r="AI1056" s="2">
        <v>9294.0263671875</v>
      </c>
      <c r="AJ1056" s="2">
        <f t="shared" si="130"/>
        <v>3894.0263671875</v>
      </c>
      <c r="AK1056" s="6">
        <f t="shared" si="131"/>
        <v>0.72111599392361114</v>
      </c>
      <c r="AL1056" s="12">
        <v>5400</v>
      </c>
      <c r="AM1056" s="12">
        <v>7227.0499176621861</v>
      </c>
      <c r="AN1056" s="12">
        <f t="shared" si="132"/>
        <v>1827.0499176621861</v>
      </c>
      <c r="AO1056" s="13">
        <f t="shared" si="133"/>
        <v>0.33834257734484929</v>
      </c>
      <c r="AP1056" s="16">
        <v>5400</v>
      </c>
      <c r="AQ1056" s="16">
        <v>6637.5964294624864</v>
      </c>
      <c r="AR1056" s="16">
        <f t="shared" si="134"/>
        <v>1237.5964294624864</v>
      </c>
      <c r="AS1056" s="17">
        <f t="shared" si="128"/>
        <v>0.22918452397453451</v>
      </c>
      <c r="AT1056" s="20">
        <v>5400</v>
      </c>
      <c r="AU1056" s="20">
        <v>8996.63671875</v>
      </c>
      <c r="AV1056" s="20">
        <f t="shared" si="129"/>
        <v>3596.63671875</v>
      </c>
      <c r="AW1056" s="21">
        <f t="shared" si="135"/>
        <v>0.66604383680555557</v>
      </c>
    </row>
    <row r="1057" spans="1:49" x14ac:dyDescent="0.25">
      <c r="A1057" t="s">
        <v>128</v>
      </c>
      <c r="B1057" t="s">
        <v>210</v>
      </c>
      <c r="C1057">
        <v>73000</v>
      </c>
      <c r="D1057">
        <v>2017</v>
      </c>
      <c r="E1057" t="s">
        <v>146</v>
      </c>
      <c r="F1057" t="s">
        <v>147</v>
      </c>
      <c r="I1057">
        <v>4</v>
      </c>
      <c r="J1057" t="s">
        <v>135</v>
      </c>
      <c r="K1057">
        <v>4</v>
      </c>
      <c r="L1057" t="s">
        <v>44</v>
      </c>
      <c r="M1057">
        <v>2.5</v>
      </c>
      <c r="N1057" t="s">
        <v>44</v>
      </c>
      <c r="O1057" t="s">
        <v>46</v>
      </c>
      <c r="Q1057" t="s">
        <v>62</v>
      </c>
      <c r="R1057" t="s">
        <v>148</v>
      </c>
      <c r="S1057" t="s">
        <v>93</v>
      </c>
      <c r="T1057">
        <v>170</v>
      </c>
      <c r="U1057" t="s">
        <v>50</v>
      </c>
      <c r="X1057" t="s">
        <v>65</v>
      </c>
      <c r="Y1057" t="s">
        <v>78</v>
      </c>
      <c r="AA1057">
        <v>0</v>
      </c>
      <c r="AB1057" t="s">
        <v>79</v>
      </c>
      <c r="AC1057" t="s">
        <v>87</v>
      </c>
      <c r="AD1057">
        <v>36</v>
      </c>
      <c r="AE1057">
        <v>9</v>
      </c>
      <c r="AF1057">
        <v>3</v>
      </c>
      <c r="AG1057">
        <v>2025</v>
      </c>
      <c r="AH1057" s="2">
        <v>12000</v>
      </c>
      <c r="AI1057" s="2">
        <v>8076.01416015625</v>
      </c>
      <c r="AJ1057" s="2">
        <f t="shared" si="130"/>
        <v>3923.98583984375</v>
      </c>
      <c r="AK1057" s="6">
        <f t="shared" si="131"/>
        <v>0.32699881998697916</v>
      </c>
      <c r="AL1057" s="12">
        <v>12000</v>
      </c>
      <c r="AM1057" s="12">
        <v>8377.8078414588254</v>
      </c>
      <c r="AN1057" s="12">
        <f t="shared" si="132"/>
        <v>3622.1921585411746</v>
      </c>
      <c r="AO1057" s="13">
        <f t="shared" si="133"/>
        <v>0.30184934654509787</v>
      </c>
      <c r="AP1057" s="16">
        <v>12000</v>
      </c>
      <c r="AQ1057" s="16">
        <v>8667.9791089078462</v>
      </c>
      <c r="AR1057" s="16">
        <f t="shared" si="134"/>
        <v>3332.0208910921538</v>
      </c>
      <c r="AS1057" s="17">
        <f t="shared" si="128"/>
        <v>0.2776684075910128</v>
      </c>
      <c r="AT1057" s="20">
        <v>12000</v>
      </c>
      <c r="AU1057" s="20">
        <v>8238.8466796875</v>
      </c>
      <c r="AV1057" s="20">
        <f t="shared" si="129"/>
        <v>3761.1533203125</v>
      </c>
      <c r="AW1057" s="21">
        <f t="shared" si="135"/>
        <v>0.313429443359375</v>
      </c>
    </row>
    <row r="1058" spans="1:49" x14ac:dyDescent="0.25">
      <c r="A1058" t="s">
        <v>81</v>
      </c>
      <c r="B1058" t="s">
        <v>82</v>
      </c>
      <c r="C1058">
        <v>95292</v>
      </c>
      <c r="D1058">
        <v>2011</v>
      </c>
      <c r="E1058" t="s">
        <v>399</v>
      </c>
      <c r="F1058" t="s">
        <v>768</v>
      </c>
      <c r="G1058" t="s">
        <v>1143</v>
      </c>
      <c r="I1058">
        <v>4</v>
      </c>
      <c r="J1058" t="s">
        <v>61</v>
      </c>
      <c r="K1058">
        <v>4</v>
      </c>
      <c r="L1058" t="s">
        <v>44</v>
      </c>
      <c r="M1058">
        <v>2.5</v>
      </c>
      <c r="N1058" t="s">
        <v>44</v>
      </c>
      <c r="O1058" t="s">
        <v>46</v>
      </c>
      <c r="Q1058" t="s">
        <v>62</v>
      </c>
      <c r="R1058" t="s">
        <v>63</v>
      </c>
      <c r="S1058" t="s">
        <v>85</v>
      </c>
      <c r="W1058" t="s">
        <v>1192</v>
      </c>
      <c r="X1058" t="s">
        <v>65</v>
      </c>
      <c r="Y1058" t="s">
        <v>78</v>
      </c>
      <c r="AA1058">
        <v>0</v>
      </c>
      <c r="AB1058" t="s">
        <v>79</v>
      </c>
      <c r="AC1058" t="s">
        <v>87</v>
      </c>
      <c r="AD1058">
        <v>36</v>
      </c>
      <c r="AE1058">
        <v>9</v>
      </c>
      <c r="AF1058">
        <v>3</v>
      </c>
      <c r="AG1058">
        <v>2025</v>
      </c>
      <c r="AH1058" s="2">
        <v>2400</v>
      </c>
      <c r="AI1058" s="2">
        <v>2479.959228515625</v>
      </c>
      <c r="AJ1058" s="2">
        <f t="shared" si="130"/>
        <v>79.959228515625</v>
      </c>
      <c r="AK1058" s="6">
        <f t="shared" si="131"/>
        <v>3.3316345214843751E-2</v>
      </c>
      <c r="AL1058" s="12">
        <v>2400</v>
      </c>
      <c r="AM1058" s="12">
        <v>2791.7694984303648</v>
      </c>
      <c r="AN1058" s="12">
        <f t="shared" si="132"/>
        <v>391.76949843036482</v>
      </c>
      <c r="AO1058" s="13">
        <f t="shared" si="133"/>
        <v>0.163237291012652</v>
      </c>
      <c r="AP1058" s="16">
        <v>2400</v>
      </c>
      <c r="AQ1058" s="16">
        <v>2772.291353660964</v>
      </c>
      <c r="AR1058" s="16">
        <f t="shared" si="134"/>
        <v>372.29135366096398</v>
      </c>
      <c r="AS1058" s="17">
        <f t="shared" si="128"/>
        <v>0.15512139735873498</v>
      </c>
      <c r="AT1058" s="20">
        <v>2400</v>
      </c>
      <c r="AU1058" s="20">
        <v>2520.761962890625</v>
      </c>
      <c r="AV1058" s="20">
        <f t="shared" si="129"/>
        <v>120.761962890625</v>
      </c>
      <c r="AW1058" s="21">
        <f t="shared" si="135"/>
        <v>5.0317484537760415E-2</v>
      </c>
    </row>
    <row r="1059" spans="1:49" x14ac:dyDescent="0.25">
      <c r="A1059" t="s">
        <v>38</v>
      </c>
      <c r="B1059" t="s">
        <v>39</v>
      </c>
      <c r="C1059">
        <v>150073</v>
      </c>
      <c r="D1059">
        <v>2016</v>
      </c>
      <c r="E1059" t="s">
        <v>162</v>
      </c>
      <c r="F1059" t="s">
        <v>211</v>
      </c>
      <c r="G1059" t="s">
        <v>1193</v>
      </c>
      <c r="I1059">
        <v>4</v>
      </c>
      <c r="J1059" t="s">
        <v>43</v>
      </c>
      <c r="K1059">
        <v>4</v>
      </c>
      <c r="L1059" t="s">
        <v>44</v>
      </c>
      <c r="M1059">
        <v>1.8</v>
      </c>
      <c r="N1059" t="s">
        <v>45</v>
      </c>
      <c r="O1059" t="s">
        <v>46</v>
      </c>
      <c r="Q1059" t="s">
        <v>47</v>
      </c>
      <c r="R1059" t="s">
        <v>123</v>
      </c>
      <c r="T1059">
        <v>145</v>
      </c>
      <c r="U1059" t="s">
        <v>50</v>
      </c>
      <c r="V1059" t="s">
        <v>51</v>
      </c>
      <c r="W1059" t="s">
        <v>1023</v>
      </c>
      <c r="X1059" t="s">
        <v>125</v>
      </c>
      <c r="Y1059" t="s">
        <v>66</v>
      </c>
      <c r="AA1059">
        <v>0</v>
      </c>
      <c r="AB1059" t="s">
        <v>79</v>
      </c>
      <c r="AC1059" t="s">
        <v>127</v>
      </c>
      <c r="AD1059">
        <v>36</v>
      </c>
      <c r="AE1059">
        <v>9</v>
      </c>
      <c r="AF1059">
        <v>3</v>
      </c>
      <c r="AG1059">
        <v>2025</v>
      </c>
      <c r="AH1059" s="2">
        <v>3800</v>
      </c>
      <c r="AI1059" s="2">
        <v>2288.400634765625</v>
      </c>
      <c r="AJ1059" s="2">
        <f t="shared" si="130"/>
        <v>1511.599365234375</v>
      </c>
      <c r="AK1059" s="6">
        <f t="shared" si="131"/>
        <v>0.39778930664062501</v>
      </c>
      <c r="AL1059" s="12">
        <v>3800</v>
      </c>
      <c r="AM1059" s="12">
        <v>2384.0345034704501</v>
      </c>
      <c r="AN1059" s="12">
        <f t="shared" si="132"/>
        <v>1415.9654965295499</v>
      </c>
      <c r="AO1059" s="13">
        <f t="shared" si="133"/>
        <v>0.37262249908672368</v>
      </c>
      <c r="AP1059" s="16">
        <v>3800</v>
      </c>
      <c r="AQ1059" s="16">
        <v>2127.5414606351778</v>
      </c>
      <c r="AR1059" s="16">
        <f t="shared" si="134"/>
        <v>1672.4585393648222</v>
      </c>
      <c r="AS1059" s="17">
        <f t="shared" si="128"/>
        <v>0.44012066825390056</v>
      </c>
      <c r="AT1059" s="20">
        <v>3800</v>
      </c>
      <c r="AU1059" s="20">
        <v>2280.509521484375</v>
      </c>
      <c r="AV1059" s="20">
        <f t="shared" si="129"/>
        <v>1519.490478515625</v>
      </c>
      <c r="AW1059" s="21">
        <f t="shared" si="135"/>
        <v>0.39986591539884869</v>
      </c>
    </row>
    <row r="1060" spans="1:49" x14ac:dyDescent="0.25">
      <c r="A1060" t="s">
        <v>38</v>
      </c>
      <c r="B1060" t="s">
        <v>96</v>
      </c>
      <c r="C1060">
        <v>39352</v>
      </c>
      <c r="D1060">
        <v>2024</v>
      </c>
      <c r="E1060" t="s">
        <v>142</v>
      </c>
      <c r="F1060" t="s">
        <v>1025</v>
      </c>
      <c r="H1060" t="s">
        <v>398</v>
      </c>
      <c r="I1060">
        <v>6</v>
      </c>
      <c r="J1060" t="s">
        <v>106</v>
      </c>
      <c r="K1060">
        <v>4</v>
      </c>
      <c r="L1060" t="s">
        <v>44</v>
      </c>
      <c r="M1060">
        <v>3.6</v>
      </c>
      <c r="N1060" t="s">
        <v>91</v>
      </c>
      <c r="O1060" t="s">
        <v>46</v>
      </c>
      <c r="P1060">
        <v>4</v>
      </c>
      <c r="Q1060" t="s">
        <v>62</v>
      </c>
      <c r="R1060" t="s">
        <v>63</v>
      </c>
      <c r="S1060" t="s">
        <v>93</v>
      </c>
      <c r="T1060">
        <v>293</v>
      </c>
      <c r="U1060" t="s">
        <v>50</v>
      </c>
      <c r="V1060" t="s">
        <v>76</v>
      </c>
      <c r="X1060" t="s">
        <v>94</v>
      </c>
      <c r="Y1060" t="s">
        <v>78</v>
      </c>
      <c r="AA1060">
        <v>0</v>
      </c>
      <c r="AB1060" t="s">
        <v>79</v>
      </c>
      <c r="AC1060" t="s">
        <v>109</v>
      </c>
      <c r="AD1060">
        <v>36</v>
      </c>
      <c r="AE1060">
        <v>9</v>
      </c>
      <c r="AF1060">
        <v>3</v>
      </c>
      <c r="AG1060">
        <v>2025</v>
      </c>
      <c r="AH1060" s="2">
        <v>28250</v>
      </c>
      <c r="AI1060" s="2">
        <v>30536.32421875</v>
      </c>
      <c r="AJ1060" s="2">
        <f t="shared" si="130"/>
        <v>2286.32421875</v>
      </c>
      <c r="AK1060" s="6">
        <f t="shared" si="131"/>
        <v>8.0931830752212386E-2</v>
      </c>
      <c r="AL1060" s="12">
        <v>28250</v>
      </c>
      <c r="AM1060" s="12">
        <v>35753.455729327557</v>
      </c>
      <c r="AN1060" s="12">
        <f t="shared" si="132"/>
        <v>7503.4557293275575</v>
      </c>
      <c r="AO1060" s="13">
        <f t="shared" si="133"/>
        <v>0.26560905236557725</v>
      </c>
      <c r="AP1060" s="16">
        <v>28250</v>
      </c>
      <c r="AQ1060" s="16">
        <v>33281.088034913191</v>
      </c>
      <c r="AR1060" s="16">
        <f t="shared" si="134"/>
        <v>5031.0880349131912</v>
      </c>
      <c r="AS1060" s="17">
        <f t="shared" si="128"/>
        <v>0.1780916118553342</v>
      </c>
      <c r="AT1060" s="20">
        <v>28250</v>
      </c>
      <c r="AU1060" s="20">
        <v>30945.978515625</v>
      </c>
      <c r="AV1060" s="20">
        <f t="shared" si="129"/>
        <v>2695.978515625</v>
      </c>
      <c r="AW1060" s="21">
        <f t="shared" si="135"/>
        <v>9.543286780973452E-2</v>
      </c>
    </row>
    <row r="1061" spans="1:49" x14ac:dyDescent="0.25">
      <c r="A1061" t="s">
        <v>38</v>
      </c>
      <c r="B1061" t="s">
        <v>39</v>
      </c>
      <c r="C1061">
        <v>132191</v>
      </c>
      <c r="D1061">
        <v>2019</v>
      </c>
      <c r="E1061" t="s">
        <v>399</v>
      </c>
      <c r="F1061" t="s">
        <v>400</v>
      </c>
      <c r="G1061" t="s">
        <v>1194</v>
      </c>
      <c r="I1061">
        <v>4</v>
      </c>
      <c r="J1061" t="s">
        <v>106</v>
      </c>
      <c r="K1061">
        <v>4</v>
      </c>
      <c r="L1061" t="s">
        <v>44</v>
      </c>
      <c r="M1061">
        <v>2</v>
      </c>
      <c r="N1061" t="s">
        <v>44</v>
      </c>
      <c r="O1061" t="s">
        <v>46</v>
      </c>
      <c r="P1061">
        <v>3</v>
      </c>
      <c r="Q1061" t="s">
        <v>47</v>
      </c>
      <c r="R1061" t="s">
        <v>48</v>
      </c>
      <c r="S1061" t="s">
        <v>85</v>
      </c>
      <c r="T1061">
        <v>152</v>
      </c>
      <c r="U1061" t="s">
        <v>50</v>
      </c>
      <c r="X1061" t="s">
        <v>125</v>
      </c>
      <c r="Y1061" t="s">
        <v>78</v>
      </c>
      <c r="Z1061">
        <v>22695</v>
      </c>
      <c r="AA1061">
        <v>0</v>
      </c>
      <c r="AB1061" t="s">
        <v>79</v>
      </c>
      <c r="AC1061" t="s">
        <v>359</v>
      </c>
      <c r="AD1061">
        <v>36</v>
      </c>
      <c r="AE1061">
        <v>9</v>
      </c>
      <c r="AF1061">
        <v>3</v>
      </c>
      <c r="AG1061">
        <v>2025</v>
      </c>
      <c r="AH1061" s="2">
        <v>5200</v>
      </c>
      <c r="AI1061" s="2">
        <v>5222.2294921875</v>
      </c>
      <c r="AJ1061" s="2">
        <f t="shared" si="130"/>
        <v>22.2294921875</v>
      </c>
      <c r="AK1061" s="6">
        <f t="shared" si="131"/>
        <v>4.2749023437500004E-3</v>
      </c>
      <c r="AL1061" s="12">
        <v>5200</v>
      </c>
      <c r="AM1061" s="12">
        <v>4756.1016848916524</v>
      </c>
      <c r="AN1061" s="12">
        <f t="shared" si="132"/>
        <v>443.89831510834756</v>
      </c>
      <c r="AO1061" s="13">
        <f t="shared" si="133"/>
        <v>8.536506059775914E-2</v>
      </c>
      <c r="AP1061" s="16">
        <v>5200</v>
      </c>
      <c r="AQ1061" s="16">
        <v>5318.6953958496706</v>
      </c>
      <c r="AR1061" s="16">
        <f t="shared" si="134"/>
        <v>118.6953958496706</v>
      </c>
      <c r="AS1061" s="17">
        <f t="shared" si="128"/>
        <v>2.2826037663398194E-2</v>
      </c>
      <c r="AT1061" s="20">
        <v>5200</v>
      </c>
      <c r="AU1061" s="20">
        <v>5217.947265625</v>
      </c>
      <c r="AV1061" s="20">
        <f t="shared" si="129"/>
        <v>17.947265625</v>
      </c>
      <c r="AW1061" s="21">
        <f t="shared" si="135"/>
        <v>3.4513972355769231E-3</v>
      </c>
    </row>
    <row r="1062" spans="1:49" x14ac:dyDescent="0.25">
      <c r="A1062" t="s">
        <v>128</v>
      </c>
      <c r="B1062" t="s">
        <v>309</v>
      </c>
      <c r="C1062">
        <v>84581</v>
      </c>
      <c r="D1062">
        <v>2018</v>
      </c>
      <c r="E1062" t="s">
        <v>69</v>
      </c>
      <c r="F1062" t="s">
        <v>1195</v>
      </c>
      <c r="G1062" t="s">
        <v>224</v>
      </c>
      <c r="I1062">
        <v>4</v>
      </c>
      <c r="J1062" t="s">
        <v>72</v>
      </c>
      <c r="K1062">
        <v>4</v>
      </c>
      <c r="L1062" t="s">
        <v>44</v>
      </c>
      <c r="M1062">
        <v>1.6</v>
      </c>
      <c r="N1062" t="s">
        <v>45</v>
      </c>
      <c r="O1062" t="s">
        <v>46</v>
      </c>
      <c r="P1062">
        <v>2</v>
      </c>
      <c r="Q1062" t="s">
        <v>47</v>
      </c>
      <c r="R1062" t="s">
        <v>123</v>
      </c>
      <c r="S1062" t="s">
        <v>101</v>
      </c>
      <c r="T1062">
        <v>120</v>
      </c>
      <c r="U1062" t="s">
        <v>180</v>
      </c>
      <c r="V1062" t="s">
        <v>51</v>
      </c>
      <c r="W1062" t="s">
        <v>1196</v>
      </c>
      <c r="X1062" t="s">
        <v>125</v>
      </c>
      <c r="Y1062" t="s">
        <v>126</v>
      </c>
      <c r="Z1062">
        <v>15435</v>
      </c>
      <c r="AA1062">
        <v>0</v>
      </c>
      <c r="AB1062" t="s">
        <v>79</v>
      </c>
      <c r="AC1062" t="s">
        <v>127</v>
      </c>
      <c r="AD1062">
        <v>36</v>
      </c>
      <c r="AE1062">
        <v>9</v>
      </c>
      <c r="AF1062">
        <v>3</v>
      </c>
      <c r="AG1062">
        <v>2025</v>
      </c>
      <c r="AH1062" s="2">
        <v>5600</v>
      </c>
      <c r="AI1062" s="2">
        <v>3734.295166015625</v>
      </c>
      <c r="AJ1062" s="2">
        <f t="shared" si="130"/>
        <v>1865.704833984375</v>
      </c>
      <c r="AK1062" s="6">
        <f t="shared" si="131"/>
        <v>0.33316157749720982</v>
      </c>
      <c r="AL1062" s="12">
        <v>5600</v>
      </c>
      <c r="AM1062" s="12">
        <v>3629.91559220709</v>
      </c>
      <c r="AN1062" s="12">
        <f t="shared" si="132"/>
        <v>1970.08440779291</v>
      </c>
      <c r="AO1062" s="13">
        <f t="shared" si="133"/>
        <v>0.35180078710587681</v>
      </c>
      <c r="AP1062" s="16">
        <v>5600</v>
      </c>
      <c r="AQ1062" s="16">
        <v>2879.936398724129</v>
      </c>
      <c r="AR1062" s="16">
        <f t="shared" si="134"/>
        <v>2720.063601275871</v>
      </c>
      <c r="AS1062" s="17">
        <f t="shared" si="128"/>
        <v>0.48572564308497695</v>
      </c>
      <c r="AT1062" s="20">
        <v>5600</v>
      </c>
      <c r="AU1062" s="20">
        <v>3786.281494140625</v>
      </c>
      <c r="AV1062" s="20">
        <f t="shared" si="129"/>
        <v>1813.718505859375</v>
      </c>
      <c r="AW1062" s="21">
        <f t="shared" si="135"/>
        <v>0.32387830461774553</v>
      </c>
    </row>
    <row r="1063" spans="1:49" x14ac:dyDescent="0.25">
      <c r="A1063" t="s">
        <v>128</v>
      </c>
      <c r="B1063" t="s">
        <v>129</v>
      </c>
      <c r="C1063">
        <v>185827</v>
      </c>
      <c r="D1063">
        <v>2010</v>
      </c>
      <c r="E1063" t="s">
        <v>97</v>
      </c>
      <c r="F1063" t="s">
        <v>701</v>
      </c>
      <c r="G1063" t="s">
        <v>155</v>
      </c>
      <c r="I1063">
        <v>6</v>
      </c>
      <c r="J1063" t="s">
        <v>122</v>
      </c>
      <c r="K1063">
        <v>4</v>
      </c>
      <c r="L1063" t="s">
        <v>44</v>
      </c>
      <c r="M1063">
        <v>3.5</v>
      </c>
      <c r="N1063" t="s">
        <v>45</v>
      </c>
      <c r="Q1063" t="s">
        <v>47</v>
      </c>
      <c r="R1063" t="s">
        <v>123</v>
      </c>
      <c r="U1063" t="s">
        <v>180</v>
      </c>
      <c r="V1063" t="s">
        <v>76</v>
      </c>
      <c r="W1063" t="s">
        <v>702</v>
      </c>
      <c r="X1063" t="s">
        <v>125</v>
      </c>
      <c r="Y1063" t="s">
        <v>103</v>
      </c>
      <c r="AA1063">
        <v>0</v>
      </c>
      <c r="AB1063" t="s">
        <v>79</v>
      </c>
      <c r="AC1063" t="s">
        <v>127</v>
      </c>
      <c r="AD1063">
        <v>36</v>
      </c>
      <c r="AE1063">
        <v>9</v>
      </c>
      <c r="AF1063">
        <v>3</v>
      </c>
      <c r="AG1063">
        <v>2025</v>
      </c>
      <c r="AH1063" s="2">
        <v>1400</v>
      </c>
      <c r="AI1063" s="2">
        <v>985.9373779296875</v>
      </c>
      <c r="AJ1063" s="2">
        <f t="shared" si="130"/>
        <v>414.0626220703125</v>
      </c>
      <c r="AK1063" s="6">
        <f t="shared" si="131"/>
        <v>0.29575901576450891</v>
      </c>
      <c r="AL1063" s="12">
        <v>1400</v>
      </c>
      <c r="AM1063" s="12">
        <v>1173.9407583135289</v>
      </c>
      <c r="AN1063" s="12">
        <f t="shared" si="132"/>
        <v>226.05924168647107</v>
      </c>
      <c r="AO1063" s="13">
        <f t="shared" si="133"/>
        <v>0.1614708869189079</v>
      </c>
      <c r="AP1063" s="16">
        <v>1400</v>
      </c>
      <c r="AQ1063" s="16">
        <v>962.956767264218</v>
      </c>
      <c r="AR1063" s="16">
        <f t="shared" si="134"/>
        <v>437.043232735782</v>
      </c>
      <c r="AS1063" s="17">
        <f t="shared" si="128"/>
        <v>0.31217373766841572</v>
      </c>
      <c r="AT1063" s="20">
        <v>1400</v>
      </c>
      <c r="AU1063" s="20">
        <v>964.4090576171875</v>
      </c>
      <c r="AV1063" s="20">
        <f t="shared" si="129"/>
        <v>435.5909423828125</v>
      </c>
      <c r="AW1063" s="21">
        <f t="shared" si="135"/>
        <v>0.31113638741629462</v>
      </c>
    </row>
    <row r="1064" spans="1:49" x14ac:dyDescent="0.25">
      <c r="A1064" t="s">
        <v>38</v>
      </c>
      <c r="B1064" t="s">
        <v>96</v>
      </c>
      <c r="C1064">
        <v>63506</v>
      </c>
      <c r="D1064">
        <v>2020</v>
      </c>
      <c r="E1064" t="s">
        <v>116</v>
      </c>
      <c r="F1064" t="s">
        <v>251</v>
      </c>
      <c r="H1064" t="s">
        <v>224</v>
      </c>
      <c r="I1064">
        <v>4</v>
      </c>
      <c r="J1064" t="s">
        <v>122</v>
      </c>
      <c r="K1064">
        <v>4</v>
      </c>
      <c r="L1064" t="s">
        <v>44</v>
      </c>
      <c r="M1064">
        <v>2.4</v>
      </c>
      <c r="N1064" t="s">
        <v>45</v>
      </c>
      <c r="O1064" t="s">
        <v>46</v>
      </c>
      <c r="P1064">
        <v>3</v>
      </c>
      <c r="Q1064" t="s">
        <v>62</v>
      </c>
      <c r="R1064" t="s">
        <v>63</v>
      </c>
      <c r="S1064" t="s">
        <v>101</v>
      </c>
      <c r="T1064">
        <v>173</v>
      </c>
      <c r="U1064" t="s">
        <v>50</v>
      </c>
      <c r="V1064" t="s">
        <v>51</v>
      </c>
      <c r="X1064" t="s">
        <v>141</v>
      </c>
      <c r="Y1064" t="s">
        <v>126</v>
      </c>
      <c r="Z1064">
        <v>23245</v>
      </c>
      <c r="AA1064">
        <v>0</v>
      </c>
      <c r="AB1064" t="s">
        <v>79</v>
      </c>
      <c r="AC1064" t="s">
        <v>109</v>
      </c>
      <c r="AD1064">
        <v>36</v>
      </c>
      <c r="AE1064">
        <v>9</v>
      </c>
      <c r="AF1064">
        <v>3</v>
      </c>
      <c r="AG1064">
        <v>2025</v>
      </c>
      <c r="AH1064" s="2">
        <v>10600</v>
      </c>
      <c r="AI1064" s="2">
        <v>9194.31640625</v>
      </c>
      <c r="AJ1064" s="2">
        <f t="shared" si="130"/>
        <v>1405.68359375</v>
      </c>
      <c r="AK1064" s="6">
        <f t="shared" si="131"/>
        <v>0.13261165978773584</v>
      </c>
      <c r="AL1064" s="12">
        <v>10600</v>
      </c>
      <c r="AM1064" s="12">
        <v>11293.83728623955</v>
      </c>
      <c r="AN1064" s="12">
        <f t="shared" si="132"/>
        <v>693.83728623954994</v>
      </c>
      <c r="AO1064" s="13">
        <f t="shared" si="133"/>
        <v>6.5456347758448108E-2</v>
      </c>
      <c r="AP1064" s="16">
        <v>10600</v>
      </c>
      <c r="AQ1064" s="16">
        <v>9123.2771977772591</v>
      </c>
      <c r="AR1064" s="16">
        <f t="shared" si="134"/>
        <v>1476.7228022227409</v>
      </c>
      <c r="AS1064" s="17">
        <f t="shared" si="128"/>
        <v>0.13931347190780574</v>
      </c>
      <c r="AT1064" s="20">
        <v>10600</v>
      </c>
      <c r="AU1064" s="20">
        <v>9611.8271484375</v>
      </c>
      <c r="AV1064" s="20">
        <f t="shared" si="129"/>
        <v>988.1728515625</v>
      </c>
      <c r="AW1064" s="21">
        <f t="shared" si="135"/>
        <v>9.3223853920990571E-2</v>
      </c>
    </row>
    <row r="1065" spans="1:49" x14ac:dyDescent="0.25">
      <c r="A1065" t="s">
        <v>38</v>
      </c>
      <c r="B1065" t="s">
        <v>68</v>
      </c>
      <c r="C1065">
        <v>21676</v>
      </c>
      <c r="D1065">
        <v>2024</v>
      </c>
      <c r="E1065" t="s">
        <v>40</v>
      </c>
      <c r="F1065" t="s">
        <v>201</v>
      </c>
      <c r="G1065" t="s">
        <v>876</v>
      </c>
      <c r="H1065" t="s">
        <v>877</v>
      </c>
      <c r="I1065">
        <v>4</v>
      </c>
      <c r="J1065" t="s">
        <v>135</v>
      </c>
      <c r="K1065">
        <v>4</v>
      </c>
      <c r="L1065" t="s">
        <v>44</v>
      </c>
      <c r="M1065">
        <v>2</v>
      </c>
      <c r="N1065" t="s">
        <v>45</v>
      </c>
      <c r="O1065" t="s">
        <v>46</v>
      </c>
      <c r="Q1065" t="s">
        <v>47</v>
      </c>
      <c r="R1065" t="s">
        <v>123</v>
      </c>
      <c r="S1065" t="s">
        <v>49</v>
      </c>
      <c r="T1065">
        <v>169</v>
      </c>
      <c r="U1065" t="s">
        <v>50</v>
      </c>
      <c r="V1065" t="s">
        <v>51</v>
      </c>
      <c r="W1065" t="s">
        <v>354</v>
      </c>
      <c r="X1065" t="s">
        <v>125</v>
      </c>
      <c r="Y1065" t="s">
        <v>78</v>
      </c>
      <c r="AA1065">
        <v>0</v>
      </c>
      <c r="AB1065" t="s">
        <v>79</v>
      </c>
      <c r="AC1065" t="s">
        <v>127</v>
      </c>
      <c r="AD1065">
        <v>36</v>
      </c>
      <c r="AE1065">
        <v>9</v>
      </c>
      <c r="AF1065">
        <v>3</v>
      </c>
      <c r="AG1065">
        <v>2025</v>
      </c>
      <c r="AH1065" s="2">
        <v>20300</v>
      </c>
      <c r="AI1065" s="2">
        <v>17416.70703125</v>
      </c>
      <c r="AJ1065" s="2">
        <f t="shared" si="130"/>
        <v>2883.29296875</v>
      </c>
      <c r="AK1065" s="6">
        <f t="shared" si="131"/>
        <v>0.14203413639162563</v>
      </c>
      <c r="AL1065" s="12">
        <v>20300</v>
      </c>
      <c r="AM1065" s="12">
        <v>17651.232717037208</v>
      </c>
      <c r="AN1065" s="12">
        <f t="shared" si="132"/>
        <v>2648.7672829627918</v>
      </c>
      <c r="AO1065" s="13">
        <f t="shared" si="133"/>
        <v>0.13048114694397989</v>
      </c>
      <c r="AP1065" s="16">
        <v>20300</v>
      </c>
      <c r="AQ1065" s="16">
        <v>19082.24551904136</v>
      </c>
      <c r="AR1065" s="16">
        <f t="shared" si="134"/>
        <v>1217.7544809586398</v>
      </c>
      <c r="AS1065" s="17">
        <f t="shared" si="128"/>
        <v>5.9987905465942848E-2</v>
      </c>
      <c r="AT1065" s="20">
        <v>20300</v>
      </c>
      <c r="AU1065" s="20">
        <v>17338.64453125</v>
      </c>
      <c r="AV1065" s="20">
        <f t="shared" si="129"/>
        <v>2961.35546875</v>
      </c>
      <c r="AW1065" s="21">
        <f t="shared" si="135"/>
        <v>0.1458795797413793</v>
      </c>
    </row>
    <row r="1066" spans="1:49" x14ac:dyDescent="0.25">
      <c r="A1066" t="s">
        <v>38</v>
      </c>
      <c r="B1066" t="s">
        <v>110</v>
      </c>
      <c r="C1066">
        <v>153603</v>
      </c>
      <c r="D1066">
        <v>2017</v>
      </c>
      <c r="E1066" t="s">
        <v>97</v>
      </c>
      <c r="F1066" t="s">
        <v>419</v>
      </c>
      <c r="G1066" t="s">
        <v>199</v>
      </c>
      <c r="I1066">
        <v>8</v>
      </c>
      <c r="J1066" t="s">
        <v>135</v>
      </c>
      <c r="K1066">
        <v>4</v>
      </c>
      <c r="L1066" t="s">
        <v>44</v>
      </c>
      <c r="M1066">
        <v>5.3</v>
      </c>
      <c r="N1066" t="s">
        <v>73</v>
      </c>
      <c r="O1066" t="s">
        <v>46</v>
      </c>
      <c r="P1066">
        <v>3</v>
      </c>
      <c r="Q1066" t="s">
        <v>62</v>
      </c>
      <c r="R1066" t="s">
        <v>63</v>
      </c>
      <c r="S1066" t="s">
        <v>49</v>
      </c>
      <c r="U1066" t="s">
        <v>50</v>
      </c>
      <c r="W1066" t="s">
        <v>424</v>
      </c>
      <c r="X1066" t="s">
        <v>108</v>
      </c>
      <c r="Y1066" t="s">
        <v>78</v>
      </c>
      <c r="Z1066">
        <v>47215</v>
      </c>
      <c r="AA1066">
        <v>0</v>
      </c>
      <c r="AB1066" t="s">
        <v>79</v>
      </c>
      <c r="AC1066" t="s">
        <v>109</v>
      </c>
      <c r="AD1066">
        <v>36</v>
      </c>
      <c r="AE1066">
        <v>9</v>
      </c>
      <c r="AF1066">
        <v>3</v>
      </c>
      <c r="AG1066">
        <v>2025</v>
      </c>
      <c r="AH1066" s="2">
        <v>9400</v>
      </c>
      <c r="AI1066" s="2">
        <v>9295.2138671875</v>
      </c>
      <c r="AJ1066" s="2">
        <f t="shared" si="130"/>
        <v>104.7861328125</v>
      </c>
      <c r="AK1066" s="6">
        <f t="shared" si="131"/>
        <v>1.1147460937499999E-2</v>
      </c>
      <c r="AL1066" s="12">
        <v>9400</v>
      </c>
      <c r="AM1066" s="12">
        <v>10967.837660439751</v>
      </c>
      <c r="AN1066" s="12">
        <f t="shared" si="132"/>
        <v>1567.8376604397508</v>
      </c>
      <c r="AO1066" s="13">
        <f t="shared" si="133"/>
        <v>0.16679124047231392</v>
      </c>
      <c r="AP1066" s="16">
        <v>9400</v>
      </c>
      <c r="AQ1066" s="16">
        <v>7901.0875328850998</v>
      </c>
      <c r="AR1066" s="16">
        <f t="shared" si="134"/>
        <v>1498.9124671149002</v>
      </c>
      <c r="AS1066" s="17">
        <f t="shared" si="128"/>
        <v>0.15945877309732981</v>
      </c>
      <c r="AT1066" s="20">
        <v>9400</v>
      </c>
      <c r="AU1066" s="20">
        <v>9691.490234375</v>
      </c>
      <c r="AV1066" s="20">
        <f t="shared" si="129"/>
        <v>291.490234375</v>
      </c>
      <c r="AW1066" s="21">
        <f t="shared" si="135"/>
        <v>3.1009599401595745E-2</v>
      </c>
    </row>
    <row r="1067" spans="1:49" x14ac:dyDescent="0.25">
      <c r="A1067" t="s">
        <v>38</v>
      </c>
      <c r="B1067" t="s">
        <v>110</v>
      </c>
      <c r="C1067">
        <v>112830</v>
      </c>
      <c r="D1067">
        <v>2013</v>
      </c>
      <c r="E1067" t="s">
        <v>83</v>
      </c>
      <c r="F1067" t="s">
        <v>1197</v>
      </c>
      <c r="G1067" t="s">
        <v>208</v>
      </c>
      <c r="I1067">
        <v>6</v>
      </c>
      <c r="J1067" t="s">
        <v>135</v>
      </c>
      <c r="K1067">
        <v>4</v>
      </c>
      <c r="L1067" t="s">
        <v>44</v>
      </c>
      <c r="M1067">
        <v>3.5</v>
      </c>
      <c r="N1067" t="s">
        <v>45</v>
      </c>
      <c r="Q1067" t="s">
        <v>47</v>
      </c>
      <c r="R1067" t="s">
        <v>123</v>
      </c>
      <c r="T1067">
        <v>280</v>
      </c>
      <c r="U1067" t="s">
        <v>50</v>
      </c>
      <c r="V1067" t="s">
        <v>76</v>
      </c>
      <c r="W1067" t="s">
        <v>1198</v>
      </c>
      <c r="X1067" t="s">
        <v>65</v>
      </c>
      <c r="Y1067" t="s">
        <v>78</v>
      </c>
      <c r="AA1067">
        <v>0</v>
      </c>
      <c r="AB1067" t="s">
        <v>79</v>
      </c>
      <c r="AC1067" t="s">
        <v>127</v>
      </c>
      <c r="AD1067">
        <v>36</v>
      </c>
      <c r="AE1067">
        <v>9</v>
      </c>
      <c r="AF1067">
        <v>3</v>
      </c>
      <c r="AG1067">
        <v>2025</v>
      </c>
      <c r="AH1067" s="2">
        <v>5000</v>
      </c>
      <c r="AI1067" s="2">
        <v>4220.31640625</v>
      </c>
      <c r="AJ1067" s="2">
        <f t="shared" si="130"/>
        <v>779.68359375</v>
      </c>
      <c r="AK1067" s="6">
        <f t="shared" si="131"/>
        <v>0.15593671875000001</v>
      </c>
      <c r="AL1067" s="12">
        <v>5000</v>
      </c>
      <c r="AM1067" s="12">
        <v>5009.1103967103354</v>
      </c>
      <c r="AN1067" s="12">
        <f t="shared" si="132"/>
        <v>9.110396710335408</v>
      </c>
      <c r="AO1067" s="13">
        <f t="shared" si="133"/>
        <v>1.8220793420670816E-3</v>
      </c>
      <c r="AP1067" s="16">
        <v>5000</v>
      </c>
      <c r="AQ1067" s="16">
        <v>4848.2889497208389</v>
      </c>
      <c r="AR1067" s="16">
        <f t="shared" si="134"/>
        <v>151.7110502791611</v>
      </c>
      <c r="AS1067" s="17">
        <f t="shared" si="128"/>
        <v>3.0342210055832219E-2</v>
      </c>
      <c r="AT1067" s="20">
        <v>5000</v>
      </c>
      <c r="AU1067" s="20">
        <v>4304.900390625</v>
      </c>
      <c r="AV1067" s="20">
        <f t="shared" si="129"/>
        <v>695.099609375</v>
      </c>
      <c r="AW1067" s="21">
        <f t="shared" si="135"/>
        <v>0.13901992187500001</v>
      </c>
    </row>
    <row r="1068" spans="1:49" x14ac:dyDescent="0.25">
      <c r="A1068" t="s">
        <v>38</v>
      </c>
      <c r="B1068" t="s">
        <v>39</v>
      </c>
      <c r="C1068">
        <v>148945</v>
      </c>
      <c r="D1068">
        <v>2014</v>
      </c>
      <c r="E1068" t="s">
        <v>97</v>
      </c>
      <c r="F1068" t="s">
        <v>159</v>
      </c>
      <c r="G1068" t="s">
        <v>155</v>
      </c>
      <c r="H1068" t="s">
        <v>89</v>
      </c>
      <c r="I1068">
        <v>8</v>
      </c>
      <c r="J1068" t="s">
        <v>43</v>
      </c>
      <c r="K1068">
        <v>4</v>
      </c>
      <c r="L1068" t="s">
        <v>44</v>
      </c>
      <c r="M1068">
        <v>5.3</v>
      </c>
      <c r="N1068" t="s">
        <v>73</v>
      </c>
      <c r="O1068" t="s">
        <v>46</v>
      </c>
      <c r="Q1068" t="s">
        <v>74</v>
      </c>
      <c r="R1068" t="s">
        <v>92</v>
      </c>
      <c r="S1068" t="s">
        <v>49</v>
      </c>
      <c r="U1068" t="s">
        <v>50</v>
      </c>
      <c r="W1068" t="s">
        <v>712</v>
      </c>
      <c r="X1068" t="s">
        <v>94</v>
      </c>
      <c r="Y1068" t="s">
        <v>78</v>
      </c>
      <c r="AA1068">
        <v>0</v>
      </c>
      <c r="AB1068" t="s">
        <v>79</v>
      </c>
      <c r="AC1068" t="s">
        <v>95</v>
      </c>
      <c r="AD1068">
        <v>36</v>
      </c>
      <c r="AE1068">
        <v>9</v>
      </c>
      <c r="AF1068">
        <v>3</v>
      </c>
      <c r="AG1068">
        <v>2025</v>
      </c>
      <c r="AH1068" s="2">
        <v>11500</v>
      </c>
      <c r="AI1068" s="2">
        <v>8072.34814453125</v>
      </c>
      <c r="AJ1068" s="2">
        <f t="shared" si="130"/>
        <v>3427.65185546875</v>
      </c>
      <c r="AK1068" s="6">
        <f t="shared" si="131"/>
        <v>0.2980566830842391</v>
      </c>
      <c r="AL1068" s="12">
        <v>11500</v>
      </c>
      <c r="AM1068" s="12">
        <v>7863.8389850165522</v>
      </c>
      <c r="AN1068" s="12">
        <f t="shared" si="132"/>
        <v>3636.1610149834478</v>
      </c>
      <c r="AO1068" s="13">
        <f t="shared" si="133"/>
        <v>0.31618791434638677</v>
      </c>
      <c r="AP1068" s="16">
        <v>11500</v>
      </c>
      <c r="AQ1068" s="16">
        <v>7798.8243472239974</v>
      </c>
      <c r="AR1068" s="16">
        <f t="shared" si="134"/>
        <v>3701.1756527760026</v>
      </c>
      <c r="AS1068" s="17">
        <f t="shared" si="128"/>
        <v>0.32184136111095674</v>
      </c>
      <c r="AT1068" s="20">
        <v>11500</v>
      </c>
      <c r="AU1068" s="20">
        <v>8142.6630859375</v>
      </c>
      <c r="AV1068" s="20">
        <f t="shared" si="129"/>
        <v>3357.3369140625</v>
      </c>
      <c r="AW1068" s="21">
        <f t="shared" si="135"/>
        <v>0.29194234035326089</v>
      </c>
    </row>
    <row r="1069" spans="1:49" x14ac:dyDescent="0.25">
      <c r="A1069" t="s">
        <v>38</v>
      </c>
      <c r="B1069" t="s">
        <v>96</v>
      </c>
      <c r="C1069">
        <v>48534</v>
      </c>
      <c r="D1069">
        <v>2024</v>
      </c>
      <c r="E1069" t="s">
        <v>341</v>
      </c>
      <c r="F1069" t="s">
        <v>574</v>
      </c>
      <c r="G1069" t="s">
        <v>541</v>
      </c>
      <c r="I1069">
        <v>6</v>
      </c>
      <c r="J1069" t="s">
        <v>72</v>
      </c>
      <c r="K1069">
        <v>4</v>
      </c>
      <c r="L1069" t="s">
        <v>44</v>
      </c>
      <c r="M1069">
        <v>3.6</v>
      </c>
      <c r="N1069" t="s">
        <v>44</v>
      </c>
      <c r="O1069" t="s">
        <v>46</v>
      </c>
      <c r="P1069">
        <v>4</v>
      </c>
      <c r="Q1069" t="s">
        <v>62</v>
      </c>
      <c r="R1069" t="s">
        <v>63</v>
      </c>
      <c r="S1069" t="s">
        <v>85</v>
      </c>
      <c r="U1069" t="s">
        <v>50</v>
      </c>
      <c r="V1069" t="s">
        <v>76</v>
      </c>
      <c r="W1069" t="s">
        <v>372</v>
      </c>
      <c r="X1069" t="s">
        <v>94</v>
      </c>
      <c r="Y1069" t="s">
        <v>78</v>
      </c>
      <c r="AA1069">
        <v>0</v>
      </c>
      <c r="AB1069" t="s">
        <v>79</v>
      </c>
      <c r="AC1069" t="s">
        <v>87</v>
      </c>
      <c r="AD1069">
        <v>36</v>
      </c>
      <c r="AE1069">
        <v>9</v>
      </c>
      <c r="AF1069">
        <v>3</v>
      </c>
      <c r="AG1069">
        <v>2025</v>
      </c>
      <c r="AH1069" s="2">
        <v>27500</v>
      </c>
      <c r="AI1069" s="2">
        <v>28869.80078125</v>
      </c>
      <c r="AJ1069" s="2">
        <f t="shared" si="130"/>
        <v>1369.80078125</v>
      </c>
      <c r="AK1069" s="6">
        <f t="shared" si="131"/>
        <v>4.9810937499999999E-2</v>
      </c>
      <c r="AL1069" s="12">
        <v>27500</v>
      </c>
      <c r="AM1069" s="12">
        <v>33820.316885429427</v>
      </c>
      <c r="AN1069" s="12">
        <f t="shared" si="132"/>
        <v>6320.3168854294272</v>
      </c>
      <c r="AO1069" s="13">
        <f t="shared" si="133"/>
        <v>0.22982970492470645</v>
      </c>
      <c r="AP1069" s="16">
        <v>27500</v>
      </c>
      <c r="AQ1069" s="16">
        <v>28901.31000808411</v>
      </c>
      <c r="AR1069" s="16">
        <f t="shared" si="134"/>
        <v>1401.3100080841104</v>
      </c>
      <c r="AS1069" s="17">
        <f t="shared" si="128"/>
        <v>5.0956727566694927E-2</v>
      </c>
      <c r="AT1069" s="20">
        <v>27500</v>
      </c>
      <c r="AU1069" s="20">
        <v>29238.80078125</v>
      </c>
      <c r="AV1069" s="20">
        <f t="shared" si="129"/>
        <v>1738.80078125</v>
      </c>
      <c r="AW1069" s="21">
        <f t="shared" si="135"/>
        <v>6.3229119318181815E-2</v>
      </c>
    </row>
    <row r="1070" spans="1:49" x14ac:dyDescent="0.25">
      <c r="A1070" t="s">
        <v>38</v>
      </c>
      <c r="B1070" t="s">
        <v>110</v>
      </c>
      <c r="C1070">
        <v>134050</v>
      </c>
      <c r="D1070">
        <v>2020</v>
      </c>
      <c r="E1070" t="s">
        <v>58</v>
      </c>
      <c r="F1070" t="s">
        <v>243</v>
      </c>
      <c r="G1070" t="s">
        <v>1199</v>
      </c>
      <c r="I1070">
        <v>4</v>
      </c>
      <c r="J1070" t="s">
        <v>135</v>
      </c>
      <c r="K1070">
        <v>4</v>
      </c>
      <c r="L1070" t="s">
        <v>44</v>
      </c>
      <c r="M1070">
        <v>2</v>
      </c>
      <c r="N1070" t="s">
        <v>45</v>
      </c>
      <c r="Q1070" t="s">
        <v>47</v>
      </c>
      <c r="R1070" t="s">
        <v>123</v>
      </c>
      <c r="T1070">
        <v>147</v>
      </c>
      <c r="U1070" t="s">
        <v>50</v>
      </c>
      <c r="W1070" t="s">
        <v>463</v>
      </c>
      <c r="X1070" t="s">
        <v>125</v>
      </c>
      <c r="Y1070" t="s">
        <v>126</v>
      </c>
      <c r="AA1070">
        <v>0</v>
      </c>
      <c r="AB1070" t="s">
        <v>79</v>
      </c>
      <c r="AC1070" t="s">
        <v>127</v>
      </c>
      <c r="AD1070">
        <v>36</v>
      </c>
      <c r="AE1070">
        <v>9</v>
      </c>
      <c r="AF1070">
        <v>3</v>
      </c>
      <c r="AG1070">
        <v>2025</v>
      </c>
      <c r="AH1070" s="2">
        <v>4250</v>
      </c>
      <c r="AI1070" s="2">
        <v>4384.658203125</v>
      </c>
      <c r="AJ1070" s="2">
        <f t="shared" si="130"/>
        <v>134.658203125</v>
      </c>
      <c r="AK1070" s="6">
        <f t="shared" si="131"/>
        <v>3.1684283088235295E-2</v>
      </c>
      <c r="AL1070" s="12">
        <v>4250</v>
      </c>
      <c r="AM1070" s="12">
        <v>4766.6085890164677</v>
      </c>
      <c r="AN1070" s="12">
        <f t="shared" si="132"/>
        <v>516.6085890164677</v>
      </c>
      <c r="AO1070" s="13">
        <f t="shared" si="133"/>
        <v>0.12155496212152181</v>
      </c>
      <c r="AP1070" s="16">
        <v>4250</v>
      </c>
      <c r="AQ1070" s="16">
        <v>3967.188128253882</v>
      </c>
      <c r="AR1070" s="16">
        <f t="shared" si="134"/>
        <v>282.81187174611796</v>
      </c>
      <c r="AS1070" s="17">
        <f t="shared" si="128"/>
        <v>6.6543969822615984E-2</v>
      </c>
      <c r="AT1070" s="20">
        <v>4250</v>
      </c>
      <c r="AU1070" s="20">
        <v>4465.740234375</v>
      </c>
      <c r="AV1070" s="20">
        <f t="shared" si="129"/>
        <v>215.740234375</v>
      </c>
      <c r="AW1070" s="21">
        <f t="shared" si="135"/>
        <v>5.0762408088235296E-2</v>
      </c>
    </row>
    <row r="1071" spans="1:49" x14ac:dyDescent="0.25">
      <c r="A1071" t="s">
        <v>114</v>
      </c>
      <c r="B1071" t="s">
        <v>340</v>
      </c>
      <c r="C1071">
        <v>125316</v>
      </c>
      <c r="D1071">
        <v>2002</v>
      </c>
      <c r="E1071" t="s">
        <v>97</v>
      </c>
      <c r="F1071" t="s">
        <v>419</v>
      </c>
      <c r="H1071" t="s">
        <v>781</v>
      </c>
      <c r="I1071">
        <v>8</v>
      </c>
      <c r="J1071" t="s">
        <v>61</v>
      </c>
      <c r="K1071">
        <v>4</v>
      </c>
      <c r="L1071" t="s">
        <v>44</v>
      </c>
      <c r="M1071">
        <v>5.3</v>
      </c>
      <c r="N1071" t="s">
        <v>91</v>
      </c>
      <c r="O1071" t="s">
        <v>46</v>
      </c>
      <c r="P1071">
        <v>3</v>
      </c>
      <c r="Q1071" t="s">
        <v>62</v>
      </c>
      <c r="R1071" t="s">
        <v>63</v>
      </c>
      <c r="S1071" t="s">
        <v>93</v>
      </c>
      <c r="U1071" t="s">
        <v>180</v>
      </c>
      <c r="V1071" t="s">
        <v>76</v>
      </c>
      <c r="W1071" t="s">
        <v>1200</v>
      </c>
      <c r="X1071" t="s">
        <v>94</v>
      </c>
      <c r="Y1071" t="s">
        <v>78</v>
      </c>
      <c r="AA1071">
        <v>0</v>
      </c>
      <c r="AB1071" t="s">
        <v>79</v>
      </c>
      <c r="AC1071" t="s">
        <v>87</v>
      </c>
      <c r="AD1071">
        <v>36</v>
      </c>
      <c r="AE1071">
        <v>9</v>
      </c>
      <c r="AF1071">
        <v>3</v>
      </c>
      <c r="AG1071">
        <v>2025</v>
      </c>
      <c r="AH1071" s="2">
        <v>1250</v>
      </c>
      <c r="AI1071" s="2">
        <v>1682.621459960938</v>
      </c>
      <c r="AJ1071" s="2">
        <f t="shared" si="130"/>
        <v>432.62145996093795</v>
      </c>
      <c r="AK1071" s="6">
        <f t="shared" si="131"/>
        <v>0.34609716796875034</v>
      </c>
      <c r="AL1071" s="12">
        <v>1250</v>
      </c>
      <c r="AM1071" s="12">
        <v>1715.897505051307</v>
      </c>
      <c r="AN1071" s="12">
        <f t="shared" si="132"/>
        <v>465.89750505130701</v>
      </c>
      <c r="AO1071" s="13">
        <f t="shared" si="133"/>
        <v>0.3727180040410456</v>
      </c>
      <c r="AP1071" s="16">
        <v>1250</v>
      </c>
      <c r="AQ1071" s="16">
        <v>1382.5830186060521</v>
      </c>
      <c r="AR1071" s="16">
        <f t="shared" si="134"/>
        <v>132.58301860605206</v>
      </c>
      <c r="AS1071" s="17">
        <f t="shared" si="128"/>
        <v>0.10606641488484166</v>
      </c>
      <c r="AT1071" s="20">
        <v>1250</v>
      </c>
      <c r="AU1071" s="20">
        <v>1688.868408203125</v>
      </c>
      <c r="AV1071" s="20">
        <f t="shared" si="129"/>
        <v>438.868408203125</v>
      </c>
      <c r="AW1071" s="21">
        <f t="shared" si="135"/>
        <v>0.35109472656250001</v>
      </c>
    </row>
    <row r="1072" spans="1:49" x14ac:dyDescent="0.25">
      <c r="A1072" t="s">
        <v>38</v>
      </c>
      <c r="B1072" t="s">
        <v>110</v>
      </c>
      <c r="C1072">
        <v>54243</v>
      </c>
      <c r="D1072">
        <v>2018</v>
      </c>
      <c r="E1072" t="s">
        <v>162</v>
      </c>
      <c r="F1072" t="s">
        <v>674</v>
      </c>
      <c r="G1072" t="s">
        <v>1201</v>
      </c>
      <c r="I1072">
        <v>4</v>
      </c>
      <c r="J1072" t="s">
        <v>135</v>
      </c>
      <c r="K1072">
        <v>4</v>
      </c>
      <c r="L1072" t="s">
        <v>44</v>
      </c>
      <c r="M1072">
        <v>1.6</v>
      </c>
      <c r="N1072" t="s">
        <v>45</v>
      </c>
      <c r="Q1072" t="s">
        <v>62</v>
      </c>
      <c r="R1072" t="s">
        <v>63</v>
      </c>
      <c r="S1072" t="s">
        <v>49</v>
      </c>
      <c r="T1072">
        <v>175</v>
      </c>
      <c r="U1072" t="s">
        <v>50</v>
      </c>
      <c r="W1072" t="s">
        <v>726</v>
      </c>
      <c r="X1072" t="s">
        <v>65</v>
      </c>
      <c r="Y1072" t="s">
        <v>66</v>
      </c>
      <c r="Z1072">
        <v>23800</v>
      </c>
      <c r="AA1072">
        <v>0</v>
      </c>
      <c r="AB1072" t="s">
        <v>79</v>
      </c>
      <c r="AC1072" t="s">
        <v>87</v>
      </c>
      <c r="AD1072">
        <v>36</v>
      </c>
      <c r="AE1072">
        <v>9</v>
      </c>
      <c r="AF1072">
        <v>3</v>
      </c>
      <c r="AG1072">
        <v>2025</v>
      </c>
      <c r="AH1072" s="2">
        <v>12000</v>
      </c>
      <c r="AI1072" s="2">
        <v>11058.5068359375</v>
      </c>
      <c r="AJ1072" s="2">
        <f t="shared" si="130"/>
        <v>941.4931640625</v>
      </c>
      <c r="AK1072" s="6">
        <f t="shared" si="131"/>
        <v>7.8457763671875E-2</v>
      </c>
      <c r="AL1072" s="12">
        <v>12000</v>
      </c>
      <c r="AM1072" s="12">
        <v>10169.63462451096</v>
      </c>
      <c r="AN1072" s="12">
        <f t="shared" si="132"/>
        <v>1830.3653754890402</v>
      </c>
      <c r="AO1072" s="13">
        <f t="shared" si="133"/>
        <v>0.15253044795742002</v>
      </c>
      <c r="AP1072" s="16">
        <v>12000</v>
      </c>
      <c r="AQ1072" s="16">
        <v>9300.8790419096676</v>
      </c>
      <c r="AR1072" s="16">
        <f t="shared" si="134"/>
        <v>2699.1209580903324</v>
      </c>
      <c r="AS1072" s="17">
        <f t="shared" si="128"/>
        <v>0.2249267465075277</v>
      </c>
      <c r="AT1072" s="20">
        <v>12000</v>
      </c>
      <c r="AU1072" s="20">
        <v>10974.9208984375</v>
      </c>
      <c r="AV1072" s="20">
        <f t="shared" si="129"/>
        <v>1025.0791015625</v>
      </c>
      <c r="AW1072" s="21">
        <f t="shared" si="135"/>
        <v>8.5423258463541665E-2</v>
      </c>
    </row>
    <row r="1073" spans="1:49" x14ac:dyDescent="0.25">
      <c r="A1073" t="s">
        <v>38</v>
      </c>
      <c r="B1073" t="s">
        <v>96</v>
      </c>
      <c r="C1073">
        <v>176507</v>
      </c>
      <c r="D1073">
        <v>2010</v>
      </c>
      <c r="E1073" t="s">
        <v>116</v>
      </c>
      <c r="F1073" t="s">
        <v>697</v>
      </c>
      <c r="G1073" t="s">
        <v>89</v>
      </c>
      <c r="H1073" t="s">
        <v>1202</v>
      </c>
      <c r="I1073">
        <v>8</v>
      </c>
      <c r="J1073" t="s">
        <v>135</v>
      </c>
      <c r="K1073">
        <v>4</v>
      </c>
      <c r="L1073" t="s">
        <v>44</v>
      </c>
      <c r="M1073">
        <v>5.7</v>
      </c>
      <c r="N1073" t="s">
        <v>91</v>
      </c>
      <c r="O1073" t="s">
        <v>46</v>
      </c>
      <c r="Q1073" t="s">
        <v>74</v>
      </c>
      <c r="R1073" t="s">
        <v>92</v>
      </c>
      <c r="S1073" t="s">
        <v>93</v>
      </c>
      <c r="U1073" t="s">
        <v>50</v>
      </c>
      <c r="X1073" t="s">
        <v>94</v>
      </c>
      <c r="Y1073" t="s">
        <v>78</v>
      </c>
      <c r="AA1073">
        <v>0</v>
      </c>
      <c r="AB1073" t="s">
        <v>79</v>
      </c>
      <c r="AC1073" t="s">
        <v>95</v>
      </c>
      <c r="AD1073">
        <v>36</v>
      </c>
      <c r="AE1073">
        <v>9</v>
      </c>
      <c r="AF1073">
        <v>3</v>
      </c>
      <c r="AG1073">
        <v>2025</v>
      </c>
      <c r="AH1073" s="2">
        <v>7200</v>
      </c>
      <c r="AI1073" s="2">
        <v>5185.41357421875</v>
      </c>
      <c r="AJ1073" s="2">
        <f t="shared" si="130"/>
        <v>2014.58642578125</v>
      </c>
      <c r="AK1073" s="6">
        <f t="shared" si="131"/>
        <v>0.27980367024739583</v>
      </c>
      <c r="AL1073" s="12">
        <v>7200</v>
      </c>
      <c r="AM1073" s="12">
        <v>4033.922303734053</v>
      </c>
      <c r="AN1073" s="12">
        <f t="shared" si="132"/>
        <v>3166.077696265947</v>
      </c>
      <c r="AO1073" s="13">
        <f t="shared" si="133"/>
        <v>0.43973301337027043</v>
      </c>
      <c r="AP1073" s="16">
        <v>7200</v>
      </c>
      <c r="AQ1073" s="16">
        <v>3953.3273453049492</v>
      </c>
      <c r="AR1073" s="16">
        <f t="shared" si="134"/>
        <v>3246.6726546950508</v>
      </c>
      <c r="AS1073" s="17">
        <f t="shared" si="128"/>
        <v>0.45092675759653483</v>
      </c>
      <c r="AT1073" s="20">
        <v>7200</v>
      </c>
      <c r="AU1073" s="20">
        <v>5141.8046875</v>
      </c>
      <c r="AV1073" s="20">
        <f t="shared" si="129"/>
        <v>2058.1953125</v>
      </c>
      <c r="AW1073" s="21">
        <f t="shared" si="135"/>
        <v>0.28586046006944443</v>
      </c>
    </row>
    <row r="1074" spans="1:49" x14ac:dyDescent="0.25">
      <c r="A1074" t="s">
        <v>38</v>
      </c>
      <c r="B1074" t="s">
        <v>39</v>
      </c>
      <c r="C1074">
        <v>143633</v>
      </c>
      <c r="D1074">
        <v>2010</v>
      </c>
      <c r="E1074" t="s">
        <v>97</v>
      </c>
      <c r="F1074" t="s">
        <v>98</v>
      </c>
      <c r="G1074" t="s">
        <v>590</v>
      </c>
      <c r="I1074">
        <v>4</v>
      </c>
      <c r="J1074" t="s">
        <v>72</v>
      </c>
      <c r="K1074">
        <v>4</v>
      </c>
      <c r="L1074" t="s">
        <v>44</v>
      </c>
      <c r="M1074">
        <v>2.4</v>
      </c>
      <c r="N1074" t="s">
        <v>45</v>
      </c>
      <c r="O1074" t="s">
        <v>190</v>
      </c>
      <c r="P1074">
        <v>2</v>
      </c>
      <c r="Q1074" t="s">
        <v>62</v>
      </c>
      <c r="R1074" t="s">
        <v>63</v>
      </c>
      <c r="S1074" t="s">
        <v>101</v>
      </c>
      <c r="U1074" t="s">
        <v>50</v>
      </c>
      <c r="W1074" t="s">
        <v>102</v>
      </c>
      <c r="X1074" t="s">
        <v>65</v>
      </c>
      <c r="Y1074" t="s">
        <v>103</v>
      </c>
      <c r="AA1074">
        <v>0</v>
      </c>
      <c r="AB1074" t="s">
        <v>79</v>
      </c>
      <c r="AC1074" t="s">
        <v>87</v>
      </c>
      <c r="AD1074">
        <v>36</v>
      </c>
      <c r="AE1074">
        <v>9</v>
      </c>
      <c r="AF1074">
        <v>3</v>
      </c>
      <c r="AG1074">
        <v>2025</v>
      </c>
      <c r="AH1074" s="2">
        <v>500</v>
      </c>
      <c r="AI1074" s="2">
        <v>680.26416015625</v>
      </c>
      <c r="AJ1074" s="2">
        <f t="shared" si="130"/>
        <v>180.26416015625</v>
      </c>
      <c r="AK1074" s="6">
        <f t="shared" si="131"/>
        <v>0.36052832031249998</v>
      </c>
      <c r="AL1074" s="12">
        <v>500</v>
      </c>
      <c r="AM1074" s="12">
        <v>672.3653482456732</v>
      </c>
      <c r="AN1074" s="12">
        <f t="shared" si="132"/>
        <v>172.3653482456732</v>
      </c>
      <c r="AO1074" s="13">
        <f t="shared" si="133"/>
        <v>0.34473069649134641</v>
      </c>
      <c r="AP1074" s="16">
        <v>500</v>
      </c>
      <c r="AQ1074" s="16">
        <v>629.8099938266862</v>
      </c>
      <c r="AR1074" s="16">
        <f t="shared" si="134"/>
        <v>129.8099938266862</v>
      </c>
      <c r="AS1074" s="17">
        <f t="shared" si="128"/>
        <v>0.25961998765337241</v>
      </c>
      <c r="AT1074" s="20">
        <v>500</v>
      </c>
      <c r="AU1074" s="20">
        <v>648.20440673828125</v>
      </c>
      <c r="AV1074" s="20">
        <f t="shared" si="129"/>
        <v>148.20440673828125</v>
      </c>
      <c r="AW1074" s="21">
        <f t="shared" si="135"/>
        <v>0.2964088134765625</v>
      </c>
    </row>
    <row r="1075" spans="1:49" x14ac:dyDescent="0.25">
      <c r="A1075" t="s">
        <v>38</v>
      </c>
      <c r="B1075" t="s">
        <v>110</v>
      </c>
      <c r="C1075">
        <v>86409</v>
      </c>
      <c r="D1075">
        <v>2020</v>
      </c>
      <c r="E1075" t="s">
        <v>146</v>
      </c>
      <c r="F1075" t="s">
        <v>334</v>
      </c>
      <c r="G1075" t="s">
        <v>303</v>
      </c>
      <c r="I1075">
        <v>4</v>
      </c>
      <c r="J1075" t="s">
        <v>43</v>
      </c>
      <c r="K1075">
        <v>4</v>
      </c>
      <c r="L1075" t="s">
        <v>44</v>
      </c>
      <c r="M1075">
        <v>2.5</v>
      </c>
      <c r="N1075" t="s">
        <v>45</v>
      </c>
      <c r="Q1075" t="s">
        <v>47</v>
      </c>
      <c r="R1075" t="s">
        <v>123</v>
      </c>
      <c r="S1075" t="s">
        <v>49</v>
      </c>
      <c r="U1075" t="s">
        <v>50</v>
      </c>
      <c r="X1075" t="s">
        <v>125</v>
      </c>
      <c r="Y1075" t="s">
        <v>78</v>
      </c>
      <c r="Z1075">
        <v>243000</v>
      </c>
      <c r="AA1075">
        <v>0</v>
      </c>
      <c r="AB1075" t="s">
        <v>79</v>
      </c>
      <c r="AC1075" t="s">
        <v>127</v>
      </c>
      <c r="AD1075">
        <v>36</v>
      </c>
      <c r="AE1075">
        <v>9</v>
      </c>
      <c r="AF1075">
        <v>3</v>
      </c>
      <c r="AG1075">
        <v>2025</v>
      </c>
      <c r="AH1075" s="2">
        <v>4600</v>
      </c>
      <c r="AI1075" s="2">
        <v>9031.318359375</v>
      </c>
      <c r="AJ1075" s="2">
        <f t="shared" si="130"/>
        <v>4431.318359375</v>
      </c>
      <c r="AK1075" s="6">
        <f t="shared" si="131"/>
        <v>0.96333007812500004</v>
      </c>
      <c r="AL1075" s="12">
        <v>4600</v>
      </c>
      <c r="AM1075" s="12">
        <v>8903.7350678915245</v>
      </c>
      <c r="AN1075" s="12">
        <f t="shared" si="132"/>
        <v>4303.7350678915245</v>
      </c>
      <c r="AO1075" s="13">
        <f t="shared" si="133"/>
        <v>0.93559457997641837</v>
      </c>
      <c r="AP1075" s="16">
        <v>4600</v>
      </c>
      <c r="AQ1075" s="16">
        <v>8134.7542974204434</v>
      </c>
      <c r="AR1075" s="16">
        <f t="shared" si="134"/>
        <v>3534.7542974204434</v>
      </c>
      <c r="AS1075" s="17">
        <f t="shared" si="128"/>
        <v>0.76842484726531379</v>
      </c>
      <c r="AT1075" s="20">
        <v>4600</v>
      </c>
      <c r="AU1075" s="20">
        <v>9136.2548828125</v>
      </c>
      <c r="AV1075" s="20">
        <f t="shared" si="129"/>
        <v>4536.2548828125</v>
      </c>
      <c r="AW1075" s="21">
        <f t="shared" si="135"/>
        <v>0.98614236582880432</v>
      </c>
    </row>
    <row r="1076" spans="1:49" x14ac:dyDescent="0.25">
      <c r="A1076" t="s">
        <v>128</v>
      </c>
      <c r="B1076" t="s">
        <v>210</v>
      </c>
      <c r="C1076">
        <v>117197</v>
      </c>
      <c r="D1076">
        <v>2014</v>
      </c>
      <c r="E1076" t="s">
        <v>515</v>
      </c>
      <c r="F1076" t="s">
        <v>516</v>
      </c>
      <c r="G1076" t="s">
        <v>1203</v>
      </c>
      <c r="I1076">
        <v>4</v>
      </c>
      <c r="J1076" t="s">
        <v>61</v>
      </c>
      <c r="K1076">
        <v>4</v>
      </c>
      <c r="L1076" t="s">
        <v>44</v>
      </c>
      <c r="M1076">
        <v>2</v>
      </c>
      <c r="N1076" t="s">
        <v>44</v>
      </c>
      <c r="O1076" t="s">
        <v>46</v>
      </c>
      <c r="Q1076" t="s">
        <v>62</v>
      </c>
      <c r="R1076" t="s">
        <v>63</v>
      </c>
      <c r="T1076">
        <v>220</v>
      </c>
      <c r="U1076" t="s">
        <v>50</v>
      </c>
      <c r="W1076" t="s">
        <v>1204</v>
      </c>
      <c r="X1076" t="s">
        <v>141</v>
      </c>
      <c r="Y1076" t="s">
        <v>137</v>
      </c>
      <c r="AA1076">
        <v>0</v>
      </c>
      <c r="AB1076" t="s">
        <v>79</v>
      </c>
      <c r="AC1076" t="s">
        <v>87</v>
      </c>
      <c r="AD1076">
        <v>36</v>
      </c>
      <c r="AE1076">
        <v>9</v>
      </c>
      <c r="AF1076">
        <v>3</v>
      </c>
      <c r="AG1076">
        <v>2025</v>
      </c>
      <c r="AH1076" s="2">
        <v>2500</v>
      </c>
      <c r="AI1076" s="2">
        <v>5184.33056640625</v>
      </c>
      <c r="AJ1076" s="2">
        <f t="shared" si="130"/>
        <v>2684.33056640625</v>
      </c>
      <c r="AK1076" s="6">
        <f t="shared" si="131"/>
        <v>1.0737322265625</v>
      </c>
      <c r="AL1076" s="12">
        <v>2500</v>
      </c>
      <c r="AM1076" s="12">
        <v>4755.7355871149757</v>
      </c>
      <c r="AN1076" s="12">
        <f t="shared" si="132"/>
        <v>2255.7355871149757</v>
      </c>
      <c r="AO1076" s="13">
        <f t="shared" si="133"/>
        <v>0.90229423484599025</v>
      </c>
      <c r="AP1076" s="16">
        <v>2500</v>
      </c>
      <c r="AQ1076" s="16">
        <v>4383.5564329092267</v>
      </c>
      <c r="AR1076" s="16">
        <f t="shared" si="134"/>
        <v>1883.5564329092267</v>
      </c>
      <c r="AS1076" s="17">
        <f t="shared" si="128"/>
        <v>0.75342257316369066</v>
      </c>
      <c r="AT1076" s="20">
        <v>2500</v>
      </c>
      <c r="AU1076" s="20">
        <v>5217.947265625</v>
      </c>
      <c r="AV1076" s="20">
        <f t="shared" si="129"/>
        <v>2717.947265625</v>
      </c>
      <c r="AW1076" s="21">
        <f t="shared" si="135"/>
        <v>1.0871789062499999</v>
      </c>
    </row>
    <row r="1077" spans="1:49" x14ac:dyDescent="0.25">
      <c r="A1077" t="s">
        <v>38</v>
      </c>
      <c r="B1077" t="s">
        <v>96</v>
      </c>
      <c r="C1077">
        <v>64832</v>
      </c>
      <c r="D1077">
        <v>2019</v>
      </c>
      <c r="E1077" t="s">
        <v>142</v>
      </c>
      <c r="F1077" t="s">
        <v>633</v>
      </c>
      <c r="G1077" t="s">
        <v>1004</v>
      </c>
      <c r="I1077">
        <v>4</v>
      </c>
      <c r="J1077" t="s">
        <v>61</v>
      </c>
      <c r="K1077">
        <v>4</v>
      </c>
      <c r="L1077" t="s">
        <v>44</v>
      </c>
      <c r="M1077">
        <v>2</v>
      </c>
      <c r="N1077" t="s">
        <v>91</v>
      </c>
      <c r="O1077" t="s">
        <v>46</v>
      </c>
      <c r="P1077">
        <v>2</v>
      </c>
      <c r="Q1077" t="s">
        <v>62</v>
      </c>
      <c r="R1077" t="s">
        <v>63</v>
      </c>
      <c r="S1077" t="s">
        <v>93</v>
      </c>
      <c r="T1077">
        <v>270</v>
      </c>
      <c r="U1077" t="s">
        <v>50</v>
      </c>
      <c r="V1077" t="s">
        <v>51</v>
      </c>
      <c r="X1077" t="s">
        <v>141</v>
      </c>
      <c r="Y1077" t="s">
        <v>78</v>
      </c>
      <c r="AA1077">
        <v>0</v>
      </c>
      <c r="AB1077" t="s">
        <v>79</v>
      </c>
      <c r="AC1077" t="s">
        <v>87</v>
      </c>
      <c r="AD1077">
        <v>36</v>
      </c>
      <c r="AE1077">
        <v>9</v>
      </c>
      <c r="AF1077">
        <v>3</v>
      </c>
      <c r="AG1077">
        <v>2025</v>
      </c>
      <c r="AH1077" s="2">
        <v>20200</v>
      </c>
      <c r="AI1077" s="2">
        <v>18115.55859375</v>
      </c>
      <c r="AJ1077" s="2">
        <f t="shared" si="130"/>
        <v>2084.44140625</v>
      </c>
      <c r="AK1077" s="6">
        <f t="shared" si="131"/>
        <v>0.10319016862623763</v>
      </c>
      <c r="AL1077" s="12">
        <v>20200</v>
      </c>
      <c r="AM1077" s="12">
        <v>15831.26031092564</v>
      </c>
      <c r="AN1077" s="12">
        <f t="shared" si="132"/>
        <v>4368.7396890743603</v>
      </c>
      <c r="AO1077" s="13">
        <f t="shared" si="133"/>
        <v>0.21627424203338416</v>
      </c>
      <c r="AP1077" s="16">
        <v>20200</v>
      </c>
      <c r="AQ1077" s="16">
        <v>16343.926455163901</v>
      </c>
      <c r="AR1077" s="16">
        <f t="shared" si="134"/>
        <v>3856.0735448360992</v>
      </c>
      <c r="AS1077" s="17">
        <f t="shared" si="128"/>
        <v>0.19089472994238116</v>
      </c>
      <c r="AT1077" s="20">
        <v>20200</v>
      </c>
      <c r="AU1077" s="20">
        <v>17396.51953125</v>
      </c>
      <c r="AV1077" s="20">
        <f t="shared" si="129"/>
        <v>2803.48046875</v>
      </c>
      <c r="AW1077" s="21">
        <f t="shared" si="135"/>
        <v>0.13878616181930692</v>
      </c>
    </row>
    <row r="1078" spans="1:49" x14ac:dyDescent="0.25">
      <c r="A1078" t="s">
        <v>81</v>
      </c>
      <c r="B1078" t="s">
        <v>936</v>
      </c>
      <c r="C1078">
        <v>33359</v>
      </c>
      <c r="D1078">
        <v>2024</v>
      </c>
      <c r="E1078" t="s">
        <v>119</v>
      </c>
      <c r="F1078" t="s">
        <v>958</v>
      </c>
      <c r="G1078" t="s">
        <v>1205</v>
      </c>
      <c r="I1078">
        <v>4</v>
      </c>
      <c r="J1078" t="s">
        <v>61</v>
      </c>
      <c r="K1078">
        <v>4</v>
      </c>
      <c r="L1078" t="s">
        <v>44</v>
      </c>
      <c r="M1078">
        <v>2</v>
      </c>
      <c r="N1078" t="s">
        <v>45</v>
      </c>
      <c r="O1078" t="s">
        <v>46</v>
      </c>
      <c r="P1078">
        <v>4</v>
      </c>
      <c r="Q1078" t="s">
        <v>62</v>
      </c>
      <c r="R1078" t="s">
        <v>63</v>
      </c>
      <c r="S1078" t="s">
        <v>101</v>
      </c>
      <c r="T1078">
        <v>184</v>
      </c>
      <c r="U1078" t="s">
        <v>50</v>
      </c>
      <c r="W1078" t="s">
        <v>337</v>
      </c>
      <c r="X1078" t="s">
        <v>141</v>
      </c>
      <c r="Y1078" t="s">
        <v>126</v>
      </c>
      <c r="AA1078">
        <v>0</v>
      </c>
      <c r="AB1078" t="s">
        <v>79</v>
      </c>
      <c r="AC1078" t="s">
        <v>87</v>
      </c>
      <c r="AD1078">
        <v>36</v>
      </c>
      <c r="AE1078">
        <v>9</v>
      </c>
      <c r="AF1078">
        <v>3</v>
      </c>
      <c r="AG1078">
        <v>2025</v>
      </c>
      <c r="AH1078" s="2">
        <v>19500</v>
      </c>
      <c r="AI1078" s="2">
        <v>18758.375</v>
      </c>
      <c r="AJ1078" s="2">
        <f t="shared" si="130"/>
        <v>741.625</v>
      </c>
      <c r="AK1078" s="6">
        <f t="shared" si="131"/>
        <v>3.8032051282051282E-2</v>
      </c>
      <c r="AL1078" s="12">
        <v>19500</v>
      </c>
      <c r="AM1078" s="12">
        <v>20386.81981740837</v>
      </c>
      <c r="AN1078" s="12">
        <f t="shared" si="132"/>
        <v>886.81981740837</v>
      </c>
      <c r="AO1078" s="13">
        <f t="shared" si="133"/>
        <v>4.5477939354275382E-2</v>
      </c>
      <c r="AP1078" s="16">
        <v>19500</v>
      </c>
      <c r="AQ1078" s="16">
        <v>20650.91609676724</v>
      </c>
      <c r="AR1078" s="16">
        <f t="shared" si="134"/>
        <v>1150.9160967672397</v>
      </c>
      <c r="AS1078" s="17">
        <f t="shared" si="128"/>
        <v>5.9021338295755878E-2</v>
      </c>
      <c r="AT1078" s="20">
        <v>19500</v>
      </c>
      <c r="AU1078" s="20">
        <v>19001.91015625</v>
      </c>
      <c r="AV1078" s="20">
        <f t="shared" si="129"/>
        <v>498.08984375</v>
      </c>
      <c r="AW1078" s="21">
        <f t="shared" si="135"/>
        <v>2.5543068910256411E-2</v>
      </c>
    </row>
    <row r="1079" spans="1:49" x14ac:dyDescent="0.25">
      <c r="A1079" t="s">
        <v>38</v>
      </c>
      <c r="B1079" t="s">
        <v>39</v>
      </c>
      <c r="C1079">
        <v>153526</v>
      </c>
      <c r="D1079">
        <v>2015</v>
      </c>
      <c r="E1079" t="s">
        <v>286</v>
      </c>
      <c r="F1079" t="s">
        <v>1122</v>
      </c>
      <c r="G1079" t="s">
        <v>71</v>
      </c>
      <c r="H1079" t="s">
        <v>1123</v>
      </c>
      <c r="I1079">
        <v>6</v>
      </c>
      <c r="J1079" t="s">
        <v>106</v>
      </c>
      <c r="K1079">
        <v>4</v>
      </c>
      <c r="L1079" t="s">
        <v>44</v>
      </c>
      <c r="M1079">
        <v>2.5</v>
      </c>
      <c r="N1079" t="s">
        <v>73</v>
      </c>
      <c r="O1079" t="s">
        <v>46</v>
      </c>
      <c r="Q1079" t="s">
        <v>47</v>
      </c>
      <c r="R1079" t="s">
        <v>123</v>
      </c>
      <c r="S1079" t="s">
        <v>49</v>
      </c>
      <c r="T1079">
        <v>236</v>
      </c>
      <c r="U1079" t="s">
        <v>50</v>
      </c>
      <c r="V1079" t="s">
        <v>76</v>
      </c>
      <c r="W1079" t="s">
        <v>1124</v>
      </c>
      <c r="X1079" t="s">
        <v>125</v>
      </c>
      <c r="Y1079" t="s">
        <v>54</v>
      </c>
      <c r="AA1079">
        <v>0</v>
      </c>
      <c r="AB1079" t="s">
        <v>79</v>
      </c>
      <c r="AC1079" t="s">
        <v>127</v>
      </c>
      <c r="AD1079">
        <v>36</v>
      </c>
      <c r="AE1079">
        <v>9</v>
      </c>
      <c r="AF1079">
        <v>3</v>
      </c>
      <c r="AG1079">
        <v>2025</v>
      </c>
      <c r="AH1079" s="2">
        <v>9000</v>
      </c>
      <c r="AI1079" s="2">
        <v>7682.5537109375</v>
      </c>
      <c r="AJ1079" s="2">
        <f t="shared" si="130"/>
        <v>1317.4462890625</v>
      </c>
      <c r="AK1079" s="6">
        <f t="shared" si="131"/>
        <v>0.14638292100694444</v>
      </c>
      <c r="AL1079" s="12">
        <v>9000</v>
      </c>
      <c r="AM1079" s="12">
        <v>7998.6765541246459</v>
      </c>
      <c r="AN1079" s="12">
        <f t="shared" si="132"/>
        <v>1001.3234458753541</v>
      </c>
      <c r="AO1079" s="13">
        <f t="shared" si="133"/>
        <v>0.11125816065281711</v>
      </c>
      <c r="AP1079" s="16">
        <v>9000</v>
      </c>
      <c r="AQ1079" s="16">
        <v>5762.1473934783489</v>
      </c>
      <c r="AR1079" s="16">
        <f t="shared" si="134"/>
        <v>3237.8526065216511</v>
      </c>
      <c r="AS1079" s="17">
        <f t="shared" si="128"/>
        <v>0.35976140072462792</v>
      </c>
      <c r="AT1079" s="20">
        <v>9000</v>
      </c>
      <c r="AU1079" s="20">
        <v>7827.6748046875</v>
      </c>
      <c r="AV1079" s="20">
        <f t="shared" si="129"/>
        <v>1172.3251953125</v>
      </c>
      <c r="AW1079" s="21">
        <f t="shared" si="135"/>
        <v>0.13025835503472222</v>
      </c>
    </row>
    <row r="1080" spans="1:49" x14ac:dyDescent="0.25">
      <c r="A1080" t="s">
        <v>128</v>
      </c>
      <c r="B1080" t="s">
        <v>129</v>
      </c>
      <c r="C1080">
        <v>117342</v>
      </c>
      <c r="D1080">
        <v>2011</v>
      </c>
      <c r="E1080" t="s">
        <v>345</v>
      </c>
      <c r="F1080" t="s">
        <v>1206</v>
      </c>
      <c r="H1080" t="s">
        <v>1207</v>
      </c>
      <c r="I1080">
        <v>6</v>
      </c>
      <c r="J1080" t="s">
        <v>106</v>
      </c>
      <c r="K1080">
        <v>2</v>
      </c>
      <c r="L1080" t="s">
        <v>44</v>
      </c>
      <c r="M1080">
        <v>3</v>
      </c>
      <c r="N1080" t="s">
        <v>73</v>
      </c>
      <c r="O1080" t="s">
        <v>46</v>
      </c>
      <c r="Q1080" t="s">
        <v>47</v>
      </c>
      <c r="R1080" t="s">
        <v>530</v>
      </c>
      <c r="T1080">
        <v>230</v>
      </c>
      <c r="U1080" t="s">
        <v>50</v>
      </c>
      <c r="X1080" t="s">
        <v>125</v>
      </c>
      <c r="Y1080" t="s">
        <v>137</v>
      </c>
      <c r="AA1080">
        <v>0</v>
      </c>
      <c r="AB1080" t="s">
        <v>79</v>
      </c>
      <c r="AC1080" t="s">
        <v>531</v>
      </c>
      <c r="AD1080">
        <v>36</v>
      </c>
      <c r="AE1080">
        <v>9</v>
      </c>
      <c r="AF1080">
        <v>3</v>
      </c>
      <c r="AG1080">
        <v>2025</v>
      </c>
      <c r="AH1080" s="2">
        <v>1100</v>
      </c>
      <c r="AI1080" s="2">
        <v>3393.265869140625</v>
      </c>
      <c r="AJ1080" s="2">
        <f t="shared" si="130"/>
        <v>2293.265869140625</v>
      </c>
      <c r="AK1080" s="6">
        <f t="shared" si="131"/>
        <v>2.0847871537642044</v>
      </c>
      <c r="AL1080" s="12">
        <v>1100</v>
      </c>
      <c r="AM1080" s="12">
        <v>3792.4175129038158</v>
      </c>
      <c r="AN1080" s="12">
        <f t="shared" si="132"/>
        <v>2692.4175129038158</v>
      </c>
      <c r="AO1080" s="13">
        <f t="shared" si="133"/>
        <v>2.4476522844580142</v>
      </c>
      <c r="AP1080" s="16">
        <v>1100</v>
      </c>
      <c r="AQ1080" s="16">
        <v>2871.5251973549261</v>
      </c>
      <c r="AR1080" s="16">
        <f t="shared" si="134"/>
        <v>1771.5251973549261</v>
      </c>
      <c r="AS1080" s="17">
        <f t="shared" si="128"/>
        <v>1.610477452140842</v>
      </c>
      <c r="AT1080" s="20">
        <v>1100</v>
      </c>
      <c r="AU1080" s="20">
        <v>3431.57373046875</v>
      </c>
      <c r="AV1080" s="20">
        <f t="shared" si="129"/>
        <v>2331.57373046875</v>
      </c>
      <c r="AW1080" s="21">
        <f t="shared" si="135"/>
        <v>2.1196124822443183</v>
      </c>
    </row>
    <row r="1081" spans="1:49" x14ac:dyDescent="0.25">
      <c r="A1081" t="s">
        <v>38</v>
      </c>
      <c r="B1081" t="s">
        <v>39</v>
      </c>
      <c r="C1081">
        <v>146990</v>
      </c>
      <c r="D1081">
        <v>2015</v>
      </c>
      <c r="E1081" t="s">
        <v>97</v>
      </c>
      <c r="F1081" t="s">
        <v>159</v>
      </c>
      <c r="G1081" t="s">
        <v>1208</v>
      </c>
      <c r="H1081" t="s">
        <v>89</v>
      </c>
      <c r="I1081">
        <v>8</v>
      </c>
      <c r="J1081" t="s">
        <v>72</v>
      </c>
      <c r="K1081">
        <v>4</v>
      </c>
      <c r="L1081" t="s">
        <v>44</v>
      </c>
      <c r="M1081">
        <v>5.3</v>
      </c>
      <c r="N1081" t="s">
        <v>91</v>
      </c>
      <c r="O1081" t="s">
        <v>46</v>
      </c>
      <c r="P1081">
        <v>3</v>
      </c>
      <c r="Q1081" t="s">
        <v>74</v>
      </c>
      <c r="R1081" t="s">
        <v>92</v>
      </c>
      <c r="S1081" t="s">
        <v>93</v>
      </c>
      <c r="U1081" t="s">
        <v>50</v>
      </c>
      <c r="W1081" t="s">
        <v>473</v>
      </c>
      <c r="X1081" t="s">
        <v>108</v>
      </c>
      <c r="Y1081" t="s">
        <v>78</v>
      </c>
      <c r="AA1081">
        <v>0</v>
      </c>
      <c r="AB1081" t="s">
        <v>79</v>
      </c>
      <c r="AC1081" t="s">
        <v>95</v>
      </c>
      <c r="AD1081">
        <v>36</v>
      </c>
      <c r="AE1081">
        <v>9</v>
      </c>
      <c r="AF1081">
        <v>3</v>
      </c>
      <c r="AG1081">
        <v>2025</v>
      </c>
      <c r="AH1081" s="2">
        <v>6800</v>
      </c>
      <c r="AI1081" s="2">
        <v>8997.1435546875</v>
      </c>
      <c r="AJ1081" s="2">
        <f t="shared" si="130"/>
        <v>2197.1435546875</v>
      </c>
      <c r="AK1081" s="6">
        <f t="shared" si="131"/>
        <v>0.32310934627757354</v>
      </c>
      <c r="AL1081" s="12">
        <v>6800</v>
      </c>
      <c r="AM1081" s="12">
        <v>10290.90320197467</v>
      </c>
      <c r="AN1081" s="12">
        <f t="shared" si="132"/>
        <v>3490.9032019746701</v>
      </c>
      <c r="AO1081" s="13">
        <f t="shared" si="133"/>
        <v>0.51336811793745152</v>
      </c>
      <c r="AP1081" s="16">
        <v>6800</v>
      </c>
      <c r="AQ1081" s="16">
        <v>8510.4037928764465</v>
      </c>
      <c r="AR1081" s="16">
        <f t="shared" si="134"/>
        <v>1710.4037928764465</v>
      </c>
      <c r="AS1081" s="17">
        <f t="shared" si="128"/>
        <v>0.25152996954065387</v>
      </c>
      <c r="AT1081" s="20">
        <v>6800</v>
      </c>
      <c r="AU1081" s="20">
        <v>9402.3369140625</v>
      </c>
      <c r="AV1081" s="20">
        <f t="shared" si="129"/>
        <v>2602.3369140625</v>
      </c>
      <c r="AW1081" s="21">
        <f t="shared" si="135"/>
        <v>0.38269660500919117</v>
      </c>
    </row>
    <row r="1082" spans="1:49" x14ac:dyDescent="0.25">
      <c r="A1082" t="s">
        <v>38</v>
      </c>
      <c r="B1082" t="s">
        <v>68</v>
      </c>
      <c r="C1082">
        <v>70967</v>
      </c>
      <c r="D1082">
        <v>2022</v>
      </c>
      <c r="E1082" t="s">
        <v>88</v>
      </c>
      <c r="F1082" t="s">
        <v>89</v>
      </c>
      <c r="G1082" t="s">
        <v>262</v>
      </c>
      <c r="H1082" t="s">
        <v>921</v>
      </c>
      <c r="I1082">
        <v>6</v>
      </c>
      <c r="J1082" t="s">
        <v>72</v>
      </c>
      <c r="K1082">
        <v>4</v>
      </c>
      <c r="L1082" t="s">
        <v>44</v>
      </c>
      <c r="M1082">
        <v>3.6</v>
      </c>
      <c r="N1082" t="s">
        <v>91</v>
      </c>
      <c r="O1082" t="s">
        <v>46</v>
      </c>
      <c r="P1082">
        <v>4</v>
      </c>
      <c r="Q1082" t="s">
        <v>74</v>
      </c>
      <c r="R1082" t="s">
        <v>92</v>
      </c>
      <c r="S1082" t="s">
        <v>93</v>
      </c>
      <c r="T1082">
        <v>291</v>
      </c>
      <c r="U1082" t="s">
        <v>50</v>
      </c>
      <c r="V1082" t="s">
        <v>76</v>
      </c>
      <c r="X1082" t="s">
        <v>94</v>
      </c>
      <c r="Y1082" t="s">
        <v>126</v>
      </c>
      <c r="AA1082">
        <v>0</v>
      </c>
      <c r="AB1082" t="s">
        <v>79</v>
      </c>
      <c r="AC1082" t="s">
        <v>95</v>
      </c>
      <c r="AD1082">
        <v>36</v>
      </c>
      <c r="AE1082">
        <v>9</v>
      </c>
      <c r="AF1082">
        <v>3</v>
      </c>
      <c r="AG1082">
        <v>2025</v>
      </c>
      <c r="AH1082" s="2">
        <v>18500</v>
      </c>
      <c r="AI1082" s="2">
        <v>20793.798828125</v>
      </c>
      <c r="AJ1082" s="2">
        <f t="shared" si="130"/>
        <v>2293.798828125</v>
      </c>
      <c r="AK1082" s="6">
        <f t="shared" si="131"/>
        <v>0.12398912584459459</v>
      </c>
      <c r="AL1082" s="12">
        <v>18500</v>
      </c>
      <c r="AM1082" s="12">
        <v>24756.145107206288</v>
      </c>
      <c r="AN1082" s="12">
        <f t="shared" si="132"/>
        <v>6256.1451072062882</v>
      </c>
      <c r="AO1082" s="13">
        <f t="shared" si="133"/>
        <v>0.3381700057949345</v>
      </c>
      <c r="AP1082" s="16">
        <v>18500</v>
      </c>
      <c r="AQ1082" s="16">
        <v>23386.54694209528</v>
      </c>
      <c r="AR1082" s="16">
        <f t="shared" si="134"/>
        <v>4886.5469420952795</v>
      </c>
      <c r="AS1082" s="17">
        <f t="shared" si="128"/>
        <v>0.26413767254569076</v>
      </c>
      <c r="AT1082" s="20">
        <v>18500</v>
      </c>
      <c r="AU1082" s="20">
        <v>21422.552734375</v>
      </c>
      <c r="AV1082" s="20">
        <f t="shared" si="129"/>
        <v>2922.552734375</v>
      </c>
      <c r="AW1082" s="21">
        <f t="shared" si="135"/>
        <v>0.15797582347972974</v>
      </c>
    </row>
    <row r="1083" spans="1:49" x14ac:dyDescent="0.25">
      <c r="A1083" t="s">
        <v>38</v>
      </c>
      <c r="B1083" t="s">
        <v>110</v>
      </c>
      <c r="C1083">
        <v>148138</v>
      </c>
      <c r="D1083">
        <v>2013</v>
      </c>
      <c r="E1083" t="s">
        <v>146</v>
      </c>
      <c r="F1083" t="s">
        <v>279</v>
      </c>
      <c r="I1083">
        <v>4</v>
      </c>
      <c r="J1083" t="s">
        <v>135</v>
      </c>
      <c r="K1083">
        <v>4</v>
      </c>
      <c r="L1083" t="s">
        <v>44</v>
      </c>
      <c r="M1083">
        <v>1.8</v>
      </c>
      <c r="N1083" t="s">
        <v>45</v>
      </c>
      <c r="O1083" t="s">
        <v>46</v>
      </c>
      <c r="P1083">
        <v>2</v>
      </c>
      <c r="Q1083" t="s">
        <v>47</v>
      </c>
      <c r="R1083" t="s">
        <v>123</v>
      </c>
      <c r="S1083" t="s">
        <v>49</v>
      </c>
      <c r="U1083" t="s">
        <v>50</v>
      </c>
      <c r="X1083" t="s">
        <v>125</v>
      </c>
      <c r="Y1083" t="s">
        <v>126</v>
      </c>
      <c r="AA1083">
        <v>0</v>
      </c>
      <c r="AB1083" t="s">
        <v>79</v>
      </c>
      <c r="AC1083" t="s">
        <v>127</v>
      </c>
      <c r="AD1083">
        <v>36</v>
      </c>
      <c r="AE1083">
        <v>9</v>
      </c>
      <c r="AF1083">
        <v>3</v>
      </c>
      <c r="AG1083">
        <v>2025</v>
      </c>
      <c r="AH1083" s="2">
        <v>1000</v>
      </c>
      <c r="AI1083" s="2">
        <v>1021.358764648438</v>
      </c>
      <c r="AJ1083" s="2">
        <f t="shared" si="130"/>
        <v>21.358764648437955</v>
      </c>
      <c r="AK1083" s="6">
        <f t="shared" si="131"/>
        <v>2.1358764648437955E-2</v>
      </c>
      <c r="AL1083" s="12">
        <v>1000</v>
      </c>
      <c r="AM1083" s="12">
        <v>1140.6584627450441</v>
      </c>
      <c r="AN1083" s="12">
        <f t="shared" si="132"/>
        <v>140.65846274504406</v>
      </c>
      <c r="AO1083" s="13">
        <f t="shared" si="133"/>
        <v>0.14065846274504407</v>
      </c>
      <c r="AP1083" s="16">
        <v>1000</v>
      </c>
      <c r="AQ1083" s="16">
        <v>961.879873219307</v>
      </c>
      <c r="AR1083" s="16">
        <f t="shared" si="134"/>
        <v>38.120126780692999</v>
      </c>
      <c r="AS1083" s="17">
        <f t="shared" si="128"/>
        <v>3.8120126780693001E-2</v>
      </c>
      <c r="AT1083" s="20">
        <v>1000</v>
      </c>
      <c r="AU1083" s="20">
        <v>1010.398010253906</v>
      </c>
      <c r="AV1083" s="20">
        <f t="shared" si="129"/>
        <v>10.398010253906023</v>
      </c>
      <c r="AW1083" s="21">
        <f t="shared" si="135"/>
        <v>1.0398010253906022E-2</v>
      </c>
    </row>
    <row r="1084" spans="1:49" x14ac:dyDescent="0.25">
      <c r="A1084" t="s">
        <v>38</v>
      </c>
      <c r="B1084" t="s">
        <v>110</v>
      </c>
      <c r="C1084">
        <v>153608</v>
      </c>
      <c r="D1084">
        <v>2016</v>
      </c>
      <c r="E1084" t="s">
        <v>97</v>
      </c>
      <c r="F1084" t="s">
        <v>419</v>
      </c>
      <c r="G1084" t="s">
        <v>380</v>
      </c>
      <c r="I1084">
        <v>8</v>
      </c>
      <c r="J1084" t="s">
        <v>61</v>
      </c>
      <c r="K1084">
        <v>4</v>
      </c>
      <c r="L1084" t="s">
        <v>44</v>
      </c>
      <c r="M1084">
        <v>5.3</v>
      </c>
      <c r="N1084" t="s">
        <v>73</v>
      </c>
      <c r="Q1084" t="s">
        <v>62</v>
      </c>
      <c r="R1084" t="s">
        <v>63</v>
      </c>
      <c r="S1084" t="s">
        <v>49</v>
      </c>
      <c r="U1084" t="s">
        <v>50</v>
      </c>
      <c r="W1084" t="s">
        <v>450</v>
      </c>
      <c r="X1084" t="s">
        <v>108</v>
      </c>
      <c r="Y1084" t="s">
        <v>78</v>
      </c>
      <c r="AA1084">
        <v>0</v>
      </c>
      <c r="AB1084" t="s">
        <v>79</v>
      </c>
      <c r="AC1084" t="s">
        <v>87</v>
      </c>
      <c r="AD1084">
        <v>36</v>
      </c>
      <c r="AE1084">
        <v>9</v>
      </c>
      <c r="AF1084">
        <v>3</v>
      </c>
      <c r="AG1084">
        <v>2025</v>
      </c>
      <c r="AH1084" s="2">
        <v>10000</v>
      </c>
      <c r="AI1084" s="2">
        <v>10085.884765625</v>
      </c>
      <c r="AJ1084" s="2">
        <f t="shared" si="130"/>
        <v>85.884765625</v>
      </c>
      <c r="AK1084" s="6">
        <f t="shared" si="131"/>
        <v>8.5884765625000008E-3</v>
      </c>
      <c r="AL1084" s="12">
        <v>10000</v>
      </c>
      <c r="AM1084" s="12">
        <v>11526.48530290738</v>
      </c>
      <c r="AN1084" s="12">
        <f t="shared" si="132"/>
        <v>1526.4853029073802</v>
      </c>
      <c r="AO1084" s="13">
        <f t="shared" si="133"/>
        <v>0.15264853029073802</v>
      </c>
      <c r="AP1084" s="16">
        <v>10000</v>
      </c>
      <c r="AQ1084" s="16">
        <v>9170.4710162075389</v>
      </c>
      <c r="AR1084" s="16">
        <f t="shared" si="134"/>
        <v>829.52898379246108</v>
      </c>
      <c r="AS1084" s="17">
        <f t="shared" si="128"/>
        <v>8.2952898379246104E-2</v>
      </c>
      <c r="AT1084" s="20">
        <v>10000</v>
      </c>
      <c r="AU1084" s="20">
        <v>10504.267578125</v>
      </c>
      <c r="AV1084" s="20">
        <f t="shared" si="129"/>
        <v>504.267578125</v>
      </c>
      <c r="AW1084" s="21">
        <f t="shared" si="135"/>
        <v>5.04267578125E-2</v>
      </c>
    </row>
    <row r="1085" spans="1:49" x14ac:dyDescent="0.25">
      <c r="A1085" t="s">
        <v>38</v>
      </c>
      <c r="B1085" t="s">
        <v>110</v>
      </c>
      <c r="C1085">
        <v>127743</v>
      </c>
      <c r="D1085">
        <v>2013</v>
      </c>
      <c r="E1085" t="s">
        <v>146</v>
      </c>
      <c r="F1085" t="s">
        <v>147</v>
      </c>
      <c r="I1085">
        <v>4</v>
      </c>
      <c r="J1085" t="s">
        <v>135</v>
      </c>
      <c r="K1085">
        <v>4</v>
      </c>
      <c r="L1085" t="s">
        <v>44</v>
      </c>
      <c r="M1085">
        <v>2.5</v>
      </c>
      <c r="N1085" t="s">
        <v>45</v>
      </c>
      <c r="O1085" t="s">
        <v>46</v>
      </c>
      <c r="P1085">
        <v>2</v>
      </c>
      <c r="Q1085" t="s">
        <v>62</v>
      </c>
      <c r="R1085" t="s">
        <v>148</v>
      </c>
      <c r="S1085" t="s">
        <v>49</v>
      </c>
      <c r="U1085" t="s">
        <v>50</v>
      </c>
      <c r="X1085" t="s">
        <v>65</v>
      </c>
      <c r="Y1085" t="s">
        <v>54</v>
      </c>
      <c r="AA1085">
        <v>0</v>
      </c>
      <c r="AB1085" t="s">
        <v>79</v>
      </c>
      <c r="AC1085" t="s">
        <v>87</v>
      </c>
      <c r="AD1085">
        <v>36</v>
      </c>
      <c r="AE1085">
        <v>9</v>
      </c>
      <c r="AF1085">
        <v>3</v>
      </c>
      <c r="AG1085">
        <v>2025</v>
      </c>
      <c r="AH1085" s="2">
        <v>1000</v>
      </c>
      <c r="AI1085" s="2">
        <v>1394.401123046875</v>
      </c>
      <c r="AJ1085" s="2">
        <f t="shared" si="130"/>
        <v>394.401123046875</v>
      </c>
      <c r="AK1085" s="6">
        <f t="shared" si="131"/>
        <v>0.39440112304687502</v>
      </c>
      <c r="AL1085" s="12">
        <v>1000</v>
      </c>
      <c r="AM1085" s="12">
        <v>1840.1992686134131</v>
      </c>
      <c r="AN1085" s="12">
        <f t="shared" si="132"/>
        <v>840.1992686134131</v>
      </c>
      <c r="AO1085" s="13">
        <f t="shared" si="133"/>
        <v>0.8401992686134131</v>
      </c>
      <c r="AP1085" s="16">
        <v>1000</v>
      </c>
      <c r="AQ1085" s="16">
        <v>1639.7472695887629</v>
      </c>
      <c r="AR1085" s="16">
        <f t="shared" si="134"/>
        <v>639.74726958876295</v>
      </c>
      <c r="AS1085" s="17">
        <f t="shared" si="128"/>
        <v>0.63974726958876293</v>
      </c>
      <c r="AT1085" s="20">
        <v>1000</v>
      </c>
      <c r="AU1085" s="20">
        <v>1398.106201171875</v>
      </c>
      <c r="AV1085" s="20">
        <f t="shared" si="129"/>
        <v>398.106201171875</v>
      </c>
      <c r="AW1085" s="21">
        <f t="shared" si="135"/>
        <v>0.39810620117187501</v>
      </c>
    </row>
    <row r="1086" spans="1:49" x14ac:dyDescent="0.25">
      <c r="A1086" t="s">
        <v>38</v>
      </c>
      <c r="B1086" t="s">
        <v>96</v>
      </c>
      <c r="C1086">
        <v>70012</v>
      </c>
      <c r="D1086">
        <v>2021</v>
      </c>
      <c r="E1086" t="s">
        <v>146</v>
      </c>
      <c r="F1086" t="s">
        <v>279</v>
      </c>
      <c r="G1086" t="s">
        <v>280</v>
      </c>
      <c r="I1086">
        <v>4</v>
      </c>
      <c r="J1086" t="s">
        <v>106</v>
      </c>
      <c r="K1086">
        <v>4</v>
      </c>
      <c r="L1086" t="s">
        <v>44</v>
      </c>
      <c r="M1086">
        <v>2</v>
      </c>
      <c r="N1086" t="s">
        <v>45</v>
      </c>
      <c r="O1086" t="s">
        <v>46</v>
      </c>
      <c r="P1086">
        <v>2</v>
      </c>
      <c r="Q1086" t="s">
        <v>47</v>
      </c>
      <c r="R1086" t="s">
        <v>123</v>
      </c>
      <c r="S1086" t="s">
        <v>49</v>
      </c>
      <c r="U1086" t="s">
        <v>50</v>
      </c>
      <c r="X1086" t="s">
        <v>125</v>
      </c>
      <c r="Y1086" t="s">
        <v>126</v>
      </c>
      <c r="AA1086">
        <v>0</v>
      </c>
      <c r="AB1086" t="s">
        <v>79</v>
      </c>
      <c r="AC1086" t="s">
        <v>127</v>
      </c>
      <c r="AD1086">
        <v>36</v>
      </c>
      <c r="AE1086">
        <v>9</v>
      </c>
      <c r="AF1086">
        <v>3</v>
      </c>
      <c r="AG1086">
        <v>2025</v>
      </c>
      <c r="AH1086" s="2">
        <v>10000</v>
      </c>
      <c r="AI1086" s="2">
        <v>7492.16259765625</v>
      </c>
      <c r="AJ1086" s="2">
        <f t="shared" si="130"/>
        <v>2507.83740234375</v>
      </c>
      <c r="AK1086" s="6">
        <f t="shared" si="131"/>
        <v>0.250783740234375</v>
      </c>
      <c r="AL1086" s="12">
        <v>10000</v>
      </c>
      <c r="AM1086" s="12">
        <v>7471.0175731907211</v>
      </c>
      <c r="AN1086" s="12">
        <f t="shared" si="132"/>
        <v>2528.9824268092789</v>
      </c>
      <c r="AO1086" s="13">
        <f t="shared" si="133"/>
        <v>0.25289824268092786</v>
      </c>
      <c r="AP1086" s="16">
        <v>10000</v>
      </c>
      <c r="AQ1086" s="16">
        <v>7591.3460491642991</v>
      </c>
      <c r="AR1086" s="16">
        <f t="shared" si="134"/>
        <v>2408.6539508357009</v>
      </c>
      <c r="AS1086" s="17">
        <f t="shared" si="128"/>
        <v>0.24086539508357011</v>
      </c>
      <c r="AT1086" s="20">
        <v>10000</v>
      </c>
      <c r="AU1086" s="20">
        <v>7464.9501953125</v>
      </c>
      <c r="AV1086" s="20">
        <f t="shared" si="129"/>
        <v>2535.0498046875</v>
      </c>
      <c r="AW1086" s="21">
        <f t="shared" si="135"/>
        <v>0.25350498046874997</v>
      </c>
    </row>
    <row r="1087" spans="1:49" x14ac:dyDescent="0.25">
      <c r="A1087" t="s">
        <v>38</v>
      </c>
      <c r="B1087" t="s">
        <v>96</v>
      </c>
      <c r="C1087">
        <v>62145</v>
      </c>
      <c r="D1087">
        <v>2023</v>
      </c>
      <c r="E1087" t="s">
        <v>40</v>
      </c>
      <c r="F1087" t="s">
        <v>215</v>
      </c>
      <c r="G1087" t="s">
        <v>118</v>
      </c>
      <c r="H1087" t="s">
        <v>1209</v>
      </c>
      <c r="I1087">
        <v>6</v>
      </c>
      <c r="J1087" t="s">
        <v>241</v>
      </c>
      <c r="K1087">
        <v>4</v>
      </c>
      <c r="L1087" t="s">
        <v>44</v>
      </c>
      <c r="M1087">
        <v>3.4</v>
      </c>
      <c r="N1087" t="s">
        <v>91</v>
      </c>
      <c r="O1087" t="s">
        <v>46</v>
      </c>
      <c r="Q1087" t="s">
        <v>74</v>
      </c>
      <c r="R1087" t="s">
        <v>92</v>
      </c>
      <c r="S1087" t="s">
        <v>93</v>
      </c>
      <c r="T1087">
        <v>389</v>
      </c>
      <c r="U1087" t="s">
        <v>50</v>
      </c>
      <c r="V1087" t="s">
        <v>76</v>
      </c>
      <c r="W1087" t="s">
        <v>1072</v>
      </c>
      <c r="X1087" t="s">
        <v>108</v>
      </c>
      <c r="Y1087" t="s">
        <v>78</v>
      </c>
      <c r="AA1087">
        <v>0</v>
      </c>
      <c r="AB1087" t="s">
        <v>79</v>
      </c>
      <c r="AC1087" t="s">
        <v>95</v>
      </c>
      <c r="AD1087">
        <v>36</v>
      </c>
      <c r="AE1087">
        <v>9</v>
      </c>
      <c r="AF1087">
        <v>3</v>
      </c>
      <c r="AG1087">
        <v>2025</v>
      </c>
      <c r="AH1087" s="2">
        <v>39500</v>
      </c>
      <c r="AI1087" s="2">
        <v>38789.1171875</v>
      </c>
      <c r="AJ1087" s="2">
        <f t="shared" si="130"/>
        <v>710.8828125</v>
      </c>
      <c r="AK1087" s="6">
        <f t="shared" si="131"/>
        <v>1.7997033227848101E-2</v>
      </c>
      <c r="AL1087" s="12">
        <v>39500</v>
      </c>
      <c r="AM1087" s="12">
        <v>40397.558665108023</v>
      </c>
      <c r="AN1087" s="12">
        <f t="shared" si="132"/>
        <v>897.55866510802298</v>
      </c>
      <c r="AO1087" s="13">
        <f t="shared" si="133"/>
        <v>2.2723004179949949E-2</v>
      </c>
      <c r="AP1087" s="16">
        <v>39500</v>
      </c>
      <c r="AQ1087" s="16">
        <v>42356.214004446949</v>
      </c>
      <c r="AR1087" s="16">
        <f t="shared" si="134"/>
        <v>2856.2140044469488</v>
      </c>
      <c r="AS1087" s="17">
        <f t="shared" si="128"/>
        <v>7.2309215302454405E-2</v>
      </c>
      <c r="AT1087" s="20">
        <v>39500</v>
      </c>
      <c r="AU1087" s="20">
        <v>39310.08203125</v>
      </c>
      <c r="AV1087" s="20">
        <f t="shared" si="129"/>
        <v>189.91796875</v>
      </c>
      <c r="AW1087" s="21">
        <f t="shared" si="135"/>
        <v>4.808049841772152E-3</v>
      </c>
    </row>
    <row r="1088" spans="1:49" x14ac:dyDescent="0.25">
      <c r="A1088" t="s">
        <v>38</v>
      </c>
      <c r="B1088" t="s">
        <v>370</v>
      </c>
      <c r="C1088">
        <v>22960</v>
      </c>
      <c r="D1088">
        <v>2024</v>
      </c>
      <c r="E1088" t="s">
        <v>97</v>
      </c>
      <c r="F1088" t="s">
        <v>470</v>
      </c>
      <c r="G1088" t="s">
        <v>1210</v>
      </c>
      <c r="I1088">
        <v>4</v>
      </c>
      <c r="J1088" t="s">
        <v>135</v>
      </c>
      <c r="K1088">
        <v>4</v>
      </c>
      <c r="L1088" t="s">
        <v>371</v>
      </c>
      <c r="M1088">
        <v>1.5</v>
      </c>
      <c r="N1088" t="s">
        <v>45</v>
      </c>
      <c r="O1088" t="s">
        <v>46</v>
      </c>
      <c r="Q1088" t="s">
        <v>47</v>
      </c>
      <c r="R1088" t="s">
        <v>123</v>
      </c>
      <c r="U1088" t="s">
        <v>50</v>
      </c>
      <c r="V1088" t="s">
        <v>51</v>
      </c>
      <c r="W1088" t="s">
        <v>751</v>
      </c>
      <c r="X1088" t="s">
        <v>53</v>
      </c>
      <c r="Y1088" t="s">
        <v>78</v>
      </c>
      <c r="AA1088">
        <v>0</v>
      </c>
      <c r="AB1088" t="s">
        <v>79</v>
      </c>
      <c r="AC1088" t="s">
        <v>127</v>
      </c>
      <c r="AD1088">
        <v>36</v>
      </c>
      <c r="AE1088">
        <v>9</v>
      </c>
      <c r="AF1088">
        <v>3</v>
      </c>
      <c r="AG1088">
        <v>2025</v>
      </c>
      <c r="AH1088" s="2">
        <v>24000</v>
      </c>
      <c r="AI1088" s="2">
        <v>20624.162109375</v>
      </c>
      <c r="AJ1088" s="2">
        <f t="shared" si="130"/>
        <v>3375.837890625</v>
      </c>
      <c r="AK1088" s="6">
        <f t="shared" si="131"/>
        <v>0.14065991210937501</v>
      </c>
      <c r="AL1088" s="12">
        <v>24000</v>
      </c>
      <c r="AM1088" s="12">
        <v>24564.751893212131</v>
      </c>
      <c r="AN1088" s="12">
        <f t="shared" si="132"/>
        <v>564.75189321213111</v>
      </c>
      <c r="AO1088" s="13">
        <f t="shared" si="133"/>
        <v>2.3531328883838794E-2</v>
      </c>
      <c r="AP1088" s="16">
        <v>24000</v>
      </c>
      <c r="AQ1088" s="16">
        <v>20432.58579758518</v>
      </c>
      <c r="AR1088" s="16">
        <f t="shared" si="134"/>
        <v>3567.4142024148205</v>
      </c>
      <c r="AS1088" s="17">
        <f t="shared" si="128"/>
        <v>0.14864225843395085</v>
      </c>
      <c r="AT1088" s="20">
        <v>24000</v>
      </c>
      <c r="AU1088" s="20">
        <v>21120.462890625</v>
      </c>
      <c r="AV1088" s="20">
        <f t="shared" si="129"/>
        <v>2879.537109375</v>
      </c>
      <c r="AW1088" s="21">
        <f t="shared" si="135"/>
        <v>0.11998071289062499</v>
      </c>
    </row>
    <row r="1089" spans="1:49" x14ac:dyDescent="0.25">
      <c r="A1089" t="s">
        <v>38</v>
      </c>
      <c r="B1089" t="s">
        <v>96</v>
      </c>
      <c r="C1089">
        <v>178954</v>
      </c>
      <c r="D1089">
        <v>2014</v>
      </c>
      <c r="E1089" t="s">
        <v>69</v>
      </c>
      <c r="F1089" t="s">
        <v>231</v>
      </c>
      <c r="I1089">
        <v>6</v>
      </c>
      <c r="J1089" t="s">
        <v>61</v>
      </c>
      <c r="K1089">
        <v>4</v>
      </c>
      <c r="L1089" t="s">
        <v>44</v>
      </c>
      <c r="M1089">
        <v>3.5</v>
      </c>
      <c r="N1089" t="s">
        <v>91</v>
      </c>
      <c r="O1089" t="s">
        <v>46</v>
      </c>
      <c r="Q1089" t="s">
        <v>74</v>
      </c>
      <c r="R1089" t="s">
        <v>92</v>
      </c>
      <c r="S1089" t="s">
        <v>93</v>
      </c>
      <c r="T1089">
        <v>365</v>
      </c>
      <c r="U1089" t="s">
        <v>50</v>
      </c>
      <c r="V1089" t="s">
        <v>76</v>
      </c>
      <c r="X1089" t="s">
        <v>108</v>
      </c>
      <c r="Y1089" t="s">
        <v>78</v>
      </c>
      <c r="AA1089">
        <v>0</v>
      </c>
      <c r="AB1089" t="s">
        <v>79</v>
      </c>
      <c r="AC1089" t="s">
        <v>95</v>
      </c>
      <c r="AD1089">
        <v>36</v>
      </c>
      <c r="AE1089">
        <v>9</v>
      </c>
      <c r="AF1089">
        <v>3</v>
      </c>
      <c r="AG1089">
        <v>2025</v>
      </c>
      <c r="AH1089" s="2">
        <v>7000</v>
      </c>
      <c r="AI1089" s="2">
        <v>8331.70703125</v>
      </c>
      <c r="AJ1089" s="2">
        <f t="shared" si="130"/>
        <v>1331.70703125</v>
      </c>
      <c r="AK1089" s="6">
        <f t="shared" si="131"/>
        <v>0.19024386160714285</v>
      </c>
      <c r="AL1089" s="12">
        <v>7000</v>
      </c>
      <c r="AM1089" s="12">
        <v>7663.5986131165791</v>
      </c>
      <c r="AN1089" s="12">
        <f t="shared" si="132"/>
        <v>663.59861311657914</v>
      </c>
      <c r="AO1089" s="13">
        <f t="shared" si="133"/>
        <v>9.4799801873797024E-2</v>
      </c>
      <c r="AP1089" s="16">
        <v>7000</v>
      </c>
      <c r="AQ1089" s="16">
        <v>7718.6429778089087</v>
      </c>
      <c r="AR1089" s="16">
        <f t="shared" si="134"/>
        <v>718.64297780890865</v>
      </c>
      <c r="AS1089" s="17">
        <f t="shared" si="128"/>
        <v>0.10266328254412981</v>
      </c>
      <c r="AT1089" s="20">
        <v>7000</v>
      </c>
      <c r="AU1089" s="20">
        <v>8257.5625</v>
      </c>
      <c r="AV1089" s="20">
        <f t="shared" si="129"/>
        <v>1257.5625</v>
      </c>
      <c r="AW1089" s="21">
        <f>ABS($AH1089-AU1089)/$AH1089</f>
        <v>0.17965178571428572</v>
      </c>
    </row>
    <row r="1090" spans="1:49" x14ac:dyDescent="0.25">
      <c r="A1090" t="s">
        <v>38</v>
      </c>
      <c r="B1090" t="s">
        <v>68</v>
      </c>
      <c r="C1090">
        <v>182529</v>
      </c>
      <c r="D1090">
        <v>2012</v>
      </c>
      <c r="E1090" t="s">
        <v>69</v>
      </c>
      <c r="F1090" t="s">
        <v>690</v>
      </c>
      <c r="G1090" t="s">
        <v>224</v>
      </c>
      <c r="I1090">
        <v>4</v>
      </c>
      <c r="J1090" t="s">
        <v>72</v>
      </c>
      <c r="K1090">
        <v>4</v>
      </c>
      <c r="L1090" t="s">
        <v>44</v>
      </c>
      <c r="M1090">
        <v>2</v>
      </c>
      <c r="N1090" t="s">
        <v>45</v>
      </c>
      <c r="O1090" t="s">
        <v>46</v>
      </c>
      <c r="P1090">
        <v>2</v>
      </c>
      <c r="Q1090" t="s">
        <v>47</v>
      </c>
      <c r="R1090" t="s">
        <v>123</v>
      </c>
      <c r="T1090">
        <v>160</v>
      </c>
      <c r="U1090" t="s">
        <v>50</v>
      </c>
      <c r="V1090" t="s">
        <v>51</v>
      </c>
      <c r="X1090" t="s">
        <v>125</v>
      </c>
      <c r="Y1090" t="s">
        <v>78</v>
      </c>
      <c r="AA1090">
        <v>0</v>
      </c>
      <c r="AB1090" t="s">
        <v>79</v>
      </c>
      <c r="AC1090" t="s">
        <v>127</v>
      </c>
      <c r="AD1090">
        <v>36</v>
      </c>
      <c r="AE1090">
        <v>9</v>
      </c>
      <c r="AF1090">
        <v>3</v>
      </c>
      <c r="AG1090">
        <v>2025</v>
      </c>
      <c r="AH1090" s="2">
        <v>500</v>
      </c>
      <c r="AI1090" s="2">
        <v>904.62579345703125</v>
      </c>
      <c r="AJ1090" s="2">
        <f t="shared" si="130"/>
        <v>404.62579345703125</v>
      </c>
      <c r="AK1090" s="6">
        <f t="shared" si="131"/>
        <v>0.80925158691406252</v>
      </c>
      <c r="AL1090" s="12">
        <v>500</v>
      </c>
      <c r="AM1090" s="12">
        <v>850.26217113913515</v>
      </c>
      <c r="AN1090" s="12">
        <f t="shared" si="132"/>
        <v>350.26217113913515</v>
      </c>
      <c r="AO1090" s="13">
        <f t="shared" si="133"/>
        <v>0.70052434227827032</v>
      </c>
      <c r="AP1090" s="16">
        <v>500</v>
      </c>
      <c r="AQ1090" s="16">
        <v>740.78704736922305</v>
      </c>
      <c r="AR1090" s="16">
        <f t="shared" si="134"/>
        <v>240.78704736922305</v>
      </c>
      <c r="AS1090" s="17">
        <f t="shared" si="128"/>
        <v>0.48157409473844609</v>
      </c>
      <c r="AT1090" s="20">
        <v>500</v>
      </c>
      <c r="AU1090" s="20">
        <v>871.2596435546875</v>
      </c>
      <c r="AV1090" s="20">
        <f t="shared" si="129"/>
        <v>371.2596435546875</v>
      </c>
      <c r="AW1090" s="21">
        <f t="shared" si="135"/>
        <v>0.74251928710937498</v>
      </c>
    </row>
    <row r="1091" spans="1:49" x14ac:dyDescent="0.25">
      <c r="A1091" t="s">
        <v>128</v>
      </c>
      <c r="B1091" t="s">
        <v>210</v>
      </c>
      <c r="C1091">
        <v>66577</v>
      </c>
      <c r="D1091">
        <v>2018</v>
      </c>
      <c r="E1091" t="s">
        <v>116</v>
      </c>
      <c r="F1091" t="s">
        <v>194</v>
      </c>
      <c r="G1091" t="s">
        <v>195</v>
      </c>
      <c r="I1091">
        <v>8</v>
      </c>
      <c r="J1091" t="s">
        <v>72</v>
      </c>
      <c r="K1091">
        <v>2</v>
      </c>
      <c r="L1091" t="s">
        <v>44</v>
      </c>
      <c r="M1091">
        <v>5.7</v>
      </c>
      <c r="N1091" t="s">
        <v>73</v>
      </c>
      <c r="O1091" t="s">
        <v>46</v>
      </c>
      <c r="Q1091" t="s">
        <v>47</v>
      </c>
      <c r="R1091" t="s">
        <v>197</v>
      </c>
      <c r="S1091" t="s">
        <v>179</v>
      </c>
      <c r="T1091">
        <v>375</v>
      </c>
      <c r="U1091" t="s">
        <v>50</v>
      </c>
      <c r="V1091" t="s">
        <v>76</v>
      </c>
      <c r="X1091" t="s">
        <v>125</v>
      </c>
      <c r="Y1091" t="s">
        <v>103</v>
      </c>
      <c r="Z1091">
        <v>33995</v>
      </c>
      <c r="AA1091">
        <v>0</v>
      </c>
      <c r="AB1091" t="s">
        <v>79</v>
      </c>
      <c r="AC1091" t="s">
        <v>197</v>
      </c>
      <c r="AD1091">
        <v>36</v>
      </c>
      <c r="AE1091">
        <v>9</v>
      </c>
      <c r="AF1091">
        <v>3</v>
      </c>
      <c r="AG1091">
        <v>2025</v>
      </c>
      <c r="AH1091" s="2">
        <v>20976</v>
      </c>
      <c r="AI1091" s="2">
        <v>22311.818359375</v>
      </c>
      <c r="AJ1091" s="2">
        <f t="shared" si="130"/>
        <v>1335.818359375</v>
      </c>
      <c r="AK1091" s="6">
        <f t="shared" si="131"/>
        <v>6.3683178841294819E-2</v>
      </c>
      <c r="AL1091" s="12">
        <v>20976</v>
      </c>
      <c r="AM1091" s="12">
        <v>21921.043818386901</v>
      </c>
      <c r="AN1091" s="12">
        <f t="shared" si="132"/>
        <v>945.04381838690097</v>
      </c>
      <c r="AO1091" s="13">
        <f t="shared" si="133"/>
        <v>4.5053576391442647E-2</v>
      </c>
      <c r="AP1091" s="16">
        <v>20976</v>
      </c>
      <c r="AQ1091" s="16">
        <v>18879.215990906781</v>
      </c>
      <c r="AR1091" s="16">
        <f t="shared" si="134"/>
        <v>2096.7840090932186</v>
      </c>
      <c r="AS1091" s="17">
        <f t="shared" ref="AS1091:AS1154" si="136">ABS($AH1091-AQ1091)/$AH1091</f>
        <v>9.9961098831675185E-2</v>
      </c>
      <c r="AT1091" s="20">
        <v>20976</v>
      </c>
      <c r="AU1091" s="20">
        <v>22118.423828125</v>
      </c>
      <c r="AV1091" s="20">
        <f t="shared" ref="AV1091:AV1154" si="137">ABS(AT1091-AU1091)</f>
        <v>1142.423828125</v>
      </c>
      <c r="AW1091" s="21">
        <f t="shared" si="135"/>
        <v>5.4463378533800531E-2</v>
      </c>
    </row>
    <row r="1092" spans="1:49" x14ac:dyDescent="0.25">
      <c r="A1092" t="s">
        <v>128</v>
      </c>
      <c r="B1092" t="s">
        <v>129</v>
      </c>
      <c r="C1092">
        <v>187261</v>
      </c>
      <c r="D1092">
        <v>2010</v>
      </c>
      <c r="E1092" t="s">
        <v>97</v>
      </c>
      <c r="F1092" t="s">
        <v>159</v>
      </c>
      <c r="G1092" t="s">
        <v>155</v>
      </c>
      <c r="H1092" t="s">
        <v>177</v>
      </c>
      <c r="I1092">
        <v>8</v>
      </c>
      <c r="J1092" t="s">
        <v>122</v>
      </c>
      <c r="K1092">
        <v>4</v>
      </c>
      <c r="L1092" t="s">
        <v>44</v>
      </c>
      <c r="M1092">
        <v>5.3</v>
      </c>
      <c r="N1092" t="s">
        <v>91</v>
      </c>
      <c r="Q1092" t="s">
        <v>74</v>
      </c>
      <c r="R1092" t="s">
        <v>92</v>
      </c>
      <c r="S1092" t="s">
        <v>93</v>
      </c>
      <c r="U1092" t="s">
        <v>180</v>
      </c>
      <c r="V1092" t="s">
        <v>76</v>
      </c>
      <c r="W1092" t="s">
        <v>316</v>
      </c>
      <c r="X1092" t="s">
        <v>94</v>
      </c>
      <c r="Y1092" t="s">
        <v>126</v>
      </c>
      <c r="AA1092">
        <v>0</v>
      </c>
      <c r="AB1092" t="s">
        <v>79</v>
      </c>
      <c r="AC1092" t="s">
        <v>95</v>
      </c>
      <c r="AD1092">
        <v>36</v>
      </c>
      <c r="AE1092">
        <v>9</v>
      </c>
      <c r="AF1092">
        <v>3</v>
      </c>
      <c r="AG1092">
        <v>2025</v>
      </c>
      <c r="AH1092" s="2">
        <v>7000</v>
      </c>
      <c r="AI1092" s="2">
        <v>4697.8466796875</v>
      </c>
      <c r="AJ1092" s="2">
        <f t="shared" ref="AJ1092:AJ1155" si="138">ABS(AH1092-AI1092)</f>
        <v>2302.1533203125</v>
      </c>
      <c r="AK1092" s="6">
        <f t="shared" ref="AK1092:AK1155" si="139">ABS($AH1092-AI1092)/$AH1092</f>
        <v>0.32887904575892857</v>
      </c>
      <c r="AL1092" s="12">
        <v>7000</v>
      </c>
      <c r="AM1092" s="12">
        <v>5051.8681357329042</v>
      </c>
      <c r="AN1092" s="12">
        <f t="shared" ref="AN1092:AN1155" si="140">ABS(AL1092-AM1092)</f>
        <v>1948.1318642670958</v>
      </c>
      <c r="AO1092" s="13">
        <f t="shared" ref="AO1092:AO1155" si="141">ABS($AH1092-AM1092)/$AH1092</f>
        <v>0.27830455203815652</v>
      </c>
      <c r="AP1092" s="16">
        <v>7000</v>
      </c>
      <c r="AQ1092" s="16">
        <v>4453.1396110480409</v>
      </c>
      <c r="AR1092" s="16">
        <f t="shared" ref="AR1092:AR1155" si="142">ABS(AP1092-AQ1092)</f>
        <v>2546.8603889519591</v>
      </c>
      <c r="AS1092" s="17">
        <f t="shared" si="136"/>
        <v>0.36383719842170842</v>
      </c>
      <c r="AT1092" s="20">
        <v>7000</v>
      </c>
      <c r="AU1092" s="20">
        <v>4774.296875</v>
      </c>
      <c r="AV1092" s="20">
        <f t="shared" si="137"/>
        <v>2225.703125</v>
      </c>
      <c r="AW1092" s="21">
        <f t="shared" ref="AW1092:AW1155" si="143">ABS($AH1092-AU1092)/$AH1092</f>
        <v>0.31795758928571427</v>
      </c>
    </row>
    <row r="1093" spans="1:49" x14ac:dyDescent="0.25">
      <c r="A1093" t="s">
        <v>38</v>
      </c>
      <c r="B1093" t="s">
        <v>39</v>
      </c>
      <c r="C1093">
        <v>77982</v>
      </c>
      <c r="D1093">
        <v>2020</v>
      </c>
      <c r="E1093" t="s">
        <v>162</v>
      </c>
      <c r="F1093" t="s">
        <v>211</v>
      </c>
      <c r="G1093" t="s">
        <v>1211</v>
      </c>
      <c r="I1093">
        <v>4</v>
      </c>
      <c r="J1093" t="s">
        <v>122</v>
      </c>
      <c r="K1093">
        <v>4</v>
      </c>
      <c r="L1093" t="s">
        <v>44</v>
      </c>
      <c r="M1093">
        <v>2</v>
      </c>
      <c r="N1093" t="s">
        <v>45</v>
      </c>
      <c r="O1093" t="s">
        <v>46</v>
      </c>
      <c r="Q1093" t="s">
        <v>47</v>
      </c>
      <c r="R1093" t="s">
        <v>123</v>
      </c>
      <c r="S1093" t="s">
        <v>101</v>
      </c>
      <c r="T1093">
        <v>147</v>
      </c>
      <c r="U1093" t="s">
        <v>50</v>
      </c>
      <c r="W1093" t="s">
        <v>1212</v>
      </c>
      <c r="X1093" t="s">
        <v>125</v>
      </c>
      <c r="Y1093" t="s">
        <v>78</v>
      </c>
      <c r="Z1093">
        <v>18200</v>
      </c>
      <c r="AA1093">
        <v>0</v>
      </c>
      <c r="AB1093" t="s">
        <v>79</v>
      </c>
      <c r="AC1093" t="s">
        <v>127</v>
      </c>
      <c r="AD1093">
        <v>36</v>
      </c>
      <c r="AE1093">
        <v>9</v>
      </c>
      <c r="AF1093">
        <v>3</v>
      </c>
      <c r="AG1093">
        <v>2025</v>
      </c>
      <c r="AH1093" s="2">
        <v>8200</v>
      </c>
      <c r="AI1093" s="2">
        <v>9473.2509765625</v>
      </c>
      <c r="AJ1093" s="2">
        <f t="shared" si="138"/>
        <v>1273.2509765625</v>
      </c>
      <c r="AK1093" s="6">
        <f t="shared" si="139"/>
        <v>0.15527450933689024</v>
      </c>
      <c r="AL1093" s="12">
        <v>8200</v>
      </c>
      <c r="AM1093" s="12">
        <v>8914.4875204732925</v>
      </c>
      <c r="AN1093" s="12">
        <f t="shared" si="140"/>
        <v>714.48752047329253</v>
      </c>
      <c r="AO1093" s="13">
        <f t="shared" si="141"/>
        <v>8.7132624447962506E-2</v>
      </c>
      <c r="AP1093" s="16">
        <v>8200</v>
      </c>
      <c r="AQ1093" s="16">
        <v>8394.9745510294724</v>
      </c>
      <c r="AR1093" s="16">
        <f t="shared" si="142"/>
        <v>194.97455102947242</v>
      </c>
      <c r="AS1093" s="17">
        <f t="shared" si="136"/>
        <v>2.377738427188688E-2</v>
      </c>
      <c r="AT1093" s="20">
        <v>8200</v>
      </c>
      <c r="AU1093" s="20">
        <v>9465.4111328125</v>
      </c>
      <c r="AV1093" s="20">
        <f t="shared" si="137"/>
        <v>1265.4111328125</v>
      </c>
      <c r="AW1093" s="21">
        <f t="shared" si="143"/>
        <v>0.15431843083079269</v>
      </c>
    </row>
    <row r="1094" spans="1:49" x14ac:dyDescent="0.25">
      <c r="A1094" t="s">
        <v>81</v>
      </c>
      <c r="B1094" t="s">
        <v>82</v>
      </c>
      <c r="C1094">
        <v>158933</v>
      </c>
      <c r="D1094">
        <v>2012</v>
      </c>
      <c r="E1094" t="s">
        <v>132</v>
      </c>
      <c r="F1094" t="s">
        <v>1213</v>
      </c>
      <c r="G1094" t="s">
        <v>1021</v>
      </c>
      <c r="H1094" t="s">
        <v>1214</v>
      </c>
      <c r="I1094">
        <v>8</v>
      </c>
      <c r="J1094" t="s">
        <v>106</v>
      </c>
      <c r="K1094">
        <v>4</v>
      </c>
      <c r="L1094" t="s">
        <v>44</v>
      </c>
      <c r="M1094">
        <v>4.5999999999999996</v>
      </c>
      <c r="N1094" t="s">
        <v>44</v>
      </c>
      <c r="O1094" t="s">
        <v>46</v>
      </c>
      <c r="Q1094" t="s">
        <v>62</v>
      </c>
      <c r="R1094" t="s">
        <v>63</v>
      </c>
      <c r="S1094" t="s">
        <v>85</v>
      </c>
      <c r="U1094" t="s">
        <v>50</v>
      </c>
      <c r="V1094" t="s">
        <v>76</v>
      </c>
      <c r="X1094" t="s">
        <v>94</v>
      </c>
      <c r="Y1094" t="s">
        <v>78</v>
      </c>
      <c r="AA1094">
        <v>0</v>
      </c>
      <c r="AB1094" t="s">
        <v>79</v>
      </c>
      <c r="AC1094" t="s">
        <v>87</v>
      </c>
      <c r="AD1094">
        <v>36</v>
      </c>
      <c r="AE1094">
        <v>9</v>
      </c>
      <c r="AF1094">
        <v>3</v>
      </c>
      <c r="AG1094">
        <v>2025</v>
      </c>
      <c r="AH1094" s="2">
        <v>3000</v>
      </c>
      <c r="AI1094" s="2">
        <v>2683.24169921875</v>
      </c>
      <c r="AJ1094" s="2">
        <f t="shared" si="138"/>
        <v>316.75830078125</v>
      </c>
      <c r="AK1094" s="6">
        <f t="shared" si="139"/>
        <v>0.10558610026041666</v>
      </c>
      <c r="AL1094" s="12">
        <v>3000</v>
      </c>
      <c r="AM1094" s="12">
        <v>2809.104534743456</v>
      </c>
      <c r="AN1094" s="12">
        <f t="shared" si="140"/>
        <v>190.89546525654396</v>
      </c>
      <c r="AO1094" s="13">
        <f t="shared" si="141"/>
        <v>6.3631821752181322E-2</v>
      </c>
      <c r="AP1094" s="16">
        <v>3000</v>
      </c>
      <c r="AQ1094" s="16">
        <v>2256.3922211102308</v>
      </c>
      <c r="AR1094" s="16">
        <f t="shared" si="142"/>
        <v>743.60777888976918</v>
      </c>
      <c r="AS1094" s="17">
        <f t="shared" si="136"/>
        <v>0.24786925962992307</v>
      </c>
      <c r="AT1094" s="20">
        <v>3000</v>
      </c>
      <c r="AU1094" s="20">
        <v>2723.605712890625</v>
      </c>
      <c r="AV1094" s="20">
        <f t="shared" si="137"/>
        <v>276.394287109375</v>
      </c>
      <c r="AW1094" s="21">
        <f t="shared" si="143"/>
        <v>9.2131429036458337E-2</v>
      </c>
    </row>
    <row r="1095" spans="1:49" x14ac:dyDescent="0.25">
      <c r="A1095" t="s">
        <v>128</v>
      </c>
      <c r="B1095" t="s">
        <v>129</v>
      </c>
      <c r="C1095">
        <v>168035</v>
      </c>
      <c r="D1095">
        <v>2009</v>
      </c>
      <c r="E1095" t="s">
        <v>97</v>
      </c>
      <c r="F1095" t="s">
        <v>159</v>
      </c>
      <c r="G1095" t="s">
        <v>155</v>
      </c>
      <c r="H1095" t="s">
        <v>177</v>
      </c>
      <c r="I1095">
        <v>8</v>
      </c>
      <c r="J1095" t="s">
        <v>122</v>
      </c>
      <c r="K1095">
        <v>2</v>
      </c>
      <c r="L1095" t="s">
        <v>44</v>
      </c>
      <c r="M1095">
        <v>5.3</v>
      </c>
      <c r="N1095" t="s">
        <v>73</v>
      </c>
      <c r="Q1095" t="s">
        <v>74</v>
      </c>
      <c r="R1095" t="s">
        <v>92</v>
      </c>
      <c r="S1095" t="s">
        <v>49</v>
      </c>
      <c r="V1095" t="s">
        <v>76</v>
      </c>
      <c r="W1095" t="s">
        <v>1215</v>
      </c>
      <c r="X1095" t="s">
        <v>94</v>
      </c>
      <c r="Y1095" t="s">
        <v>78</v>
      </c>
      <c r="AA1095">
        <v>0</v>
      </c>
      <c r="AB1095" t="s">
        <v>79</v>
      </c>
      <c r="AC1095" t="s">
        <v>95</v>
      </c>
      <c r="AD1095">
        <v>36</v>
      </c>
      <c r="AE1095">
        <v>9</v>
      </c>
      <c r="AF1095">
        <v>3</v>
      </c>
      <c r="AG1095">
        <v>2025</v>
      </c>
      <c r="AH1095" s="2">
        <v>4000</v>
      </c>
      <c r="AI1095" s="2">
        <v>3785.23779296875</v>
      </c>
      <c r="AJ1095" s="2">
        <f t="shared" si="138"/>
        <v>214.76220703125</v>
      </c>
      <c r="AK1095" s="6">
        <f t="shared" si="139"/>
        <v>5.3690551757812503E-2</v>
      </c>
      <c r="AL1095" s="12">
        <v>4000</v>
      </c>
      <c r="AM1095" s="12">
        <v>3729.413449451722</v>
      </c>
      <c r="AN1095" s="12">
        <f t="shared" si="140"/>
        <v>270.58655054827796</v>
      </c>
      <c r="AO1095" s="13">
        <f t="shared" si="141"/>
        <v>6.764663763706949E-2</v>
      </c>
      <c r="AP1095" s="16">
        <v>4000</v>
      </c>
      <c r="AQ1095" s="16">
        <v>3734.780809997912</v>
      </c>
      <c r="AR1095" s="16">
        <f t="shared" si="142"/>
        <v>265.219190002088</v>
      </c>
      <c r="AS1095" s="17">
        <f t="shared" si="136"/>
        <v>6.6304797500521997E-2</v>
      </c>
      <c r="AT1095" s="20">
        <v>4000</v>
      </c>
      <c r="AU1095" s="20">
        <v>3830.672607421875</v>
      </c>
      <c r="AV1095" s="20">
        <f t="shared" si="137"/>
        <v>169.327392578125</v>
      </c>
      <c r="AW1095" s="21">
        <f t="shared" si="143"/>
        <v>4.2331848144531253E-2</v>
      </c>
    </row>
    <row r="1096" spans="1:49" x14ac:dyDescent="0.25">
      <c r="A1096" t="s">
        <v>38</v>
      </c>
      <c r="B1096" t="s">
        <v>96</v>
      </c>
      <c r="C1096">
        <v>62256</v>
      </c>
      <c r="D1096">
        <v>2023</v>
      </c>
      <c r="E1096" t="s">
        <v>162</v>
      </c>
      <c r="F1096" t="s">
        <v>211</v>
      </c>
      <c r="G1096" t="s">
        <v>285</v>
      </c>
      <c r="I1096">
        <v>4</v>
      </c>
      <c r="J1096" t="s">
        <v>43</v>
      </c>
      <c r="K1096">
        <v>4</v>
      </c>
      <c r="L1096" t="s">
        <v>44</v>
      </c>
      <c r="M1096">
        <v>2</v>
      </c>
      <c r="N1096" t="s">
        <v>45</v>
      </c>
      <c r="O1096" t="s">
        <v>46</v>
      </c>
      <c r="P1096">
        <v>3</v>
      </c>
      <c r="Q1096" t="s">
        <v>47</v>
      </c>
      <c r="R1096" t="s">
        <v>123</v>
      </c>
      <c r="S1096" t="s">
        <v>101</v>
      </c>
      <c r="T1096">
        <v>147</v>
      </c>
      <c r="U1096" t="s">
        <v>50</v>
      </c>
      <c r="W1096" t="s">
        <v>739</v>
      </c>
      <c r="X1096" t="s">
        <v>53</v>
      </c>
      <c r="Y1096" t="s">
        <v>66</v>
      </c>
      <c r="AA1096">
        <v>0</v>
      </c>
      <c r="AB1096" t="s">
        <v>79</v>
      </c>
      <c r="AC1096" t="s">
        <v>127</v>
      </c>
      <c r="AD1096">
        <v>36</v>
      </c>
      <c r="AE1096">
        <v>9</v>
      </c>
      <c r="AF1096">
        <v>3</v>
      </c>
      <c r="AG1096">
        <v>2025</v>
      </c>
      <c r="AH1096" s="2">
        <v>12800</v>
      </c>
      <c r="AI1096" s="2">
        <v>13344.3251953125</v>
      </c>
      <c r="AJ1096" s="2">
        <f t="shared" si="138"/>
        <v>544.3251953125</v>
      </c>
      <c r="AK1096" s="6">
        <f t="shared" si="139"/>
        <v>4.2525405883789065E-2</v>
      </c>
      <c r="AL1096" s="12">
        <v>12800</v>
      </c>
      <c r="AM1096" s="12">
        <v>14417.282759392239</v>
      </c>
      <c r="AN1096" s="12">
        <f t="shared" si="140"/>
        <v>1617.2827593922393</v>
      </c>
      <c r="AO1096" s="13">
        <f t="shared" si="141"/>
        <v>0.12635021557751869</v>
      </c>
      <c r="AP1096" s="16">
        <v>12800</v>
      </c>
      <c r="AQ1096" s="16">
        <v>12629.5473478228</v>
      </c>
      <c r="AR1096" s="16">
        <f t="shared" si="142"/>
        <v>170.45265217720043</v>
      </c>
      <c r="AS1096" s="17">
        <f t="shared" si="136"/>
        <v>1.3316613451343783E-2</v>
      </c>
      <c r="AT1096" s="20">
        <v>12800</v>
      </c>
      <c r="AU1096" s="20">
        <v>13641.556640625</v>
      </c>
      <c r="AV1096" s="20">
        <f t="shared" si="137"/>
        <v>841.556640625</v>
      </c>
      <c r="AW1096" s="21">
        <f t="shared" si="143"/>
        <v>6.5746612548828132E-2</v>
      </c>
    </row>
    <row r="1097" spans="1:49" x14ac:dyDescent="0.25">
      <c r="A1097" t="s">
        <v>38</v>
      </c>
      <c r="B1097" t="s">
        <v>110</v>
      </c>
      <c r="C1097">
        <v>115274</v>
      </c>
      <c r="D1097">
        <v>2015</v>
      </c>
      <c r="E1097" t="s">
        <v>97</v>
      </c>
      <c r="F1097" t="s">
        <v>363</v>
      </c>
      <c r="G1097" t="s">
        <v>130</v>
      </c>
      <c r="I1097">
        <v>4</v>
      </c>
      <c r="J1097" t="s">
        <v>61</v>
      </c>
      <c r="K1097">
        <v>4</v>
      </c>
      <c r="L1097" t="s">
        <v>44</v>
      </c>
      <c r="M1097">
        <v>1.4</v>
      </c>
      <c r="N1097" t="s">
        <v>45</v>
      </c>
      <c r="O1097" t="s">
        <v>100</v>
      </c>
      <c r="Q1097" t="s">
        <v>62</v>
      </c>
      <c r="R1097" t="s">
        <v>63</v>
      </c>
      <c r="S1097" t="s">
        <v>101</v>
      </c>
      <c r="U1097" t="s">
        <v>50</v>
      </c>
      <c r="V1097" t="s">
        <v>51</v>
      </c>
      <c r="W1097" t="s">
        <v>381</v>
      </c>
      <c r="X1097" t="s">
        <v>65</v>
      </c>
      <c r="Y1097" t="s">
        <v>126</v>
      </c>
      <c r="AA1097">
        <v>0</v>
      </c>
      <c r="AB1097" t="s">
        <v>79</v>
      </c>
      <c r="AC1097" t="s">
        <v>87</v>
      </c>
      <c r="AD1097">
        <v>36</v>
      </c>
      <c r="AE1097">
        <v>9</v>
      </c>
      <c r="AF1097">
        <v>3</v>
      </c>
      <c r="AG1097">
        <v>2025</v>
      </c>
      <c r="AH1097" s="2">
        <v>1800</v>
      </c>
      <c r="AI1097" s="2">
        <v>1849.144165039062</v>
      </c>
      <c r="AJ1097" s="2">
        <f t="shared" si="138"/>
        <v>49.144165039062045</v>
      </c>
      <c r="AK1097" s="6">
        <f t="shared" si="139"/>
        <v>2.7302313910590025E-2</v>
      </c>
      <c r="AL1097" s="12">
        <v>1800</v>
      </c>
      <c r="AM1097" s="12">
        <v>1547.0066622630279</v>
      </c>
      <c r="AN1097" s="12">
        <f t="shared" si="140"/>
        <v>252.99333773697208</v>
      </c>
      <c r="AO1097" s="13">
        <f t="shared" si="141"/>
        <v>0.14055185429831782</v>
      </c>
      <c r="AP1097" s="16">
        <v>1800</v>
      </c>
      <c r="AQ1097" s="16">
        <v>1430.418406941676</v>
      </c>
      <c r="AR1097" s="16">
        <f t="shared" si="142"/>
        <v>369.58159305832396</v>
      </c>
      <c r="AS1097" s="17">
        <f t="shared" si="136"/>
        <v>0.20532310725462441</v>
      </c>
      <c r="AT1097" s="20">
        <v>1800</v>
      </c>
      <c r="AU1097" s="20">
        <v>1822.533813476562</v>
      </c>
      <c r="AV1097" s="20">
        <f t="shared" si="137"/>
        <v>22.533813476562045</v>
      </c>
      <c r="AW1097" s="21">
        <f t="shared" si="143"/>
        <v>1.2518785264756692E-2</v>
      </c>
    </row>
    <row r="1098" spans="1:49" x14ac:dyDescent="0.25">
      <c r="A1098" t="s">
        <v>128</v>
      </c>
      <c r="B1098" t="s">
        <v>484</v>
      </c>
      <c r="C1098">
        <v>14617</v>
      </c>
      <c r="D1098">
        <v>2025</v>
      </c>
      <c r="E1098" t="s">
        <v>174</v>
      </c>
      <c r="F1098" t="s">
        <v>1216</v>
      </c>
      <c r="G1098" t="s">
        <v>1217</v>
      </c>
      <c r="J1098" t="s">
        <v>61</v>
      </c>
      <c r="K1098">
        <v>4</v>
      </c>
      <c r="L1098" t="s">
        <v>44</v>
      </c>
      <c r="N1098" t="s">
        <v>91</v>
      </c>
      <c r="O1098" t="s">
        <v>46</v>
      </c>
      <c r="P1098">
        <v>5</v>
      </c>
      <c r="Q1098" t="s">
        <v>62</v>
      </c>
      <c r="R1098" t="s">
        <v>63</v>
      </c>
      <c r="S1098" t="s">
        <v>85</v>
      </c>
      <c r="U1098" t="s">
        <v>601</v>
      </c>
      <c r="W1098" t="s">
        <v>1218</v>
      </c>
      <c r="X1098" t="s">
        <v>230</v>
      </c>
      <c r="Y1098" t="s">
        <v>78</v>
      </c>
      <c r="AA1098">
        <v>1</v>
      </c>
      <c r="AB1098" t="s">
        <v>603</v>
      </c>
      <c r="AC1098" t="s">
        <v>67</v>
      </c>
      <c r="AD1098">
        <v>36</v>
      </c>
      <c r="AE1098">
        <v>9</v>
      </c>
      <c r="AF1098">
        <v>3</v>
      </c>
      <c r="AG1098">
        <v>2025</v>
      </c>
      <c r="AH1098" s="2">
        <v>68800</v>
      </c>
      <c r="AI1098" s="2">
        <v>57243.765625</v>
      </c>
      <c r="AJ1098" s="2">
        <f t="shared" si="138"/>
        <v>11556.234375</v>
      </c>
      <c r="AK1098" s="6">
        <f t="shared" si="139"/>
        <v>0.16796852289244185</v>
      </c>
      <c r="AL1098" s="12">
        <v>68800</v>
      </c>
      <c r="AM1098" s="12">
        <v>41563.67055261277</v>
      </c>
      <c r="AN1098" s="12">
        <f t="shared" si="140"/>
        <v>27236.32944738723</v>
      </c>
      <c r="AO1098" s="13">
        <f t="shared" si="141"/>
        <v>0.39587688150272138</v>
      </c>
      <c r="AP1098" s="16">
        <v>68800</v>
      </c>
      <c r="AQ1098" s="16">
        <v>66862.216992622416</v>
      </c>
      <c r="AR1098" s="16">
        <f t="shared" si="142"/>
        <v>1937.783007377584</v>
      </c>
      <c r="AS1098" s="17">
        <f t="shared" si="136"/>
        <v>2.8165450688627674E-2</v>
      </c>
      <c r="AT1098" s="20">
        <v>68800</v>
      </c>
      <c r="AU1098" s="20">
        <v>53401.07421875</v>
      </c>
      <c r="AV1098" s="20">
        <f t="shared" si="137"/>
        <v>15398.92578125</v>
      </c>
      <c r="AW1098" s="21">
        <f t="shared" si="143"/>
        <v>0.22382159565770349</v>
      </c>
    </row>
    <row r="1099" spans="1:49" x14ac:dyDescent="0.25">
      <c r="A1099" t="s">
        <v>38</v>
      </c>
      <c r="B1099" t="s">
        <v>96</v>
      </c>
      <c r="C1099">
        <v>100964</v>
      </c>
      <c r="D1099">
        <v>2017</v>
      </c>
      <c r="E1099" t="s">
        <v>142</v>
      </c>
      <c r="F1099" t="s">
        <v>143</v>
      </c>
      <c r="G1099" t="s">
        <v>276</v>
      </c>
      <c r="H1099" t="s">
        <v>145</v>
      </c>
      <c r="I1099">
        <v>4</v>
      </c>
      <c r="J1099" t="s">
        <v>72</v>
      </c>
      <c r="K1099">
        <v>4</v>
      </c>
      <c r="L1099" t="s">
        <v>44</v>
      </c>
      <c r="M1099">
        <v>2.4</v>
      </c>
      <c r="N1099" t="s">
        <v>45</v>
      </c>
      <c r="O1099" t="s">
        <v>46</v>
      </c>
      <c r="P1099">
        <v>2</v>
      </c>
      <c r="Q1099" t="s">
        <v>62</v>
      </c>
      <c r="R1099" t="s">
        <v>63</v>
      </c>
      <c r="S1099" t="s">
        <v>49</v>
      </c>
      <c r="T1099">
        <v>184</v>
      </c>
      <c r="U1099" t="s">
        <v>50</v>
      </c>
      <c r="V1099" t="s">
        <v>51</v>
      </c>
      <c r="X1099" t="s">
        <v>141</v>
      </c>
      <c r="Y1099" t="s">
        <v>78</v>
      </c>
      <c r="Z1099">
        <v>25645</v>
      </c>
      <c r="AA1099">
        <v>0</v>
      </c>
      <c r="AB1099" t="s">
        <v>79</v>
      </c>
      <c r="AC1099" t="s">
        <v>87</v>
      </c>
      <c r="AD1099">
        <v>36</v>
      </c>
      <c r="AE1099">
        <v>9</v>
      </c>
      <c r="AF1099">
        <v>3</v>
      </c>
      <c r="AG1099">
        <v>2025</v>
      </c>
      <c r="AH1099" s="2">
        <v>5250</v>
      </c>
      <c r="AI1099" s="2">
        <v>4675.99853515625</v>
      </c>
      <c r="AJ1099" s="2">
        <f t="shared" si="138"/>
        <v>574.00146484375</v>
      </c>
      <c r="AK1099" s="6">
        <f t="shared" si="139"/>
        <v>0.10933361235119048</v>
      </c>
      <c r="AL1099" s="12">
        <v>5250</v>
      </c>
      <c r="AM1099" s="12">
        <v>4977.8031226405847</v>
      </c>
      <c r="AN1099" s="12">
        <f t="shared" si="140"/>
        <v>272.19687735941534</v>
      </c>
      <c r="AO1099" s="13">
        <f t="shared" si="141"/>
        <v>5.1847024258936253E-2</v>
      </c>
      <c r="AP1099" s="16">
        <v>5250</v>
      </c>
      <c r="AQ1099" s="16">
        <v>5069.7153919264993</v>
      </c>
      <c r="AR1099" s="16">
        <f t="shared" si="142"/>
        <v>180.28460807350075</v>
      </c>
      <c r="AS1099" s="17">
        <f t="shared" si="136"/>
        <v>3.4339925347333475E-2</v>
      </c>
      <c r="AT1099" s="20">
        <v>5250</v>
      </c>
      <c r="AU1099" s="20">
        <v>4769.876953125</v>
      </c>
      <c r="AV1099" s="20">
        <f t="shared" si="137"/>
        <v>480.123046875</v>
      </c>
      <c r="AW1099" s="21">
        <f t="shared" si="143"/>
        <v>9.1452008928571429E-2</v>
      </c>
    </row>
    <row r="1100" spans="1:49" x14ac:dyDescent="0.25">
      <c r="A1100" t="s">
        <v>81</v>
      </c>
      <c r="B1100" t="s">
        <v>186</v>
      </c>
      <c r="C1100">
        <v>32561</v>
      </c>
      <c r="D1100">
        <v>2024</v>
      </c>
      <c r="E1100" t="s">
        <v>69</v>
      </c>
      <c r="F1100" t="s">
        <v>475</v>
      </c>
      <c r="I1100">
        <v>8</v>
      </c>
      <c r="J1100" t="s">
        <v>122</v>
      </c>
      <c r="K1100">
        <v>2</v>
      </c>
      <c r="L1100" t="s">
        <v>44</v>
      </c>
      <c r="M1100">
        <v>6.8</v>
      </c>
      <c r="N1100" t="s">
        <v>73</v>
      </c>
      <c r="O1100" t="s">
        <v>46</v>
      </c>
      <c r="Q1100" t="s">
        <v>74</v>
      </c>
      <c r="R1100" t="s">
        <v>92</v>
      </c>
      <c r="S1100" t="s">
        <v>49</v>
      </c>
      <c r="U1100" t="s">
        <v>50</v>
      </c>
      <c r="V1100" t="s">
        <v>76</v>
      </c>
      <c r="X1100" t="s">
        <v>230</v>
      </c>
      <c r="Y1100" t="s">
        <v>78</v>
      </c>
      <c r="AA1100">
        <v>0</v>
      </c>
      <c r="AB1100" t="s">
        <v>79</v>
      </c>
      <c r="AC1100" t="s">
        <v>95</v>
      </c>
      <c r="AD1100">
        <v>36</v>
      </c>
      <c r="AE1100">
        <v>9</v>
      </c>
      <c r="AF1100">
        <v>3</v>
      </c>
      <c r="AG1100">
        <v>2025</v>
      </c>
      <c r="AH1100" s="2">
        <v>34400</v>
      </c>
      <c r="AI1100" s="2">
        <v>37046.234375</v>
      </c>
      <c r="AJ1100" s="2">
        <f t="shared" si="138"/>
        <v>2646.234375</v>
      </c>
      <c r="AK1100" s="6">
        <f t="shared" si="139"/>
        <v>7.6925417877906979E-2</v>
      </c>
      <c r="AL1100" s="12">
        <v>34400</v>
      </c>
      <c r="AM1100" s="12">
        <v>39729.950419929482</v>
      </c>
      <c r="AN1100" s="12">
        <f t="shared" si="140"/>
        <v>5329.9504199294825</v>
      </c>
      <c r="AO1100" s="13">
        <f t="shared" si="141"/>
        <v>0.15494041918399659</v>
      </c>
      <c r="AP1100" s="16">
        <v>34400</v>
      </c>
      <c r="AQ1100" s="16">
        <v>36412.91410652089</v>
      </c>
      <c r="AR1100" s="16">
        <f t="shared" si="142"/>
        <v>2012.9141065208896</v>
      </c>
      <c r="AS1100" s="17">
        <f t="shared" si="136"/>
        <v>5.8514944957002608E-2</v>
      </c>
      <c r="AT1100" s="20">
        <v>34400</v>
      </c>
      <c r="AU1100" s="20">
        <v>36930.0703125</v>
      </c>
      <c r="AV1100" s="20">
        <f t="shared" si="137"/>
        <v>2530.0703125</v>
      </c>
      <c r="AW1100" s="21">
        <f t="shared" si="143"/>
        <v>7.3548555595930237E-2</v>
      </c>
    </row>
    <row r="1101" spans="1:49" x14ac:dyDescent="0.25">
      <c r="A1101" t="s">
        <v>38</v>
      </c>
      <c r="B1101" t="s">
        <v>110</v>
      </c>
      <c r="C1101">
        <v>172599</v>
      </c>
      <c r="D1101">
        <v>2001</v>
      </c>
      <c r="E1101" t="s">
        <v>116</v>
      </c>
      <c r="F1101" t="s">
        <v>269</v>
      </c>
      <c r="G1101" t="s">
        <v>112</v>
      </c>
      <c r="H1101" t="s">
        <v>1219</v>
      </c>
      <c r="I1101">
        <v>6</v>
      </c>
      <c r="J1101" t="s">
        <v>72</v>
      </c>
      <c r="K1101">
        <v>2</v>
      </c>
      <c r="L1101" t="s">
        <v>44</v>
      </c>
      <c r="M1101">
        <v>3.9</v>
      </c>
      <c r="N1101" t="s">
        <v>73</v>
      </c>
      <c r="Q1101" t="s">
        <v>74</v>
      </c>
      <c r="R1101" t="s">
        <v>92</v>
      </c>
      <c r="S1101" t="s">
        <v>49</v>
      </c>
      <c r="U1101" t="s">
        <v>50</v>
      </c>
      <c r="V1101" t="s">
        <v>76</v>
      </c>
      <c r="X1101" t="s">
        <v>141</v>
      </c>
      <c r="Y1101" t="s">
        <v>78</v>
      </c>
      <c r="AA1101">
        <v>0</v>
      </c>
      <c r="AB1101" t="s">
        <v>79</v>
      </c>
      <c r="AC1101" t="s">
        <v>95</v>
      </c>
      <c r="AD1101">
        <v>36</v>
      </c>
      <c r="AE1101">
        <v>9</v>
      </c>
      <c r="AF1101">
        <v>3</v>
      </c>
      <c r="AG1101">
        <v>2025</v>
      </c>
      <c r="AH1101" s="2">
        <v>2400</v>
      </c>
      <c r="AI1101" s="2">
        <v>1133.629516601562</v>
      </c>
      <c r="AJ1101" s="2">
        <f t="shared" si="138"/>
        <v>1266.370483398438</v>
      </c>
      <c r="AK1101" s="6">
        <f t="shared" si="139"/>
        <v>0.52765436808268251</v>
      </c>
      <c r="AL1101" s="12">
        <v>2400</v>
      </c>
      <c r="AM1101" s="12">
        <v>1300.858887206195</v>
      </c>
      <c r="AN1101" s="12">
        <f t="shared" si="140"/>
        <v>1099.141112793805</v>
      </c>
      <c r="AO1101" s="13">
        <f t="shared" si="141"/>
        <v>0.45797546366408537</v>
      </c>
      <c r="AP1101" s="16">
        <v>2400</v>
      </c>
      <c r="AQ1101" s="16">
        <v>1165.784263389869</v>
      </c>
      <c r="AR1101" s="16">
        <f t="shared" si="142"/>
        <v>1234.215736610131</v>
      </c>
      <c r="AS1101" s="17">
        <f t="shared" si="136"/>
        <v>0.5142565569208879</v>
      </c>
      <c r="AT1101" s="20">
        <v>2400</v>
      </c>
      <c r="AU1101" s="20">
        <v>1120.531982421875</v>
      </c>
      <c r="AV1101" s="20">
        <f t="shared" si="137"/>
        <v>1279.468017578125</v>
      </c>
      <c r="AW1101" s="21">
        <f t="shared" si="143"/>
        <v>0.53311167399088544</v>
      </c>
    </row>
    <row r="1102" spans="1:49" x14ac:dyDescent="0.25">
      <c r="A1102" t="s">
        <v>38</v>
      </c>
      <c r="B1102" t="s">
        <v>96</v>
      </c>
      <c r="C1102">
        <v>122249</v>
      </c>
      <c r="D1102">
        <v>2022</v>
      </c>
      <c r="E1102" t="s">
        <v>174</v>
      </c>
      <c r="F1102" t="s">
        <v>1220</v>
      </c>
      <c r="G1102" t="s">
        <v>315</v>
      </c>
      <c r="H1102" t="s">
        <v>312</v>
      </c>
      <c r="I1102">
        <v>8</v>
      </c>
      <c r="J1102" t="s">
        <v>43</v>
      </c>
      <c r="K1102">
        <v>4</v>
      </c>
      <c r="L1102" t="s">
        <v>44</v>
      </c>
      <c r="M1102">
        <v>6.6</v>
      </c>
      <c r="N1102" t="s">
        <v>91</v>
      </c>
      <c r="O1102" t="s">
        <v>46</v>
      </c>
      <c r="Q1102" t="s">
        <v>74</v>
      </c>
      <c r="R1102" t="s">
        <v>92</v>
      </c>
      <c r="S1102" t="s">
        <v>93</v>
      </c>
      <c r="U1102" t="s">
        <v>50</v>
      </c>
      <c r="W1102" t="s">
        <v>753</v>
      </c>
      <c r="X1102" t="s">
        <v>260</v>
      </c>
      <c r="Y1102" t="s">
        <v>78</v>
      </c>
      <c r="AA1102">
        <v>0</v>
      </c>
      <c r="AB1102" t="s">
        <v>79</v>
      </c>
      <c r="AC1102" t="s">
        <v>261</v>
      </c>
      <c r="AD1102">
        <v>36</v>
      </c>
      <c r="AE1102">
        <v>9</v>
      </c>
      <c r="AF1102">
        <v>3</v>
      </c>
      <c r="AG1102">
        <v>2025</v>
      </c>
      <c r="AH1102" s="2">
        <v>33000</v>
      </c>
      <c r="AI1102" s="2">
        <v>32447.2734375</v>
      </c>
      <c r="AJ1102" s="2">
        <f t="shared" si="138"/>
        <v>552.7265625</v>
      </c>
      <c r="AK1102" s="6">
        <f t="shared" si="139"/>
        <v>1.6749289772727272E-2</v>
      </c>
      <c r="AL1102" s="12">
        <v>33000</v>
      </c>
      <c r="AM1102" s="12">
        <v>31474.350904765572</v>
      </c>
      <c r="AN1102" s="12">
        <f t="shared" si="140"/>
        <v>1525.6490952344284</v>
      </c>
      <c r="AO1102" s="13">
        <f t="shared" si="141"/>
        <v>4.6231790764679648E-2</v>
      </c>
      <c r="AP1102" s="16">
        <v>33000</v>
      </c>
      <c r="AQ1102" s="16">
        <v>31651.035120477209</v>
      </c>
      <c r="AR1102" s="16">
        <f t="shared" si="142"/>
        <v>1348.9648795227913</v>
      </c>
      <c r="AS1102" s="17">
        <f t="shared" si="136"/>
        <v>4.087772362190277E-2</v>
      </c>
      <c r="AT1102" s="20">
        <v>33000</v>
      </c>
      <c r="AU1102" s="20">
        <v>32345.83984375</v>
      </c>
      <c r="AV1102" s="20">
        <f t="shared" si="137"/>
        <v>654.16015625</v>
      </c>
      <c r="AW1102" s="21">
        <f t="shared" si="143"/>
        <v>1.9823035037878786E-2</v>
      </c>
    </row>
    <row r="1103" spans="1:49" x14ac:dyDescent="0.25">
      <c r="A1103" t="s">
        <v>38</v>
      </c>
      <c r="B1103" t="s">
        <v>110</v>
      </c>
      <c r="C1103">
        <v>258097</v>
      </c>
      <c r="D1103">
        <v>2017</v>
      </c>
      <c r="E1103" t="s">
        <v>146</v>
      </c>
      <c r="F1103" t="s">
        <v>302</v>
      </c>
      <c r="I1103">
        <v>6</v>
      </c>
      <c r="J1103" t="s">
        <v>61</v>
      </c>
      <c r="K1103">
        <v>4</v>
      </c>
      <c r="L1103" t="s">
        <v>44</v>
      </c>
      <c r="M1103">
        <v>3.5</v>
      </c>
      <c r="N1103" t="s">
        <v>45</v>
      </c>
      <c r="O1103" t="s">
        <v>46</v>
      </c>
      <c r="P1103">
        <v>2</v>
      </c>
      <c r="Q1103" t="s">
        <v>62</v>
      </c>
      <c r="R1103" t="s">
        <v>63</v>
      </c>
      <c r="S1103" t="s">
        <v>49</v>
      </c>
      <c r="U1103" t="s">
        <v>50</v>
      </c>
      <c r="V1103" t="s">
        <v>76</v>
      </c>
      <c r="X1103" t="s">
        <v>141</v>
      </c>
      <c r="Y1103" t="s">
        <v>78</v>
      </c>
      <c r="AA1103">
        <v>0</v>
      </c>
      <c r="AB1103" t="s">
        <v>79</v>
      </c>
      <c r="AC1103" t="s">
        <v>109</v>
      </c>
      <c r="AD1103">
        <v>36</v>
      </c>
      <c r="AE1103">
        <v>9</v>
      </c>
      <c r="AF1103">
        <v>3</v>
      </c>
      <c r="AG1103">
        <v>2025</v>
      </c>
      <c r="AH1103" s="2">
        <v>1400</v>
      </c>
      <c r="AI1103" s="2">
        <v>1225.111694335938</v>
      </c>
      <c r="AJ1103" s="2">
        <f t="shared" si="138"/>
        <v>174.88830566406205</v>
      </c>
      <c r="AK1103" s="6">
        <f t="shared" si="139"/>
        <v>0.12492021833147289</v>
      </c>
      <c r="AL1103" s="12">
        <v>1400</v>
      </c>
      <c r="AM1103" s="12">
        <v>1506.2860333069141</v>
      </c>
      <c r="AN1103" s="12">
        <f t="shared" si="140"/>
        <v>106.28603330691408</v>
      </c>
      <c r="AO1103" s="13">
        <f t="shared" si="141"/>
        <v>7.5918595219224339E-2</v>
      </c>
      <c r="AP1103" s="16">
        <v>1400</v>
      </c>
      <c r="AQ1103" s="16">
        <v>1241.397683224872</v>
      </c>
      <c r="AR1103" s="16">
        <f t="shared" si="142"/>
        <v>158.60231677512797</v>
      </c>
      <c r="AS1103" s="17">
        <f t="shared" si="136"/>
        <v>0.11328736912509141</v>
      </c>
      <c r="AT1103" s="20">
        <v>1400</v>
      </c>
      <c r="AU1103" s="20">
        <v>1212.611694335938</v>
      </c>
      <c r="AV1103" s="20">
        <f t="shared" si="137"/>
        <v>187.38830566406205</v>
      </c>
      <c r="AW1103" s="21">
        <f t="shared" si="143"/>
        <v>0.13384878976004433</v>
      </c>
    </row>
    <row r="1104" spans="1:49" x14ac:dyDescent="0.25">
      <c r="A1104" t="s">
        <v>38</v>
      </c>
      <c r="B1104" t="s">
        <v>110</v>
      </c>
      <c r="C1104">
        <v>244961</v>
      </c>
      <c r="D1104">
        <v>2008</v>
      </c>
      <c r="E1104" t="s">
        <v>166</v>
      </c>
      <c r="F1104" t="s">
        <v>1221</v>
      </c>
      <c r="I1104">
        <v>4</v>
      </c>
      <c r="J1104" t="s">
        <v>43</v>
      </c>
      <c r="K1104">
        <v>4</v>
      </c>
      <c r="L1104" t="s">
        <v>44</v>
      </c>
      <c r="M1104">
        <v>1.5</v>
      </c>
      <c r="N1104" t="s">
        <v>45</v>
      </c>
      <c r="Q1104" t="s">
        <v>47</v>
      </c>
      <c r="R1104" t="s">
        <v>48</v>
      </c>
      <c r="T1104">
        <v>109</v>
      </c>
      <c r="U1104" t="s">
        <v>50</v>
      </c>
      <c r="V1104" t="s">
        <v>51</v>
      </c>
      <c r="W1104" t="s">
        <v>1222</v>
      </c>
      <c r="X1104" t="s">
        <v>53</v>
      </c>
      <c r="Y1104" t="s">
        <v>54</v>
      </c>
      <c r="AA1104">
        <v>0</v>
      </c>
      <c r="AB1104" t="s">
        <v>79</v>
      </c>
      <c r="AC1104" t="s">
        <v>359</v>
      </c>
      <c r="AD1104">
        <v>36</v>
      </c>
      <c r="AE1104">
        <v>9</v>
      </c>
      <c r="AF1104">
        <v>3</v>
      </c>
      <c r="AG1104">
        <v>2025</v>
      </c>
      <c r="AH1104" s="2">
        <v>2200</v>
      </c>
      <c r="AI1104" s="2">
        <v>1018.521545410156</v>
      </c>
      <c r="AJ1104" s="2">
        <f t="shared" si="138"/>
        <v>1181.478454589844</v>
      </c>
      <c r="AK1104" s="6">
        <f t="shared" si="139"/>
        <v>0.53703566117720181</v>
      </c>
      <c r="AL1104" s="12">
        <v>2200</v>
      </c>
      <c r="AM1104" s="12">
        <v>1250.612018544545</v>
      </c>
      <c r="AN1104" s="12">
        <f t="shared" si="140"/>
        <v>949.38798145545502</v>
      </c>
      <c r="AO1104" s="13">
        <f t="shared" si="141"/>
        <v>0.43153999157066136</v>
      </c>
      <c r="AP1104" s="16">
        <v>2200</v>
      </c>
      <c r="AQ1104" s="16">
        <v>819.8585775327407</v>
      </c>
      <c r="AR1104" s="16">
        <f t="shared" si="142"/>
        <v>1380.1414224672594</v>
      </c>
      <c r="AS1104" s="17">
        <f t="shared" si="136"/>
        <v>0.62733701021239063</v>
      </c>
      <c r="AT1104" s="20">
        <v>2200</v>
      </c>
      <c r="AU1104" s="20">
        <v>1009.851257324219</v>
      </c>
      <c r="AV1104" s="20">
        <f t="shared" si="137"/>
        <v>1190.148742675781</v>
      </c>
      <c r="AW1104" s="21">
        <f t="shared" si="143"/>
        <v>0.54097670121626407</v>
      </c>
    </row>
    <row r="1105" spans="1:49" x14ac:dyDescent="0.25">
      <c r="A1105" t="s">
        <v>38</v>
      </c>
      <c r="B1105" t="s">
        <v>39</v>
      </c>
      <c r="C1105">
        <v>128135</v>
      </c>
      <c r="D1105">
        <v>2008</v>
      </c>
      <c r="E1105" t="s">
        <v>345</v>
      </c>
      <c r="F1105" t="s">
        <v>1223</v>
      </c>
      <c r="H1105" t="s">
        <v>710</v>
      </c>
      <c r="I1105">
        <v>6</v>
      </c>
      <c r="J1105" t="s">
        <v>61</v>
      </c>
      <c r="K1105">
        <v>4</v>
      </c>
      <c r="L1105" t="s">
        <v>44</v>
      </c>
      <c r="M1105">
        <v>3</v>
      </c>
      <c r="N1105" t="s">
        <v>73</v>
      </c>
      <c r="Q1105" t="s">
        <v>47</v>
      </c>
      <c r="R1105" t="s">
        <v>123</v>
      </c>
      <c r="T1105">
        <v>300</v>
      </c>
      <c r="U1105" t="s">
        <v>50</v>
      </c>
      <c r="X1105" t="s">
        <v>125</v>
      </c>
      <c r="Y1105" t="s">
        <v>137</v>
      </c>
      <c r="AA1105">
        <v>0</v>
      </c>
      <c r="AB1105" t="s">
        <v>79</v>
      </c>
      <c r="AC1105" t="s">
        <v>127</v>
      </c>
      <c r="AD1105">
        <v>36</v>
      </c>
      <c r="AE1105">
        <v>9</v>
      </c>
      <c r="AF1105">
        <v>3</v>
      </c>
      <c r="AG1105">
        <v>2025</v>
      </c>
      <c r="AH1105" s="2">
        <v>1500</v>
      </c>
      <c r="AI1105" s="2">
        <v>2712.711669921875</v>
      </c>
      <c r="AJ1105" s="2">
        <f t="shared" si="138"/>
        <v>1212.711669921875</v>
      </c>
      <c r="AK1105" s="6">
        <f t="shared" si="139"/>
        <v>0.80847444661458334</v>
      </c>
      <c r="AL1105" s="12">
        <v>1500</v>
      </c>
      <c r="AM1105" s="12">
        <v>2093.4941738685288</v>
      </c>
      <c r="AN1105" s="12">
        <f t="shared" si="140"/>
        <v>593.49417386852883</v>
      </c>
      <c r="AO1105" s="13">
        <f t="shared" si="141"/>
        <v>0.39566278257901921</v>
      </c>
      <c r="AP1105" s="16">
        <v>1500</v>
      </c>
      <c r="AQ1105" s="16">
        <v>2011.440007925097</v>
      </c>
      <c r="AR1105" s="16">
        <f t="shared" si="142"/>
        <v>511.44000792509701</v>
      </c>
      <c r="AS1105" s="17">
        <f t="shared" si="136"/>
        <v>0.34096000528339798</v>
      </c>
      <c r="AT1105" s="20">
        <v>1500</v>
      </c>
      <c r="AU1105" s="20">
        <v>2682.979248046875</v>
      </c>
      <c r="AV1105" s="20">
        <f t="shared" si="137"/>
        <v>1182.979248046875</v>
      </c>
      <c r="AW1105" s="21">
        <f t="shared" si="143"/>
        <v>0.78865283203125003</v>
      </c>
    </row>
    <row r="1106" spans="1:49" x14ac:dyDescent="0.25">
      <c r="A1106" t="s">
        <v>38</v>
      </c>
      <c r="B1106" t="s">
        <v>68</v>
      </c>
      <c r="C1106">
        <v>77909</v>
      </c>
      <c r="D1106">
        <v>2019</v>
      </c>
      <c r="E1106" t="s">
        <v>464</v>
      </c>
      <c r="F1106" t="s">
        <v>1224</v>
      </c>
      <c r="G1106" t="s">
        <v>224</v>
      </c>
      <c r="I1106">
        <v>4</v>
      </c>
      <c r="J1106" t="s">
        <v>61</v>
      </c>
      <c r="K1106">
        <v>4</v>
      </c>
      <c r="L1106" t="s">
        <v>44</v>
      </c>
      <c r="M1106">
        <v>2</v>
      </c>
      <c r="N1106" t="s">
        <v>91</v>
      </c>
      <c r="O1106" t="s">
        <v>46</v>
      </c>
      <c r="Q1106" t="s">
        <v>62</v>
      </c>
      <c r="R1106" t="s">
        <v>63</v>
      </c>
      <c r="S1106" t="s">
        <v>85</v>
      </c>
      <c r="T1106">
        <v>237</v>
      </c>
      <c r="U1106" t="s">
        <v>50</v>
      </c>
      <c r="V1106" t="s">
        <v>51</v>
      </c>
      <c r="W1106" t="s">
        <v>1225</v>
      </c>
      <c r="X1106" t="s">
        <v>141</v>
      </c>
      <c r="Y1106" t="s">
        <v>427</v>
      </c>
      <c r="Z1106">
        <v>37900</v>
      </c>
      <c r="AA1106">
        <v>0</v>
      </c>
      <c r="AB1106" t="s">
        <v>79</v>
      </c>
      <c r="AC1106" t="s">
        <v>87</v>
      </c>
      <c r="AD1106">
        <v>36</v>
      </c>
      <c r="AE1106">
        <v>9</v>
      </c>
      <c r="AF1106">
        <v>3</v>
      </c>
      <c r="AG1106">
        <v>2025</v>
      </c>
      <c r="AH1106" s="2">
        <v>5000</v>
      </c>
      <c r="AI1106" s="2">
        <v>11317.9140625</v>
      </c>
      <c r="AJ1106" s="2">
        <f t="shared" si="138"/>
        <v>6317.9140625</v>
      </c>
      <c r="AK1106" s="6">
        <f t="shared" si="139"/>
        <v>1.2635828124999999</v>
      </c>
      <c r="AL1106" s="12">
        <v>5000</v>
      </c>
      <c r="AM1106" s="12">
        <v>12287.124321845829</v>
      </c>
      <c r="AN1106" s="12">
        <f t="shared" si="140"/>
        <v>7287.1243218458294</v>
      </c>
      <c r="AO1106" s="13">
        <f t="shared" si="141"/>
        <v>1.4574248643691659</v>
      </c>
      <c r="AP1106" s="16">
        <v>5000</v>
      </c>
      <c r="AQ1106" s="16">
        <v>12236.217795142769</v>
      </c>
      <c r="AR1106" s="16">
        <f t="shared" si="142"/>
        <v>7236.2177951427693</v>
      </c>
      <c r="AS1106" s="17">
        <f t="shared" si="136"/>
        <v>1.4472435590285539</v>
      </c>
      <c r="AT1106" s="20">
        <v>5000</v>
      </c>
      <c r="AU1106" s="20">
        <v>11608.11328125</v>
      </c>
      <c r="AV1106" s="20">
        <f t="shared" si="137"/>
        <v>6608.11328125</v>
      </c>
      <c r="AW1106" s="21">
        <f t="shared" si="143"/>
        <v>1.32162265625</v>
      </c>
    </row>
    <row r="1107" spans="1:49" x14ac:dyDescent="0.25">
      <c r="A1107" t="s">
        <v>38</v>
      </c>
      <c r="B1107" t="s">
        <v>39</v>
      </c>
      <c r="C1107">
        <v>211496</v>
      </c>
      <c r="D1107">
        <v>2014</v>
      </c>
      <c r="E1107" t="s">
        <v>69</v>
      </c>
      <c r="F1107" t="s">
        <v>231</v>
      </c>
      <c r="I1107">
        <v>6</v>
      </c>
      <c r="J1107" t="s">
        <v>43</v>
      </c>
      <c r="K1107">
        <v>4</v>
      </c>
      <c r="L1107" t="s">
        <v>44</v>
      </c>
      <c r="M1107">
        <v>3.5</v>
      </c>
      <c r="N1107" t="s">
        <v>91</v>
      </c>
      <c r="O1107" t="s">
        <v>46</v>
      </c>
      <c r="Q1107" t="s">
        <v>74</v>
      </c>
      <c r="R1107" t="s">
        <v>92</v>
      </c>
      <c r="S1107" t="s">
        <v>93</v>
      </c>
      <c r="T1107">
        <v>365</v>
      </c>
      <c r="U1107" t="s">
        <v>50</v>
      </c>
      <c r="V1107" t="s">
        <v>76</v>
      </c>
      <c r="X1107" t="s">
        <v>108</v>
      </c>
      <c r="Y1107" t="s">
        <v>78</v>
      </c>
      <c r="AA1107">
        <v>0</v>
      </c>
      <c r="AB1107" t="s">
        <v>79</v>
      </c>
      <c r="AC1107" t="s">
        <v>95</v>
      </c>
      <c r="AD1107">
        <v>36</v>
      </c>
      <c r="AE1107">
        <v>9</v>
      </c>
      <c r="AF1107">
        <v>3</v>
      </c>
      <c r="AG1107">
        <v>2025</v>
      </c>
      <c r="AH1107" s="2">
        <v>5100</v>
      </c>
      <c r="AI1107" s="2">
        <v>6043.23681640625</v>
      </c>
      <c r="AJ1107" s="2">
        <f t="shared" si="138"/>
        <v>943.23681640625</v>
      </c>
      <c r="AK1107" s="6">
        <f t="shared" si="139"/>
        <v>0.1849483953737745</v>
      </c>
      <c r="AL1107" s="12">
        <v>5100</v>
      </c>
      <c r="AM1107" s="12">
        <v>5998.3843600656955</v>
      </c>
      <c r="AN1107" s="12">
        <f t="shared" si="140"/>
        <v>898.38436006569555</v>
      </c>
      <c r="AO1107" s="13">
        <f t="shared" si="141"/>
        <v>0.17615379609131285</v>
      </c>
      <c r="AP1107" s="16">
        <v>5100</v>
      </c>
      <c r="AQ1107" s="16">
        <v>6216.0990899204116</v>
      </c>
      <c r="AR1107" s="16">
        <f t="shared" si="142"/>
        <v>1116.0990899204116</v>
      </c>
      <c r="AS1107" s="17">
        <f t="shared" si="136"/>
        <v>0.21884295880792384</v>
      </c>
      <c r="AT1107" s="20">
        <v>5100</v>
      </c>
      <c r="AU1107" s="20">
        <v>6022.6533203125</v>
      </c>
      <c r="AV1107" s="20">
        <f t="shared" si="137"/>
        <v>922.6533203125</v>
      </c>
      <c r="AW1107" s="21">
        <f t="shared" si="143"/>
        <v>0.18091241574754902</v>
      </c>
    </row>
    <row r="1108" spans="1:49" x14ac:dyDescent="0.25">
      <c r="A1108" t="s">
        <v>38</v>
      </c>
      <c r="B1108" t="s">
        <v>68</v>
      </c>
      <c r="C1108">
        <v>46417</v>
      </c>
      <c r="D1108">
        <v>2023</v>
      </c>
      <c r="E1108" t="s">
        <v>146</v>
      </c>
      <c r="F1108" t="s">
        <v>279</v>
      </c>
      <c r="G1108" t="s">
        <v>716</v>
      </c>
      <c r="I1108">
        <v>4</v>
      </c>
      <c r="J1108" t="s">
        <v>135</v>
      </c>
      <c r="K1108">
        <v>4</v>
      </c>
      <c r="L1108" t="s">
        <v>44</v>
      </c>
      <c r="M1108">
        <v>2</v>
      </c>
      <c r="N1108" t="s">
        <v>45</v>
      </c>
      <c r="O1108" t="s">
        <v>46</v>
      </c>
      <c r="P1108">
        <v>2</v>
      </c>
      <c r="Q1108" t="s">
        <v>47</v>
      </c>
      <c r="R1108" t="s">
        <v>123</v>
      </c>
      <c r="S1108" t="s">
        <v>49</v>
      </c>
      <c r="U1108" t="s">
        <v>50</v>
      </c>
      <c r="V1108" t="s">
        <v>51</v>
      </c>
      <c r="X1108" t="s">
        <v>65</v>
      </c>
      <c r="Y1108" t="s">
        <v>126</v>
      </c>
      <c r="AA1108">
        <v>0</v>
      </c>
      <c r="AB1108" t="s">
        <v>79</v>
      </c>
      <c r="AC1108" t="s">
        <v>127</v>
      </c>
      <c r="AD1108">
        <v>36</v>
      </c>
      <c r="AE1108">
        <v>9</v>
      </c>
      <c r="AF1108">
        <v>3</v>
      </c>
      <c r="AG1108">
        <v>2025</v>
      </c>
      <c r="AH1108" s="2">
        <v>11700</v>
      </c>
      <c r="AI1108" s="2">
        <v>12829.78125</v>
      </c>
      <c r="AJ1108" s="2">
        <f t="shared" si="138"/>
        <v>1129.78125</v>
      </c>
      <c r="AK1108" s="6">
        <f t="shared" si="139"/>
        <v>9.6562499999999996E-2</v>
      </c>
      <c r="AL1108" s="12">
        <v>11700</v>
      </c>
      <c r="AM1108" s="12">
        <v>12060.62880832631</v>
      </c>
      <c r="AN1108" s="12">
        <f t="shared" si="140"/>
        <v>360.62880832630981</v>
      </c>
      <c r="AO1108" s="13">
        <f t="shared" si="141"/>
        <v>3.0822975070624769E-2</v>
      </c>
      <c r="AP1108" s="16">
        <v>11700</v>
      </c>
      <c r="AQ1108" s="16">
        <v>11019.61827599404</v>
      </c>
      <c r="AR1108" s="16">
        <f t="shared" si="142"/>
        <v>680.38172400595977</v>
      </c>
      <c r="AS1108" s="17">
        <f t="shared" si="136"/>
        <v>5.8152284103073486E-2</v>
      </c>
      <c r="AT1108" s="20">
        <v>11700</v>
      </c>
      <c r="AU1108" s="20">
        <v>12565.38671875</v>
      </c>
      <c r="AV1108" s="20">
        <f t="shared" si="137"/>
        <v>865.38671875</v>
      </c>
      <c r="AW1108" s="21">
        <f t="shared" si="143"/>
        <v>7.3964676816239319E-2</v>
      </c>
    </row>
    <row r="1109" spans="1:49" x14ac:dyDescent="0.25">
      <c r="A1109" t="s">
        <v>38</v>
      </c>
      <c r="B1109" t="s">
        <v>96</v>
      </c>
      <c r="C1109">
        <v>68225</v>
      </c>
      <c r="D1109">
        <v>2018</v>
      </c>
      <c r="E1109" t="s">
        <v>464</v>
      </c>
      <c r="F1109" t="s">
        <v>813</v>
      </c>
      <c r="G1109" t="s">
        <v>1226</v>
      </c>
      <c r="I1109">
        <v>4</v>
      </c>
      <c r="J1109" t="s">
        <v>61</v>
      </c>
      <c r="K1109">
        <v>4</v>
      </c>
      <c r="L1109" t="s">
        <v>44</v>
      </c>
      <c r="M1109">
        <v>2</v>
      </c>
      <c r="N1109" t="s">
        <v>44</v>
      </c>
      <c r="O1109" t="s">
        <v>46</v>
      </c>
      <c r="Q1109" t="s">
        <v>62</v>
      </c>
      <c r="R1109" t="s">
        <v>63</v>
      </c>
      <c r="S1109" t="s">
        <v>85</v>
      </c>
      <c r="T1109">
        <v>247</v>
      </c>
      <c r="U1109" t="s">
        <v>50</v>
      </c>
      <c r="V1109" t="s">
        <v>51</v>
      </c>
      <c r="W1109" t="s">
        <v>1225</v>
      </c>
      <c r="X1109" t="s">
        <v>141</v>
      </c>
      <c r="Y1109" t="s">
        <v>427</v>
      </c>
      <c r="Z1109">
        <v>58700</v>
      </c>
      <c r="AA1109">
        <v>0</v>
      </c>
      <c r="AB1109" t="s">
        <v>79</v>
      </c>
      <c r="AC1109" t="s">
        <v>87</v>
      </c>
      <c r="AD1109">
        <v>36</v>
      </c>
      <c r="AE1109">
        <v>9</v>
      </c>
      <c r="AF1109">
        <v>3</v>
      </c>
      <c r="AG1109">
        <v>2025</v>
      </c>
      <c r="AH1109" s="2">
        <v>16600</v>
      </c>
      <c r="AI1109" s="2">
        <v>15561.2021484375</v>
      </c>
      <c r="AJ1109" s="2">
        <f t="shared" si="138"/>
        <v>1038.7978515625</v>
      </c>
      <c r="AK1109" s="6">
        <f t="shared" si="139"/>
        <v>6.257818382906627E-2</v>
      </c>
      <c r="AL1109" s="12">
        <v>16600</v>
      </c>
      <c r="AM1109" s="12">
        <v>15457.60231347525</v>
      </c>
      <c r="AN1109" s="12">
        <f t="shared" si="140"/>
        <v>1142.3976865247496</v>
      </c>
      <c r="AO1109" s="13">
        <f t="shared" si="141"/>
        <v>6.8819137742454795E-2</v>
      </c>
      <c r="AP1109" s="16">
        <v>16600</v>
      </c>
      <c r="AQ1109" s="16">
        <v>16359.6646001267</v>
      </c>
      <c r="AR1109" s="16">
        <f t="shared" si="142"/>
        <v>240.33539987330005</v>
      </c>
      <c r="AS1109" s="17">
        <f t="shared" si="136"/>
        <v>1.4478036136945786E-2</v>
      </c>
      <c r="AT1109" s="20">
        <v>16600</v>
      </c>
      <c r="AU1109" s="20">
        <v>15307.1962890625</v>
      </c>
      <c r="AV1109" s="20">
        <f t="shared" si="137"/>
        <v>1292.8037109375</v>
      </c>
      <c r="AW1109" s="21">
        <f t="shared" si="143"/>
        <v>7.7879741622740958E-2</v>
      </c>
    </row>
    <row r="1110" spans="1:49" x14ac:dyDescent="0.25">
      <c r="A1110" t="s">
        <v>128</v>
      </c>
      <c r="B1110" t="s">
        <v>129</v>
      </c>
      <c r="C1110">
        <v>108243</v>
      </c>
      <c r="D1110">
        <v>2010</v>
      </c>
      <c r="E1110" t="s">
        <v>286</v>
      </c>
      <c r="F1110" t="s">
        <v>1122</v>
      </c>
      <c r="G1110" t="s">
        <v>1227</v>
      </c>
      <c r="H1110" t="s">
        <v>1228</v>
      </c>
      <c r="I1110">
        <v>6</v>
      </c>
      <c r="J1110" t="s">
        <v>106</v>
      </c>
      <c r="K1110">
        <v>4</v>
      </c>
      <c r="L1110" t="s">
        <v>44</v>
      </c>
      <c r="M1110">
        <v>2.5</v>
      </c>
      <c r="N1110" t="s">
        <v>44</v>
      </c>
      <c r="O1110" t="s">
        <v>46</v>
      </c>
      <c r="Q1110" t="s">
        <v>47</v>
      </c>
      <c r="R1110" t="s">
        <v>123</v>
      </c>
      <c r="S1110" t="s">
        <v>93</v>
      </c>
      <c r="T1110">
        <v>236</v>
      </c>
      <c r="U1110" t="s">
        <v>50</v>
      </c>
      <c r="V1110" t="s">
        <v>76</v>
      </c>
      <c r="W1110" t="s">
        <v>1124</v>
      </c>
      <c r="X1110" t="s">
        <v>125</v>
      </c>
      <c r="Y1110" t="s">
        <v>54</v>
      </c>
      <c r="AA1110">
        <v>0</v>
      </c>
      <c r="AB1110" t="s">
        <v>79</v>
      </c>
      <c r="AC1110" t="s">
        <v>127</v>
      </c>
      <c r="AD1110">
        <v>36</v>
      </c>
      <c r="AE1110">
        <v>9</v>
      </c>
      <c r="AF1110">
        <v>3</v>
      </c>
      <c r="AG1110">
        <v>2025</v>
      </c>
      <c r="AH1110" s="2">
        <v>4800</v>
      </c>
      <c r="AI1110" s="2">
        <v>5241.63720703125</v>
      </c>
      <c r="AJ1110" s="2">
        <f t="shared" si="138"/>
        <v>441.63720703125</v>
      </c>
      <c r="AK1110" s="6">
        <f t="shared" si="139"/>
        <v>9.2007751464843746E-2</v>
      </c>
      <c r="AL1110" s="12">
        <v>4800</v>
      </c>
      <c r="AM1110" s="12">
        <v>5789.4160372408742</v>
      </c>
      <c r="AN1110" s="12">
        <f t="shared" si="140"/>
        <v>989.41603724087418</v>
      </c>
      <c r="AO1110" s="13">
        <f t="shared" si="141"/>
        <v>0.2061283410918488</v>
      </c>
      <c r="AP1110" s="16">
        <v>4800</v>
      </c>
      <c r="AQ1110" s="16">
        <v>4395.6412125340248</v>
      </c>
      <c r="AR1110" s="16">
        <f t="shared" si="142"/>
        <v>404.35878746597518</v>
      </c>
      <c r="AS1110" s="17">
        <f t="shared" si="136"/>
        <v>8.4241414055411495E-2</v>
      </c>
      <c r="AT1110" s="20">
        <v>4800</v>
      </c>
      <c r="AU1110" s="20">
        <v>5305.46484375</v>
      </c>
      <c r="AV1110" s="20">
        <f t="shared" si="137"/>
        <v>505.46484375</v>
      </c>
      <c r="AW1110" s="21">
        <f t="shared" si="143"/>
        <v>0.10530517578125</v>
      </c>
    </row>
    <row r="1111" spans="1:49" x14ac:dyDescent="0.25">
      <c r="A1111" t="s">
        <v>38</v>
      </c>
      <c r="B1111" t="s">
        <v>110</v>
      </c>
      <c r="C1111">
        <v>127005</v>
      </c>
      <c r="D1111">
        <v>2010</v>
      </c>
      <c r="E1111" t="s">
        <v>162</v>
      </c>
      <c r="F1111" t="s">
        <v>532</v>
      </c>
      <c r="G1111" t="s">
        <v>292</v>
      </c>
      <c r="I1111">
        <v>4</v>
      </c>
      <c r="J1111" t="s">
        <v>106</v>
      </c>
      <c r="K1111">
        <v>4</v>
      </c>
      <c r="L1111" t="s">
        <v>44</v>
      </c>
      <c r="M1111">
        <v>2.4</v>
      </c>
      <c r="N1111" t="s">
        <v>45</v>
      </c>
      <c r="Q1111" t="s">
        <v>62</v>
      </c>
      <c r="R1111" t="s">
        <v>63</v>
      </c>
      <c r="U1111" t="s">
        <v>50</v>
      </c>
      <c r="X1111" t="s">
        <v>65</v>
      </c>
      <c r="Y1111" t="s">
        <v>78</v>
      </c>
      <c r="AA1111">
        <v>0</v>
      </c>
      <c r="AB1111" t="s">
        <v>79</v>
      </c>
      <c r="AC1111" t="s">
        <v>87</v>
      </c>
      <c r="AD1111">
        <v>36</v>
      </c>
      <c r="AE1111">
        <v>9</v>
      </c>
      <c r="AF1111">
        <v>3</v>
      </c>
      <c r="AG1111">
        <v>2025</v>
      </c>
      <c r="AH1111" s="2">
        <v>3700</v>
      </c>
      <c r="AI1111" s="2">
        <v>1918.072875976562</v>
      </c>
      <c r="AJ1111" s="2">
        <f t="shared" si="138"/>
        <v>1781.927124023438</v>
      </c>
      <c r="AK1111" s="6">
        <f t="shared" si="139"/>
        <v>0.48160192541173996</v>
      </c>
      <c r="AL1111" s="12">
        <v>3700</v>
      </c>
      <c r="AM1111" s="12">
        <v>1877.497161504753</v>
      </c>
      <c r="AN1111" s="12">
        <f t="shared" si="140"/>
        <v>1822.502838495247</v>
      </c>
      <c r="AO1111" s="13">
        <f t="shared" si="141"/>
        <v>0.49256833472844513</v>
      </c>
      <c r="AP1111" s="16">
        <v>3700</v>
      </c>
      <c r="AQ1111" s="16">
        <v>1607.368817105792</v>
      </c>
      <c r="AR1111" s="16">
        <f t="shared" si="142"/>
        <v>2092.631182894208</v>
      </c>
      <c r="AS1111" s="17">
        <f t="shared" si="136"/>
        <v>0.56557599537681302</v>
      </c>
      <c r="AT1111" s="20">
        <v>3700</v>
      </c>
      <c r="AU1111" s="20">
        <v>1915.847778320312</v>
      </c>
      <c r="AV1111" s="20">
        <f t="shared" si="137"/>
        <v>1784.152221679688</v>
      </c>
      <c r="AW1111" s="21">
        <f t="shared" si="143"/>
        <v>0.48220330315667242</v>
      </c>
    </row>
    <row r="1112" spans="1:49" x14ac:dyDescent="0.25">
      <c r="A1112" t="s">
        <v>38</v>
      </c>
      <c r="B1112" t="s">
        <v>110</v>
      </c>
      <c r="C1112">
        <v>211050</v>
      </c>
      <c r="D1112">
        <v>2014</v>
      </c>
      <c r="E1112" t="s">
        <v>132</v>
      </c>
      <c r="F1112" t="s">
        <v>361</v>
      </c>
      <c r="G1112" t="s">
        <v>900</v>
      </c>
      <c r="H1112" t="s">
        <v>1087</v>
      </c>
      <c r="I1112">
        <v>6</v>
      </c>
      <c r="J1112" t="s">
        <v>106</v>
      </c>
      <c r="K1112">
        <v>4</v>
      </c>
      <c r="L1112" t="s">
        <v>44</v>
      </c>
      <c r="M1112">
        <v>3.5</v>
      </c>
      <c r="N1112" t="s">
        <v>44</v>
      </c>
      <c r="Q1112" t="s">
        <v>47</v>
      </c>
      <c r="R1112" t="s">
        <v>123</v>
      </c>
      <c r="S1112" t="s">
        <v>85</v>
      </c>
      <c r="U1112" t="s">
        <v>50</v>
      </c>
      <c r="V1112" t="s">
        <v>76</v>
      </c>
      <c r="X1112" t="s">
        <v>125</v>
      </c>
      <c r="Y1112" t="s">
        <v>137</v>
      </c>
      <c r="AA1112">
        <v>0</v>
      </c>
      <c r="AB1112" t="s">
        <v>79</v>
      </c>
      <c r="AC1112" t="s">
        <v>127</v>
      </c>
      <c r="AD1112">
        <v>36</v>
      </c>
      <c r="AE1112">
        <v>9</v>
      </c>
      <c r="AF1112">
        <v>3</v>
      </c>
      <c r="AG1112">
        <v>2025</v>
      </c>
      <c r="AH1112" s="2">
        <v>3200</v>
      </c>
      <c r="AI1112" s="2">
        <v>2122.398681640625</v>
      </c>
      <c r="AJ1112" s="2">
        <f t="shared" si="138"/>
        <v>1077.601318359375</v>
      </c>
      <c r="AK1112" s="6">
        <f t="shared" si="139"/>
        <v>0.33675041198730471</v>
      </c>
      <c r="AL1112" s="12">
        <v>3200</v>
      </c>
      <c r="AM1112" s="12">
        <v>2146.7757056140108</v>
      </c>
      <c r="AN1112" s="12">
        <f t="shared" si="140"/>
        <v>1053.2242943859892</v>
      </c>
      <c r="AO1112" s="13">
        <f t="shared" si="141"/>
        <v>0.32913259199562162</v>
      </c>
      <c r="AP1112" s="16">
        <v>3200</v>
      </c>
      <c r="AQ1112" s="16">
        <v>1461.363352782497</v>
      </c>
      <c r="AR1112" s="16">
        <f t="shared" si="142"/>
        <v>1738.636647217503</v>
      </c>
      <c r="AS1112" s="17">
        <f t="shared" si="136"/>
        <v>0.5433239522554697</v>
      </c>
      <c r="AT1112" s="20">
        <v>3200</v>
      </c>
      <c r="AU1112" s="20">
        <v>2125.060302734375</v>
      </c>
      <c r="AV1112" s="20">
        <f t="shared" si="137"/>
        <v>1074.939697265625</v>
      </c>
      <c r="AW1112" s="21">
        <f t="shared" si="143"/>
        <v>0.3359186553955078</v>
      </c>
    </row>
    <row r="1113" spans="1:49" x14ac:dyDescent="0.25">
      <c r="A1113" t="s">
        <v>38</v>
      </c>
      <c r="B1113" t="s">
        <v>110</v>
      </c>
      <c r="C1113">
        <v>172392</v>
      </c>
      <c r="D1113">
        <v>2017</v>
      </c>
      <c r="E1113" t="s">
        <v>162</v>
      </c>
      <c r="F1113" t="s">
        <v>211</v>
      </c>
      <c r="G1113" t="s">
        <v>533</v>
      </c>
      <c r="I1113">
        <v>4</v>
      </c>
      <c r="J1113" t="s">
        <v>135</v>
      </c>
      <c r="K1113">
        <v>4</v>
      </c>
      <c r="L1113" t="s">
        <v>44</v>
      </c>
      <c r="M1113">
        <v>2</v>
      </c>
      <c r="N1113" t="s">
        <v>45</v>
      </c>
      <c r="Q1113" t="s">
        <v>47</v>
      </c>
      <c r="R1113" t="s">
        <v>123</v>
      </c>
      <c r="T1113">
        <v>147</v>
      </c>
      <c r="U1113" t="s">
        <v>50</v>
      </c>
      <c r="X1113" t="s">
        <v>125</v>
      </c>
      <c r="Y1113" t="s">
        <v>78</v>
      </c>
      <c r="Z1113">
        <v>17150</v>
      </c>
      <c r="AA1113">
        <v>0</v>
      </c>
      <c r="AB1113" t="s">
        <v>79</v>
      </c>
      <c r="AC1113" t="s">
        <v>127</v>
      </c>
      <c r="AD1113">
        <v>36</v>
      </c>
      <c r="AE1113">
        <v>9</v>
      </c>
      <c r="AF1113">
        <v>3</v>
      </c>
      <c r="AG1113">
        <v>2025</v>
      </c>
      <c r="AH1113" s="2">
        <v>900</v>
      </c>
      <c r="AI1113" s="2">
        <v>1757.672119140625</v>
      </c>
      <c r="AJ1113" s="2">
        <f t="shared" si="138"/>
        <v>857.672119140625</v>
      </c>
      <c r="AK1113" s="6">
        <f t="shared" si="139"/>
        <v>0.95296902126736116</v>
      </c>
      <c r="AL1113" s="12">
        <v>900</v>
      </c>
      <c r="AM1113" s="12">
        <v>1971.398506457926</v>
      </c>
      <c r="AN1113" s="12">
        <f t="shared" si="140"/>
        <v>1071.398506457926</v>
      </c>
      <c r="AO1113" s="13">
        <f t="shared" si="141"/>
        <v>1.1904427849532511</v>
      </c>
      <c r="AP1113" s="16">
        <v>900</v>
      </c>
      <c r="AQ1113" s="16">
        <v>1579.1859010842909</v>
      </c>
      <c r="AR1113" s="16">
        <f t="shared" si="142"/>
        <v>679.18590108429089</v>
      </c>
      <c r="AS1113" s="17">
        <f t="shared" si="136"/>
        <v>0.75465100120476769</v>
      </c>
      <c r="AT1113" s="20">
        <v>900</v>
      </c>
      <c r="AU1113" s="20">
        <v>1770.00146484375</v>
      </c>
      <c r="AV1113" s="20">
        <f t="shared" si="137"/>
        <v>870.00146484375</v>
      </c>
      <c r="AW1113" s="21">
        <f t="shared" si="143"/>
        <v>0.96666829427083334</v>
      </c>
    </row>
    <row r="1114" spans="1:49" x14ac:dyDescent="0.25">
      <c r="A1114" t="s">
        <v>114</v>
      </c>
      <c r="B1114" t="s">
        <v>340</v>
      </c>
      <c r="C1114">
        <v>227173</v>
      </c>
      <c r="D1114">
        <v>2007</v>
      </c>
      <c r="E1114" t="s">
        <v>40</v>
      </c>
      <c r="F1114" t="s">
        <v>215</v>
      </c>
      <c r="G1114" t="s">
        <v>150</v>
      </c>
      <c r="H1114" t="s">
        <v>1229</v>
      </c>
      <c r="I1114">
        <v>8</v>
      </c>
      <c r="J1114" t="s">
        <v>122</v>
      </c>
      <c r="K1114">
        <v>4</v>
      </c>
      <c r="L1114" t="s">
        <v>44</v>
      </c>
      <c r="M1114">
        <v>4.7</v>
      </c>
      <c r="N1114" t="s">
        <v>91</v>
      </c>
      <c r="O1114" t="s">
        <v>46</v>
      </c>
      <c r="P1114">
        <v>3</v>
      </c>
      <c r="Q1114" t="s">
        <v>74</v>
      </c>
      <c r="R1114" t="s">
        <v>92</v>
      </c>
      <c r="S1114" t="s">
        <v>93</v>
      </c>
      <c r="T1114">
        <v>276</v>
      </c>
      <c r="U1114" t="s">
        <v>50</v>
      </c>
      <c r="V1114" t="s">
        <v>76</v>
      </c>
      <c r="W1114" t="s">
        <v>294</v>
      </c>
      <c r="X1114" t="s">
        <v>219</v>
      </c>
      <c r="Y1114" t="s">
        <v>78</v>
      </c>
      <c r="AA1114">
        <v>0</v>
      </c>
      <c r="AB1114" t="s">
        <v>79</v>
      </c>
      <c r="AC1114" t="s">
        <v>95</v>
      </c>
      <c r="AD1114">
        <v>36</v>
      </c>
      <c r="AE1114">
        <v>9</v>
      </c>
      <c r="AF1114">
        <v>3</v>
      </c>
      <c r="AG1114">
        <v>2025</v>
      </c>
      <c r="AH1114" s="2">
        <v>2800</v>
      </c>
      <c r="AI1114" s="2">
        <v>2107.181884765625</v>
      </c>
      <c r="AJ1114" s="2">
        <f t="shared" si="138"/>
        <v>692.818115234375</v>
      </c>
      <c r="AK1114" s="6">
        <f t="shared" si="139"/>
        <v>0.24743504115513393</v>
      </c>
      <c r="AL1114" s="12">
        <v>2800</v>
      </c>
      <c r="AM1114" s="12">
        <v>2658.701260540935</v>
      </c>
      <c r="AN1114" s="12">
        <f t="shared" si="140"/>
        <v>141.29873945906502</v>
      </c>
      <c r="AO1114" s="13">
        <f t="shared" si="141"/>
        <v>5.0463835521094652E-2</v>
      </c>
      <c r="AP1114" s="16">
        <v>2800</v>
      </c>
      <c r="AQ1114" s="16">
        <v>1949.2505315422561</v>
      </c>
      <c r="AR1114" s="16">
        <f t="shared" si="142"/>
        <v>850.74946845774389</v>
      </c>
      <c r="AS1114" s="17">
        <f t="shared" si="136"/>
        <v>0.3038390958777657</v>
      </c>
      <c r="AT1114" s="20">
        <v>2800</v>
      </c>
      <c r="AU1114" s="20">
        <v>2116.3203125</v>
      </c>
      <c r="AV1114" s="20">
        <f t="shared" si="137"/>
        <v>683.6796875</v>
      </c>
      <c r="AW1114" s="21">
        <f t="shared" si="143"/>
        <v>0.24417131696428571</v>
      </c>
    </row>
    <row r="1115" spans="1:49" x14ac:dyDescent="0.25">
      <c r="A1115" t="s">
        <v>128</v>
      </c>
      <c r="B1115" t="s">
        <v>484</v>
      </c>
      <c r="C1115">
        <v>5464</v>
      </c>
      <c r="D1115">
        <v>2025</v>
      </c>
      <c r="E1115" t="s">
        <v>174</v>
      </c>
      <c r="F1115" t="s">
        <v>774</v>
      </c>
      <c r="G1115" t="s">
        <v>548</v>
      </c>
      <c r="I1115">
        <v>8</v>
      </c>
      <c r="J1115" t="s">
        <v>72</v>
      </c>
      <c r="K1115">
        <v>4</v>
      </c>
      <c r="L1115" t="s">
        <v>44</v>
      </c>
      <c r="M1115">
        <v>6.2</v>
      </c>
      <c r="N1115" t="s">
        <v>91</v>
      </c>
      <c r="Q1115" t="s">
        <v>62</v>
      </c>
      <c r="R1115" t="s">
        <v>63</v>
      </c>
      <c r="S1115" t="s">
        <v>93</v>
      </c>
      <c r="U1115" t="s">
        <v>50</v>
      </c>
      <c r="V1115" t="s">
        <v>76</v>
      </c>
      <c r="W1115" t="s">
        <v>910</v>
      </c>
      <c r="X1115" t="s">
        <v>108</v>
      </c>
      <c r="Y1115" t="s">
        <v>78</v>
      </c>
      <c r="AA1115">
        <v>0</v>
      </c>
      <c r="AB1115" t="s">
        <v>79</v>
      </c>
      <c r="AC1115" t="s">
        <v>87</v>
      </c>
      <c r="AD1115">
        <v>36</v>
      </c>
      <c r="AE1115">
        <v>9</v>
      </c>
      <c r="AF1115">
        <v>3</v>
      </c>
      <c r="AG1115">
        <v>2025</v>
      </c>
      <c r="AH1115" s="2">
        <v>81600</v>
      </c>
      <c r="AI1115" s="2">
        <v>101975.375</v>
      </c>
      <c r="AJ1115" s="2">
        <f t="shared" si="138"/>
        <v>20375.375</v>
      </c>
      <c r="AK1115" s="6">
        <f t="shared" si="139"/>
        <v>0.24969822303921568</v>
      </c>
      <c r="AL1115" s="12">
        <v>81600</v>
      </c>
      <c r="AM1115" s="12">
        <v>77438.209085925482</v>
      </c>
      <c r="AN1115" s="12">
        <f t="shared" si="140"/>
        <v>4161.7909140745178</v>
      </c>
      <c r="AO1115" s="13">
        <f t="shared" si="141"/>
        <v>5.1002339633266149E-2</v>
      </c>
      <c r="AP1115" s="16">
        <v>81600</v>
      </c>
      <c r="AQ1115" s="16">
        <v>66913.553228467194</v>
      </c>
      <c r="AR1115" s="16">
        <f t="shared" si="142"/>
        <v>14686.446771532806</v>
      </c>
      <c r="AS1115" s="17">
        <f t="shared" si="136"/>
        <v>0.17998096533741184</v>
      </c>
      <c r="AT1115" s="20">
        <v>81600</v>
      </c>
      <c r="AU1115" s="20">
        <v>88943.4453125</v>
      </c>
      <c r="AV1115" s="20">
        <f t="shared" si="137"/>
        <v>7343.4453125</v>
      </c>
      <c r="AW1115" s="21">
        <f t="shared" si="143"/>
        <v>8.999320235906863E-2</v>
      </c>
    </row>
    <row r="1116" spans="1:49" x14ac:dyDescent="0.25">
      <c r="A1116" t="s">
        <v>38</v>
      </c>
      <c r="B1116" t="s">
        <v>110</v>
      </c>
      <c r="C1116">
        <v>129105</v>
      </c>
      <c r="D1116">
        <v>2014</v>
      </c>
      <c r="E1116" t="s">
        <v>132</v>
      </c>
      <c r="F1116" t="s">
        <v>133</v>
      </c>
      <c r="H1116" t="s">
        <v>636</v>
      </c>
      <c r="I1116">
        <v>6</v>
      </c>
      <c r="J1116" t="s">
        <v>61</v>
      </c>
      <c r="K1116">
        <v>4</v>
      </c>
      <c r="L1116" t="s">
        <v>44</v>
      </c>
      <c r="M1116">
        <v>3.5</v>
      </c>
      <c r="N1116" t="s">
        <v>73</v>
      </c>
      <c r="Q1116" t="s">
        <v>47</v>
      </c>
      <c r="R1116" t="s">
        <v>123</v>
      </c>
      <c r="U1116" t="s">
        <v>50</v>
      </c>
      <c r="V1116" t="s">
        <v>76</v>
      </c>
      <c r="X1116" t="s">
        <v>125</v>
      </c>
      <c r="Y1116" t="s">
        <v>137</v>
      </c>
      <c r="AA1116">
        <v>0</v>
      </c>
      <c r="AB1116" t="s">
        <v>79</v>
      </c>
      <c r="AC1116" t="s">
        <v>127</v>
      </c>
      <c r="AD1116">
        <v>36</v>
      </c>
      <c r="AE1116">
        <v>9</v>
      </c>
      <c r="AF1116">
        <v>3</v>
      </c>
      <c r="AG1116">
        <v>2025</v>
      </c>
      <c r="AH1116" s="2">
        <v>1700</v>
      </c>
      <c r="AI1116" s="2">
        <v>4406.6884765625</v>
      </c>
      <c r="AJ1116" s="2">
        <f t="shared" si="138"/>
        <v>2706.6884765625</v>
      </c>
      <c r="AK1116" s="6">
        <f t="shared" si="139"/>
        <v>1.5921696920955883</v>
      </c>
      <c r="AL1116" s="12">
        <v>1700</v>
      </c>
      <c r="AM1116" s="12">
        <v>4244.1598050989714</v>
      </c>
      <c r="AN1116" s="12">
        <f t="shared" si="140"/>
        <v>2544.1598050989714</v>
      </c>
      <c r="AO1116" s="13">
        <f t="shared" si="141"/>
        <v>1.496564591234689</v>
      </c>
      <c r="AP1116" s="16">
        <v>1700</v>
      </c>
      <c r="AQ1116" s="16">
        <v>3731.8310821479258</v>
      </c>
      <c r="AR1116" s="16">
        <f t="shared" si="142"/>
        <v>2031.8310821479258</v>
      </c>
      <c r="AS1116" s="17">
        <f t="shared" si="136"/>
        <v>1.1951947542046621</v>
      </c>
      <c r="AT1116" s="20">
        <v>1700</v>
      </c>
      <c r="AU1116" s="20">
        <v>4428.47412109375</v>
      </c>
      <c r="AV1116" s="20">
        <f t="shared" si="137"/>
        <v>2728.47412109375</v>
      </c>
      <c r="AW1116" s="21">
        <f t="shared" si="143"/>
        <v>1.6049847771139707</v>
      </c>
    </row>
    <row r="1117" spans="1:49" x14ac:dyDescent="0.25">
      <c r="A1117" t="s">
        <v>38</v>
      </c>
      <c r="B1117" t="s">
        <v>110</v>
      </c>
      <c r="C1117">
        <v>156584</v>
      </c>
      <c r="D1117">
        <v>2015</v>
      </c>
      <c r="E1117" t="s">
        <v>132</v>
      </c>
      <c r="F1117" t="s">
        <v>1230</v>
      </c>
      <c r="H1117" t="s">
        <v>1231</v>
      </c>
      <c r="I1117">
        <v>6</v>
      </c>
      <c r="J1117" t="s">
        <v>72</v>
      </c>
      <c r="K1117">
        <v>4</v>
      </c>
      <c r="L1117" t="s">
        <v>44</v>
      </c>
      <c r="M1117">
        <v>3.5</v>
      </c>
      <c r="N1117" t="s">
        <v>73</v>
      </c>
      <c r="O1117" t="s">
        <v>46</v>
      </c>
      <c r="P1117">
        <v>2</v>
      </c>
      <c r="Q1117" t="s">
        <v>62</v>
      </c>
      <c r="R1117" t="s">
        <v>63</v>
      </c>
      <c r="U1117" t="s">
        <v>50</v>
      </c>
      <c r="V1117" t="s">
        <v>76</v>
      </c>
      <c r="X1117" t="s">
        <v>94</v>
      </c>
      <c r="Y1117" t="s">
        <v>78</v>
      </c>
      <c r="AA1117">
        <v>0</v>
      </c>
      <c r="AB1117" t="s">
        <v>79</v>
      </c>
      <c r="AC1117" t="s">
        <v>87</v>
      </c>
      <c r="AD1117">
        <v>36</v>
      </c>
      <c r="AE1117">
        <v>9</v>
      </c>
      <c r="AF1117">
        <v>3</v>
      </c>
      <c r="AG1117">
        <v>2025</v>
      </c>
      <c r="AH1117" s="2">
        <v>6250</v>
      </c>
      <c r="AI1117" s="2">
        <v>3593.861083984375</v>
      </c>
      <c r="AJ1117" s="2">
        <f t="shared" si="138"/>
        <v>2656.138916015625</v>
      </c>
      <c r="AK1117" s="6">
        <f t="shared" si="139"/>
        <v>0.42498222656250001</v>
      </c>
      <c r="AL1117" s="12">
        <v>6250</v>
      </c>
      <c r="AM1117" s="12">
        <v>3394.499982228117</v>
      </c>
      <c r="AN1117" s="12">
        <f t="shared" si="140"/>
        <v>2855.500017771883</v>
      </c>
      <c r="AO1117" s="13">
        <f t="shared" si="141"/>
        <v>0.45688000284350128</v>
      </c>
      <c r="AP1117" s="16">
        <v>6250</v>
      </c>
      <c r="AQ1117" s="16">
        <v>3740.7732874250191</v>
      </c>
      <c r="AR1117" s="16">
        <f t="shared" si="142"/>
        <v>2509.2267125749809</v>
      </c>
      <c r="AS1117" s="17">
        <f t="shared" si="136"/>
        <v>0.40147627401199693</v>
      </c>
      <c r="AT1117" s="20">
        <v>6250</v>
      </c>
      <c r="AU1117" s="20">
        <v>3602.56591796875</v>
      </c>
      <c r="AV1117" s="20">
        <f t="shared" si="137"/>
        <v>2647.43408203125</v>
      </c>
      <c r="AW1117" s="21">
        <f t="shared" si="143"/>
        <v>0.42358945312500002</v>
      </c>
    </row>
    <row r="1118" spans="1:49" x14ac:dyDescent="0.25">
      <c r="A1118" t="s">
        <v>81</v>
      </c>
      <c r="B1118" t="s">
        <v>82</v>
      </c>
      <c r="C1118">
        <v>112742</v>
      </c>
      <c r="D1118">
        <v>2012</v>
      </c>
      <c r="E1118" t="s">
        <v>69</v>
      </c>
      <c r="F1118" t="s">
        <v>690</v>
      </c>
      <c r="G1118" t="s">
        <v>224</v>
      </c>
      <c r="I1118">
        <v>4</v>
      </c>
      <c r="J1118" t="s">
        <v>72</v>
      </c>
      <c r="K1118">
        <v>4</v>
      </c>
      <c r="L1118" t="s">
        <v>44</v>
      </c>
      <c r="M1118">
        <v>2</v>
      </c>
      <c r="N1118" t="s">
        <v>45</v>
      </c>
      <c r="O1118" t="s">
        <v>46</v>
      </c>
      <c r="Q1118" t="s">
        <v>47</v>
      </c>
      <c r="R1118" t="s">
        <v>48</v>
      </c>
      <c r="T1118">
        <v>160</v>
      </c>
      <c r="U1118" t="s">
        <v>50</v>
      </c>
      <c r="V1118" t="s">
        <v>51</v>
      </c>
      <c r="X1118" t="s">
        <v>125</v>
      </c>
      <c r="Y1118" t="s">
        <v>78</v>
      </c>
      <c r="AA1118">
        <v>0</v>
      </c>
      <c r="AB1118" t="s">
        <v>79</v>
      </c>
      <c r="AC1118" t="s">
        <v>359</v>
      </c>
      <c r="AD1118">
        <v>36</v>
      </c>
      <c r="AE1118">
        <v>9</v>
      </c>
      <c r="AF1118">
        <v>3</v>
      </c>
      <c r="AG1118">
        <v>2025</v>
      </c>
      <c r="AH1118" s="2">
        <v>1600</v>
      </c>
      <c r="AI1118" s="2">
        <v>1268.1962890625</v>
      </c>
      <c r="AJ1118" s="2">
        <f t="shared" si="138"/>
        <v>331.8037109375</v>
      </c>
      <c r="AK1118" s="6">
        <f t="shared" si="139"/>
        <v>0.2073773193359375</v>
      </c>
      <c r="AL1118" s="12">
        <v>1600</v>
      </c>
      <c r="AM1118" s="12">
        <v>1546.3950372255169</v>
      </c>
      <c r="AN1118" s="12">
        <f t="shared" si="140"/>
        <v>53.604962774483056</v>
      </c>
      <c r="AO1118" s="13">
        <f t="shared" si="141"/>
        <v>3.350310173405191E-2</v>
      </c>
      <c r="AP1118" s="16">
        <v>1600</v>
      </c>
      <c r="AQ1118" s="16">
        <v>1183.363853682145</v>
      </c>
      <c r="AR1118" s="16">
        <f t="shared" si="142"/>
        <v>416.63614631785504</v>
      </c>
      <c r="AS1118" s="17">
        <f t="shared" si="136"/>
        <v>0.26039759144865937</v>
      </c>
      <c r="AT1118" s="20">
        <v>1600</v>
      </c>
      <c r="AU1118" s="20">
        <v>1273.919799804688</v>
      </c>
      <c r="AV1118" s="20">
        <f t="shared" si="137"/>
        <v>326.08020019531205</v>
      </c>
      <c r="AW1118" s="21">
        <f t="shared" si="143"/>
        <v>0.20380012512207002</v>
      </c>
    </row>
    <row r="1119" spans="1:49" x14ac:dyDescent="0.25">
      <c r="A1119" t="s">
        <v>38</v>
      </c>
      <c r="B1119" t="s">
        <v>110</v>
      </c>
      <c r="C1119">
        <v>138014</v>
      </c>
      <c r="D1119">
        <v>2015</v>
      </c>
      <c r="E1119" t="s">
        <v>58</v>
      </c>
      <c r="F1119" t="s">
        <v>391</v>
      </c>
      <c r="G1119" t="s">
        <v>894</v>
      </c>
      <c r="I1119">
        <v>4</v>
      </c>
      <c r="J1119" t="s">
        <v>72</v>
      </c>
      <c r="K1119">
        <v>4</v>
      </c>
      <c r="L1119" t="s">
        <v>44</v>
      </c>
      <c r="M1119">
        <v>2.4</v>
      </c>
      <c r="N1119" t="s">
        <v>45</v>
      </c>
      <c r="Q1119" t="s">
        <v>47</v>
      </c>
      <c r="R1119" t="s">
        <v>123</v>
      </c>
      <c r="U1119" t="s">
        <v>50</v>
      </c>
      <c r="W1119" t="s">
        <v>595</v>
      </c>
      <c r="X1119" t="s">
        <v>125</v>
      </c>
      <c r="Y1119" t="s">
        <v>78</v>
      </c>
      <c r="AA1119">
        <v>0</v>
      </c>
      <c r="AB1119" t="s">
        <v>79</v>
      </c>
      <c r="AC1119" t="s">
        <v>127</v>
      </c>
      <c r="AD1119">
        <v>36</v>
      </c>
      <c r="AE1119">
        <v>9</v>
      </c>
      <c r="AF1119">
        <v>3</v>
      </c>
      <c r="AG1119">
        <v>2025</v>
      </c>
      <c r="AH1119" s="2">
        <v>2600</v>
      </c>
      <c r="AI1119" s="2">
        <v>2777.701416015625</v>
      </c>
      <c r="AJ1119" s="2">
        <f t="shared" si="138"/>
        <v>177.701416015625</v>
      </c>
      <c r="AK1119" s="6">
        <f t="shared" si="139"/>
        <v>6.8346698467548081E-2</v>
      </c>
      <c r="AL1119" s="12">
        <v>2600</v>
      </c>
      <c r="AM1119" s="12">
        <v>2617.0115576107441</v>
      </c>
      <c r="AN1119" s="12">
        <f t="shared" si="140"/>
        <v>17.011557610744148</v>
      </c>
      <c r="AO1119" s="13">
        <f t="shared" si="141"/>
        <v>6.5429067733631342E-3</v>
      </c>
      <c r="AP1119" s="16">
        <v>2600</v>
      </c>
      <c r="AQ1119" s="16">
        <v>2077.6550588049199</v>
      </c>
      <c r="AR1119" s="16">
        <f t="shared" si="142"/>
        <v>522.34494119508008</v>
      </c>
      <c r="AS1119" s="17">
        <f t="shared" si="136"/>
        <v>0.20090190045964618</v>
      </c>
      <c r="AT1119" s="20">
        <v>2600</v>
      </c>
      <c r="AU1119" s="20">
        <v>2768.5595703125</v>
      </c>
      <c r="AV1119" s="20">
        <f t="shared" si="137"/>
        <v>168.5595703125</v>
      </c>
      <c r="AW1119" s="21">
        <f t="shared" si="143"/>
        <v>6.4830603966346156E-2</v>
      </c>
    </row>
    <row r="1120" spans="1:49" x14ac:dyDescent="0.25">
      <c r="A1120" t="s">
        <v>81</v>
      </c>
      <c r="B1120" t="s">
        <v>82</v>
      </c>
      <c r="C1120">
        <v>221527</v>
      </c>
      <c r="D1120">
        <v>2008</v>
      </c>
      <c r="E1120" t="s">
        <v>116</v>
      </c>
      <c r="F1120" t="s">
        <v>1232</v>
      </c>
      <c r="G1120" t="s">
        <v>224</v>
      </c>
      <c r="I1120">
        <v>6</v>
      </c>
      <c r="J1120" t="s">
        <v>72</v>
      </c>
      <c r="K1120">
        <v>4</v>
      </c>
      <c r="L1120" t="s">
        <v>44</v>
      </c>
      <c r="M1120">
        <v>3.3</v>
      </c>
      <c r="N1120" t="s">
        <v>45</v>
      </c>
      <c r="O1120" t="s">
        <v>100</v>
      </c>
      <c r="Q1120" t="s">
        <v>62</v>
      </c>
      <c r="R1120" t="s">
        <v>225</v>
      </c>
      <c r="S1120" t="s">
        <v>101</v>
      </c>
      <c r="U1120" t="s">
        <v>50</v>
      </c>
      <c r="V1120" t="s">
        <v>76</v>
      </c>
      <c r="X1120" t="s">
        <v>94</v>
      </c>
      <c r="Y1120" t="s">
        <v>78</v>
      </c>
      <c r="AA1120">
        <v>0</v>
      </c>
      <c r="AB1120" t="s">
        <v>79</v>
      </c>
      <c r="AC1120" t="s">
        <v>225</v>
      </c>
      <c r="AD1120">
        <v>36</v>
      </c>
      <c r="AE1120">
        <v>9</v>
      </c>
      <c r="AF1120">
        <v>3</v>
      </c>
      <c r="AG1120">
        <v>2025</v>
      </c>
      <c r="AH1120" s="2">
        <v>350</v>
      </c>
      <c r="AI1120" s="2">
        <v>262.56558227539063</v>
      </c>
      <c r="AJ1120" s="2">
        <f t="shared" si="138"/>
        <v>87.434417724609375</v>
      </c>
      <c r="AK1120" s="6">
        <f t="shared" si="139"/>
        <v>0.24981262207031249</v>
      </c>
      <c r="AL1120" s="12">
        <v>350</v>
      </c>
      <c r="AM1120" s="12">
        <v>276.18667894027442</v>
      </c>
      <c r="AN1120" s="12">
        <f t="shared" si="140"/>
        <v>73.813321059725581</v>
      </c>
      <c r="AO1120" s="13">
        <f t="shared" si="141"/>
        <v>0.21089520302778739</v>
      </c>
      <c r="AP1120" s="16">
        <v>350</v>
      </c>
      <c r="AQ1120" s="16">
        <v>241.590639021008</v>
      </c>
      <c r="AR1120" s="16">
        <f t="shared" si="142"/>
        <v>108.409360978992</v>
      </c>
      <c r="AS1120" s="17">
        <f t="shared" si="136"/>
        <v>0.30974103136854858</v>
      </c>
      <c r="AT1120" s="20">
        <v>350</v>
      </c>
      <c r="AU1120" s="20">
        <v>460.00308227539063</v>
      </c>
      <c r="AV1120" s="20">
        <f t="shared" si="137"/>
        <v>110.00308227539063</v>
      </c>
      <c r="AW1120" s="21">
        <f t="shared" si="143"/>
        <v>0.31429452078683034</v>
      </c>
    </row>
    <row r="1121" spans="1:49" x14ac:dyDescent="0.25">
      <c r="A1121" t="s">
        <v>128</v>
      </c>
      <c r="B1121" t="s">
        <v>210</v>
      </c>
      <c r="C1121">
        <v>94104</v>
      </c>
      <c r="D1121">
        <v>2017</v>
      </c>
      <c r="E1121" t="s">
        <v>162</v>
      </c>
      <c r="F1121" t="s">
        <v>211</v>
      </c>
      <c r="G1121" t="s">
        <v>1233</v>
      </c>
      <c r="I1121">
        <v>4</v>
      </c>
      <c r="J1121" t="s">
        <v>61</v>
      </c>
      <c r="K1121">
        <v>4</v>
      </c>
      <c r="L1121" t="s">
        <v>44</v>
      </c>
      <c r="M1121">
        <v>2</v>
      </c>
      <c r="N1121" t="s">
        <v>45</v>
      </c>
      <c r="O1121" t="s">
        <v>46</v>
      </c>
      <c r="Q1121" t="s">
        <v>47</v>
      </c>
      <c r="R1121" t="s">
        <v>123</v>
      </c>
      <c r="T1121">
        <v>147</v>
      </c>
      <c r="U1121" t="s">
        <v>50</v>
      </c>
      <c r="X1121" t="s">
        <v>125</v>
      </c>
      <c r="Y1121" t="s">
        <v>78</v>
      </c>
      <c r="Z1121">
        <v>22350</v>
      </c>
      <c r="AA1121">
        <v>0</v>
      </c>
      <c r="AB1121" t="s">
        <v>79</v>
      </c>
      <c r="AC1121" t="s">
        <v>127</v>
      </c>
      <c r="AD1121">
        <v>36</v>
      </c>
      <c r="AE1121">
        <v>9</v>
      </c>
      <c r="AF1121">
        <v>3</v>
      </c>
      <c r="AG1121">
        <v>2025</v>
      </c>
      <c r="AH1121" s="2">
        <v>3700</v>
      </c>
      <c r="AI1121" s="2">
        <v>4776.22802734375</v>
      </c>
      <c r="AJ1121" s="2">
        <f t="shared" si="138"/>
        <v>1076.22802734375</v>
      </c>
      <c r="AK1121" s="6">
        <f t="shared" si="139"/>
        <v>0.29087243982263511</v>
      </c>
      <c r="AL1121" s="12">
        <v>3700</v>
      </c>
      <c r="AM1121" s="12">
        <v>5079.8304774184762</v>
      </c>
      <c r="AN1121" s="12">
        <f t="shared" si="140"/>
        <v>1379.8304774184762</v>
      </c>
      <c r="AO1121" s="13">
        <f t="shared" si="141"/>
        <v>0.37292715605904764</v>
      </c>
      <c r="AP1121" s="16">
        <v>3700</v>
      </c>
      <c r="AQ1121" s="16">
        <v>4604.5983192528647</v>
      </c>
      <c r="AR1121" s="16">
        <f t="shared" si="142"/>
        <v>904.59831925286471</v>
      </c>
      <c r="AS1121" s="17">
        <f t="shared" si="136"/>
        <v>0.24448603223050397</v>
      </c>
      <c r="AT1121" s="20">
        <v>3700</v>
      </c>
      <c r="AU1121" s="20">
        <v>4822.98046875</v>
      </c>
      <c r="AV1121" s="20">
        <f t="shared" si="137"/>
        <v>1122.98046875</v>
      </c>
      <c r="AW1121" s="21">
        <f t="shared" si="143"/>
        <v>0.30350823479729727</v>
      </c>
    </row>
    <row r="1122" spans="1:49" x14ac:dyDescent="0.25">
      <c r="A1122" t="s">
        <v>114</v>
      </c>
      <c r="B1122" t="s">
        <v>115</v>
      </c>
      <c r="C1122">
        <v>154496</v>
      </c>
      <c r="D1122">
        <v>2011</v>
      </c>
      <c r="E1122" t="s">
        <v>142</v>
      </c>
      <c r="F1122" t="s">
        <v>335</v>
      </c>
      <c r="G1122" t="s">
        <v>112</v>
      </c>
      <c r="H1122" t="s">
        <v>775</v>
      </c>
      <c r="I1122">
        <v>4</v>
      </c>
      <c r="J1122" t="s">
        <v>135</v>
      </c>
      <c r="K1122">
        <v>4</v>
      </c>
      <c r="L1122" t="s">
        <v>44</v>
      </c>
      <c r="M1122">
        <v>2.4</v>
      </c>
      <c r="N1122" t="s">
        <v>91</v>
      </c>
      <c r="O1122" t="s">
        <v>46</v>
      </c>
      <c r="Q1122" t="s">
        <v>62</v>
      </c>
      <c r="R1122" t="s">
        <v>63</v>
      </c>
      <c r="S1122" t="s">
        <v>93</v>
      </c>
      <c r="U1122" t="s">
        <v>50</v>
      </c>
      <c r="X1122" t="s">
        <v>65</v>
      </c>
      <c r="Y1122" t="s">
        <v>78</v>
      </c>
      <c r="AA1122">
        <v>0</v>
      </c>
      <c r="AB1122" t="s">
        <v>79</v>
      </c>
      <c r="AC1122" t="s">
        <v>87</v>
      </c>
      <c r="AD1122">
        <v>36</v>
      </c>
      <c r="AE1122">
        <v>9</v>
      </c>
      <c r="AF1122">
        <v>3</v>
      </c>
      <c r="AG1122">
        <v>2025</v>
      </c>
      <c r="AH1122" s="2">
        <v>500</v>
      </c>
      <c r="AI1122" s="2">
        <v>1191.951293945312</v>
      </c>
      <c r="AJ1122" s="2">
        <f t="shared" si="138"/>
        <v>691.95129394531205</v>
      </c>
      <c r="AK1122" s="6">
        <f t="shared" si="139"/>
        <v>1.3839025878906241</v>
      </c>
      <c r="AL1122" s="12">
        <v>500</v>
      </c>
      <c r="AM1122" s="12">
        <v>1497.838640972006</v>
      </c>
      <c r="AN1122" s="12">
        <f t="shared" si="140"/>
        <v>997.83864097200603</v>
      </c>
      <c r="AO1122" s="13">
        <f t="shared" si="141"/>
        <v>1.9956772819440121</v>
      </c>
      <c r="AP1122" s="16">
        <v>500</v>
      </c>
      <c r="AQ1122" s="16">
        <v>873.51187337483123</v>
      </c>
      <c r="AR1122" s="16">
        <f t="shared" si="142"/>
        <v>373.51187337483123</v>
      </c>
      <c r="AS1122" s="17">
        <f t="shared" si="136"/>
        <v>0.74702374674966243</v>
      </c>
      <c r="AT1122" s="20">
        <v>500</v>
      </c>
      <c r="AU1122" s="20">
        <v>1212.611694335938</v>
      </c>
      <c r="AV1122" s="20">
        <f t="shared" si="137"/>
        <v>712.61169433593795</v>
      </c>
      <c r="AW1122" s="21">
        <f t="shared" si="143"/>
        <v>1.4252233886718759</v>
      </c>
    </row>
    <row r="1123" spans="1:49" x14ac:dyDescent="0.25">
      <c r="A1123" t="s">
        <v>38</v>
      </c>
      <c r="B1123" t="s">
        <v>110</v>
      </c>
      <c r="C1123">
        <v>98567</v>
      </c>
      <c r="D1123">
        <v>2019</v>
      </c>
      <c r="E1123" t="s">
        <v>83</v>
      </c>
      <c r="F1123" t="s">
        <v>187</v>
      </c>
      <c r="G1123" t="s">
        <v>1234</v>
      </c>
      <c r="I1123">
        <v>6</v>
      </c>
      <c r="J1123" t="s">
        <v>72</v>
      </c>
      <c r="K1123">
        <v>4</v>
      </c>
      <c r="L1123" t="s">
        <v>44</v>
      </c>
      <c r="M1123">
        <v>3.5</v>
      </c>
      <c r="N1123" t="s">
        <v>44</v>
      </c>
      <c r="O1123" t="s">
        <v>46</v>
      </c>
      <c r="P1123">
        <v>4</v>
      </c>
      <c r="Q1123" t="s">
        <v>62</v>
      </c>
      <c r="R1123" t="s">
        <v>63</v>
      </c>
      <c r="S1123" t="s">
        <v>93</v>
      </c>
      <c r="T1123">
        <v>290</v>
      </c>
      <c r="U1123" t="s">
        <v>50</v>
      </c>
      <c r="V1123" t="s">
        <v>76</v>
      </c>
      <c r="W1123" t="s">
        <v>189</v>
      </c>
      <c r="X1123" t="s">
        <v>141</v>
      </c>
      <c r="Y1123" t="s">
        <v>78</v>
      </c>
      <c r="AA1123">
        <v>0</v>
      </c>
      <c r="AB1123" t="s">
        <v>79</v>
      </c>
      <c r="AC1123" t="s">
        <v>109</v>
      </c>
      <c r="AD1123">
        <v>36</v>
      </c>
      <c r="AE1123">
        <v>9</v>
      </c>
      <c r="AF1123">
        <v>3</v>
      </c>
      <c r="AG1123">
        <v>2025</v>
      </c>
      <c r="AH1123" s="2">
        <v>16750</v>
      </c>
      <c r="AI1123" s="2">
        <v>18007.70703125</v>
      </c>
      <c r="AJ1123" s="2">
        <f t="shared" si="138"/>
        <v>1257.70703125</v>
      </c>
      <c r="AK1123" s="6">
        <f t="shared" si="139"/>
        <v>7.5086986940298514E-2</v>
      </c>
      <c r="AL1123" s="12">
        <v>16750</v>
      </c>
      <c r="AM1123" s="12">
        <v>17704.927456266571</v>
      </c>
      <c r="AN1123" s="12">
        <f t="shared" si="140"/>
        <v>954.92745626657052</v>
      </c>
      <c r="AO1123" s="13">
        <f t="shared" si="141"/>
        <v>5.7010594403974359E-2</v>
      </c>
      <c r="AP1123" s="16">
        <v>16750</v>
      </c>
      <c r="AQ1123" s="16">
        <v>16060.451392371209</v>
      </c>
      <c r="AR1123" s="16">
        <f t="shared" si="142"/>
        <v>689.54860762879071</v>
      </c>
      <c r="AS1123" s="17">
        <f t="shared" si="136"/>
        <v>4.1167081052465117E-2</v>
      </c>
      <c r="AT1123" s="20">
        <v>16750</v>
      </c>
      <c r="AU1123" s="20">
        <v>17767.525390625</v>
      </c>
      <c r="AV1123" s="20">
        <f t="shared" si="137"/>
        <v>1017.525390625</v>
      </c>
      <c r="AW1123" s="21">
        <f t="shared" si="143"/>
        <v>6.0747784514925372E-2</v>
      </c>
    </row>
    <row r="1124" spans="1:49" x14ac:dyDescent="0.25">
      <c r="A1124" t="s">
        <v>81</v>
      </c>
      <c r="B1124" t="s">
        <v>186</v>
      </c>
      <c r="C1124">
        <v>91001</v>
      </c>
      <c r="D1124">
        <v>2022</v>
      </c>
      <c r="E1124" t="s">
        <v>174</v>
      </c>
      <c r="F1124" t="s">
        <v>175</v>
      </c>
      <c r="H1124" t="s">
        <v>1235</v>
      </c>
      <c r="I1124">
        <v>8</v>
      </c>
      <c r="J1124" t="s">
        <v>72</v>
      </c>
      <c r="K1124">
        <v>4</v>
      </c>
      <c r="L1124" t="s">
        <v>44</v>
      </c>
      <c r="M1124">
        <v>6.2</v>
      </c>
      <c r="N1124" t="s">
        <v>91</v>
      </c>
      <c r="O1124" t="s">
        <v>46</v>
      </c>
      <c r="Q1124" t="s">
        <v>62</v>
      </c>
      <c r="R1124" t="s">
        <v>63</v>
      </c>
      <c r="S1124" t="s">
        <v>93</v>
      </c>
      <c r="U1124" t="s">
        <v>50</v>
      </c>
      <c r="V1124" t="s">
        <v>76</v>
      </c>
      <c r="W1124" t="s">
        <v>1236</v>
      </c>
      <c r="X1124" t="s">
        <v>108</v>
      </c>
      <c r="Y1124" t="s">
        <v>78</v>
      </c>
      <c r="AA1124">
        <v>0</v>
      </c>
      <c r="AB1124" t="s">
        <v>79</v>
      </c>
      <c r="AC1124" t="s">
        <v>87</v>
      </c>
      <c r="AD1124">
        <v>36</v>
      </c>
      <c r="AE1124">
        <v>9</v>
      </c>
      <c r="AF1124">
        <v>3</v>
      </c>
      <c r="AG1124">
        <v>2025</v>
      </c>
      <c r="AH1124" s="2">
        <v>47000</v>
      </c>
      <c r="AI1124" s="2">
        <v>45124.171875</v>
      </c>
      <c r="AJ1124" s="2">
        <f t="shared" si="138"/>
        <v>1875.828125</v>
      </c>
      <c r="AK1124" s="6">
        <f t="shared" si="139"/>
        <v>3.9911236702127657E-2</v>
      </c>
      <c r="AL1124" s="12">
        <v>47000</v>
      </c>
      <c r="AM1124" s="12">
        <v>42709.363733851227</v>
      </c>
      <c r="AN1124" s="12">
        <f t="shared" si="140"/>
        <v>4290.6362661487728</v>
      </c>
      <c r="AO1124" s="13">
        <f t="shared" si="141"/>
        <v>9.129013332231431E-2</v>
      </c>
      <c r="AP1124" s="16">
        <v>47000</v>
      </c>
      <c r="AQ1124" s="16">
        <v>42492.432096173623</v>
      </c>
      <c r="AR1124" s="16">
        <f t="shared" si="142"/>
        <v>4507.567903826377</v>
      </c>
      <c r="AS1124" s="17">
        <f t="shared" si="136"/>
        <v>9.5905700081412276E-2</v>
      </c>
      <c r="AT1124" s="20">
        <v>47000</v>
      </c>
      <c r="AU1124" s="20">
        <v>45150.47265625</v>
      </c>
      <c r="AV1124" s="20">
        <f t="shared" si="137"/>
        <v>1849.52734375</v>
      </c>
      <c r="AW1124" s="21">
        <f t="shared" si="143"/>
        <v>3.9351645611702131E-2</v>
      </c>
    </row>
    <row r="1125" spans="1:49" x14ac:dyDescent="0.25">
      <c r="A1125" t="s">
        <v>38</v>
      </c>
      <c r="B1125" t="s">
        <v>110</v>
      </c>
      <c r="C1125">
        <v>170020</v>
      </c>
      <c r="D1125">
        <v>2007</v>
      </c>
      <c r="E1125" t="s">
        <v>97</v>
      </c>
      <c r="F1125" t="s">
        <v>1237</v>
      </c>
      <c r="H1125" t="s">
        <v>177</v>
      </c>
      <c r="I1125">
        <v>6</v>
      </c>
      <c r="J1125" t="s">
        <v>106</v>
      </c>
      <c r="K1125">
        <v>4</v>
      </c>
      <c r="L1125" t="s">
        <v>44</v>
      </c>
      <c r="M1125">
        <v>4.2</v>
      </c>
      <c r="N1125" t="s">
        <v>73</v>
      </c>
      <c r="Q1125" t="s">
        <v>62</v>
      </c>
      <c r="R1125" t="s">
        <v>63</v>
      </c>
      <c r="S1125" t="s">
        <v>49</v>
      </c>
      <c r="U1125" t="s">
        <v>50</v>
      </c>
      <c r="V1125" t="s">
        <v>51</v>
      </c>
      <c r="W1125" t="s">
        <v>1238</v>
      </c>
      <c r="X1125" t="s">
        <v>141</v>
      </c>
      <c r="Y1125" t="s">
        <v>78</v>
      </c>
      <c r="AA1125">
        <v>0</v>
      </c>
      <c r="AB1125" t="s">
        <v>79</v>
      </c>
      <c r="AC1125" t="s">
        <v>87</v>
      </c>
      <c r="AD1125">
        <v>36</v>
      </c>
      <c r="AE1125">
        <v>9</v>
      </c>
      <c r="AF1125">
        <v>3</v>
      </c>
      <c r="AG1125">
        <v>2025</v>
      </c>
      <c r="AH1125" s="2">
        <v>1500</v>
      </c>
      <c r="AI1125" s="2">
        <v>1076.019897460938</v>
      </c>
      <c r="AJ1125" s="2">
        <f t="shared" si="138"/>
        <v>423.98010253906205</v>
      </c>
      <c r="AK1125" s="6">
        <f t="shared" si="139"/>
        <v>0.28265340169270803</v>
      </c>
      <c r="AL1125" s="12">
        <v>1500</v>
      </c>
      <c r="AM1125" s="12">
        <v>1291.000195866058</v>
      </c>
      <c r="AN1125" s="12">
        <f t="shared" si="140"/>
        <v>208.99980413394201</v>
      </c>
      <c r="AO1125" s="13">
        <f t="shared" si="141"/>
        <v>0.13933320275596134</v>
      </c>
      <c r="AP1125" s="16">
        <v>1500</v>
      </c>
      <c r="AQ1125" s="16">
        <v>996.73536565726999</v>
      </c>
      <c r="AR1125" s="16">
        <f t="shared" si="142"/>
        <v>503.26463434273001</v>
      </c>
      <c r="AS1125" s="17">
        <f t="shared" si="136"/>
        <v>0.33550975622848667</v>
      </c>
      <c r="AT1125" s="20">
        <v>1500</v>
      </c>
      <c r="AU1125" s="20">
        <v>1088.790771484375</v>
      </c>
      <c r="AV1125" s="20">
        <f t="shared" si="137"/>
        <v>411.209228515625</v>
      </c>
      <c r="AW1125" s="21">
        <f t="shared" si="143"/>
        <v>0.27413948567708335</v>
      </c>
    </row>
    <row r="1126" spans="1:49" x14ac:dyDescent="0.25">
      <c r="A1126" t="s">
        <v>38</v>
      </c>
      <c r="B1126" t="s">
        <v>39</v>
      </c>
      <c r="C1126">
        <v>135050</v>
      </c>
      <c r="D1126">
        <v>2010</v>
      </c>
      <c r="E1126" t="s">
        <v>116</v>
      </c>
      <c r="F1126" t="s">
        <v>697</v>
      </c>
      <c r="G1126" t="s">
        <v>89</v>
      </c>
      <c r="H1126" t="s">
        <v>1202</v>
      </c>
      <c r="I1126">
        <v>8</v>
      </c>
      <c r="J1126" t="s">
        <v>178</v>
      </c>
      <c r="K1126">
        <v>4</v>
      </c>
      <c r="L1126" t="s">
        <v>44</v>
      </c>
      <c r="M1126">
        <v>5.7</v>
      </c>
      <c r="N1126" t="s">
        <v>73</v>
      </c>
      <c r="O1126" t="s">
        <v>100</v>
      </c>
      <c r="P1126">
        <v>1</v>
      </c>
      <c r="Q1126" t="s">
        <v>74</v>
      </c>
      <c r="R1126" t="s">
        <v>92</v>
      </c>
      <c r="S1126" t="s">
        <v>49</v>
      </c>
      <c r="U1126" t="s">
        <v>50</v>
      </c>
      <c r="X1126" t="s">
        <v>94</v>
      </c>
      <c r="Y1126" t="s">
        <v>78</v>
      </c>
      <c r="AA1126">
        <v>0</v>
      </c>
      <c r="AB1126" t="s">
        <v>79</v>
      </c>
      <c r="AC1126" t="s">
        <v>95</v>
      </c>
      <c r="AD1126">
        <v>36</v>
      </c>
      <c r="AE1126">
        <v>9</v>
      </c>
      <c r="AF1126">
        <v>3</v>
      </c>
      <c r="AG1126">
        <v>2025</v>
      </c>
      <c r="AH1126" s="2">
        <v>1100</v>
      </c>
      <c r="AI1126" s="2">
        <v>1606.25830078125</v>
      </c>
      <c r="AJ1126" s="2">
        <f t="shared" si="138"/>
        <v>506.25830078125</v>
      </c>
      <c r="AK1126" s="6">
        <f t="shared" si="139"/>
        <v>0.46023481889204543</v>
      </c>
      <c r="AL1126" s="12">
        <v>1100</v>
      </c>
      <c r="AM1126" s="12">
        <v>1613.7681990745859</v>
      </c>
      <c r="AN1126" s="12">
        <f t="shared" si="140"/>
        <v>513.76819907458594</v>
      </c>
      <c r="AO1126" s="13">
        <f t="shared" si="141"/>
        <v>0.46706199915871449</v>
      </c>
      <c r="AP1126" s="16">
        <v>1100</v>
      </c>
      <c r="AQ1126" s="16">
        <v>1393.451372180182</v>
      </c>
      <c r="AR1126" s="16">
        <f t="shared" si="142"/>
        <v>293.45137218018203</v>
      </c>
      <c r="AS1126" s="17">
        <f t="shared" si="136"/>
        <v>0.2667739747092564</v>
      </c>
      <c r="AT1126" s="20">
        <v>1100</v>
      </c>
      <c r="AU1126" s="20">
        <v>1585.735961914062</v>
      </c>
      <c r="AV1126" s="20">
        <f t="shared" si="137"/>
        <v>485.73596191406205</v>
      </c>
      <c r="AW1126" s="21">
        <f t="shared" si="143"/>
        <v>0.44157814719460187</v>
      </c>
    </row>
    <row r="1127" spans="1:49" x14ac:dyDescent="0.25">
      <c r="A1127" t="s">
        <v>38</v>
      </c>
      <c r="B1127" t="s">
        <v>110</v>
      </c>
      <c r="C1127">
        <v>150546</v>
      </c>
      <c r="D1127">
        <v>2018</v>
      </c>
      <c r="E1127" t="s">
        <v>69</v>
      </c>
      <c r="F1127" t="s">
        <v>394</v>
      </c>
      <c r="H1127" t="s">
        <v>856</v>
      </c>
      <c r="I1127">
        <v>4</v>
      </c>
      <c r="J1127" t="s">
        <v>43</v>
      </c>
      <c r="K1127">
        <v>4</v>
      </c>
      <c r="L1127" t="s">
        <v>44</v>
      </c>
      <c r="M1127">
        <v>1.5</v>
      </c>
      <c r="N1127" t="s">
        <v>45</v>
      </c>
      <c r="O1127" t="s">
        <v>46</v>
      </c>
      <c r="P1127">
        <v>2</v>
      </c>
      <c r="Q1127" t="s">
        <v>47</v>
      </c>
      <c r="R1127" t="s">
        <v>123</v>
      </c>
      <c r="S1127" t="s">
        <v>101</v>
      </c>
      <c r="T1127">
        <v>181</v>
      </c>
      <c r="U1127" t="s">
        <v>50</v>
      </c>
      <c r="V1127" t="s">
        <v>51</v>
      </c>
      <c r="X1127" t="s">
        <v>125</v>
      </c>
      <c r="Y1127" t="s">
        <v>126</v>
      </c>
      <c r="Z1127">
        <v>23490</v>
      </c>
      <c r="AA1127">
        <v>0</v>
      </c>
      <c r="AB1127" t="s">
        <v>79</v>
      </c>
      <c r="AC1127" t="s">
        <v>127</v>
      </c>
      <c r="AD1127">
        <v>36</v>
      </c>
      <c r="AE1127">
        <v>9</v>
      </c>
      <c r="AF1127">
        <v>3</v>
      </c>
      <c r="AG1127">
        <v>2025</v>
      </c>
      <c r="AH1127" s="2">
        <v>2200</v>
      </c>
      <c r="AI1127" s="2">
        <v>2253.377685546875</v>
      </c>
      <c r="AJ1127" s="2">
        <f t="shared" si="138"/>
        <v>53.377685546875</v>
      </c>
      <c r="AK1127" s="6">
        <f t="shared" si="139"/>
        <v>2.4262584339488635E-2</v>
      </c>
      <c r="AL1127" s="12">
        <v>2200</v>
      </c>
      <c r="AM1127" s="12">
        <v>2648.3051161609992</v>
      </c>
      <c r="AN1127" s="12">
        <f t="shared" si="140"/>
        <v>448.30511616099921</v>
      </c>
      <c r="AO1127" s="13">
        <f t="shared" si="141"/>
        <v>0.20377505280045419</v>
      </c>
      <c r="AP1127" s="16">
        <v>2200</v>
      </c>
      <c r="AQ1127" s="16">
        <v>2350.2424815233398</v>
      </c>
      <c r="AR1127" s="16">
        <f t="shared" si="142"/>
        <v>150.24248152333985</v>
      </c>
      <c r="AS1127" s="17">
        <f t="shared" si="136"/>
        <v>6.829203705606357E-2</v>
      </c>
      <c r="AT1127" s="20">
        <v>2200</v>
      </c>
      <c r="AU1127" s="20">
        <v>2254.308837890625</v>
      </c>
      <c r="AV1127" s="20">
        <f t="shared" si="137"/>
        <v>54.308837890625</v>
      </c>
      <c r="AW1127" s="21">
        <f t="shared" si="143"/>
        <v>2.4685835404829545E-2</v>
      </c>
    </row>
    <row r="1128" spans="1:49" x14ac:dyDescent="0.25">
      <c r="A1128" t="s">
        <v>114</v>
      </c>
      <c r="B1128" t="s">
        <v>340</v>
      </c>
      <c r="C1128">
        <v>115941</v>
      </c>
      <c r="D1128">
        <v>2013</v>
      </c>
      <c r="E1128" t="s">
        <v>97</v>
      </c>
      <c r="F1128" t="s">
        <v>379</v>
      </c>
      <c r="G1128" t="s">
        <v>1043</v>
      </c>
      <c r="I1128">
        <v>4</v>
      </c>
      <c r="J1128" t="s">
        <v>72</v>
      </c>
      <c r="K1128">
        <v>4</v>
      </c>
      <c r="L1128" t="s">
        <v>44</v>
      </c>
      <c r="M1128">
        <v>1.8</v>
      </c>
      <c r="N1128" t="s">
        <v>45</v>
      </c>
      <c r="O1128" t="s">
        <v>46</v>
      </c>
      <c r="P1128">
        <v>3</v>
      </c>
      <c r="Q1128" t="s">
        <v>47</v>
      </c>
      <c r="R1128" t="s">
        <v>123</v>
      </c>
      <c r="U1128" t="s">
        <v>50</v>
      </c>
      <c r="W1128" t="s">
        <v>1129</v>
      </c>
      <c r="X1128" t="s">
        <v>125</v>
      </c>
      <c r="Y1128" t="s">
        <v>78</v>
      </c>
      <c r="AA1128">
        <v>0</v>
      </c>
      <c r="AB1128" t="s">
        <v>79</v>
      </c>
      <c r="AC1128" t="s">
        <v>127</v>
      </c>
      <c r="AD1128">
        <v>36</v>
      </c>
      <c r="AE1128">
        <v>9</v>
      </c>
      <c r="AF1128">
        <v>3</v>
      </c>
      <c r="AG1128">
        <v>2025</v>
      </c>
      <c r="AH1128" s="2">
        <v>1600</v>
      </c>
      <c r="AI1128" s="2">
        <v>2199.51220703125</v>
      </c>
      <c r="AJ1128" s="2">
        <f t="shared" si="138"/>
        <v>599.51220703125</v>
      </c>
      <c r="AK1128" s="6">
        <f t="shared" si="139"/>
        <v>0.37469512939453126</v>
      </c>
      <c r="AL1128" s="12">
        <v>1600</v>
      </c>
      <c r="AM1128" s="12">
        <v>2253.6352040494962</v>
      </c>
      <c r="AN1128" s="12">
        <f t="shared" si="140"/>
        <v>653.63520404949622</v>
      </c>
      <c r="AO1128" s="13">
        <f t="shared" si="141"/>
        <v>0.40852200253093512</v>
      </c>
      <c r="AP1128" s="16">
        <v>1600</v>
      </c>
      <c r="AQ1128" s="16">
        <v>1519.5917296356199</v>
      </c>
      <c r="AR1128" s="16">
        <f t="shared" si="142"/>
        <v>80.408270364380087</v>
      </c>
      <c r="AS1128" s="17">
        <f t="shared" si="136"/>
        <v>5.0255168977737553E-2</v>
      </c>
      <c r="AT1128" s="20">
        <v>1600</v>
      </c>
      <c r="AU1128" s="20">
        <v>2222.90673828125</v>
      </c>
      <c r="AV1128" s="20">
        <f t="shared" si="137"/>
        <v>622.90673828125</v>
      </c>
      <c r="AW1128" s="21">
        <f t="shared" si="143"/>
        <v>0.38931671142578123</v>
      </c>
    </row>
    <row r="1129" spans="1:49" x14ac:dyDescent="0.25">
      <c r="A1129" t="s">
        <v>38</v>
      </c>
      <c r="B1129" t="s">
        <v>96</v>
      </c>
      <c r="C1129">
        <v>127896</v>
      </c>
      <c r="D1129">
        <v>2014</v>
      </c>
      <c r="E1129" t="s">
        <v>146</v>
      </c>
      <c r="F1129" t="s">
        <v>279</v>
      </c>
      <c r="I1129">
        <v>4</v>
      </c>
      <c r="J1129" t="s">
        <v>61</v>
      </c>
      <c r="K1129">
        <v>4</v>
      </c>
      <c r="L1129" t="s">
        <v>44</v>
      </c>
      <c r="M1129">
        <v>1.8</v>
      </c>
      <c r="N1129" t="s">
        <v>45</v>
      </c>
      <c r="O1129" t="s">
        <v>46</v>
      </c>
      <c r="P1129">
        <v>2</v>
      </c>
      <c r="Q1129" t="s">
        <v>47</v>
      </c>
      <c r="R1129" t="s">
        <v>123</v>
      </c>
      <c r="S1129" t="s">
        <v>49</v>
      </c>
      <c r="U1129" t="s">
        <v>50</v>
      </c>
      <c r="X1129" t="s">
        <v>125</v>
      </c>
      <c r="Y1129" t="s">
        <v>126</v>
      </c>
      <c r="AA1129">
        <v>0</v>
      </c>
      <c r="AB1129" t="s">
        <v>79</v>
      </c>
      <c r="AC1129" t="s">
        <v>127</v>
      </c>
      <c r="AD1129">
        <v>36</v>
      </c>
      <c r="AE1129">
        <v>9</v>
      </c>
      <c r="AF1129">
        <v>3</v>
      </c>
      <c r="AG1129">
        <v>2025</v>
      </c>
      <c r="AH1129" s="2">
        <v>1500</v>
      </c>
      <c r="AI1129" s="2">
        <v>1534.111206054688</v>
      </c>
      <c r="AJ1129" s="2">
        <f t="shared" si="138"/>
        <v>34.111206054687955</v>
      </c>
      <c r="AK1129" s="6">
        <f t="shared" si="139"/>
        <v>2.2740804036458638E-2</v>
      </c>
      <c r="AL1129" s="12">
        <v>1500</v>
      </c>
      <c r="AM1129" s="12">
        <v>1701.9804627891431</v>
      </c>
      <c r="AN1129" s="12">
        <f t="shared" si="140"/>
        <v>201.98046278914308</v>
      </c>
      <c r="AO1129" s="13">
        <f t="shared" si="141"/>
        <v>0.13465364185942871</v>
      </c>
      <c r="AP1129" s="16">
        <v>1500</v>
      </c>
      <c r="AQ1129" s="16">
        <v>1377.0710498560879</v>
      </c>
      <c r="AR1129" s="16">
        <f t="shared" si="142"/>
        <v>122.92895014391206</v>
      </c>
      <c r="AS1129" s="17">
        <f t="shared" si="136"/>
        <v>8.195263342927471E-2</v>
      </c>
      <c r="AT1129" s="20">
        <v>1500</v>
      </c>
      <c r="AU1129" s="20">
        <v>1530.447509765625</v>
      </c>
      <c r="AV1129" s="20">
        <f t="shared" si="137"/>
        <v>30.447509765625</v>
      </c>
      <c r="AW1129" s="21">
        <f t="shared" si="143"/>
        <v>2.0298339843749999E-2</v>
      </c>
    </row>
    <row r="1130" spans="1:49" x14ac:dyDescent="0.25">
      <c r="A1130" t="s">
        <v>38</v>
      </c>
      <c r="B1130" t="s">
        <v>110</v>
      </c>
      <c r="C1130">
        <v>151592</v>
      </c>
      <c r="D1130">
        <v>2015</v>
      </c>
      <c r="E1130" t="s">
        <v>116</v>
      </c>
      <c r="F1130" t="s">
        <v>251</v>
      </c>
      <c r="G1130" t="s">
        <v>396</v>
      </c>
      <c r="I1130">
        <v>6</v>
      </c>
      <c r="J1130" t="s">
        <v>135</v>
      </c>
      <c r="K1130">
        <v>4</v>
      </c>
      <c r="L1130" t="s">
        <v>44</v>
      </c>
      <c r="M1130">
        <v>3.6</v>
      </c>
      <c r="N1130" t="s">
        <v>45</v>
      </c>
      <c r="Q1130" t="s">
        <v>62</v>
      </c>
      <c r="R1130" t="s">
        <v>63</v>
      </c>
      <c r="S1130" t="s">
        <v>101</v>
      </c>
      <c r="U1130" t="s">
        <v>50</v>
      </c>
      <c r="X1130" t="s">
        <v>141</v>
      </c>
      <c r="Y1130" t="s">
        <v>126</v>
      </c>
      <c r="AA1130">
        <v>0</v>
      </c>
      <c r="AB1130" t="s">
        <v>79</v>
      </c>
      <c r="AC1130" t="s">
        <v>87</v>
      </c>
      <c r="AD1130">
        <v>36</v>
      </c>
      <c r="AE1130">
        <v>9</v>
      </c>
      <c r="AF1130">
        <v>3</v>
      </c>
      <c r="AG1130">
        <v>2025</v>
      </c>
      <c r="AH1130" s="2">
        <v>1000</v>
      </c>
      <c r="AI1130" s="2">
        <v>1795.25927734375</v>
      </c>
      <c r="AJ1130" s="2">
        <f t="shared" si="138"/>
        <v>795.25927734375</v>
      </c>
      <c r="AK1130" s="6">
        <f t="shared" si="139"/>
        <v>0.79525927734375002</v>
      </c>
      <c r="AL1130" s="12">
        <v>1000</v>
      </c>
      <c r="AM1130" s="12">
        <v>2417.792766553508</v>
      </c>
      <c r="AN1130" s="12">
        <f t="shared" si="140"/>
        <v>1417.792766553508</v>
      </c>
      <c r="AO1130" s="13">
        <f t="shared" si="141"/>
        <v>1.4177927665535079</v>
      </c>
      <c r="AP1130" s="16">
        <v>1000</v>
      </c>
      <c r="AQ1130" s="16">
        <v>1592.048200283532</v>
      </c>
      <c r="AR1130" s="16">
        <f t="shared" si="142"/>
        <v>592.04820028353197</v>
      </c>
      <c r="AS1130" s="17">
        <f t="shared" si="136"/>
        <v>0.592048200283532</v>
      </c>
      <c r="AT1130" s="20">
        <v>1000</v>
      </c>
      <c r="AU1130" s="20">
        <v>1789.60400390625</v>
      </c>
      <c r="AV1130" s="20">
        <f t="shared" si="137"/>
        <v>789.60400390625</v>
      </c>
      <c r="AW1130" s="21">
        <f t="shared" si="143"/>
        <v>0.78960400390624996</v>
      </c>
    </row>
    <row r="1131" spans="1:49" x14ac:dyDescent="0.25">
      <c r="A1131" t="s">
        <v>38</v>
      </c>
      <c r="B1131" t="s">
        <v>39</v>
      </c>
      <c r="C1131">
        <v>107162</v>
      </c>
      <c r="D1131">
        <v>2016</v>
      </c>
      <c r="E1131" t="s">
        <v>142</v>
      </c>
      <c r="F1131" t="s">
        <v>335</v>
      </c>
      <c r="G1131" t="s">
        <v>457</v>
      </c>
      <c r="H1131" t="s">
        <v>1239</v>
      </c>
      <c r="I1131">
        <v>4</v>
      </c>
      <c r="J1131" t="s">
        <v>72</v>
      </c>
      <c r="K1131">
        <v>4</v>
      </c>
      <c r="L1131" t="s">
        <v>44</v>
      </c>
      <c r="M1131">
        <v>2.4</v>
      </c>
      <c r="N1131" t="s">
        <v>45</v>
      </c>
      <c r="O1131" t="s">
        <v>46</v>
      </c>
      <c r="P1131">
        <v>3</v>
      </c>
      <c r="Q1131" t="s">
        <v>62</v>
      </c>
      <c r="R1131" t="s">
        <v>63</v>
      </c>
      <c r="S1131" t="s">
        <v>101</v>
      </c>
      <c r="U1131" t="s">
        <v>50</v>
      </c>
      <c r="X1131" t="s">
        <v>65</v>
      </c>
      <c r="Y1131" t="s">
        <v>78</v>
      </c>
      <c r="AA1131">
        <v>0</v>
      </c>
      <c r="AB1131" t="s">
        <v>79</v>
      </c>
      <c r="AC1131" t="s">
        <v>87</v>
      </c>
      <c r="AD1131">
        <v>36</v>
      </c>
      <c r="AE1131">
        <v>9</v>
      </c>
      <c r="AF1131">
        <v>3</v>
      </c>
      <c r="AG1131">
        <v>2025</v>
      </c>
      <c r="AH1131" s="2">
        <v>3300</v>
      </c>
      <c r="AI1131" s="2">
        <v>3708.99658203125</v>
      </c>
      <c r="AJ1131" s="2">
        <f t="shared" si="138"/>
        <v>408.99658203125</v>
      </c>
      <c r="AK1131" s="6">
        <f t="shared" si="139"/>
        <v>0.12393835819128787</v>
      </c>
      <c r="AL1131" s="12">
        <v>3300</v>
      </c>
      <c r="AM1131" s="12">
        <v>4292.0959847520317</v>
      </c>
      <c r="AN1131" s="12">
        <f t="shared" si="140"/>
        <v>992.09598475203165</v>
      </c>
      <c r="AO1131" s="13">
        <f t="shared" si="141"/>
        <v>0.30063514689455506</v>
      </c>
      <c r="AP1131" s="16">
        <v>3300</v>
      </c>
      <c r="AQ1131" s="16">
        <v>3469.8037342706102</v>
      </c>
      <c r="AR1131" s="16">
        <f t="shared" si="142"/>
        <v>169.80373427061022</v>
      </c>
      <c r="AS1131" s="17">
        <f t="shared" si="136"/>
        <v>5.1455677051700066E-2</v>
      </c>
      <c r="AT1131" s="20">
        <v>3300</v>
      </c>
      <c r="AU1131" s="20">
        <v>3757.299560546875</v>
      </c>
      <c r="AV1131" s="20">
        <f t="shared" si="137"/>
        <v>457.299560546875</v>
      </c>
      <c r="AW1131" s="21">
        <f t="shared" si="143"/>
        <v>0.13857562440814394</v>
      </c>
    </row>
    <row r="1132" spans="1:49" x14ac:dyDescent="0.25">
      <c r="A1132" t="s">
        <v>38</v>
      </c>
      <c r="B1132" t="s">
        <v>110</v>
      </c>
      <c r="C1132">
        <v>122831</v>
      </c>
      <c r="D1132">
        <v>2012</v>
      </c>
      <c r="E1132" t="s">
        <v>69</v>
      </c>
      <c r="F1132" t="s">
        <v>475</v>
      </c>
      <c r="H1132" t="s">
        <v>476</v>
      </c>
      <c r="I1132">
        <v>8</v>
      </c>
      <c r="J1132" t="s">
        <v>122</v>
      </c>
      <c r="K1132">
        <v>4</v>
      </c>
      <c r="L1132" t="s">
        <v>44</v>
      </c>
      <c r="M1132">
        <v>6.2</v>
      </c>
      <c r="N1132" t="s">
        <v>91</v>
      </c>
      <c r="Q1132" t="s">
        <v>74</v>
      </c>
      <c r="R1132" t="s">
        <v>92</v>
      </c>
      <c r="S1132" t="s">
        <v>93</v>
      </c>
      <c r="T1132">
        <v>383</v>
      </c>
      <c r="U1132" t="s">
        <v>50</v>
      </c>
      <c r="V1132" t="s">
        <v>76</v>
      </c>
      <c r="X1132" t="s">
        <v>230</v>
      </c>
      <c r="Y1132" t="s">
        <v>78</v>
      </c>
      <c r="AA1132">
        <v>0</v>
      </c>
      <c r="AB1132" t="s">
        <v>79</v>
      </c>
      <c r="AC1132" t="s">
        <v>95</v>
      </c>
      <c r="AD1132">
        <v>36</v>
      </c>
      <c r="AE1132">
        <v>9</v>
      </c>
      <c r="AF1132">
        <v>3</v>
      </c>
      <c r="AG1132">
        <v>2025</v>
      </c>
      <c r="AH1132" s="2">
        <v>21000</v>
      </c>
      <c r="AI1132" s="2">
        <v>8557.056640625</v>
      </c>
      <c r="AJ1132" s="2">
        <f t="shared" si="138"/>
        <v>12442.943359375</v>
      </c>
      <c r="AK1132" s="6">
        <f t="shared" si="139"/>
        <v>0.59252111235119043</v>
      </c>
      <c r="AL1132" s="12">
        <v>21000</v>
      </c>
      <c r="AM1132" s="12">
        <v>8497.5114770186083</v>
      </c>
      <c r="AN1132" s="12">
        <f t="shared" si="140"/>
        <v>12502.488522981392</v>
      </c>
      <c r="AO1132" s="13">
        <f t="shared" si="141"/>
        <v>0.5953565963324472</v>
      </c>
      <c r="AP1132" s="16">
        <v>21000</v>
      </c>
      <c r="AQ1132" s="16">
        <v>8938.711912093353</v>
      </c>
      <c r="AR1132" s="16">
        <f t="shared" si="142"/>
        <v>12061.288087906647</v>
      </c>
      <c r="AS1132" s="17">
        <f t="shared" si="136"/>
        <v>0.57434705180507839</v>
      </c>
      <c r="AT1132" s="20">
        <v>21000</v>
      </c>
      <c r="AU1132" s="20">
        <v>8659.91015625</v>
      </c>
      <c r="AV1132" s="20">
        <f t="shared" si="137"/>
        <v>12340.08984375</v>
      </c>
      <c r="AW1132" s="21">
        <f t="shared" si="143"/>
        <v>0.58762332589285715</v>
      </c>
    </row>
    <row r="1133" spans="1:49" x14ac:dyDescent="0.25">
      <c r="A1133" t="s">
        <v>128</v>
      </c>
      <c r="B1133" t="s">
        <v>129</v>
      </c>
      <c r="C1133">
        <v>242424</v>
      </c>
      <c r="D1133">
        <v>2008</v>
      </c>
      <c r="E1133" t="s">
        <v>40</v>
      </c>
      <c r="F1133" t="s">
        <v>215</v>
      </c>
      <c r="G1133" t="s">
        <v>150</v>
      </c>
      <c r="H1133" t="s">
        <v>1229</v>
      </c>
      <c r="I1133">
        <v>8</v>
      </c>
      <c r="J1133" t="s">
        <v>217</v>
      </c>
      <c r="K1133">
        <v>4</v>
      </c>
      <c r="L1133" t="s">
        <v>44</v>
      </c>
      <c r="M1133">
        <v>5.7</v>
      </c>
      <c r="N1133" t="s">
        <v>73</v>
      </c>
      <c r="O1133" t="s">
        <v>46</v>
      </c>
      <c r="Q1133" t="s">
        <v>74</v>
      </c>
      <c r="R1133" t="s">
        <v>92</v>
      </c>
      <c r="S1133" t="s">
        <v>49</v>
      </c>
      <c r="T1133">
        <v>381</v>
      </c>
      <c r="U1133" t="s">
        <v>50</v>
      </c>
      <c r="V1133" t="s">
        <v>76</v>
      </c>
      <c r="W1133" t="s">
        <v>763</v>
      </c>
      <c r="X1133" t="s">
        <v>219</v>
      </c>
      <c r="Y1133" t="s">
        <v>78</v>
      </c>
      <c r="AA1133">
        <v>0</v>
      </c>
      <c r="AB1133" t="s">
        <v>79</v>
      </c>
      <c r="AC1133" t="s">
        <v>95</v>
      </c>
      <c r="AD1133">
        <v>36</v>
      </c>
      <c r="AE1133">
        <v>9</v>
      </c>
      <c r="AF1133">
        <v>3</v>
      </c>
      <c r="AG1133">
        <v>2025</v>
      </c>
      <c r="AH1133" s="2">
        <v>3100</v>
      </c>
      <c r="AI1133" s="2">
        <v>2828.74609375</v>
      </c>
      <c r="AJ1133" s="2">
        <f t="shared" si="138"/>
        <v>271.25390625</v>
      </c>
      <c r="AK1133" s="6">
        <f t="shared" si="139"/>
        <v>8.7501260080645155E-2</v>
      </c>
      <c r="AL1133" s="12">
        <v>3100</v>
      </c>
      <c r="AM1133" s="12">
        <v>3594.3023262173888</v>
      </c>
      <c r="AN1133" s="12">
        <f t="shared" si="140"/>
        <v>494.30232621738878</v>
      </c>
      <c r="AO1133" s="13">
        <f t="shared" si="141"/>
        <v>0.15945236329593188</v>
      </c>
      <c r="AP1133" s="16">
        <v>3100</v>
      </c>
      <c r="AQ1133" s="16">
        <v>2869.028410543915</v>
      </c>
      <c r="AR1133" s="16">
        <f t="shared" si="142"/>
        <v>230.97158945608498</v>
      </c>
      <c r="AS1133" s="17">
        <f t="shared" si="136"/>
        <v>7.4506964340672582E-2</v>
      </c>
      <c r="AT1133" s="20">
        <v>3100</v>
      </c>
      <c r="AU1133" s="20">
        <v>2899.431396484375</v>
      </c>
      <c r="AV1133" s="20">
        <f t="shared" si="137"/>
        <v>200.568603515625</v>
      </c>
      <c r="AW1133" s="21">
        <f t="shared" si="143"/>
        <v>6.4699549521169353E-2</v>
      </c>
    </row>
    <row r="1134" spans="1:49" x14ac:dyDescent="0.25">
      <c r="A1134" t="s">
        <v>128</v>
      </c>
      <c r="B1134" t="s">
        <v>309</v>
      </c>
      <c r="C1134">
        <v>33769</v>
      </c>
      <c r="D1134">
        <v>2023</v>
      </c>
      <c r="E1134" t="s">
        <v>58</v>
      </c>
      <c r="F1134" t="s">
        <v>243</v>
      </c>
      <c r="G1134" t="s">
        <v>1240</v>
      </c>
      <c r="I1134">
        <v>4</v>
      </c>
      <c r="J1134" t="s">
        <v>135</v>
      </c>
      <c r="K1134">
        <v>4</v>
      </c>
      <c r="L1134" t="s">
        <v>44</v>
      </c>
      <c r="M1134">
        <v>2</v>
      </c>
      <c r="N1134" t="s">
        <v>45</v>
      </c>
      <c r="O1134" t="s">
        <v>46</v>
      </c>
      <c r="P1134">
        <v>4</v>
      </c>
      <c r="Q1134" t="s">
        <v>47</v>
      </c>
      <c r="R1134" t="s">
        <v>123</v>
      </c>
      <c r="T1134">
        <v>147</v>
      </c>
      <c r="U1134" t="s">
        <v>50</v>
      </c>
      <c r="W1134" t="s">
        <v>463</v>
      </c>
      <c r="X1134" t="s">
        <v>53</v>
      </c>
      <c r="Y1134" t="s">
        <v>126</v>
      </c>
      <c r="AA1134">
        <v>0</v>
      </c>
      <c r="AB1134" t="s">
        <v>79</v>
      </c>
      <c r="AC1134" t="s">
        <v>127</v>
      </c>
      <c r="AD1134">
        <v>36</v>
      </c>
      <c r="AE1134">
        <v>9</v>
      </c>
      <c r="AF1134">
        <v>3</v>
      </c>
      <c r="AG1134">
        <v>2025</v>
      </c>
      <c r="AH1134" s="2">
        <v>17800</v>
      </c>
      <c r="AI1134" s="2">
        <v>16610.076171875</v>
      </c>
      <c r="AJ1134" s="2">
        <f t="shared" si="138"/>
        <v>1189.923828125</v>
      </c>
      <c r="AK1134" s="6">
        <f t="shared" si="139"/>
        <v>6.6849653265449435E-2</v>
      </c>
      <c r="AL1134" s="12">
        <v>17800</v>
      </c>
      <c r="AM1134" s="12">
        <v>18307.595339296229</v>
      </c>
      <c r="AN1134" s="12">
        <f t="shared" si="140"/>
        <v>507.59533929622921</v>
      </c>
      <c r="AO1134" s="13">
        <f t="shared" si="141"/>
        <v>2.8516592095293777E-2</v>
      </c>
      <c r="AP1134" s="16">
        <v>17800</v>
      </c>
      <c r="AQ1134" s="16">
        <v>15142.96655983621</v>
      </c>
      <c r="AR1134" s="16">
        <f t="shared" si="142"/>
        <v>2657.0334401637901</v>
      </c>
      <c r="AS1134" s="17">
        <f t="shared" si="136"/>
        <v>0.14927154158223541</v>
      </c>
      <c r="AT1134" s="20">
        <v>17800</v>
      </c>
      <c r="AU1134" s="20">
        <v>16824.46875</v>
      </c>
      <c r="AV1134" s="20">
        <f t="shared" si="137"/>
        <v>975.53125</v>
      </c>
      <c r="AW1134" s="21">
        <f t="shared" si="143"/>
        <v>5.4805126404494385E-2</v>
      </c>
    </row>
    <row r="1135" spans="1:49" x14ac:dyDescent="0.25">
      <c r="A1135" t="s">
        <v>128</v>
      </c>
      <c r="B1135" t="s">
        <v>309</v>
      </c>
      <c r="C1135">
        <v>107345</v>
      </c>
      <c r="D1135">
        <v>2019</v>
      </c>
      <c r="E1135" t="s">
        <v>341</v>
      </c>
      <c r="F1135" t="s">
        <v>592</v>
      </c>
      <c r="G1135" t="s">
        <v>1139</v>
      </c>
      <c r="I1135">
        <v>4</v>
      </c>
      <c r="J1135" t="s">
        <v>61</v>
      </c>
      <c r="K1135">
        <v>4</v>
      </c>
      <c r="L1135" t="s">
        <v>44</v>
      </c>
      <c r="M1135">
        <v>1.4</v>
      </c>
      <c r="N1135" t="s">
        <v>45</v>
      </c>
      <c r="O1135" t="s">
        <v>46</v>
      </c>
      <c r="P1135">
        <v>3</v>
      </c>
      <c r="Q1135" t="s">
        <v>62</v>
      </c>
      <c r="R1135" t="s">
        <v>63</v>
      </c>
      <c r="S1135" t="s">
        <v>101</v>
      </c>
      <c r="U1135" t="s">
        <v>50</v>
      </c>
      <c r="W1135" t="s">
        <v>1140</v>
      </c>
      <c r="X1135" t="s">
        <v>65</v>
      </c>
      <c r="Y1135" t="s">
        <v>66</v>
      </c>
      <c r="Z1135">
        <v>23200</v>
      </c>
      <c r="AA1135">
        <v>0</v>
      </c>
      <c r="AB1135" t="s">
        <v>79</v>
      </c>
      <c r="AC1135" t="s">
        <v>87</v>
      </c>
      <c r="AD1135">
        <v>36</v>
      </c>
      <c r="AE1135">
        <v>9</v>
      </c>
      <c r="AF1135">
        <v>3</v>
      </c>
      <c r="AG1135">
        <v>2025</v>
      </c>
      <c r="AH1135" s="2">
        <v>7400</v>
      </c>
      <c r="AI1135" s="2">
        <v>5806.95361328125</v>
      </c>
      <c r="AJ1135" s="2">
        <f t="shared" si="138"/>
        <v>1593.04638671875</v>
      </c>
      <c r="AK1135" s="6">
        <f t="shared" si="139"/>
        <v>0.21527653874577704</v>
      </c>
      <c r="AL1135" s="12">
        <v>7400</v>
      </c>
      <c r="AM1135" s="12">
        <v>6864.0442977845914</v>
      </c>
      <c r="AN1135" s="12">
        <f t="shared" si="140"/>
        <v>535.95570221540856</v>
      </c>
      <c r="AO1135" s="13">
        <f t="shared" si="141"/>
        <v>7.2426446245325488E-2</v>
      </c>
      <c r="AP1135" s="16">
        <v>7400</v>
      </c>
      <c r="AQ1135" s="16">
        <v>5477.993887294153</v>
      </c>
      <c r="AR1135" s="16">
        <f t="shared" si="142"/>
        <v>1922.006112705847</v>
      </c>
      <c r="AS1135" s="17">
        <f t="shared" si="136"/>
        <v>0.25973055577106041</v>
      </c>
      <c r="AT1135" s="20">
        <v>7400</v>
      </c>
      <c r="AU1135" s="20">
        <v>6013.27392578125</v>
      </c>
      <c r="AV1135" s="20">
        <f t="shared" si="137"/>
        <v>1386.72607421875</v>
      </c>
      <c r="AW1135" s="21">
        <f t="shared" si="143"/>
        <v>0.18739541543496621</v>
      </c>
    </row>
    <row r="1136" spans="1:49" x14ac:dyDescent="0.25">
      <c r="A1136" t="s">
        <v>81</v>
      </c>
      <c r="B1136" t="s">
        <v>82</v>
      </c>
      <c r="C1136">
        <v>188655</v>
      </c>
      <c r="D1136">
        <v>2009</v>
      </c>
      <c r="E1136" t="s">
        <v>263</v>
      </c>
      <c r="F1136" t="s">
        <v>1241</v>
      </c>
      <c r="I1136">
        <v>6</v>
      </c>
      <c r="J1136" t="s">
        <v>61</v>
      </c>
      <c r="K1136">
        <v>4</v>
      </c>
      <c r="L1136" t="s">
        <v>44</v>
      </c>
      <c r="M1136">
        <v>3.7</v>
      </c>
      <c r="N1136" t="s">
        <v>44</v>
      </c>
      <c r="O1136" t="s">
        <v>46</v>
      </c>
      <c r="Q1136" t="s">
        <v>62</v>
      </c>
      <c r="R1136" t="s">
        <v>63</v>
      </c>
      <c r="S1136" t="s">
        <v>93</v>
      </c>
      <c r="U1136" t="s">
        <v>50</v>
      </c>
      <c r="W1136" t="s">
        <v>1242</v>
      </c>
      <c r="X1136" t="s">
        <v>94</v>
      </c>
      <c r="Y1136" t="s">
        <v>54</v>
      </c>
      <c r="AA1136">
        <v>0</v>
      </c>
      <c r="AB1136" t="s">
        <v>79</v>
      </c>
      <c r="AC1136" t="s">
        <v>87</v>
      </c>
      <c r="AD1136">
        <v>36</v>
      </c>
      <c r="AE1136">
        <v>9</v>
      </c>
      <c r="AF1136">
        <v>3</v>
      </c>
      <c r="AG1136">
        <v>2025</v>
      </c>
      <c r="AH1136" s="2">
        <v>400</v>
      </c>
      <c r="AI1136" s="2">
        <v>899.41259765625</v>
      </c>
      <c r="AJ1136" s="2">
        <f t="shared" si="138"/>
        <v>499.41259765625</v>
      </c>
      <c r="AK1136" s="6">
        <f t="shared" si="139"/>
        <v>1.2485314941406249</v>
      </c>
      <c r="AL1136" s="12">
        <v>400</v>
      </c>
      <c r="AM1136" s="12">
        <v>1243.899860137406</v>
      </c>
      <c r="AN1136" s="12">
        <f t="shared" si="140"/>
        <v>843.89986013740599</v>
      </c>
      <c r="AO1136" s="13">
        <f t="shared" si="141"/>
        <v>2.1097496503435149</v>
      </c>
      <c r="AP1136" s="16">
        <v>400</v>
      </c>
      <c r="AQ1136" s="16">
        <v>882.43209885738383</v>
      </c>
      <c r="AR1136" s="16">
        <f t="shared" si="142"/>
        <v>482.43209885738383</v>
      </c>
      <c r="AS1136" s="17">
        <f t="shared" si="136"/>
        <v>1.2060802471434595</v>
      </c>
      <c r="AT1136" s="20">
        <v>400</v>
      </c>
      <c r="AU1136" s="20">
        <v>935.52117919921875</v>
      </c>
      <c r="AV1136" s="20">
        <f t="shared" si="137"/>
        <v>535.52117919921875</v>
      </c>
      <c r="AW1136" s="21">
        <f t="shared" si="143"/>
        <v>1.3388029479980468</v>
      </c>
    </row>
    <row r="1137" spans="1:49" x14ac:dyDescent="0.25">
      <c r="A1137" t="s">
        <v>38</v>
      </c>
      <c r="B1137" t="s">
        <v>110</v>
      </c>
      <c r="C1137">
        <v>168792</v>
      </c>
      <c r="D1137">
        <v>2008</v>
      </c>
      <c r="E1137" t="s">
        <v>40</v>
      </c>
      <c r="F1137" t="s">
        <v>41</v>
      </c>
      <c r="H1137" t="s">
        <v>1243</v>
      </c>
      <c r="I1137">
        <v>4</v>
      </c>
      <c r="J1137" t="s">
        <v>206</v>
      </c>
      <c r="K1137">
        <v>4</v>
      </c>
      <c r="L1137" t="s">
        <v>44</v>
      </c>
      <c r="M1137">
        <v>1.5</v>
      </c>
      <c r="N1137" t="s">
        <v>45</v>
      </c>
      <c r="O1137" t="s">
        <v>100</v>
      </c>
      <c r="Q1137" t="s">
        <v>47</v>
      </c>
      <c r="R1137" t="s">
        <v>48</v>
      </c>
      <c r="S1137" t="s">
        <v>49</v>
      </c>
      <c r="T1137">
        <v>76</v>
      </c>
      <c r="U1137" t="s">
        <v>50</v>
      </c>
      <c r="V1137" t="s">
        <v>51</v>
      </c>
      <c r="W1137" t="s">
        <v>1244</v>
      </c>
      <c r="X1137" t="s">
        <v>125</v>
      </c>
      <c r="Y1137" t="s">
        <v>54</v>
      </c>
      <c r="AA1137">
        <v>1</v>
      </c>
      <c r="AB1137" t="s">
        <v>55</v>
      </c>
      <c r="AC1137" t="s">
        <v>56</v>
      </c>
      <c r="AD1137">
        <v>36</v>
      </c>
      <c r="AE1137">
        <v>9</v>
      </c>
      <c r="AF1137">
        <v>3</v>
      </c>
      <c r="AG1137">
        <v>2025</v>
      </c>
      <c r="AH1137" s="2">
        <v>700</v>
      </c>
      <c r="AI1137" s="2">
        <v>640.687744140625</v>
      </c>
      <c r="AJ1137" s="2">
        <f t="shared" si="138"/>
        <v>59.312255859375</v>
      </c>
      <c r="AK1137" s="6">
        <f t="shared" si="139"/>
        <v>8.4731794084821427E-2</v>
      </c>
      <c r="AL1137" s="12">
        <v>700</v>
      </c>
      <c r="AM1137" s="12">
        <v>704.7555848915307</v>
      </c>
      <c r="AN1137" s="12">
        <f t="shared" si="140"/>
        <v>4.7555848915307024</v>
      </c>
      <c r="AO1137" s="13">
        <f t="shared" si="141"/>
        <v>6.7936927021867181E-3</v>
      </c>
      <c r="AP1137" s="16">
        <v>700</v>
      </c>
      <c r="AQ1137" s="16">
        <v>507.27272102706121</v>
      </c>
      <c r="AR1137" s="16">
        <f t="shared" si="142"/>
        <v>192.72727897293879</v>
      </c>
      <c r="AS1137" s="17">
        <f t="shared" si="136"/>
        <v>0.27532468424705542</v>
      </c>
      <c r="AT1137" s="20">
        <v>700</v>
      </c>
      <c r="AU1137" s="20">
        <v>616.9681396484375</v>
      </c>
      <c r="AV1137" s="20">
        <f t="shared" si="137"/>
        <v>83.0318603515625</v>
      </c>
      <c r="AW1137" s="21">
        <f t="shared" si="143"/>
        <v>0.118616943359375</v>
      </c>
    </row>
    <row r="1138" spans="1:49" x14ac:dyDescent="0.25">
      <c r="A1138" t="s">
        <v>38</v>
      </c>
      <c r="B1138" t="s">
        <v>96</v>
      </c>
      <c r="C1138">
        <v>64214</v>
      </c>
      <c r="D1138">
        <v>2016</v>
      </c>
      <c r="E1138" t="s">
        <v>142</v>
      </c>
      <c r="F1138" t="s">
        <v>633</v>
      </c>
      <c r="G1138" t="s">
        <v>457</v>
      </c>
      <c r="H1138" t="s">
        <v>635</v>
      </c>
      <c r="I1138">
        <v>6</v>
      </c>
      <c r="J1138" t="s">
        <v>106</v>
      </c>
      <c r="K1138">
        <v>4</v>
      </c>
      <c r="L1138" t="s">
        <v>44</v>
      </c>
      <c r="M1138">
        <v>3.6</v>
      </c>
      <c r="N1138" t="s">
        <v>91</v>
      </c>
      <c r="O1138" t="s">
        <v>46</v>
      </c>
      <c r="Q1138" t="s">
        <v>62</v>
      </c>
      <c r="R1138" t="s">
        <v>63</v>
      </c>
      <c r="S1138" t="s">
        <v>93</v>
      </c>
      <c r="U1138" t="s">
        <v>50</v>
      </c>
      <c r="X1138" t="s">
        <v>141</v>
      </c>
      <c r="Y1138" t="s">
        <v>78</v>
      </c>
      <c r="AA1138">
        <v>0</v>
      </c>
      <c r="AB1138" t="s">
        <v>79</v>
      </c>
      <c r="AC1138" t="s">
        <v>87</v>
      </c>
      <c r="AD1138">
        <v>36</v>
      </c>
      <c r="AE1138">
        <v>9</v>
      </c>
      <c r="AF1138">
        <v>3</v>
      </c>
      <c r="AG1138">
        <v>2025</v>
      </c>
      <c r="AH1138" s="2">
        <v>14000</v>
      </c>
      <c r="AI1138" s="2">
        <v>16979.703125</v>
      </c>
      <c r="AJ1138" s="2">
        <f t="shared" si="138"/>
        <v>2979.703125</v>
      </c>
      <c r="AK1138" s="6">
        <f t="shared" si="139"/>
        <v>0.21283593749999999</v>
      </c>
      <c r="AL1138" s="12">
        <v>14000</v>
      </c>
      <c r="AM1138" s="12">
        <v>15971.394523564421</v>
      </c>
      <c r="AN1138" s="12">
        <f t="shared" si="140"/>
        <v>1971.3945235644205</v>
      </c>
      <c r="AO1138" s="13">
        <f t="shared" si="141"/>
        <v>0.14081389454031576</v>
      </c>
      <c r="AP1138" s="16">
        <v>14000</v>
      </c>
      <c r="AQ1138" s="16">
        <v>14918.21414571232</v>
      </c>
      <c r="AR1138" s="16">
        <f t="shared" si="142"/>
        <v>918.21414571231981</v>
      </c>
      <c r="AS1138" s="17">
        <f t="shared" si="136"/>
        <v>6.5586724693737122E-2</v>
      </c>
      <c r="AT1138" s="20">
        <v>14000</v>
      </c>
      <c r="AU1138" s="20">
        <v>16691.494140625</v>
      </c>
      <c r="AV1138" s="20">
        <f t="shared" si="137"/>
        <v>2691.494140625</v>
      </c>
      <c r="AW1138" s="21">
        <f t="shared" si="143"/>
        <v>0.19224958147321428</v>
      </c>
    </row>
    <row r="1139" spans="1:49" x14ac:dyDescent="0.25">
      <c r="A1139" t="s">
        <v>38</v>
      </c>
      <c r="B1139" t="s">
        <v>96</v>
      </c>
      <c r="C1139">
        <v>109566</v>
      </c>
      <c r="D1139">
        <v>2016</v>
      </c>
      <c r="E1139" t="s">
        <v>40</v>
      </c>
      <c r="F1139" t="s">
        <v>297</v>
      </c>
      <c r="H1139" t="s">
        <v>298</v>
      </c>
      <c r="I1139">
        <v>4</v>
      </c>
      <c r="J1139" t="s">
        <v>72</v>
      </c>
      <c r="K1139">
        <v>4</v>
      </c>
      <c r="L1139" t="s">
        <v>44</v>
      </c>
      <c r="M1139">
        <v>2.5</v>
      </c>
      <c r="N1139" t="s">
        <v>45</v>
      </c>
      <c r="O1139" t="s">
        <v>46</v>
      </c>
      <c r="P1139">
        <v>4</v>
      </c>
      <c r="Q1139" t="s">
        <v>47</v>
      </c>
      <c r="R1139" t="s">
        <v>123</v>
      </c>
      <c r="S1139" t="s">
        <v>49</v>
      </c>
      <c r="T1139">
        <v>268</v>
      </c>
      <c r="U1139" t="s">
        <v>50</v>
      </c>
      <c r="V1139" t="s">
        <v>51</v>
      </c>
      <c r="W1139" t="s">
        <v>236</v>
      </c>
      <c r="X1139" t="s">
        <v>125</v>
      </c>
      <c r="Y1139" t="s">
        <v>78</v>
      </c>
      <c r="AA1139">
        <v>0</v>
      </c>
      <c r="AB1139" t="s">
        <v>79</v>
      </c>
      <c r="AC1139" t="s">
        <v>127</v>
      </c>
      <c r="AD1139">
        <v>36</v>
      </c>
      <c r="AE1139">
        <v>9</v>
      </c>
      <c r="AF1139">
        <v>3</v>
      </c>
      <c r="AG1139">
        <v>2025</v>
      </c>
      <c r="AH1139" s="2">
        <v>9750</v>
      </c>
      <c r="AI1139" s="2">
        <v>6524.818359375</v>
      </c>
      <c r="AJ1139" s="2">
        <f t="shared" si="138"/>
        <v>3225.181640625</v>
      </c>
      <c r="AK1139" s="6">
        <f t="shared" si="139"/>
        <v>0.33078786057692305</v>
      </c>
      <c r="AL1139" s="12">
        <v>9750</v>
      </c>
      <c r="AM1139" s="12">
        <v>9147.1472978114962</v>
      </c>
      <c r="AN1139" s="12">
        <f t="shared" si="140"/>
        <v>602.85270218850383</v>
      </c>
      <c r="AO1139" s="13">
        <f t="shared" si="141"/>
        <v>6.1831046378308087E-2</v>
      </c>
      <c r="AP1139" s="16">
        <v>9750</v>
      </c>
      <c r="AQ1139" s="16">
        <v>7173.4577249044532</v>
      </c>
      <c r="AR1139" s="16">
        <f t="shared" si="142"/>
        <v>2576.5422750955468</v>
      </c>
      <c r="AS1139" s="17">
        <f t="shared" si="136"/>
        <v>0.26426074616364581</v>
      </c>
      <c r="AT1139" s="20">
        <v>9750</v>
      </c>
      <c r="AU1139" s="20">
        <v>6884.5947265625</v>
      </c>
      <c r="AV1139" s="20">
        <f t="shared" si="137"/>
        <v>2865.4052734375</v>
      </c>
      <c r="AW1139" s="21">
        <f t="shared" si="143"/>
        <v>0.29388772035256411</v>
      </c>
    </row>
    <row r="1140" spans="1:49" x14ac:dyDescent="0.25">
      <c r="A1140" t="s">
        <v>128</v>
      </c>
      <c r="B1140" t="s">
        <v>129</v>
      </c>
      <c r="C1140">
        <v>137723</v>
      </c>
      <c r="D1140">
        <v>2008</v>
      </c>
      <c r="E1140" t="s">
        <v>162</v>
      </c>
      <c r="F1140" t="s">
        <v>532</v>
      </c>
      <c r="I1140">
        <v>6</v>
      </c>
      <c r="J1140" t="s">
        <v>106</v>
      </c>
      <c r="K1140">
        <v>4</v>
      </c>
      <c r="L1140" t="s">
        <v>44</v>
      </c>
      <c r="M1140">
        <v>3.3</v>
      </c>
      <c r="N1140" t="s">
        <v>45</v>
      </c>
      <c r="Q1140" t="s">
        <v>62</v>
      </c>
      <c r="R1140" t="s">
        <v>63</v>
      </c>
      <c r="S1140" t="s">
        <v>101</v>
      </c>
      <c r="T1140">
        <v>242</v>
      </c>
      <c r="U1140" t="s">
        <v>50</v>
      </c>
      <c r="V1140" t="s">
        <v>76</v>
      </c>
      <c r="X1140" t="s">
        <v>141</v>
      </c>
      <c r="Y1140" t="s">
        <v>78</v>
      </c>
      <c r="AA1140">
        <v>0</v>
      </c>
      <c r="AB1140" t="s">
        <v>79</v>
      </c>
      <c r="AC1140" t="s">
        <v>87</v>
      </c>
      <c r="AD1140">
        <v>36</v>
      </c>
      <c r="AE1140">
        <v>9</v>
      </c>
      <c r="AF1140">
        <v>3</v>
      </c>
      <c r="AG1140">
        <v>2025</v>
      </c>
      <c r="AH1140" s="2">
        <v>2200</v>
      </c>
      <c r="AI1140" s="2">
        <v>1374.432373046875</v>
      </c>
      <c r="AJ1140" s="2">
        <f t="shared" si="138"/>
        <v>825.567626953125</v>
      </c>
      <c r="AK1140" s="6">
        <f t="shared" si="139"/>
        <v>0.37525801225142047</v>
      </c>
      <c r="AL1140" s="12">
        <v>2200</v>
      </c>
      <c r="AM1140" s="12">
        <v>1628.256855153224</v>
      </c>
      <c r="AN1140" s="12">
        <f t="shared" si="140"/>
        <v>571.74314484677598</v>
      </c>
      <c r="AO1140" s="13">
        <f t="shared" si="141"/>
        <v>0.25988324765762544</v>
      </c>
      <c r="AP1140" s="16">
        <v>2200</v>
      </c>
      <c r="AQ1140" s="16">
        <v>1407.723118326616</v>
      </c>
      <c r="AR1140" s="16">
        <f t="shared" si="142"/>
        <v>792.27688167338397</v>
      </c>
      <c r="AS1140" s="17">
        <f t="shared" si="136"/>
        <v>0.3601258553060836</v>
      </c>
      <c r="AT1140" s="20">
        <v>2200</v>
      </c>
      <c r="AU1140" s="20">
        <v>1388.456787109375</v>
      </c>
      <c r="AV1140" s="20">
        <f t="shared" si="137"/>
        <v>811.543212890625</v>
      </c>
      <c r="AW1140" s="21">
        <f t="shared" si="143"/>
        <v>0.36888327858664771</v>
      </c>
    </row>
    <row r="1141" spans="1:49" x14ac:dyDescent="0.25">
      <c r="A1141" t="s">
        <v>81</v>
      </c>
      <c r="B1141" t="s">
        <v>304</v>
      </c>
      <c r="C1141">
        <v>30697</v>
      </c>
      <c r="D1141">
        <v>2024</v>
      </c>
      <c r="E1141" t="s">
        <v>97</v>
      </c>
      <c r="F1141" t="s">
        <v>419</v>
      </c>
      <c r="G1141" t="s">
        <v>199</v>
      </c>
      <c r="I1141">
        <v>8</v>
      </c>
      <c r="J1141" t="s">
        <v>277</v>
      </c>
      <c r="K1141">
        <v>4</v>
      </c>
      <c r="L1141" t="s">
        <v>44</v>
      </c>
      <c r="M1141">
        <v>5.3</v>
      </c>
      <c r="N1141" t="s">
        <v>91</v>
      </c>
      <c r="O1141" t="s">
        <v>46</v>
      </c>
      <c r="Q1141" t="s">
        <v>62</v>
      </c>
      <c r="R1141" t="s">
        <v>63</v>
      </c>
      <c r="U1141" t="s">
        <v>50</v>
      </c>
      <c r="W1141" t="s">
        <v>161</v>
      </c>
      <c r="X1141" t="s">
        <v>108</v>
      </c>
      <c r="Y1141" t="s">
        <v>78</v>
      </c>
      <c r="AA1141">
        <v>0</v>
      </c>
      <c r="AB1141" t="s">
        <v>79</v>
      </c>
      <c r="AC1141" t="s">
        <v>87</v>
      </c>
      <c r="AD1141">
        <v>36</v>
      </c>
      <c r="AE1141">
        <v>9</v>
      </c>
      <c r="AF1141">
        <v>3</v>
      </c>
      <c r="AG1141">
        <v>2025</v>
      </c>
      <c r="AH1141" s="2">
        <v>50000</v>
      </c>
      <c r="AI1141" s="2">
        <v>74672.8515625</v>
      </c>
      <c r="AJ1141" s="2">
        <f t="shared" si="138"/>
        <v>24672.8515625</v>
      </c>
      <c r="AK1141" s="6">
        <f t="shared" si="139"/>
        <v>0.49345703125000001</v>
      </c>
      <c r="AL1141" s="12">
        <v>50000</v>
      </c>
      <c r="AM1141" s="12">
        <v>60416.862647714253</v>
      </c>
      <c r="AN1141" s="12">
        <f t="shared" si="140"/>
        <v>10416.862647714253</v>
      </c>
      <c r="AO1141" s="13">
        <f t="shared" si="141"/>
        <v>0.20833725295428507</v>
      </c>
      <c r="AP1141" s="16">
        <v>50000</v>
      </c>
      <c r="AQ1141" s="16">
        <v>47330.877823446659</v>
      </c>
      <c r="AR1141" s="16">
        <f t="shared" si="142"/>
        <v>2669.122176553341</v>
      </c>
      <c r="AS1141" s="17">
        <f t="shared" si="136"/>
        <v>5.3382443531066817E-2</v>
      </c>
      <c r="AT1141" s="20">
        <v>50000</v>
      </c>
      <c r="AU1141" s="20">
        <v>75029.921875</v>
      </c>
      <c r="AV1141" s="20">
        <f t="shared" si="137"/>
        <v>25029.921875</v>
      </c>
      <c r="AW1141" s="21">
        <f t="shared" si="143"/>
        <v>0.50059843749999999</v>
      </c>
    </row>
    <row r="1142" spans="1:49" x14ac:dyDescent="0.25">
      <c r="A1142" t="s">
        <v>81</v>
      </c>
      <c r="B1142" t="s">
        <v>82</v>
      </c>
      <c r="C1142">
        <v>108080</v>
      </c>
      <c r="D1142">
        <v>2016</v>
      </c>
      <c r="E1142" t="s">
        <v>162</v>
      </c>
      <c r="F1142" t="s">
        <v>674</v>
      </c>
      <c r="G1142" t="s">
        <v>675</v>
      </c>
      <c r="I1142">
        <v>4</v>
      </c>
      <c r="J1142" t="s">
        <v>135</v>
      </c>
      <c r="K1142">
        <v>4</v>
      </c>
      <c r="L1142" t="s">
        <v>44</v>
      </c>
      <c r="M1142">
        <v>1.6</v>
      </c>
      <c r="N1142" t="s">
        <v>44</v>
      </c>
      <c r="O1142" t="s">
        <v>100</v>
      </c>
      <c r="Q1142" t="s">
        <v>62</v>
      </c>
      <c r="R1142" t="s">
        <v>63</v>
      </c>
      <c r="U1142" t="s">
        <v>50</v>
      </c>
      <c r="X1142" t="s">
        <v>65</v>
      </c>
      <c r="Y1142" t="s">
        <v>66</v>
      </c>
      <c r="AA1142">
        <v>0</v>
      </c>
      <c r="AB1142" t="s">
        <v>79</v>
      </c>
      <c r="AC1142" t="s">
        <v>87</v>
      </c>
      <c r="AD1142">
        <v>36</v>
      </c>
      <c r="AE1142">
        <v>9</v>
      </c>
      <c r="AF1142">
        <v>3</v>
      </c>
      <c r="AG1142">
        <v>2025</v>
      </c>
      <c r="AH1142" s="2">
        <v>3950</v>
      </c>
      <c r="AI1142" s="2">
        <v>2493.29541015625</v>
      </c>
      <c r="AJ1142" s="2">
        <f t="shared" si="138"/>
        <v>1456.70458984375</v>
      </c>
      <c r="AK1142" s="6">
        <f t="shared" si="139"/>
        <v>0.36878597211234176</v>
      </c>
      <c r="AL1142" s="12">
        <v>3950</v>
      </c>
      <c r="AM1142" s="12">
        <v>1880.282766253262</v>
      </c>
      <c r="AN1142" s="12">
        <f t="shared" si="140"/>
        <v>2069.7172337467382</v>
      </c>
      <c r="AO1142" s="13">
        <f t="shared" si="141"/>
        <v>0.52397904651816152</v>
      </c>
      <c r="AP1142" s="16">
        <v>3950</v>
      </c>
      <c r="AQ1142" s="16">
        <v>1827.1717461007131</v>
      </c>
      <c r="AR1142" s="16">
        <f t="shared" si="142"/>
        <v>2122.8282538992871</v>
      </c>
      <c r="AS1142" s="17">
        <f t="shared" si="136"/>
        <v>0.53742487440488285</v>
      </c>
      <c r="AT1142" s="20">
        <v>3950</v>
      </c>
      <c r="AU1142" s="20">
        <v>2443.755859375</v>
      </c>
      <c r="AV1142" s="20">
        <f t="shared" si="137"/>
        <v>1506.244140625</v>
      </c>
      <c r="AW1142" s="21">
        <f t="shared" si="143"/>
        <v>0.38132763053797469</v>
      </c>
    </row>
    <row r="1143" spans="1:49" x14ac:dyDescent="0.25">
      <c r="A1143" t="s">
        <v>38</v>
      </c>
      <c r="B1143" t="s">
        <v>110</v>
      </c>
      <c r="C1143">
        <v>67778</v>
      </c>
      <c r="D1143">
        <v>2016</v>
      </c>
      <c r="E1143" t="s">
        <v>97</v>
      </c>
      <c r="F1143" t="s">
        <v>1245</v>
      </c>
      <c r="G1143" t="s">
        <v>199</v>
      </c>
      <c r="I1143">
        <v>4</v>
      </c>
      <c r="J1143" t="s">
        <v>106</v>
      </c>
      <c r="K1143">
        <v>4</v>
      </c>
      <c r="L1143" t="s">
        <v>44</v>
      </c>
      <c r="M1143">
        <v>1.8</v>
      </c>
      <c r="N1143" t="s">
        <v>45</v>
      </c>
      <c r="O1143" t="s">
        <v>46</v>
      </c>
      <c r="P1143">
        <v>2</v>
      </c>
      <c r="Q1143" t="s">
        <v>47</v>
      </c>
      <c r="R1143" t="s">
        <v>48</v>
      </c>
      <c r="U1143" t="s">
        <v>50</v>
      </c>
      <c r="W1143" t="s">
        <v>1246</v>
      </c>
      <c r="X1143" t="s">
        <v>125</v>
      </c>
      <c r="Y1143" t="s">
        <v>78</v>
      </c>
      <c r="AA1143">
        <v>0</v>
      </c>
      <c r="AB1143" t="s">
        <v>79</v>
      </c>
      <c r="AC1143" t="s">
        <v>359</v>
      </c>
      <c r="AD1143">
        <v>36</v>
      </c>
      <c r="AE1143">
        <v>9</v>
      </c>
      <c r="AF1143">
        <v>3</v>
      </c>
      <c r="AG1143">
        <v>2025</v>
      </c>
      <c r="AH1143" s="2">
        <v>3800</v>
      </c>
      <c r="AI1143" s="2">
        <v>2554.11474609375</v>
      </c>
      <c r="AJ1143" s="2">
        <f t="shared" si="138"/>
        <v>1245.88525390625</v>
      </c>
      <c r="AK1143" s="6">
        <f t="shared" si="139"/>
        <v>0.32786454050164476</v>
      </c>
      <c r="AL1143" s="12">
        <v>3800</v>
      </c>
      <c r="AM1143" s="12">
        <v>3508.3267962518971</v>
      </c>
      <c r="AN1143" s="12">
        <f t="shared" si="140"/>
        <v>291.67320374810288</v>
      </c>
      <c r="AO1143" s="13">
        <f t="shared" si="141"/>
        <v>7.6756106249500758E-2</v>
      </c>
      <c r="AP1143" s="16">
        <v>3800</v>
      </c>
      <c r="AQ1143" s="16">
        <v>2457.3347518663941</v>
      </c>
      <c r="AR1143" s="16">
        <f t="shared" si="142"/>
        <v>1342.6652481336059</v>
      </c>
      <c r="AS1143" s="17">
        <f t="shared" si="136"/>
        <v>0.35333296003515946</v>
      </c>
      <c r="AT1143" s="20">
        <v>3800</v>
      </c>
      <c r="AU1143" s="20">
        <v>2605.3310546875</v>
      </c>
      <c r="AV1143" s="20">
        <f t="shared" si="137"/>
        <v>1194.6689453125</v>
      </c>
      <c r="AW1143" s="21">
        <f t="shared" si="143"/>
        <v>0.31438656455592107</v>
      </c>
    </row>
    <row r="1144" spans="1:49" x14ac:dyDescent="0.25">
      <c r="A1144" t="s">
        <v>114</v>
      </c>
      <c r="B1144" t="s">
        <v>340</v>
      </c>
      <c r="C1144">
        <v>101533</v>
      </c>
      <c r="D1144">
        <v>2003</v>
      </c>
      <c r="E1144" t="s">
        <v>40</v>
      </c>
      <c r="F1144" t="s">
        <v>550</v>
      </c>
      <c r="G1144" t="s">
        <v>841</v>
      </c>
      <c r="H1144" t="s">
        <v>1247</v>
      </c>
      <c r="I1144">
        <v>6</v>
      </c>
      <c r="J1144" t="s">
        <v>122</v>
      </c>
      <c r="K1144">
        <v>4</v>
      </c>
      <c r="L1144" t="s">
        <v>44</v>
      </c>
      <c r="M1144">
        <v>3</v>
      </c>
      <c r="N1144" t="s">
        <v>44</v>
      </c>
      <c r="O1144" t="s">
        <v>46</v>
      </c>
      <c r="P1144">
        <v>3</v>
      </c>
      <c r="Q1144" t="s">
        <v>62</v>
      </c>
      <c r="R1144" t="s">
        <v>63</v>
      </c>
      <c r="S1144" t="s">
        <v>93</v>
      </c>
      <c r="T1144">
        <v>220</v>
      </c>
      <c r="U1144" t="s">
        <v>50</v>
      </c>
      <c r="V1144" t="s">
        <v>76</v>
      </c>
      <c r="W1144" t="s">
        <v>526</v>
      </c>
      <c r="X1144" t="s">
        <v>65</v>
      </c>
      <c r="Y1144" t="s">
        <v>54</v>
      </c>
      <c r="AA1144">
        <v>0</v>
      </c>
      <c r="AB1144" t="s">
        <v>79</v>
      </c>
      <c r="AC1144" t="s">
        <v>87</v>
      </c>
      <c r="AD1144">
        <v>36</v>
      </c>
      <c r="AE1144">
        <v>9</v>
      </c>
      <c r="AF1144">
        <v>3</v>
      </c>
      <c r="AG1144">
        <v>2025</v>
      </c>
      <c r="AH1144" s="2">
        <v>3400</v>
      </c>
      <c r="AI1144" s="2">
        <v>1925.726318359375</v>
      </c>
      <c r="AJ1144" s="2">
        <f t="shared" si="138"/>
        <v>1474.273681640625</v>
      </c>
      <c r="AK1144" s="6">
        <f t="shared" si="139"/>
        <v>0.43360990636488972</v>
      </c>
      <c r="AL1144" s="12">
        <v>3400</v>
      </c>
      <c r="AM1144" s="12">
        <v>2104.6262895629529</v>
      </c>
      <c r="AN1144" s="12">
        <f t="shared" si="140"/>
        <v>1295.3737104370471</v>
      </c>
      <c r="AO1144" s="13">
        <f t="shared" si="141"/>
        <v>0.38099226777560208</v>
      </c>
      <c r="AP1144" s="16">
        <v>3400</v>
      </c>
      <c r="AQ1144" s="16">
        <v>1629.8279679551481</v>
      </c>
      <c r="AR1144" s="16">
        <f t="shared" si="142"/>
        <v>1770.1720320448519</v>
      </c>
      <c r="AS1144" s="17">
        <f t="shared" si="136"/>
        <v>0.52063883295436819</v>
      </c>
      <c r="AT1144" s="20">
        <v>3400</v>
      </c>
      <c r="AU1144" s="20">
        <v>1926.718872070312</v>
      </c>
      <c r="AV1144" s="20">
        <f t="shared" si="137"/>
        <v>1473.281127929688</v>
      </c>
      <c r="AW1144" s="21">
        <f t="shared" si="143"/>
        <v>0.43331797880284939</v>
      </c>
    </row>
    <row r="1145" spans="1:49" x14ac:dyDescent="0.25">
      <c r="A1145" t="s">
        <v>128</v>
      </c>
      <c r="B1145" t="s">
        <v>1248</v>
      </c>
      <c r="C1145">
        <v>130312</v>
      </c>
      <c r="D1145">
        <v>2015</v>
      </c>
      <c r="E1145" t="s">
        <v>317</v>
      </c>
      <c r="F1145" t="s">
        <v>1249</v>
      </c>
      <c r="G1145" t="s">
        <v>1250</v>
      </c>
      <c r="I1145">
        <v>5</v>
      </c>
      <c r="J1145" t="s">
        <v>277</v>
      </c>
      <c r="K1145">
        <v>4</v>
      </c>
      <c r="L1145" t="s">
        <v>44</v>
      </c>
      <c r="M1145">
        <v>2.5</v>
      </c>
      <c r="N1145" t="s">
        <v>44</v>
      </c>
      <c r="O1145" t="s">
        <v>46</v>
      </c>
      <c r="P1145">
        <v>3</v>
      </c>
      <c r="Q1145" t="s">
        <v>62</v>
      </c>
      <c r="R1145" t="s">
        <v>63</v>
      </c>
      <c r="S1145" t="s">
        <v>85</v>
      </c>
      <c r="T1145">
        <v>250</v>
      </c>
      <c r="U1145" t="s">
        <v>50</v>
      </c>
      <c r="W1145" t="s">
        <v>1251</v>
      </c>
      <c r="X1145" t="s">
        <v>141</v>
      </c>
      <c r="Y1145" t="s">
        <v>748</v>
      </c>
      <c r="AA1145">
        <v>0</v>
      </c>
      <c r="AB1145" t="s">
        <v>79</v>
      </c>
      <c r="AC1145" t="s">
        <v>87</v>
      </c>
      <c r="AD1145">
        <v>36</v>
      </c>
      <c r="AE1145">
        <v>9</v>
      </c>
      <c r="AF1145">
        <v>3</v>
      </c>
      <c r="AG1145">
        <v>2025</v>
      </c>
      <c r="AH1145" s="2">
        <v>2500</v>
      </c>
      <c r="AI1145" s="2">
        <v>3746.201416015625</v>
      </c>
      <c r="AJ1145" s="2">
        <f t="shared" si="138"/>
        <v>1246.201416015625</v>
      </c>
      <c r="AK1145" s="6">
        <f t="shared" si="139"/>
        <v>0.49848056640624999</v>
      </c>
      <c r="AL1145" s="12">
        <v>2500</v>
      </c>
      <c r="AM1145" s="12">
        <v>4823.0128884295382</v>
      </c>
      <c r="AN1145" s="12">
        <f t="shared" si="140"/>
        <v>2323.0128884295382</v>
      </c>
      <c r="AO1145" s="13">
        <f t="shared" si="141"/>
        <v>0.92920515537181525</v>
      </c>
      <c r="AP1145" s="16">
        <v>2500</v>
      </c>
      <c r="AQ1145" s="16">
        <v>3100.3943628828429</v>
      </c>
      <c r="AR1145" s="16">
        <f t="shared" si="142"/>
        <v>600.39436288284287</v>
      </c>
      <c r="AS1145" s="17">
        <f t="shared" si="136"/>
        <v>0.24015774515313715</v>
      </c>
      <c r="AT1145" s="20">
        <v>2500</v>
      </c>
      <c r="AU1145" s="20">
        <v>3830.544677734375</v>
      </c>
      <c r="AV1145" s="20">
        <f t="shared" si="137"/>
        <v>1330.544677734375</v>
      </c>
      <c r="AW1145" s="21">
        <f t="shared" si="143"/>
        <v>0.53221787109374996</v>
      </c>
    </row>
    <row r="1146" spans="1:49" x14ac:dyDescent="0.25">
      <c r="A1146" t="s">
        <v>38</v>
      </c>
      <c r="B1146" t="s">
        <v>68</v>
      </c>
      <c r="C1146">
        <v>136347</v>
      </c>
      <c r="D1146">
        <v>2012</v>
      </c>
      <c r="E1146" t="s">
        <v>97</v>
      </c>
      <c r="F1146" t="s">
        <v>198</v>
      </c>
      <c r="G1146" t="s">
        <v>155</v>
      </c>
      <c r="I1146">
        <v>6</v>
      </c>
      <c r="J1146" t="s">
        <v>72</v>
      </c>
      <c r="K1146">
        <v>4</v>
      </c>
      <c r="L1146" t="s">
        <v>44</v>
      </c>
      <c r="M1146">
        <v>3.6</v>
      </c>
      <c r="N1146" t="s">
        <v>45</v>
      </c>
      <c r="O1146" t="s">
        <v>46</v>
      </c>
      <c r="Q1146" t="s">
        <v>62</v>
      </c>
      <c r="R1146" t="s">
        <v>63</v>
      </c>
      <c r="S1146" t="s">
        <v>101</v>
      </c>
      <c r="U1146" t="s">
        <v>50</v>
      </c>
      <c r="V1146" t="s">
        <v>76</v>
      </c>
      <c r="W1146" t="s">
        <v>200</v>
      </c>
      <c r="X1146" t="s">
        <v>94</v>
      </c>
      <c r="Y1146" t="s">
        <v>78</v>
      </c>
      <c r="AA1146">
        <v>0</v>
      </c>
      <c r="AB1146" t="s">
        <v>79</v>
      </c>
      <c r="AC1146" t="s">
        <v>87</v>
      </c>
      <c r="AD1146">
        <v>36</v>
      </c>
      <c r="AE1146">
        <v>9</v>
      </c>
      <c r="AF1146">
        <v>3</v>
      </c>
      <c r="AG1146">
        <v>2025</v>
      </c>
      <c r="AH1146" s="2">
        <v>1000</v>
      </c>
      <c r="AI1146" s="2">
        <v>2819.418701171875</v>
      </c>
      <c r="AJ1146" s="2">
        <f t="shared" si="138"/>
        <v>1819.418701171875</v>
      </c>
      <c r="AK1146" s="6">
        <f t="shared" si="139"/>
        <v>1.819418701171875</v>
      </c>
      <c r="AL1146" s="12">
        <v>1000</v>
      </c>
      <c r="AM1146" s="12">
        <v>2778.9282743396429</v>
      </c>
      <c r="AN1146" s="12">
        <f t="shared" si="140"/>
        <v>1778.9282743396429</v>
      </c>
      <c r="AO1146" s="13">
        <f t="shared" si="141"/>
        <v>1.7789282743396428</v>
      </c>
      <c r="AP1146" s="16">
        <v>1000</v>
      </c>
      <c r="AQ1146" s="16">
        <v>2362.2426623141678</v>
      </c>
      <c r="AR1146" s="16">
        <f t="shared" si="142"/>
        <v>1362.2426623141678</v>
      </c>
      <c r="AS1146" s="17">
        <f t="shared" si="136"/>
        <v>1.3622426623141677</v>
      </c>
      <c r="AT1146" s="20">
        <v>1000</v>
      </c>
      <c r="AU1146" s="20">
        <v>2835.9755859375</v>
      </c>
      <c r="AV1146" s="20">
        <f t="shared" si="137"/>
        <v>1835.9755859375</v>
      </c>
      <c r="AW1146" s="21">
        <f t="shared" si="143"/>
        <v>1.8359755859375</v>
      </c>
    </row>
    <row r="1147" spans="1:49" x14ac:dyDescent="0.25">
      <c r="A1147" t="s">
        <v>128</v>
      </c>
      <c r="B1147" t="s">
        <v>129</v>
      </c>
      <c r="C1147">
        <v>172034</v>
      </c>
      <c r="D1147">
        <v>2012</v>
      </c>
      <c r="E1147" t="s">
        <v>166</v>
      </c>
      <c r="F1147" t="s">
        <v>562</v>
      </c>
      <c r="G1147" t="s">
        <v>248</v>
      </c>
      <c r="I1147">
        <v>4</v>
      </c>
      <c r="J1147" t="s">
        <v>106</v>
      </c>
      <c r="K1147">
        <v>2</v>
      </c>
      <c r="L1147" t="s">
        <v>44</v>
      </c>
      <c r="M1147">
        <v>2.4</v>
      </c>
      <c r="N1147" t="s">
        <v>45</v>
      </c>
      <c r="O1147" t="s">
        <v>46</v>
      </c>
      <c r="Q1147" t="s">
        <v>47</v>
      </c>
      <c r="R1147" t="s">
        <v>197</v>
      </c>
      <c r="T1147">
        <v>190</v>
      </c>
      <c r="U1147" t="s">
        <v>50</v>
      </c>
      <c r="V1147" t="s">
        <v>51</v>
      </c>
      <c r="W1147" t="s">
        <v>766</v>
      </c>
      <c r="X1147" t="s">
        <v>65</v>
      </c>
      <c r="Y1147" t="s">
        <v>78</v>
      </c>
      <c r="AA1147">
        <v>0</v>
      </c>
      <c r="AB1147" t="s">
        <v>79</v>
      </c>
      <c r="AC1147" t="s">
        <v>197</v>
      </c>
      <c r="AD1147">
        <v>36</v>
      </c>
      <c r="AE1147">
        <v>9</v>
      </c>
      <c r="AF1147">
        <v>3</v>
      </c>
      <c r="AG1147">
        <v>2025</v>
      </c>
      <c r="AH1147" s="2">
        <v>4000</v>
      </c>
      <c r="AI1147" s="2">
        <v>2741.346435546875</v>
      </c>
      <c r="AJ1147" s="2">
        <f t="shared" si="138"/>
        <v>1258.653564453125</v>
      </c>
      <c r="AK1147" s="6">
        <f t="shared" si="139"/>
        <v>0.31466339111328123</v>
      </c>
      <c r="AL1147" s="12">
        <v>4000</v>
      </c>
      <c r="AM1147" s="12">
        <v>3010.4641054599092</v>
      </c>
      <c r="AN1147" s="12">
        <f t="shared" si="140"/>
        <v>989.53589454009079</v>
      </c>
      <c r="AO1147" s="13">
        <f t="shared" si="141"/>
        <v>0.24738397363502271</v>
      </c>
      <c r="AP1147" s="16">
        <v>4000</v>
      </c>
      <c r="AQ1147" s="16">
        <v>2162.2714025285072</v>
      </c>
      <c r="AR1147" s="16">
        <f t="shared" si="142"/>
        <v>1837.7285974714928</v>
      </c>
      <c r="AS1147" s="17">
        <f t="shared" si="136"/>
        <v>0.45943214936787319</v>
      </c>
      <c r="AT1147" s="20">
        <v>4000</v>
      </c>
      <c r="AU1147" s="20">
        <v>2778.634521484375</v>
      </c>
      <c r="AV1147" s="20">
        <f t="shared" si="137"/>
        <v>1221.365478515625</v>
      </c>
      <c r="AW1147" s="21">
        <f t="shared" si="143"/>
        <v>0.30534136962890623</v>
      </c>
    </row>
    <row r="1148" spans="1:49" x14ac:dyDescent="0.25">
      <c r="A1148" t="s">
        <v>38</v>
      </c>
      <c r="B1148" t="s">
        <v>68</v>
      </c>
      <c r="C1148">
        <v>119290</v>
      </c>
      <c r="D1148">
        <v>2018</v>
      </c>
      <c r="E1148" t="s">
        <v>97</v>
      </c>
      <c r="F1148" t="s">
        <v>159</v>
      </c>
      <c r="G1148" t="s">
        <v>155</v>
      </c>
      <c r="H1148" t="s">
        <v>89</v>
      </c>
      <c r="I1148">
        <v>8</v>
      </c>
      <c r="J1148" t="s">
        <v>43</v>
      </c>
      <c r="K1148">
        <v>4</v>
      </c>
      <c r="L1148" t="s">
        <v>44</v>
      </c>
      <c r="M1148">
        <v>5.3</v>
      </c>
      <c r="N1148" t="s">
        <v>91</v>
      </c>
      <c r="O1148" t="s">
        <v>46</v>
      </c>
      <c r="Q1148" t="s">
        <v>74</v>
      </c>
      <c r="R1148" t="s">
        <v>92</v>
      </c>
      <c r="S1148" t="s">
        <v>93</v>
      </c>
      <c r="U1148" t="s">
        <v>50</v>
      </c>
      <c r="W1148" t="s">
        <v>424</v>
      </c>
      <c r="X1148" t="s">
        <v>108</v>
      </c>
      <c r="Y1148" t="s">
        <v>126</v>
      </c>
      <c r="AA1148">
        <v>0</v>
      </c>
      <c r="AB1148" t="s">
        <v>79</v>
      </c>
      <c r="AC1148" t="s">
        <v>95</v>
      </c>
      <c r="AD1148">
        <v>36</v>
      </c>
      <c r="AE1148">
        <v>9</v>
      </c>
      <c r="AF1148">
        <v>3</v>
      </c>
      <c r="AG1148">
        <v>2025</v>
      </c>
      <c r="AH1148" s="2">
        <v>21500</v>
      </c>
      <c r="AI1148" s="2">
        <v>21562.263671875</v>
      </c>
      <c r="AJ1148" s="2">
        <f t="shared" si="138"/>
        <v>62.263671875</v>
      </c>
      <c r="AK1148" s="6">
        <f t="shared" si="139"/>
        <v>2.895984738372093E-3</v>
      </c>
      <c r="AL1148" s="12">
        <v>21500</v>
      </c>
      <c r="AM1148" s="12">
        <v>18721.077557952191</v>
      </c>
      <c r="AN1148" s="12">
        <f t="shared" si="140"/>
        <v>2778.9224420478095</v>
      </c>
      <c r="AO1148" s="13">
        <f t="shared" si="141"/>
        <v>0.12925220660687486</v>
      </c>
      <c r="AP1148" s="16">
        <v>21500</v>
      </c>
      <c r="AQ1148" s="16">
        <v>18159.387008849772</v>
      </c>
      <c r="AR1148" s="16">
        <f t="shared" si="142"/>
        <v>3340.6129911502285</v>
      </c>
      <c r="AS1148" s="17">
        <f t="shared" si="136"/>
        <v>0.15537734842559203</v>
      </c>
      <c r="AT1148" s="20">
        <v>21500</v>
      </c>
      <c r="AU1148" s="20">
        <v>20787.4140625</v>
      </c>
      <c r="AV1148" s="20">
        <f t="shared" si="137"/>
        <v>712.5859375</v>
      </c>
      <c r="AW1148" s="21">
        <f t="shared" si="143"/>
        <v>3.3143531976744189E-2</v>
      </c>
    </row>
    <row r="1149" spans="1:49" x14ac:dyDescent="0.25">
      <c r="A1149" t="s">
        <v>128</v>
      </c>
      <c r="B1149" t="s">
        <v>129</v>
      </c>
      <c r="C1149">
        <v>117430</v>
      </c>
      <c r="D1149">
        <v>2013</v>
      </c>
      <c r="E1149" t="s">
        <v>403</v>
      </c>
      <c r="F1149" t="s">
        <v>535</v>
      </c>
      <c r="G1149" t="s">
        <v>536</v>
      </c>
      <c r="I1149">
        <v>4</v>
      </c>
      <c r="J1149" t="s">
        <v>72</v>
      </c>
      <c r="K1149">
        <v>4</v>
      </c>
      <c r="L1149" t="s">
        <v>44</v>
      </c>
      <c r="M1149">
        <v>2.5</v>
      </c>
      <c r="N1149" t="s">
        <v>73</v>
      </c>
      <c r="O1149" t="s">
        <v>46</v>
      </c>
      <c r="Q1149" t="s">
        <v>47</v>
      </c>
      <c r="R1149" t="s">
        <v>123</v>
      </c>
      <c r="S1149" t="s">
        <v>179</v>
      </c>
      <c r="U1149" t="s">
        <v>50</v>
      </c>
      <c r="V1149" t="s">
        <v>51</v>
      </c>
      <c r="W1149" t="s">
        <v>623</v>
      </c>
      <c r="X1149" t="s">
        <v>125</v>
      </c>
      <c r="Y1149" t="s">
        <v>78</v>
      </c>
      <c r="AA1149">
        <v>0</v>
      </c>
      <c r="AB1149" t="s">
        <v>79</v>
      </c>
      <c r="AC1149" t="s">
        <v>127</v>
      </c>
      <c r="AD1149">
        <v>36</v>
      </c>
      <c r="AE1149">
        <v>9</v>
      </c>
      <c r="AF1149">
        <v>3</v>
      </c>
      <c r="AG1149">
        <v>2025</v>
      </c>
      <c r="AH1149" s="2">
        <v>1500</v>
      </c>
      <c r="AI1149" s="2">
        <v>3590.7802734375</v>
      </c>
      <c r="AJ1149" s="2">
        <f t="shared" si="138"/>
        <v>2090.7802734375</v>
      </c>
      <c r="AK1149" s="6">
        <f t="shared" si="139"/>
        <v>1.393853515625</v>
      </c>
      <c r="AL1149" s="12">
        <v>1500</v>
      </c>
      <c r="AM1149" s="12">
        <v>3589.2848129781219</v>
      </c>
      <c r="AN1149" s="12">
        <f t="shared" si="140"/>
        <v>2089.2848129781219</v>
      </c>
      <c r="AO1149" s="13">
        <f t="shared" si="141"/>
        <v>1.3928565419854146</v>
      </c>
      <c r="AP1149" s="16">
        <v>1500</v>
      </c>
      <c r="AQ1149" s="16">
        <v>3194.0707225894489</v>
      </c>
      <c r="AR1149" s="16">
        <f t="shared" si="142"/>
        <v>1694.0707225894489</v>
      </c>
      <c r="AS1149" s="17">
        <f t="shared" si="136"/>
        <v>1.1293804817262993</v>
      </c>
      <c r="AT1149" s="20">
        <v>1500</v>
      </c>
      <c r="AU1149" s="20">
        <v>3618.21240234375</v>
      </c>
      <c r="AV1149" s="20">
        <f t="shared" si="137"/>
        <v>2118.21240234375</v>
      </c>
      <c r="AW1149" s="21">
        <f t="shared" si="143"/>
        <v>1.4121416015624999</v>
      </c>
    </row>
    <row r="1150" spans="1:49" x14ac:dyDescent="0.25">
      <c r="A1150" t="s">
        <v>38</v>
      </c>
      <c r="B1150" t="s">
        <v>110</v>
      </c>
      <c r="C1150">
        <v>145914</v>
      </c>
      <c r="D1150">
        <v>2010</v>
      </c>
      <c r="E1150" t="s">
        <v>116</v>
      </c>
      <c r="F1150" t="s">
        <v>237</v>
      </c>
      <c r="G1150" t="s">
        <v>396</v>
      </c>
      <c r="H1150" t="s">
        <v>240</v>
      </c>
      <c r="I1150">
        <v>6</v>
      </c>
      <c r="J1150" t="s">
        <v>106</v>
      </c>
      <c r="K1150">
        <v>4</v>
      </c>
      <c r="L1150" t="s">
        <v>44</v>
      </c>
      <c r="M1150">
        <v>3.5</v>
      </c>
      <c r="N1150" t="s">
        <v>73</v>
      </c>
      <c r="Q1150" t="s">
        <v>47</v>
      </c>
      <c r="R1150" t="s">
        <v>123</v>
      </c>
      <c r="S1150" t="s">
        <v>179</v>
      </c>
      <c r="U1150" t="s">
        <v>50</v>
      </c>
      <c r="X1150" t="s">
        <v>125</v>
      </c>
      <c r="Y1150" t="s">
        <v>103</v>
      </c>
      <c r="AA1150">
        <v>0</v>
      </c>
      <c r="AB1150" t="s">
        <v>79</v>
      </c>
      <c r="AC1150" t="s">
        <v>127</v>
      </c>
      <c r="AD1150">
        <v>36</v>
      </c>
      <c r="AE1150">
        <v>9</v>
      </c>
      <c r="AF1150">
        <v>3</v>
      </c>
      <c r="AG1150">
        <v>2025</v>
      </c>
      <c r="AH1150" s="2">
        <v>800</v>
      </c>
      <c r="AI1150" s="2">
        <v>1647.025756835938</v>
      </c>
      <c r="AJ1150" s="2">
        <f t="shared" si="138"/>
        <v>847.02575683593795</v>
      </c>
      <c r="AK1150" s="6">
        <f t="shared" si="139"/>
        <v>1.0587821960449224</v>
      </c>
      <c r="AL1150" s="12">
        <v>800</v>
      </c>
      <c r="AM1150" s="12">
        <v>1882.8991139512691</v>
      </c>
      <c r="AN1150" s="12">
        <f t="shared" si="140"/>
        <v>1082.8991139512691</v>
      </c>
      <c r="AO1150" s="13">
        <f t="shared" si="141"/>
        <v>1.3536238924390864</v>
      </c>
      <c r="AP1150" s="16">
        <v>800</v>
      </c>
      <c r="AQ1150" s="16">
        <v>1639.7603508289419</v>
      </c>
      <c r="AR1150" s="16">
        <f t="shared" si="142"/>
        <v>839.76035082894191</v>
      </c>
      <c r="AS1150" s="17">
        <f t="shared" si="136"/>
        <v>1.0497004385361774</v>
      </c>
      <c r="AT1150" s="20">
        <v>800</v>
      </c>
      <c r="AU1150" s="20">
        <v>1667.756713867188</v>
      </c>
      <c r="AV1150" s="20">
        <f t="shared" si="137"/>
        <v>867.75671386718795</v>
      </c>
      <c r="AW1150" s="21">
        <f t="shared" si="143"/>
        <v>1.0846958923339849</v>
      </c>
    </row>
    <row r="1151" spans="1:49" x14ac:dyDescent="0.25">
      <c r="A1151" t="s">
        <v>38</v>
      </c>
      <c r="B1151" t="s">
        <v>57</v>
      </c>
      <c r="C1151">
        <v>77853</v>
      </c>
      <c r="D1151">
        <v>2015</v>
      </c>
      <c r="E1151" t="s">
        <v>132</v>
      </c>
      <c r="F1151" t="s">
        <v>361</v>
      </c>
      <c r="G1151" t="s">
        <v>1021</v>
      </c>
      <c r="H1151" t="s">
        <v>1252</v>
      </c>
      <c r="I1151">
        <v>6</v>
      </c>
      <c r="J1151" t="s">
        <v>72</v>
      </c>
      <c r="K1151">
        <v>2</v>
      </c>
      <c r="L1151" t="s">
        <v>44</v>
      </c>
      <c r="M1151">
        <v>3.5</v>
      </c>
      <c r="N1151" t="s">
        <v>44</v>
      </c>
      <c r="O1151" t="s">
        <v>46</v>
      </c>
      <c r="P1151">
        <v>3</v>
      </c>
      <c r="Q1151" t="s">
        <v>47</v>
      </c>
      <c r="R1151" t="s">
        <v>197</v>
      </c>
      <c r="S1151" t="s">
        <v>85</v>
      </c>
      <c r="U1151" t="s">
        <v>50</v>
      </c>
      <c r="V1151" t="s">
        <v>76</v>
      </c>
      <c r="X1151" t="s">
        <v>125</v>
      </c>
      <c r="Y1151" t="s">
        <v>137</v>
      </c>
      <c r="AA1151">
        <v>0</v>
      </c>
      <c r="AB1151" t="s">
        <v>79</v>
      </c>
      <c r="AC1151" t="s">
        <v>197</v>
      </c>
      <c r="AD1151">
        <v>36</v>
      </c>
      <c r="AE1151">
        <v>9</v>
      </c>
      <c r="AF1151">
        <v>3</v>
      </c>
      <c r="AG1151">
        <v>2025</v>
      </c>
      <c r="AH1151" s="2">
        <v>9000</v>
      </c>
      <c r="AI1151" s="2">
        <v>12695.33984375</v>
      </c>
      <c r="AJ1151" s="2">
        <f t="shared" si="138"/>
        <v>3695.33984375</v>
      </c>
      <c r="AK1151" s="6">
        <f t="shared" si="139"/>
        <v>0.41059331597222221</v>
      </c>
      <c r="AL1151" s="12">
        <v>9000</v>
      </c>
      <c r="AM1151" s="12">
        <v>10323.25200712026</v>
      </c>
      <c r="AN1151" s="12">
        <f t="shared" si="140"/>
        <v>1323.2520071202598</v>
      </c>
      <c r="AO1151" s="13">
        <f t="shared" si="141"/>
        <v>0.14702800079113998</v>
      </c>
      <c r="AP1151" s="16">
        <v>9000</v>
      </c>
      <c r="AQ1151" s="16">
        <v>8679.6130328621002</v>
      </c>
      <c r="AR1151" s="16">
        <f t="shared" si="142"/>
        <v>320.38696713789977</v>
      </c>
      <c r="AS1151" s="17">
        <f t="shared" si="136"/>
        <v>3.5598551904211087E-2</v>
      </c>
      <c r="AT1151" s="20">
        <v>9000</v>
      </c>
      <c r="AU1151" s="20">
        <v>12386.4658203125</v>
      </c>
      <c r="AV1151" s="20">
        <f t="shared" si="137"/>
        <v>3386.4658203125</v>
      </c>
      <c r="AW1151" s="21">
        <f t="shared" si="143"/>
        <v>0.37627398003472223</v>
      </c>
    </row>
    <row r="1152" spans="1:49" x14ac:dyDescent="0.25">
      <c r="A1152" t="s">
        <v>128</v>
      </c>
      <c r="B1152" t="s">
        <v>129</v>
      </c>
      <c r="C1152">
        <v>114769</v>
      </c>
      <c r="D1152">
        <v>2018</v>
      </c>
      <c r="E1152" t="s">
        <v>40</v>
      </c>
      <c r="F1152" t="s">
        <v>215</v>
      </c>
      <c r="G1152" t="s">
        <v>1253</v>
      </c>
      <c r="H1152" t="s">
        <v>1254</v>
      </c>
      <c r="I1152">
        <v>8</v>
      </c>
      <c r="J1152" t="s">
        <v>241</v>
      </c>
      <c r="K1152">
        <v>4</v>
      </c>
      <c r="L1152" t="s">
        <v>44</v>
      </c>
      <c r="M1152">
        <v>5.7</v>
      </c>
      <c r="N1152" t="s">
        <v>73</v>
      </c>
      <c r="Q1152" t="s">
        <v>74</v>
      </c>
      <c r="R1152" t="s">
        <v>92</v>
      </c>
      <c r="S1152" t="s">
        <v>49</v>
      </c>
      <c r="T1152">
        <v>381</v>
      </c>
      <c r="U1152" t="s">
        <v>50</v>
      </c>
      <c r="V1152" t="s">
        <v>76</v>
      </c>
      <c r="W1152" t="s">
        <v>763</v>
      </c>
      <c r="X1152" t="s">
        <v>94</v>
      </c>
      <c r="Y1152" t="s">
        <v>78</v>
      </c>
      <c r="AA1152">
        <v>0</v>
      </c>
      <c r="AB1152" t="s">
        <v>79</v>
      </c>
      <c r="AC1152" t="s">
        <v>95</v>
      </c>
      <c r="AD1152">
        <v>36</v>
      </c>
      <c r="AE1152">
        <v>9</v>
      </c>
      <c r="AF1152">
        <v>3</v>
      </c>
      <c r="AG1152">
        <v>2025</v>
      </c>
      <c r="AH1152" s="2">
        <v>25000</v>
      </c>
      <c r="AI1152" s="2">
        <v>17517.458984375</v>
      </c>
      <c r="AJ1152" s="2">
        <f t="shared" si="138"/>
        <v>7482.541015625</v>
      </c>
      <c r="AK1152" s="6">
        <f t="shared" si="139"/>
        <v>0.29930164062499998</v>
      </c>
      <c r="AL1152" s="12">
        <v>25000</v>
      </c>
      <c r="AM1152" s="12">
        <v>16731.366654656871</v>
      </c>
      <c r="AN1152" s="12">
        <f t="shared" si="140"/>
        <v>8268.6333453431289</v>
      </c>
      <c r="AO1152" s="13">
        <f t="shared" si="141"/>
        <v>0.33074533381372517</v>
      </c>
      <c r="AP1152" s="16">
        <v>25000</v>
      </c>
      <c r="AQ1152" s="16">
        <v>16984.418834321132</v>
      </c>
      <c r="AR1152" s="16">
        <f t="shared" si="142"/>
        <v>8015.5811656788683</v>
      </c>
      <c r="AS1152" s="17">
        <f t="shared" si="136"/>
        <v>0.32062324662715475</v>
      </c>
      <c r="AT1152" s="20">
        <v>25000</v>
      </c>
      <c r="AU1152" s="20">
        <v>17137.318359375</v>
      </c>
      <c r="AV1152" s="20">
        <f t="shared" si="137"/>
        <v>7862.681640625</v>
      </c>
      <c r="AW1152" s="21">
        <f t="shared" si="143"/>
        <v>0.31450726562499998</v>
      </c>
    </row>
    <row r="1153" spans="1:49" x14ac:dyDescent="0.25">
      <c r="A1153" t="s">
        <v>128</v>
      </c>
      <c r="B1153" t="s">
        <v>309</v>
      </c>
      <c r="C1153">
        <v>108826</v>
      </c>
      <c r="D1153">
        <v>2014</v>
      </c>
      <c r="E1153" t="s">
        <v>40</v>
      </c>
      <c r="F1153" t="s">
        <v>297</v>
      </c>
      <c r="H1153" t="s">
        <v>298</v>
      </c>
      <c r="I1153">
        <v>4</v>
      </c>
      <c r="J1153" t="s">
        <v>135</v>
      </c>
      <c r="K1153">
        <v>4</v>
      </c>
      <c r="L1153" t="s">
        <v>44</v>
      </c>
      <c r="M1153">
        <v>2.5</v>
      </c>
      <c r="N1153" t="s">
        <v>45</v>
      </c>
      <c r="O1153" t="s">
        <v>46</v>
      </c>
      <c r="P1153">
        <v>1</v>
      </c>
      <c r="Q1153" t="s">
        <v>47</v>
      </c>
      <c r="R1153" t="s">
        <v>123</v>
      </c>
      <c r="S1153" t="s">
        <v>49</v>
      </c>
      <c r="T1153">
        <v>268</v>
      </c>
      <c r="U1153" t="s">
        <v>50</v>
      </c>
      <c r="V1153" t="s">
        <v>51</v>
      </c>
      <c r="W1153" t="s">
        <v>236</v>
      </c>
      <c r="X1153" t="s">
        <v>125</v>
      </c>
      <c r="Y1153" t="s">
        <v>78</v>
      </c>
      <c r="AA1153">
        <v>0</v>
      </c>
      <c r="AB1153" t="s">
        <v>79</v>
      </c>
      <c r="AC1153" t="s">
        <v>127</v>
      </c>
      <c r="AD1153">
        <v>36</v>
      </c>
      <c r="AE1153">
        <v>9</v>
      </c>
      <c r="AF1153">
        <v>3</v>
      </c>
      <c r="AG1153">
        <v>2025</v>
      </c>
      <c r="AH1153" s="2">
        <v>3600</v>
      </c>
      <c r="AI1153" s="2">
        <v>4063.361083984375</v>
      </c>
      <c r="AJ1153" s="2">
        <f t="shared" si="138"/>
        <v>463.361083984375</v>
      </c>
      <c r="AK1153" s="6">
        <f t="shared" si="139"/>
        <v>0.12871141221788193</v>
      </c>
      <c r="AL1153" s="12">
        <v>3600</v>
      </c>
      <c r="AM1153" s="12">
        <v>4374.1526579814481</v>
      </c>
      <c r="AN1153" s="12">
        <f t="shared" si="140"/>
        <v>774.1526579814481</v>
      </c>
      <c r="AO1153" s="13">
        <f t="shared" si="141"/>
        <v>0.2150424049948467</v>
      </c>
      <c r="AP1153" s="16">
        <v>3600</v>
      </c>
      <c r="AQ1153" s="16">
        <v>3628.0905483313359</v>
      </c>
      <c r="AR1153" s="16">
        <f t="shared" si="142"/>
        <v>28.090548331335867</v>
      </c>
      <c r="AS1153" s="17">
        <f t="shared" si="136"/>
        <v>7.8029300920377407E-3</v>
      </c>
      <c r="AT1153" s="20">
        <v>3600</v>
      </c>
      <c r="AU1153" s="20">
        <v>4107.5546875</v>
      </c>
      <c r="AV1153" s="20">
        <f t="shared" si="137"/>
        <v>507.5546875</v>
      </c>
      <c r="AW1153" s="21">
        <f t="shared" si="143"/>
        <v>0.14098741319444444</v>
      </c>
    </row>
    <row r="1154" spans="1:49" x14ac:dyDescent="0.25">
      <c r="A1154" t="s">
        <v>38</v>
      </c>
      <c r="B1154" t="s">
        <v>39</v>
      </c>
      <c r="C1154">
        <v>120801</v>
      </c>
      <c r="D1154">
        <v>2021</v>
      </c>
      <c r="E1154" t="s">
        <v>97</v>
      </c>
      <c r="F1154" t="s">
        <v>244</v>
      </c>
      <c r="G1154" t="s">
        <v>797</v>
      </c>
      <c r="I1154">
        <v>8</v>
      </c>
      <c r="J1154" t="s">
        <v>72</v>
      </c>
      <c r="K1154">
        <v>4</v>
      </c>
      <c r="L1154" t="s">
        <v>44</v>
      </c>
      <c r="M1154">
        <v>5.3</v>
      </c>
      <c r="N1154" t="s">
        <v>91</v>
      </c>
      <c r="Q1154" t="s">
        <v>62</v>
      </c>
      <c r="R1154" t="s">
        <v>63</v>
      </c>
      <c r="S1154" t="s">
        <v>93</v>
      </c>
      <c r="U1154" t="s">
        <v>50</v>
      </c>
      <c r="W1154" t="s">
        <v>339</v>
      </c>
      <c r="X1154" t="s">
        <v>108</v>
      </c>
      <c r="Y1154" t="s">
        <v>78</v>
      </c>
      <c r="AA1154">
        <v>0</v>
      </c>
      <c r="AB1154" t="s">
        <v>79</v>
      </c>
      <c r="AC1154" t="s">
        <v>109</v>
      </c>
      <c r="AD1154">
        <v>36</v>
      </c>
      <c r="AE1154">
        <v>9</v>
      </c>
      <c r="AF1154">
        <v>3</v>
      </c>
      <c r="AG1154">
        <v>2025</v>
      </c>
      <c r="AH1154" s="2">
        <v>28750</v>
      </c>
      <c r="AI1154" s="2">
        <v>31275.49609375</v>
      </c>
      <c r="AJ1154" s="2">
        <f t="shared" si="138"/>
        <v>2525.49609375</v>
      </c>
      <c r="AK1154" s="6">
        <f t="shared" si="139"/>
        <v>8.7843342391304341E-2</v>
      </c>
      <c r="AL1154" s="12">
        <v>28750</v>
      </c>
      <c r="AM1154" s="12">
        <v>29725.006415694741</v>
      </c>
      <c r="AN1154" s="12">
        <f t="shared" si="140"/>
        <v>975.00641569474101</v>
      </c>
      <c r="AO1154" s="13">
        <f t="shared" si="141"/>
        <v>3.391326663286056E-2</v>
      </c>
      <c r="AP1154" s="16">
        <v>28750</v>
      </c>
      <c r="AQ1154" s="16">
        <v>29492.36261662266</v>
      </c>
      <c r="AR1154" s="16">
        <f t="shared" si="142"/>
        <v>742.36261662266043</v>
      </c>
      <c r="AS1154" s="17">
        <f t="shared" si="136"/>
        <v>2.5821308404266448E-2</v>
      </c>
      <c r="AT1154" s="20">
        <v>28750</v>
      </c>
      <c r="AU1154" s="20">
        <v>30894.314453125</v>
      </c>
      <c r="AV1154" s="20">
        <f t="shared" si="137"/>
        <v>2144.314453125</v>
      </c>
      <c r="AW1154" s="21">
        <f t="shared" si="143"/>
        <v>7.4584850543478257E-2</v>
      </c>
    </row>
    <row r="1155" spans="1:49" x14ac:dyDescent="0.25">
      <c r="A1155" t="s">
        <v>128</v>
      </c>
      <c r="B1155" t="s">
        <v>129</v>
      </c>
      <c r="C1155">
        <v>200789</v>
      </c>
      <c r="D1155">
        <v>2015</v>
      </c>
      <c r="E1155" t="s">
        <v>557</v>
      </c>
      <c r="F1155" t="s">
        <v>558</v>
      </c>
      <c r="G1155" t="s">
        <v>118</v>
      </c>
      <c r="I1155">
        <v>4</v>
      </c>
      <c r="J1155" t="s">
        <v>122</v>
      </c>
      <c r="K1155">
        <v>4</v>
      </c>
      <c r="L1155" t="s">
        <v>44</v>
      </c>
      <c r="M1155">
        <v>2.4</v>
      </c>
      <c r="N1155" t="s">
        <v>45</v>
      </c>
      <c r="O1155" t="s">
        <v>46</v>
      </c>
      <c r="Q1155" t="s">
        <v>47</v>
      </c>
      <c r="R1155" t="s">
        <v>123</v>
      </c>
      <c r="S1155" t="s">
        <v>101</v>
      </c>
      <c r="U1155" t="s">
        <v>50</v>
      </c>
      <c r="X1155" t="s">
        <v>125</v>
      </c>
      <c r="Y1155" t="s">
        <v>78</v>
      </c>
      <c r="AA1155">
        <v>0</v>
      </c>
      <c r="AB1155" t="s">
        <v>79</v>
      </c>
      <c r="AC1155" t="s">
        <v>127</v>
      </c>
      <c r="AD1155">
        <v>36</v>
      </c>
      <c r="AE1155">
        <v>9</v>
      </c>
      <c r="AF1155">
        <v>3</v>
      </c>
      <c r="AG1155">
        <v>2025</v>
      </c>
      <c r="AH1155" s="2">
        <v>700</v>
      </c>
      <c r="AI1155" s="2">
        <v>1196.708374023438</v>
      </c>
      <c r="AJ1155" s="2">
        <f t="shared" si="138"/>
        <v>496.70837402343795</v>
      </c>
      <c r="AK1155" s="6">
        <f t="shared" si="139"/>
        <v>0.70958339146205418</v>
      </c>
      <c r="AL1155" s="12">
        <v>700</v>
      </c>
      <c r="AM1155" s="12">
        <v>1548.761131047685</v>
      </c>
      <c r="AN1155" s="12">
        <f t="shared" si="140"/>
        <v>848.76113104768501</v>
      </c>
      <c r="AO1155" s="13">
        <f t="shared" si="141"/>
        <v>1.2125159014966929</v>
      </c>
      <c r="AP1155" s="16">
        <v>700</v>
      </c>
      <c r="AQ1155" s="16">
        <v>1188.912473938339</v>
      </c>
      <c r="AR1155" s="16">
        <f t="shared" si="142"/>
        <v>488.91247393833896</v>
      </c>
      <c r="AS1155" s="17">
        <f t="shared" ref="AS1155:AS1218" si="144">ABS($AH1155-AQ1155)/$AH1155</f>
        <v>0.69844639134048425</v>
      </c>
      <c r="AT1155" s="20">
        <v>700</v>
      </c>
      <c r="AU1155" s="20">
        <v>1212.611694335938</v>
      </c>
      <c r="AV1155" s="20">
        <f t="shared" ref="AV1155:AV1218" si="145">ABS(AT1155-AU1155)</f>
        <v>512.61169433593795</v>
      </c>
      <c r="AW1155" s="21">
        <f t="shared" si="143"/>
        <v>0.73230242047991134</v>
      </c>
    </row>
    <row r="1156" spans="1:49" x14ac:dyDescent="0.25">
      <c r="A1156" t="s">
        <v>38</v>
      </c>
      <c r="B1156" t="s">
        <v>68</v>
      </c>
      <c r="C1156">
        <v>61109</v>
      </c>
      <c r="D1156">
        <v>2024</v>
      </c>
      <c r="E1156" t="s">
        <v>142</v>
      </c>
      <c r="F1156" t="s">
        <v>1025</v>
      </c>
      <c r="H1156" t="s">
        <v>398</v>
      </c>
      <c r="I1156">
        <v>6</v>
      </c>
      <c r="J1156" t="s">
        <v>135</v>
      </c>
      <c r="K1156">
        <v>4</v>
      </c>
      <c r="L1156" t="s">
        <v>44</v>
      </c>
      <c r="M1156">
        <v>3.6</v>
      </c>
      <c r="N1156" t="s">
        <v>91</v>
      </c>
      <c r="O1156" t="s">
        <v>46</v>
      </c>
      <c r="P1156">
        <v>4</v>
      </c>
      <c r="Q1156" t="s">
        <v>62</v>
      </c>
      <c r="R1156" t="s">
        <v>63</v>
      </c>
      <c r="S1156" t="s">
        <v>93</v>
      </c>
      <c r="T1156">
        <v>293</v>
      </c>
      <c r="U1156" t="s">
        <v>50</v>
      </c>
      <c r="V1156" t="s">
        <v>76</v>
      </c>
      <c r="X1156" t="s">
        <v>94</v>
      </c>
      <c r="Y1156" t="s">
        <v>78</v>
      </c>
      <c r="AA1156">
        <v>0</v>
      </c>
      <c r="AB1156" t="s">
        <v>79</v>
      </c>
      <c r="AC1156" t="s">
        <v>109</v>
      </c>
      <c r="AD1156">
        <v>36</v>
      </c>
      <c r="AE1156">
        <v>9</v>
      </c>
      <c r="AF1156">
        <v>3</v>
      </c>
      <c r="AG1156">
        <v>2025</v>
      </c>
      <c r="AH1156" s="2">
        <v>23500</v>
      </c>
      <c r="AI1156" s="2">
        <v>27495.765625</v>
      </c>
      <c r="AJ1156" s="2">
        <f t="shared" ref="AJ1156:AJ1219" si="146">ABS(AH1156-AI1156)</f>
        <v>3995.765625</v>
      </c>
      <c r="AK1156" s="6">
        <f t="shared" ref="AK1156:AK1219" si="147">ABS($AH1156-AI1156)/$AH1156</f>
        <v>0.17003257978723404</v>
      </c>
      <c r="AL1156" s="12">
        <v>23500</v>
      </c>
      <c r="AM1156" s="12">
        <v>32785.983448485211</v>
      </c>
      <c r="AN1156" s="12">
        <f t="shared" ref="AN1156:AN1219" si="148">ABS(AL1156-AM1156)</f>
        <v>9285.9834484852108</v>
      </c>
      <c r="AO1156" s="13">
        <f t="shared" ref="AO1156:AO1219" si="149">ABS($AH1156-AM1156)/$AH1156</f>
        <v>0.39514823185043452</v>
      </c>
      <c r="AP1156" s="16">
        <v>23500</v>
      </c>
      <c r="AQ1156" s="16">
        <v>30683.52991470398</v>
      </c>
      <c r="AR1156" s="16">
        <f t="shared" ref="AR1156:AR1219" si="150">ABS(AP1156-AQ1156)</f>
        <v>7183.5299147039805</v>
      </c>
      <c r="AS1156" s="17">
        <f t="shared" si="144"/>
        <v>0.30568212402995659</v>
      </c>
      <c r="AT1156" s="20">
        <v>23500</v>
      </c>
      <c r="AU1156" s="20">
        <v>28230.744140625</v>
      </c>
      <c r="AV1156" s="20">
        <f t="shared" si="145"/>
        <v>4730.744140625</v>
      </c>
      <c r="AW1156" s="21">
        <f t="shared" ref="AW1156:AW1219" si="151">ABS($AH1156-AU1156)/$AH1156</f>
        <v>0.20130826130319149</v>
      </c>
    </row>
    <row r="1157" spans="1:49" x14ac:dyDescent="0.25">
      <c r="A1157" t="s">
        <v>128</v>
      </c>
      <c r="B1157" t="s">
        <v>129</v>
      </c>
      <c r="C1157">
        <v>164250</v>
      </c>
      <c r="D1157">
        <v>2008</v>
      </c>
      <c r="E1157" t="s">
        <v>403</v>
      </c>
      <c r="F1157" t="s">
        <v>404</v>
      </c>
      <c r="H1157" t="s">
        <v>1255</v>
      </c>
      <c r="I1157">
        <v>6</v>
      </c>
      <c r="J1157" t="s">
        <v>106</v>
      </c>
      <c r="K1157">
        <v>4</v>
      </c>
      <c r="L1157" t="s">
        <v>44</v>
      </c>
      <c r="M1157">
        <v>3.6</v>
      </c>
      <c r="N1157" t="s">
        <v>73</v>
      </c>
      <c r="Q1157" t="s">
        <v>47</v>
      </c>
      <c r="R1157" t="s">
        <v>123</v>
      </c>
      <c r="S1157" t="s">
        <v>179</v>
      </c>
      <c r="U1157" t="s">
        <v>50</v>
      </c>
      <c r="V1157" t="s">
        <v>76</v>
      </c>
      <c r="W1157" t="s">
        <v>1256</v>
      </c>
      <c r="X1157" t="s">
        <v>125</v>
      </c>
      <c r="Y1157" t="s">
        <v>78</v>
      </c>
      <c r="AA1157">
        <v>0</v>
      </c>
      <c r="AB1157" t="s">
        <v>79</v>
      </c>
      <c r="AC1157" t="s">
        <v>127</v>
      </c>
      <c r="AD1157">
        <v>36</v>
      </c>
      <c r="AE1157">
        <v>9</v>
      </c>
      <c r="AF1157">
        <v>3</v>
      </c>
      <c r="AG1157">
        <v>2025</v>
      </c>
      <c r="AH1157" s="2">
        <v>500</v>
      </c>
      <c r="AI1157" s="2">
        <v>1316.6162109375</v>
      </c>
      <c r="AJ1157" s="2">
        <f t="shared" si="146"/>
        <v>816.6162109375</v>
      </c>
      <c r="AK1157" s="6">
        <f t="shared" si="147"/>
        <v>1.6332324218750001</v>
      </c>
      <c r="AL1157" s="12">
        <v>500</v>
      </c>
      <c r="AM1157" s="12">
        <v>1410.787571693131</v>
      </c>
      <c r="AN1157" s="12">
        <f t="shared" si="148"/>
        <v>910.78757169313099</v>
      </c>
      <c r="AO1157" s="13">
        <f t="shared" si="149"/>
        <v>1.8215751433862619</v>
      </c>
      <c r="AP1157" s="16">
        <v>500</v>
      </c>
      <c r="AQ1157" s="16">
        <v>1116.693196455321</v>
      </c>
      <c r="AR1157" s="16">
        <f t="shared" si="150"/>
        <v>616.69319645532096</v>
      </c>
      <c r="AS1157" s="17">
        <f t="shared" si="144"/>
        <v>1.2333863929106419</v>
      </c>
      <c r="AT1157" s="20">
        <v>500</v>
      </c>
      <c r="AU1157" s="20">
        <v>1293.969116210938</v>
      </c>
      <c r="AV1157" s="20">
        <f t="shared" si="145"/>
        <v>793.96911621093795</v>
      </c>
      <c r="AW1157" s="21">
        <f t="shared" si="151"/>
        <v>1.5879382324218758</v>
      </c>
    </row>
    <row r="1158" spans="1:49" x14ac:dyDescent="0.25">
      <c r="A1158" t="s">
        <v>38</v>
      </c>
      <c r="B1158" t="s">
        <v>1018</v>
      </c>
      <c r="C1158">
        <v>94819</v>
      </c>
      <c r="D1158">
        <v>2014</v>
      </c>
      <c r="E1158" t="s">
        <v>142</v>
      </c>
      <c r="F1158" t="s">
        <v>143</v>
      </c>
      <c r="G1158" t="s">
        <v>118</v>
      </c>
      <c r="I1158">
        <v>6</v>
      </c>
      <c r="J1158" t="s">
        <v>43</v>
      </c>
      <c r="K1158">
        <v>4</v>
      </c>
      <c r="L1158" t="s">
        <v>44</v>
      </c>
      <c r="M1158">
        <v>3.2</v>
      </c>
      <c r="N1158" t="s">
        <v>45</v>
      </c>
      <c r="O1158" t="s">
        <v>46</v>
      </c>
      <c r="P1158">
        <v>3</v>
      </c>
      <c r="Q1158" t="s">
        <v>62</v>
      </c>
      <c r="R1158" t="s">
        <v>63</v>
      </c>
      <c r="S1158" t="s">
        <v>49</v>
      </c>
      <c r="U1158" t="s">
        <v>50</v>
      </c>
      <c r="X1158" t="s">
        <v>141</v>
      </c>
      <c r="Y1158" t="s">
        <v>78</v>
      </c>
      <c r="AA1158">
        <v>0</v>
      </c>
      <c r="AB1158" t="s">
        <v>79</v>
      </c>
      <c r="AC1158" t="s">
        <v>87</v>
      </c>
      <c r="AD1158">
        <v>36</v>
      </c>
      <c r="AE1158">
        <v>9</v>
      </c>
      <c r="AF1158">
        <v>3</v>
      </c>
      <c r="AG1158">
        <v>2025</v>
      </c>
      <c r="AH1158" s="2">
        <v>4200</v>
      </c>
      <c r="AI1158" s="2">
        <v>5427.63720703125</v>
      </c>
      <c r="AJ1158" s="2">
        <f t="shared" si="146"/>
        <v>1227.63720703125</v>
      </c>
      <c r="AK1158" s="6">
        <f t="shared" si="147"/>
        <v>0.29229457310267859</v>
      </c>
      <c r="AL1158" s="12">
        <v>4200</v>
      </c>
      <c r="AM1158" s="12">
        <v>5697.9904530364483</v>
      </c>
      <c r="AN1158" s="12">
        <f t="shared" si="148"/>
        <v>1497.9904530364483</v>
      </c>
      <c r="AO1158" s="13">
        <f t="shared" si="149"/>
        <v>0.35666439358010676</v>
      </c>
      <c r="AP1158" s="16">
        <v>4200</v>
      </c>
      <c r="AQ1158" s="16">
        <v>4978.9326488540837</v>
      </c>
      <c r="AR1158" s="16">
        <f t="shared" si="150"/>
        <v>778.93264885408371</v>
      </c>
      <c r="AS1158" s="17">
        <f t="shared" si="144"/>
        <v>0.18546015448906755</v>
      </c>
      <c r="AT1158" s="20">
        <v>4200</v>
      </c>
      <c r="AU1158" s="20">
        <v>5496.30810546875</v>
      </c>
      <c r="AV1158" s="20">
        <f t="shared" si="145"/>
        <v>1296.30810546875</v>
      </c>
      <c r="AW1158" s="21">
        <f t="shared" si="151"/>
        <v>0.30864478701636905</v>
      </c>
    </row>
    <row r="1159" spans="1:49" x14ac:dyDescent="0.25">
      <c r="A1159" t="s">
        <v>128</v>
      </c>
      <c r="B1159" t="s">
        <v>210</v>
      </c>
      <c r="C1159">
        <v>42854</v>
      </c>
      <c r="D1159">
        <v>2023</v>
      </c>
      <c r="E1159" t="s">
        <v>142</v>
      </c>
      <c r="F1159" t="s">
        <v>373</v>
      </c>
      <c r="G1159" t="s">
        <v>1147</v>
      </c>
      <c r="I1159">
        <v>4</v>
      </c>
      <c r="J1159" t="s">
        <v>122</v>
      </c>
      <c r="K1159">
        <v>4</v>
      </c>
      <c r="L1159" t="s">
        <v>44</v>
      </c>
      <c r="M1159">
        <v>2</v>
      </c>
      <c r="N1159" t="s">
        <v>91</v>
      </c>
      <c r="O1159" t="s">
        <v>46</v>
      </c>
      <c r="Q1159" t="s">
        <v>62</v>
      </c>
      <c r="R1159" t="s">
        <v>63</v>
      </c>
      <c r="S1159" t="s">
        <v>93</v>
      </c>
      <c r="T1159">
        <v>375</v>
      </c>
      <c r="U1159" t="s">
        <v>601</v>
      </c>
      <c r="V1159" t="s">
        <v>51</v>
      </c>
      <c r="X1159" t="s">
        <v>94</v>
      </c>
      <c r="Y1159" t="s">
        <v>78</v>
      </c>
      <c r="AA1159">
        <v>1</v>
      </c>
      <c r="AB1159" t="s">
        <v>603</v>
      </c>
      <c r="AC1159" t="s">
        <v>67</v>
      </c>
      <c r="AD1159">
        <v>36</v>
      </c>
      <c r="AE1159">
        <v>9</v>
      </c>
      <c r="AF1159">
        <v>3</v>
      </c>
      <c r="AG1159">
        <v>2025</v>
      </c>
      <c r="AH1159" s="2">
        <v>24000</v>
      </c>
      <c r="AI1159" s="2">
        <v>31483.755859375</v>
      </c>
      <c r="AJ1159" s="2">
        <f t="shared" si="146"/>
        <v>7483.755859375</v>
      </c>
      <c r="AK1159" s="6">
        <f t="shared" si="147"/>
        <v>0.31182316080729167</v>
      </c>
      <c r="AL1159" s="12">
        <v>24000</v>
      </c>
      <c r="AM1159" s="12">
        <v>35760.834944871247</v>
      </c>
      <c r="AN1159" s="12">
        <f t="shared" si="148"/>
        <v>11760.834944871247</v>
      </c>
      <c r="AO1159" s="13">
        <f t="shared" si="149"/>
        <v>0.49003478936963529</v>
      </c>
      <c r="AP1159" s="16">
        <v>24000</v>
      </c>
      <c r="AQ1159" s="16">
        <v>31918.266578298939</v>
      </c>
      <c r="AR1159" s="16">
        <f t="shared" si="150"/>
        <v>7918.2665782989388</v>
      </c>
      <c r="AS1159" s="17">
        <f t="shared" si="144"/>
        <v>0.32992777409578911</v>
      </c>
      <c r="AT1159" s="20">
        <v>24000</v>
      </c>
      <c r="AU1159" s="20">
        <v>31674.03515625</v>
      </c>
      <c r="AV1159" s="20">
        <f t="shared" si="145"/>
        <v>7674.03515625</v>
      </c>
      <c r="AW1159" s="21">
        <f t="shared" si="151"/>
        <v>0.31975146484375</v>
      </c>
    </row>
    <row r="1160" spans="1:49" x14ac:dyDescent="0.25">
      <c r="A1160" t="s">
        <v>38</v>
      </c>
      <c r="B1160" t="s">
        <v>274</v>
      </c>
      <c r="C1160">
        <v>38687</v>
      </c>
      <c r="D1160">
        <v>2024</v>
      </c>
      <c r="E1160" t="s">
        <v>69</v>
      </c>
      <c r="F1160" t="s">
        <v>70</v>
      </c>
      <c r="G1160" t="s">
        <v>1257</v>
      </c>
      <c r="H1160" t="s">
        <v>71</v>
      </c>
      <c r="I1160">
        <v>6</v>
      </c>
      <c r="M1160">
        <v>3.5</v>
      </c>
      <c r="N1160" t="s">
        <v>44</v>
      </c>
      <c r="Q1160" t="s">
        <v>74</v>
      </c>
      <c r="R1160" t="s">
        <v>75</v>
      </c>
      <c r="S1160" t="s">
        <v>85</v>
      </c>
      <c r="U1160" t="s">
        <v>50</v>
      </c>
      <c r="V1160" t="s">
        <v>76</v>
      </c>
      <c r="W1160" t="s">
        <v>640</v>
      </c>
      <c r="X1160" t="s">
        <v>230</v>
      </c>
      <c r="Y1160" t="s">
        <v>78</v>
      </c>
      <c r="AA1160">
        <v>0</v>
      </c>
      <c r="AB1160" t="s">
        <v>79</v>
      </c>
      <c r="AC1160" t="s">
        <v>80</v>
      </c>
      <c r="AD1160">
        <v>36</v>
      </c>
      <c r="AE1160">
        <v>9</v>
      </c>
      <c r="AF1160">
        <v>3</v>
      </c>
      <c r="AG1160">
        <v>2025</v>
      </c>
      <c r="AH1160" s="2">
        <v>40000</v>
      </c>
      <c r="AI1160" s="2">
        <v>38121.21875</v>
      </c>
      <c r="AJ1160" s="2">
        <f t="shared" si="146"/>
        <v>1878.78125</v>
      </c>
      <c r="AK1160" s="6">
        <f t="shared" si="147"/>
        <v>4.6969531250000002E-2</v>
      </c>
      <c r="AL1160" s="12">
        <v>40000</v>
      </c>
      <c r="AM1160" s="12">
        <v>39955.526821331187</v>
      </c>
      <c r="AN1160" s="12">
        <f t="shared" si="148"/>
        <v>44.473178668813489</v>
      </c>
      <c r="AO1160" s="13">
        <f t="shared" si="149"/>
        <v>1.1118294667203372E-3</v>
      </c>
      <c r="AP1160" s="16">
        <v>40000</v>
      </c>
      <c r="AQ1160" s="16">
        <v>38573.690422079562</v>
      </c>
      <c r="AR1160" s="16">
        <f t="shared" si="150"/>
        <v>1426.3095779204377</v>
      </c>
      <c r="AS1160" s="17">
        <f t="shared" si="144"/>
        <v>3.5657739448010942E-2</v>
      </c>
      <c r="AT1160" s="20">
        <v>40000</v>
      </c>
      <c r="AU1160" s="20">
        <v>38004.98046875</v>
      </c>
      <c r="AV1160" s="20">
        <f t="shared" si="145"/>
        <v>1995.01953125</v>
      </c>
      <c r="AW1160" s="21">
        <f t="shared" si="151"/>
        <v>4.9875488281249998E-2</v>
      </c>
    </row>
    <row r="1161" spans="1:49" x14ac:dyDescent="0.25">
      <c r="A1161" t="s">
        <v>128</v>
      </c>
      <c r="B1161" t="s">
        <v>210</v>
      </c>
      <c r="C1161">
        <v>117116</v>
      </c>
      <c r="D1161">
        <v>2009</v>
      </c>
      <c r="E1161" t="s">
        <v>166</v>
      </c>
      <c r="F1161" t="s">
        <v>562</v>
      </c>
      <c r="G1161" t="s">
        <v>240</v>
      </c>
      <c r="I1161">
        <v>4</v>
      </c>
      <c r="J1161" t="s">
        <v>106</v>
      </c>
      <c r="K1161">
        <v>4</v>
      </c>
      <c r="L1161" t="s">
        <v>44</v>
      </c>
      <c r="M1161">
        <v>2.4</v>
      </c>
      <c r="N1161" t="s">
        <v>45</v>
      </c>
      <c r="O1161" t="s">
        <v>46</v>
      </c>
      <c r="Q1161" t="s">
        <v>47</v>
      </c>
      <c r="R1161" t="s">
        <v>123</v>
      </c>
      <c r="T1161">
        <v>177</v>
      </c>
      <c r="U1161" t="s">
        <v>50</v>
      </c>
      <c r="V1161" t="s">
        <v>51</v>
      </c>
      <c r="W1161" t="s">
        <v>1258</v>
      </c>
      <c r="X1161" t="s">
        <v>65</v>
      </c>
      <c r="Y1161" t="s">
        <v>78</v>
      </c>
      <c r="AA1161">
        <v>0</v>
      </c>
      <c r="AB1161" t="s">
        <v>79</v>
      </c>
      <c r="AC1161" t="s">
        <v>127</v>
      </c>
      <c r="AD1161">
        <v>36</v>
      </c>
      <c r="AE1161">
        <v>9</v>
      </c>
      <c r="AF1161">
        <v>3</v>
      </c>
      <c r="AG1161">
        <v>2025</v>
      </c>
      <c r="AH1161" s="2">
        <v>3500</v>
      </c>
      <c r="AI1161" s="2">
        <v>3828.382080078125</v>
      </c>
      <c r="AJ1161" s="2">
        <f t="shared" si="146"/>
        <v>328.382080078125</v>
      </c>
      <c r="AK1161" s="6">
        <f t="shared" si="147"/>
        <v>9.3823451450892853E-2</v>
      </c>
      <c r="AL1161" s="12">
        <v>3500</v>
      </c>
      <c r="AM1161" s="12">
        <v>3598.2018069227629</v>
      </c>
      <c r="AN1161" s="12">
        <f t="shared" si="148"/>
        <v>98.201806922762898</v>
      </c>
      <c r="AO1161" s="13">
        <f t="shared" si="149"/>
        <v>2.8057659120789398E-2</v>
      </c>
      <c r="AP1161" s="16">
        <v>3500</v>
      </c>
      <c r="AQ1161" s="16">
        <v>3051.5845383934889</v>
      </c>
      <c r="AR1161" s="16">
        <f t="shared" si="150"/>
        <v>448.41546160651114</v>
      </c>
      <c r="AS1161" s="17">
        <f t="shared" si="144"/>
        <v>0.12811870331614605</v>
      </c>
      <c r="AT1161" s="20">
        <v>3500</v>
      </c>
      <c r="AU1161" s="20">
        <v>3875.9130859375</v>
      </c>
      <c r="AV1161" s="20">
        <f t="shared" si="145"/>
        <v>375.9130859375</v>
      </c>
      <c r="AW1161" s="21">
        <f t="shared" si="151"/>
        <v>0.10740373883928571</v>
      </c>
    </row>
    <row r="1162" spans="1:49" x14ac:dyDescent="0.25">
      <c r="A1162" t="s">
        <v>38</v>
      </c>
      <c r="B1162" t="s">
        <v>96</v>
      </c>
      <c r="C1162">
        <v>110633</v>
      </c>
      <c r="D1162">
        <v>2017</v>
      </c>
      <c r="E1162" t="s">
        <v>213</v>
      </c>
      <c r="F1162" t="s">
        <v>527</v>
      </c>
      <c r="I1162">
        <v>6</v>
      </c>
      <c r="J1162" t="s">
        <v>61</v>
      </c>
      <c r="K1162">
        <v>4</v>
      </c>
      <c r="L1162" t="s">
        <v>44</v>
      </c>
      <c r="M1162">
        <v>3</v>
      </c>
      <c r="N1162" t="s">
        <v>44</v>
      </c>
      <c r="O1162" t="s">
        <v>46</v>
      </c>
      <c r="Q1162" t="s">
        <v>47</v>
      </c>
      <c r="R1162" t="s">
        <v>123</v>
      </c>
      <c r="S1162" t="s">
        <v>93</v>
      </c>
      <c r="U1162" t="s">
        <v>50</v>
      </c>
      <c r="X1162" t="s">
        <v>125</v>
      </c>
      <c r="Y1162" t="s">
        <v>54</v>
      </c>
      <c r="AA1162">
        <v>0</v>
      </c>
      <c r="AB1162" t="s">
        <v>79</v>
      </c>
      <c r="AC1162" t="s">
        <v>127</v>
      </c>
      <c r="AD1162">
        <v>36</v>
      </c>
      <c r="AE1162">
        <v>9</v>
      </c>
      <c r="AF1162">
        <v>3</v>
      </c>
      <c r="AG1162">
        <v>2025</v>
      </c>
      <c r="AH1162" s="2">
        <v>8500</v>
      </c>
      <c r="AI1162" s="2">
        <v>7585.234375</v>
      </c>
      <c r="AJ1162" s="2">
        <f t="shared" si="146"/>
        <v>914.765625</v>
      </c>
      <c r="AK1162" s="6">
        <f t="shared" si="147"/>
        <v>0.10761948529411765</v>
      </c>
      <c r="AL1162" s="12">
        <v>8500</v>
      </c>
      <c r="AM1162" s="12">
        <v>8625.0764542764773</v>
      </c>
      <c r="AN1162" s="12">
        <f t="shared" si="148"/>
        <v>125.07645427647731</v>
      </c>
      <c r="AO1162" s="13">
        <f t="shared" si="149"/>
        <v>1.4714876973703212E-2</v>
      </c>
      <c r="AP1162" s="16">
        <v>8500</v>
      </c>
      <c r="AQ1162" s="16">
        <v>7961.6310580118607</v>
      </c>
      <c r="AR1162" s="16">
        <f t="shared" si="150"/>
        <v>538.36894198813934</v>
      </c>
      <c r="AS1162" s="17">
        <f t="shared" si="144"/>
        <v>6.3337522586839917E-2</v>
      </c>
      <c r="AT1162" s="20">
        <v>8500</v>
      </c>
      <c r="AU1162" s="20">
        <v>7771.56787109375</v>
      </c>
      <c r="AV1162" s="20">
        <f t="shared" si="145"/>
        <v>728.43212890625</v>
      </c>
      <c r="AW1162" s="21">
        <f t="shared" si="151"/>
        <v>8.5697897518382346E-2</v>
      </c>
    </row>
    <row r="1163" spans="1:49" x14ac:dyDescent="0.25">
      <c r="A1163" t="s">
        <v>38</v>
      </c>
      <c r="B1163" t="s">
        <v>110</v>
      </c>
      <c r="C1163">
        <v>201802</v>
      </c>
      <c r="D1163">
        <v>2008</v>
      </c>
      <c r="E1163" t="s">
        <v>40</v>
      </c>
      <c r="F1163" t="s">
        <v>41</v>
      </c>
      <c r="H1163" t="s">
        <v>1243</v>
      </c>
      <c r="I1163">
        <v>4</v>
      </c>
      <c r="J1163" t="s">
        <v>61</v>
      </c>
      <c r="K1163">
        <v>4</v>
      </c>
      <c r="L1163" t="s">
        <v>44</v>
      </c>
      <c r="M1163">
        <v>1.5</v>
      </c>
      <c r="N1163" t="s">
        <v>45</v>
      </c>
      <c r="Q1163" t="s">
        <v>47</v>
      </c>
      <c r="R1163" t="s">
        <v>48</v>
      </c>
      <c r="S1163" t="s">
        <v>49</v>
      </c>
      <c r="T1163">
        <v>76</v>
      </c>
      <c r="U1163" t="s">
        <v>50</v>
      </c>
      <c r="V1163" t="s">
        <v>51</v>
      </c>
      <c r="W1163" t="s">
        <v>1244</v>
      </c>
      <c r="X1163" t="s">
        <v>125</v>
      </c>
      <c r="Y1163" t="s">
        <v>54</v>
      </c>
      <c r="AA1163">
        <v>1</v>
      </c>
      <c r="AB1163" t="s">
        <v>55</v>
      </c>
      <c r="AC1163" t="s">
        <v>56</v>
      </c>
      <c r="AD1163">
        <v>36</v>
      </c>
      <c r="AE1163">
        <v>9</v>
      </c>
      <c r="AF1163">
        <v>3</v>
      </c>
      <c r="AG1163">
        <v>2025</v>
      </c>
      <c r="AH1163" s="2">
        <v>700</v>
      </c>
      <c r="AI1163" s="2">
        <v>991.3831787109375</v>
      </c>
      <c r="AJ1163" s="2">
        <f t="shared" si="146"/>
        <v>291.3831787109375</v>
      </c>
      <c r="AK1163" s="6">
        <f t="shared" si="147"/>
        <v>0.41626168387276785</v>
      </c>
      <c r="AL1163" s="12">
        <v>700</v>
      </c>
      <c r="AM1163" s="12">
        <v>1245.963839718562</v>
      </c>
      <c r="AN1163" s="12">
        <f t="shared" si="148"/>
        <v>545.96383971856199</v>
      </c>
      <c r="AO1163" s="13">
        <f t="shared" si="149"/>
        <v>0.77994834245508859</v>
      </c>
      <c r="AP1163" s="16">
        <v>700</v>
      </c>
      <c r="AQ1163" s="16">
        <v>944.13310209876659</v>
      </c>
      <c r="AR1163" s="16">
        <f t="shared" si="150"/>
        <v>244.13310209876659</v>
      </c>
      <c r="AS1163" s="17">
        <f t="shared" si="144"/>
        <v>0.34876157442680938</v>
      </c>
      <c r="AT1163" s="20">
        <v>700</v>
      </c>
      <c r="AU1163" s="20">
        <v>1009.851257324219</v>
      </c>
      <c r="AV1163" s="20">
        <f t="shared" si="145"/>
        <v>309.85125732421898</v>
      </c>
      <c r="AW1163" s="21">
        <f t="shared" si="151"/>
        <v>0.44264465332031283</v>
      </c>
    </row>
    <row r="1164" spans="1:49" x14ac:dyDescent="0.25">
      <c r="A1164" t="s">
        <v>128</v>
      </c>
      <c r="B1164" t="s">
        <v>484</v>
      </c>
      <c r="C1164">
        <v>35184</v>
      </c>
      <c r="D1164">
        <v>2024</v>
      </c>
      <c r="E1164" t="s">
        <v>119</v>
      </c>
      <c r="F1164" t="s">
        <v>120</v>
      </c>
      <c r="G1164" t="s">
        <v>1259</v>
      </c>
      <c r="I1164">
        <v>4</v>
      </c>
      <c r="J1164" t="s">
        <v>106</v>
      </c>
      <c r="K1164">
        <v>4</v>
      </c>
      <c r="L1164" t="s">
        <v>44</v>
      </c>
      <c r="M1164">
        <v>1.5</v>
      </c>
      <c r="N1164" t="s">
        <v>45</v>
      </c>
      <c r="O1164" t="s">
        <v>46</v>
      </c>
      <c r="P1164">
        <v>4</v>
      </c>
      <c r="Q1164" t="s">
        <v>47</v>
      </c>
      <c r="R1164" t="s">
        <v>123</v>
      </c>
      <c r="T1164">
        <v>158</v>
      </c>
      <c r="U1164" t="s">
        <v>50</v>
      </c>
      <c r="W1164" t="s">
        <v>337</v>
      </c>
      <c r="Y1164" t="s">
        <v>126</v>
      </c>
      <c r="AA1164">
        <v>0</v>
      </c>
      <c r="AB1164" t="s">
        <v>79</v>
      </c>
      <c r="AC1164" t="s">
        <v>127</v>
      </c>
      <c r="AD1164">
        <v>36</v>
      </c>
      <c r="AE1164">
        <v>9</v>
      </c>
      <c r="AF1164">
        <v>3</v>
      </c>
      <c r="AG1164">
        <v>2025</v>
      </c>
      <c r="AH1164" s="2">
        <v>18000</v>
      </c>
      <c r="AI1164" s="2">
        <v>15655.759765625</v>
      </c>
      <c r="AJ1164" s="2">
        <f t="shared" si="146"/>
        <v>2344.240234375</v>
      </c>
      <c r="AK1164" s="6">
        <f t="shared" si="147"/>
        <v>0.13023556857638888</v>
      </c>
      <c r="AL1164" s="12">
        <v>18000</v>
      </c>
      <c r="AM1164" s="12">
        <v>15577.70128898148</v>
      </c>
      <c r="AN1164" s="12">
        <f t="shared" si="148"/>
        <v>2422.2987110185204</v>
      </c>
      <c r="AO1164" s="13">
        <f t="shared" si="149"/>
        <v>0.13457215061214003</v>
      </c>
      <c r="AP1164" s="16">
        <v>18000</v>
      </c>
      <c r="AQ1164" s="16">
        <v>16895.267463142762</v>
      </c>
      <c r="AR1164" s="16">
        <f t="shared" si="150"/>
        <v>1104.7325368572383</v>
      </c>
      <c r="AS1164" s="17">
        <f t="shared" si="144"/>
        <v>6.1374029825402125E-2</v>
      </c>
      <c r="AT1164" s="20">
        <v>18000</v>
      </c>
      <c r="AU1164" s="20">
        <v>15629.234375</v>
      </c>
      <c r="AV1164" s="20">
        <f t="shared" si="145"/>
        <v>2370.765625</v>
      </c>
      <c r="AW1164" s="21">
        <f t="shared" si="151"/>
        <v>0.13170920138888889</v>
      </c>
    </row>
    <row r="1165" spans="1:49" x14ac:dyDescent="0.25">
      <c r="A1165" t="s">
        <v>128</v>
      </c>
      <c r="B1165" t="s">
        <v>129</v>
      </c>
      <c r="C1165">
        <v>119094</v>
      </c>
      <c r="D1165">
        <v>2019</v>
      </c>
      <c r="E1165" t="s">
        <v>88</v>
      </c>
      <c r="F1165" t="s">
        <v>89</v>
      </c>
      <c r="G1165" t="s">
        <v>442</v>
      </c>
      <c r="H1165" t="s">
        <v>443</v>
      </c>
      <c r="I1165">
        <v>8</v>
      </c>
      <c r="J1165" t="s">
        <v>72</v>
      </c>
      <c r="K1165">
        <v>4</v>
      </c>
      <c r="L1165" t="s">
        <v>44</v>
      </c>
      <c r="M1165">
        <v>5.7</v>
      </c>
      <c r="N1165" t="s">
        <v>73</v>
      </c>
      <c r="O1165" t="s">
        <v>46</v>
      </c>
      <c r="Q1165" t="s">
        <v>74</v>
      </c>
      <c r="R1165" t="s">
        <v>92</v>
      </c>
      <c r="S1165" t="s">
        <v>49</v>
      </c>
      <c r="T1165">
        <v>395</v>
      </c>
      <c r="U1165" t="s">
        <v>50</v>
      </c>
      <c r="V1165" t="s">
        <v>76</v>
      </c>
      <c r="X1165" t="s">
        <v>94</v>
      </c>
      <c r="Y1165" t="s">
        <v>78</v>
      </c>
      <c r="AA1165">
        <v>0</v>
      </c>
      <c r="AB1165" t="s">
        <v>79</v>
      </c>
      <c r="AC1165" t="s">
        <v>95</v>
      </c>
      <c r="AD1165">
        <v>36</v>
      </c>
      <c r="AE1165">
        <v>9</v>
      </c>
      <c r="AF1165">
        <v>3</v>
      </c>
      <c r="AG1165">
        <v>2025</v>
      </c>
      <c r="AH1165" s="2">
        <v>11000</v>
      </c>
      <c r="AI1165" s="2">
        <v>11472.09765625</v>
      </c>
      <c r="AJ1165" s="2">
        <f t="shared" si="146"/>
        <v>472.09765625</v>
      </c>
      <c r="AK1165" s="6">
        <f t="shared" si="147"/>
        <v>4.291796875E-2</v>
      </c>
      <c r="AL1165" s="12">
        <v>11000</v>
      </c>
      <c r="AM1165" s="12">
        <v>13148.94516641402</v>
      </c>
      <c r="AN1165" s="12">
        <f t="shared" si="148"/>
        <v>2148.9451664140197</v>
      </c>
      <c r="AO1165" s="13">
        <f t="shared" si="149"/>
        <v>0.19535865149218362</v>
      </c>
      <c r="AP1165" s="16">
        <v>11000</v>
      </c>
      <c r="AQ1165" s="16">
        <v>13253.528171347891</v>
      </c>
      <c r="AR1165" s="16">
        <f t="shared" si="150"/>
        <v>2253.5281713478907</v>
      </c>
      <c r="AS1165" s="17">
        <f t="shared" si="144"/>
        <v>0.20486619739526279</v>
      </c>
      <c r="AT1165" s="20">
        <v>11000</v>
      </c>
      <c r="AU1165" s="20">
        <v>11871.2607421875</v>
      </c>
      <c r="AV1165" s="20">
        <f t="shared" si="145"/>
        <v>871.2607421875</v>
      </c>
      <c r="AW1165" s="21">
        <f t="shared" si="151"/>
        <v>7.9205522017045449E-2</v>
      </c>
    </row>
    <row r="1166" spans="1:49" x14ac:dyDescent="0.25">
      <c r="A1166" t="s">
        <v>38</v>
      </c>
      <c r="B1166" t="s">
        <v>96</v>
      </c>
      <c r="C1166">
        <v>36314</v>
      </c>
      <c r="D1166">
        <v>2023</v>
      </c>
      <c r="E1166" t="s">
        <v>97</v>
      </c>
      <c r="F1166" t="s">
        <v>159</v>
      </c>
      <c r="G1166" t="s">
        <v>579</v>
      </c>
      <c r="H1166" t="s">
        <v>89</v>
      </c>
      <c r="I1166">
        <v>4</v>
      </c>
      <c r="J1166" t="s">
        <v>43</v>
      </c>
      <c r="K1166">
        <v>4</v>
      </c>
      <c r="L1166" t="s">
        <v>44</v>
      </c>
      <c r="M1166">
        <v>2.7</v>
      </c>
      <c r="N1166" t="s">
        <v>73</v>
      </c>
      <c r="O1166" t="s">
        <v>46</v>
      </c>
      <c r="P1166">
        <v>5</v>
      </c>
      <c r="Q1166" t="s">
        <v>74</v>
      </c>
      <c r="R1166" t="s">
        <v>92</v>
      </c>
      <c r="S1166" t="s">
        <v>49</v>
      </c>
      <c r="U1166" t="s">
        <v>50</v>
      </c>
      <c r="V1166" t="s">
        <v>51</v>
      </c>
      <c r="W1166" t="s">
        <v>580</v>
      </c>
      <c r="X1166" t="s">
        <v>94</v>
      </c>
      <c r="Y1166" t="s">
        <v>126</v>
      </c>
      <c r="AA1166">
        <v>0</v>
      </c>
      <c r="AB1166" t="s">
        <v>79</v>
      </c>
      <c r="AC1166" t="s">
        <v>95</v>
      </c>
      <c r="AD1166">
        <v>36</v>
      </c>
      <c r="AE1166">
        <v>9</v>
      </c>
      <c r="AF1166">
        <v>3</v>
      </c>
      <c r="AG1166">
        <v>2025</v>
      </c>
      <c r="AH1166" s="2">
        <v>29500</v>
      </c>
      <c r="AI1166" s="2">
        <v>31271.5</v>
      </c>
      <c r="AJ1166" s="2">
        <f t="shared" si="146"/>
        <v>1771.5</v>
      </c>
      <c r="AK1166" s="6">
        <f t="shared" si="147"/>
        <v>6.0050847457627121E-2</v>
      </c>
      <c r="AL1166" s="12">
        <v>29500</v>
      </c>
      <c r="AM1166" s="12">
        <v>27916.883461390669</v>
      </c>
      <c r="AN1166" s="12">
        <f t="shared" si="148"/>
        <v>1583.1165386093307</v>
      </c>
      <c r="AO1166" s="13">
        <f t="shared" si="149"/>
        <v>5.3664967410485785E-2</v>
      </c>
      <c r="AP1166" s="16">
        <v>29500</v>
      </c>
      <c r="AQ1166" s="16">
        <v>26530.40726441966</v>
      </c>
      <c r="AR1166" s="16">
        <f t="shared" si="150"/>
        <v>2969.5927355803396</v>
      </c>
      <c r="AS1166" s="17">
        <f t="shared" si="144"/>
        <v>0.10066416052814711</v>
      </c>
      <c r="AT1166" s="20">
        <v>29500</v>
      </c>
      <c r="AU1166" s="20">
        <v>30703.80078125</v>
      </c>
      <c r="AV1166" s="20">
        <f t="shared" si="145"/>
        <v>1203.80078125</v>
      </c>
      <c r="AW1166" s="21">
        <f t="shared" si="151"/>
        <v>4.0806806144067793E-2</v>
      </c>
    </row>
    <row r="1167" spans="1:49" x14ac:dyDescent="0.25">
      <c r="A1167" t="s">
        <v>38</v>
      </c>
      <c r="B1167" t="s">
        <v>110</v>
      </c>
      <c r="C1167">
        <v>118022</v>
      </c>
      <c r="D1167">
        <v>2017</v>
      </c>
      <c r="E1167" t="s">
        <v>305</v>
      </c>
      <c r="F1167" t="s">
        <v>1153</v>
      </c>
      <c r="H1167" t="s">
        <v>307</v>
      </c>
      <c r="I1167">
        <v>4</v>
      </c>
      <c r="J1167" t="s">
        <v>72</v>
      </c>
      <c r="K1167">
        <v>4</v>
      </c>
      <c r="L1167" t="s">
        <v>44</v>
      </c>
      <c r="M1167">
        <v>2</v>
      </c>
      <c r="N1167" t="s">
        <v>45</v>
      </c>
      <c r="O1167" t="s">
        <v>46</v>
      </c>
      <c r="P1167">
        <v>2</v>
      </c>
      <c r="Q1167" t="s">
        <v>47</v>
      </c>
      <c r="R1167" t="s">
        <v>123</v>
      </c>
      <c r="S1167" t="s">
        <v>101</v>
      </c>
      <c r="T1167">
        <v>240</v>
      </c>
      <c r="U1167" t="s">
        <v>50</v>
      </c>
      <c r="V1167" t="s">
        <v>51</v>
      </c>
      <c r="W1167" t="s">
        <v>1260</v>
      </c>
      <c r="X1167" t="s">
        <v>125</v>
      </c>
      <c r="Y1167" t="s">
        <v>126</v>
      </c>
      <c r="Z1167">
        <v>39670</v>
      </c>
      <c r="AA1167">
        <v>0</v>
      </c>
      <c r="AB1167" t="s">
        <v>79</v>
      </c>
      <c r="AC1167" t="s">
        <v>127</v>
      </c>
      <c r="AD1167">
        <v>36</v>
      </c>
      <c r="AE1167">
        <v>9</v>
      </c>
      <c r="AF1167">
        <v>3</v>
      </c>
      <c r="AG1167">
        <v>2025</v>
      </c>
      <c r="AH1167" s="2">
        <v>4750</v>
      </c>
      <c r="AI1167" s="2">
        <v>3735.2392578125</v>
      </c>
      <c r="AJ1167" s="2">
        <f t="shared" si="146"/>
        <v>1014.7607421875</v>
      </c>
      <c r="AK1167" s="6">
        <f t="shared" si="147"/>
        <v>0.2136338404605263</v>
      </c>
      <c r="AL1167" s="12">
        <v>4750</v>
      </c>
      <c r="AM1167" s="12">
        <v>3601.2574431788498</v>
      </c>
      <c r="AN1167" s="12">
        <f t="shared" si="148"/>
        <v>1148.7425568211502</v>
      </c>
      <c r="AO1167" s="13">
        <f t="shared" si="149"/>
        <v>0.24184053827813687</v>
      </c>
      <c r="AP1167" s="16">
        <v>4750</v>
      </c>
      <c r="AQ1167" s="16">
        <v>3739.6395822973168</v>
      </c>
      <c r="AR1167" s="16">
        <f t="shared" si="150"/>
        <v>1010.3604177026832</v>
      </c>
      <c r="AS1167" s="17">
        <f t="shared" si="144"/>
        <v>0.21270745635845961</v>
      </c>
      <c r="AT1167" s="20">
        <v>4750</v>
      </c>
      <c r="AU1167" s="20">
        <v>3786.281494140625</v>
      </c>
      <c r="AV1167" s="20">
        <f t="shared" si="145"/>
        <v>963.718505859375</v>
      </c>
      <c r="AW1167" s="21">
        <f t="shared" si="151"/>
        <v>0.20288810649671052</v>
      </c>
    </row>
    <row r="1168" spans="1:49" x14ac:dyDescent="0.25">
      <c r="A1168" t="s">
        <v>38</v>
      </c>
      <c r="B1168" t="s">
        <v>96</v>
      </c>
      <c r="C1168">
        <v>45690</v>
      </c>
      <c r="D1168">
        <v>2019</v>
      </c>
      <c r="E1168" t="s">
        <v>58</v>
      </c>
      <c r="F1168" t="s">
        <v>243</v>
      </c>
      <c r="G1168" t="s">
        <v>1261</v>
      </c>
      <c r="I1168">
        <v>4</v>
      </c>
      <c r="J1168" t="s">
        <v>135</v>
      </c>
      <c r="K1168">
        <v>4</v>
      </c>
      <c r="L1168" t="s">
        <v>44</v>
      </c>
      <c r="M1168">
        <v>2</v>
      </c>
      <c r="N1168" t="s">
        <v>45</v>
      </c>
      <c r="O1168" t="s">
        <v>46</v>
      </c>
      <c r="P1168">
        <v>4</v>
      </c>
      <c r="Q1168" t="s">
        <v>47</v>
      </c>
      <c r="R1168" t="s">
        <v>123</v>
      </c>
      <c r="T1168">
        <v>147</v>
      </c>
      <c r="U1168" t="s">
        <v>50</v>
      </c>
      <c r="W1168" t="s">
        <v>463</v>
      </c>
      <c r="X1168" t="s">
        <v>125</v>
      </c>
      <c r="Y1168" t="s">
        <v>126</v>
      </c>
      <c r="AA1168">
        <v>0</v>
      </c>
      <c r="AB1168" t="s">
        <v>79</v>
      </c>
      <c r="AC1168" t="s">
        <v>127</v>
      </c>
      <c r="AD1168">
        <v>36</v>
      </c>
      <c r="AE1168">
        <v>9</v>
      </c>
      <c r="AF1168">
        <v>3</v>
      </c>
      <c r="AG1168">
        <v>2025</v>
      </c>
      <c r="AH1168" s="2">
        <v>11500</v>
      </c>
      <c r="AI1168" s="2">
        <v>11679.77734375</v>
      </c>
      <c r="AJ1168" s="2">
        <f t="shared" si="146"/>
        <v>179.77734375</v>
      </c>
      <c r="AK1168" s="6">
        <f t="shared" si="147"/>
        <v>1.5632812499999999E-2</v>
      </c>
      <c r="AL1168" s="12">
        <v>11500</v>
      </c>
      <c r="AM1168" s="12">
        <v>12546.03786712394</v>
      </c>
      <c r="AN1168" s="12">
        <f t="shared" si="148"/>
        <v>1046.0378671239396</v>
      </c>
      <c r="AO1168" s="13">
        <f t="shared" si="149"/>
        <v>9.0959814532516489E-2</v>
      </c>
      <c r="AP1168" s="16">
        <v>11500</v>
      </c>
      <c r="AQ1168" s="16">
        <v>10523.980653953569</v>
      </c>
      <c r="AR1168" s="16">
        <f t="shared" si="150"/>
        <v>976.01934604643066</v>
      </c>
      <c r="AS1168" s="17">
        <f t="shared" si="144"/>
        <v>8.4871247482298323E-2</v>
      </c>
      <c r="AT1168" s="20">
        <v>11500</v>
      </c>
      <c r="AU1168" s="20">
        <v>12070.568359375</v>
      </c>
      <c r="AV1168" s="20">
        <f t="shared" si="145"/>
        <v>570.568359375</v>
      </c>
      <c r="AW1168" s="21">
        <f t="shared" si="151"/>
        <v>4.9614639945652177E-2</v>
      </c>
    </row>
    <row r="1169" spans="1:49" x14ac:dyDescent="0.25">
      <c r="A1169" t="s">
        <v>128</v>
      </c>
      <c r="B1169" t="s">
        <v>210</v>
      </c>
      <c r="C1169">
        <v>49365</v>
      </c>
      <c r="D1169">
        <v>2021</v>
      </c>
      <c r="E1169" t="s">
        <v>97</v>
      </c>
      <c r="F1169" t="s">
        <v>98</v>
      </c>
      <c r="G1169" t="s">
        <v>1262</v>
      </c>
      <c r="I1169">
        <v>4</v>
      </c>
      <c r="J1169" t="s">
        <v>122</v>
      </c>
      <c r="K1169">
        <v>4</v>
      </c>
      <c r="L1169" t="s">
        <v>44</v>
      </c>
      <c r="M1169">
        <v>1.5</v>
      </c>
      <c r="N1169" t="s">
        <v>45</v>
      </c>
      <c r="O1169" t="s">
        <v>46</v>
      </c>
      <c r="Q1169" t="s">
        <v>62</v>
      </c>
      <c r="R1169" t="s">
        <v>63</v>
      </c>
      <c r="S1169" t="s">
        <v>101</v>
      </c>
      <c r="U1169" t="s">
        <v>50</v>
      </c>
      <c r="V1169" t="s">
        <v>51</v>
      </c>
      <c r="W1169" t="s">
        <v>255</v>
      </c>
      <c r="X1169" t="s">
        <v>65</v>
      </c>
      <c r="Y1169" t="s">
        <v>126</v>
      </c>
      <c r="AA1169">
        <v>0</v>
      </c>
      <c r="AB1169" t="s">
        <v>79</v>
      </c>
      <c r="AC1169" t="s">
        <v>87</v>
      </c>
      <c r="AD1169">
        <v>36</v>
      </c>
      <c r="AE1169">
        <v>9</v>
      </c>
      <c r="AF1169">
        <v>3</v>
      </c>
      <c r="AG1169">
        <v>2025</v>
      </c>
      <c r="AH1169" s="2">
        <v>16000</v>
      </c>
      <c r="AI1169" s="2">
        <v>18054.96484375</v>
      </c>
      <c r="AJ1169" s="2">
        <f t="shared" si="146"/>
        <v>2054.96484375</v>
      </c>
      <c r="AK1169" s="6">
        <f t="shared" si="147"/>
        <v>0.12843530273437501</v>
      </c>
      <c r="AL1169" s="12">
        <v>16000</v>
      </c>
      <c r="AM1169" s="12">
        <v>17169.02684631247</v>
      </c>
      <c r="AN1169" s="12">
        <f t="shared" si="148"/>
        <v>1169.0268463124703</v>
      </c>
      <c r="AO1169" s="13">
        <f t="shared" si="149"/>
        <v>7.3064177894529389E-2</v>
      </c>
      <c r="AP1169" s="16">
        <v>16000</v>
      </c>
      <c r="AQ1169" s="16">
        <v>17008.341292081859</v>
      </c>
      <c r="AR1169" s="16">
        <f t="shared" si="150"/>
        <v>1008.3412920818591</v>
      </c>
      <c r="AS1169" s="17">
        <f t="shared" si="144"/>
        <v>6.3021330755116192E-2</v>
      </c>
      <c r="AT1169" s="20">
        <v>16000</v>
      </c>
      <c r="AU1169" s="20">
        <v>17634.328125</v>
      </c>
      <c r="AV1169" s="20">
        <f t="shared" si="145"/>
        <v>1634.328125</v>
      </c>
      <c r="AW1169" s="21">
        <f t="shared" si="151"/>
        <v>0.10214550781249999</v>
      </c>
    </row>
    <row r="1170" spans="1:49" x14ac:dyDescent="0.25">
      <c r="A1170" t="s">
        <v>114</v>
      </c>
      <c r="B1170" t="s">
        <v>115</v>
      </c>
      <c r="C1170">
        <v>159981</v>
      </c>
      <c r="D1170">
        <v>2010</v>
      </c>
      <c r="E1170" t="s">
        <v>40</v>
      </c>
      <c r="F1170" t="s">
        <v>215</v>
      </c>
      <c r="G1170" t="s">
        <v>150</v>
      </c>
      <c r="H1170" t="s">
        <v>1263</v>
      </c>
      <c r="I1170">
        <v>8</v>
      </c>
      <c r="J1170" t="s">
        <v>135</v>
      </c>
      <c r="K1170">
        <v>4</v>
      </c>
      <c r="L1170" t="s">
        <v>44</v>
      </c>
      <c r="M1170">
        <v>4.5999999999999996</v>
      </c>
      <c r="N1170" t="s">
        <v>91</v>
      </c>
      <c r="O1170" t="s">
        <v>46</v>
      </c>
      <c r="Q1170" t="s">
        <v>74</v>
      </c>
      <c r="R1170" t="s">
        <v>92</v>
      </c>
      <c r="S1170" t="s">
        <v>93</v>
      </c>
      <c r="T1170">
        <v>310</v>
      </c>
      <c r="U1170" t="s">
        <v>50</v>
      </c>
      <c r="V1170" t="s">
        <v>76</v>
      </c>
      <c r="W1170" t="s">
        <v>218</v>
      </c>
      <c r="X1170" t="s">
        <v>219</v>
      </c>
      <c r="Y1170" t="s">
        <v>78</v>
      </c>
      <c r="AA1170">
        <v>0</v>
      </c>
      <c r="AB1170" t="s">
        <v>79</v>
      </c>
      <c r="AC1170" t="s">
        <v>95</v>
      </c>
      <c r="AD1170">
        <v>36</v>
      </c>
      <c r="AE1170">
        <v>9</v>
      </c>
      <c r="AF1170">
        <v>3</v>
      </c>
      <c r="AG1170">
        <v>2025</v>
      </c>
      <c r="AH1170" s="2">
        <v>3100</v>
      </c>
      <c r="AI1170" s="2">
        <v>3926.164306640625</v>
      </c>
      <c r="AJ1170" s="2">
        <f t="shared" si="146"/>
        <v>826.164306640625</v>
      </c>
      <c r="AK1170" s="6">
        <f t="shared" si="147"/>
        <v>0.26650461504536288</v>
      </c>
      <c r="AL1170" s="12">
        <v>3100</v>
      </c>
      <c r="AM1170" s="12">
        <v>5714.5136512227182</v>
      </c>
      <c r="AN1170" s="12">
        <f t="shared" si="148"/>
        <v>2614.5136512227182</v>
      </c>
      <c r="AO1170" s="13">
        <f t="shared" si="149"/>
        <v>0.84339150039442523</v>
      </c>
      <c r="AP1170" s="16">
        <v>3100</v>
      </c>
      <c r="AQ1170" s="16">
        <v>4139.556670685728</v>
      </c>
      <c r="AR1170" s="16">
        <f t="shared" si="150"/>
        <v>1039.556670685728</v>
      </c>
      <c r="AS1170" s="17">
        <f t="shared" si="144"/>
        <v>0.33534086151152515</v>
      </c>
      <c r="AT1170" s="20">
        <v>3100</v>
      </c>
      <c r="AU1170" s="20">
        <v>4099.9443359375</v>
      </c>
      <c r="AV1170" s="20">
        <f t="shared" si="145"/>
        <v>999.9443359375</v>
      </c>
      <c r="AW1170" s="21">
        <f t="shared" si="151"/>
        <v>0.32256268901209678</v>
      </c>
    </row>
    <row r="1171" spans="1:49" x14ac:dyDescent="0.25">
      <c r="A1171" t="s">
        <v>128</v>
      </c>
      <c r="B1171" t="s">
        <v>129</v>
      </c>
      <c r="C1171">
        <v>172124</v>
      </c>
      <c r="D1171">
        <v>2009</v>
      </c>
      <c r="E1171" t="s">
        <v>40</v>
      </c>
      <c r="F1171" t="s">
        <v>297</v>
      </c>
      <c r="H1171" t="s">
        <v>368</v>
      </c>
      <c r="I1171">
        <v>4</v>
      </c>
      <c r="J1171" t="s">
        <v>206</v>
      </c>
      <c r="K1171">
        <v>4</v>
      </c>
      <c r="L1171" t="s">
        <v>44</v>
      </c>
      <c r="M1171">
        <v>2.4</v>
      </c>
      <c r="N1171" t="s">
        <v>45</v>
      </c>
      <c r="Q1171" t="s">
        <v>47</v>
      </c>
      <c r="R1171" t="s">
        <v>123</v>
      </c>
      <c r="S1171" t="s">
        <v>49</v>
      </c>
      <c r="T1171">
        <v>158</v>
      </c>
      <c r="U1171" t="s">
        <v>50</v>
      </c>
      <c r="V1171" t="s">
        <v>51</v>
      </c>
      <c r="W1171" t="s">
        <v>369</v>
      </c>
      <c r="X1171" t="s">
        <v>125</v>
      </c>
      <c r="Y1171" t="s">
        <v>78</v>
      </c>
      <c r="AA1171">
        <v>0</v>
      </c>
      <c r="AB1171" t="s">
        <v>79</v>
      </c>
      <c r="AC1171" t="s">
        <v>127</v>
      </c>
      <c r="AD1171">
        <v>36</v>
      </c>
      <c r="AE1171">
        <v>9</v>
      </c>
      <c r="AF1171">
        <v>3</v>
      </c>
      <c r="AG1171">
        <v>2025</v>
      </c>
      <c r="AH1171" s="2">
        <v>1500</v>
      </c>
      <c r="AI1171" s="2">
        <v>1654.942504882812</v>
      </c>
      <c r="AJ1171" s="2">
        <f t="shared" si="146"/>
        <v>154.94250488281205</v>
      </c>
      <c r="AK1171" s="6">
        <f t="shared" si="147"/>
        <v>0.10329500325520803</v>
      </c>
      <c r="AL1171" s="12">
        <v>1500</v>
      </c>
      <c r="AM1171" s="12">
        <v>1652.7039452232309</v>
      </c>
      <c r="AN1171" s="12">
        <f t="shared" si="148"/>
        <v>152.7039452232309</v>
      </c>
      <c r="AO1171" s="13">
        <f t="shared" si="149"/>
        <v>0.1018026301488206</v>
      </c>
      <c r="AP1171" s="16">
        <v>1500</v>
      </c>
      <c r="AQ1171" s="16">
        <v>1350.3703817749431</v>
      </c>
      <c r="AR1171" s="16">
        <f t="shared" si="150"/>
        <v>149.6296182250569</v>
      </c>
      <c r="AS1171" s="17">
        <f t="shared" si="144"/>
        <v>9.9753078816704602E-2</v>
      </c>
      <c r="AT1171" s="20">
        <v>1500</v>
      </c>
      <c r="AU1171" s="20">
        <v>1662.750366210938</v>
      </c>
      <c r="AV1171" s="20">
        <f t="shared" si="145"/>
        <v>162.75036621093795</v>
      </c>
      <c r="AW1171" s="21">
        <f t="shared" si="151"/>
        <v>0.1085002441406253</v>
      </c>
    </row>
    <row r="1172" spans="1:49" x14ac:dyDescent="0.25">
      <c r="A1172" t="s">
        <v>38</v>
      </c>
      <c r="B1172" t="s">
        <v>110</v>
      </c>
      <c r="C1172">
        <v>208503</v>
      </c>
      <c r="D1172">
        <v>2019</v>
      </c>
      <c r="E1172" t="s">
        <v>69</v>
      </c>
      <c r="F1172" t="s">
        <v>231</v>
      </c>
      <c r="I1172">
        <v>6</v>
      </c>
      <c r="J1172" t="s">
        <v>135</v>
      </c>
      <c r="K1172">
        <v>4</v>
      </c>
      <c r="L1172" t="s">
        <v>44</v>
      </c>
      <c r="M1172">
        <v>3.5</v>
      </c>
      <c r="N1172" t="s">
        <v>91</v>
      </c>
      <c r="Q1172" t="s">
        <v>74</v>
      </c>
      <c r="R1172" t="s">
        <v>92</v>
      </c>
      <c r="S1172" t="s">
        <v>93</v>
      </c>
      <c r="T1172">
        <v>375</v>
      </c>
      <c r="U1172" t="s">
        <v>50</v>
      </c>
      <c r="V1172" t="s">
        <v>76</v>
      </c>
      <c r="W1172" t="s">
        <v>308</v>
      </c>
      <c r="X1172" t="s">
        <v>94</v>
      </c>
      <c r="Y1172" t="s">
        <v>78</v>
      </c>
      <c r="AA1172">
        <v>0</v>
      </c>
      <c r="AB1172" t="s">
        <v>79</v>
      </c>
      <c r="AC1172" t="s">
        <v>95</v>
      </c>
      <c r="AD1172">
        <v>36</v>
      </c>
      <c r="AE1172">
        <v>9</v>
      </c>
      <c r="AF1172">
        <v>3</v>
      </c>
      <c r="AG1172">
        <v>2025</v>
      </c>
      <c r="AH1172" s="2">
        <v>8200</v>
      </c>
      <c r="AI1172" s="2">
        <v>9940.3798828125</v>
      </c>
      <c r="AJ1172" s="2">
        <f t="shared" si="146"/>
        <v>1740.3798828125</v>
      </c>
      <c r="AK1172" s="6">
        <f t="shared" si="147"/>
        <v>0.21224144912347562</v>
      </c>
      <c r="AL1172" s="12">
        <v>8200</v>
      </c>
      <c r="AM1172" s="12">
        <v>10660.785080135331</v>
      </c>
      <c r="AN1172" s="12">
        <f t="shared" si="148"/>
        <v>2460.7850801353306</v>
      </c>
      <c r="AO1172" s="13">
        <f t="shared" si="149"/>
        <v>0.30009574147991835</v>
      </c>
      <c r="AP1172" s="16">
        <v>8200</v>
      </c>
      <c r="AQ1172" s="16">
        <v>9767.8308059865594</v>
      </c>
      <c r="AR1172" s="16">
        <f t="shared" si="150"/>
        <v>1567.8308059865594</v>
      </c>
      <c r="AS1172" s="17">
        <f t="shared" si="144"/>
        <v>0.19119887877884872</v>
      </c>
      <c r="AT1172" s="20">
        <v>8200</v>
      </c>
      <c r="AU1172" s="20">
        <v>10259.5341796875</v>
      </c>
      <c r="AV1172" s="20">
        <f t="shared" si="145"/>
        <v>2059.5341796875</v>
      </c>
      <c r="AW1172" s="21">
        <f t="shared" si="151"/>
        <v>0.25116270483993902</v>
      </c>
    </row>
    <row r="1173" spans="1:49" x14ac:dyDescent="0.25">
      <c r="A1173" t="s">
        <v>38</v>
      </c>
      <c r="B1173" t="s">
        <v>96</v>
      </c>
      <c r="C1173">
        <v>65869</v>
      </c>
      <c r="D1173">
        <v>2021</v>
      </c>
      <c r="E1173" t="s">
        <v>119</v>
      </c>
      <c r="F1173" t="s">
        <v>958</v>
      </c>
      <c r="G1173" t="s">
        <v>1264</v>
      </c>
      <c r="I1173">
        <v>4</v>
      </c>
      <c r="J1173" t="s">
        <v>72</v>
      </c>
      <c r="K1173">
        <v>4</v>
      </c>
      <c r="L1173" t="s">
        <v>44</v>
      </c>
      <c r="M1173">
        <v>2</v>
      </c>
      <c r="N1173" t="s">
        <v>45</v>
      </c>
      <c r="O1173" t="s">
        <v>46</v>
      </c>
      <c r="P1173">
        <v>4</v>
      </c>
      <c r="Q1173" t="s">
        <v>62</v>
      </c>
      <c r="R1173" t="s">
        <v>63</v>
      </c>
      <c r="T1173">
        <v>184</v>
      </c>
      <c r="U1173" t="s">
        <v>50</v>
      </c>
      <c r="X1173" t="s">
        <v>141</v>
      </c>
      <c r="Y1173" t="s">
        <v>126</v>
      </c>
      <c r="AA1173">
        <v>0</v>
      </c>
      <c r="AB1173" t="s">
        <v>79</v>
      </c>
      <c r="AC1173" t="s">
        <v>109</v>
      </c>
      <c r="AD1173">
        <v>36</v>
      </c>
      <c r="AE1173">
        <v>9</v>
      </c>
      <c r="AF1173">
        <v>3</v>
      </c>
      <c r="AG1173">
        <v>2025</v>
      </c>
      <c r="AH1173" s="2">
        <v>12200</v>
      </c>
      <c r="AI1173" s="2">
        <v>15346.95703125</v>
      </c>
      <c r="AJ1173" s="2">
        <f t="shared" si="146"/>
        <v>3146.95703125</v>
      </c>
      <c r="AK1173" s="6">
        <f t="shared" si="147"/>
        <v>0.2579472976434426</v>
      </c>
      <c r="AL1173" s="12">
        <v>12200</v>
      </c>
      <c r="AM1173" s="12">
        <v>14105.965515234009</v>
      </c>
      <c r="AN1173" s="12">
        <f t="shared" si="148"/>
        <v>1905.9655152340092</v>
      </c>
      <c r="AO1173" s="13">
        <f t="shared" si="149"/>
        <v>0.15622668157655814</v>
      </c>
      <c r="AP1173" s="16">
        <v>12200</v>
      </c>
      <c r="AQ1173" s="16">
        <v>14109.210854546691</v>
      </c>
      <c r="AR1173" s="16">
        <f t="shared" si="150"/>
        <v>1909.2108545466908</v>
      </c>
      <c r="AS1173" s="17">
        <f t="shared" si="144"/>
        <v>0.1564926929956304</v>
      </c>
      <c r="AT1173" s="20">
        <v>12200</v>
      </c>
      <c r="AU1173" s="20">
        <v>15071.7626953125</v>
      </c>
      <c r="AV1173" s="20">
        <f t="shared" si="145"/>
        <v>2871.7626953125</v>
      </c>
      <c r="AW1173" s="21">
        <f t="shared" si="151"/>
        <v>0.23539038486168032</v>
      </c>
    </row>
    <row r="1174" spans="1:49" x14ac:dyDescent="0.25">
      <c r="A1174" t="s">
        <v>38</v>
      </c>
      <c r="B1174" t="s">
        <v>96</v>
      </c>
      <c r="C1174">
        <v>58260</v>
      </c>
      <c r="D1174">
        <v>2021</v>
      </c>
      <c r="E1174" t="s">
        <v>146</v>
      </c>
      <c r="F1174" t="s">
        <v>279</v>
      </c>
      <c r="G1174" t="s">
        <v>352</v>
      </c>
      <c r="I1174">
        <v>4</v>
      </c>
      <c r="J1174" t="s">
        <v>61</v>
      </c>
      <c r="K1174">
        <v>4</v>
      </c>
      <c r="L1174" t="s">
        <v>44</v>
      </c>
      <c r="M1174">
        <v>2</v>
      </c>
      <c r="N1174" t="s">
        <v>45</v>
      </c>
      <c r="O1174" t="s">
        <v>46</v>
      </c>
      <c r="P1174">
        <v>2</v>
      </c>
      <c r="Q1174" t="s">
        <v>47</v>
      </c>
      <c r="R1174" t="s">
        <v>123</v>
      </c>
      <c r="S1174" t="s">
        <v>49</v>
      </c>
      <c r="U1174" t="s">
        <v>50</v>
      </c>
      <c r="X1174" t="s">
        <v>125</v>
      </c>
      <c r="Y1174" t="s">
        <v>126</v>
      </c>
      <c r="AA1174">
        <v>0</v>
      </c>
      <c r="AB1174" t="s">
        <v>79</v>
      </c>
      <c r="AC1174" t="s">
        <v>127</v>
      </c>
      <c r="AD1174">
        <v>36</v>
      </c>
      <c r="AE1174">
        <v>9</v>
      </c>
      <c r="AF1174">
        <v>3</v>
      </c>
      <c r="AG1174">
        <v>2025</v>
      </c>
      <c r="AH1174" s="2">
        <v>11000</v>
      </c>
      <c r="AI1174" s="2">
        <v>9023.8017578125</v>
      </c>
      <c r="AJ1174" s="2">
        <f t="shared" si="146"/>
        <v>1976.1982421875</v>
      </c>
      <c r="AK1174" s="6">
        <f t="shared" si="147"/>
        <v>0.1796543856534091</v>
      </c>
      <c r="AL1174" s="12">
        <v>11000</v>
      </c>
      <c r="AM1174" s="12">
        <v>8189.8005976036984</v>
      </c>
      <c r="AN1174" s="12">
        <f t="shared" si="148"/>
        <v>2810.1994023963016</v>
      </c>
      <c r="AO1174" s="13">
        <f t="shared" si="149"/>
        <v>0.25547267294511833</v>
      </c>
      <c r="AP1174" s="16">
        <v>11000</v>
      </c>
      <c r="AQ1174" s="16">
        <v>7749.6218952203672</v>
      </c>
      <c r="AR1174" s="16">
        <f t="shared" si="150"/>
        <v>3250.3781047796328</v>
      </c>
      <c r="AS1174" s="17">
        <f t="shared" si="144"/>
        <v>0.29548891861633025</v>
      </c>
      <c r="AT1174" s="20">
        <v>11000</v>
      </c>
      <c r="AU1174" s="20">
        <v>8972.48046875</v>
      </c>
      <c r="AV1174" s="20">
        <f t="shared" si="145"/>
        <v>2027.51953125</v>
      </c>
      <c r="AW1174" s="21">
        <f t="shared" si="151"/>
        <v>0.18431995738636364</v>
      </c>
    </row>
    <row r="1175" spans="1:49" x14ac:dyDescent="0.25">
      <c r="A1175" t="s">
        <v>128</v>
      </c>
      <c r="B1175" t="s">
        <v>129</v>
      </c>
      <c r="C1175">
        <v>112155</v>
      </c>
      <c r="D1175">
        <v>2015</v>
      </c>
      <c r="E1175" t="s">
        <v>162</v>
      </c>
      <c r="F1175" t="s">
        <v>163</v>
      </c>
      <c r="G1175" t="s">
        <v>1265</v>
      </c>
      <c r="I1175">
        <v>4</v>
      </c>
      <c r="J1175" t="s">
        <v>135</v>
      </c>
      <c r="K1175">
        <v>4</v>
      </c>
      <c r="L1175" t="s">
        <v>44</v>
      </c>
      <c r="M1175">
        <v>2.4</v>
      </c>
      <c r="N1175" t="s">
        <v>45</v>
      </c>
      <c r="O1175" t="s">
        <v>46</v>
      </c>
      <c r="Q1175" t="s">
        <v>47</v>
      </c>
      <c r="R1175" t="s">
        <v>123</v>
      </c>
      <c r="U1175" t="s">
        <v>50</v>
      </c>
      <c r="W1175" t="s">
        <v>165</v>
      </c>
      <c r="X1175" t="s">
        <v>125</v>
      </c>
      <c r="Y1175" t="s">
        <v>78</v>
      </c>
      <c r="AA1175">
        <v>0</v>
      </c>
      <c r="AB1175" t="s">
        <v>79</v>
      </c>
      <c r="AC1175" t="s">
        <v>127</v>
      </c>
      <c r="AD1175">
        <v>36</v>
      </c>
      <c r="AE1175">
        <v>9</v>
      </c>
      <c r="AF1175">
        <v>3</v>
      </c>
      <c r="AG1175">
        <v>2025</v>
      </c>
      <c r="AH1175" s="2">
        <v>3800</v>
      </c>
      <c r="AI1175" s="2">
        <v>4462.54248046875</v>
      </c>
      <c r="AJ1175" s="2">
        <f t="shared" si="146"/>
        <v>662.54248046875</v>
      </c>
      <c r="AK1175" s="6">
        <f t="shared" si="147"/>
        <v>0.17435328433388159</v>
      </c>
      <c r="AL1175" s="12">
        <v>3800</v>
      </c>
      <c r="AM1175" s="12">
        <v>3831.00584676978</v>
      </c>
      <c r="AN1175" s="12">
        <f t="shared" si="148"/>
        <v>31.005846769779964</v>
      </c>
      <c r="AO1175" s="13">
        <f t="shared" si="149"/>
        <v>8.159433360468411E-3</v>
      </c>
      <c r="AP1175" s="16">
        <v>3800</v>
      </c>
      <c r="AQ1175" s="16">
        <v>3392.705521905129</v>
      </c>
      <c r="AR1175" s="16">
        <f t="shared" si="150"/>
        <v>407.29447809487101</v>
      </c>
      <c r="AS1175" s="17">
        <f t="shared" si="144"/>
        <v>0.1071827573933871</v>
      </c>
      <c r="AT1175" s="20">
        <v>3800</v>
      </c>
      <c r="AU1175" s="20">
        <v>4395.58837890625</v>
      </c>
      <c r="AV1175" s="20">
        <f t="shared" si="145"/>
        <v>595.58837890625</v>
      </c>
      <c r="AW1175" s="21">
        <f t="shared" si="151"/>
        <v>0.15673378392269738</v>
      </c>
    </row>
    <row r="1176" spans="1:49" x14ac:dyDescent="0.25">
      <c r="A1176" t="s">
        <v>128</v>
      </c>
      <c r="B1176" t="s">
        <v>129</v>
      </c>
      <c r="C1176">
        <v>90513</v>
      </c>
      <c r="D1176">
        <v>2018</v>
      </c>
      <c r="E1176" t="s">
        <v>97</v>
      </c>
      <c r="F1176" t="s">
        <v>159</v>
      </c>
      <c r="G1176" t="s">
        <v>489</v>
      </c>
      <c r="H1176" t="s">
        <v>89</v>
      </c>
      <c r="I1176">
        <v>6</v>
      </c>
      <c r="J1176" t="s">
        <v>72</v>
      </c>
      <c r="K1176">
        <v>2</v>
      </c>
      <c r="L1176" t="s">
        <v>44</v>
      </c>
      <c r="M1176">
        <v>4.3</v>
      </c>
      <c r="N1176" t="s">
        <v>73</v>
      </c>
      <c r="O1176" t="s">
        <v>46</v>
      </c>
      <c r="Q1176" t="s">
        <v>74</v>
      </c>
      <c r="R1176" t="s">
        <v>92</v>
      </c>
      <c r="S1176" t="s">
        <v>49</v>
      </c>
      <c r="U1176" t="s">
        <v>50</v>
      </c>
      <c r="V1176" t="s">
        <v>76</v>
      </c>
      <c r="W1176" t="s">
        <v>1266</v>
      </c>
      <c r="X1176" t="s">
        <v>94</v>
      </c>
      <c r="Y1176" t="s">
        <v>78</v>
      </c>
      <c r="AA1176">
        <v>0</v>
      </c>
      <c r="AB1176" t="s">
        <v>79</v>
      </c>
      <c r="AC1176" t="s">
        <v>95</v>
      </c>
      <c r="AD1176">
        <v>36</v>
      </c>
      <c r="AE1176">
        <v>9</v>
      </c>
      <c r="AF1176">
        <v>3</v>
      </c>
      <c r="AG1176">
        <v>2025</v>
      </c>
      <c r="AH1176" s="2">
        <v>9000</v>
      </c>
      <c r="AI1176" s="2">
        <v>11142.6220703125</v>
      </c>
      <c r="AJ1176" s="2">
        <f t="shared" si="146"/>
        <v>2142.6220703125</v>
      </c>
      <c r="AK1176" s="6">
        <f t="shared" si="147"/>
        <v>0.2380691189236111</v>
      </c>
      <c r="AL1176" s="12">
        <v>9000</v>
      </c>
      <c r="AM1176" s="12">
        <v>12174.525661825661</v>
      </c>
      <c r="AN1176" s="12">
        <f t="shared" si="148"/>
        <v>3174.5256618256608</v>
      </c>
      <c r="AO1176" s="13">
        <f t="shared" si="149"/>
        <v>0.35272507353618454</v>
      </c>
      <c r="AP1176" s="16">
        <v>9000</v>
      </c>
      <c r="AQ1176" s="16">
        <v>11866.383437412591</v>
      </c>
      <c r="AR1176" s="16">
        <f t="shared" si="150"/>
        <v>2866.3834374125909</v>
      </c>
      <c r="AS1176" s="17">
        <f t="shared" si="144"/>
        <v>0.31848704860139898</v>
      </c>
      <c r="AT1176" s="20">
        <v>9000</v>
      </c>
      <c r="AU1176" s="20">
        <v>11482.9130859375</v>
      </c>
      <c r="AV1176" s="20">
        <f t="shared" si="145"/>
        <v>2482.9130859375</v>
      </c>
      <c r="AW1176" s="21">
        <f t="shared" si="151"/>
        <v>0.27587923177083334</v>
      </c>
    </row>
    <row r="1177" spans="1:49" x14ac:dyDescent="0.25">
      <c r="A1177" t="s">
        <v>38</v>
      </c>
      <c r="B1177" t="s">
        <v>96</v>
      </c>
      <c r="C1177">
        <v>157330</v>
      </c>
      <c r="D1177">
        <v>2015</v>
      </c>
      <c r="E1177" t="s">
        <v>146</v>
      </c>
      <c r="F1177" t="s">
        <v>279</v>
      </c>
      <c r="I1177">
        <v>4</v>
      </c>
      <c r="J1177" t="s">
        <v>135</v>
      </c>
      <c r="K1177">
        <v>4</v>
      </c>
      <c r="L1177" t="s">
        <v>44</v>
      </c>
      <c r="M1177">
        <v>1.8</v>
      </c>
      <c r="N1177" t="s">
        <v>45</v>
      </c>
      <c r="O1177" t="s">
        <v>46</v>
      </c>
      <c r="Q1177" t="s">
        <v>47</v>
      </c>
      <c r="R1177" t="s">
        <v>123</v>
      </c>
      <c r="S1177" t="s">
        <v>101</v>
      </c>
      <c r="U1177" t="s">
        <v>50</v>
      </c>
      <c r="X1177" t="s">
        <v>125</v>
      </c>
      <c r="Y1177" t="s">
        <v>126</v>
      </c>
      <c r="AA1177">
        <v>0</v>
      </c>
      <c r="AB1177" t="s">
        <v>79</v>
      </c>
      <c r="AC1177" t="s">
        <v>127</v>
      </c>
      <c r="AD1177">
        <v>36</v>
      </c>
      <c r="AE1177">
        <v>9</v>
      </c>
      <c r="AF1177">
        <v>3</v>
      </c>
      <c r="AG1177">
        <v>2025</v>
      </c>
      <c r="AH1177" s="2">
        <v>500</v>
      </c>
      <c r="AI1177" s="2">
        <v>1595.463989257812</v>
      </c>
      <c r="AJ1177" s="2">
        <f t="shared" si="146"/>
        <v>1095.463989257812</v>
      </c>
      <c r="AK1177" s="6">
        <f t="shared" si="147"/>
        <v>2.1909279785156239</v>
      </c>
      <c r="AL1177" s="12">
        <v>500</v>
      </c>
      <c r="AM1177" s="12">
        <v>1930.135981505271</v>
      </c>
      <c r="AN1177" s="12">
        <f t="shared" si="148"/>
        <v>1430.135981505271</v>
      </c>
      <c r="AO1177" s="13">
        <f t="shared" si="149"/>
        <v>2.860271963010542</v>
      </c>
      <c r="AP1177" s="16">
        <v>500</v>
      </c>
      <c r="AQ1177" s="16">
        <v>1421.811507018213</v>
      </c>
      <c r="AR1177" s="16">
        <f t="shared" si="150"/>
        <v>921.81150701821298</v>
      </c>
      <c r="AS1177" s="17">
        <f t="shared" si="144"/>
        <v>1.843623014036426</v>
      </c>
      <c r="AT1177" s="20">
        <v>500</v>
      </c>
      <c r="AU1177" s="20">
        <v>1592.009399414062</v>
      </c>
      <c r="AV1177" s="20">
        <f t="shared" si="145"/>
        <v>1092.009399414062</v>
      </c>
      <c r="AW1177" s="21">
        <f t="shared" si="151"/>
        <v>2.1840187988281241</v>
      </c>
    </row>
    <row r="1178" spans="1:49" x14ac:dyDescent="0.25">
      <c r="A1178" t="s">
        <v>38</v>
      </c>
      <c r="B1178" t="s">
        <v>96</v>
      </c>
      <c r="C1178">
        <v>138283</v>
      </c>
      <c r="D1178">
        <v>2018</v>
      </c>
      <c r="E1178" t="s">
        <v>557</v>
      </c>
      <c r="F1178" t="s">
        <v>1113</v>
      </c>
      <c r="G1178" t="s">
        <v>1267</v>
      </c>
      <c r="I1178">
        <v>6</v>
      </c>
      <c r="J1178" t="s">
        <v>135</v>
      </c>
      <c r="K1178">
        <v>4</v>
      </c>
      <c r="L1178" t="s">
        <v>44</v>
      </c>
      <c r="M1178">
        <v>3.6</v>
      </c>
      <c r="N1178" t="s">
        <v>73</v>
      </c>
      <c r="O1178" t="s">
        <v>46</v>
      </c>
      <c r="P1178">
        <v>3</v>
      </c>
      <c r="Q1178" t="s">
        <v>47</v>
      </c>
      <c r="R1178" t="s">
        <v>123</v>
      </c>
      <c r="S1178" t="s">
        <v>179</v>
      </c>
      <c r="T1178">
        <v>292</v>
      </c>
      <c r="U1178" t="s">
        <v>50</v>
      </c>
      <c r="V1178" t="s">
        <v>76</v>
      </c>
      <c r="X1178" t="s">
        <v>125</v>
      </c>
      <c r="Y1178" t="s">
        <v>103</v>
      </c>
      <c r="AA1178">
        <v>0</v>
      </c>
      <c r="AB1178" t="s">
        <v>79</v>
      </c>
      <c r="AC1178" t="s">
        <v>127</v>
      </c>
      <c r="AD1178">
        <v>36</v>
      </c>
      <c r="AE1178">
        <v>9</v>
      </c>
      <c r="AF1178">
        <v>3</v>
      </c>
      <c r="AG1178">
        <v>2025</v>
      </c>
      <c r="AH1178" s="2">
        <v>7700</v>
      </c>
      <c r="AI1178" s="2">
        <v>7139.09765625</v>
      </c>
      <c r="AJ1178" s="2">
        <f t="shared" si="146"/>
        <v>560.90234375</v>
      </c>
      <c r="AK1178" s="6">
        <f t="shared" si="147"/>
        <v>7.2844460227272728E-2</v>
      </c>
      <c r="AL1178" s="12">
        <v>7700</v>
      </c>
      <c r="AM1178" s="12">
        <v>7633.9674866277128</v>
      </c>
      <c r="AN1178" s="12">
        <f t="shared" si="148"/>
        <v>66.032513372287212</v>
      </c>
      <c r="AO1178" s="13">
        <f t="shared" si="149"/>
        <v>8.5756510873100274E-3</v>
      </c>
      <c r="AP1178" s="16">
        <v>7700</v>
      </c>
      <c r="AQ1178" s="16">
        <v>6072.6685405888484</v>
      </c>
      <c r="AR1178" s="16">
        <f t="shared" si="150"/>
        <v>1627.3314594111516</v>
      </c>
      <c r="AS1178" s="17">
        <f t="shared" si="144"/>
        <v>0.21134174797547423</v>
      </c>
      <c r="AT1178" s="20">
        <v>7700</v>
      </c>
      <c r="AU1178" s="20">
        <v>7306.05078125</v>
      </c>
      <c r="AV1178" s="20">
        <f t="shared" si="145"/>
        <v>393.94921875</v>
      </c>
      <c r="AW1178" s="21">
        <f t="shared" si="151"/>
        <v>5.11622362012987E-2</v>
      </c>
    </row>
    <row r="1179" spans="1:49" x14ac:dyDescent="0.25">
      <c r="A1179" t="s">
        <v>81</v>
      </c>
      <c r="B1179" t="s">
        <v>304</v>
      </c>
      <c r="C1179">
        <v>16488</v>
      </c>
      <c r="D1179">
        <v>2024</v>
      </c>
      <c r="E1179" t="s">
        <v>116</v>
      </c>
      <c r="F1179" t="s">
        <v>117</v>
      </c>
      <c r="H1179" t="s">
        <v>238</v>
      </c>
      <c r="I1179">
        <v>6</v>
      </c>
      <c r="J1179" t="s">
        <v>61</v>
      </c>
      <c r="K1179">
        <v>4</v>
      </c>
      <c r="L1179" t="s">
        <v>44</v>
      </c>
      <c r="M1179">
        <v>3.6</v>
      </c>
      <c r="N1179" t="s">
        <v>44</v>
      </c>
      <c r="O1179" t="s">
        <v>46</v>
      </c>
      <c r="Q1179" t="s">
        <v>62</v>
      </c>
      <c r="R1179" t="s">
        <v>63</v>
      </c>
      <c r="S1179" t="s">
        <v>85</v>
      </c>
      <c r="T1179">
        <v>295</v>
      </c>
      <c r="U1179" t="s">
        <v>50</v>
      </c>
      <c r="V1179" t="s">
        <v>76</v>
      </c>
      <c r="X1179" t="s">
        <v>94</v>
      </c>
      <c r="Y1179" t="s">
        <v>78</v>
      </c>
      <c r="AA1179">
        <v>0</v>
      </c>
      <c r="AB1179" t="s">
        <v>79</v>
      </c>
      <c r="AC1179" t="s">
        <v>87</v>
      </c>
      <c r="AD1179">
        <v>36</v>
      </c>
      <c r="AE1179">
        <v>9</v>
      </c>
      <c r="AF1179">
        <v>3</v>
      </c>
      <c r="AG1179">
        <v>2025</v>
      </c>
      <c r="AH1179" s="2">
        <v>35500</v>
      </c>
      <c r="AI1179" s="2">
        <v>36475.765625</v>
      </c>
      <c r="AJ1179" s="2">
        <f t="shared" si="146"/>
        <v>975.765625</v>
      </c>
      <c r="AK1179" s="6">
        <f t="shared" si="147"/>
        <v>2.7486355633802816E-2</v>
      </c>
      <c r="AL1179" s="12">
        <v>35500</v>
      </c>
      <c r="AM1179" s="12">
        <v>37906.75427698261</v>
      </c>
      <c r="AN1179" s="12">
        <f t="shared" si="148"/>
        <v>2406.7542769826105</v>
      </c>
      <c r="AO1179" s="13">
        <f t="shared" si="149"/>
        <v>6.7795895126270711E-2</v>
      </c>
      <c r="AP1179" s="16">
        <v>35500</v>
      </c>
      <c r="AQ1179" s="16">
        <v>35243.624175637029</v>
      </c>
      <c r="AR1179" s="16">
        <f t="shared" si="150"/>
        <v>256.37582436297089</v>
      </c>
      <c r="AS1179" s="17">
        <f t="shared" si="144"/>
        <v>7.2218542074076308E-3</v>
      </c>
      <c r="AT1179" s="20">
        <v>35500</v>
      </c>
      <c r="AU1179" s="20">
        <v>36636.484375</v>
      </c>
      <c r="AV1179" s="20">
        <f t="shared" si="145"/>
        <v>1136.484375</v>
      </c>
      <c r="AW1179" s="21">
        <f t="shared" si="151"/>
        <v>3.2013644366197185E-2</v>
      </c>
    </row>
    <row r="1180" spans="1:49" x14ac:dyDescent="0.25">
      <c r="A1180" t="s">
        <v>38</v>
      </c>
      <c r="B1180" t="s">
        <v>110</v>
      </c>
      <c r="C1180">
        <v>95585</v>
      </c>
      <c r="D1180">
        <v>2018</v>
      </c>
      <c r="E1180" t="s">
        <v>166</v>
      </c>
      <c r="F1180" t="s">
        <v>247</v>
      </c>
      <c r="G1180" t="s">
        <v>248</v>
      </c>
      <c r="I1180">
        <v>4</v>
      </c>
      <c r="J1180" t="s">
        <v>61</v>
      </c>
      <c r="K1180">
        <v>4</v>
      </c>
      <c r="L1180" t="s">
        <v>44</v>
      </c>
      <c r="M1180">
        <v>1.5</v>
      </c>
      <c r="N1180" t="s">
        <v>44</v>
      </c>
      <c r="O1180" t="s">
        <v>46</v>
      </c>
      <c r="P1180">
        <v>3</v>
      </c>
      <c r="Q1180" t="s">
        <v>62</v>
      </c>
      <c r="R1180" t="s">
        <v>63</v>
      </c>
      <c r="T1180">
        <v>190</v>
      </c>
      <c r="U1180" t="s">
        <v>50</v>
      </c>
      <c r="V1180" t="s">
        <v>51</v>
      </c>
      <c r="W1180" t="s">
        <v>249</v>
      </c>
      <c r="X1180" t="s">
        <v>65</v>
      </c>
      <c r="Y1180" t="s">
        <v>103</v>
      </c>
      <c r="Z1180">
        <v>27050</v>
      </c>
      <c r="AA1180">
        <v>0</v>
      </c>
      <c r="AB1180" t="s">
        <v>79</v>
      </c>
      <c r="AC1180" t="s">
        <v>87</v>
      </c>
      <c r="AD1180">
        <v>36</v>
      </c>
      <c r="AE1180">
        <v>9</v>
      </c>
      <c r="AF1180">
        <v>3</v>
      </c>
      <c r="AG1180">
        <v>2025</v>
      </c>
      <c r="AH1180" s="2">
        <v>14900</v>
      </c>
      <c r="AI1180" s="2">
        <v>12910.1923828125</v>
      </c>
      <c r="AJ1180" s="2">
        <f t="shared" si="146"/>
        <v>1989.8076171875</v>
      </c>
      <c r="AK1180" s="6">
        <f t="shared" si="147"/>
        <v>0.13354413538171142</v>
      </c>
      <c r="AL1180" s="12">
        <v>14900</v>
      </c>
      <c r="AM1180" s="12">
        <v>12216.40838993394</v>
      </c>
      <c r="AN1180" s="12">
        <f t="shared" si="148"/>
        <v>2683.5916100660597</v>
      </c>
      <c r="AO1180" s="13">
        <f t="shared" si="149"/>
        <v>0.18010681946752077</v>
      </c>
      <c r="AP1180" s="16">
        <v>14900</v>
      </c>
      <c r="AQ1180" s="16">
        <v>10102.70144562474</v>
      </c>
      <c r="AR1180" s="16">
        <f t="shared" si="150"/>
        <v>4797.2985543752602</v>
      </c>
      <c r="AS1180" s="17">
        <f t="shared" si="144"/>
        <v>0.32196634593122553</v>
      </c>
      <c r="AT1180" s="20">
        <v>14900</v>
      </c>
      <c r="AU1180" s="20">
        <v>12753.044921875</v>
      </c>
      <c r="AV1180" s="20">
        <f t="shared" si="145"/>
        <v>2146.955078125</v>
      </c>
      <c r="AW1180" s="21">
        <f t="shared" si="151"/>
        <v>0.14409094484060403</v>
      </c>
    </row>
    <row r="1181" spans="1:49" x14ac:dyDescent="0.25">
      <c r="A1181" t="s">
        <v>128</v>
      </c>
      <c r="B1181" t="s">
        <v>129</v>
      </c>
      <c r="C1181">
        <v>143680</v>
      </c>
      <c r="D1181">
        <v>2020</v>
      </c>
      <c r="E1181" t="s">
        <v>146</v>
      </c>
      <c r="F1181" t="s">
        <v>334</v>
      </c>
      <c r="G1181" t="s">
        <v>303</v>
      </c>
      <c r="I1181">
        <v>4</v>
      </c>
      <c r="J1181" t="s">
        <v>135</v>
      </c>
      <c r="K1181">
        <v>4</v>
      </c>
      <c r="L1181" t="s">
        <v>44</v>
      </c>
      <c r="M1181">
        <v>2.5</v>
      </c>
      <c r="N1181" t="s">
        <v>45</v>
      </c>
      <c r="O1181" t="s">
        <v>46</v>
      </c>
      <c r="P1181">
        <v>2</v>
      </c>
      <c r="Q1181" t="s">
        <v>47</v>
      </c>
      <c r="R1181" t="s">
        <v>123</v>
      </c>
      <c r="S1181" t="s">
        <v>49</v>
      </c>
      <c r="U1181" t="s">
        <v>50</v>
      </c>
      <c r="X1181" t="s">
        <v>125</v>
      </c>
      <c r="Y1181" t="s">
        <v>78</v>
      </c>
      <c r="Z1181">
        <v>243000</v>
      </c>
      <c r="AA1181">
        <v>0</v>
      </c>
      <c r="AB1181" t="s">
        <v>79</v>
      </c>
      <c r="AC1181" t="s">
        <v>127</v>
      </c>
      <c r="AD1181">
        <v>36</v>
      </c>
      <c r="AE1181">
        <v>9</v>
      </c>
      <c r="AF1181">
        <v>3</v>
      </c>
      <c r="AG1181">
        <v>2025</v>
      </c>
      <c r="AH1181" s="2">
        <v>3900</v>
      </c>
      <c r="AI1181" s="2">
        <v>4743.673828125</v>
      </c>
      <c r="AJ1181" s="2">
        <f t="shared" si="146"/>
        <v>843.673828125</v>
      </c>
      <c r="AK1181" s="6">
        <f t="shared" si="147"/>
        <v>0.21632662259615384</v>
      </c>
      <c r="AL1181" s="12">
        <v>3900</v>
      </c>
      <c r="AM1181" s="12">
        <v>4034.7478154625601</v>
      </c>
      <c r="AN1181" s="12">
        <f t="shared" si="148"/>
        <v>134.74781546256008</v>
      </c>
      <c r="AO1181" s="13">
        <f t="shared" si="149"/>
        <v>3.4550721913476946E-2</v>
      </c>
      <c r="AP1181" s="16">
        <v>3900</v>
      </c>
      <c r="AQ1181" s="16">
        <v>4034.4322194145971</v>
      </c>
      <c r="AR1181" s="16">
        <f t="shared" si="150"/>
        <v>134.43221941459706</v>
      </c>
      <c r="AS1181" s="17">
        <f t="shared" si="144"/>
        <v>3.4469799849896683E-2</v>
      </c>
      <c r="AT1181" s="20">
        <v>3900</v>
      </c>
      <c r="AU1181" s="20">
        <v>4719.52294921875</v>
      </c>
      <c r="AV1181" s="20">
        <f t="shared" si="145"/>
        <v>819.52294921875</v>
      </c>
      <c r="AW1181" s="21">
        <f t="shared" si="151"/>
        <v>0.21013408954326923</v>
      </c>
    </row>
    <row r="1182" spans="1:49" x14ac:dyDescent="0.25">
      <c r="A1182" t="s">
        <v>38</v>
      </c>
      <c r="B1182" t="s">
        <v>96</v>
      </c>
      <c r="C1182">
        <v>104568</v>
      </c>
      <c r="D1182">
        <v>2014</v>
      </c>
      <c r="E1182" t="s">
        <v>132</v>
      </c>
      <c r="F1182" t="s">
        <v>1064</v>
      </c>
      <c r="H1182" t="s">
        <v>1065</v>
      </c>
      <c r="I1182">
        <v>8</v>
      </c>
      <c r="J1182" t="s">
        <v>61</v>
      </c>
      <c r="K1182">
        <v>4</v>
      </c>
      <c r="L1182" t="s">
        <v>44</v>
      </c>
      <c r="M1182">
        <v>4.5999999999999996</v>
      </c>
      <c r="N1182" t="s">
        <v>73</v>
      </c>
      <c r="O1182" t="s">
        <v>100</v>
      </c>
      <c r="P1182">
        <v>1</v>
      </c>
      <c r="Q1182" t="s">
        <v>47</v>
      </c>
      <c r="R1182" t="s">
        <v>123</v>
      </c>
      <c r="U1182" t="s">
        <v>50</v>
      </c>
      <c r="V1182" t="s">
        <v>76</v>
      </c>
      <c r="X1182" t="s">
        <v>125</v>
      </c>
      <c r="Y1182" t="s">
        <v>137</v>
      </c>
      <c r="AA1182">
        <v>0</v>
      </c>
      <c r="AB1182" t="s">
        <v>79</v>
      </c>
      <c r="AC1182" t="s">
        <v>127</v>
      </c>
      <c r="AD1182">
        <v>36</v>
      </c>
      <c r="AE1182">
        <v>9</v>
      </c>
      <c r="AF1182">
        <v>3</v>
      </c>
      <c r="AG1182">
        <v>2025</v>
      </c>
      <c r="AH1182" s="2">
        <v>6500</v>
      </c>
      <c r="AI1182" s="2">
        <v>3849.603759765625</v>
      </c>
      <c r="AJ1182" s="2">
        <f t="shared" si="146"/>
        <v>2650.396240234375</v>
      </c>
      <c r="AK1182" s="6">
        <f t="shared" si="147"/>
        <v>0.4077532677283654</v>
      </c>
      <c r="AL1182" s="12">
        <v>6500</v>
      </c>
      <c r="AM1182" s="12">
        <v>3381.7005295319991</v>
      </c>
      <c r="AN1182" s="12">
        <f t="shared" si="148"/>
        <v>3118.2994704680009</v>
      </c>
      <c r="AO1182" s="13">
        <f t="shared" si="149"/>
        <v>0.47973838007200015</v>
      </c>
      <c r="AP1182" s="16">
        <v>6500</v>
      </c>
      <c r="AQ1182" s="16">
        <v>2706.1813173556088</v>
      </c>
      <c r="AR1182" s="16">
        <f t="shared" si="150"/>
        <v>3793.8186826443912</v>
      </c>
      <c r="AS1182" s="17">
        <f t="shared" si="144"/>
        <v>0.58366441271452174</v>
      </c>
      <c r="AT1182" s="20">
        <v>6500</v>
      </c>
      <c r="AU1182" s="20">
        <v>3841.15234375</v>
      </c>
      <c r="AV1182" s="20">
        <f t="shared" si="145"/>
        <v>2658.84765625</v>
      </c>
      <c r="AW1182" s="21">
        <f t="shared" si="151"/>
        <v>0.40905348557692306</v>
      </c>
    </row>
    <row r="1183" spans="1:49" x14ac:dyDescent="0.25">
      <c r="A1183" t="s">
        <v>38</v>
      </c>
      <c r="B1183" t="s">
        <v>96</v>
      </c>
      <c r="C1183">
        <v>51038</v>
      </c>
      <c r="D1183">
        <v>2023</v>
      </c>
      <c r="E1183" t="s">
        <v>69</v>
      </c>
      <c r="F1183" t="s">
        <v>231</v>
      </c>
      <c r="G1183" t="s">
        <v>764</v>
      </c>
      <c r="I1183">
        <v>8</v>
      </c>
      <c r="J1183" t="s">
        <v>61</v>
      </c>
      <c r="K1183">
        <v>4</v>
      </c>
      <c r="L1183" t="s">
        <v>44</v>
      </c>
      <c r="M1183">
        <v>5</v>
      </c>
      <c r="N1183" t="s">
        <v>73</v>
      </c>
      <c r="O1183" t="s">
        <v>46</v>
      </c>
      <c r="Q1183" t="s">
        <v>74</v>
      </c>
      <c r="R1183" t="s">
        <v>92</v>
      </c>
      <c r="S1183" t="s">
        <v>49</v>
      </c>
      <c r="U1183" t="s">
        <v>50</v>
      </c>
      <c r="V1183" t="s">
        <v>76</v>
      </c>
      <c r="W1183" t="s">
        <v>387</v>
      </c>
      <c r="X1183" t="s">
        <v>94</v>
      </c>
      <c r="Y1183" t="s">
        <v>78</v>
      </c>
      <c r="AA1183">
        <v>0</v>
      </c>
      <c r="AB1183" t="s">
        <v>79</v>
      </c>
      <c r="AC1183" t="s">
        <v>95</v>
      </c>
      <c r="AD1183">
        <v>36</v>
      </c>
      <c r="AE1183">
        <v>9</v>
      </c>
      <c r="AF1183">
        <v>3</v>
      </c>
      <c r="AG1183">
        <v>2025</v>
      </c>
      <c r="AH1183" s="2">
        <v>27000</v>
      </c>
      <c r="AI1183" s="2">
        <v>32253.150390625</v>
      </c>
      <c r="AJ1183" s="2">
        <f t="shared" si="146"/>
        <v>5253.150390625</v>
      </c>
      <c r="AK1183" s="6">
        <f t="shared" si="147"/>
        <v>0.1945611255787037</v>
      </c>
      <c r="AL1183" s="12">
        <v>27000</v>
      </c>
      <c r="AM1183" s="12">
        <v>34855.745708410999</v>
      </c>
      <c r="AN1183" s="12">
        <f t="shared" si="148"/>
        <v>7855.7457084109992</v>
      </c>
      <c r="AO1183" s="13">
        <f t="shared" si="149"/>
        <v>0.29095354475596291</v>
      </c>
      <c r="AP1183" s="16">
        <v>27000</v>
      </c>
      <c r="AQ1183" s="16">
        <v>31819.407061428479</v>
      </c>
      <c r="AR1183" s="16">
        <f t="shared" si="150"/>
        <v>4819.4070614284792</v>
      </c>
      <c r="AS1183" s="17">
        <f t="shared" si="144"/>
        <v>0.17849655783068441</v>
      </c>
      <c r="AT1183" s="20">
        <v>27000</v>
      </c>
      <c r="AU1183" s="20">
        <v>32084.4453125</v>
      </c>
      <c r="AV1183" s="20">
        <f t="shared" si="145"/>
        <v>5084.4453125</v>
      </c>
      <c r="AW1183" s="21">
        <f t="shared" si="151"/>
        <v>0.18831278935185186</v>
      </c>
    </row>
    <row r="1184" spans="1:49" x14ac:dyDescent="0.25">
      <c r="A1184" t="s">
        <v>38</v>
      </c>
      <c r="B1184" t="s">
        <v>110</v>
      </c>
      <c r="C1184">
        <v>238458</v>
      </c>
      <c r="D1184">
        <v>2011</v>
      </c>
      <c r="E1184" t="s">
        <v>116</v>
      </c>
      <c r="F1184" t="s">
        <v>697</v>
      </c>
      <c r="G1184" t="s">
        <v>89</v>
      </c>
      <c r="H1184" t="s">
        <v>1268</v>
      </c>
      <c r="I1184">
        <v>8</v>
      </c>
      <c r="J1184" t="s">
        <v>61</v>
      </c>
      <c r="K1184">
        <v>4</v>
      </c>
      <c r="L1184" t="s">
        <v>44</v>
      </c>
      <c r="M1184">
        <v>5.7</v>
      </c>
      <c r="N1184" t="s">
        <v>73</v>
      </c>
      <c r="Q1184" t="s">
        <v>74</v>
      </c>
      <c r="R1184" t="s">
        <v>92</v>
      </c>
      <c r="S1184" t="s">
        <v>49</v>
      </c>
      <c r="U1184" t="s">
        <v>50</v>
      </c>
      <c r="X1184" t="s">
        <v>94</v>
      </c>
      <c r="Y1184" t="s">
        <v>78</v>
      </c>
      <c r="AA1184">
        <v>0</v>
      </c>
      <c r="AB1184" t="s">
        <v>79</v>
      </c>
      <c r="AC1184" t="s">
        <v>95</v>
      </c>
      <c r="AD1184">
        <v>36</v>
      </c>
      <c r="AE1184">
        <v>9</v>
      </c>
      <c r="AF1184">
        <v>3</v>
      </c>
      <c r="AG1184">
        <v>2025</v>
      </c>
      <c r="AH1184" s="2">
        <v>4000</v>
      </c>
      <c r="AI1184" s="2">
        <v>2950.12451171875</v>
      </c>
      <c r="AJ1184" s="2">
        <f t="shared" si="146"/>
        <v>1049.87548828125</v>
      </c>
      <c r="AK1184" s="6">
        <f t="shared" si="147"/>
        <v>0.2624688720703125</v>
      </c>
      <c r="AL1184" s="12">
        <v>4000</v>
      </c>
      <c r="AM1184" s="12">
        <v>2848.0522458190148</v>
      </c>
      <c r="AN1184" s="12">
        <f t="shared" si="148"/>
        <v>1151.9477541809852</v>
      </c>
      <c r="AO1184" s="13">
        <f t="shared" si="149"/>
        <v>0.28798693854524626</v>
      </c>
      <c r="AP1184" s="16">
        <v>4000</v>
      </c>
      <c r="AQ1184" s="16">
        <v>2460.3648783801368</v>
      </c>
      <c r="AR1184" s="16">
        <f t="shared" si="150"/>
        <v>1539.6351216198632</v>
      </c>
      <c r="AS1184" s="17">
        <f t="shared" si="144"/>
        <v>0.38490878040496579</v>
      </c>
      <c r="AT1184" s="20">
        <v>4000</v>
      </c>
      <c r="AU1184" s="20">
        <v>2994.19482421875</v>
      </c>
      <c r="AV1184" s="20">
        <f t="shared" si="145"/>
        <v>1005.80517578125</v>
      </c>
      <c r="AW1184" s="21">
        <f t="shared" si="151"/>
        <v>0.25145129394531252</v>
      </c>
    </row>
    <row r="1185" spans="1:49" x14ac:dyDescent="0.25">
      <c r="A1185" t="s">
        <v>38</v>
      </c>
      <c r="B1185" t="s">
        <v>110</v>
      </c>
      <c r="C1185">
        <v>19104</v>
      </c>
      <c r="D1185">
        <v>2025</v>
      </c>
      <c r="E1185" t="s">
        <v>146</v>
      </c>
      <c r="F1185" t="s">
        <v>147</v>
      </c>
      <c r="G1185" t="s">
        <v>1060</v>
      </c>
      <c r="I1185">
        <v>3</v>
      </c>
      <c r="J1185" t="s">
        <v>135</v>
      </c>
      <c r="K1185">
        <v>4</v>
      </c>
      <c r="L1185" t="s">
        <v>44</v>
      </c>
      <c r="M1185">
        <v>1.5</v>
      </c>
      <c r="N1185" t="s">
        <v>44</v>
      </c>
      <c r="Q1185" t="s">
        <v>62</v>
      </c>
      <c r="R1185" t="s">
        <v>63</v>
      </c>
      <c r="S1185" t="s">
        <v>93</v>
      </c>
      <c r="U1185" t="s">
        <v>50</v>
      </c>
      <c r="X1185" t="s">
        <v>65</v>
      </c>
      <c r="Y1185" t="s">
        <v>78</v>
      </c>
      <c r="AA1185">
        <v>0</v>
      </c>
      <c r="AB1185" t="s">
        <v>79</v>
      </c>
      <c r="AC1185" t="s">
        <v>87</v>
      </c>
      <c r="AD1185">
        <v>36</v>
      </c>
      <c r="AE1185">
        <v>9</v>
      </c>
      <c r="AF1185">
        <v>3</v>
      </c>
      <c r="AG1185">
        <v>2025</v>
      </c>
      <c r="AH1185" s="2">
        <v>21700</v>
      </c>
      <c r="AI1185" s="2">
        <v>21717.173828125</v>
      </c>
      <c r="AJ1185" s="2">
        <f t="shared" si="146"/>
        <v>17.173828125</v>
      </c>
      <c r="AK1185" s="6">
        <f t="shared" si="147"/>
        <v>7.9142065092165895E-4</v>
      </c>
      <c r="AL1185" s="12">
        <v>21700</v>
      </c>
      <c r="AM1185" s="12">
        <v>21571.547204198669</v>
      </c>
      <c r="AN1185" s="12">
        <f t="shared" si="148"/>
        <v>128.45279580133138</v>
      </c>
      <c r="AO1185" s="13">
        <f t="shared" si="149"/>
        <v>5.9194836774807084E-3</v>
      </c>
      <c r="AP1185" s="16">
        <v>21700</v>
      </c>
      <c r="AQ1185" s="16">
        <v>23290.977286754849</v>
      </c>
      <c r="AR1185" s="16">
        <f t="shared" si="150"/>
        <v>1590.977286754849</v>
      </c>
      <c r="AS1185" s="17">
        <f t="shared" si="144"/>
        <v>7.3316925656905479E-2</v>
      </c>
      <c r="AT1185" s="20">
        <v>21700</v>
      </c>
      <c r="AU1185" s="20">
        <v>21516.84375</v>
      </c>
      <c r="AV1185" s="20">
        <f t="shared" si="145"/>
        <v>183.15625</v>
      </c>
      <c r="AW1185" s="21">
        <f t="shared" si="151"/>
        <v>8.4403801843317972E-3</v>
      </c>
    </row>
    <row r="1186" spans="1:49" x14ac:dyDescent="0.25">
      <c r="A1186" t="s">
        <v>38</v>
      </c>
      <c r="B1186" t="s">
        <v>96</v>
      </c>
      <c r="C1186">
        <v>180176</v>
      </c>
      <c r="D1186">
        <v>2016</v>
      </c>
      <c r="E1186" t="s">
        <v>58</v>
      </c>
      <c r="F1186" t="s">
        <v>220</v>
      </c>
      <c r="G1186" t="s">
        <v>510</v>
      </c>
      <c r="I1186">
        <v>4</v>
      </c>
      <c r="J1186" t="s">
        <v>72</v>
      </c>
      <c r="K1186">
        <v>4</v>
      </c>
      <c r="L1186" t="s">
        <v>44</v>
      </c>
      <c r="M1186">
        <v>2.4</v>
      </c>
      <c r="N1186" t="s">
        <v>45</v>
      </c>
      <c r="O1186" t="s">
        <v>46</v>
      </c>
      <c r="Q1186" t="s">
        <v>62</v>
      </c>
      <c r="R1186" t="s">
        <v>63</v>
      </c>
      <c r="S1186" t="s">
        <v>49</v>
      </c>
      <c r="U1186" t="s">
        <v>50</v>
      </c>
      <c r="W1186" t="s">
        <v>511</v>
      </c>
      <c r="X1186" t="s">
        <v>141</v>
      </c>
      <c r="Y1186" t="s">
        <v>78</v>
      </c>
      <c r="AA1186">
        <v>0</v>
      </c>
      <c r="AB1186" t="s">
        <v>79</v>
      </c>
      <c r="AC1186" t="s">
        <v>87</v>
      </c>
      <c r="AD1186">
        <v>36</v>
      </c>
      <c r="AE1186">
        <v>9</v>
      </c>
      <c r="AF1186">
        <v>3</v>
      </c>
      <c r="AG1186">
        <v>2025</v>
      </c>
      <c r="AH1186" s="2">
        <v>2900</v>
      </c>
      <c r="AI1186" s="2">
        <v>2902.454833984375</v>
      </c>
      <c r="AJ1186" s="2">
        <f t="shared" si="146"/>
        <v>2.454833984375</v>
      </c>
      <c r="AK1186" s="6">
        <f t="shared" si="147"/>
        <v>8.4649447737068968E-4</v>
      </c>
      <c r="AL1186" s="12">
        <v>2900</v>
      </c>
      <c r="AM1186" s="12">
        <v>2981.3912377093552</v>
      </c>
      <c r="AN1186" s="12">
        <f t="shared" si="148"/>
        <v>81.39123770935521</v>
      </c>
      <c r="AO1186" s="13">
        <f t="shared" si="149"/>
        <v>2.8065944037708693E-2</v>
      </c>
      <c r="AP1186" s="16">
        <v>2900</v>
      </c>
      <c r="AQ1186" s="16">
        <v>2549.5729863166339</v>
      </c>
      <c r="AR1186" s="16">
        <f t="shared" si="150"/>
        <v>350.42701368336611</v>
      </c>
      <c r="AS1186" s="17">
        <f t="shared" si="144"/>
        <v>0.12083690127012625</v>
      </c>
      <c r="AT1186" s="20">
        <v>2900</v>
      </c>
      <c r="AU1186" s="20">
        <v>2944.9365234375</v>
      </c>
      <c r="AV1186" s="20">
        <f t="shared" si="145"/>
        <v>44.9365234375</v>
      </c>
      <c r="AW1186" s="21">
        <f t="shared" si="151"/>
        <v>1.5495352909482759E-2</v>
      </c>
    </row>
    <row r="1187" spans="1:49" x14ac:dyDescent="0.25">
      <c r="A1187" t="s">
        <v>38</v>
      </c>
      <c r="B1187" t="s">
        <v>110</v>
      </c>
      <c r="C1187">
        <v>94545</v>
      </c>
      <c r="D1187">
        <v>2017</v>
      </c>
      <c r="E1187" t="s">
        <v>142</v>
      </c>
      <c r="F1187" t="s">
        <v>143</v>
      </c>
      <c r="G1187" t="s">
        <v>118</v>
      </c>
      <c r="H1187" t="s">
        <v>145</v>
      </c>
      <c r="I1187">
        <v>6</v>
      </c>
      <c r="J1187" t="s">
        <v>61</v>
      </c>
      <c r="K1187">
        <v>4</v>
      </c>
      <c r="L1187" t="s">
        <v>44</v>
      </c>
      <c r="M1187">
        <v>3.2</v>
      </c>
      <c r="N1187" t="s">
        <v>45</v>
      </c>
      <c r="Q1187" t="s">
        <v>62</v>
      </c>
      <c r="R1187" t="s">
        <v>63</v>
      </c>
      <c r="S1187" t="s">
        <v>49</v>
      </c>
      <c r="T1187">
        <v>271</v>
      </c>
      <c r="U1187" t="s">
        <v>50</v>
      </c>
      <c r="V1187" t="s">
        <v>76</v>
      </c>
      <c r="X1187" t="s">
        <v>141</v>
      </c>
      <c r="Y1187" t="s">
        <v>78</v>
      </c>
      <c r="Z1187">
        <v>29495</v>
      </c>
      <c r="AA1187">
        <v>0</v>
      </c>
      <c r="AB1187" t="s">
        <v>79</v>
      </c>
      <c r="AC1187" t="s">
        <v>87</v>
      </c>
      <c r="AD1187">
        <v>36</v>
      </c>
      <c r="AE1187">
        <v>9</v>
      </c>
      <c r="AF1187">
        <v>3</v>
      </c>
      <c r="AG1187">
        <v>2025</v>
      </c>
      <c r="AH1187" s="2">
        <v>6250</v>
      </c>
      <c r="AI1187" s="2">
        <v>8810.1787109375</v>
      </c>
      <c r="AJ1187" s="2">
        <f t="shared" si="146"/>
        <v>2560.1787109375</v>
      </c>
      <c r="AK1187" s="6">
        <f t="shared" si="147"/>
        <v>0.40962859374999999</v>
      </c>
      <c r="AL1187" s="12">
        <v>6250</v>
      </c>
      <c r="AM1187" s="12">
        <v>9236.7763840685711</v>
      </c>
      <c r="AN1187" s="12">
        <f t="shared" si="148"/>
        <v>2986.7763840685711</v>
      </c>
      <c r="AO1187" s="13">
        <f t="shared" si="149"/>
        <v>0.47788422145097137</v>
      </c>
      <c r="AP1187" s="16">
        <v>6250</v>
      </c>
      <c r="AQ1187" s="16">
        <v>7403.1133310856276</v>
      </c>
      <c r="AR1187" s="16">
        <f t="shared" si="150"/>
        <v>1153.1133310856276</v>
      </c>
      <c r="AS1187" s="17">
        <f t="shared" si="144"/>
        <v>0.18449813297370041</v>
      </c>
      <c r="AT1187" s="20">
        <v>6250</v>
      </c>
      <c r="AU1187" s="20">
        <v>9005.8056640625</v>
      </c>
      <c r="AV1187" s="20">
        <f t="shared" si="145"/>
        <v>2755.8056640625</v>
      </c>
      <c r="AW1187" s="21">
        <f t="shared" si="151"/>
        <v>0.44092890624999997</v>
      </c>
    </row>
    <row r="1188" spans="1:49" x14ac:dyDescent="0.25">
      <c r="A1188" t="s">
        <v>38</v>
      </c>
      <c r="B1188" t="s">
        <v>68</v>
      </c>
      <c r="C1188">
        <v>192379</v>
      </c>
      <c r="D1188">
        <v>2019</v>
      </c>
      <c r="E1188" t="s">
        <v>69</v>
      </c>
      <c r="F1188" t="s">
        <v>70</v>
      </c>
      <c r="H1188" t="s">
        <v>71</v>
      </c>
      <c r="I1188">
        <v>6</v>
      </c>
      <c r="J1188" t="s">
        <v>72</v>
      </c>
      <c r="K1188">
        <v>3</v>
      </c>
      <c r="L1188" t="s">
        <v>44</v>
      </c>
      <c r="M1188">
        <v>3.7</v>
      </c>
      <c r="N1188" t="s">
        <v>73</v>
      </c>
      <c r="O1188" t="s">
        <v>46</v>
      </c>
      <c r="P1188">
        <v>4</v>
      </c>
      <c r="Q1188" t="s">
        <v>74</v>
      </c>
      <c r="R1188" t="s">
        <v>75</v>
      </c>
      <c r="S1188" t="s">
        <v>85</v>
      </c>
      <c r="T1188">
        <v>275</v>
      </c>
      <c r="U1188" t="s">
        <v>50</v>
      </c>
      <c r="V1188" t="s">
        <v>76</v>
      </c>
      <c r="X1188" t="s">
        <v>77</v>
      </c>
      <c r="Y1188" t="s">
        <v>78</v>
      </c>
      <c r="AA1188">
        <v>0</v>
      </c>
      <c r="AB1188" t="s">
        <v>79</v>
      </c>
      <c r="AC1188" t="s">
        <v>80</v>
      </c>
      <c r="AD1188">
        <v>36</v>
      </c>
      <c r="AE1188">
        <v>9</v>
      </c>
      <c r="AF1188">
        <v>3</v>
      </c>
      <c r="AG1188">
        <v>2025</v>
      </c>
      <c r="AH1188" s="2">
        <v>6000</v>
      </c>
      <c r="AI1188" s="2">
        <v>9380.3203125</v>
      </c>
      <c r="AJ1188" s="2">
        <f t="shared" si="146"/>
        <v>3380.3203125</v>
      </c>
      <c r="AK1188" s="6">
        <f t="shared" si="147"/>
        <v>0.56338671875000002</v>
      </c>
      <c r="AL1188" s="12">
        <v>6000</v>
      </c>
      <c r="AM1188" s="12">
        <v>10091.351222206</v>
      </c>
      <c r="AN1188" s="12">
        <f t="shared" si="148"/>
        <v>4091.3512222059999</v>
      </c>
      <c r="AO1188" s="13">
        <f t="shared" si="149"/>
        <v>0.68189187036766663</v>
      </c>
      <c r="AP1188" s="16">
        <v>6000</v>
      </c>
      <c r="AQ1188" s="16">
        <v>9138.9832572440755</v>
      </c>
      <c r="AR1188" s="16">
        <f t="shared" si="150"/>
        <v>3138.9832572440755</v>
      </c>
      <c r="AS1188" s="17">
        <f t="shared" si="144"/>
        <v>0.52316387620734595</v>
      </c>
      <c r="AT1188" s="20">
        <v>6000</v>
      </c>
      <c r="AU1188" s="20">
        <v>9613.9169921875</v>
      </c>
      <c r="AV1188" s="20">
        <f t="shared" si="145"/>
        <v>3613.9169921875</v>
      </c>
      <c r="AW1188" s="21">
        <f t="shared" si="151"/>
        <v>0.60231949869791668</v>
      </c>
    </row>
    <row r="1189" spans="1:49" x14ac:dyDescent="0.25">
      <c r="A1189" t="s">
        <v>38</v>
      </c>
      <c r="B1189" t="s">
        <v>96</v>
      </c>
      <c r="C1189">
        <v>63809</v>
      </c>
      <c r="D1189">
        <v>2018</v>
      </c>
      <c r="E1189" t="s">
        <v>305</v>
      </c>
      <c r="F1189" t="s">
        <v>733</v>
      </c>
      <c r="H1189" t="s">
        <v>1269</v>
      </c>
      <c r="I1189">
        <v>4</v>
      </c>
      <c r="J1189" t="s">
        <v>72</v>
      </c>
      <c r="K1189">
        <v>4</v>
      </c>
      <c r="L1189" t="s">
        <v>44</v>
      </c>
      <c r="M1189">
        <v>2</v>
      </c>
      <c r="N1189" t="s">
        <v>45</v>
      </c>
      <c r="O1189" t="s">
        <v>46</v>
      </c>
      <c r="P1189">
        <v>4</v>
      </c>
      <c r="Q1189" t="s">
        <v>62</v>
      </c>
      <c r="R1189" t="s">
        <v>63</v>
      </c>
      <c r="S1189" t="s">
        <v>49</v>
      </c>
      <c r="T1189">
        <v>237</v>
      </c>
      <c r="U1189" t="s">
        <v>50</v>
      </c>
      <c r="V1189" t="s">
        <v>51</v>
      </c>
      <c r="W1189" t="s">
        <v>1270</v>
      </c>
      <c r="X1189" t="s">
        <v>65</v>
      </c>
      <c r="Y1189" t="s">
        <v>78</v>
      </c>
      <c r="Z1189">
        <v>36110</v>
      </c>
      <c r="AA1189">
        <v>0</v>
      </c>
      <c r="AB1189" t="s">
        <v>79</v>
      </c>
      <c r="AC1189" t="s">
        <v>87</v>
      </c>
      <c r="AD1189">
        <v>36</v>
      </c>
      <c r="AE1189">
        <v>9</v>
      </c>
      <c r="AF1189">
        <v>3</v>
      </c>
      <c r="AG1189">
        <v>2025</v>
      </c>
      <c r="AH1189" s="2">
        <v>12800</v>
      </c>
      <c r="AI1189" s="2">
        <v>13407.9462890625</v>
      </c>
      <c r="AJ1189" s="2">
        <f t="shared" si="146"/>
        <v>607.9462890625</v>
      </c>
      <c r="AK1189" s="6">
        <f t="shared" si="147"/>
        <v>4.7495803833007812E-2</v>
      </c>
      <c r="AL1189" s="12">
        <v>12800</v>
      </c>
      <c r="AM1189" s="12">
        <v>13392.06321779137</v>
      </c>
      <c r="AN1189" s="12">
        <f t="shared" si="148"/>
        <v>592.06321779137033</v>
      </c>
      <c r="AO1189" s="13">
        <f t="shared" si="149"/>
        <v>4.625493888995081E-2</v>
      </c>
      <c r="AP1189" s="16">
        <v>12800</v>
      </c>
      <c r="AQ1189" s="16">
        <v>12945.26715953086</v>
      </c>
      <c r="AR1189" s="16">
        <f t="shared" si="150"/>
        <v>145.26715953086023</v>
      </c>
      <c r="AS1189" s="17">
        <f t="shared" si="144"/>
        <v>1.1348996838348455E-2</v>
      </c>
      <c r="AT1189" s="20">
        <v>12800</v>
      </c>
      <c r="AU1189" s="20">
        <v>13406.3095703125</v>
      </c>
      <c r="AV1189" s="20">
        <f t="shared" si="145"/>
        <v>606.3095703125</v>
      </c>
      <c r="AW1189" s="21">
        <f t="shared" si="151"/>
        <v>4.736793518066406E-2</v>
      </c>
    </row>
    <row r="1190" spans="1:49" x14ac:dyDescent="0.25">
      <c r="A1190" t="s">
        <v>38</v>
      </c>
      <c r="B1190" t="s">
        <v>96</v>
      </c>
      <c r="C1190">
        <v>130806</v>
      </c>
      <c r="D1190">
        <v>2020</v>
      </c>
      <c r="E1190" t="s">
        <v>146</v>
      </c>
      <c r="F1190" t="s">
        <v>451</v>
      </c>
      <c r="G1190" t="s">
        <v>280</v>
      </c>
      <c r="I1190">
        <v>4</v>
      </c>
      <c r="J1190" t="s">
        <v>253</v>
      </c>
      <c r="K1190">
        <v>4</v>
      </c>
      <c r="L1190" t="s">
        <v>44</v>
      </c>
      <c r="M1190">
        <v>1.6</v>
      </c>
      <c r="N1190" t="s">
        <v>45</v>
      </c>
      <c r="O1190" t="s">
        <v>100</v>
      </c>
      <c r="P1190">
        <v>1</v>
      </c>
      <c r="Q1190" t="s">
        <v>47</v>
      </c>
      <c r="R1190" t="s">
        <v>123</v>
      </c>
      <c r="S1190" t="s">
        <v>49</v>
      </c>
      <c r="U1190" t="s">
        <v>50</v>
      </c>
      <c r="X1190" t="s">
        <v>125</v>
      </c>
      <c r="Y1190" t="s">
        <v>126</v>
      </c>
      <c r="Z1190">
        <v>17740</v>
      </c>
      <c r="AA1190">
        <v>0</v>
      </c>
      <c r="AB1190" t="s">
        <v>79</v>
      </c>
      <c r="AC1190" t="s">
        <v>127</v>
      </c>
      <c r="AD1190">
        <v>36</v>
      </c>
      <c r="AE1190">
        <v>9</v>
      </c>
      <c r="AF1190">
        <v>3</v>
      </c>
      <c r="AG1190">
        <v>2025</v>
      </c>
      <c r="AH1190" s="2">
        <v>1600</v>
      </c>
      <c r="AI1190" s="2">
        <v>1577.317626953125</v>
      </c>
      <c r="AJ1190" s="2">
        <f t="shared" si="146"/>
        <v>22.682373046875</v>
      </c>
      <c r="AK1190" s="6">
        <f t="shared" si="147"/>
        <v>1.4176483154296876E-2</v>
      </c>
      <c r="AL1190" s="12">
        <v>1600</v>
      </c>
      <c r="AM1190" s="12">
        <v>1817.068984382307</v>
      </c>
      <c r="AN1190" s="12">
        <f t="shared" si="148"/>
        <v>217.06898438230701</v>
      </c>
      <c r="AO1190" s="13">
        <f t="shared" si="149"/>
        <v>0.13566811523894187</v>
      </c>
      <c r="AP1190" s="16">
        <v>1600</v>
      </c>
      <c r="AQ1190" s="16">
        <v>1851.276577438098</v>
      </c>
      <c r="AR1190" s="16">
        <f t="shared" si="150"/>
        <v>251.276577438098</v>
      </c>
      <c r="AS1190" s="17">
        <f t="shared" si="144"/>
        <v>0.15704786089881126</v>
      </c>
      <c r="AT1190" s="20">
        <v>1600</v>
      </c>
      <c r="AU1190" s="20">
        <v>1592.009399414062</v>
      </c>
      <c r="AV1190" s="20">
        <f t="shared" si="145"/>
        <v>7.9906005859379547</v>
      </c>
      <c r="AW1190" s="21">
        <f t="shared" si="151"/>
        <v>4.9941253662112214E-3</v>
      </c>
    </row>
    <row r="1191" spans="1:49" x14ac:dyDescent="0.25">
      <c r="A1191" t="s">
        <v>38</v>
      </c>
      <c r="B1191" t="s">
        <v>96</v>
      </c>
      <c r="C1191">
        <v>90134</v>
      </c>
      <c r="D1191">
        <v>2016</v>
      </c>
      <c r="E1191" t="s">
        <v>40</v>
      </c>
      <c r="F1191" t="s">
        <v>853</v>
      </c>
      <c r="I1191">
        <v>4</v>
      </c>
      <c r="J1191" t="s">
        <v>135</v>
      </c>
      <c r="K1191">
        <v>4</v>
      </c>
      <c r="L1191" t="s">
        <v>44</v>
      </c>
      <c r="M1191">
        <v>1.5</v>
      </c>
      <c r="N1191" t="s">
        <v>45</v>
      </c>
      <c r="O1191" t="s">
        <v>46</v>
      </c>
      <c r="Q1191" t="s">
        <v>47</v>
      </c>
      <c r="R1191" t="s">
        <v>123</v>
      </c>
      <c r="T1191">
        <v>106</v>
      </c>
      <c r="U1191" t="s">
        <v>50</v>
      </c>
      <c r="V1191" t="s">
        <v>51</v>
      </c>
      <c r="W1191" t="s">
        <v>854</v>
      </c>
      <c r="X1191" t="s">
        <v>125</v>
      </c>
      <c r="Y1191" t="s">
        <v>126</v>
      </c>
      <c r="AA1191">
        <v>0</v>
      </c>
      <c r="AB1191" t="s">
        <v>79</v>
      </c>
      <c r="AC1191" t="s">
        <v>127</v>
      </c>
      <c r="AD1191">
        <v>36</v>
      </c>
      <c r="AE1191">
        <v>9</v>
      </c>
      <c r="AF1191">
        <v>3</v>
      </c>
      <c r="AG1191">
        <v>2025</v>
      </c>
      <c r="AH1191" s="2">
        <v>5100</v>
      </c>
      <c r="AI1191" s="2">
        <v>4551.80615234375</v>
      </c>
      <c r="AJ1191" s="2">
        <f t="shared" si="146"/>
        <v>548.19384765625</v>
      </c>
      <c r="AK1191" s="6">
        <f t="shared" si="147"/>
        <v>0.1074889897365196</v>
      </c>
      <c r="AL1191" s="12">
        <v>5100</v>
      </c>
      <c r="AM1191" s="12">
        <v>6560.5955572411422</v>
      </c>
      <c r="AN1191" s="12">
        <f t="shared" si="148"/>
        <v>1460.5955572411422</v>
      </c>
      <c r="AO1191" s="13">
        <f t="shared" si="149"/>
        <v>0.28639128573355727</v>
      </c>
      <c r="AP1191" s="16">
        <v>5100</v>
      </c>
      <c r="AQ1191" s="16">
        <v>4635.4843834781423</v>
      </c>
      <c r="AR1191" s="16">
        <f t="shared" si="150"/>
        <v>464.51561652185774</v>
      </c>
      <c r="AS1191" s="17">
        <f t="shared" si="144"/>
        <v>9.1081493435658384E-2</v>
      </c>
      <c r="AT1191" s="20">
        <v>5100</v>
      </c>
      <c r="AU1191" s="20">
        <v>4711.73193359375</v>
      </c>
      <c r="AV1191" s="20">
        <f t="shared" si="145"/>
        <v>388.26806640625</v>
      </c>
      <c r="AW1191" s="21">
        <f t="shared" si="151"/>
        <v>7.6130993412990192E-2</v>
      </c>
    </row>
    <row r="1192" spans="1:49" x14ac:dyDescent="0.25">
      <c r="A1192" t="s">
        <v>38</v>
      </c>
      <c r="B1192" t="s">
        <v>96</v>
      </c>
      <c r="C1192">
        <v>218761</v>
      </c>
      <c r="D1192">
        <v>2014</v>
      </c>
      <c r="E1192" t="s">
        <v>174</v>
      </c>
      <c r="F1192" t="s">
        <v>254</v>
      </c>
      <c r="H1192" t="s">
        <v>1271</v>
      </c>
      <c r="I1192">
        <v>6</v>
      </c>
      <c r="J1192" t="s">
        <v>72</v>
      </c>
      <c r="K1192">
        <v>4</v>
      </c>
      <c r="L1192" t="s">
        <v>44</v>
      </c>
      <c r="M1192">
        <v>3.6</v>
      </c>
      <c r="N1192" t="s">
        <v>45</v>
      </c>
      <c r="O1192" t="s">
        <v>46</v>
      </c>
      <c r="P1192">
        <v>3</v>
      </c>
      <c r="Q1192" t="s">
        <v>62</v>
      </c>
      <c r="R1192" t="s">
        <v>63</v>
      </c>
      <c r="S1192" t="s">
        <v>101</v>
      </c>
      <c r="U1192" t="s">
        <v>50</v>
      </c>
      <c r="W1192" t="s">
        <v>850</v>
      </c>
      <c r="X1192" t="s">
        <v>141</v>
      </c>
      <c r="Y1192" t="s">
        <v>103</v>
      </c>
      <c r="AA1192">
        <v>0</v>
      </c>
      <c r="AB1192" t="s">
        <v>79</v>
      </c>
      <c r="AC1192" t="s">
        <v>87</v>
      </c>
      <c r="AD1192">
        <v>36</v>
      </c>
      <c r="AE1192">
        <v>9</v>
      </c>
      <c r="AF1192">
        <v>3</v>
      </c>
      <c r="AG1192">
        <v>2025</v>
      </c>
      <c r="AH1192" s="2">
        <v>2100</v>
      </c>
      <c r="AI1192" s="2">
        <v>1728.724731445312</v>
      </c>
      <c r="AJ1192" s="2">
        <f t="shared" si="146"/>
        <v>371.27526855468795</v>
      </c>
      <c r="AK1192" s="6">
        <f t="shared" si="147"/>
        <v>0.1767977469308038</v>
      </c>
      <c r="AL1192" s="12">
        <v>2100</v>
      </c>
      <c r="AM1192" s="12">
        <v>2086.128049159599</v>
      </c>
      <c r="AN1192" s="12">
        <f t="shared" si="148"/>
        <v>13.871950840401041</v>
      </c>
      <c r="AO1192" s="13">
        <f t="shared" si="149"/>
        <v>6.6056908763814483E-3</v>
      </c>
      <c r="AP1192" s="16">
        <v>2100</v>
      </c>
      <c r="AQ1192" s="16">
        <v>1597.338113979735</v>
      </c>
      <c r="AR1192" s="16">
        <f t="shared" si="150"/>
        <v>502.661886020265</v>
      </c>
      <c r="AS1192" s="17">
        <f t="shared" si="144"/>
        <v>0.23936280286679285</v>
      </c>
      <c r="AT1192" s="20">
        <v>2100</v>
      </c>
      <c r="AU1192" s="20">
        <v>1730.986938476562</v>
      </c>
      <c r="AV1192" s="20">
        <f t="shared" si="145"/>
        <v>369.01306152343795</v>
      </c>
      <c r="AW1192" s="21">
        <f t="shared" si="151"/>
        <v>0.17572050548735141</v>
      </c>
    </row>
    <row r="1193" spans="1:49" x14ac:dyDescent="0.25">
      <c r="A1193" t="s">
        <v>38</v>
      </c>
      <c r="B1193" t="s">
        <v>39</v>
      </c>
      <c r="C1193">
        <v>149544</v>
      </c>
      <c r="D1193">
        <v>2016</v>
      </c>
      <c r="E1193" t="s">
        <v>142</v>
      </c>
      <c r="F1193" t="s">
        <v>373</v>
      </c>
      <c r="G1193" t="s">
        <v>398</v>
      </c>
      <c r="H1193" t="s">
        <v>375</v>
      </c>
      <c r="I1193">
        <v>6</v>
      </c>
      <c r="J1193" t="s">
        <v>61</v>
      </c>
      <c r="K1193">
        <v>4</v>
      </c>
      <c r="L1193" t="s">
        <v>44</v>
      </c>
      <c r="M1193">
        <v>3.6</v>
      </c>
      <c r="N1193" t="s">
        <v>73</v>
      </c>
      <c r="O1193" t="s">
        <v>46</v>
      </c>
      <c r="Q1193" t="s">
        <v>62</v>
      </c>
      <c r="R1193" t="s">
        <v>63</v>
      </c>
      <c r="S1193" t="s">
        <v>49</v>
      </c>
      <c r="U1193" t="s">
        <v>50</v>
      </c>
      <c r="X1193" t="s">
        <v>94</v>
      </c>
      <c r="Y1193" t="s">
        <v>78</v>
      </c>
      <c r="AA1193">
        <v>0</v>
      </c>
      <c r="AB1193" t="s">
        <v>79</v>
      </c>
      <c r="AC1193" t="s">
        <v>87</v>
      </c>
      <c r="AD1193">
        <v>36</v>
      </c>
      <c r="AE1193">
        <v>9</v>
      </c>
      <c r="AF1193">
        <v>3</v>
      </c>
      <c r="AG1193">
        <v>2025</v>
      </c>
      <c r="AH1193" s="2">
        <v>6100</v>
      </c>
      <c r="AI1193" s="2">
        <v>5736.60205078125</v>
      </c>
      <c r="AJ1193" s="2">
        <f t="shared" si="146"/>
        <v>363.39794921875</v>
      </c>
      <c r="AK1193" s="6">
        <f t="shared" si="147"/>
        <v>5.9573434298155738E-2</v>
      </c>
      <c r="AL1193" s="12">
        <v>6100</v>
      </c>
      <c r="AM1193" s="12">
        <v>5599.6723833927836</v>
      </c>
      <c r="AN1193" s="12">
        <f t="shared" si="148"/>
        <v>500.32761660721644</v>
      </c>
      <c r="AO1193" s="13">
        <f t="shared" si="149"/>
        <v>8.202092075528139E-2</v>
      </c>
      <c r="AP1193" s="16">
        <v>6100</v>
      </c>
      <c r="AQ1193" s="16">
        <v>4453.8954938789648</v>
      </c>
      <c r="AR1193" s="16">
        <f t="shared" si="150"/>
        <v>1646.1045061210352</v>
      </c>
      <c r="AS1193" s="17">
        <f t="shared" si="144"/>
        <v>0.26985319772475985</v>
      </c>
      <c r="AT1193" s="20">
        <v>6100</v>
      </c>
      <c r="AU1193" s="20">
        <v>5759.140625</v>
      </c>
      <c r="AV1193" s="20">
        <f t="shared" si="145"/>
        <v>340.859375</v>
      </c>
      <c r="AW1193" s="21">
        <f t="shared" si="151"/>
        <v>5.587858606557377E-2</v>
      </c>
    </row>
    <row r="1194" spans="1:49" x14ac:dyDescent="0.25">
      <c r="A1194" t="s">
        <v>114</v>
      </c>
      <c r="B1194" t="s">
        <v>340</v>
      </c>
      <c r="C1194">
        <v>124415</v>
      </c>
      <c r="D1194">
        <v>2003</v>
      </c>
      <c r="E1194" t="s">
        <v>425</v>
      </c>
      <c r="F1194" t="s">
        <v>426</v>
      </c>
      <c r="H1194" t="s">
        <v>1175</v>
      </c>
      <c r="I1194">
        <v>4</v>
      </c>
      <c r="J1194" t="s">
        <v>122</v>
      </c>
      <c r="K1194">
        <v>2</v>
      </c>
      <c r="L1194" t="s">
        <v>402</v>
      </c>
      <c r="M1194">
        <v>1.6</v>
      </c>
      <c r="N1194" t="s">
        <v>45</v>
      </c>
      <c r="O1194" t="s">
        <v>46</v>
      </c>
      <c r="P1194">
        <v>3</v>
      </c>
      <c r="Q1194" t="s">
        <v>47</v>
      </c>
      <c r="R1194" t="s">
        <v>48</v>
      </c>
      <c r="T1194">
        <v>163</v>
      </c>
      <c r="X1194" t="s">
        <v>53</v>
      </c>
      <c r="Y1194" t="s">
        <v>427</v>
      </c>
      <c r="AA1194">
        <v>0</v>
      </c>
      <c r="AB1194" t="s">
        <v>79</v>
      </c>
      <c r="AC1194" t="s">
        <v>359</v>
      </c>
      <c r="AD1194">
        <v>36</v>
      </c>
      <c r="AE1194">
        <v>9</v>
      </c>
      <c r="AF1194">
        <v>3</v>
      </c>
      <c r="AG1194">
        <v>2025</v>
      </c>
      <c r="AH1194" s="2">
        <v>700</v>
      </c>
      <c r="AI1194" s="2">
        <v>909.572998046875</v>
      </c>
      <c r="AJ1194" s="2">
        <f t="shared" si="146"/>
        <v>209.572998046875</v>
      </c>
      <c r="AK1194" s="6">
        <f t="shared" si="147"/>
        <v>0.2993899972098214</v>
      </c>
      <c r="AL1194" s="12">
        <v>700</v>
      </c>
      <c r="AM1194" s="12">
        <v>908.26712304846546</v>
      </c>
      <c r="AN1194" s="12">
        <f t="shared" si="148"/>
        <v>208.26712304846546</v>
      </c>
      <c r="AO1194" s="13">
        <f t="shared" si="149"/>
        <v>0.29752446149780781</v>
      </c>
      <c r="AP1194" s="16">
        <v>700</v>
      </c>
      <c r="AQ1194" s="16">
        <v>938.18463695068056</v>
      </c>
      <c r="AR1194" s="16">
        <f t="shared" si="150"/>
        <v>238.18463695068056</v>
      </c>
      <c r="AS1194" s="17">
        <f t="shared" si="144"/>
        <v>0.3402637670724008</v>
      </c>
      <c r="AT1194" s="20">
        <v>700</v>
      </c>
      <c r="AU1194" s="20">
        <v>884.59112548828125</v>
      </c>
      <c r="AV1194" s="20">
        <f t="shared" si="145"/>
        <v>184.59112548828125</v>
      </c>
      <c r="AW1194" s="21">
        <f t="shared" si="151"/>
        <v>0.26370160784040181</v>
      </c>
    </row>
    <row r="1195" spans="1:49" x14ac:dyDescent="0.25">
      <c r="A1195" t="s">
        <v>38</v>
      </c>
      <c r="B1195" t="s">
        <v>96</v>
      </c>
      <c r="C1195">
        <v>87261</v>
      </c>
      <c r="D1195">
        <v>2020</v>
      </c>
      <c r="E1195" t="s">
        <v>97</v>
      </c>
      <c r="F1195" t="s">
        <v>98</v>
      </c>
      <c r="G1195" t="s">
        <v>1272</v>
      </c>
      <c r="I1195">
        <v>4</v>
      </c>
      <c r="J1195" t="s">
        <v>61</v>
      </c>
      <c r="K1195">
        <v>4</v>
      </c>
      <c r="L1195" t="s">
        <v>44</v>
      </c>
      <c r="M1195">
        <v>1.5</v>
      </c>
      <c r="N1195" t="s">
        <v>45</v>
      </c>
      <c r="O1195" t="s">
        <v>46</v>
      </c>
      <c r="P1195">
        <v>4</v>
      </c>
      <c r="Q1195" t="s">
        <v>62</v>
      </c>
      <c r="R1195" t="s">
        <v>63</v>
      </c>
      <c r="S1195" t="s">
        <v>101</v>
      </c>
      <c r="U1195" t="s">
        <v>50</v>
      </c>
      <c r="V1195" t="s">
        <v>51</v>
      </c>
      <c r="W1195" t="s">
        <v>879</v>
      </c>
      <c r="X1195" t="s">
        <v>65</v>
      </c>
      <c r="Y1195" t="s">
        <v>103</v>
      </c>
      <c r="AA1195">
        <v>0</v>
      </c>
      <c r="AB1195" t="s">
        <v>79</v>
      </c>
      <c r="AC1195" t="s">
        <v>87</v>
      </c>
      <c r="AD1195">
        <v>36</v>
      </c>
      <c r="AE1195">
        <v>9</v>
      </c>
      <c r="AF1195">
        <v>3</v>
      </c>
      <c r="AG1195">
        <v>2025</v>
      </c>
      <c r="AH1195" s="2">
        <v>11750</v>
      </c>
      <c r="AI1195" s="2">
        <v>12889.646484375</v>
      </c>
      <c r="AJ1195" s="2">
        <f t="shared" si="146"/>
        <v>1139.646484375</v>
      </c>
      <c r="AK1195" s="6">
        <f t="shared" si="147"/>
        <v>9.699119015957447E-2</v>
      </c>
      <c r="AL1195" s="12">
        <v>11750</v>
      </c>
      <c r="AM1195" s="12">
        <v>13470.18086988289</v>
      </c>
      <c r="AN1195" s="12">
        <f t="shared" si="148"/>
        <v>1720.18086988289</v>
      </c>
      <c r="AO1195" s="13">
        <f t="shared" si="149"/>
        <v>0.1463983719049268</v>
      </c>
      <c r="AP1195" s="16">
        <v>11750</v>
      </c>
      <c r="AQ1195" s="16">
        <v>13048.381318133001</v>
      </c>
      <c r="AR1195" s="16">
        <f t="shared" si="150"/>
        <v>1298.3813181330006</v>
      </c>
      <c r="AS1195" s="17">
        <f t="shared" si="144"/>
        <v>0.11050053771344685</v>
      </c>
      <c r="AT1195" s="20">
        <v>11750</v>
      </c>
      <c r="AU1195" s="20">
        <v>13157.4248046875</v>
      </c>
      <c r="AV1195" s="20">
        <f t="shared" si="145"/>
        <v>1407.4248046875</v>
      </c>
      <c r="AW1195" s="21">
        <f t="shared" si="151"/>
        <v>0.11978083444148936</v>
      </c>
    </row>
    <row r="1196" spans="1:49" x14ac:dyDescent="0.25">
      <c r="A1196" t="s">
        <v>38</v>
      </c>
      <c r="B1196" t="s">
        <v>110</v>
      </c>
      <c r="C1196">
        <v>93301</v>
      </c>
      <c r="D1196">
        <v>2013</v>
      </c>
      <c r="E1196" t="s">
        <v>146</v>
      </c>
      <c r="F1196" t="s">
        <v>334</v>
      </c>
      <c r="I1196">
        <v>6</v>
      </c>
      <c r="J1196" t="s">
        <v>106</v>
      </c>
      <c r="K1196">
        <v>4</v>
      </c>
      <c r="L1196" t="s">
        <v>44</v>
      </c>
      <c r="M1196">
        <v>3.5</v>
      </c>
      <c r="N1196" t="s">
        <v>45</v>
      </c>
      <c r="Q1196" t="s">
        <v>47</v>
      </c>
      <c r="R1196" t="s">
        <v>123</v>
      </c>
      <c r="S1196" t="s">
        <v>49</v>
      </c>
      <c r="U1196" t="s">
        <v>50</v>
      </c>
      <c r="X1196" t="s">
        <v>125</v>
      </c>
      <c r="Y1196" t="s">
        <v>78</v>
      </c>
      <c r="AA1196">
        <v>0</v>
      </c>
      <c r="AB1196" t="s">
        <v>79</v>
      </c>
      <c r="AC1196" t="s">
        <v>127</v>
      </c>
      <c r="AD1196">
        <v>36</v>
      </c>
      <c r="AE1196">
        <v>9</v>
      </c>
      <c r="AF1196">
        <v>3</v>
      </c>
      <c r="AG1196">
        <v>2025</v>
      </c>
      <c r="AH1196" s="2">
        <v>4200</v>
      </c>
      <c r="AI1196" s="2">
        <v>3955.1201171875</v>
      </c>
      <c r="AJ1196" s="2">
        <f t="shared" si="146"/>
        <v>244.8798828125</v>
      </c>
      <c r="AK1196" s="6">
        <f t="shared" si="147"/>
        <v>5.8304734002976193E-2</v>
      </c>
      <c r="AL1196" s="12">
        <v>4200</v>
      </c>
      <c r="AM1196" s="12">
        <v>3540.4319447489061</v>
      </c>
      <c r="AN1196" s="12">
        <f t="shared" si="148"/>
        <v>659.56805525109394</v>
      </c>
      <c r="AO1196" s="13">
        <f t="shared" si="149"/>
        <v>0.15704001315502236</v>
      </c>
      <c r="AP1196" s="16">
        <v>4200</v>
      </c>
      <c r="AQ1196" s="16">
        <v>2833.1785788165012</v>
      </c>
      <c r="AR1196" s="16">
        <f t="shared" si="150"/>
        <v>1366.8214211834988</v>
      </c>
      <c r="AS1196" s="17">
        <f t="shared" si="144"/>
        <v>0.32543367171035686</v>
      </c>
      <c r="AT1196" s="20">
        <v>4200</v>
      </c>
      <c r="AU1196" s="20">
        <v>3954.120361328125</v>
      </c>
      <c r="AV1196" s="20">
        <f t="shared" si="145"/>
        <v>245.879638671875</v>
      </c>
      <c r="AW1196" s="21">
        <f t="shared" si="151"/>
        <v>5.8542771112351191E-2</v>
      </c>
    </row>
    <row r="1197" spans="1:49" x14ac:dyDescent="0.25">
      <c r="A1197" t="s">
        <v>81</v>
      </c>
      <c r="B1197" t="s">
        <v>304</v>
      </c>
      <c r="C1197">
        <v>91870</v>
      </c>
      <c r="D1197">
        <v>2019</v>
      </c>
      <c r="E1197" t="s">
        <v>142</v>
      </c>
      <c r="F1197" t="s">
        <v>633</v>
      </c>
      <c r="G1197" t="s">
        <v>820</v>
      </c>
      <c r="I1197">
        <v>4</v>
      </c>
      <c r="J1197" t="s">
        <v>61</v>
      </c>
      <c r="K1197">
        <v>4</v>
      </c>
      <c r="L1197" t="s">
        <v>44</v>
      </c>
      <c r="M1197">
        <v>2</v>
      </c>
      <c r="N1197" t="s">
        <v>91</v>
      </c>
      <c r="O1197" t="s">
        <v>46</v>
      </c>
      <c r="Q1197" t="s">
        <v>62</v>
      </c>
      <c r="R1197" t="s">
        <v>63</v>
      </c>
      <c r="S1197" t="s">
        <v>93</v>
      </c>
      <c r="T1197">
        <v>270</v>
      </c>
      <c r="U1197" t="s">
        <v>50</v>
      </c>
      <c r="V1197" t="s">
        <v>51</v>
      </c>
      <c r="X1197" t="s">
        <v>141</v>
      </c>
      <c r="Y1197" t="s">
        <v>78</v>
      </c>
      <c r="AA1197">
        <v>0</v>
      </c>
      <c r="AB1197" t="s">
        <v>79</v>
      </c>
      <c r="AC1197" t="s">
        <v>87</v>
      </c>
      <c r="AD1197">
        <v>36</v>
      </c>
      <c r="AE1197">
        <v>9</v>
      </c>
      <c r="AF1197">
        <v>3</v>
      </c>
      <c r="AG1197">
        <v>2025</v>
      </c>
      <c r="AH1197" s="2">
        <v>21500</v>
      </c>
      <c r="AI1197" s="2">
        <v>18958.193359375</v>
      </c>
      <c r="AJ1197" s="2">
        <f t="shared" si="146"/>
        <v>2541.806640625</v>
      </c>
      <c r="AK1197" s="6">
        <f t="shared" si="147"/>
        <v>0.11822356468023255</v>
      </c>
      <c r="AL1197" s="12">
        <v>21500</v>
      </c>
      <c r="AM1197" s="12">
        <v>16047.39098585861</v>
      </c>
      <c r="AN1197" s="12">
        <f t="shared" si="148"/>
        <v>5452.6090141413897</v>
      </c>
      <c r="AO1197" s="13">
        <f t="shared" si="149"/>
        <v>0.25360972158797163</v>
      </c>
      <c r="AP1197" s="16">
        <v>21500</v>
      </c>
      <c r="AQ1197" s="16">
        <v>16039.377927882941</v>
      </c>
      <c r="AR1197" s="16">
        <f t="shared" si="150"/>
        <v>5460.6220721170594</v>
      </c>
      <c r="AS1197" s="17">
        <f t="shared" si="144"/>
        <v>0.253982421958933</v>
      </c>
      <c r="AT1197" s="20">
        <v>21500</v>
      </c>
      <c r="AU1197" s="20">
        <v>18315.130859375</v>
      </c>
      <c r="AV1197" s="20">
        <f t="shared" si="145"/>
        <v>3184.869140625</v>
      </c>
      <c r="AW1197" s="21">
        <f t="shared" si="151"/>
        <v>0.1481334484011628</v>
      </c>
    </row>
    <row r="1198" spans="1:49" x14ac:dyDescent="0.25">
      <c r="A1198" t="s">
        <v>38</v>
      </c>
      <c r="B1198" t="s">
        <v>39</v>
      </c>
      <c r="C1198">
        <v>107151</v>
      </c>
      <c r="D1198">
        <v>2021</v>
      </c>
      <c r="E1198" t="s">
        <v>97</v>
      </c>
      <c r="F1198" t="s">
        <v>159</v>
      </c>
      <c r="G1198" t="s">
        <v>937</v>
      </c>
      <c r="H1198" t="s">
        <v>89</v>
      </c>
      <c r="I1198">
        <v>8</v>
      </c>
      <c r="J1198" t="s">
        <v>61</v>
      </c>
      <c r="K1198">
        <v>4</v>
      </c>
      <c r="L1198" t="s">
        <v>44</v>
      </c>
      <c r="M1198">
        <v>6.2</v>
      </c>
      <c r="N1198" t="s">
        <v>91</v>
      </c>
      <c r="O1198" t="s">
        <v>46</v>
      </c>
      <c r="Q1198" t="s">
        <v>74</v>
      </c>
      <c r="R1198" t="s">
        <v>92</v>
      </c>
      <c r="S1198" t="s">
        <v>93</v>
      </c>
      <c r="U1198" t="s">
        <v>50</v>
      </c>
      <c r="V1198" t="s">
        <v>76</v>
      </c>
      <c r="W1198" t="s">
        <v>651</v>
      </c>
      <c r="X1198" t="s">
        <v>94</v>
      </c>
      <c r="Y1198" t="s">
        <v>126</v>
      </c>
      <c r="AA1198">
        <v>0</v>
      </c>
      <c r="AB1198" t="s">
        <v>79</v>
      </c>
      <c r="AC1198" t="s">
        <v>95</v>
      </c>
      <c r="AD1198">
        <v>36</v>
      </c>
      <c r="AE1198">
        <v>9</v>
      </c>
      <c r="AF1198">
        <v>3</v>
      </c>
      <c r="AG1198">
        <v>2025</v>
      </c>
      <c r="AH1198" s="2">
        <v>29000</v>
      </c>
      <c r="AI1198" s="2">
        <v>31910.716796875</v>
      </c>
      <c r="AJ1198" s="2">
        <f t="shared" si="146"/>
        <v>2910.716796875</v>
      </c>
      <c r="AK1198" s="6">
        <f t="shared" si="147"/>
        <v>0.10036954471982759</v>
      </c>
      <c r="AL1198" s="12">
        <v>29000</v>
      </c>
      <c r="AM1198" s="12">
        <v>31863.000731207499</v>
      </c>
      <c r="AN1198" s="12">
        <f t="shared" si="148"/>
        <v>2863.0007312074995</v>
      </c>
      <c r="AO1198" s="13">
        <f t="shared" si="149"/>
        <v>9.8724163145086183E-2</v>
      </c>
      <c r="AP1198" s="16">
        <v>29000</v>
      </c>
      <c r="AQ1198" s="16">
        <v>26574.079400110979</v>
      </c>
      <c r="AR1198" s="16">
        <f t="shared" si="150"/>
        <v>2425.9205998890211</v>
      </c>
      <c r="AS1198" s="17">
        <f t="shared" si="144"/>
        <v>8.3652434478931767E-2</v>
      </c>
      <c r="AT1198" s="20">
        <v>29000</v>
      </c>
      <c r="AU1198" s="20">
        <v>31616.51171875</v>
      </c>
      <c r="AV1198" s="20">
        <f t="shared" si="145"/>
        <v>2616.51171875</v>
      </c>
      <c r="AW1198" s="21">
        <f t="shared" si="151"/>
        <v>9.0224542025862067E-2</v>
      </c>
    </row>
    <row r="1199" spans="1:49" x14ac:dyDescent="0.25">
      <c r="A1199" t="s">
        <v>38</v>
      </c>
      <c r="B1199" t="s">
        <v>39</v>
      </c>
      <c r="C1199">
        <v>123549</v>
      </c>
      <c r="D1199">
        <v>2011</v>
      </c>
      <c r="E1199" t="s">
        <v>286</v>
      </c>
      <c r="F1199" t="s">
        <v>1122</v>
      </c>
      <c r="G1199" t="s">
        <v>1227</v>
      </c>
      <c r="H1199" t="s">
        <v>1273</v>
      </c>
      <c r="I1199">
        <v>6</v>
      </c>
      <c r="J1199" t="s">
        <v>122</v>
      </c>
      <c r="K1199">
        <v>2</v>
      </c>
      <c r="L1199" t="s">
        <v>44</v>
      </c>
      <c r="M1199">
        <v>2.5</v>
      </c>
      <c r="N1199" t="s">
        <v>73</v>
      </c>
      <c r="O1199" t="s">
        <v>46</v>
      </c>
      <c r="Q1199" t="s">
        <v>47</v>
      </c>
      <c r="R1199" t="s">
        <v>530</v>
      </c>
      <c r="S1199" t="s">
        <v>49</v>
      </c>
      <c r="T1199">
        <v>236</v>
      </c>
      <c r="U1199" t="s">
        <v>50</v>
      </c>
      <c r="V1199" t="s">
        <v>76</v>
      </c>
      <c r="W1199" t="s">
        <v>1124</v>
      </c>
      <c r="X1199" t="s">
        <v>125</v>
      </c>
      <c r="Y1199" t="s">
        <v>54</v>
      </c>
      <c r="AA1199">
        <v>0</v>
      </c>
      <c r="AB1199" t="s">
        <v>79</v>
      </c>
      <c r="AC1199" t="s">
        <v>531</v>
      </c>
      <c r="AD1199">
        <v>36</v>
      </c>
      <c r="AE1199">
        <v>9</v>
      </c>
      <c r="AF1199">
        <v>3</v>
      </c>
      <c r="AG1199">
        <v>2025</v>
      </c>
      <c r="AH1199" s="2">
        <v>1500</v>
      </c>
      <c r="AI1199" s="2">
        <v>6091.99072265625</v>
      </c>
      <c r="AJ1199" s="2">
        <f t="shared" si="146"/>
        <v>4591.99072265625</v>
      </c>
      <c r="AK1199" s="6">
        <f t="shared" si="147"/>
        <v>3.0613271484375</v>
      </c>
      <c r="AL1199" s="12">
        <v>1500</v>
      </c>
      <c r="AM1199" s="12">
        <v>7008.9340898289984</v>
      </c>
      <c r="AN1199" s="12">
        <f t="shared" si="148"/>
        <v>5508.9340898289984</v>
      </c>
      <c r="AO1199" s="13">
        <f t="shared" si="149"/>
        <v>3.6726227265526656</v>
      </c>
      <c r="AP1199" s="16">
        <v>1500</v>
      </c>
      <c r="AQ1199" s="16">
        <v>5300.1730347466801</v>
      </c>
      <c r="AR1199" s="16">
        <f t="shared" si="150"/>
        <v>3800.1730347466801</v>
      </c>
      <c r="AS1199" s="17">
        <f t="shared" si="144"/>
        <v>2.5334486898311201</v>
      </c>
      <c r="AT1199" s="20">
        <v>1500</v>
      </c>
      <c r="AU1199" s="20">
        <v>6267.7958984375</v>
      </c>
      <c r="AV1199" s="20">
        <f t="shared" si="145"/>
        <v>4767.7958984375</v>
      </c>
      <c r="AW1199" s="21">
        <f t="shared" si="151"/>
        <v>3.1785305989583335</v>
      </c>
    </row>
    <row r="1200" spans="1:49" x14ac:dyDescent="0.25">
      <c r="A1200" t="s">
        <v>128</v>
      </c>
      <c r="B1200" t="s">
        <v>129</v>
      </c>
      <c r="C1200">
        <v>197160</v>
      </c>
      <c r="D1200">
        <v>2004</v>
      </c>
      <c r="E1200" t="s">
        <v>116</v>
      </c>
      <c r="F1200" t="s">
        <v>697</v>
      </c>
      <c r="G1200" t="s">
        <v>89</v>
      </c>
      <c r="I1200">
        <v>8</v>
      </c>
      <c r="J1200" t="s">
        <v>72</v>
      </c>
      <c r="K1200">
        <v>4</v>
      </c>
      <c r="L1200" t="s">
        <v>44</v>
      </c>
      <c r="M1200">
        <v>5.7</v>
      </c>
      <c r="N1200" t="s">
        <v>91</v>
      </c>
      <c r="O1200" t="s">
        <v>46</v>
      </c>
      <c r="Q1200" t="s">
        <v>74</v>
      </c>
      <c r="R1200" t="s">
        <v>92</v>
      </c>
      <c r="S1200" t="s">
        <v>93</v>
      </c>
      <c r="U1200" t="s">
        <v>50</v>
      </c>
      <c r="V1200" t="s">
        <v>76</v>
      </c>
      <c r="X1200" t="s">
        <v>94</v>
      </c>
      <c r="Y1200" t="s">
        <v>78</v>
      </c>
      <c r="AA1200">
        <v>0</v>
      </c>
      <c r="AB1200" t="s">
        <v>79</v>
      </c>
      <c r="AC1200" t="s">
        <v>95</v>
      </c>
      <c r="AD1200">
        <v>36</v>
      </c>
      <c r="AE1200">
        <v>9</v>
      </c>
      <c r="AF1200">
        <v>3</v>
      </c>
      <c r="AG1200">
        <v>2025</v>
      </c>
      <c r="AH1200" s="2">
        <v>2900</v>
      </c>
      <c r="AI1200" s="2">
        <v>1881.892700195312</v>
      </c>
      <c r="AJ1200" s="2">
        <f t="shared" si="146"/>
        <v>1018.107299804688</v>
      </c>
      <c r="AK1200" s="6">
        <f t="shared" si="147"/>
        <v>0.3510714826912717</v>
      </c>
      <c r="AL1200" s="12">
        <v>2900</v>
      </c>
      <c r="AM1200" s="12">
        <v>1818.5902449491421</v>
      </c>
      <c r="AN1200" s="12">
        <f t="shared" si="148"/>
        <v>1081.4097550508579</v>
      </c>
      <c r="AO1200" s="13">
        <f t="shared" si="149"/>
        <v>0.37289991553477858</v>
      </c>
      <c r="AP1200" s="16">
        <v>2900</v>
      </c>
      <c r="AQ1200" s="16">
        <v>1543.935802876967</v>
      </c>
      <c r="AR1200" s="16">
        <f t="shared" si="150"/>
        <v>1356.064197123033</v>
      </c>
      <c r="AS1200" s="17">
        <f t="shared" si="144"/>
        <v>0.46760834383552863</v>
      </c>
      <c r="AT1200" s="20">
        <v>2900</v>
      </c>
      <c r="AU1200" s="20">
        <v>1903.748779296875</v>
      </c>
      <c r="AV1200" s="20">
        <f t="shared" si="145"/>
        <v>996.251220703125</v>
      </c>
      <c r="AW1200" s="21">
        <f t="shared" si="151"/>
        <v>0.34353490369073275</v>
      </c>
    </row>
    <row r="1201" spans="1:49" x14ac:dyDescent="0.25">
      <c r="A1201" t="s">
        <v>38</v>
      </c>
      <c r="B1201" t="s">
        <v>39</v>
      </c>
      <c r="C1201">
        <v>92574</v>
      </c>
      <c r="D1201">
        <v>2017</v>
      </c>
      <c r="E1201" t="s">
        <v>403</v>
      </c>
      <c r="F1201" t="s">
        <v>554</v>
      </c>
      <c r="G1201" t="s">
        <v>662</v>
      </c>
      <c r="I1201">
        <v>8</v>
      </c>
      <c r="J1201" t="s">
        <v>72</v>
      </c>
      <c r="K1201">
        <v>4</v>
      </c>
      <c r="L1201" t="s">
        <v>44</v>
      </c>
      <c r="M1201">
        <v>6.2</v>
      </c>
      <c r="N1201" t="s">
        <v>73</v>
      </c>
      <c r="O1201" t="s">
        <v>46</v>
      </c>
      <c r="Q1201" t="s">
        <v>62</v>
      </c>
      <c r="R1201" t="s">
        <v>63</v>
      </c>
      <c r="S1201" t="s">
        <v>49</v>
      </c>
      <c r="U1201" t="s">
        <v>50</v>
      </c>
      <c r="W1201" t="s">
        <v>948</v>
      </c>
      <c r="X1201" t="s">
        <v>108</v>
      </c>
      <c r="Y1201" t="s">
        <v>78</v>
      </c>
      <c r="Z1201">
        <v>82895</v>
      </c>
      <c r="AA1201">
        <v>0</v>
      </c>
      <c r="AB1201" t="s">
        <v>79</v>
      </c>
      <c r="AC1201" t="s">
        <v>87</v>
      </c>
      <c r="AD1201">
        <v>36</v>
      </c>
      <c r="AE1201">
        <v>9</v>
      </c>
      <c r="AF1201">
        <v>3</v>
      </c>
      <c r="AG1201">
        <v>2025</v>
      </c>
      <c r="AH1201" s="2">
        <v>22750</v>
      </c>
      <c r="AI1201" s="2">
        <v>23475.630859375</v>
      </c>
      <c r="AJ1201" s="2">
        <f t="shared" si="146"/>
        <v>725.630859375</v>
      </c>
      <c r="AK1201" s="6">
        <f t="shared" si="147"/>
        <v>3.1895861950549449E-2</v>
      </c>
      <c r="AL1201" s="12">
        <v>22750</v>
      </c>
      <c r="AM1201" s="12">
        <v>23874.2606849888</v>
      </c>
      <c r="AN1201" s="12">
        <f t="shared" si="148"/>
        <v>1124.2606849887998</v>
      </c>
      <c r="AO1201" s="13">
        <f t="shared" si="149"/>
        <v>4.941805208741977E-2</v>
      </c>
      <c r="AP1201" s="16">
        <v>22750</v>
      </c>
      <c r="AQ1201" s="16">
        <v>21471.65831229397</v>
      </c>
      <c r="AR1201" s="16">
        <f t="shared" si="150"/>
        <v>1278.3416877060299</v>
      </c>
      <c r="AS1201" s="17">
        <f t="shared" si="144"/>
        <v>5.6190843415649665E-2</v>
      </c>
      <c r="AT1201" s="20">
        <v>22750</v>
      </c>
      <c r="AU1201" s="20">
        <v>23165.216796875</v>
      </c>
      <c r="AV1201" s="20">
        <f t="shared" si="145"/>
        <v>415.216796875</v>
      </c>
      <c r="AW1201" s="21">
        <f t="shared" si="151"/>
        <v>1.8251287774725275E-2</v>
      </c>
    </row>
    <row r="1202" spans="1:49" x14ac:dyDescent="0.25">
      <c r="A1202" t="s">
        <v>38</v>
      </c>
      <c r="B1202" t="s">
        <v>110</v>
      </c>
      <c r="C1202">
        <v>113087</v>
      </c>
      <c r="D1202">
        <v>2012</v>
      </c>
      <c r="E1202" t="s">
        <v>116</v>
      </c>
      <c r="F1202" t="s">
        <v>194</v>
      </c>
      <c r="G1202" t="s">
        <v>112</v>
      </c>
      <c r="H1202" t="s">
        <v>196</v>
      </c>
      <c r="I1202">
        <v>6</v>
      </c>
      <c r="J1202" t="s">
        <v>122</v>
      </c>
      <c r="K1202">
        <v>2</v>
      </c>
      <c r="L1202" t="s">
        <v>44</v>
      </c>
      <c r="M1202">
        <v>3.6</v>
      </c>
      <c r="N1202" t="s">
        <v>73</v>
      </c>
      <c r="Q1202" t="s">
        <v>47</v>
      </c>
      <c r="R1202" t="s">
        <v>197</v>
      </c>
      <c r="S1202" t="s">
        <v>179</v>
      </c>
      <c r="T1202">
        <v>283</v>
      </c>
      <c r="U1202" t="s">
        <v>180</v>
      </c>
      <c r="X1202" t="s">
        <v>125</v>
      </c>
      <c r="Y1202" t="s">
        <v>103</v>
      </c>
      <c r="AA1202">
        <v>0</v>
      </c>
      <c r="AB1202" t="s">
        <v>79</v>
      </c>
      <c r="AC1202" t="s">
        <v>197</v>
      </c>
      <c r="AD1202">
        <v>36</v>
      </c>
      <c r="AE1202">
        <v>9</v>
      </c>
      <c r="AF1202">
        <v>3</v>
      </c>
      <c r="AG1202">
        <v>2025</v>
      </c>
      <c r="AH1202" s="2">
        <v>2000</v>
      </c>
      <c r="AI1202" s="2">
        <v>5278.75146484375</v>
      </c>
      <c r="AJ1202" s="2">
        <f t="shared" si="146"/>
        <v>3278.75146484375</v>
      </c>
      <c r="AK1202" s="6">
        <f t="shared" si="147"/>
        <v>1.639375732421875</v>
      </c>
      <c r="AL1202" s="12">
        <v>2000</v>
      </c>
      <c r="AM1202" s="12">
        <v>5117.992375380044</v>
      </c>
      <c r="AN1202" s="12">
        <f t="shared" si="148"/>
        <v>3117.992375380044</v>
      </c>
      <c r="AO1202" s="13">
        <f t="shared" si="149"/>
        <v>1.558996187690022</v>
      </c>
      <c r="AP1202" s="16">
        <v>2000</v>
      </c>
      <c r="AQ1202" s="16">
        <v>5484.8147925064941</v>
      </c>
      <c r="AR1202" s="16">
        <f t="shared" si="150"/>
        <v>3484.8147925064941</v>
      </c>
      <c r="AS1202" s="17">
        <f t="shared" si="144"/>
        <v>1.7424073962532471</v>
      </c>
      <c r="AT1202" s="20">
        <v>2000</v>
      </c>
      <c r="AU1202" s="20">
        <v>5303.94677734375</v>
      </c>
      <c r="AV1202" s="20">
        <f t="shared" si="145"/>
        <v>3303.94677734375</v>
      </c>
      <c r="AW1202" s="21">
        <f t="shared" si="151"/>
        <v>1.651973388671875</v>
      </c>
    </row>
    <row r="1203" spans="1:49" x14ac:dyDescent="0.25">
      <c r="A1203" t="s">
        <v>38</v>
      </c>
      <c r="B1203" t="s">
        <v>39</v>
      </c>
      <c r="C1203">
        <v>54280</v>
      </c>
      <c r="D1203">
        <v>2019</v>
      </c>
      <c r="E1203" t="s">
        <v>58</v>
      </c>
      <c r="F1203" t="s">
        <v>220</v>
      </c>
      <c r="G1203" t="s">
        <v>378</v>
      </c>
      <c r="I1203">
        <v>4</v>
      </c>
      <c r="J1203" t="s">
        <v>106</v>
      </c>
      <c r="K1203">
        <v>4</v>
      </c>
      <c r="L1203" t="s">
        <v>44</v>
      </c>
      <c r="M1203">
        <v>2.4</v>
      </c>
      <c r="N1203" t="s">
        <v>45</v>
      </c>
      <c r="O1203" t="s">
        <v>46</v>
      </c>
      <c r="Q1203" t="s">
        <v>62</v>
      </c>
      <c r="R1203" t="s">
        <v>63</v>
      </c>
      <c r="S1203" t="s">
        <v>49</v>
      </c>
      <c r="T1203">
        <v>185</v>
      </c>
      <c r="U1203" t="s">
        <v>50</v>
      </c>
      <c r="W1203" t="s">
        <v>300</v>
      </c>
      <c r="X1203" t="s">
        <v>141</v>
      </c>
      <c r="Y1203" t="s">
        <v>78</v>
      </c>
      <c r="AA1203">
        <v>0</v>
      </c>
      <c r="AB1203" t="s">
        <v>79</v>
      </c>
      <c r="AC1203" t="s">
        <v>87</v>
      </c>
      <c r="AD1203">
        <v>36</v>
      </c>
      <c r="AE1203">
        <v>9</v>
      </c>
      <c r="AF1203">
        <v>3</v>
      </c>
      <c r="AG1203">
        <v>2025</v>
      </c>
      <c r="AH1203" s="2">
        <v>12750</v>
      </c>
      <c r="AI1203" s="2">
        <v>13716.9521484375</v>
      </c>
      <c r="AJ1203" s="2">
        <f t="shared" si="146"/>
        <v>966.9521484375</v>
      </c>
      <c r="AK1203" s="6">
        <f t="shared" si="147"/>
        <v>7.5839384191176473E-2</v>
      </c>
      <c r="AL1203" s="12">
        <v>12750</v>
      </c>
      <c r="AM1203" s="12">
        <v>13115.121491506559</v>
      </c>
      <c r="AN1203" s="12">
        <f t="shared" si="148"/>
        <v>365.12149150655932</v>
      </c>
      <c r="AO1203" s="13">
        <f t="shared" si="149"/>
        <v>2.8636979726004652E-2</v>
      </c>
      <c r="AP1203" s="16">
        <v>12750</v>
      </c>
      <c r="AQ1203" s="16">
        <v>11134.056777606211</v>
      </c>
      <c r="AR1203" s="16">
        <f t="shared" si="150"/>
        <v>1615.9432223937893</v>
      </c>
      <c r="AS1203" s="17">
        <f t="shared" si="144"/>
        <v>0.12674064489363052</v>
      </c>
      <c r="AT1203" s="20">
        <v>12750</v>
      </c>
      <c r="AU1203" s="20">
        <v>13505.357421875</v>
      </c>
      <c r="AV1203" s="20">
        <f t="shared" si="145"/>
        <v>755.357421875</v>
      </c>
      <c r="AW1203" s="21">
        <f t="shared" si="151"/>
        <v>5.9243719362745098E-2</v>
      </c>
    </row>
    <row r="1204" spans="1:49" x14ac:dyDescent="0.25">
      <c r="A1204" t="s">
        <v>38</v>
      </c>
      <c r="B1204" t="s">
        <v>39</v>
      </c>
      <c r="C1204">
        <v>111069</v>
      </c>
      <c r="D1204">
        <v>2019</v>
      </c>
      <c r="E1204" t="s">
        <v>142</v>
      </c>
      <c r="F1204" t="s">
        <v>373</v>
      </c>
      <c r="H1204" t="s">
        <v>398</v>
      </c>
      <c r="I1204">
        <v>6</v>
      </c>
      <c r="J1204" t="s">
        <v>106</v>
      </c>
      <c r="K1204">
        <v>4</v>
      </c>
      <c r="L1204" t="s">
        <v>44</v>
      </c>
      <c r="M1204">
        <v>3.6</v>
      </c>
      <c r="N1204" t="s">
        <v>73</v>
      </c>
      <c r="O1204" t="s">
        <v>46</v>
      </c>
      <c r="P1204">
        <v>3</v>
      </c>
      <c r="Q1204" t="s">
        <v>62</v>
      </c>
      <c r="R1204" t="s">
        <v>63</v>
      </c>
      <c r="S1204" t="s">
        <v>49</v>
      </c>
      <c r="T1204">
        <v>295</v>
      </c>
      <c r="U1204" t="s">
        <v>50</v>
      </c>
      <c r="V1204" t="s">
        <v>76</v>
      </c>
      <c r="X1204" t="s">
        <v>94</v>
      </c>
      <c r="Y1204" t="s">
        <v>78</v>
      </c>
      <c r="Z1204">
        <v>32195</v>
      </c>
      <c r="AA1204">
        <v>0</v>
      </c>
      <c r="AB1204" t="s">
        <v>79</v>
      </c>
      <c r="AC1204" t="s">
        <v>87</v>
      </c>
      <c r="AD1204">
        <v>36</v>
      </c>
      <c r="AE1204">
        <v>9</v>
      </c>
      <c r="AF1204">
        <v>3</v>
      </c>
      <c r="AG1204">
        <v>2025</v>
      </c>
      <c r="AH1204" s="2">
        <v>11000</v>
      </c>
      <c r="AI1204" s="2">
        <v>9637.990234375</v>
      </c>
      <c r="AJ1204" s="2">
        <f t="shared" si="146"/>
        <v>1362.009765625</v>
      </c>
      <c r="AK1204" s="6">
        <f t="shared" si="147"/>
        <v>0.12381906960227272</v>
      </c>
      <c r="AL1204" s="12">
        <v>11000</v>
      </c>
      <c r="AM1204" s="12">
        <v>11866.6399038786</v>
      </c>
      <c r="AN1204" s="12">
        <f t="shared" si="148"/>
        <v>866.63990387860031</v>
      </c>
      <c r="AO1204" s="13">
        <f t="shared" si="149"/>
        <v>7.8785445807145485E-2</v>
      </c>
      <c r="AP1204" s="16">
        <v>11000</v>
      </c>
      <c r="AQ1204" s="16">
        <v>10084.335968896739</v>
      </c>
      <c r="AR1204" s="16">
        <f t="shared" si="150"/>
        <v>915.66403110326064</v>
      </c>
      <c r="AS1204" s="17">
        <f t="shared" si="144"/>
        <v>8.3242184645750963E-2</v>
      </c>
      <c r="AT1204" s="20">
        <v>11000</v>
      </c>
      <c r="AU1204" s="20">
        <v>10110.994140625</v>
      </c>
      <c r="AV1204" s="20">
        <f t="shared" si="145"/>
        <v>889.005859375</v>
      </c>
      <c r="AW1204" s="21">
        <f t="shared" si="151"/>
        <v>8.0818714488636367E-2</v>
      </c>
    </row>
    <row r="1205" spans="1:49" x14ac:dyDescent="0.25">
      <c r="A1205" t="s">
        <v>38</v>
      </c>
      <c r="B1205" t="s">
        <v>96</v>
      </c>
      <c r="C1205">
        <v>35845</v>
      </c>
      <c r="D1205">
        <v>2021</v>
      </c>
      <c r="E1205" t="s">
        <v>142</v>
      </c>
      <c r="F1205" t="s">
        <v>143</v>
      </c>
      <c r="H1205" t="s">
        <v>938</v>
      </c>
      <c r="I1205">
        <v>4</v>
      </c>
      <c r="J1205" t="s">
        <v>106</v>
      </c>
      <c r="K1205">
        <v>4</v>
      </c>
      <c r="L1205" t="s">
        <v>44</v>
      </c>
      <c r="M1205">
        <v>2.4</v>
      </c>
      <c r="N1205" t="s">
        <v>45</v>
      </c>
      <c r="O1205" t="s">
        <v>46</v>
      </c>
      <c r="P1205">
        <v>4</v>
      </c>
      <c r="Q1205" t="s">
        <v>62</v>
      </c>
      <c r="R1205" t="s">
        <v>63</v>
      </c>
      <c r="S1205" t="s">
        <v>49</v>
      </c>
      <c r="T1205">
        <v>180</v>
      </c>
      <c r="U1205" t="s">
        <v>50</v>
      </c>
      <c r="V1205" t="s">
        <v>51</v>
      </c>
      <c r="X1205" t="s">
        <v>141</v>
      </c>
      <c r="Y1205" t="s">
        <v>78</v>
      </c>
      <c r="Z1205">
        <v>29525</v>
      </c>
      <c r="AA1205">
        <v>0</v>
      </c>
      <c r="AB1205" t="s">
        <v>79</v>
      </c>
      <c r="AC1205" t="s">
        <v>87</v>
      </c>
      <c r="AD1205">
        <v>36</v>
      </c>
      <c r="AE1205">
        <v>9</v>
      </c>
      <c r="AF1205">
        <v>3</v>
      </c>
      <c r="AG1205">
        <v>2025</v>
      </c>
      <c r="AH1205" s="2">
        <v>17200</v>
      </c>
      <c r="AI1205" s="2">
        <v>20273.515625</v>
      </c>
      <c r="AJ1205" s="2">
        <f t="shared" si="146"/>
        <v>3073.515625</v>
      </c>
      <c r="AK1205" s="6">
        <f t="shared" si="147"/>
        <v>0.17869276889534882</v>
      </c>
      <c r="AL1205" s="12">
        <v>17200</v>
      </c>
      <c r="AM1205" s="12">
        <v>19430.777479182019</v>
      </c>
      <c r="AN1205" s="12">
        <f t="shared" si="148"/>
        <v>2230.7774791820193</v>
      </c>
      <c r="AO1205" s="13">
        <f t="shared" si="149"/>
        <v>0.12969636506872206</v>
      </c>
      <c r="AP1205" s="16">
        <v>17200</v>
      </c>
      <c r="AQ1205" s="16">
        <v>16242.914942572639</v>
      </c>
      <c r="AR1205" s="16">
        <f t="shared" si="150"/>
        <v>957.08505742736088</v>
      </c>
      <c r="AS1205" s="17">
        <f t="shared" si="144"/>
        <v>5.56444800829861E-2</v>
      </c>
      <c r="AT1205" s="20">
        <v>17200</v>
      </c>
      <c r="AU1205" s="20">
        <v>19933.087890625</v>
      </c>
      <c r="AV1205" s="20">
        <f t="shared" si="145"/>
        <v>2733.087890625</v>
      </c>
      <c r="AW1205" s="21">
        <f t="shared" si="151"/>
        <v>0.15890045875726744</v>
      </c>
    </row>
    <row r="1206" spans="1:49" x14ac:dyDescent="0.25">
      <c r="A1206" t="s">
        <v>38</v>
      </c>
      <c r="B1206" t="s">
        <v>110</v>
      </c>
      <c r="C1206">
        <v>158604</v>
      </c>
      <c r="D1206">
        <v>2004</v>
      </c>
      <c r="E1206" t="s">
        <v>69</v>
      </c>
      <c r="F1206" t="s">
        <v>231</v>
      </c>
      <c r="H1206" t="s">
        <v>832</v>
      </c>
      <c r="I1206">
        <v>8</v>
      </c>
      <c r="J1206" t="s">
        <v>122</v>
      </c>
      <c r="K1206">
        <v>2</v>
      </c>
      <c r="L1206" t="s">
        <v>44</v>
      </c>
      <c r="M1206">
        <v>4.5999999999999996</v>
      </c>
      <c r="N1206" t="s">
        <v>73</v>
      </c>
      <c r="Q1206" t="s">
        <v>74</v>
      </c>
      <c r="R1206" t="s">
        <v>92</v>
      </c>
      <c r="S1206" t="s">
        <v>49</v>
      </c>
      <c r="T1206">
        <v>231</v>
      </c>
      <c r="U1206" t="s">
        <v>50</v>
      </c>
      <c r="V1206" t="s">
        <v>76</v>
      </c>
      <c r="X1206" t="s">
        <v>94</v>
      </c>
      <c r="Y1206" t="s">
        <v>78</v>
      </c>
      <c r="AA1206">
        <v>0</v>
      </c>
      <c r="AB1206" t="s">
        <v>79</v>
      </c>
      <c r="AC1206" t="s">
        <v>95</v>
      </c>
      <c r="AD1206">
        <v>36</v>
      </c>
      <c r="AE1206">
        <v>9</v>
      </c>
      <c r="AF1206">
        <v>3</v>
      </c>
      <c r="AG1206">
        <v>2025</v>
      </c>
      <c r="AH1206" s="2">
        <v>1400</v>
      </c>
      <c r="AI1206" s="2">
        <v>2324.799560546875</v>
      </c>
      <c r="AJ1206" s="2">
        <f t="shared" si="146"/>
        <v>924.799560546875</v>
      </c>
      <c r="AK1206" s="6">
        <f t="shared" si="147"/>
        <v>0.66057111467633933</v>
      </c>
      <c r="AL1206" s="12">
        <v>1400</v>
      </c>
      <c r="AM1206" s="12">
        <v>2222.8865761607099</v>
      </c>
      <c r="AN1206" s="12">
        <f t="shared" si="148"/>
        <v>822.88657616070986</v>
      </c>
      <c r="AO1206" s="13">
        <f t="shared" si="149"/>
        <v>0.58777612582907846</v>
      </c>
      <c r="AP1206" s="16">
        <v>1400</v>
      </c>
      <c r="AQ1206" s="16">
        <v>2230.888166639972</v>
      </c>
      <c r="AR1206" s="16">
        <f t="shared" si="150"/>
        <v>830.88816663997204</v>
      </c>
      <c r="AS1206" s="17">
        <f t="shared" si="144"/>
        <v>0.59349154759998002</v>
      </c>
      <c r="AT1206" s="20">
        <v>1400</v>
      </c>
      <c r="AU1206" s="20">
        <v>2326.43359375</v>
      </c>
      <c r="AV1206" s="20">
        <f t="shared" si="145"/>
        <v>926.43359375</v>
      </c>
      <c r="AW1206" s="21">
        <f t="shared" si="151"/>
        <v>0.66173828125</v>
      </c>
    </row>
    <row r="1207" spans="1:49" x14ac:dyDescent="0.25">
      <c r="A1207" t="s">
        <v>38</v>
      </c>
      <c r="B1207" t="s">
        <v>96</v>
      </c>
      <c r="C1207">
        <v>73170</v>
      </c>
      <c r="D1207">
        <v>2015</v>
      </c>
      <c r="E1207" t="s">
        <v>142</v>
      </c>
      <c r="F1207" t="s">
        <v>649</v>
      </c>
      <c r="G1207" t="s">
        <v>457</v>
      </c>
      <c r="I1207">
        <v>4</v>
      </c>
      <c r="J1207" t="s">
        <v>72</v>
      </c>
      <c r="K1207">
        <v>4</v>
      </c>
      <c r="L1207" t="s">
        <v>44</v>
      </c>
      <c r="M1207">
        <v>2.4</v>
      </c>
      <c r="N1207" t="s">
        <v>91</v>
      </c>
      <c r="O1207" t="s">
        <v>46</v>
      </c>
      <c r="P1207">
        <v>5</v>
      </c>
      <c r="Q1207" t="s">
        <v>62</v>
      </c>
      <c r="R1207" t="s">
        <v>63</v>
      </c>
      <c r="S1207" t="s">
        <v>93</v>
      </c>
      <c r="U1207" t="s">
        <v>50</v>
      </c>
      <c r="X1207" t="s">
        <v>65</v>
      </c>
      <c r="Y1207" t="s">
        <v>78</v>
      </c>
      <c r="AA1207">
        <v>0</v>
      </c>
      <c r="AB1207" t="s">
        <v>79</v>
      </c>
      <c r="AC1207" t="s">
        <v>87</v>
      </c>
      <c r="AD1207">
        <v>36</v>
      </c>
      <c r="AE1207">
        <v>9</v>
      </c>
      <c r="AF1207">
        <v>3</v>
      </c>
      <c r="AG1207">
        <v>2025</v>
      </c>
      <c r="AH1207" s="2">
        <v>5750</v>
      </c>
      <c r="AI1207" s="2">
        <v>7613.82958984375</v>
      </c>
      <c r="AJ1207" s="2">
        <f t="shared" si="146"/>
        <v>1863.82958984375</v>
      </c>
      <c r="AK1207" s="6">
        <f t="shared" si="147"/>
        <v>0.32414427649456523</v>
      </c>
      <c r="AL1207" s="12">
        <v>5750</v>
      </c>
      <c r="AM1207" s="12">
        <v>7856.5076455211492</v>
      </c>
      <c r="AN1207" s="12">
        <f t="shared" si="148"/>
        <v>2106.5076455211492</v>
      </c>
      <c r="AO1207" s="13">
        <f t="shared" si="149"/>
        <v>0.36634915574280857</v>
      </c>
      <c r="AP1207" s="16">
        <v>5750</v>
      </c>
      <c r="AQ1207" s="16">
        <v>6639.06619431734</v>
      </c>
      <c r="AR1207" s="16">
        <f t="shared" si="150"/>
        <v>889.06619431733998</v>
      </c>
      <c r="AS1207" s="17">
        <f t="shared" si="144"/>
        <v>0.15462020770736348</v>
      </c>
      <c r="AT1207" s="20">
        <v>5750</v>
      </c>
      <c r="AU1207" s="20">
        <v>7740.57177734375</v>
      </c>
      <c r="AV1207" s="20">
        <f t="shared" si="145"/>
        <v>1990.57177734375</v>
      </c>
      <c r="AW1207" s="21">
        <f t="shared" si="151"/>
        <v>0.34618639605978263</v>
      </c>
    </row>
    <row r="1208" spans="1:49" x14ac:dyDescent="0.25">
      <c r="A1208" t="s">
        <v>38</v>
      </c>
      <c r="B1208" t="s">
        <v>110</v>
      </c>
      <c r="C1208">
        <v>123222</v>
      </c>
      <c r="D1208">
        <v>2012</v>
      </c>
      <c r="E1208" t="s">
        <v>399</v>
      </c>
      <c r="F1208" t="s">
        <v>400</v>
      </c>
      <c r="G1208" t="s">
        <v>1274</v>
      </c>
      <c r="I1208">
        <v>4</v>
      </c>
      <c r="J1208" t="s">
        <v>72</v>
      </c>
      <c r="K1208">
        <v>4</v>
      </c>
      <c r="L1208" t="s">
        <v>358</v>
      </c>
      <c r="M1208">
        <v>2.5</v>
      </c>
      <c r="N1208" t="s">
        <v>44</v>
      </c>
      <c r="Q1208" t="s">
        <v>47</v>
      </c>
      <c r="R1208" t="s">
        <v>757</v>
      </c>
      <c r="S1208" t="s">
        <v>85</v>
      </c>
      <c r="X1208" t="s">
        <v>125</v>
      </c>
      <c r="Y1208" t="s">
        <v>54</v>
      </c>
      <c r="AA1208">
        <v>0</v>
      </c>
      <c r="AB1208" t="s">
        <v>79</v>
      </c>
      <c r="AC1208" t="s">
        <v>757</v>
      </c>
      <c r="AD1208">
        <v>36</v>
      </c>
      <c r="AE1208">
        <v>9</v>
      </c>
      <c r="AF1208">
        <v>3</v>
      </c>
      <c r="AG1208">
        <v>2025</v>
      </c>
      <c r="AH1208" s="2">
        <v>2300</v>
      </c>
      <c r="AI1208" s="2">
        <v>3436.30712890625</v>
      </c>
      <c r="AJ1208" s="2">
        <f t="shared" si="146"/>
        <v>1136.30712890625</v>
      </c>
      <c r="AK1208" s="6">
        <f t="shared" si="147"/>
        <v>0.49404657778532607</v>
      </c>
      <c r="AL1208" s="12">
        <v>2300</v>
      </c>
      <c r="AM1208" s="12">
        <v>2480.7604014434751</v>
      </c>
      <c r="AN1208" s="12">
        <f t="shared" si="148"/>
        <v>180.76040144347508</v>
      </c>
      <c r="AO1208" s="13">
        <f t="shared" si="149"/>
        <v>7.8591478888467431E-2</v>
      </c>
      <c r="AP1208" s="16">
        <v>2300</v>
      </c>
      <c r="AQ1208" s="16">
        <v>3299.4514048770429</v>
      </c>
      <c r="AR1208" s="16">
        <f t="shared" si="150"/>
        <v>999.45140487704293</v>
      </c>
      <c r="AS1208" s="17">
        <f t="shared" si="144"/>
        <v>0.43454408907697517</v>
      </c>
      <c r="AT1208" s="20">
        <v>2300</v>
      </c>
      <c r="AU1208" s="20">
        <v>3339.486083984375</v>
      </c>
      <c r="AV1208" s="20">
        <f t="shared" si="145"/>
        <v>1039.486083984375</v>
      </c>
      <c r="AW1208" s="21">
        <f t="shared" si="151"/>
        <v>0.45195047129755433</v>
      </c>
    </row>
    <row r="1209" spans="1:49" x14ac:dyDescent="0.25">
      <c r="A1209" t="s">
        <v>81</v>
      </c>
      <c r="B1209" t="s">
        <v>82</v>
      </c>
      <c r="C1209">
        <v>109692</v>
      </c>
      <c r="D1209">
        <v>2015</v>
      </c>
      <c r="E1209" t="s">
        <v>263</v>
      </c>
      <c r="F1209" t="s">
        <v>563</v>
      </c>
      <c r="G1209" t="s">
        <v>265</v>
      </c>
      <c r="I1209">
        <v>4</v>
      </c>
      <c r="J1209" t="s">
        <v>43</v>
      </c>
      <c r="K1209">
        <v>4</v>
      </c>
      <c r="L1209" t="s">
        <v>44</v>
      </c>
      <c r="M1209">
        <v>2.5</v>
      </c>
      <c r="N1209" t="s">
        <v>45</v>
      </c>
      <c r="O1209" t="s">
        <v>46</v>
      </c>
      <c r="Q1209" t="s">
        <v>47</v>
      </c>
      <c r="R1209" t="s">
        <v>123</v>
      </c>
      <c r="S1209" t="s">
        <v>49</v>
      </c>
      <c r="U1209" t="s">
        <v>50</v>
      </c>
      <c r="X1209" t="s">
        <v>125</v>
      </c>
      <c r="Y1209" t="s">
        <v>54</v>
      </c>
      <c r="AA1209">
        <v>0</v>
      </c>
      <c r="AB1209" t="s">
        <v>79</v>
      </c>
      <c r="AC1209" t="s">
        <v>127</v>
      </c>
      <c r="AD1209">
        <v>36</v>
      </c>
      <c r="AE1209">
        <v>9</v>
      </c>
      <c r="AF1209">
        <v>3</v>
      </c>
      <c r="AG1209">
        <v>2025</v>
      </c>
      <c r="AH1209" s="2">
        <v>3900</v>
      </c>
      <c r="AI1209" s="2">
        <v>3982.2109375</v>
      </c>
      <c r="AJ1209" s="2">
        <f t="shared" si="146"/>
        <v>82.2109375</v>
      </c>
      <c r="AK1209" s="6">
        <f t="shared" si="147"/>
        <v>2.1079727564102563E-2</v>
      </c>
      <c r="AL1209" s="12">
        <v>3900</v>
      </c>
      <c r="AM1209" s="12">
        <v>3626.2386296260179</v>
      </c>
      <c r="AN1209" s="12">
        <f t="shared" si="148"/>
        <v>273.76137037398212</v>
      </c>
      <c r="AO1209" s="13">
        <f t="shared" si="149"/>
        <v>7.0195223172815929E-2</v>
      </c>
      <c r="AP1209" s="16">
        <v>3900</v>
      </c>
      <c r="AQ1209" s="16">
        <v>3133.3167075439378</v>
      </c>
      <c r="AR1209" s="16">
        <f t="shared" si="150"/>
        <v>766.68329245606219</v>
      </c>
      <c r="AS1209" s="17">
        <f t="shared" si="144"/>
        <v>0.19658545960411852</v>
      </c>
      <c r="AT1209" s="20">
        <v>3900</v>
      </c>
      <c r="AU1209" s="20">
        <v>4041.53955078125</v>
      </c>
      <c r="AV1209" s="20">
        <f t="shared" si="145"/>
        <v>141.53955078125</v>
      </c>
      <c r="AW1209" s="21">
        <f t="shared" si="151"/>
        <v>3.629219250801282E-2</v>
      </c>
    </row>
    <row r="1210" spans="1:49" x14ac:dyDescent="0.25">
      <c r="A1210" t="s">
        <v>38</v>
      </c>
      <c r="B1210" t="s">
        <v>68</v>
      </c>
      <c r="C1210">
        <v>123787</v>
      </c>
      <c r="D1210">
        <v>2017</v>
      </c>
      <c r="E1210" t="s">
        <v>97</v>
      </c>
      <c r="F1210" t="s">
        <v>159</v>
      </c>
      <c r="G1210" t="s">
        <v>380</v>
      </c>
      <c r="H1210" t="s">
        <v>89</v>
      </c>
      <c r="I1210">
        <v>8</v>
      </c>
      <c r="J1210" t="s">
        <v>122</v>
      </c>
      <c r="K1210">
        <v>4</v>
      </c>
      <c r="L1210" t="s">
        <v>44</v>
      </c>
      <c r="M1210">
        <v>5.3</v>
      </c>
      <c r="N1210" t="s">
        <v>91</v>
      </c>
      <c r="O1210" t="s">
        <v>46</v>
      </c>
      <c r="P1210">
        <v>4</v>
      </c>
      <c r="Q1210" t="s">
        <v>74</v>
      </c>
      <c r="R1210" t="s">
        <v>92</v>
      </c>
      <c r="S1210" t="s">
        <v>93</v>
      </c>
      <c r="U1210" t="s">
        <v>50</v>
      </c>
      <c r="W1210" t="s">
        <v>424</v>
      </c>
      <c r="X1210" t="s">
        <v>108</v>
      </c>
      <c r="Y1210" t="s">
        <v>126</v>
      </c>
      <c r="Z1210">
        <v>44400</v>
      </c>
      <c r="AA1210">
        <v>0</v>
      </c>
      <c r="AB1210" t="s">
        <v>79</v>
      </c>
      <c r="AC1210" t="s">
        <v>95</v>
      </c>
      <c r="AD1210">
        <v>36</v>
      </c>
      <c r="AE1210">
        <v>9</v>
      </c>
      <c r="AF1210">
        <v>3</v>
      </c>
      <c r="AG1210">
        <v>2025</v>
      </c>
      <c r="AH1210" s="2">
        <v>20800</v>
      </c>
      <c r="AI1210" s="2">
        <v>21367.11328125</v>
      </c>
      <c r="AJ1210" s="2">
        <f t="shared" si="146"/>
        <v>567.11328125</v>
      </c>
      <c r="AK1210" s="6">
        <f t="shared" si="147"/>
        <v>2.7265061598557693E-2</v>
      </c>
      <c r="AL1210" s="12">
        <v>20800</v>
      </c>
      <c r="AM1210" s="12">
        <v>19889.711393964259</v>
      </c>
      <c r="AN1210" s="12">
        <f t="shared" si="148"/>
        <v>910.2886060357414</v>
      </c>
      <c r="AO1210" s="13">
        <f t="shared" si="149"/>
        <v>4.3763875290179874E-2</v>
      </c>
      <c r="AP1210" s="16">
        <v>20800</v>
      </c>
      <c r="AQ1210" s="16">
        <v>19434.947099008899</v>
      </c>
      <c r="AR1210" s="16">
        <f t="shared" si="150"/>
        <v>1365.0529009911006</v>
      </c>
      <c r="AS1210" s="17">
        <f t="shared" si="144"/>
        <v>6.5627543316879838E-2</v>
      </c>
      <c r="AT1210" s="20">
        <v>20800</v>
      </c>
      <c r="AU1210" s="20">
        <v>20892.455078125</v>
      </c>
      <c r="AV1210" s="20">
        <f t="shared" si="145"/>
        <v>92.455078125</v>
      </c>
      <c r="AW1210" s="21">
        <f t="shared" si="151"/>
        <v>4.4449556790865383E-3</v>
      </c>
    </row>
    <row r="1211" spans="1:49" x14ac:dyDescent="0.25">
      <c r="A1211" t="s">
        <v>128</v>
      </c>
      <c r="B1211" t="s">
        <v>129</v>
      </c>
      <c r="C1211">
        <v>135660</v>
      </c>
      <c r="D1211">
        <v>2014</v>
      </c>
      <c r="E1211" t="s">
        <v>341</v>
      </c>
      <c r="F1211" t="s">
        <v>342</v>
      </c>
      <c r="G1211" t="s">
        <v>1063</v>
      </c>
      <c r="I1211">
        <v>4</v>
      </c>
      <c r="J1211" t="s">
        <v>135</v>
      </c>
      <c r="K1211">
        <v>4</v>
      </c>
      <c r="L1211" t="s">
        <v>44</v>
      </c>
      <c r="M1211">
        <v>2.4</v>
      </c>
      <c r="N1211" t="s">
        <v>45</v>
      </c>
      <c r="O1211" t="s">
        <v>46</v>
      </c>
      <c r="P1211">
        <v>2</v>
      </c>
      <c r="Q1211" t="s">
        <v>47</v>
      </c>
      <c r="R1211" t="s">
        <v>123</v>
      </c>
      <c r="U1211" t="s">
        <v>50</v>
      </c>
      <c r="W1211" t="s">
        <v>343</v>
      </c>
      <c r="X1211" t="s">
        <v>125</v>
      </c>
      <c r="Y1211" t="s">
        <v>78</v>
      </c>
      <c r="AA1211">
        <v>0</v>
      </c>
      <c r="AB1211" t="s">
        <v>79</v>
      </c>
      <c r="AC1211" t="s">
        <v>127</v>
      </c>
      <c r="AD1211">
        <v>36</v>
      </c>
      <c r="AE1211">
        <v>9</v>
      </c>
      <c r="AF1211">
        <v>3</v>
      </c>
      <c r="AG1211">
        <v>2025</v>
      </c>
      <c r="AH1211" s="2">
        <v>2100</v>
      </c>
      <c r="AI1211" s="2">
        <v>1700.640747070312</v>
      </c>
      <c r="AJ1211" s="2">
        <f t="shared" si="146"/>
        <v>399.35925292968795</v>
      </c>
      <c r="AK1211" s="6">
        <f t="shared" si="147"/>
        <v>0.19017107282366094</v>
      </c>
      <c r="AL1211" s="12">
        <v>2100</v>
      </c>
      <c r="AM1211" s="12">
        <v>1945.7853638020761</v>
      </c>
      <c r="AN1211" s="12">
        <f t="shared" si="148"/>
        <v>154.21463619792394</v>
      </c>
      <c r="AO1211" s="13">
        <f t="shared" si="149"/>
        <v>7.3435541046630443E-2</v>
      </c>
      <c r="AP1211" s="16">
        <v>2100</v>
      </c>
      <c r="AQ1211" s="16">
        <v>1475.005101351391</v>
      </c>
      <c r="AR1211" s="16">
        <f t="shared" si="150"/>
        <v>624.99489864860902</v>
      </c>
      <c r="AS1211" s="17">
        <f t="shared" si="144"/>
        <v>0.29761661840409953</v>
      </c>
      <c r="AT1211" s="20">
        <v>2100</v>
      </c>
      <c r="AU1211" s="20">
        <v>1693.953369140625</v>
      </c>
      <c r="AV1211" s="20">
        <f t="shared" si="145"/>
        <v>406.046630859375</v>
      </c>
      <c r="AW1211" s="21">
        <f t="shared" si="151"/>
        <v>0.1933555385044643</v>
      </c>
    </row>
    <row r="1212" spans="1:49" x14ac:dyDescent="0.25">
      <c r="A1212" t="s">
        <v>38</v>
      </c>
      <c r="B1212" t="s">
        <v>68</v>
      </c>
      <c r="C1212">
        <v>67819</v>
      </c>
      <c r="D1212">
        <v>2022</v>
      </c>
      <c r="E1212" t="s">
        <v>88</v>
      </c>
      <c r="F1212" t="s">
        <v>89</v>
      </c>
      <c r="G1212" t="s">
        <v>262</v>
      </c>
      <c r="H1212" t="s">
        <v>921</v>
      </c>
      <c r="I1212">
        <v>8</v>
      </c>
      <c r="J1212" t="s">
        <v>72</v>
      </c>
      <c r="K1212">
        <v>4</v>
      </c>
      <c r="L1212" t="s">
        <v>44</v>
      </c>
      <c r="M1212">
        <v>5.7</v>
      </c>
      <c r="N1212" t="s">
        <v>91</v>
      </c>
      <c r="O1212" t="s">
        <v>46</v>
      </c>
      <c r="P1212">
        <v>4</v>
      </c>
      <c r="Q1212" t="s">
        <v>74</v>
      </c>
      <c r="R1212" t="s">
        <v>92</v>
      </c>
      <c r="S1212" t="s">
        <v>93</v>
      </c>
      <c r="T1212">
        <v>395</v>
      </c>
      <c r="U1212" t="s">
        <v>50</v>
      </c>
      <c r="V1212" t="s">
        <v>76</v>
      </c>
      <c r="X1212" t="s">
        <v>108</v>
      </c>
      <c r="Y1212" t="s">
        <v>78</v>
      </c>
      <c r="AA1212">
        <v>0</v>
      </c>
      <c r="AB1212" t="s">
        <v>79</v>
      </c>
      <c r="AC1212" t="s">
        <v>95</v>
      </c>
      <c r="AD1212">
        <v>36</v>
      </c>
      <c r="AE1212">
        <v>9</v>
      </c>
      <c r="AF1212">
        <v>3</v>
      </c>
      <c r="AG1212">
        <v>2025</v>
      </c>
      <c r="AH1212" s="2">
        <v>21750</v>
      </c>
      <c r="AI1212" s="2">
        <v>26128.673828125</v>
      </c>
      <c r="AJ1212" s="2">
        <f t="shared" si="146"/>
        <v>4378.673828125</v>
      </c>
      <c r="AK1212" s="6">
        <f t="shared" si="147"/>
        <v>0.20131833692528736</v>
      </c>
      <c r="AL1212" s="12">
        <v>21750</v>
      </c>
      <c r="AM1212" s="12">
        <v>31977.49706376388</v>
      </c>
      <c r="AN1212" s="12">
        <f t="shared" si="148"/>
        <v>10227.49706376388</v>
      </c>
      <c r="AO1212" s="13">
        <f t="shared" si="149"/>
        <v>0.47022975005810941</v>
      </c>
      <c r="AP1212" s="16">
        <v>21750</v>
      </c>
      <c r="AQ1212" s="16">
        <v>29480.890372169859</v>
      </c>
      <c r="AR1212" s="16">
        <f t="shared" si="150"/>
        <v>7730.8903721698589</v>
      </c>
      <c r="AS1212" s="17">
        <f t="shared" si="144"/>
        <v>0.35544323550206247</v>
      </c>
      <c r="AT1212" s="20">
        <v>21750</v>
      </c>
      <c r="AU1212" s="20">
        <v>26972.830078125</v>
      </c>
      <c r="AV1212" s="20">
        <f t="shared" si="145"/>
        <v>5222.830078125</v>
      </c>
      <c r="AW1212" s="21">
        <f t="shared" si="151"/>
        <v>0.24013011853448277</v>
      </c>
    </row>
    <row r="1213" spans="1:49" x14ac:dyDescent="0.25">
      <c r="A1213" t="s">
        <v>38</v>
      </c>
      <c r="B1213" t="s">
        <v>110</v>
      </c>
      <c r="C1213">
        <v>220340</v>
      </c>
      <c r="D1213">
        <v>2017</v>
      </c>
      <c r="E1213" t="s">
        <v>97</v>
      </c>
      <c r="F1213" t="s">
        <v>379</v>
      </c>
      <c r="G1213" t="s">
        <v>364</v>
      </c>
      <c r="I1213">
        <v>4</v>
      </c>
      <c r="J1213" t="s">
        <v>122</v>
      </c>
      <c r="K1213">
        <v>4</v>
      </c>
      <c r="L1213" t="s">
        <v>44</v>
      </c>
      <c r="M1213">
        <v>1.4</v>
      </c>
      <c r="N1213" t="s">
        <v>45</v>
      </c>
      <c r="Q1213" t="s">
        <v>47</v>
      </c>
      <c r="R1213" t="s">
        <v>123</v>
      </c>
      <c r="U1213" t="s">
        <v>50</v>
      </c>
      <c r="V1213" t="s">
        <v>51</v>
      </c>
      <c r="W1213" t="s">
        <v>423</v>
      </c>
      <c r="X1213" t="s">
        <v>125</v>
      </c>
      <c r="Y1213" t="s">
        <v>78</v>
      </c>
      <c r="Z1213">
        <v>23475</v>
      </c>
      <c r="AA1213">
        <v>0</v>
      </c>
      <c r="AB1213" t="s">
        <v>79</v>
      </c>
      <c r="AC1213" t="s">
        <v>127</v>
      </c>
      <c r="AD1213">
        <v>36</v>
      </c>
      <c r="AE1213">
        <v>9</v>
      </c>
      <c r="AF1213">
        <v>3</v>
      </c>
      <c r="AG1213">
        <v>2025</v>
      </c>
      <c r="AH1213" s="2">
        <v>900</v>
      </c>
      <c r="AI1213" s="2">
        <v>1863.9404296875</v>
      </c>
      <c r="AJ1213" s="2">
        <f t="shared" si="146"/>
        <v>963.9404296875</v>
      </c>
      <c r="AK1213" s="6">
        <f t="shared" si="147"/>
        <v>1.071044921875</v>
      </c>
      <c r="AL1213" s="12">
        <v>900</v>
      </c>
      <c r="AM1213" s="12">
        <v>1833.0395679466419</v>
      </c>
      <c r="AN1213" s="12">
        <f t="shared" si="148"/>
        <v>933.03956794664191</v>
      </c>
      <c r="AO1213" s="13">
        <f t="shared" si="149"/>
        <v>1.0367106310518244</v>
      </c>
      <c r="AP1213" s="16">
        <v>900</v>
      </c>
      <c r="AQ1213" s="16">
        <v>1579.2809214443971</v>
      </c>
      <c r="AR1213" s="16">
        <f t="shared" si="150"/>
        <v>679.28092144439711</v>
      </c>
      <c r="AS1213" s="17">
        <f t="shared" si="144"/>
        <v>0.7547565793826635</v>
      </c>
      <c r="AT1213" s="20">
        <v>900</v>
      </c>
      <c r="AU1213" s="20">
        <v>1866.639526367188</v>
      </c>
      <c r="AV1213" s="20">
        <f t="shared" si="145"/>
        <v>966.63952636718795</v>
      </c>
      <c r="AW1213" s="21">
        <f t="shared" si="151"/>
        <v>1.0740439181857644</v>
      </c>
    </row>
    <row r="1214" spans="1:49" x14ac:dyDescent="0.25">
      <c r="A1214" t="s">
        <v>38</v>
      </c>
      <c r="B1214" t="s">
        <v>39</v>
      </c>
      <c r="C1214">
        <v>251066</v>
      </c>
      <c r="D1214">
        <v>2007</v>
      </c>
      <c r="E1214" t="s">
        <v>97</v>
      </c>
      <c r="F1214" t="s">
        <v>419</v>
      </c>
      <c r="G1214" t="s">
        <v>199</v>
      </c>
      <c r="H1214" t="s">
        <v>177</v>
      </c>
      <c r="I1214">
        <v>8</v>
      </c>
      <c r="J1214" t="s">
        <v>277</v>
      </c>
      <c r="K1214">
        <v>4</v>
      </c>
      <c r="L1214" t="s">
        <v>44</v>
      </c>
      <c r="M1214">
        <v>5.3</v>
      </c>
      <c r="N1214" t="s">
        <v>73</v>
      </c>
      <c r="O1214" t="s">
        <v>46</v>
      </c>
      <c r="Q1214" t="s">
        <v>62</v>
      </c>
      <c r="R1214" t="s">
        <v>63</v>
      </c>
      <c r="S1214" t="s">
        <v>49</v>
      </c>
      <c r="V1214" t="s">
        <v>76</v>
      </c>
      <c r="W1214" t="s">
        <v>1215</v>
      </c>
      <c r="X1214" t="s">
        <v>108</v>
      </c>
      <c r="Y1214" t="s">
        <v>78</v>
      </c>
      <c r="AA1214">
        <v>0</v>
      </c>
      <c r="AB1214" t="s">
        <v>79</v>
      </c>
      <c r="AC1214" t="s">
        <v>87</v>
      </c>
      <c r="AD1214">
        <v>36</v>
      </c>
      <c r="AE1214">
        <v>9</v>
      </c>
      <c r="AF1214">
        <v>3</v>
      </c>
      <c r="AG1214">
        <v>2025</v>
      </c>
      <c r="AH1214" s="2">
        <v>1200</v>
      </c>
      <c r="AI1214" s="2">
        <v>2198.369873046875</v>
      </c>
      <c r="AJ1214" s="2">
        <f t="shared" si="146"/>
        <v>998.369873046875</v>
      </c>
      <c r="AK1214" s="6">
        <f t="shared" si="147"/>
        <v>0.83197489420572912</v>
      </c>
      <c r="AL1214" s="12">
        <v>1200</v>
      </c>
      <c r="AM1214" s="12">
        <v>2288.3254197786569</v>
      </c>
      <c r="AN1214" s="12">
        <f t="shared" si="148"/>
        <v>1088.3254197786569</v>
      </c>
      <c r="AO1214" s="13">
        <f t="shared" si="149"/>
        <v>0.90693784981554737</v>
      </c>
      <c r="AP1214" s="16">
        <v>1200</v>
      </c>
      <c r="AQ1214" s="16">
        <v>1913.559737151789</v>
      </c>
      <c r="AR1214" s="16">
        <f t="shared" si="150"/>
        <v>713.55973715178902</v>
      </c>
      <c r="AS1214" s="17">
        <f t="shared" si="144"/>
        <v>0.59463311429315757</v>
      </c>
      <c r="AT1214" s="20">
        <v>1200</v>
      </c>
      <c r="AU1214" s="20">
        <v>2228.895751953125</v>
      </c>
      <c r="AV1214" s="20">
        <f t="shared" si="145"/>
        <v>1028.895751953125</v>
      </c>
      <c r="AW1214" s="21">
        <f t="shared" si="151"/>
        <v>0.85741312662760416</v>
      </c>
    </row>
    <row r="1215" spans="1:49" x14ac:dyDescent="0.25">
      <c r="A1215" t="s">
        <v>38</v>
      </c>
      <c r="B1215" t="s">
        <v>39</v>
      </c>
      <c r="C1215">
        <v>119014</v>
      </c>
      <c r="D1215">
        <v>2018</v>
      </c>
      <c r="E1215" t="s">
        <v>69</v>
      </c>
      <c r="F1215" t="s">
        <v>250</v>
      </c>
      <c r="H1215" t="s">
        <v>224</v>
      </c>
      <c r="I1215">
        <v>4</v>
      </c>
      <c r="J1215" t="s">
        <v>61</v>
      </c>
      <c r="K1215">
        <v>4</v>
      </c>
      <c r="L1215" t="s">
        <v>44</v>
      </c>
      <c r="M1215">
        <v>1.5</v>
      </c>
      <c r="N1215" t="s">
        <v>91</v>
      </c>
      <c r="O1215" t="s">
        <v>46</v>
      </c>
      <c r="Q1215" t="s">
        <v>62</v>
      </c>
      <c r="R1215" t="s">
        <v>63</v>
      </c>
      <c r="S1215" t="s">
        <v>93</v>
      </c>
      <c r="T1215">
        <v>170</v>
      </c>
      <c r="U1215" t="s">
        <v>50</v>
      </c>
      <c r="V1215" t="s">
        <v>51</v>
      </c>
      <c r="W1215" t="s">
        <v>598</v>
      </c>
      <c r="X1215" t="s">
        <v>65</v>
      </c>
      <c r="Y1215" t="s">
        <v>78</v>
      </c>
      <c r="Z1215">
        <v>25700</v>
      </c>
      <c r="AA1215">
        <v>0</v>
      </c>
      <c r="AB1215" t="s">
        <v>79</v>
      </c>
      <c r="AC1215" t="s">
        <v>87</v>
      </c>
      <c r="AD1215">
        <v>36</v>
      </c>
      <c r="AE1215">
        <v>9</v>
      </c>
      <c r="AF1215">
        <v>3</v>
      </c>
      <c r="AG1215">
        <v>2025</v>
      </c>
      <c r="AH1215" s="2">
        <v>2700</v>
      </c>
      <c r="AI1215" s="2">
        <v>4577.63525390625</v>
      </c>
      <c r="AJ1215" s="2">
        <f t="shared" si="146"/>
        <v>1877.63525390625</v>
      </c>
      <c r="AK1215" s="6">
        <f t="shared" si="147"/>
        <v>0.69542046440972227</v>
      </c>
      <c r="AL1215" s="12">
        <v>2700</v>
      </c>
      <c r="AM1215" s="12">
        <v>5995.1020735553084</v>
      </c>
      <c r="AN1215" s="12">
        <f t="shared" si="148"/>
        <v>3295.1020735553084</v>
      </c>
      <c r="AO1215" s="13">
        <f t="shared" si="149"/>
        <v>1.2204081753908549</v>
      </c>
      <c r="AP1215" s="16">
        <v>2700</v>
      </c>
      <c r="AQ1215" s="16">
        <v>4531.2498131242137</v>
      </c>
      <c r="AR1215" s="16">
        <f t="shared" si="150"/>
        <v>1831.2498131242137</v>
      </c>
      <c r="AS1215" s="17">
        <f t="shared" si="144"/>
        <v>0.67824067152748657</v>
      </c>
      <c r="AT1215" s="20">
        <v>2700</v>
      </c>
      <c r="AU1215" s="20">
        <v>4677.31005859375</v>
      </c>
      <c r="AV1215" s="20">
        <f t="shared" si="145"/>
        <v>1977.31005859375</v>
      </c>
      <c r="AW1215" s="21">
        <f t="shared" si="151"/>
        <v>0.73233705873842592</v>
      </c>
    </row>
    <row r="1216" spans="1:49" x14ac:dyDescent="0.25">
      <c r="A1216" t="s">
        <v>128</v>
      </c>
      <c r="B1216" t="s">
        <v>819</v>
      </c>
      <c r="C1216">
        <v>187437</v>
      </c>
      <c r="D1216">
        <v>2015</v>
      </c>
      <c r="E1216" t="s">
        <v>88</v>
      </c>
      <c r="F1216" t="s">
        <v>89</v>
      </c>
      <c r="G1216" t="s">
        <v>176</v>
      </c>
      <c r="I1216">
        <v>8</v>
      </c>
      <c r="J1216" t="s">
        <v>72</v>
      </c>
      <c r="K1216">
        <v>4</v>
      </c>
      <c r="L1216" t="s">
        <v>44</v>
      </c>
      <c r="M1216">
        <v>5.7</v>
      </c>
      <c r="N1216" t="s">
        <v>91</v>
      </c>
      <c r="O1216" t="s">
        <v>46</v>
      </c>
      <c r="P1216">
        <v>3</v>
      </c>
      <c r="Q1216" t="s">
        <v>74</v>
      </c>
      <c r="R1216" t="s">
        <v>92</v>
      </c>
      <c r="S1216" t="s">
        <v>93</v>
      </c>
      <c r="U1216" t="s">
        <v>50</v>
      </c>
      <c r="X1216" t="s">
        <v>94</v>
      </c>
      <c r="Y1216" t="s">
        <v>78</v>
      </c>
      <c r="AA1216">
        <v>0</v>
      </c>
      <c r="AB1216" t="s">
        <v>79</v>
      </c>
      <c r="AC1216" t="s">
        <v>95</v>
      </c>
      <c r="AD1216">
        <v>36</v>
      </c>
      <c r="AE1216">
        <v>9</v>
      </c>
      <c r="AF1216">
        <v>3</v>
      </c>
      <c r="AG1216">
        <v>2025</v>
      </c>
      <c r="AH1216" s="2">
        <v>4300</v>
      </c>
      <c r="AI1216" s="2">
        <v>6450.19287109375</v>
      </c>
      <c r="AJ1216" s="2">
        <f t="shared" si="146"/>
        <v>2150.19287109375</v>
      </c>
      <c r="AK1216" s="6">
        <f t="shared" si="147"/>
        <v>0.50004485374273255</v>
      </c>
      <c r="AL1216" s="12">
        <v>4300</v>
      </c>
      <c r="AM1216" s="12">
        <v>6567.6020857840685</v>
      </c>
      <c r="AN1216" s="12">
        <f t="shared" si="148"/>
        <v>2267.6020857840685</v>
      </c>
      <c r="AO1216" s="13">
        <f t="shared" si="149"/>
        <v>0.5273493222753648</v>
      </c>
      <c r="AP1216" s="16">
        <v>4300</v>
      </c>
      <c r="AQ1216" s="16">
        <v>6318.4426116111163</v>
      </c>
      <c r="AR1216" s="16">
        <f t="shared" si="150"/>
        <v>2018.4426116111163</v>
      </c>
      <c r="AS1216" s="17">
        <f t="shared" si="144"/>
        <v>0.46940525851421311</v>
      </c>
      <c r="AT1216" s="20">
        <v>4300</v>
      </c>
      <c r="AU1216" s="20">
        <v>6539.34765625</v>
      </c>
      <c r="AV1216" s="20">
        <f t="shared" si="145"/>
        <v>2239.34765625</v>
      </c>
      <c r="AW1216" s="21">
        <f t="shared" si="151"/>
        <v>0.5207785247093023</v>
      </c>
    </row>
    <row r="1217" spans="1:49" x14ac:dyDescent="0.25">
      <c r="A1217" t="s">
        <v>114</v>
      </c>
      <c r="B1217" t="s">
        <v>596</v>
      </c>
      <c r="C1217">
        <v>11134</v>
      </c>
      <c r="D1217">
        <v>2016</v>
      </c>
      <c r="E1217" t="s">
        <v>97</v>
      </c>
      <c r="F1217" t="s">
        <v>159</v>
      </c>
      <c r="G1217" t="s">
        <v>155</v>
      </c>
      <c r="H1217" t="s">
        <v>89</v>
      </c>
      <c r="I1217">
        <v>8</v>
      </c>
      <c r="J1217" t="s">
        <v>43</v>
      </c>
      <c r="K1217">
        <v>4</v>
      </c>
      <c r="L1217" t="s">
        <v>44</v>
      </c>
      <c r="M1217">
        <v>5.3</v>
      </c>
      <c r="N1217" t="s">
        <v>91</v>
      </c>
      <c r="O1217" t="s">
        <v>46</v>
      </c>
      <c r="P1217">
        <v>3</v>
      </c>
      <c r="Q1217" t="s">
        <v>74</v>
      </c>
      <c r="R1217" t="s">
        <v>92</v>
      </c>
      <c r="S1217" t="s">
        <v>93</v>
      </c>
      <c r="U1217" t="s">
        <v>50</v>
      </c>
      <c r="W1217" t="s">
        <v>450</v>
      </c>
      <c r="X1217" t="s">
        <v>108</v>
      </c>
      <c r="Y1217" t="s">
        <v>126</v>
      </c>
      <c r="AA1217">
        <v>0</v>
      </c>
      <c r="AB1217" t="s">
        <v>79</v>
      </c>
      <c r="AC1217" t="s">
        <v>95</v>
      </c>
      <c r="AD1217">
        <v>36</v>
      </c>
      <c r="AE1217">
        <v>9</v>
      </c>
      <c r="AF1217">
        <v>3</v>
      </c>
      <c r="AG1217">
        <v>2025</v>
      </c>
      <c r="AH1217" s="2">
        <v>22500</v>
      </c>
      <c r="AI1217" s="2">
        <v>33199.75390625</v>
      </c>
      <c r="AJ1217" s="2">
        <f t="shared" si="146"/>
        <v>10699.75390625</v>
      </c>
      <c r="AK1217" s="6">
        <f t="shared" si="147"/>
        <v>0.47554461805555553</v>
      </c>
      <c r="AL1217" s="12">
        <v>22500</v>
      </c>
      <c r="AM1217" s="12">
        <v>33383.078294558902</v>
      </c>
      <c r="AN1217" s="12">
        <f t="shared" si="148"/>
        <v>10883.078294558902</v>
      </c>
      <c r="AO1217" s="13">
        <f t="shared" si="149"/>
        <v>0.48369236864706228</v>
      </c>
      <c r="AP1217" s="16">
        <v>22500</v>
      </c>
      <c r="AQ1217" s="16">
        <v>26884.372233580929</v>
      </c>
      <c r="AR1217" s="16">
        <f t="shared" si="150"/>
        <v>4384.3722335809289</v>
      </c>
      <c r="AS1217" s="17">
        <f t="shared" si="144"/>
        <v>0.1948609881591524</v>
      </c>
      <c r="AT1217" s="20">
        <v>22500</v>
      </c>
      <c r="AU1217" s="20">
        <v>33308.28125</v>
      </c>
      <c r="AV1217" s="20">
        <f t="shared" si="145"/>
        <v>10808.28125</v>
      </c>
      <c r="AW1217" s="21">
        <f t="shared" si="151"/>
        <v>0.48036805555555556</v>
      </c>
    </row>
    <row r="1218" spans="1:49" x14ac:dyDescent="0.25">
      <c r="A1218" t="s">
        <v>38</v>
      </c>
      <c r="B1218" t="s">
        <v>110</v>
      </c>
      <c r="C1218">
        <v>200311</v>
      </c>
      <c r="D1218">
        <v>2018</v>
      </c>
      <c r="E1218" t="s">
        <v>88</v>
      </c>
      <c r="F1218" t="s">
        <v>89</v>
      </c>
      <c r="H1218" t="s">
        <v>176</v>
      </c>
      <c r="I1218">
        <v>8</v>
      </c>
      <c r="J1218" t="s">
        <v>135</v>
      </c>
      <c r="K1218">
        <v>4</v>
      </c>
      <c r="L1218" t="s">
        <v>44</v>
      </c>
      <c r="M1218">
        <v>5.7</v>
      </c>
      <c r="N1218" t="s">
        <v>73</v>
      </c>
      <c r="O1218" t="s">
        <v>190</v>
      </c>
      <c r="P1218">
        <v>2</v>
      </c>
      <c r="Q1218" t="s">
        <v>74</v>
      </c>
      <c r="R1218" t="s">
        <v>92</v>
      </c>
      <c r="S1218" t="s">
        <v>49</v>
      </c>
      <c r="T1218">
        <v>395</v>
      </c>
      <c r="U1218" t="s">
        <v>50</v>
      </c>
      <c r="V1218" t="s">
        <v>76</v>
      </c>
      <c r="X1218" t="s">
        <v>94</v>
      </c>
      <c r="Y1218" t="s">
        <v>78</v>
      </c>
      <c r="AA1218">
        <v>0</v>
      </c>
      <c r="AB1218" t="s">
        <v>79</v>
      </c>
      <c r="AC1218" t="s">
        <v>95</v>
      </c>
      <c r="AD1218">
        <v>36</v>
      </c>
      <c r="AE1218">
        <v>9</v>
      </c>
      <c r="AF1218">
        <v>3</v>
      </c>
      <c r="AG1218">
        <v>2025</v>
      </c>
      <c r="AH1218" s="2">
        <v>3600</v>
      </c>
      <c r="AI1218" s="2">
        <v>3929.99755859375</v>
      </c>
      <c r="AJ1218" s="2">
        <f t="shared" si="146"/>
        <v>329.99755859375</v>
      </c>
      <c r="AK1218" s="6">
        <f t="shared" si="147"/>
        <v>9.1665988498263892E-2</v>
      </c>
      <c r="AL1218" s="12">
        <v>3600</v>
      </c>
      <c r="AM1218" s="12">
        <v>3808.427247048352</v>
      </c>
      <c r="AN1218" s="12">
        <f t="shared" si="148"/>
        <v>208.427247048352</v>
      </c>
      <c r="AO1218" s="13">
        <f t="shared" si="149"/>
        <v>5.7896457513431109E-2</v>
      </c>
      <c r="AP1218" s="16">
        <v>3600</v>
      </c>
      <c r="AQ1218" s="16">
        <v>3572.4800231363238</v>
      </c>
      <c r="AR1218" s="16">
        <f t="shared" si="150"/>
        <v>27.51997686367622</v>
      </c>
      <c r="AS1218" s="17">
        <f t="shared" si="144"/>
        <v>7.644438017687839E-3</v>
      </c>
      <c r="AT1218" s="20">
        <v>3600</v>
      </c>
      <c r="AU1218" s="20">
        <v>3959.820068359375</v>
      </c>
      <c r="AV1218" s="20">
        <f t="shared" si="145"/>
        <v>359.820068359375</v>
      </c>
      <c r="AW1218" s="21">
        <f t="shared" si="151"/>
        <v>9.9950018988715278E-2</v>
      </c>
    </row>
    <row r="1219" spans="1:49" x14ac:dyDescent="0.25">
      <c r="A1219" t="s">
        <v>38</v>
      </c>
      <c r="B1219" t="s">
        <v>110</v>
      </c>
      <c r="C1219">
        <v>111102</v>
      </c>
      <c r="D1219">
        <v>2017</v>
      </c>
      <c r="E1219" t="s">
        <v>162</v>
      </c>
      <c r="F1219" t="s">
        <v>688</v>
      </c>
      <c r="G1219" t="s">
        <v>533</v>
      </c>
      <c r="I1219">
        <v>4</v>
      </c>
      <c r="J1219" t="s">
        <v>135</v>
      </c>
      <c r="K1219">
        <v>4</v>
      </c>
      <c r="L1219" t="s">
        <v>44</v>
      </c>
      <c r="M1219">
        <v>1.6</v>
      </c>
      <c r="N1219" t="s">
        <v>45</v>
      </c>
      <c r="Q1219" t="s">
        <v>47</v>
      </c>
      <c r="R1219" t="s">
        <v>123</v>
      </c>
      <c r="T1219">
        <v>138</v>
      </c>
      <c r="U1219" t="s">
        <v>50</v>
      </c>
      <c r="X1219" t="s">
        <v>125</v>
      </c>
      <c r="Y1219" t="s">
        <v>66</v>
      </c>
      <c r="Z1219">
        <v>14745</v>
      </c>
      <c r="AA1219">
        <v>0</v>
      </c>
      <c r="AB1219" t="s">
        <v>79</v>
      </c>
      <c r="AC1219" t="s">
        <v>127</v>
      </c>
      <c r="AD1219">
        <v>36</v>
      </c>
      <c r="AE1219">
        <v>9</v>
      </c>
      <c r="AF1219">
        <v>3</v>
      </c>
      <c r="AG1219">
        <v>2025</v>
      </c>
      <c r="AH1219" s="2">
        <v>1300</v>
      </c>
      <c r="AI1219" s="2">
        <v>2366.33203125</v>
      </c>
      <c r="AJ1219" s="2">
        <f t="shared" si="146"/>
        <v>1066.33203125</v>
      </c>
      <c r="AK1219" s="6">
        <f t="shared" si="147"/>
        <v>0.82025540865384616</v>
      </c>
      <c r="AL1219" s="12">
        <v>1300</v>
      </c>
      <c r="AM1219" s="12">
        <v>2975.4547775679671</v>
      </c>
      <c r="AN1219" s="12">
        <f t="shared" si="148"/>
        <v>1675.4547775679671</v>
      </c>
      <c r="AO1219" s="13">
        <f t="shared" si="149"/>
        <v>1.2888113673599746</v>
      </c>
      <c r="AP1219" s="16">
        <v>1300</v>
      </c>
      <c r="AQ1219" s="16">
        <v>2286.806966167348</v>
      </c>
      <c r="AR1219" s="16">
        <f t="shared" si="150"/>
        <v>986.80696616734804</v>
      </c>
      <c r="AS1219" s="17">
        <f t="shared" ref="AS1219:AS1282" si="152">ABS($AH1219-AQ1219)/$AH1219</f>
        <v>0.75908228166719083</v>
      </c>
      <c r="AT1219" s="20">
        <v>1300</v>
      </c>
      <c r="AU1219" s="20">
        <v>2418.4384765625</v>
      </c>
      <c r="AV1219" s="20">
        <f t="shared" ref="AV1219:AV1282" si="153">ABS(AT1219-AU1219)</f>
        <v>1118.4384765625</v>
      </c>
      <c r="AW1219" s="21">
        <f t="shared" si="151"/>
        <v>0.86033728966346157</v>
      </c>
    </row>
    <row r="1220" spans="1:49" x14ac:dyDescent="0.25">
      <c r="A1220" t="s">
        <v>38</v>
      </c>
      <c r="B1220" t="s">
        <v>96</v>
      </c>
      <c r="C1220">
        <v>91136</v>
      </c>
      <c r="D1220">
        <v>2018</v>
      </c>
      <c r="E1220" t="s">
        <v>341</v>
      </c>
      <c r="F1220" t="s">
        <v>592</v>
      </c>
      <c r="G1220" t="s">
        <v>1139</v>
      </c>
      <c r="I1220">
        <v>4</v>
      </c>
      <c r="J1220" t="s">
        <v>241</v>
      </c>
      <c r="K1220">
        <v>4</v>
      </c>
      <c r="L1220" t="s">
        <v>44</v>
      </c>
      <c r="M1220">
        <v>1.4</v>
      </c>
      <c r="N1220" t="s">
        <v>45</v>
      </c>
      <c r="O1220" t="s">
        <v>190</v>
      </c>
      <c r="P1220">
        <v>2</v>
      </c>
      <c r="Q1220" t="s">
        <v>62</v>
      </c>
      <c r="R1220" t="s">
        <v>63</v>
      </c>
      <c r="S1220" t="s">
        <v>101</v>
      </c>
      <c r="U1220" t="s">
        <v>50</v>
      </c>
      <c r="W1220" t="s">
        <v>1140</v>
      </c>
      <c r="X1220" t="s">
        <v>65</v>
      </c>
      <c r="Y1220" t="s">
        <v>66</v>
      </c>
      <c r="Z1220">
        <v>24400</v>
      </c>
      <c r="AA1220">
        <v>0</v>
      </c>
      <c r="AB1220" t="s">
        <v>79</v>
      </c>
      <c r="AC1220" t="s">
        <v>87</v>
      </c>
      <c r="AD1220">
        <v>36</v>
      </c>
      <c r="AE1220">
        <v>9</v>
      </c>
      <c r="AF1220">
        <v>3</v>
      </c>
      <c r="AG1220">
        <v>2025</v>
      </c>
      <c r="AH1220" s="2">
        <v>4800</v>
      </c>
      <c r="AI1220" s="2">
        <v>4363.2587890625</v>
      </c>
      <c r="AJ1220" s="2">
        <f t="shared" ref="AJ1220:AJ1283" si="154">ABS(AH1220-AI1220)</f>
        <v>436.7412109375</v>
      </c>
      <c r="AK1220" s="6">
        <f t="shared" ref="AK1220:AK1283" si="155">ABS($AH1220-AI1220)/$AH1220</f>
        <v>9.0987752278645834E-2</v>
      </c>
      <c r="AL1220" s="12">
        <v>4800</v>
      </c>
      <c r="AM1220" s="12">
        <v>3289.9809140419802</v>
      </c>
      <c r="AN1220" s="12">
        <f t="shared" ref="AN1220:AN1283" si="156">ABS(AL1220-AM1220)</f>
        <v>1510.0190859580198</v>
      </c>
      <c r="AO1220" s="13">
        <f t="shared" ref="AO1220:AO1283" si="157">ABS($AH1220-AM1220)/$AH1220</f>
        <v>0.31458730957458747</v>
      </c>
      <c r="AP1220" s="16">
        <v>4800</v>
      </c>
      <c r="AQ1220" s="16">
        <v>3230.035334476464</v>
      </c>
      <c r="AR1220" s="16">
        <f t="shared" ref="AR1220:AR1283" si="158">ABS(AP1220-AQ1220)</f>
        <v>1569.964665523536</v>
      </c>
      <c r="AS1220" s="17">
        <f t="shared" si="152"/>
        <v>0.32707597198407001</v>
      </c>
      <c r="AT1220" s="20">
        <v>4800</v>
      </c>
      <c r="AU1220" s="20">
        <v>4276.0595703125</v>
      </c>
      <c r="AV1220" s="20">
        <f t="shared" si="153"/>
        <v>523.9404296875</v>
      </c>
      <c r="AW1220" s="21">
        <f t="shared" ref="AW1220:AW1283" si="159">ABS($AH1220-AU1220)/$AH1220</f>
        <v>0.10915425618489584</v>
      </c>
    </row>
    <row r="1221" spans="1:49" x14ac:dyDescent="0.25">
      <c r="A1221" t="s">
        <v>128</v>
      </c>
      <c r="B1221" t="s">
        <v>210</v>
      </c>
      <c r="C1221">
        <v>115411</v>
      </c>
      <c r="D1221">
        <v>2016</v>
      </c>
      <c r="E1221" t="s">
        <v>286</v>
      </c>
      <c r="F1221" t="s">
        <v>1275</v>
      </c>
      <c r="G1221" t="s">
        <v>1276</v>
      </c>
      <c r="H1221" t="s">
        <v>1277</v>
      </c>
      <c r="I1221">
        <v>8</v>
      </c>
      <c r="J1221" t="s">
        <v>72</v>
      </c>
      <c r="K1221">
        <v>4</v>
      </c>
      <c r="L1221" t="s">
        <v>44</v>
      </c>
      <c r="M1221">
        <v>4.5999999999999996</v>
      </c>
      <c r="N1221" t="s">
        <v>44</v>
      </c>
      <c r="O1221" t="s">
        <v>46</v>
      </c>
      <c r="Q1221" t="s">
        <v>62</v>
      </c>
      <c r="R1221" t="s">
        <v>63</v>
      </c>
      <c r="S1221" t="s">
        <v>93</v>
      </c>
      <c r="T1221">
        <v>301</v>
      </c>
      <c r="U1221" t="s">
        <v>50</v>
      </c>
      <c r="V1221" t="s">
        <v>76</v>
      </c>
      <c r="W1221" t="s">
        <v>218</v>
      </c>
      <c r="X1221" t="s">
        <v>94</v>
      </c>
      <c r="Y1221" t="s">
        <v>54</v>
      </c>
      <c r="AA1221">
        <v>0</v>
      </c>
      <c r="AB1221" t="s">
        <v>79</v>
      </c>
      <c r="AC1221" t="s">
        <v>87</v>
      </c>
      <c r="AD1221">
        <v>36</v>
      </c>
      <c r="AE1221">
        <v>9</v>
      </c>
      <c r="AF1221">
        <v>3</v>
      </c>
      <c r="AG1221">
        <v>2025</v>
      </c>
      <c r="AH1221" s="2">
        <v>20600</v>
      </c>
      <c r="AI1221" s="2">
        <v>18190.455078125</v>
      </c>
      <c r="AJ1221" s="2">
        <f t="shared" si="154"/>
        <v>2409.544921875</v>
      </c>
      <c r="AK1221" s="6">
        <f t="shared" si="155"/>
        <v>0.11696820009101942</v>
      </c>
      <c r="AL1221" s="12">
        <v>20600</v>
      </c>
      <c r="AM1221" s="12">
        <v>20009.189045816041</v>
      </c>
      <c r="AN1221" s="12">
        <f t="shared" si="156"/>
        <v>590.81095418395853</v>
      </c>
      <c r="AO1221" s="13">
        <f t="shared" si="157"/>
        <v>2.8680143406988278E-2</v>
      </c>
      <c r="AP1221" s="16">
        <v>20600</v>
      </c>
      <c r="AQ1221" s="16">
        <v>16245.055398863</v>
      </c>
      <c r="AR1221" s="16">
        <f t="shared" si="158"/>
        <v>4354.9446011370001</v>
      </c>
      <c r="AS1221" s="17">
        <f t="shared" si="152"/>
        <v>0.21140507772509709</v>
      </c>
      <c r="AT1221" s="20">
        <v>20600</v>
      </c>
      <c r="AU1221" s="20">
        <v>18314.869140625</v>
      </c>
      <c r="AV1221" s="20">
        <f t="shared" si="153"/>
        <v>2285.130859375</v>
      </c>
      <c r="AW1221" s="21">
        <f t="shared" si="159"/>
        <v>0.11092868249393203</v>
      </c>
    </row>
    <row r="1222" spans="1:49" x14ac:dyDescent="0.25">
      <c r="A1222" t="s">
        <v>38</v>
      </c>
      <c r="B1222" t="s">
        <v>110</v>
      </c>
      <c r="C1222">
        <v>177839</v>
      </c>
      <c r="D1222">
        <v>2014</v>
      </c>
      <c r="E1222" t="s">
        <v>515</v>
      </c>
      <c r="F1222" t="s">
        <v>1278</v>
      </c>
      <c r="G1222" t="s">
        <v>1279</v>
      </c>
      <c r="I1222">
        <v>6</v>
      </c>
      <c r="J1222" t="s">
        <v>72</v>
      </c>
      <c r="K1222">
        <v>4</v>
      </c>
      <c r="L1222" t="s">
        <v>44</v>
      </c>
      <c r="M1222">
        <v>3</v>
      </c>
      <c r="N1222" t="s">
        <v>44</v>
      </c>
      <c r="O1222" t="s">
        <v>789</v>
      </c>
      <c r="Q1222" t="s">
        <v>62</v>
      </c>
      <c r="R1222" t="s">
        <v>63</v>
      </c>
      <c r="T1222">
        <v>280</v>
      </c>
      <c r="U1222" t="s">
        <v>50</v>
      </c>
      <c r="W1222" t="s">
        <v>1280</v>
      </c>
      <c r="X1222" t="s">
        <v>94</v>
      </c>
      <c r="Y1222" t="s">
        <v>1281</v>
      </c>
      <c r="AA1222">
        <v>0</v>
      </c>
      <c r="AB1222" t="s">
        <v>79</v>
      </c>
      <c r="AC1222" t="s">
        <v>87</v>
      </c>
      <c r="AD1222">
        <v>36</v>
      </c>
      <c r="AE1222">
        <v>9</v>
      </c>
      <c r="AF1222">
        <v>3</v>
      </c>
      <c r="AG1222">
        <v>2025</v>
      </c>
      <c r="AH1222" s="2">
        <v>900</v>
      </c>
      <c r="AI1222" s="2">
        <v>1901.507690429688</v>
      </c>
      <c r="AJ1222" s="2">
        <f t="shared" si="154"/>
        <v>1001.507690429688</v>
      </c>
      <c r="AK1222" s="6">
        <f t="shared" si="155"/>
        <v>1.1127863226996533</v>
      </c>
      <c r="AL1222" s="12">
        <v>900</v>
      </c>
      <c r="AM1222" s="12">
        <v>1893.515633806966</v>
      </c>
      <c r="AN1222" s="12">
        <f t="shared" si="156"/>
        <v>993.51563380696598</v>
      </c>
      <c r="AO1222" s="13">
        <f t="shared" si="157"/>
        <v>1.1039062597855178</v>
      </c>
      <c r="AP1222" s="16">
        <v>900</v>
      </c>
      <c r="AQ1222" s="16">
        <v>1562.0134825930761</v>
      </c>
      <c r="AR1222" s="16">
        <f t="shared" si="158"/>
        <v>662.01348259307611</v>
      </c>
      <c r="AS1222" s="17">
        <f t="shared" si="152"/>
        <v>0.73557053621452906</v>
      </c>
      <c r="AT1222" s="20">
        <v>900</v>
      </c>
      <c r="AU1222" s="20">
        <v>1903.748779296875</v>
      </c>
      <c r="AV1222" s="20">
        <f t="shared" si="153"/>
        <v>1003.748779296875</v>
      </c>
      <c r="AW1222" s="21">
        <f t="shared" si="159"/>
        <v>1.1152764214409723</v>
      </c>
    </row>
    <row r="1223" spans="1:49" x14ac:dyDescent="0.25">
      <c r="A1223" t="s">
        <v>128</v>
      </c>
      <c r="B1223" t="s">
        <v>309</v>
      </c>
      <c r="C1223">
        <v>28116</v>
      </c>
      <c r="D1223">
        <v>2023</v>
      </c>
      <c r="E1223" t="s">
        <v>116</v>
      </c>
      <c r="F1223" t="s">
        <v>117</v>
      </c>
      <c r="G1223" t="s">
        <v>195</v>
      </c>
      <c r="I1223">
        <v>8</v>
      </c>
      <c r="J1223" t="s">
        <v>61</v>
      </c>
      <c r="K1223">
        <v>4</v>
      </c>
      <c r="L1223" t="s">
        <v>44</v>
      </c>
      <c r="M1223">
        <v>5.7</v>
      </c>
      <c r="N1223" t="s">
        <v>44</v>
      </c>
      <c r="O1223" t="s">
        <v>46</v>
      </c>
      <c r="P1223">
        <v>4</v>
      </c>
      <c r="Q1223" t="s">
        <v>62</v>
      </c>
      <c r="R1223" t="s">
        <v>63</v>
      </c>
      <c r="S1223" t="s">
        <v>85</v>
      </c>
      <c r="T1223">
        <v>357</v>
      </c>
      <c r="U1223" t="s">
        <v>50</v>
      </c>
      <c r="V1223" t="s">
        <v>76</v>
      </c>
      <c r="X1223" t="s">
        <v>108</v>
      </c>
      <c r="Y1223" t="s">
        <v>78</v>
      </c>
      <c r="AA1223">
        <v>0</v>
      </c>
      <c r="AB1223" t="s">
        <v>79</v>
      </c>
      <c r="AC1223" t="s">
        <v>87</v>
      </c>
      <c r="AD1223">
        <v>36</v>
      </c>
      <c r="AE1223">
        <v>9</v>
      </c>
      <c r="AF1223">
        <v>3</v>
      </c>
      <c r="AG1223">
        <v>2025</v>
      </c>
      <c r="AH1223" s="2">
        <v>39000</v>
      </c>
      <c r="AI1223" s="2">
        <v>53966.1875</v>
      </c>
      <c r="AJ1223" s="2">
        <f t="shared" si="154"/>
        <v>14966.1875</v>
      </c>
      <c r="AK1223" s="6">
        <f t="shared" si="155"/>
        <v>0.38374839743589745</v>
      </c>
      <c r="AL1223" s="12">
        <v>39000</v>
      </c>
      <c r="AM1223" s="12">
        <v>47882.114828148187</v>
      </c>
      <c r="AN1223" s="12">
        <f t="shared" si="156"/>
        <v>8882.1148281481874</v>
      </c>
      <c r="AO1223" s="13">
        <f t="shared" si="157"/>
        <v>0.22774653405508172</v>
      </c>
      <c r="AP1223" s="16">
        <v>39000</v>
      </c>
      <c r="AQ1223" s="16">
        <v>35542.653144683907</v>
      </c>
      <c r="AR1223" s="16">
        <f t="shared" si="158"/>
        <v>3457.3468553160928</v>
      </c>
      <c r="AS1223" s="17">
        <f t="shared" si="152"/>
        <v>8.8649919367079305E-2</v>
      </c>
      <c r="AT1223" s="20">
        <v>39000</v>
      </c>
      <c r="AU1223" s="20">
        <v>52919.2890625</v>
      </c>
      <c r="AV1223" s="20">
        <f t="shared" si="153"/>
        <v>13919.2890625</v>
      </c>
      <c r="AW1223" s="21">
        <f t="shared" si="159"/>
        <v>0.35690484775641024</v>
      </c>
    </row>
    <row r="1224" spans="1:49" x14ac:dyDescent="0.25">
      <c r="A1224" t="s">
        <v>114</v>
      </c>
      <c r="B1224" t="s">
        <v>340</v>
      </c>
      <c r="C1224">
        <v>111420</v>
      </c>
      <c r="D1224">
        <v>2016</v>
      </c>
      <c r="E1224" t="s">
        <v>97</v>
      </c>
      <c r="F1224" t="s">
        <v>444</v>
      </c>
      <c r="G1224" t="s">
        <v>590</v>
      </c>
      <c r="I1224">
        <v>6</v>
      </c>
      <c r="J1224" t="s">
        <v>61</v>
      </c>
      <c r="K1224">
        <v>2</v>
      </c>
      <c r="L1224" t="s">
        <v>44</v>
      </c>
      <c r="M1224">
        <v>3.6</v>
      </c>
      <c r="N1224" t="s">
        <v>73</v>
      </c>
      <c r="O1224" t="s">
        <v>789</v>
      </c>
      <c r="P1224">
        <v>1</v>
      </c>
      <c r="Q1224" t="s">
        <v>47</v>
      </c>
      <c r="R1224" t="s">
        <v>197</v>
      </c>
      <c r="U1224" t="s">
        <v>50</v>
      </c>
      <c r="V1224" t="s">
        <v>76</v>
      </c>
      <c r="W1224" t="s">
        <v>1282</v>
      </c>
      <c r="X1224" t="s">
        <v>125</v>
      </c>
      <c r="Y1224" t="s">
        <v>78</v>
      </c>
      <c r="AA1224">
        <v>0</v>
      </c>
      <c r="AB1224" t="s">
        <v>79</v>
      </c>
      <c r="AC1224" t="s">
        <v>197</v>
      </c>
      <c r="AD1224">
        <v>36</v>
      </c>
      <c r="AE1224">
        <v>9</v>
      </c>
      <c r="AF1224">
        <v>3</v>
      </c>
      <c r="AG1224">
        <v>2025</v>
      </c>
      <c r="AH1224" s="2">
        <v>2800</v>
      </c>
      <c r="AI1224" s="2">
        <v>2428.9111328125</v>
      </c>
      <c r="AJ1224" s="2">
        <f t="shared" si="154"/>
        <v>371.0888671875</v>
      </c>
      <c r="AK1224" s="6">
        <f t="shared" si="155"/>
        <v>0.13253173828125001</v>
      </c>
      <c r="AL1224" s="12">
        <v>2800</v>
      </c>
      <c r="AM1224" s="12">
        <v>3249.3958805822331</v>
      </c>
      <c r="AN1224" s="12">
        <f t="shared" si="156"/>
        <v>449.39588058223308</v>
      </c>
      <c r="AO1224" s="13">
        <f t="shared" si="157"/>
        <v>0.16049852877936896</v>
      </c>
      <c r="AP1224" s="16">
        <v>2800</v>
      </c>
      <c r="AQ1224" s="16">
        <v>2953.2932600615359</v>
      </c>
      <c r="AR1224" s="16">
        <f t="shared" si="158"/>
        <v>153.29326006153588</v>
      </c>
      <c r="AS1224" s="17">
        <f t="shared" si="152"/>
        <v>5.4747592879119955E-2</v>
      </c>
      <c r="AT1224" s="20">
        <v>2800</v>
      </c>
      <c r="AU1224" s="20">
        <v>2467.892333984375</v>
      </c>
      <c r="AV1224" s="20">
        <f t="shared" si="153"/>
        <v>332.107666015625</v>
      </c>
      <c r="AW1224" s="21">
        <f t="shared" si="159"/>
        <v>0.11860988071986607</v>
      </c>
    </row>
    <row r="1225" spans="1:49" x14ac:dyDescent="0.25">
      <c r="A1225" t="s">
        <v>38</v>
      </c>
      <c r="B1225" t="s">
        <v>96</v>
      </c>
      <c r="C1225">
        <v>184484</v>
      </c>
      <c r="D1225">
        <v>2015</v>
      </c>
      <c r="E1225" t="s">
        <v>162</v>
      </c>
      <c r="F1225" t="s">
        <v>211</v>
      </c>
      <c r="G1225" t="s">
        <v>1163</v>
      </c>
      <c r="I1225">
        <v>4</v>
      </c>
      <c r="J1225" t="s">
        <v>122</v>
      </c>
      <c r="K1225">
        <v>4</v>
      </c>
      <c r="L1225" t="s">
        <v>44</v>
      </c>
      <c r="M1225">
        <v>1.8</v>
      </c>
      <c r="N1225" t="s">
        <v>45</v>
      </c>
      <c r="O1225" t="s">
        <v>46</v>
      </c>
      <c r="P1225">
        <v>2</v>
      </c>
      <c r="Q1225" t="s">
        <v>47</v>
      </c>
      <c r="R1225" t="s">
        <v>123</v>
      </c>
      <c r="U1225" t="s">
        <v>50</v>
      </c>
      <c r="W1225" t="s">
        <v>1023</v>
      </c>
      <c r="X1225" t="s">
        <v>125</v>
      </c>
      <c r="Y1225" t="s">
        <v>66</v>
      </c>
      <c r="AA1225">
        <v>0</v>
      </c>
      <c r="AB1225" t="s">
        <v>79</v>
      </c>
      <c r="AC1225" t="s">
        <v>127</v>
      </c>
      <c r="AD1225">
        <v>36</v>
      </c>
      <c r="AE1225">
        <v>9</v>
      </c>
      <c r="AF1225">
        <v>3</v>
      </c>
      <c r="AG1225">
        <v>2025</v>
      </c>
      <c r="AH1225" s="2">
        <v>1800</v>
      </c>
      <c r="AI1225" s="2">
        <v>1685.823608398438</v>
      </c>
      <c r="AJ1225" s="2">
        <f t="shared" si="154"/>
        <v>114.17639160156205</v>
      </c>
      <c r="AK1225" s="6">
        <f t="shared" si="155"/>
        <v>6.3431328667534467E-2</v>
      </c>
      <c r="AL1225" s="12">
        <v>1800</v>
      </c>
      <c r="AM1225" s="12">
        <v>1444.614261325054</v>
      </c>
      <c r="AN1225" s="12">
        <f t="shared" si="156"/>
        <v>355.38573867494597</v>
      </c>
      <c r="AO1225" s="13">
        <f t="shared" si="157"/>
        <v>0.1974365214860811</v>
      </c>
      <c r="AP1225" s="16">
        <v>1800</v>
      </c>
      <c r="AQ1225" s="16">
        <v>1164.4272714454801</v>
      </c>
      <c r="AR1225" s="16">
        <f t="shared" si="158"/>
        <v>635.57272855451993</v>
      </c>
      <c r="AS1225" s="17">
        <f t="shared" si="152"/>
        <v>0.35309596030806661</v>
      </c>
      <c r="AT1225" s="20">
        <v>1800</v>
      </c>
      <c r="AU1225" s="20">
        <v>1647.531982421875</v>
      </c>
      <c r="AV1225" s="20">
        <f t="shared" si="153"/>
        <v>152.468017578125</v>
      </c>
      <c r="AW1225" s="21">
        <f t="shared" si="159"/>
        <v>8.4704454210069446E-2</v>
      </c>
    </row>
    <row r="1226" spans="1:49" x14ac:dyDescent="0.25">
      <c r="A1226" t="s">
        <v>81</v>
      </c>
      <c r="B1226" t="s">
        <v>170</v>
      </c>
      <c r="C1226">
        <v>86769</v>
      </c>
      <c r="D1226">
        <v>2019</v>
      </c>
      <c r="E1226" t="s">
        <v>69</v>
      </c>
      <c r="F1226" t="s">
        <v>231</v>
      </c>
      <c r="I1226">
        <v>6</v>
      </c>
      <c r="J1226" t="s">
        <v>122</v>
      </c>
      <c r="K1226">
        <v>4</v>
      </c>
      <c r="L1226" t="s">
        <v>44</v>
      </c>
      <c r="M1226">
        <v>3.5</v>
      </c>
      <c r="N1226" t="s">
        <v>91</v>
      </c>
      <c r="O1226" t="s">
        <v>46</v>
      </c>
      <c r="P1226">
        <v>2</v>
      </c>
      <c r="Q1226" t="s">
        <v>74</v>
      </c>
      <c r="R1226" t="s">
        <v>92</v>
      </c>
      <c r="S1226" t="s">
        <v>93</v>
      </c>
      <c r="T1226">
        <v>375</v>
      </c>
      <c r="U1226" t="s">
        <v>50</v>
      </c>
      <c r="V1226" t="s">
        <v>76</v>
      </c>
      <c r="W1226" t="s">
        <v>308</v>
      </c>
      <c r="X1226" t="s">
        <v>94</v>
      </c>
      <c r="Y1226" t="s">
        <v>78</v>
      </c>
      <c r="AA1226">
        <v>0</v>
      </c>
      <c r="AB1226" t="s">
        <v>79</v>
      </c>
      <c r="AC1226" t="s">
        <v>95</v>
      </c>
      <c r="AD1226">
        <v>36</v>
      </c>
      <c r="AE1226">
        <v>9</v>
      </c>
      <c r="AF1226">
        <v>3</v>
      </c>
      <c r="AG1226">
        <v>2025</v>
      </c>
      <c r="AH1226" s="2">
        <v>17800</v>
      </c>
      <c r="AI1226" s="2">
        <v>19959.740234375</v>
      </c>
      <c r="AJ1226" s="2">
        <f t="shared" si="154"/>
        <v>2159.740234375</v>
      </c>
      <c r="AK1226" s="6">
        <f t="shared" si="155"/>
        <v>0.12133372103230337</v>
      </c>
      <c r="AL1226" s="12">
        <v>17800</v>
      </c>
      <c r="AM1226" s="12">
        <v>15926.5046537812</v>
      </c>
      <c r="AN1226" s="12">
        <f t="shared" si="156"/>
        <v>1873.4953462188005</v>
      </c>
      <c r="AO1226" s="13">
        <f t="shared" si="157"/>
        <v>0.10525254754038205</v>
      </c>
      <c r="AP1226" s="16">
        <v>17800</v>
      </c>
      <c r="AQ1226" s="16">
        <v>15934.33936954312</v>
      </c>
      <c r="AR1226" s="16">
        <f t="shared" si="158"/>
        <v>1865.6606304568795</v>
      </c>
      <c r="AS1226" s="17">
        <f t="shared" si="152"/>
        <v>0.10481239496948762</v>
      </c>
      <c r="AT1226" s="20">
        <v>17800</v>
      </c>
      <c r="AU1226" s="20">
        <v>19113.7265625</v>
      </c>
      <c r="AV1226" s="20">
        <f t="shared" si="153"/>
        <v>1313.7265625</v>
      </c>
      <c r="AW1226" s="21">
        <f t="shared" si="159"/>
        <v>7.380486306179776E-2</v>
      </c>
    </row>
    <row r="1227" spans="1:49" x14ac:dyDescent="0.25">
      <c r="A1227" t="s">
        <v>38</v>
      </c>
      <c r="B1227" t="s">
        <v>110</v>
      </c>
      <c r="C1227">
        <v>166219</v>
      </c>
      <c r="D1227">
        <v>2015</v>
      </c>
      <c r="E1227" t="s">
        <v>116</v>
      </c>
      <c r="F1227" t="s">
        <v>237</v>
      </c>
      <c r="G1227" t="s">
        <v>224</v>
      </c>
      <c r="I1227">
        <v>6</v>
      </c>
      <c r="J1227" t="s">
        <v>72</v>
      </c>
      <c r="K1227">
        <v>4</v>
      </c>
      <c r="L1227" t="s">
        <v>44</v>
      </c>
      <c r="M1227">
        <v>3.6</v>
      </c>
      <c r="N1227" t="s">
        <v>73</v>
      </c>
      <c r="O1227" t="s">
        <v>46</v>
      </c>
      <c r="P1227">
        <v>3</v>
      </c>
      <c r="Q1227" t="s">
        <v>47</v>
      </c>
      <c r="R1227" t="s">
        <v>123</v>
      </c>
      <c r="S1227" t="s">
        <v>179</v>
      </c>
      <c r="T1227">
        <v>292</v>
      </c>
      <c r="U1227" t="s">
        <v>50</v>
      </c>
      <c r="V1227" t="s">
        <v>76</v>
      </c>
      <c r="X1227" t="s">
        <v>125</v>
      </c>
      <c r="Y1227" t="s">
        <v>103</v>
      </c>
      <c r="AA1227">
        <v>0</v>
      </c>
      <c r="AB1227" t="s">
        <v>79</v>
      </c>
      <c r="AC1227" t="s">
        <v>127</v>
      </c>
      <c r="AD1227">
        <v>36</v>
      </c>
      <c r="AE1227">
        <v>9</v>
      </c>
      <c r="AF1227">
        <v>3</v>
      </c>
      <c r="AG1227">
        <v>2025</v>
      </c>
      <c r="AH1227" s="2">
        <v>3500</v>
      </c>
      <c r="AI1227" s="2">
        <v>2971.691162109375</v>
      </c>
      <c r="AJ1227" s="2">
        <f t="shared" si="154"/>
        <v>528.308837890625</v>
      </c>
      <c r="AK1227" s="6">
        <f t="shared" si="155"/>
        <v>0.15094538225446427</v>
      </c>
      <c r="AL1227" s="12">
        <v>3500</v>
      </c>
      <c r="AM1227" s="12">
        <v>3611.632507385169</v>
      </c>
      <c r="AN1227" s="12">
        <f t="shared" si="156"/>
        <v>111.63250738516899</v>
      </c>
      <c r="AO1227" s="13">
        <f t="shared" si="157"/>
        <v>3.1895002110048282E-2</v>
      </c>
      <c r="AP1227" s="16">
        <v>3500</v>
      </c>
      <c r="AQ1227" s="16">
        <v>2969.8158422932611</v>
      </c>
      <c r="AR1227" s="16">
        <f t="shared" si="158"/>
        <v>530.18415770673892</v>
      </c>
      <c r="AS1227" s="17">
        <f t="shared" si="152"/>
        <v>0.15148118791621112</v>
      </c>
      <c r="AT1227" s="20">
        <v>3500</v>
      </c>
      <c r="AU1227" s="20">
        <v>3031.86328125</v>
      </c>
      <c r="AV1227" s="20">
        <f t="shared" si="153"/>
        <v>468.13671875</v>
      </c>
      <c r="AW1227" s="21">
        <f t="shared" si="159"/>
        <v>0.13375334821428572</v>
      </c>
    </row>
    <row r="1228" spans="1:49" x14ac:dyDescent="0.25">
      <c r="A1228" t="s">
        <v>38</v>
      </c>
      <c r="B1228" t="s">
        <v>96</v>
      </c>
      <c r="C1228">
        <v>173751</v>
      </c>
      <c r="D1228">
        <v>2016</v>
      </c>
      <c r="E1228" t="s">
        <v>97</v>
      </c>
      <c r="F1228" t="s">
        <v>198</v>
      </c>
      <c r="G1228" t="s">
        <v>130</v>
      </c>
      <c r="I1228">
        <v>6</v>
      </c>
      <c r="J1228" t="s">
        <v>106</v>
      </c>
      <c r="K1228">
        <v>4</v>
      </c>
      <c r="L1228" t="s">
        <v>44</v>
      </c>
      <c r="M1228">
        <v>3.6</v>
      </c>
      <c r="N1228" t="s">
        <v>45</v>
      </c>
      <c r="O1228" t="s">
        <v>46</v>
      </c>
      <c r="P1228">
        <v>2</v>
      </c>
      <c r="Q1228" t="s">
        <v>62</v>
      </c>
      <c r="R1228" t="s">
        <v>63</v>
      </c>
      <c r="S1228" t="s">
        <v>101</v>
      </c>
      <c r="U1228" t="s">
        <v>50</v>
      </c>
      <c r="V1228" t="s">
        <v>76</v>
      </c>
      <c r="W1228" t="s">
        <v>591</v>
      </c>
      <c r="X1228" t="s">
        <v>94</v>
      </c>
      <c r="Y1228" t="s">
        <v>78</v>
      </c>
      <c r="AA1228">
        <v>0</v>
      </c>
      <c r="AB1228" t="s">
        <v>79</v>
      </c>
      <c r="AC1228" t="s">
        <v>87</v>
      </c>
      <c r="AD1228">
        <v>36</v>
      </c>
      <c r="AE1228">
        <v>9</v>
      </c>
      <c r="AF1228">
        <v>3</v>
      </c>
      <c r="AG1228">
        <v>2025</v>
      </c>
      <c r="AH1228" s="2">
        <v>1400</v>
      </c>
      <c r="AI1228" s="2">
        <v>2394.181396484375</v>
      </c>
      <c r="AJ1228" s="2">
        <f t="shared" si="154"/>
        <v>994.181396484375</v>
      </c>
      <c r="AK1228" s="6">
        <f t="shared" si="155"/>
        <v>0.71012956891741075</v>
      </c>
      <c r="AL1228" s="12">
        <v>1400</v>
      </c>
      <c r="AM1228" s="12">
        <v>2719.103401650058</v>
      </c>
      <c r="AN1228" s="12">
        <f t="shared" si="156"/>
        <v>1319.103401650058</v>
      </c>
      <c r="AO1228" s="13">
        <f t="shared" si="157"/>
        <v>0.94221671546432717</v>
      </c>
      <c r="AP1228" s="16">
        <v>1400</v>
      </c>
      <c r="AQ1228" s="16">
        <v>2059.7221667596032</v>
      </c>
      <c r="AR1228" s="16">
        <f t="shared" si="158"/>
        <v>659.72216675960317</v>
      </c>
      <c r="AS1228" s="17">
        <f t="shared" si="152"/>
        <v>0.47123011911400225</v>
      </c>
      <c r="AT1228" s="20">
        <v>1400</v>
      </c>
      <c r="AU1228" s="20">
        <v>2418.4384765625</v>
      </c>
      <c r="AV1228" s="20">
        <f t="shared" si="153"/>
        <v>1018.4384765625</v>
      </c>
      <c r="AW1228" s="21">
        <f t="shared" si="159"/>
        <v>0.72745605468749996</v>
      </c>
    </row>
    <row r="1229" spans="1:49" x14ac:dyDescent="0.25">
      <c r="A1229" t="s">
        <v>128</v>
      </c>
      <c r="B1229" t="s">
        <v>129</v>
      </c>
      <c r="C1229">
        <v>112650</v>
      </c>
      <c r="D1229">
        <v>2017</v>
      </c>
      <c r="E1229" t="s">
        <v>174</v>
      </c>
      <c r="F1229" t="s">
        <v>314</v>
      </c>
      <c r="G1229" t="s">
        <v>1283</v>
      </c>
      <c r="H1229" t="s">
        <v>89</v>
      </c>
      <c r="I1229">
        <v>8</v>
      </c>
      <c r="J1229" t="s">
        <v>72</v>
      </c>
      <c r="K1229">
        <v>2</v>
      </c>
      <c r="L1229" t="s">
        <v>44</v>
      </c>
      <c r="M1229">
        <v>5.3</v>
      </c>
      <c r="N1229" t="s">
        <v>73</v>
      </c>
      <c r="O1229" t="s">
        <v>46</v>
      </c>
      <c r="Q1229" t="s">
        <v>74</v>
      </c>
      <c r="R1229" t="s">
        <v>92</v>
      </c>
      <c r="S1229" t="s">
        <v>49</v>
      </c>
      <c r="U1229" t="s">
        <v>50</v>
      </c>
      <c r="W1229" t="s">
        <v>459</v>
      </c>
      <c r="X1229" t="s">
        <v>94</v>
      </c>
      <c r="Y1229" t="s">
        <v>78</v>
      </c>
      <c r="Z1229">
        <v>28405</v>
      </c>
      <c r="AA1229">
        <v>0</v>
      </c>
      <c r="AB1229" t="s">
        <v>79</v>
      </c>
      <c r="AC1229" t="s">
        <v>95</v>
      </c>
      <c r="AD1229">
        <v>36</v>
      </c>
      <c r="AE1229">
        <v>9</v>
      </c>
      <c r="AF1229">
        <v>3</v>
      </c>
      <c r="AG1229">
        <v>2025</v>
      </c>
      <c r="AH1229" s="2">
        <v>9200</v>
      </c>
      <c r="AI1229" s="2">
        <v>12805.61328125</v>
      </c>
      <c r="AJ1229" s="2">
        <f t="shared" si="154"/>
        <v>3605.61328125</v>
      </c>
      <c r="AK1229" s="6">
        <f t="shared" si="155"/>
        <v>0.39191448709239129</v>
      </c>
      <c r="AL1229" s="12">
        <v>9200</v>
      </c>
      <c r="AM1229" s="12">
        <v>12640.31805918118</v>
      </c>
      <c r="AN1229" s="12">
        <f t="shared" si="156"/>
        <v>3440.3180591811797</v>
      </c>
      <c r="AO1229" s="13">
        <f t="shared" si="157"/>
        <v>0.37394761512838909</v>
      </c>
      <c r="AP1229" s="16">
        <v>9200</v>
      </c>
      <c r="AQ1229" s="16">
        <v>12150.899456550051</v>
      </c>
      <c r="AR1229" s="16">
        <f t="shared" si="158"/>
        <v>2950.8994565500507</v>
      </c>
      <c r="AS1229" s="17">
        <f t="shared" si="152"/>
        <v>0.32074994092935333</v>
      </c>
      <c r="AT1229" s="20">
        <v>9200</v>
      </c>
      <c r="AU1229" s="20">
        <v>12695.9814453125</v>
      </c>
      <c r="AV1229" s="20">
        <f t="shared" si="153"/>
        <v>3495.9814453125</v>
      </c>
      <c r="AW1229" s="21">
        <f t="shared" si="159"/>
        <v>0.37999798318614131</v>
      </c>
    </row>
    <row r="1230" spans="1:49" x14ac:dyDescent="0.25">
      <c r="A1230" t="s">
        <v>128</v>
      </c>
      <c r="B1230" t="s">
        <v>484</v>
      </c>
      <c r="C1230">
        <v>13256</v>
      </c>
      <c r="D1230">
        <v>2024</v>
      </c>
      <c r="E1230" t="s">
        <v>162</v>
      </c>
      <c r="F1230" t="s">
        <v>1284</v>
      </c>
      <c r="G1230" t="s">
        <v>1285</v>
      </c>
      <c r="I1230">
        <v>4</v>
      </c>
      <c r="J1230" t="s">
        <v>135</v>
      </c>
      <c r="K1230">
        <v>4</v>
      </c>
      <c r="L1230" t="s">
        <v>44</v>
      </c>
      <c r="M1230">
        <v>1.6</v>
      </c>
      <c r="N1230" t="s">
        <v>45</v>
      </c>
      <c r="O1230" t="s">
        <v>46</v>
      </c>
      <c r="P1230">
        <v>4</v>
      </c>
      <c r="Q1230" t="s">
        <v>47</v>
      </c>
      <c r="R1230" t="s">
        <v>757</v>
      </c>
      <c r="U1230" t="s">
        <v>50</v>
      </c>
      <c r="W1230" t="s">
        <v>1286</v>
      </c>
      <c r="X1230" t="s">
        <v>125</v>
      </c>
      <c r="Y1230" t="s">
        <v>66</v>
      </c>
      <c r="AA1230">
        <v>0</v>
      </c>
      <c r="AB1230" t="s">
        <v>79</v>
      </c>
      <c r="AC1230" t="s">
        <v>757</v>
      </c>
      <c r="AD1230">
        <v>36</v>
      </c>
      <c r="AE1230">
        <v>9</v>
      </c>
      <c r="AF1230">
        <v>3</v>
      </c>
      <c r="AG1230">
        <v>2025</v>
      </c>
      <c r="AH1230" s="2">
        <v>18000</v>
      </c>
      <c r="AI1230" s="2">
        <v>17534.658203125</v>
      </c>
      <c r="AJ1230" s="2">
        <f t="shared" si="154"/>
        <v>465.341796875</v>
      </c>
      <c r="AK1230" s="6">
        <f t="shared" si="155"/>
        <v>2.5852322048611112E-2</v>
      </c>
      <c r="AL1230" s="12">
        <v>18000</v>
      </c>
      <c r="AM1230" s="12">
        <v>18311.489515312362</v>
      </c>
      <c r="AN1230" s="12">
        <f t="shared" si="156"/>
        <v>311.48951531236162</v>
      </c>
      <c r="AO1230" s="13">
        <f t="shared" si="157"/>
        <v>1.7304973072908979E-2</v>
      </c>
      <c r="AP1230" s="16">
        <v>18000</v>
      </c>
      <c r="AQ1230" s="16">
        <v>17642.846183698111</v>
      </c>
      <c r="AR1230" s="16">
        <f t="shared" si="158"/>
        <v>357.15381630188858</v>
      </c>
      <c r="AS1230" s="17">
        <f t="shared" si="152"/>
        <v>1.9841878683438254E-2</v>
      </c>
      <c r="AT1230" s="20">
        <v>18000</v>
      </c>
      <c r="AU1230" s="20">
        <v>17502.646484375</v>
      </c>
      <c r="AV1230" s="20">
        <f t="shared" si="153"/>
        <v>497.353515625</v>
      </c>
      <c r="AW1230" s="21">
        <f t="shared" si="159"/>
        <v>2.7630750868055557E-2</v>
      </c>
    </row>
    <row r="1231" spans="1:49" x14ac:dyDescent="0.25">
      <c r="A1231" t="s">
        <v>38</v>
      </c>
      <c r="B1231" t="s">
        <v>96</v>
      </c>
      <c r="C1231">
        <v>77978</v>
      </c>
      <c r="D1231">
        <v>2020</v>
      </c>
      <c r="E1231" t="s">
        <v>40</v>
      </c>
      <c r="F1231" t="s">
        <v>201</v>
      </c>
      <c r="G1231" t="s">
        <v>572</v>
      </c>
      <c r="H1231" t="s">
        <v>692</v>
      </c>
      <c r="I1231">
        <v>4</v>
      </c>
      <c r="J1231" t="s">
        <v>72</v>
      </c>
      <c r="K1231">
        <v>4</v>
      </c>
      <c r="L1231" t="s">
        <v>44</v>
      </c>
      <c r="M1231">
        <v>1.8</v>
      </c>
      <c r="N1231" t="s">
        <v>45</v>
      </c>
      <c r="O1231" t="s">
        <v>46</v>
      </c>
      <c r="P1231">
        <v>3</v>
      </c>
      <c r="Q1231" t="s">
        <v>47</v>
      </c>
      <c r="R1231" t="s">
        <v>123</v>
      </c>
      <c r="S1231" t="s">
        <v>49</v>
      </c>
      <c r="T1231">
        <v>139</v>
      </c>
      <c r="U1231" t="s">
        <v>50</v>
      </c>
      <c r="V1231" t="s">
        <v>51</v>
      </c>
      <c r="W1231" t="s">
        <v>693</v>
      </c>
      <c r="X1231" t="s">
        <v>125</v>
      </c>
      <c r="Y1231" t="s">
        <v>78</v>
      </c>
      <c r="AA1231">
        <v>0</v>
      </c>
      <c r="AB1231" t="s">
        <v>79</v>
      </c>
      <c r="AC1231" t="s">
        <v>127</v>
      </c>
      <c r="AD1231">
        <v>36</v>
      </c>
      <c r="AE1231">
        <v>9</v>
      </c>
      <c r="AF1231">
        <v>3</v>
      </c>
      <c r="AG1231">
        <v>2025</v>
      </c>
      <c r="AH1231" s="2">
        <v>11600</v>
      </c>
      <c r="AI1231" s="2">
        <v>8886.7578125</v>
      </c>
      <c r="AJ1231" s="2">
        <f t="shared" si="154"/>
        <v>2713.2421875</v>
      </c>
      <c r="AK1231" s="6">
        <f t="shared" si="155"/>
        <v>0.23390018857758621</v>
      </c>
      <c r="AL1231" s="12">
        <v>11600</v>
      </c>
      <c r="AM1231" s="12">
        <v>10603.432111510239</v>
      </c>
      <c r="AN1231" s="12">
        <f t="shared" si="156"/>
        <v>996.56788848976066</v>
      </c>
      <c r="AO1231" s="13">
        <f t="shared" si="157"/>
        <v>8.5911024869806951E-2</v>
      </c>
      <c r="AP1231" s="16">
        <v>11600</v>
      </c>
      <c r="AQ1231" s="16">
        <v>11022.43202872409</v>
      </c>
      <c r="AR1231" s="16">
        <f t="shared" si="158"/>
        <v>577.56797127591017</v>
      </c>
      <c r="AS1231" s="17">
        <f t="shared" si="152"/>
        <v>4.9790342351371565E-2</v>
      </c>
      <c r="AT1231" s="20">
        <v>11600</v>
      </c>
      <c r="AU1231" s="20">
        <v>9398.302734375</v>
      </c>
      <c r="AV1231" s="20">
        <f t="shared" si="153"/>
        <v>2201.697265625</v>
      </c>
      <c r="AW1231" s="21">
        <f t="shared" si="159"/>
        <v>0.18980148841594827</v>
      </c>
    </row>
    <row r="1232" spans="1:49" x14ac:dyDescent="0.25">
      <c r="A1232" t="s">
        <v>38</v>
      </c>
      <c r="B1232" t="s">
        <v>68</v>
      </c>
      <c r="C1232">
        <v>103157</v>
      </c>
      <c r="D1232">
        <v>2020</v>
      </c>
      <c r="E1232" t="s">
        <v>88</v>
      </c>
      <c r="F1232" t="s">
        <v>1287</v>
      </c>
      <c r="G1232" t="s">
        <v>1288</v>
      </c>
      <c r="I1232">
        <v>6</v>
      </c>
      <c r="J1232" t="s">
        <v>72</v>
      </c>
      <c r="K1232">
        <v>3</v>
      </c>
      <c r="L1232" t="s">
        <v>44</v>
      </c>
      <c r="M1232">
        <v>3.6</v>
      </c>
      <c r="N1232" t="s">
        <v>45</v>
      </c>
      <c r="O1232" t="s">
        <v>46</v>
      </c>
      <c r="P1232">
        <v>4</v>
      </c>
      <c r="Q1232" t="s">
        <v>74</v>
      </c>
      <c r="R1232" t="s">
        <v>75</v>
      </c>
      <c r="S1232" t="s">
        <v>101</v>
      </c>
      <c r="T1232">
        <v>280</v>
      </c>
      <c r="U1232" t="s">
        <v>50</v>
      </c>
      <c r="V1232" t="s">
        <v>76</v>
      </c>
      <c r="X1232" t="s">
        <v>77</v>
      </c>
      <c r="Y1232" t="s">
        <v>126</v>
      </c>
      <c r="AA1232">
        <v>0</v>
      </c>
      <c r="AB1232" t="s">
        <v>79</v>
      </c>
      <c r="AC1232" t="s">
        <v>80</v>
      </c>
      <c r="AD1232">
        <v>36</v>
      </c>
      <c r="AE1232">
        <v>9</v>
      </c>
      <c r="AF1232">
        <v>3</v>
      </c>
      <c r="AG1232">
        <v>2025</v>
      </c>
      <c r="AH1232" s="2">
        <v>13250</v>
      </c>
      <c r="AI1232" s="2">
        <v>13093.9560546875</v>
      </c>
      <c r="AJ1232" s="2">
        <f t="shared" si="154"/>
        <v>156.0439453125</v>
      </c>
      <c r="AK1232" s="6">
        <f t="shared" si="155"/>
        <v>1.1776901533018868E-2</v>
      </c>
      <c r="AL1232" s="12">
        <v>13250</v>
      </c>
      <c r="AM1232" s="12">
        <v>14713.301610398359</v>
      </c>
      <c r="AN1232" s="12">
        <f t="shared" si="156"/>
        <v>1463.3016103983591</v>
      </c>
      <c r="AO1232" s="13">
        <f t="shared" si="157"/>
        <v>0.11043785738855541</v>
      </c>
      <c r="AP1232" s="16">
        <v>13250</v>
      </c>
      <c r="AQ1232" s="16">
        <v>14076.3069721256</v>
      </c>
      <c r="AR1232" s="16">
        <f t="shared" si="158"/>
        <v>826.30697212559971</v>
      </c>
      <c r="AS1232" s="17">
        <f t="shared" si="152"/>
        <v>6.2362790349101867E-2</v>
      </c>
      <c r="AT1232" s="20">
        <v>13250</v>
      </c>
      <c r="AU1232" s="20">
        <v>13411.5654296875</v>
      </c>
      <c r="AV1232" s="20">
        <f t="shared" si="153"/>
        <v>161.5654296875</v>
      </c>
      <c r="AW1232" s="21">
        <f t="shared" si="159"/>
        <v>1.2193617334905661E-2</v>
      </c>
    </row>
    <row r="1233" spans="1:49" x14ac:dyDescent="0.25">
      <c r="A1233" t="s">
        <v>38</v>
      </c>
      <c r="B1233" t="s">
        <v>110</v>
      </c>
      <c r="C1233">
        <v>151481</v>
      </c>
      <c r="D1233">
        <v>2013</v>
      </c>
      <c r="E1233" t="s">
        <v>263</v>
      </c>
      <c r="F1233" t="s">
        <v>563</v>
      </c>
      <c r="G1233" t="s">
        <v>1289</v>
      </c>
      <c r="I1233">
        <v>4</v>
      </c>
      <c r="J1233" t="s">
        <v>43</v>
      </c>
      <c r="K1233">
        <v>4</v>
      </c>
      <c r="L1233" t="s">
        <v>44</v>
      </c>
      <c r="M1233">
        <v>2.5</v>
      </c>
      <c r="N1233" t="s">
        <v>45</v>
      </c>
      <c r="Q1233" t="s">
        <v>47</v>
      </c>
      <c r="R1233" t="s">
        <v>123</v>
      </c>
      <c r="V1233" t="s">
        <v>51</v>
      </c>
      <c r="X1233" t="s">
        <v>125</v>
      </c>
      <c r="Y1233" t="s">
        <v>78</v>
      </c>
      <c r="AA1233">
        <v>0</v>
      </c>
      <c r="AB1233" t="s">
        <v>79</v>
      </c>
      <c r="AC1233" t="s">
        <v>127</v>
      </c>
      <c r="AD1233">
        <v>36</v>
      </c>
      <c r="AE1233">
        <v>9</v>
      </c>
      <c r="AF1233">
        <v>3</v>
      </c>
      <c r="AG1233">
        <v>2025</v>
      </c>
      <c r="AH1233" s="2">
        <v>800</v>
      </c>
      <c r="AI1233" s="2">
        <v>1656.751708984375</v>
      </c>
      <c r="AJ1233" s="2">
        <f t="shared" si="154"/>
        <v>856.751708984375</v>
      </c>
      <c r="AK1233" s="6">
        <f t="shared" si="155"/>
        <v>1.0709396362304688</v>
      </c>
      <c r="AL1233" s="12">
        <v>800</v>
      </c>
      <c r="AM1233" s="12">
        <v>1631.5950116124411</v>
      </c>
      <c r="AN1233" s="12">
        <f t="shared" si="156"/>
        <v>831.59501161244111</v>
      </c>
      <c r="AO1233" s="13">
        <f t="shared" si="157"/>
        <v>1.0394937645155513</v>
      </c>
      <c r="AP1233" s="16">
        <v>800</v>
      </c>
      <c r="AQ1233" s="16">
        <v>1395.3359010064819</v>
      </c>
      <c r="AR1233" s="16">
        <f t="shared" si="158"/>
        <v>595.33590100648189</v>
      </c>
      <c r="AS1233" s="17">
        <f t="shared" si="152"/>
        <v>0.74416987625810238</v>
      </c>
      <c r="AT1233" s="20">
        <v>800</v>
      </c>
      <c r="AU1233" s="20">
        <v>1662.750366210938</v>
      </c>
      <c r="AV1233" s="20">
        <f t="shared" si="153"/>
        <v>862.75036621093795</v>
      </c>
      <c r="AW1233" s="21">
        <f t="shared" si="159"/>
        <v>1.0784379577636725</v>
      </c>
    </row>
    <row r="1234" spans="1:49" x14ac:dyDescent="0.25">
      <c r="A1234" t="s">
        <v>38</v>
      </c>
      <c r="B1234" t="s">
        <v>39</v>
      </c>
      <c r="C1234">
        <v>102696</v>
      </c>
      <c r="D1234">
        <v>2019</v>
      </c>
      <c r="E1234" t="s">
        <v>40</v>
      </c>
      <c r="F1234" t="s">
        <v>149</v>
      </c>
      <c r="G1234" t="s">
        <v>150</v>
      </c>
      <c r="H1234" t="s">
        <v>1290</v>
      </c>
      <c r="I1234">
        <v>6</v>
      </c>
      <c r="J1234" t="s">
        <v>72</v>
      </c>
      <c r="K1234">
        <v>4</v>
      </c>
      <c r="L1234" t="s">
        <v>44</v>
      </c>
      <c r="M1234">
        <v>3.5</v>
      </c>
      <c r="N1234" t="s">
        <v>91</v>
      </c>
      <c r="O1234" t="s">
        <v>46</v>
      </c>
      <c r="Q1234" t="s">
        <v>74</v>
      </c>
      <c r="R1234" t="s">
        <v>92</v>
      </c>
      <c r="S1234" t="s">
        <v>93</v>
      </c>
      <c r="T1234">
        <v>278</v>
      </c>
      <c r="U1234" t="s">
        <v>50</v>
      </c>
      <c r="V1234" t="s">
        <v>76</v>
      </c>
      <c r="W1234" t="s">
        <v>152</v>
      </c>
      <c r="X1234" t="s">
        <v>141</v>
      </c>
      <c r="Y1234" t="s">
        <v>78</v>
      </c>
      <c r="AA1234">
        <v>0</v>
      </c>
      <c r="AB1234" t="s">
        <v>79</v>
      </c>
      <c r="AC1234" t="s">
        <v>95</v>
      </c>
      <c r="AD1234">
        <v>36</v>
      </c>
      <c r="AE1234">
        <v>9</v>
      </c>
      <c r="AF1234">
        <v>3</v>
      </c>
      <c r="AG1234">
        <v>2025</v>
      </c>
      <c r="AH1234" s="2">
        <v>26000</v>
      </c>
      <c r="AI1234" s="2">
        <v>20768.310546875</v>
      </c>
      <c r="AJ1234" s="2">
        <f t="shared" si="154"/>
        <v>5231.689453125</v>
      </c>
      <c r="AK1234" s="6">
        <f t="shared" si="155"/>
        <v>0.20121882512019232</v>
      </c>
      <c r="AL1234" s="12">
        <v>26000</v>
      </c>
      <c r="AM1234" s="12">
        <v>20867.078683694679</v>
      </c>
      <c r="AN1234" s="12">
        <f t="shared" si="156"/>
        <v>5132.9213163053209</v>
      </c>
      <c r="AO1234" s="13">
        <f t="shared" si="157"/>
        <v>0.19742005062712772</v>
      </c>
      <c r="AP1234" s="16">
        <v>26000</v>
      </c>
      <c r="AQ1234" s="16">
        <v>16587.604312778702</v>
      </c>
      <c r="AR1234" s="16">
        <f t="shared" si="158"/>
        <v>9412.3956872212984</v>
      </c>
      <c r="AS1234" s="17">
        <f t="shared" si="152"/>
        <v>0.36201521873928072</v>
      </c>
      <c r="AT1234" s="20">
        <v>26000</v>
      </c>
      <c r="AU1234" s="20">
        <v>20655.59765625</v>
      </c>
      <c r="AV1234" s="20">
        <f t="shared" si="153"/>
        <v>5344.40234375</v>
      </c>
      <c r="AW1234" s="21">
        <f t="shared" si="159"/>
        <v>0.20555393629807692</v>
      </c>
    </row>
    <row r="1235" spans="1:49" x14ac:dyDescent="0.25">
      <c r="A1235" t="s">
        <v>38</v>
      </c>
      <c r="B1235" t="s">
        <v>96</v>
      </c>
      <c r="C1235">
        <v>110226</v>
      </c>
      <c r="D1235">
        <v>2017</v>
      </c>
      <c r="E1235" t="s">
        <v>40</v>
      </c>
      <c r="F1235" t="s">
        <v>297</v>
      </c>
      <c r="G1235" t="s">
        <v>727</v>
      </c>
      <c r="H1235" t="s">
        <v>298</v>
      </c>
      <c r="I1235">
        <v>4</v>
      </c>
      <c r="J1235" t="s">
        <v>61</v>
      </c>
      <c r="K1235">
        <v>4</v>
      </c>
      <c r="L1235" t="s">
        <v>44</v>
      </c>
      <c r="M1235">
        <v>2.5</v>
      </c>
      <c r="N1235" t="s">
        <v>45</v>
      </c>
      <c r="O1235" t="s">
        <v>46</v>
      </c>
      <c r="P1235">
        <v>2</v>
      </c>
      <c r="Q1235" t="s">
        <v>47</v>
      </c>
      <c r="R1235" t="s">
        <v>123</v>
      </c>
      <c r="S1235" t="s">
        <v>49</v>
      </c>
      <c r="T1235">
        <v>178</v>
      </c>
      <c r="U1235" t="s">
        <v>50</v>
      </c>
      <c r="V1235" t="s">
        <v>51</v>
      </c>
      <c r="W1235" t="s">
        <v>236</v>
      </c>
      <c r="X1235" t="s">
        <v>125</v>
      </c>
      <c r="Y1235" t="s">
        <v>78</v>
      </c>
      <c r="Z1235">
        <v>23070</v>
      </c>
      <c r="AA1235">
        <v>0</v>
      </c>
      <c r="AB1235" t="s">
        <v>79</v>
      </c>
      <c r="AC1235" t="s">
        <v>127</v>
      </c>
      <c r="AD1235">
        <v>36</v>
      </c>
      <c r="AE1235">
        <v>9</v>
      </c>
      <c r="AF1235">
        <v>3</v>
      </c>
      <c r="AG1235">
        <v>2025</v>
      </c>
      <c r="AH1235" s="2">
        <v>10500</v>
      </c>
      <c r="AI1235" s="2">
        <v>6368.65283203125</v>
      </c>
      <c r="AJ1235" s="2">
        <f t="shared" si="154"/>
        <v>4131.34716796875</v>
      </c>
      <c r="AK1235" s="6">
        <f t="shared" si="155"/>
        <v>0.39346163504464288</v>
      </c>
      <c r="AL1235" s="12">
        <v>10500</v>
      </c>
      <c r="AM1235" s="12">
        <v>5650.9326499369063</v>
      </c>
      <c r="AN1235" s="12">
        <f t="shared" si="156"/>
        <v>4849.0673500630937</v>
      </c>
      <c r="AO1235" s="13">
        <f t="shared" si="157"/>
        <v>0.46181593810124705</v>
      </c>
      <c r="AP1235" s="16">
        <v>10500</v>
      </c>
      <c r="AQ1235" s="16">
        <v>5378.4306500065277</v>
      </c>
      <c r="AR1235" s="16">
        <f t="shared" si="158"/>
        <v>5121.5693499934723</v>
      </c>
      <c r="AS1235" s="17">
        <f t="shared" si="152"/>
        <v>0.48776850952318784</v>
      </c>
      <c r="AT1235" s="20">
        <v>10500</v>
      </c>
      <c r="AU1235" s="20">
        <v>6363.75244140625</v>
      </c>
      <c r="AV1235" s="20">
        <f t="shared" si="153"/>
        <v>4136.24755859375</v>
      </c>
      <c r="AW1235" s="21">
        <f t="shared" si="159"/>
        <v>0.3939283389136905</v>
      </c>
    </row>
    <row r="1236" spans="1:49" x14ac:dyDescent="0.25">
      <c r="A1236" t="s">
        <v>38</v>
      </c>
      <c r="B1236" t="s">
        <v>96</v>
      </c>
      <c r="C1236">
        <v>51574</v>
      </c>
      <c r="D1236">
        <v>2024</v>
      </c>
      <c r="E1236" t="s">
        <v>142</v>
      </c>
      <c r="F1236" t="s">
        <v>1025</v>
      </c>
      <c r="H1236" t="s">
        <v>398</v>
      </c>
      <c r="I1236">
        <v>6</v>
      </c>
      <c r="J1236" t="s">
        <v>106</v>
      </c>
      <c r="K1236">
        <v>4</v>
      </c>
      <c r="L1236" t="s">
        <v>44</v>
      </c>
      <c r="M1236">
        <v>3.6</v>
      </c>
      <c r="N1236" t="s">
        <v>91</v>
      </c>
      <c r="O1236" t="s">
        <v>46</v>
      </c>
      <c r="P1236">
        <v>4</v>
      </c>
      <c r="Q1236" t="s">
        <v>62</v>
      </c>
      <c r="R1236" t="s">
        <v>63</v>
      </c>
      <c r="S1236" t="s">
        <v>93</v>
      </c>
      <c r="T1236">
        <v>293</v>
      </c>
      <c r="U1236" t="s">
        <v>50</v>
      </c>
      <c r="V1236" t="s">
        <v>76</v>
      </c>
      <c r="X1236" t="s">
        <v>94</v>
      </c>
      <c r="Y1236" t="s">
        <v>78</v>
      </c>
      <c r="AA1236">
        <v>0</v>
      </c>
      <c r="AB1236" t="s">
        <v>79</v>
      </c>
      <c r="AC1236" t="s">
        <v>109</v>
      </c>
      <c r="AD1236">
        <v>36</v>
      </c>
      <c r="AE1236">
        <v>9</v>
      </c>
      <c r="AF1236">
        <v>3</v>
      </c>
      <c r="AG1236">
        <v>2025</v>
      </c>
      <c r="AH1236" s="2">
        <v>27100</v>
      </c>
      <c r="AI1236" s="2">
        <v>28311.55078125</v>
      </c>
      <c r="AJ1236" s="2">
        <f t="shared" si="154"/>
        <v>1211.55078125</v>
      </c>
      <c r="AK1236" s="6">
        <f t="shared" si="155"/>
        <v>4.4706670894833947E-2</v>
      </c>
      <c r="AL1236" s="12">
        <v>27100</v>
      </c>
      <c r="AM1236" s="12">
        <v>33673.273135973359</v>
      </c>
      <c r="AN1236" s="12">
        <f t="shared" si="156"/>
        <v>6573.2731359733589</v>
      </c>
      <c r="AO1236" s="13">
        <f t="shared" si="157"/>
        <v>0.24255620427945973</v>
      </c>
      <c r="AP1236" s="16">
        <v>27100</v>
      </c>
      <c r="AQ1236" s="16">
        <v>30958.383914739861</v>
      </c>
      <c r="AR1236" s="16">
        <f t="shared" si="158"/>
        <v>3858.3839147398612</v>
      </c>
      <c r="AS1236" s="17">
        <f t="shared" si="152"/>
        <v>0.14237579021180299</v>
      </c>
      <c r="AT1236" s="20">
        <v>27100</v>
      </c>
      <c r="AU1236" s="20">
        <v>28625.626953125</v>
      </c>
      <c r="AV1236" s="20">
        <f t="shared" si="153"/>
        <v>1525.626953125</v>
      </c>
      <c r="AW1236" s="21">
        <f t="shared" si="159"/>
        <v>5.6296197532287824E-2</v>
      </c>
    </row>
    <row r="1237" spans="1:49" x14ac:dyDescent="0.25">
      <c r="A1237" t="s">
        <v>38</v>
      </c>
      <c r="B1237" t="s">
        <v>110</v>
      </c>
      <c r="C1237">
        <v>143830</v>
      </c>
      <c r="D1237">
        <v>2015</v>
      </c>
      <c r="E1237" t="s">
        <v>116</v>
      </c>
      <c r="F1237" t="s">
        <v>251</v>
      </c>
      <c r="G1237" t="s">
        <v>1291</v>
      </c>
      <c r="I1237">
        <v>6</v>
      </c>
      <c r="J1237" t="s">
        <v>72</v>
      </c>
      <c r="K1237">
        <v>4</v>
      </c>
      <c r="L1237" t="s">
        <v>44</v>
      </c>
      <c r="M1237">
        <v>3.6</v>
      </c>
      <c r="N1237" t="s">
        <v>45</v>
      </c>
      <c r="O1237" t="s">
        <v>46</v>
      </c>
      <c r="P1237">
        <v>2</v>
      </c>
      <c r="Q1237" t="s">
        <v>62</v>
      </c>
      <c r="R1237" t="s">
        <v>63</v>
      </c>
      <c r="S1237" t="s">
        <v>101</v>
      </c>
      <c r="U1237" t="s">
        <v>50</v>
      </c>
      <c r="X1237" t="s">
        <v>141</v>
      </c>
      <c r="Y1237" t="s">
        <v>126</v>
      </c>
      <c r="AA1237">
        <v>0</v>
      </c>
      <c r="AB1237" t="s">
        <v>79</v>
      </c>
      <c r="AC1237" t="s">
        <v>87</v>
      </c>
      <c r="AD1237">
        <v>36</v>
      </c>
      <c r="AE1237">
        <v>9</v>
      </c>
      <c r="AF1237">
        <v>3</v>
      </c>
      <c r="AG1237">
        <v>2025</v>
      </c>
      <c r="AH1237" s="2">
        <v>1400</v>
      </c>
      <c r="AI1237" s="2">
        <v>1759.767456054688</v>
      </c>
      <c r="AJ1237" s="2">
        <f t="shared" si="154"/>
        <v>359.76745605468795</v>
      </c>
      <c r="AK1237" s="6">
        <f t="shared" si="155"/>
        <v>0.25697675432477712</v>
      </c>
      <c r="AL1237" s="12">
        <v>1400</v>
      </c>
      <c r="AM1237" s="12">
        <v>2051.5017512807931</v>
      </c>
      <c r="AN1237" s="12">
        <f t="shared" si="156"/>
        <v>651.50175128079309</v>
      </c>
      <c r="AO1237" s="13">
        <f t="shared" si="157"/>
        <v>0.46535839377199506</v>
      </c>
      <c r="AP1237" s="16">
        <v>1400</v>
      </c>
      <c r="AQ1237" s="16">
        <v>1607.2948242338271</v>
      </c>
      <c r="AR1237" s="16">
        <f t="shared" si="158"/>
        <v>207.29482423382706</v>
      </c>
      <c r="AS1237" s="17">
        <f t="shared" si="152"/>
        <v>0.14806773159559075</v>
      </c>
      <c r="AT1237" s="20">
        <v>1400</v>
      </c>
      <c r="AU1237" s="20">
        <v>1770.00146484375</v>
      </c>
      <c r="AV1237" s="20">
        <f t="shared" si="153"/>
        <v>370.00146484375</v>
      </c>
      <c r="AW1237" s="21">
        <f t="shared" si="159"/>
        <v>0.26428676060267858</v>
      </c>
    </row>
    <row r="1238" spans="1:49" x14ac:dyDescent="0.25">
      <c r="A1238" t="s">
        <v>38</v>
      </c>
      <c r="B1238" t="s">
        <v>96</v>
      </c>
      <c r="C1238">
        <v>175626</v>
      </c>
      <c r="D1238">
        <v>2011</v>
      </c>
      <c r="E1238" t="s">
        <v>142</v>
      </c>
      <c r="F1238" t="s">
        <v>373</v>
      </c>
      <c r="G1238" t="s">
        <v>398</v>
      </c>
      <c r="H1238" t="s">
        <v>375</v>
      </c>
      <c r="I1238">
        <v>6</v>
      </c>
      <c r="J1238" t="s">
        <v>122</v>
      </c>
      <c r="K1238">
        <v>4</v>
      </c>
      <c r="L1238" t="s">
        <v>44</v>
      </c>
      <c r="M1238">
        <v>3.6</v>
      </c>
      <c r="N1238" t="s">
        <v>73</v>
      </c>
      <c r="O1238" t="s">
        <v>46</v>
      </c>
      <c r="Q1238" t="s">
        <v>62</v>
      </c>
      <c r="R1238" t="s">
        <v>63</v>
      </c>
      <c r="S1238" t="s">
        <v>49</v>
      </c>
      <c r="U1238" t="s">
        <v>50</v>
      </c>
      <c r="W1238" t="s">
        <v>561</v>
      </c>
      <c r="X1238" t="s">
        <v>94</v>
      </c>
      <c r="Y1238" t="s">
        <v>78</v>
      </c>
      <c r="AA1238">
        <v>0</v>
      </c>
      <c r="AB1238" t="s">
        <v>79</v>
      </c>
      <c r="AC1238" t="s">
        <v>87</v>
      </c>
      <c r="AD1238">
        <v>36</v>
      </c>
      <c r="AE1238">
        <v>9</v>
      </c>
      <c r="AF1238">
        <v>3</v>
      </c>
      <c r="AG1238">
        <v>2025</v>
      </c>
      <c r="AH1238" s="2">
        <v>3800</v>
      </c>
      <c r="AI1238" s="2">
        <v>2110.841064453125</v>
      </c>
      <c r="AJ1238" s="2">
        <f t="shared" si="154"/>
        <v>1689.158935546875</v>
      </c>
      <c r="AK1238" s="6">
        <f t="shared" si="155"/>
        <v>0.44451550935444079</v>
      </c>
      <c r="AL1238" s="12">
        <v>3800</v>
      </c>
      <c r="AM1238" s="12">
        <v>2396.391402220549</v>
      </c>
      <c r="AN1238" s="12">
        <f t="shared" si="156"/>
        <v>1403.608597779451</v>
      </c>
      <c r="AO1238" s="13">
        <f t="shared" si="157"/>
        <v>0.36937068362617131</v>
      </c>
      <c r="AP1238" s="16">
        <v>3800</v>
      </c>
      <c r="AQ1238" s="16">
        <v>2127.121579112169</v>
      </c>
      <c r="AR1238" s="16">
        <f t="shared" si="158"/>
        <v>1672.878420887831</v>
      </c>
      <c r="AS1238" s="17">
        <f t="shared" si="152"/>
        <v>0.44023116339153445</v>
      </c>
      <c r="AT1238" s="20">
        <v>3800</v>
      </c>
      <c r="AU1238" s="20">
        <v>2107.12646484375</v>
      </c>
      <c r="AV1238" s="20">
        <f t="shared" si="153"/>
        <v>1692.87353515625</v>
      </c>
      <c r="AW1238" s="21">
        <f t="shared" si="159"/>
        <v>0.44549303556743419</v>
      </c>
    </row>
    <row r="1239" spans="1:49" x14ac:dyDescent="0.25">
      <c r="A1239" t="s">
        <v>38</v>
      </c>
      <c r="B1239" t="s">
        <v>110</v>
      </c>
      <c r="C1239">
        <v>117683</v>
      </c>
      <c r="D1239">
        <v>2016</v>
      </c>
      <c r="E1239" t="s">
        <v>40</v>
      </c>
      <c r="F1239" t="s">
        <v>297</v>
      </c>
      <c r="H1239" t="s">
        <v>298</v>
      </c>
      <c r="I1239">
        <v>4</v>
      </c>
      <c r="J1239" t="s">
        <v>135</v>
      </c>
      <c r="K1239">
        <v>4</v>
      </c>
      <c r="L1239" t="s">
        <v>44</v>
      </c>
      <c r="M1239">
        <v>2.5</v>
      </c>
      <c r="N1239" t="s">
        <v>45</v>
      </c>
      <c r="O1239" t="s">
        <v>46</v>
      </c>
      <c r="Q1239" t="s">
        <v>47</v>
      </c>
      <c r="R1239" t="s">
        <v>123</v>
      </c>
      <c r="S1239" t="s">
        <v>49</v>
      </c>
      <c r="T1239">
        <v>268</v>
      </c>
      <c r="U1239" t="s">
        <v>50</v>
      </c>
      <c r="V1239" t="s">
        <v>51</v>
      </c>
      <c r="W1239" t="s">
        <v>236</v>
      </c>
      <c r="X1239" t="s">
        <v>125</v>
      </c>
      <c r="Y1239" t="s">
        <v>78</v>
      </c>
      <c r="AA1239">
        <v>0</v>
      </c>
      <c r="AB1239" t="s">
        <v>79</v>
      </c>
      <c r="AC1239" t="s">
        <v>127</v>
      </c>
      <c r="AD1239">
        <v>36</v>
      </c>
      <c r="AE1239">
        <v>9</v>
      </c>
      <c r="AF1239">
        <v>3</v>
      </c>
      <c r="AG1239">
        <v>2025</v>
      </c>
      <c r="AH1239" s="2">
        <v>6000</v>
      </c>
      <c r="AI1239" s="2">
        <v>5279.59228515625</v>
      </c>
      <c r="AJ1239" s="2">
        <f t="shared" si="154"/>
        <v>720.40771484375</v>
      </c>
      <c r="AK1239" s="6">
        <f t="shared" si="155"/>
        <v>0.12006795247395834</v>
      </c>
      <c r="AL1239" s="12">
        <v>6000</v>
      </c>
      <c r="AM1239" s="12">
        <v>6462.4316329577323</v>
      </c>
      <c r="AN1239" s="12">
        <f t="shared" si="156"/>
        <v>462.43163295773229</v>
      </c>
      <c r="AO1239" s="13">
        <f t="shared" si="157"/>
        <v>7.7071938826288711E-2</v>
      </c>
      <c r="AP1239" s="16">
        <v>6000</v>
      </c>
      <c r="AQ1239" s="16">
        <v>4915.1136705721237</v>
      </c>
      <c r="AR1239" s="16">
        <f t="shared" si="158"/>
        <v>1084.8863294278763</v>
      </c>
      <c r="AS1239" s="17">
        <f t="shared" si="152"/>
        <v>0.18081438823797938</v>
      </c>
      <c r="AT1239" s="20">
        <v>6000</v>
      </c>
      <c r="AU1239" s="20">
        <v>5441.06298828125</v>
      </c>
      <c r="AV1239" s="20">
        <f t="shared" si="153"/>
        <v>558.93701171875</v>
      </c>
      <c r="AW1239" s="21">
        <f t="shared" si="159"/>
        <v>9.315616861979166E-2</v>
      </c>
    </row>
    <row r="1240" spans="1:49" x14ac:dyDescent="0.25">
      <c r="A1240" t="s">
        <v>38</v>
      </c>
      <c r="B1240" t="s">
        <v>110</v>
      </c>
      <c r="C1240">
        <v>40840</v>
      </c>
      <c r="D1240">
        <v>2020</v>
      </c>
      <c r="E1240" t="s">
        <v>69</v>
      </c>
      <c r="F1240" t="s">
        <v>310</v>
      </c>
      <c r="H1240" t="s">
        <v>952</v>
      </c>
      <c r="I1240">
        <v>4</v>
      </c>
      <c r="J1240" t="s">
        <v>61</v>
      </c>
      <c r="K1240">
        <v>2</v>
      </c>
      <c r="L1240" t="s">
        <v>402</v>
      </c>
      <c r="M1240">
        <v>2.2999999999999998</v>
      </c>
      <c r="N1240" t="s">
        <v>73</v>
      </c>
      <c r="Q1240" t="s">
        <v>47</v>
      </c>
      <c r="R1240" t="s">
        <v>197</v>
      </c>
      <c r="U1240" t="s">
        <v>50</v>
      </c>
      <c r="V1240" t="s">
        <v>51</v>
      </c>
      <c r="X1240" t="s">
        <v>125</v>
      </c>
      <c r="Y1240" t="s">
        <v>78</v>
      </c>
      <c r="AA1240">
        <v>0</v>
      </c>
      <c r="AB1240" t="s">
        <v>79</v>
      </c>
      <c r="AC1240" t="s">
        <v>197</v>
      </c>
      <c r="AD1240">
        <v>36</v>
      </c>
      <c r="AE1240">
        <v>9</v>
      </c>
      <c r="AF1240">
        <v>3</v>
      </c>
      <c r="AG1240">
        <v>2025</v>
      </c>
      <c r="AH1240" s="2">
        <v>11000</v>
      </c>
      <c r="AI1240" s="2">
        <v>16154.20703125</v>
      </c>
      <c r="AJ1240" s="2">
        <f t="shared" si="154"/>
        <v>5154.20703125</v>
      </c>
      <c r="AK1240" s="6">
        <f t="shared" si="155"/>
        <v>0.46856427556818181</v>
      </c>
      <c r="AL1240" s="12">
        <v>11000</v>
      </c>
      <c r="AM1240" s="12">
        <v>18021.753623029341</v>
      </c>
      <c r="AN1240" s="12">
        <f t="shared" si="156"/>
        <v>7021.7536230293408</v>
      </c>
      <c r="AO1240" s="13">
        <f t="shared" si="157"/>
        <v>0.6383412384572128</v>
      </c>
      <c r="AP1240" s="16">
        <v>11000</v>
      </c>
      <c r="AQ1240" s="16">
        <v>16550.213874141631</v>
      </c>
      <c r="AR1240" s="16">
        <f t="shared" si="158"/>
        <v>5550.2138741416311</v>
      </c>
      <c r="AS1240" s="17">
        <f t="shared" si="152"/>
        <v>0.50456489764923917</v>
      </c>
      <c r="AT1240" s="20">
        <v>11000</v>
      </c>
      <c r="AU1240" s="20">
        <v>16462.771484375</v>
      </c>
      <c r="AV1240" s="20">
        <f t="shared" si="153"/>
        <v>5462.771484375</v>
      </c>
      <c r="AW1240" s="21">
        <f t="shared" si="159"/>
        <v>0.49661558948863638</v>
      </c>
    </row>
    <row r="1241" spans="1:49" x14ac:dyDescent="0.25">
      <c r="A1241" t="s">
        <v>38</v>
      </c>
      <c r="B1241" t="s">
        <v>110</v>
      </c>
      <c r="C1241">
        <v>206065</v>
      </c>
      <c r="D1241">
        <v>2011</v>
      </c>
      <c r="E1241" t="s">
        <v>166</v>
      </c>
      <c r="F1241" t="s">
        <v>1292</v>
      </c>
      <c r="G1241" t="s">
        <v>240</v>
      </c>
      <c r="I1241">
        <v>4</v>
      </c>
      <c r="J1241" t="s">
        <v>106</v>
      </c>
      <c r="K1241">
        <v>4</v>
      </c>
      <c r="L1241" t="s">
        <v>44</v>
      </c>
      <c r="M1241">
        <v>1.3</v>
      </c>
      <c r="N1241" t="s">
        <v>45</v>
      </c>
      <c r="Q1241" t="s">
        <v>47</v>
      </c>
      <c r="R1241" t="s">
        <v>48</v>
      </c>
      <c r="T1241">
        <v>88</v>
      </c>
      <c r="U1241" t="s">
        <v>50</v>
      </c>
      <c r="V1241" t="s">
        <v>51</v>
      </c>
      <c r="W1241" t="s">
        <v>1293</v>
      </c>
      <c r="X1241" t="s">
        <v>53</v>
      </c>
      <c r="Y1241" t="s">
        <v>54</v>
      </c>
      <c r="AA1241">
        <v>1</v>
      </c>
      <c r="AB1241" t="s">
        <v>55</v>
      </c>
      <c r="AC1241" t="s">
        <v>56</v>
      </c>
      <c r="AD1241">
        <v>36</v>
      </c>
      <c r="AE1241">
        <v>9</v>
      </c>
      <c r="AF1241">
        <v>3</v>
      </c>
      <c r="AG1241">
        <v>2025</v>
      </c>
      <c r="AH1241" s="2">
        <v>1200</v>
      </c>
      <c r="AI1241" s="2">
        <v>1225.818237304688</v>
      </c>
      <c r="AJ1241" s="2">
        <f t="shared" si="154"/>
        <v>25.818237304687955</v>
      </c>
      <c r="AK1241" s="6">
        <f t="shared" si="155"/>
        <v>2.1515197753906628E-2</v>
      </c>
      <c r="AL1241" s="12">
        <v>1200</v>
      </c>
      <c r="AM1241" s="12">
        <v>1675.957627630228</v>
      </c>
      <c r="AN1241" s="12">
        <f t="shared" si="156"/>
        <v>475.95762763022799</v>
      </c>
      <c r="AO1241" s="13">
        <f t="shared" si="157"/>
        <v>0.39663135635852331</v>
      </c>
      <c r="AP1241" s="16">
        <v>1200</v>
      </c>
      <c r="AQ1241" s="16">
        <v>991.73037470615031</v>
      </c>
      <c r="AR1241" s="16">
        <f t="shared" si="158"/>
        <v>208.26962529384969</v>
      </c>
      <c r="AS1241" s="17">
        <f t="shared" si="152"/>
        <v>0.17355802107820806</v>
      </c>
      <c r="AT1241" s="20">
        <v>1200</v>
      </c>
      <c r="AU1241" s="20">
        <v>1234.427734375</v>
      </c>
      <c r="AV1241" s="20">
        <f t="shared" si="153"/>
        <v>34.427734375</v>
      </c>
      <c r="AW1241" s="21">
        <f t="shared" si="159"/>
        <v>2.8689778645833334E-2</v>
      </c>
    </row>
    <row r="1242" spans="1:49" x14ac:dyDescent="0.25">
      <c r="A1242" t="s">
        <v>128</v>
      </c>
      <c r="B1242" t="s">
        <v>210</v>
      </c>
      <c r="C1242">
        <v>93679</v>
      </c>
      <c r="D1242">
        <v>2014</v>
      </c>
      <c r="E1242" t="s">
        <v>97</v>
      </c>
      <c r="F1242" t="s">
        <v>1294</v>
      </c>
      <c r="G1242" t="s">
        <v>380</v>
      </c>
      <c r="I1242">
        <v>4</v>
      </c>
      <c r="J1242" t="s">
        <v>106</v>
      </c>
      <c r="K1242">
        <v>4</v>
      </c>
      <c r="L1242" t="s">
        <v>44</v>
      </c>
      <c r="M1242">
        <v>2.4</v>
      </c>
      <c r="N1242" t="s">
        <v>45</v>
      </c>
      <c r="O1242" t="s">
        <v>46</v>
      </c>
      <c r="Q1242" t="s">
        <v>62</v>
      </c>
      <c r="R1242" t="s">
        <v>63</v>
      </c>
      <c r="S1242" t="s">
        <v>101</v>
      </c>
      <c r="U1242" t="s">
        <v>50</v>
      </c>
      <c r="W1242" t="s">
        <v>343</v>
      </c>
      <c r="X1242" t="s">
        <v>65</v>
      </c>
      <c r="Y1242" t="s">
        <v>126</v>
      </c>
      <c r="AA1242">
        <v>0</v>
      </c>
      <c r="AB1242" t="s">
        <v>79</v>
      </c>
      <c r="AC1242" t="s">
        <v>87</v>
      </c>
      <c r="AD1242">
        <v>36</v>
      </c>
      <c r="AE1242">
        <v>9</v>
      </c>
      <c r="AF1242">
        <v>3</v>
      </c>
      <c r="AG1242">
        <v>2025</v>
      </c>
      <c r="AH1242" s="2">
        <v>2000</v>
      </c>
      <c r="AI1242" s="2">
        <v>4126.5625</v>
      </c>
      <c r="AJ1242" s="2">
        <f t="shared" si="154"/>
        <v>2126.5625</v>
      </c>
      <c r="AK1242" s="6">
        <f t="shared" si="155"/>
        <v>1.06328125</v>
      </c>
      <c r="AL1242" s="12">
        <v>2000</v>
      </c>
      <c r="AM1242" s="12">
        <v>4466.8485737371693</v>
      </c>
      <c r="AN1242" s="12">
        <f t="shared" si="156"/>
        <v>2466.8485737371693</v>
      </c>
      <c r="AO1242" s="13">
        <f t="shared" si="157"/>
        <v>1.2334242868685847</v>
      </c>
      <c r="AP1242" s="16">
        <v>2000</v>
      </c>
      <c r="AQ1242" s="16">
        <v>3056.593232051142</v>
      </c>
      <c r="AR1242" s="16">
        <f t="shared" si="158"/>
        <v>1056.593232051142</v>
      </c>
      <c r="AS1242" s="17">
        <f t="shared" si="152"/>
        <v>0.52829661602557099</v>
      </c>
      <c r="AT1242" s="20">
        <v>2000</v>
      </c>
      <c r="AU1242" s="20">
        <v>4170.48388671875</v>
      </c>
      <c r="AV1242" s="20">
        <f t="shared" si="153"/>
        <v>2170.48388671875</v>
      </c>
      <c r="AW1242" s="21">
        <f t="shared" si="159"/>
        <v>1.085241943359375</v>
      </c>
    </row>
    <row r="1243" spans="1:49" x14ac:dyDescent="0.25">
      <c r="A1243" t="s">
        <v>38</v>
      </c>
      <c r="B1243" t="s">
        <v>96</v>
      </c>
      <c r="C1243">
        <v>107285</v>
      </c>
      <c r="D1243">
        <v>2015</v>
      </c>
      <c r="E1243" t="s">
        <v>162</v>
      </c>
      <c r="F1243" t="s">
        <v>211</v>
      </c>
      <c r="G1243" t="s">
        <v>1022</v>
      </c>
      <c r="I1243">
        <v>4</v>
      </c>
      <c r="J1243" t="s">
        <v>72</v>
      </c>
      <c r="K1243">
        <v>4</v>
      </c>
      <c r="L1243" t="s">
        <v>44</v>
      </c>
      <c r="M1243">
        <v>2</v>
      </c>
      <c r="N1243" t="s">
        <v>45</v>
      </c>
      <c r="O1243" t="s">
        <v>46</v>
      </c>
      <c r="Q1243" t="s">
        <v>47</v>
      </c>
      <c r="R1243" t="s">
        <v>48</v>
      </c>
      <c r="U1243" t="s">
        <v>50</v>
      </c>
      <c r="W1243" t="s">
        <v>924</v>
      </c>
      <c r="X1243" t="s">
        <v>125</v>
      </c>
      <c r="Y1243" t="s">
        <v>66</v>
      </c>
      <c r="AA1243">
        <v>0</v>
      </c>
      <c r="AB1243" t="s">
        <v>79</v>
      </c>
      <c r="AC1243" t="s">
        <v>359</v>
      </c>
      <c r="AD1243">
        <v>36</v>
      </c>
      <c r="AE1243">
        <v>9</v>
      </c>
      <c r="AF1243">
        <v>3</v>
      </c>
      <c r="AG1243">
        <v>2025</v>
      </c>
      <c r="AH1243" s="2">
        <v>4700</v>
      </c>
      <c r="AI1243" s="2">
        <v>3473.2548828125</v>
      </c>
      <c r="AJ1243" s="2">
        <f t="shared" si="154"/>
        <v>1226.7451171875</v>
      </c>
      <c r="AK1243" s="6">
        <f t="shared" si="155"/>
        <v>0.26100959940159574</v>
      </c>
      <c r="AL1243" s="12">
        <v>4700</v>
      </c>
      <c r="AM1243" s="12">
        <v>3583.1012387825699</v>
      </c>
      <c r="AN1243" s="12">
        <f t="shared" si="156"/>
        <v>1116.8987612174301</v>
      </c>
      <c r="AO1243" s="13">
        <f t="shared" si="157"/>
        <v>0.23763803430158087</v>
      </c>
      <c r="AP1243" s="16">
        <v>4700</v>
      </c>
      <c r="AQ1243" s="16">
        <v>3138.7007059876842</v>
      </c>
      <c r="AR1243" s="16">
        <f t="shared" si="158"/>
        <v>1561.2992940123158</v>
      </c>
      <c r="AS1243" s="17">
        <f t="shared" si="152"/>
        <v>0.33219133915155657</v>
      </c>
      <c r="AT1243" s="20">
        <v>4700</v>
      </c>
      <c r="AU1243" s="20">
        <v>3551.081787109375</v>
      </c>
      <c r="AV1243" s="20">
        <f t="shared" si="153"/>
        <v>1148.918212890625</v>
      </c>
      <c r="AW1243" s="21">
        <f t="shared" si="159"/>
        <v>0.24445068359375</v>
      </c>
    </row>
    <row r="1244" spans="1:49" x14ac:dyDescent="0.25">
      <c r="A1244" t="s">
        <v>38</v>
      </c>
      <c r="B1244" t="s">
        <v>57</v>
      </c>
      <c r="C1244">
        <v>126004</v>
      </c>
      <c r="D1244">
        <v>2017</v>
      </c>
      <c r="E1244" t="s">
        <v>174</v>
      </c>
      <c r="F1244" t="s">
        <v>314</v>
      </c>
      <c r="G1244" t="s">
        <v>176</v>
      </c>
      <c r="H1244" t="s">
        <v>89</v>
      </c>
      <c r="I1244">
        <v>8</v>
      </c>
      <c r="J1244" t="s">
        <v>72</v>
      </c>
      <c r="K1244">
        <v>4</v>
      </c>
      <c r="L1244" t="s">
        <v>44</v>
      </c>
      <c r="M1244">
        <v>6.2</v>
      </c>
      <c r="N1244" t="s">
        <v>91</v>
      </c>
      <c r="O1244" t="s">
        <v>46</v>
      </c>
      <c r="P1244">
        <v>3</v>
      </c>
      <c r="Q1244" t="s">
        <v>74</v>
      </c>
      <c r="R1244" t="s">
        <v>92</v>
      </c>
      <c r="S1244" t="s">
        <v>93</v>
      </c>
      <c r="U1244" t="s">
        <v>50</v>
      </c>
      <c r="W1244" t="s">
        <v>1295</v>
      </c>
      <c r="X1244" t="s">
        <v>108</v>
      </c>
      <c r="Y1244" t="s">
        <v>126</v>
      </c>
      <c r="Z1244">
        <v>44890</v>
      </c>
      <c r="AA1244">
        <v>0</v>
      </c>
      <c r="AB1244" t="s">
        <v>79</v>
      </c>
      <c r="AC1244" t="s">
        <v>95</v>
      </c>
      <c r="AD1244">
        <v>36</v>
      </c>
      <c r="AE1244">
        <v>9</v>
      </c>
      <c r="AF1244">
        <v>3</v>
      </c>
      <c r="AG1244">
        <v>2025</v>
      </c>
      <c r="AH1244" s="2">
        <v>16000</v>
      </c>
      <c r="AI1244" s="2">
        <v>18175.107421875</v>
      </c>
      <c r="AJ1244" s="2">
        <f t="shared" si="154"/>
        <v>2175.107421875</v>
      </c>
      <c r="AK1244" s="6">
        <f t="shared" si="155"/>
        <v>0.1359442138671875</v>
      </c>
      <c r="AL1244" s="12">
        <v>16000</v>
      </c>
      <c r="AM1244" s="12">
        <v>16387.096053876969</v>
      </c>
      <c r="AN1244" s="12">
        <f t="shared" si="156"/>
        <v>387.09605387696865</v>
      </c>
      <c r="AO1244" s="13">
        <f t="shared" si="157"/>
        <v>2.4193503367310541E-2</v>
      </c>
      <c r="AP1244" s="16">
        <v>16000</v>
      </c>
      <c r="AQ1244" s="16">
        <v>16319.611729385189</v>
      </c>
      <c r="AR1244" s="16">
        <f t="shared" si="158"/>
        <v>319.61172938518939</v>
      </c>
      <c r="AS1244" s="17">
        <f t="shared" si="152"/>
        <v>1.9975733086574337E-2</v>
      </c>
      <c r="AT1244" s="20">
        <v>16000</v>
      </c>
      <c r="AU1244" s="20">
        <v>17477.158203125</v>
      </c>
      <c r="AV1244" s="20">
        <f t="shared" si="153"/>
        <v>1477.158203125</v>
      </c>
      <c r="AW1244" s="21">
        <f t="shared" si="159"/>
        <v>9.2322387695312494E-2</v>
      </c>
    </row>
    <row r="1245" spans="1:49" x14ac:dyDescent="0.25">
      <c r="A1245" t="s">
        <v>128</v>
      </c>
      <c r="B1245" t="s">
        <v>210</v>
      </c>
      <c r="C1245">
        <v>79274</v>
      </c>
      <c r="D1245">
        <v>2020</v>
      </c>
      <c r="E1245" t="s">
        <v>142</v>
      </c>
      <c r="F1245" t="s">
        <v>373</v>
      </c>
      <c r="H1245" t="s">
        <v>118</v>
      </c>
      <c r="I1245">
        <v>6</v>
      </c>
      <c r="J1245" t="s">
        <v>43</v>
      </c>
      <c r="K1245">
        <v>4</v>
      </c>
      <c r="L1245" t="s">
        <v>44</v>
      </c>
      <c r="M1245">
        <v>3.6</v>
      </c>
      <c r="N1245" t="s">
        <v>91</v>
      </c>
      <c r="O1245" t="s">
        <v>46</v>
      </c>
      <c r="Q1245" t="s">
        <v>62</v>
      </c>
      <c r="R1245" t="s">
        <v>63</v>
      </c>
      <c r="S1245" t="s">
        <v>93</v>
      </c>
      <c r="T1245">
        <v>295</v>
      </c>
      <c r="U1245" t="s">
        <v>50</v>
      </c>
      <c r="V1245" t="s">
        <v>76</v>
      </c>
      <c r="X1245" t="s">
        <v>94</v>
      </c>
      <c r="Y1245" t="s">
        <v>78</v>
      </c>
      <c r="AA1245">
        <v>0</v>
      </c>
      <c r="AB1245" t="s">
        <v>79</v>
      </c>
      <c r="AC1245" t="s">
        <v>87</v>
      </c>
      <c r="AD1245">
        <v>36</v>
      </c>
      <c r="AE1245">
        <v>9</v>
      </c>
      <c r="AF1245">
        <v>3</v>
      </c>
      <c r="AG1245">
        <v>2025</v>
      </c>
      <c r="AH1245" s="2">
        <v>19200</v>
      </c>
      <c r="AI1245" s="2">
        <v>20761.85546875</v>
      </c>
      <c r="AJ1245" s="2">
        <f t="shared" si="154"/>
        <v>1561.85546875</v>
      </c>
      <c r="AK1245" s="6">
        <f t="shared" si="155"/>
        <v>8.1346638997395831E-2</v>
      </c>
      <c r="AL1245" s="12">
        <v>19200</v>
      </c>
      <c r="AM1245" s="12">
        <v>20632.674571098029</v>
      </c>
      <c r="AN1245" s="12">
        <f t="shared" si="156"/>
        <v>1432.6745710980285</v>
      </c>
      <c r="AO1245" s="13">
        <f t="shared" si="157"/>
        <v>7.4618467244688985E-2</v>
      </c>
      <c r="AP1245" s="16">
        <v>19200</v>
      </c>
      <c r="AQ1245" s="16">
        <v>18073.310741856101</v>
      </c>
      <c r="AR1245" s="16">
        <f t="shared" si="158"/>
        <v>1126.6892581438988</v>
      </c>
      <c r="AS1245" s="17">
        <f t="shared" si="152"/>
        <v>5.8681732194994729E-2</v>
      </c>
      <c r="AT1245" s="20">
        <v>19200</v>
      </c>
      <c r="AU1245" s="20">
        <v>20645.69140625</v>
      </c>
      <c r="AV1245" s="20">
        <f t="shared" si="153"/>
        <v>1445.69140625</v>
      </c>
      <c r="AW1245" s="21">
        <f t="shared" si="159"/>
        <v>7.5296427408854172E-2</v>
      </c>
    </row>
    <row r="1246" spans="1:49" x14ac:dyDescent="0.25">
      <c r="A1246" t="s">
        <v>38</v>
      </c>
      <c r="B1246" t="s">
        <v>110</v>
      </c>
      <c r="C1246">
        <v>221910</v>
      </c>
      <c r="D1246">
        <v>2015</v>
      </c>
      <c r="E1246" t="s">
        <v>40</v>
      </c>
      <c r="F1246" t="s">
        <v>1296</v>
      </c>
      <c r="H1246" t="s">
        <v>1297</v>
      </c>
      <c r="I1246">
        <v>4</v>
      </c>
      <c r="J1246" t="s">
        <v>241</v>
      </c>
      <c r="K1246">
        <v>4</v>
      </c>
      <c r="L1246" t="s">
        <v>44</v>
      </c>
      <c r="M1246">
        <v>1.8</v>
      </c>
      <c r="N1246" t="s">
        <v>45</v>
      </c>
      <c r="Q1246" t="s">
        <v>47</v>
      </c>
      <c r="R1246" t="s">
        <v>757</v>
      </c>
      <c r="S1246" t="s">
        <v>49</v>
      </c>
      <c r="T1246">
        <v>98</v>
      </c>
      <c r="U1246" t="s">
        <v>50</v>
      </c>
      <c r="V1246" t="s">
        <v>51</v>
      </c>
      <c r="W1246" t="s">
        <v>1298</v>
      </c>
      <c r="X1246" t="s">
        <v>125</v>
      </c>
      <c r="Y1246" t="s">
        <v>54</v>
      </c>
      <c r="AA1246">
        <v>1</v>
      </c>
      <c r="AB1246" t="s">
        <v>55</v>
      </c>
      <c r="AC1246" t="s">
        <v>893</v>
      </c>
      <c r="AD1246">
        <v>36</v>
      </c>
      <c r="AE1246">
        <v>9</v>
      </c>
      <c r="AF1246">
        <v>3</v>
      </c>
      <c r="AG1246">
        <v>2025</v>
      </c>
      <c r="AH1246" s="2">
        <v>3600</v>
      </c>
      <c r="AI1246" s="2">
        <v>2283.32470703125</v>
      </c>
      <c r="AJ1246" s="2">
        <f t="shared" si="154"/>
        <v>1316.67529296875</v>
      </c>
      <c r="AK1246" s="6">
        <f t="shared" si="155"/>
        <v>0.36574313693576388</v>
      </c>
      <c r="AL1246" s="12">
        <v>3600</v>
      </c>
      <c r="AM1246" s="12">
        <v>2414.3544302396672</v>
      </c>
      <c r="AN1246" s="12">
        <f t="shared" si="156"/>
        <v>1185.6455697603328</v>
      </c>
      <c r="AO1246" s="13">
        <f t="shared" si="157"/>
        <v>0.32934599160009242</v>
      </c>
      <c r="AP1246" s="16">
        <v>3600</v>
      </c>
      <c r="AQ1246" s="16">
        <v>1732.6036631742959</v>
      </c>
      <c r="AR1246" s="16">
        <f t="shared" si="158"/>
        <v>1867.3963368257041</v>
      </c>
      <c r="AS1246" s="17">
        <f t="shared" si="152"/>
        <v>0.51872120467380667</v>
      </c>
      <c r="AT1246" s="20">
        <v>3600</v>
      </c>
      <c r="AU1246" s="20">
        <v>2280.509521484375</v>
      </c>
      <c r="AV1246" s="20">
        <f t="shared" si="153"/>
        <v>1319.490478515625</v>
      </c>
      <c r="AW1246" s="21">
        <f t="shared" si="159"/>
        <v>0.36652513292100697</v>
      </c>
    </row>
    <row r="1247" spans="1:49" x14ac:dyDescent="0.25">
      <c r="A1247" t="s">
        <v>38</v>
      </c>
      <c r="B1247" t="s">
        <v>96</v>
      </c>
      <c r="C1247">
        <v>204616</v>
      </c>
      <c r="D1247">
        <v>2008</v>
      </c>
      <c r="E1247" t="s">
        <v>116</v>
      </c>
      <c r="F1247" t="s">
        <v>697</v>
      </c>
      <c r="G1247" t="s">
        <v>89</v>
      </c>
      <c r="H1247" t="s">
        <v>1030</v>
      </c>
      <c r="I1247">
        <v>8</v>
      </c>
      <c r="J1247" t="s">
        <v>43</v>
      </c>
      <c r="K1247">
        <v>2</v>
      </c>
      <c r="L1247" t="s">
        <v>44</v>
      </c>
      <c r="M1247">
        <v>5.7</v>
      </c>
      <c r="N1247" t="s">
        <v>73</v>
      </c>
      <c r="O1247" t="s">
        <v>46</v>
      </c>
      <c r="Q1247" t="s">
        <v>74</v>
      </c>
      <c r="R1247" t="s">
        <v>92</v>
      </c>
      <c r="S1247" t="s">
        <v>49</v>
      </c>
      <c r="U1247" t="s">
        <v>50</v>
      </c>
      <c r="V1247" t="s">
        <v>76</v>
      </c>
      <c r="X1247" t="s">
        <v>94</v>
      </c>
      <c r="Y1247" t="s">
        <v>78</v>
      </c>
      <c r="AA1247">
        <v>0</v>
      </c>
      <c r="AB1247" t="s">
        <v>79</v>
      </c>
      <c r="AC1247" t="s">
        <v>95</v>
      </c>
      <c r="AD1247">
        <v>36</v>
      </c>
      <c r="AE1247">
        <v>9</v>
      </c>
      <c r="AF1247">
        <v>3</v>
      </c>
      <c r="AG1247">
        <v>2025</v>
      </c>
      <c r="AH1247" s="2">
        <v>1000</v>
      </c>
      <c r="AI1247" s="2">
        <v>3019.670654296875</v>
      </c>
      <c r="AJ1247" s="2">
        <f t="shared" si="154"/>
        <v>2019.670654296875</v>
      </c>
      <c r="AK1247" s="6">
        <f t="shared" si="155"/>
        <v>2.019670654296875</v>
      </c>
      <c r="AL1247" s="12">
        <v>1000</v>
      </c>
      <c r="AM1247" s="12">
        <v>2500.0591157268159</v>
      </c>
      <c r="AN1247" s="12">
        <f t="shared" si="156"/>
        <v>1500.0591157268159</v>
      </c>
      <c r="AO1247" s="13">
        <f t="shared" si="157"/>
        <v>1.5000591157268159</v>
      </c>
      <c r="AP1247" s="16">
        <v>1000</v>
      </c>
      <c r="AQ1247" s="16">
        <v>2278.886184946964</v>
      </c>
      <c r="AR1247" s="16">
        <f t="shared" si="158"/>
        <v>1278.886184946964</v>
      </c>
      <c r="AS1247" s="17">
        <f t="shared" si="152"/>
        <v>1.2788861849469639</v>
      </c>
      <c r="AT1247" s="20">
        <v>1000</v>
      </c>
      <c r="AU1247" s="20">
        <v>2977.697265625</v>
      </c>
      <c r="AV1247" s="20">
        <f t="shared" si="153"/>
        <v>1977.697265625</v>
      </c>
      <c r="AW1247" s="21">
        <f t="shared" si="159"/>
        <v>1.977697265625</v>
      </c>
    </row>
    <row r="1248" spans="1:49" x14ac:dyDescent="0.25">
      <c r="A1248" t="s">
        <v>128</v>
      </c>
      <c r="B1248" t="s">
        <v>210</v>
      </c>
      <c r="C1248">
        <v>164842</v>
      </c>
      <c r="D1248">
        <v>2009</v>
      </c>
      <c r="E1248" t="s">
        <v>40</v>
      </c>
      <c r="F1248" t="s">
        <v>297</v>
      </c>
      <c r="H1248" t="s">
        <v>368</v>
      </c>
      <c r="I1248">
        <v>4</v>
      </c>
      <c r="J1248" t="s">
        <v>106</v>
      </c>
      <c r="K1248">
        <v>4</v>
      </c>
      <c r="L1248" t="s">
        <v>44</v>
      </c>
      <c r="M1248">
        <v>2.4</v>
      </c>
      <c r="N1248" t="s">
        <v>45</v>
      </c>
      <c r="O1248" t="s">
        <v>46</v>
      </c>
      <c r="Q1248" t="s">
        <v>47</v>
      </c>
      <c r="R1248" t="s">
        <v>123</v>
      </c>
      <c r="S1248" t="s">
        <v>49</v>
      </c>
      <c r="T1248">
        <v>158</v>
      </c>
      <c r="U1248" t="s">
        <v>50</v>
      </c>
      <c r="V1248" t="s">
        <v>51</v>
      </c>
      <c r="W1248" t="s">
        <v>369</v>
      </c>
      <c r="X1248" t="s">
        <v>125</v>
      </c>
      <c r="Y1248" t="s">
        <v>78</v>
      </c>
      <c r="AA1248">
        <v>0</v>
      </c>
      <c r="AB1248" t="s">
        <v>79</v>
      </c>
      <c r="AC1248" t="s">
        <v>127</v>
      </c>
      <c r="AD1248">
        <v>36</v>
      </c>
      <c r="AE1248">
        <v>9</v>
      </c>
      <c r="AF1248">
        <v>3</v>
      </c>
      <c r="AG1248">
        <v>2025</v>
      </c>
      <c r="AH1248" s="2">
        <v>1500</v>
      </c>
      <c r="AI1248" s="2">
        <v>1951.397216796875</v>
      </c>
      <c r="AJ1248" s="2">
        <f t="shared" si="154"/>
        <v>451.397216796875</v>
      </c>
      <c r="AK1248" s="6">
        <f t="shared" si="155"/>
        <v>0.30093147786458335</v>
      </c>
      <c r="AL1248" s="12">
        <v>1500</v>
      </c>
      <c r="AM1248" s="12">
        <v>1866.9642228026439</v>
      </c>
      <c r="AN1248" s="12">
        <f t="shared" si="156"/>
        <v>366.96422280264392</v>
      </c>
      <c r="AO1248" s="13">
        <f t="shared" si="157"/>
        <v>0.24464281520176262</v>
      </c>
      <c r="AP1248" s="16">
        <v>1500</v>
      </c>
      <c r="AQ1248" s="16">
        <v>1544.3896109182269</v>
      </c>
      <c r="AR1248" s="16">
        <f t="shared" si="158"/>
        <v>44.389610918226936</v>
      </c>
      <c r="AS1248" s="17">
        <f t="shared" si="152"/>
        <v>2.9593073945484622E-2</v>
      </c>
      <c r="AT1248" s="20">
        <v>1500</v>
      </c>
      <c r="AU1248" s="20">
        <v>1946.698608398438</v>
      </c>
      <c r="AV1248" s="20">
        <f t="shared" si="153"/>
        <v>446.69860839843795</v>
      </c>
      <c r="AW1248" s="21">
        <f t="shared" si="159"/>
        <v>0.2977990722656253</v>
      </c>
    </row>
    <row r="1249" spans="1:49" x14ac:dyDescent="0.25">
      <c r="A1249" t="s">
        <v>38</v>
      </c>
      <c r="B1249" t="s">
        <v>96</v>
      </c>
      <c r="C1249">
        <v>45637</v>
      </c>
      <c r="D1249">
        <v>2022</v>
      </c>
      <c r="E1249" t="s">
        <v>146</v>
      </c>
      <c r="F1249" t="s">
        <v>279</v>
      </c>
      <c r="G1249" t="s">
        <v>280</v>
      </c>
      <c r="I1249">
        <v>4</v>
      </c>
      <c r="J1249" t="s">
        <v>43</v>
      </c>
      <c r="K1249">
        <v>4</v>
      </c>
      <c r="L1249" t="s">
        <v>44</v>
      </c>
      <c r="M1249">
        <v>2</v>
      </c>
      <c r="N1249" t="s">
        <v>45</v>
      </c>
      <c r="O1249" t="s">
        <v>46</v>
      </c>
      <c r="P1249">
        <v>4</v>
      </c>
      <c r="Q1249" t="s">
        <v>47</v>
      </c>
      <c r="R1249" t="s">
        <v>123</v>
      </c>
      <c r="S1249" t="s">
        <v>49</v>
      </c>
      <c r="U1249" t="s">
        <v>50</v>
      </c>
      <c r="X1249" t="s">
        <v>125</v>
      </c>
      <c r="Y1249" t="s">
        <v>126</v>
      </c>
      <c r="AA1249">
        <v>0</v>
      </c>
      <c r="AB1249" t="s">
        <v>79</v>
      </c>
      <c r="AC1249" t="s">
        <v>127</v>
      </c>
      <c r="AD1249">
        <v>36</v>
      </c>
      <c r="AE1249">
        <v>9</v>
      </c>
      <c r="AF1249">
        <v>3</v>
      </c>
      <c r="AG1249">
        <v>2025</v>
      </c>
      <c r="AH1249" s="2">
        <v>16000</v>
      </c>
      <c r="AI1249" s="2">
        <v>15052.0390625</v>
      </c>
      <c r="AJ1249" s="2">
        <f t="shared" si="154"/>
        <v>947.9609375</v>
      </c>
      <c r="AK1249" s="6">
        <f t="shared" si="155"/>
        <v>5.9247558593749999E-2</v>
      </c>
      <c r="AL1249" s="12">
        <v>16000</v>
      </c>
      <c r="AM1249" s="12">
        <v>14668.577901227311</v>
      </c>
      <c r="AN1249" s="12">
        <f t="shared" si="156"/>
        <v>1331.4220987726894</v>
      </c>
      <c r="AO1249" s="13">
        <f t="shared" si="157"/>
        <v>8.3213881173293092E-2</v>
      </c>
      <c r="AP1249" s="16">
        <v>16000</v>
      </c>
      <c r="AQ1249" s="16">
        <v>14510.7757695694</v>
      </c>
      <c r="AR1249" s="16">
        <f t="shared" si="158"/>
        <v>1489.2242304306001</v>
      </c>
      <c r="AS1249" s="17">
        <f t="shared" si="152"/>
        <v>9.3076514401912502E-2</v>
      </c>
      <c r="AT1249" s="20">
        <v>16000</v>
      </c>
      <c r="AU1249" s="20">
        <v>14830.9638671875</v>
      </c>
      <c r="AV1249" s="20">
        <f t="shared" si="153"/>
        <v>1169.0361328125</v>
      </c>
      <c r="AW1249" s="21">
        <f t="shared" si="159"/>
        <v>7.3064758300781255E-2</v>
      </c>
    </row>
    <row r="1250" spans="1:49" x14ac:dyDescent="0.25">
      <c r="A1250" t="s">
        <v>128</v>
      </c>
      <c r="B1250" t="s">
        <v>129</v>
      </c>
      <c r="C1250">
        <v>122209</v>
      </c>
      <c r="D1250">
        <v>2020</v>
      </c>
      <c r="E1250" t="s">
        <v>40</v>
      </c>
      <c r="F1250" t="s">
        <v>550</v>
      </c>
      <c r="G1250" t="s">
        <v>1299</v>
      </c>
      <c r="H1250" t="s">
        <v>1300</v>
      </c>
      <c r="I1250">
        <v>6</v>
      </c>
      <c r="J1250" t="s">
        <v>178</v>
      </c>
      <c r="K1250">
        <v>4</v>
      </c>
      <c r="L1250" t="s">
        <v>44</v>
      </c>
      <c r="M1250">
        <v>3.5</v>
      </c>
      <c r="N1250" t="s">
        <v>44</v>
      </c>
      <c r="O1250" t="s">
        <v>46</v>
      </c>
      <c r="Q1250" t="s">
        <v>62</v>
      </c>
      <c r="R1250" t="s">
        <v>63</v>
      </c>
      <c r="S1250" t="s">
        <v>93</v>
      </c>
      <c r="T1250">
        <v>295</v>
      </c>
      <c r="U1250" t="s">
        <v>50</v>
      </c>
      <c r="V1250" t="s">
        <v>76</v>
      </c>
      <c r="W1250" t="s">
        <v>152</v>
      </c>
      <c r="X1250" t="s">
        <v>141</v>
      </c>
      <c r="Y1250" t="s">
        <v>78</v>
      </c>
      <c r="AA1250">
        <v>0</v>
      </c>
      <c r="AB1250" t="s">
        <v>79</v>
      </c>
      <c r="AC1250" t="s">
        <v>87</v>
      </c>
      <c r="AD1250">
        <v>36</v>
      </c>
      <c r="AE1250">
        <v>9</v>
      </c>
      <c r="AF1250">
        <v>3</v>
      </c>
      <c r="AG1250">
        <v>2025</v>
      </c>
      <c r="AH1250" s="2">
        <v>17000</v>
      </c>
      <c r="AI1250" s="2">
        <v>13440.3125</v>
      </c>
      <c r="AJ1250" s="2">
        <f t="shared" si="154"/>
        <v>3559.6875</v>
      </c>
      <c r="AK1250" s="6">
        <f t="shared" si="155"/>
        <v>0.20939338235294117</v>
      </c>
      <c r="AL1250" s="12">
        <v>17000</v>
      </c>
      <c r="AM1250" s="12">
        <v>17384.048146571218</v>
      </c>
      <c r="AN1250" s="12">
        <f t="shared" si="156"/>
        <v>384.04814657121824</v>
      </c>
      <c r="AO1250" s="13">
        <f t="shared" si="157"/>
        <v>2.2591067445365778E-2</v>
      </c>
      <c r="AP1250" s="16">
        <v>17000</v>
      </c>
      <c r="AQ1250" s="16">
        <v>12438.80356888393</v>
      </c>
      <c r="AR1250" s="16">
        <f t="shared" si="158"/>
        <v>4561.19643111607</v>
      </c>
      <c r="AS1250" s="17">
        <f t="shared" si="152"/>
        <v>0.26830567241859238</v>
      </c>
      <c r="AT1250" s="20">
        <v>17000</v>
      </c>
      <c r="AU1250" s="20">
        <v>14171.2353515625</v>
      </c>
      <c r="AV1250" s="20">
        <f t="shared" si="153"/>
        <v>2828.7646484375</v>
      </c>
      <c r="AW1250" s="21">
        <f t="shared" si="159"/>
        <v>0.16639792049632354</v>
      </c>
    </row>
    <row r="1251" spans="1:49" x14ac:dyDescent="0.25">
      <c r="A1251" t="s">
        <v>38</v>
      </c>
      <c r="B1251" t="s">
        <v>110</v>
      </c>
      <c r="C1251">
        <v>111058</v>
      </c>
      <c r="D1251">
        <v>2019</v>
      </c>
      <c r="E1251" t="s">
        <v>88</v>
      </c>
      <c r="F1251" t="s">
        <v>89</v>
      </c>
      <c r="G1251" t="s">
        <v>442</v>
      </c>
      <c r="H1251" t="s">
        <v>443</v>
      </c>
      <c r="I1251">
        <v>6</v>
      </c>
      <c r="J1251" t="s">
        <v>72</v>
      </c>
      <c r="K1251">
        <v>4</v>
      </c>
      <c r="L1251" t="s">
        <v>44</v>
      </c>
      <c r="M1251">
        <v>3.6</v>
      </c>
      <c r="N1251" t="s">
        <v>73</v>
      </c>
      <c r="O1251" t="s">
        <v>46</v>
      </c>
      <c r="P1251">
        <v>3</v>
      </c>
      <c r="Q1251" t="s">
        <v>74</v>
      </c>
      <c r="R1251" t="s">
        <v>92</v>
      </c>
      <c r="S1251" t="s">
        <v>49</v>
      </c>
      <c r="T1251">
        <v>305</v>
      </c>
      <c r="U1251" t="s">
        <v>50</v>
      </c>
      <c r="V1251" t="s">
        <v>76</v>
      </c>
      <c r="X1251" t="s">
        <v>94</v>
      </c>
      <c r="Y1251" t="s">
        <v>78</v>
      </c>
      <c r="AA1251">
        <v>0</v>
      </c>
      <c r="AB1251" t="s">
        <v>79</v>
      </c>
      <c r="AC1251" t="s">
        <v>95</v>
      </c>
      <c r="AD1251">
        <v>36</v>
      </c>
      <c r="AE1251">
        <v>9</v>
      </c>
      <c r="AF1251">
        <v>3</v>
      </c>
      <c r="AG1251">
        <v>2025</v>
      </c>
      <c r="AH1251" s="2">
        <v>11000</v>
      </c>
      <c r="AI1251" s="2">
        <v>9816.5224609375</v>
      </c>
      <c r="AJ1251" s="2">
        <f t="shared" si="154"/>
        <v>1183.4775390625</v>
      </c>
      <c r="AK1251" s="6">
        <f t="shared" si="155"/>
        <v>0.10758886718750001</v>
      </c>
      <c r="AL1251" s="12">
        <v>11000</v>
      </c>
      <c r="AM1251" s="12">
        <v>11012.84336577152</v>
      </c>
      <c r="AN1251" s="12">
        <f t="shared" si="156"/>
        <v>12.84336577151953</v>
      </c>
      <c r="AO1251" s="13">
        <f t="shared" si="157"/>
        <v>1.1675787065017753E-3</v>
      </c>
      <c r="AP1251" s="16">
        <v>11000</v>
      </c>
      <c r="AQ1251" s="16">
        <v>11949.683192721641</v>
      </c>
      <c r="AR1251" s="16">
        <f t="shared" si="158"/>
        <v>949.68319272164081</v>
      </c>
      <c r="AS1251" s="17">
        <f t="shared" si="152"/>
        <v>8.6334835701967344E-2</v>
      </c>
      <c r="AT1251" s="20">
        <v>11000</v>
      </c>
      <c r="AU1251" s="20">
        <v>10095.2197265625</v>
      </c>
      <c r="AV1251" s="20">
        <f t="shared" si="153"/>
        <v>904.7802734375</v>
      </c>
      <c r="AW1251" s="21">
        <f t="shared" si="159"/>
        <v>8.2252752130681825E-2</v>
      </c>
    </row>
    <row r="1252" spans="1:49" x14ac:dyDescent="0.25">
      <c r="A1252" t="s">
        <v>38</v>
      </c>
      <c r="B1252" t="s">
        <v>96</v>
      </c>
      <c r="C1252">
        <v>52726</v>
      </c>
      <c r="D1252">
        <v>2020</v>
      </c>
      <c r="E1252" t="s">
        <v>166</v>
      </c>
      <c r="F1252" t="s">
        <v>1221</v>
      </c>
      <c r="G1252" t="s">
        <v>240</v>
      </c>
      <c r="I1252">
        <v>4</v>
      </c>
      <c r="J1252" t="s">
        <v>43</v>
      </c>
      <c r="K1252">
        <v>4</v>
      </c>
      <c r="L1252" t="s">
        <v>44</v>
      </c>
      <c r="M1252">
        <v>1.5</v>
      </c>
      <c r="N1252" t="s">
        <v>45</v>
      </c>
      <c r="O1252" t="s">
        <v>190</v>
      </c>
      <c r="P1252">
        <v>3</v>
      </c>
      <c r="Q1252" t="s">
        <v>47</v>
      </c>
      <c r="R1252" t="s">
        <v>48</v>
      </c>
      <c r="S1252" t="s">
        <v>49</v>
      </c>
      <c r="T1252">
        <v>128</v>
      </c>
      <c r="U1252" t="s">
        <v>50</v>
      </c>
      <c r="V1252" t="s">
        <v>51</v>
      </c>
      <c r="W1252" t="s">
        <v>1301</v>
      </c>
      <c r="X1252" t="s">
        <v>53</v>
      </c>
      <c r="Y1252" t="s">
        <v>126</v>
      </c>
      <c r="AA1252">
        <v>0</v>
      </c>
      <c r="AB1252" t="s">
        <v>79</v>
      </c>
      <c r="AC1252" t="s">
        <v>359</v>
      </c>
      <c r="AD1252">
        <v>36</v>
      </c>
      <c r="AE1252">
        <v>9</v>
      </c>
      <c r="AF1252">
        <v>3</v>
      </c>
      <c r="AG1252">
        <v>2025</v>
      </c>
      <c r="AH1252" s="2">
        <v>12800</v>
      </c>
      <c r="AI1252" s="2">
        <v>6585.4541015625</v>
      </c>
      <c r="AJ1252" s="2">
        <f t="shared" si="154"/>
        <v>6214.5458984375</v>
      </c>
      <c r="AK1252" s="6">
        <f t="shared" si="155"/>
        <v>0.48551139831542967</v>
      </c>
      <c r="AL1252" s="12">
        <v>12800</v>
      </c>
      <c r="AM1252" s="12">
        <v>8462.2148505542409</v>
      </c>
      <c r="AN1252" s="12">
        <f t="shared" si="156"/>
        <v>4337.7851494457591</v>
      </c>
      <c r="AO1252" s="13">
        <f t="shared" si="157"/>
        <v>0.3388894648004499</v>
      </c>
      <c r="AP1252" s="16">
        <v>12800</v>
      </c>
      <c r="AQ1252" s="16">
        <v>5968.3453855376392</v>
      </c>
      <c r="AR1252" s="16">
        <f t="shared" si="158"/>
        <v>6831.6546144623608</v>
      </c>
      <c r="AS1252" s="17">
        <f t="shared" si="152"/>
        <v>0.53372301675487188</v>
      </c>
      <c r="AT1252" s="20">
        <v>12800</v>
      </c>
      <c r="AU1252" s="20">
        <v>7012.62451171875</v>
      </c>
      <c r="AV1252" s="20">
        <f t="shared" si="153"/>
        <v>5787.37548828125</v>
      </c>
      <c r="AW1252" s="21">
        <f t="shared" si="159"/>
        <v>0.45213871002197265</v>
      </c>
    </row>
    <row r="1253" spans="1:49" x14ac:dyDescent="0.25">
      <c r="A1253" t="s">
        <v>38</v>
      </c>
      <c r="B1253" t="s">
        <v>110</v>
      </c>
      <c r="C1253">
        <v>134049</v>
      </c>
      <c r="D1253">
        <v>2019</v>
      </c>
      <c r="E1253" t="s">
        <v>97</v>
      </c>
      <c r="F1253" t="s">
        <v>98</v>
      </c>
      <c r="G1253" t="s">
        <v>1007</v>
      </c>
      <c r="I1253">
        <v>4</v>
      </c>
      <c r="J1253" t="s">
        <v>106</v>
      </c>
      <c r="K1253">
        <v>4</v>
      </c>
      <c r="L1253" t="s">
        <v>44</v>
      </c>
      <c r="M1253">
        <v>1.5</v>
      </c>
      <c r="N1253" t="s">
        <v>44</v>
      </c>
      <c r="O1253" t="s">
        <v>46</v>
      </c>
      <c r="P1253">
        <v>3</v>
      </c>
      <c r="Q1253" t="s">
        <v>62</v>
      </c>
      <c r="R1253" t="s">
        <v>63</v>
      </c>
      <c r="S1253" t="s">
        <v>85</v>
      </c>
      <c r="U1253" t="s">
        <v>50</v>
      </c>
      <c r="V1253" t="s">
        <v>51</v>
      </c>
      <c r="W1253" t="s">
        <v>879</v>
      </c>
      <c r="X1253" t="s">
        <v>65</v>
      </c>
      <c r="Y1253" t="s">
        <v>103</v>
      </c>
      <c r="Z1253">
        <v>30095</v>
      </c>
      <c r="AA1253">
        <v>0</v>
      </c>
      <c r="AB1253" t="s">
        <v>79</v>
      </c>
      <c r="AC1253" t="s">
        <v>87</v>
      </c>
      <c r="AD1253">
        <v>36</v>
      </c>
      <c r="AE1253">
        <v>9</v>
      </c>
      <c r="AF1253">
        <v>3</v>
      </c>
      <c r="AG1253">
        <v>2025</v>
      </c>
      <c r="AH1253" s="2">
        <v>5000</v>
      </c>
      <c r="AI1253" s="2">
        <v>6952.04052734375</v>
      </c>
      <c r="AJ1253" s="2">
        <f t="shared" si="154"/>
        <v>1952.04052734375</v>
      </c>
      <c r="AK1253" s="6">
        <f t="shared" si="155"/>
        <v>0.39040810546874999</v>
      </c>
      <c r="AL1253" s="12">
        <v>5000</v>
      </c>
      <c r="AM1253" s="12">
        <v>7224.7912730999396</v>
      </c>
      <c r="AN1253" s="12">
        <f t="shared" si="156"/>
        <v>2224.7912730999396</v>
      </c>
      <c r="AO1253" s="13">
        <f t="shared" si="157"/>
        <v>0.44495825461998795</v>
      </c>
      <c r="AP1253" s="16">
        <v>5000</v>
      </c>
      <c r="AQ1253" s="16">
        <v>6052.0073935054897</v>
      </c>
      <c r="AR1253" s="16">
        <f t="shared" si="158"/>
        <v>1052.0073935054897</v>
      </c>
      <c r="AS1253" s="17">
        <f t="shared" si="152"/>
        <v>0.21040147870109796</v>
      </c>
      <c r="AT1253" s="20">
        <v>5000</v>
      </c>
      <c r="AU1253" s="20">
        <v>7100.3017578125</v>
      </c>
      <c r="AV1253" s="20">
        <f t="shared" si="153"/>
        <v>2100.3017578125</v>
      </c>
      <c r="AW1253" s="21">
        <f t="shared" si="159"/>
        <v>0.42006035156249999</v>
      </c>
    </row>
    <row r="1254" spans="1:49" x14ac:dyDescent="0.25">
      <c r="A1254" t="s">
        <v>38</v>
      </c>
      <c r="B1254" t="s">
        <v>110</v>
      </c>
      <c r="C1254">
        <v>155956</v>
      </c>
      <c r="D1254">
        <v>2020</v>
      </c>
      <c r="E1254" t="s">
        <v>69</v>
      </c>
      <c r="F1254" t="s">
        <v>231</v>
      </c>
      <c r="I1254">
        <v>6</v>
      </c>
      <c r="J1254" t="s">
        <v>72</v>
      </c>
      <c r="K1254">
        <v>4</v>
      </c>
      <c r="L1254" t="s">
        <v>44</v>
      </c>
      <c r="M1254">
        <v>3.5</v>
      </c>
      <c r="N1254" t="s">
        <v>91</v>
      </c>
      <c r="Q1254" t="s">
        <v>74</v>
      </c>
      <c r="R1254" t="s">
        <v>92</v>
      </c>
      <c r="S1254" t="s">
        <v>93</v>
      </c>
      <c r="T1254">
        <v>375</v>
      </c>
      <c r="U1254" t="s">
        <v>50</v>
      </c>
      <c r="V1254" t="s">
        <v>76</v>
      </c>
      <c r="W1254" t="s">
        <v>308</v>
      </c>
      <c r="X1254" t="s">
        <v>94</v>
      </c>
      <c r="Y1254" t="s">
        <v>78</v>
      </c>
      <c r="AA1254">
        <v>0</v>
      </c>
      <c r="AB1254" t="s">
        <v>79</v>
      </c>
      <c r="AC1254" t="s">
        <v>95</v>
      </c>
      <c r="AD1254">
        <v>36</v>
      </c>
      <c r="AE1254">
        <v>9</v>
      </c>
      <c r="AF1254">
        <v>3</v>
      </c>
      <c r="AG1254">
        <v>2025</v>
      </c>
      <c r="AH1254" s="2">
        <v>19500</v>
      </c>
      <c r="AI1254" s="2">
        <v>14749.1083984375</v>
      </c>
      <c r="AJ1254" s="2">
        <f t="shared" si="154"/>
        <v>4750.8916015625</v>
      </c>
      <c r="AK1254" s="6">
        <f t="shared" si="155"/>
        <v>0.24363546674679487</v>
      </c>
      <c r="AL1254" s="12">
        <v>19500</v>
      </c>
      <c r="AM1254" s="12">
        <v>15763.68214124714</v>
      </c>
      <c r="AN1254" s="12">
        <f t="shared" si="156"/>
        <v>3736.31785875286</v>
      </c>
      <c r="AO1254" s="13">
        <f t="shared" si="157"/>
        <v>0.1916060440386082</v>
      </c>
      <c r="AP1254" s="16">
        <v>19500</v>
      </c>
      <c r="AQ1254" s="16">
        <v>13889.733437227491</v>
      </c>
      <c r="AR1254" s="16">
        <f t="shared" si="158"/>
        <v>5610.2665627725091</v>
      </c>
      <c r="AS1254" s="17">
        <f t="shared" si="152"/>
        <v>0.28770597757807737</v>
      </c>
      <c r="AT1254" s="20">
        <v>19500</v>
      </c>
      <c r="AU1254" s="20">
        <v>14948.91796875</v>
      </c>
      <c r="AV1254" s="20">
        <f t="shared" si="153"/>
        <v>4551.08203125</v>
      </c>
      <c r="AW1254" s="21">
        <f t="shared" si="159"/>
        <v>0.23338882211538461</v>
      </c>
    </row>
    <row r="1255" spans="1:49" x14ac:dyDescent="0.25">
      <c r="A1255" t="s">
        <v>128</v>
      </c>
      <c r="B1255" t="s">
        <v>129</v>
      </c>
      <c r="C1255">
        <v>199221</v>
      </c>
      <c r="D1255">
        <v>2012</v>
      </c>
      <c r="E1255" t="s">
        <v>40</v>
      </c>
      <c r="F1255" t="s">
        <v>297</v>
      </c>
      <c r="H1255" t="s">
        <v>298</v>
      </c>
      <c r="I1255">
        <v>4</v>
      </c>
      <c r="J1255" t="s">
        <v>122</v>
      </c>
      <c r="K1255">
        <v>4</v>
      </c>
      <c r="L1255" t="s">
        <v>44</v>
      </c>
      <c r="M1255">
        <v>2.5</v>
      </c>
      <c r="N1255" t="s">
        <v>45</v>
      </c>
      <c r="O1255" t="s">
        <v>46</v>
      </c>
      <c r="Q1255" t="s">
        <v>47</v>
      </c>
      <c r="R1255" t="s">
        <v>123</v>
      </c>
      <c r="S1255" t="s">
        <v>49</v>
      </c>
      <c r="T1255">
        <v>178</v>
      </c>
      <c r="U1255" t="s">
        <v>50</v>
      </c>
      <c r="V1255" t="s">
        <v>51</v>
      </c>
      <c r="W1255" t="s">
        <v>236</v>
      </c>
      <c r="X1255" t="s">
        <v>125</v>
      </c>
      <c r="Y1255" t="s">
        <v>78</v>
      </c>
      <c r="AA1255">
        <v>0</v>
      </c>
      <c r="AB1255" t="s">
        <v>79</v>
      </c>
      <c r="AC1255" t="s">
        <v>127</v>
      </c>
      <c r="AD1255">
        <v>36</v>
      </c>
      <c r="AE1255">
        <v>9</v>
      </c>
      <c r="AF1255">
        <v>3</v>
      </c>
      <c r="AG1255">
        <v>2025</v>
      </c>
      <c r="AH1255" s="2">
        <v>3200</v>
      </c>
      <c r="AI1255" s="2">
        <v>2140.607421875</v>
      </c>
      <c r="AJ1255" s="2">
        <f t="shared" si="154"/>
        <v>1059.392578125</v>
      </c>
      <c r="AK1255" s="6">
        <f t="shared" si="155"/>
        <v>0.33106018066406251</v>
      </c>
      <c r="AL1255" s="12">
        <v>3200</v>
      </c>
      <c r="AM1255" s="12">
        <v>1975.0906719239031</v>
      </c>
      <c r="AN1255" s="12">
        <f t="shared" si="156"/>
        <v>1224.9093280760969</v>
      </c>
      <c r="AO1255" s="13">
        <f t="shared" si="157"/>
        <v>0.38278416502378027</v>
      </c>
      <c r="AP1255" s="16">
        <v>3200</v>
      </c>
      <c r="AQ1255" s="16">
        <v>1778.76212526362</v>
      </c>
      <c r="AR1255" s="16">
        <f t="shared" si="158"/>
        <v>1421.23787473638</v>
      </c>
      <c r="AS1255" s="17">
        <f t="shared" si="152"/>
        <v>0.44413683585511876</v>
      </c>
      <c r="AT1255" s="20">
        <v>3200</v>
      </c>
      <c r="AU1255" s="20">
        <v>2125.060302734375</v>
      </c>
      <c r="AV1255" s="20">
        <f t="shared" si="153"/>
        <v>1074.939697265625</v>
      </c>
      <c r="AW1255" s="21">
        <f t="shared" si="159"/>
        <v>0.3359186553955078</v>
      </c>
    </row>
    <row r="1256" spans="1:49" x14ac:dyDescent="0.25">
      <c r="A1256" t="s">
        <v>38</v>
      </c>
      <c r="B1256" t="s">
        <v>96</v>
      </c>
      <c r="C1256">
        <v>158125</v>
      </c>
      <c r="D1256">
        <v>2018</v>
      </c>
      <c r="E1256" t="s">
        <v>69</v>
      </c>
      <c r="F1256" t="s">
        <v>231</v>
      </c>
      <c r="I1256">
        <v>8</v>
      </c>
      <c r="J1256" t="s">
        <v>106</v>
      </c>
      <c r="K1256">
        <v>4</v>
      </c>
      <c r="L1256" t="s">
        <v>44</v>
      </c>
      <c r="M1256">
        <v>5</v>
      </c>
      <c r="N1256" t="s">
        <v>73</v>
      </c>
      <c r="O1256" t="s">
        <v>46</v>
      </c>
      <c r="P1256">
        <v>4</v>
      </c>
      <c r="Q1256" t="s">
        <v>74</v>
      </c>
      <c r="R1256" t="s">
        <v>92</v>
      </c>
      <c r="S1256" t="s">
        <v>49</v>
      </c>
      <c r="T1256">
        <v>395</v>
      </c>
      <c r="U1256" t="s">
        <v>50</v>
      </c>
      <c r="V1256" t="s">
        <v>76</v>
      </c>
      <c r="W1256" t="s">
        <v>652</v>
      </c>
      <c r="X1256" t="s">
        <v>94</v>
      </c>
      <c r="Y1256" t="s">
        <v>78</v>
      </c>
      <c r="AA1256">
        <v>0</v>
      </c>
      <c r="AB1256" t="s">
        <v>79</v>
      </c>
      <c r="AC1256" t="s">
        <v>95</v>
      </c>
      <c r="AD1256">
        <v>36</v>
      </c>
      <c r="AE1256">
        <v>9</v>
      </c>
      <c r="AF1256">
        <v>3</v>
      </c>
      <c r="AG1256">
        <v>2025</v>
      </c>
      <c r="AH1256" s="2">
        <v>9400</v>
      </c>
      <c r="AI1256" s="2">
        <v>10475.4541015625</v>
      </c>
      <c r="AJ1256" s="2">
        <f t="shared" si="154"/>
        <v>1075.4541015625</v>
      </c>
      <c r="AK1256" s="6">
        <f t="shared" si="155"/>
        <v>0.11441001080452128</v>
      </c>
      <c r="AL1256" s="12">
        <v>9400</v>
      </c>
      <c r="AM1256" s="12">
        <v>12575.75373242247</v>
      </c>
      <c r="AN1256" s="12">
        <f t="shared" si="156"/>
        <v>3175.7537324224704</v>
      </c>
      <c r="AO1256" s="13">
        <f t="shared" si="157"/>
        <v>0.33784614174707134</v>
      </c>
      <c r="AP1256" s="16">
        <v>9400</v>
      </c>
      <c r="AQ1256" s="16">
        <v>10931.637723645599</v>
      </c>
      <c r="AR1256" s="16">
        <f t="shared" si="158"/>
        <v>1531.6377236455992</v>
      </c>
      <c r="AS1256" s="17">
        <f t="shared" si="152"/>
        <v>0.16294018336655311</v>
      </c>
      <c r="AT1256" s="20">
        <v>9400</v>
      </c>
      <c r="AU1256" s="20">
        <v>10982.763671875</v>
      </c>
      <c r="AV1256" s="20">
        <f t="shared" si="153"/>
        <v>1582.763671875</v>
      </c>
      <c r="AW1256" s="21">
        <f t="shared" si="159"/>
        <v>0.16837911402925532</v>
      </c>
    </row>
    <row r="1257" spans="1:49" x14ac:dyDescent="0.25">
      <c r="A1257" t="s">
        <v>38</v>
      </c>
      <c r="B1257" t="s">
        <v>39</v>
      </c>
      <c r="C1257">
        <v>147174</v>
      </c>
      <c r="D1257">
        <v>2009</v>
      </c>
      <c r="E1257" t="s">
        <v>166</v>
      </c>
      <c r="F1257" t="s">
        <v>247</v>
      </c>
      <c r="G1257" t="s">
        <v>240</v>
      </c>
      <c r="I1257">
        <v>4</v>
      </c>
      <c r="J1257" t="s">
        <v>106</v>
      </c>
      <c r="K1257">
        <v>4</v>
      </c>
      <c r="L1257" t="s">
        <v>44</v>
      </c>
      <c r="M1257">
        <v>2.4</v>
      </c>
      <c r="N1257" t="s">
        <v>45</v>
      </c>
      <c r="O1257" t="s">
        <v>46</v>
      </c>
      <c r="Q1257" t="s">
        <v>62</v>
      </c>
      <c r="R1257" t="s">
        <v>63</v>
      </c>
      <c r="S1257" t="s">
        <v>101</v>
      </c>
      <c r="T1257">
        <v>166</v>
      </c>
      <c r="U1257" t="s">
        <v>50</v>
      </c>
      <c r="V1257" t="s">
        <v>51</v>
      </c>
      <c r="W1257" t="s">
        <v>1008</v>
      </c>
      <c r="X1257" t="s">
        <v>65</v>
      </c>
      <c r="Y1257" t="s">
        <v>126</v>
      </c>
      <c r="AA1257">
        <v>0</v>
      </c>
      <c r="AB1257" t="s">
        <v>79</v>
      </c>
      <c r="AC1257" t="s">
        <v>87</v>
      </c>
      <c r="AD1257">
        <v>36</v>
      </c>
      <c r="AE1257">
        <v>9</v>
      </c>
      <c r="AF1257">
        <v>3</v>
      </c>
      <c r="AG1257">
        <v>2025</v>
      </c>
      <c r="AH1257" s="2">
        <v>6000</v>
      </c>
      <c r="AI1257" s="2">
        <v>3322.9580078125</v>
      </c>
      <c r="AJ1257" s="2">
        <f t="shared" si="154"/>
        <v>2677.0419921875</v>
      </c>
      <c r="AK1257" s="6">
        <f t="shared" si="155"/>
        <v>0.44617366536458336</v>
      </c>
      <c r="AL1257" s="12">
        <v>6000</v>
      </c>
      <c r="AM1257" s="12">
        <v>2885.4810563722872</v>
      </c>
      <c r="AN1257" s="12">
        <f t="shared" si="156"/>
        <v>3114.5189436277128</v>
      </c>
      <c r="AO1257" s="13">
        <f t="shared" si="157"/>
        <v>0.51908649060461876</v>
      </c>
      <c r="AP1257" s="16">
        <v>6000</v>
      </c>
      <c r="AQ1257" s="16">
        <v>2558.2829824934279</v>
      </c>
      <c r="AR1257" s="16">
        <f t="shared" si="158"/>
        <v>3441.7170175065721</v>
      </c>
      <c r="AS1257" s="17">
        <f t="shared" si="152"/>
        <v>0.57361950291776198</v>
      </c>
      <c r="AT1257" s="20">
        <v>6000</v>
      </c>
      <c r="AU1257" s="20">
        <v>3269.71826171875</v>
      </c>
      <c r="AV1257" s="20">
        <f t="shared" si="153"/>
        <v>2730.28173828125</v>
      </c>
      <c r="AW1257" s="21">
        <f t="shared" si="159"/>
        <v>0.45504695638020831</v>
      </c>
    </row>
    <row r="1258" spans="1:49" x14ac:dyDescent="0.25">
      <c r="A1258" t="s">
        <v>38</v>
      </c>
      <c r="B1258" t="s">
        <v>96</v>
      </c>
      <c r="C1258">
        <v>149954</v>
      </c>
      <c r="D1258">
        <v>2015</v>
      </c>
      <c r="E1258" t="s">
        <v>146</v>
      </c>
      <c r="F1258" t="s">
        <v>279</v>
      </c>
      <c r="I1258">
        <v>4</v>
      </c>
      <c r="J1258" t="s">
        <v>61</v>
      </c>
      <c r="K1258">
        <v>4</v>
      </c>
      <c r="L1258" t="s">
        <v>44</v>
      </c>
      <c r="M1258">
        <v>1.8</v>
      </c>
      <c r="N1258" t="s">
        <v>45</v>
      </c>
      <c r="O1258" t="s">
        <v>46</v>
      </c>
      <c r="P1258">
        <v>2</v>
      </c>
      <c r="Q1258" t="s">
        <v>47</v>
      </c>
      <c r="R1258" t="s">
        <v>123</v>
      </c>
      <c r="S1258" t="s">
        <v>101</v>
      </c>
      <c r="U1258" t="s">
        <v>50</v>
      </c>
      <c r="X1258" t="s">
        <v>125</v>
      </c>
      <c r="Y1258" t="s">
        <v>126</v>
      </c>
      <c r="AA1258">
        <v>0</v>
      </c>
      <c r="AB1258" t="s">
        <v>79</v>
      </c>
      <c r="AC1258" t="s">
        <v>127</v>
      </c>
      <c r="AD1258">
        <v>36</v>
      </c>
      <c r="AE1258">
        <v>9</v>
      </c>
      <c r="AF1258">
        <v>3</v>
      </c>
      <c r="AG1258">
        <v>2025</v>
      </c>
      <c r="AH1258" s="2">
        <v>1000</v>
      </c>
      <c r="AI1258" s="2">
        <v>1433.433227539062</v>
      </c>
      <c r="AJ1258" s="2">
        <f t="shared" si="154"/>
        <v>433.43322753906205</v>
      </c>
      <c r="AK1258" s="6">
        <f t="shared" si="155"/>
        <v>0.43343322753906205</v>
      </c>
      <c r="AL1258" s="12">
        <v>1000</v>
      </c>
      <c r="AM1258" s="12">
        <v>1576.3891305288389</v>
      </c>
      <c r="AN1258" s="12">
        <f t="shared" si="156"/>
        <v>576.3891305288389</v>
      </c>
      <c r="AO1258" s="13">
        <f t="shared" si="157"/>
        <v>0.57638913052883889</v>
      </c>
      <c r="AP1258" s="16">
        <v>1000</v>
      </c>
      <c r="AQ1258" s="16">
        <v>1155.5274313956179</v>
      </c>
      <c r="AR1258" s="16">
        <f t="shared" si="158"/>
        <v>155.5274313956179</v>
      </c>
      <c r="AS1258" s="17">
        <f t="shared" si="152"/>
        <v>0.15552743139561789</v>
      </c>
      <c r="AT1258" s="20">
        <v>1000</v>
      </c>
      <c r="AU1258" s="20">
        <v>1411.317016601562</v>
      </c>
      <c r="AV1258" s="20">
        <f t="shared" si="153"/>
        <v>411.31701660156205</v>
      </c>
      <c r="AW1258" s="21">
        <f t="shared" si="159"/>
        <v>0.41131701660156206</v>
      </c>
    </row>
    <row r="1259" spans="1:49" x14ac:dyDescent="0.25">
      <c r="A1259" t="s">
        <v>38</v>
      </c>
      <c r="B1259" t="s">
        <v>96</v>
      </c>
      <c r="C1259">
        <v>78610</v>
      </c>
      <c r="D1259">
        <v>2017</v>
      </c>
      <c r="E1259" t="s">
        <v>69</v>
      </c>
      <c r="F1259" t="s">
        <v>310</v>
      </c>
      <c r="H1259" t="s">
        <v>311</v>
      </c>
      <c r="I1259">
        <v>8</v>
      </c>
      <c r="J1259" t="s">
        <v>72</v>
      </c>
      <c r="K1259">
        <v>2</v>
      </c>
      <c r="L1259" t="s">
        <v>44</v>
      </c>
      <c r="M1259">
        <v>5</v>
      </c>
      <c r="N1259" t="s">
        <v>73</v>
      </c>
      <c r="O1259" t="s">
        <v>46</v>
      </c>
      <c r="P1259">
        <v>3</v>
      </c>
      <c r="Q1259" t="s">
        <v>47</v>
      </c>
      <c r="R1259" t="s">
        <v>197</v>
      </c>
      <c r="T1259">
        <v>435</v>
      </c>
      <c r="U1259" t="s">
        <v>50</v>
      </c>
      <c r="V1259" t="s">
        <v>76</v>
      </c>
      <c r="W1259" t="s">
        <v>1302</v>
      </c>
      <c r="X1259" t="s">
        <v>125</v>
      </c>
      <c r="Y1259" t="s">
        <v>78</v>
      </c>
      <c r="Z1259">
        <v>33195</v>
      </c>
      <c r="AA1259">
        <v>0</v>
      </c>
      <c r="AB1259" t="s">
        <v>79</v>
      </c>
      <c r="AC1259" t="s">
        <v>197</v>
      </c>
      <c r="AD1259">
        <v>36</v>
      </c>
      <c r="AE1259">
        <v>9</v>
      </c>
      <c r="AF1259">
        <v>3</v>
      </c>
      <c r="AG1259">
        <v>2025</v>
      </c>
      <c r="AH1259" s="2">
        <v>19000</v>
      </c>
      <c r="AI1259" s="2">
        <v>18926.849609375</v>
      </c>
      <c r="AJ1259" s="2">
        <f t="shared" si="154"/>
        <v>73.150390625</v>
      </c>
      <c r="AK1259" s="6">
        <f t="shared" si="155"/>
        <v>3.8500205592105264E-3</v>
      </c>
      <c r="AL1259" s="12">
        <v>19000</v>
      </c>
      <c r="AM1259" s="12">
        <v>18669.729936016451</v>
      </c>
      <c r="AN1259" s="12">
        <f t="shared" si="156"/>
        <v>330.27006398354933</v>
      </c>
      <c r="AO1259" s="13">
        <f t="shared" si="157"/>
        <v>1.7382634946502596E-2</v>
      </c>
      <c r="AP1259" s="16">
        <v>19000</v>
      </c>
      <c r="AQ1259" s="16">
        <v>14854.62354564837</v>
      </c>
      <c r="AR1259" s="16">
        <f t="shared" si="158"/>
        <v>4145.3764543516299</v>
      </c>
      <c r="AS1259" s="17">
        <f t="shared" si="152"/>
        <v>0.21817770812376999</v>
      </c>
      <c r="AT1259" s="20">
        <v>19000</v>
      </c>
      <c r="AU1259" s="20">
        <v>18553.63671875</v>
      </c>
      <c r="AV1259" s="20">
        <f t="shared" si="153"/>
        <v>446.36328125</v>
      </c>
      <c r="AW1259" s="21">
        <f t="shared" si="159"/>
        <v>2.3492804276315789E-2</v>
      </c>
    </row>
    <row r="1260" spans="1:49" x14ac:dyDescent="0.25">
      <c r="A1260" t="s">
        <v>114</v>
      </c>
      <c r="B1260" t="s">
        <v>340</v>
      </c>
      <c r="C1260">
        <v>172897</v>
      </c>
      <c r="D1260">
        <v>2006</v>
      </c>
      <c r="E1260" t="s">
        <v>557</v>
      </c>
      <c r="F1260" t="s">
        <v>870</v>
      </c>
      <c r="G1260" t="s">
        <v>168</v>
      </c>
      <c r="H1260" t="s">
        <v>1303</v>
      </c>
      <c r="I1260">
        <v>6</v>
      </c>
      <c r="J1260" t="s">
        <v>106</v>
      </c>
      <c r="K1260">
        <v>4</v>
      </c>
      <c r="L1260" t="s">
        <v>44</v>
      </c>
      <c r="M1260">
        <v>3.8</v>
      </c>
      <c r="N1260" t="s">
        <v>45</v>
      </c>
      <c r="O1260" t="s">
        <v>190</v>
      </c>
      <c r="P1260">
        <v>1</v>
      </c>
      <c r="Q1260" t="s">
        <v>62</v>
      </c>
      <c r="R1260" t="s">
        <v>225</v>
      </c>
      <c r="S1260" t="s">
        <v>101</v>
      </c>
      <c r="U1260" t="s">
        <v>50</v>
      </c>
      <c r="V1260" t="s">
        <v>76</v>
      </c>
      <c r="X1260" t="s">
        <v>141</v>
      </c>
      <c r="Y1260" t="s">
        <v>103</v>
      </c>
      <c r="AA1260">
        <v>0</v>
      </c>
      <c r="AB1260" t="s">
        <v>79</v>
      </c>
      <c r="AC1260" t="s">
        <v>225</v>
      </c>
      <c r="AD1260">
        <v>36</v>
      </c>
      <c r="AE1260">
        <v>9</v>
      </c>
      <c r="AF1260">
        <v>3</v>
      </c>
      <c r="AG1260">
        <v>2025</v>
      </c>
      <c r="AH1260" s="2">
        <v>400</v>
      </c>
      <c r="AI1260" s="2">
        <v>316.90545654296881</v>
      </c>
      <c r="AJ1260" s="2">
        <f t="shared" si="154"/>
        <v>83.094543457031193</v>
      </c>
      <c r="AK1260" s="6">
        <f t="shared" si="155"/>
        <v>0.20773635864257797</v>
      </c>
      <c r="AL1260" s="12">
        <v>400</v>
      </c>
      <c r="AM1260" s="12">
        <v>280.23557035061498</v>
      </c>
      <c r="AN1260" s="12">
        <f t="shared" si="156"/>
        <v>119.76442964938502</v>
      </c>
      <c r="AO1260" s="13">
        <f t="shared" si="157"/>
        <v>0.29941107412346257</v>
      </c>
      <c r="AP1260" s="16">
        <v>400</v>
      </c>
      <c r="AQ1260" s="16">
        <v>252.37902179275241</v>
      </c>
      <c r="AR1260" s="16">
        <f t="shared" si="158"/>
        <v>147.62097820724759</v>
      </c>
      <c r="AS1260" s="17">
        <f t="shared" si="152"/>
        <v>0.369052445518119</v>
      </c>
      <c r="AT1260" s="20">
        <v>400</v>
      </c>
      <c r="AU1260" s="20">
        <v>460.00308227539063</v>
      </c>
      <c r="AV1260" s="20">
        <f t="shared" si="153"/>
        <v>60.003082275390625</v>
      </c>
      <c r="AW1260" s="21">
        <f t="shared" si="159"/>
        <v>0.15000770568847657</v>
      </c>
    </row>
    <row r="1261" spans="1:49" x14ac:dyDescent="0.25">
      <c r="A1261" t="s">
        <v>38</v>
      </c>
      <c r="B1261" t="s">
        <v>96</v>
      </c>
      <c r="C1261">
        <v>66967</v>
      </c>
      <c r="D1261">
        <v>2018</v>
      </c>
      <c r="E1261" t="s">
        <v>97</v>
      </c>
      <c r="F1261" t="s">
        <v>198</v>
      </c>
      <c r="G1261" t="s">
        <v>155</v>
      </c>
      <c r="I1261">
        <v>6</v>
      </c>
      <c r="J1261" t="s">
        <v>735</v>
      </c>
      <c r="K1261">
        <v>4</v>
      </c>
      <c r="L1261" t="s">
        <v>44</v>
      </c>
      <c r="M1261">
        <v>3.6</v>
      </c>
      <c r="N1261" t="s">
        <v>45</v>
      </c>
      <c r="O1261" t="s">
        <v>46</v>
      </c>
      <c r="Q1261" t="s">
        <v>62</v>
      </c>
      <c r="R1261" t="s">
        <v>63</v>
      </c>
      <c r="S1261" t="s">
        <v>101</v>
      </c>
      <c r="U1261" t="s">
        <v>50</v>
      </c>
      <c r="V1261" t="s">
        <v>76</v>
      </c>
      <c r="W1261" t="s">
        <v>1084</v>
      </c>
      <c r="X1261" t="s">
        <v>94</v>
      </c>
      <c r="Y1261" t="s">
        <v>78</v>
      </c>
      <c r="Z1261">
        <v>35100</v>
      </c>
      <c r="AA1261">
        <v>0</v>
      </c>
      <c r="AB1261" t="s">
        <v>79</v>
      </c>
      <c r="AC1261" t="s">
        <v>87</v>
      </c>
      <c r="AD1261">
        <v>36</v>
      </c>
      <c r="AE1261">
        <v>9</v>
      </c>
      <c r="AF1261">
        <v>3</v>
      </c>
      <c r="AG1261">
        <v>2025</v>
      </c>
      <c r="AH1261" s="2">
        <v>14500</v>
      </c>
      <c r="AI1261" s="2">
        <v>16425.947265625</v>
      </c>
      <c r="AJ1261" s="2">
        <f t="shared" si="154"/>
        <v>1925.947265625</v>
      </c>
      <c r="AK1261" s="6">
        <f t="shared" si="155"/>
        <v>0.13282394935344827</v>
      </c>
      <c r="AL1261" s="12">
        <v>14500</v>
      </c>
      <c r="AM1261" s="12">
        <v>14416.067282563979</v>
      </c>
      <c r="AN1261" s="12">
        <f t="shared" si="156"/>
        <v>83.932717436020539</v>
      </c>
      <c r="AO1261" s="13">
        <f t="shared" si="157"/>
        <v>5.7884632714496924E-3</v>
      </c>
      <c r="AP1261" s="16">
        <v>14500</v>
      </c>
      <c r="AQ1261" s="16">
        <v>14729.640960588151</v>
      </c>
      <c r="AR1261" s="16">
        <f t="shared" si="158"/>
        <v>229.64096058815085</v>
      </c>
      <c r="AS1261" s="17">
        <f t="shared" si="152"/>
        <v>1.5837307626769024E-2</v>
      </c>
      <c r="AT1261" s="20">
        <v>14500</v>
      </c>
      <c r="AU1261" s="20">
        <v>15889.7802734375</v>
      </c>
      <c r="AV1261" s="20">
        <f t="shared" si="153"/>
        <v>1389.7802734375</v>
      </c>
      <c r="AW1261" s="21">
        <f t="shared" si="159"/>
        <v>9.5846915409482758E-2</v>
      </c>
    </row>
    <row r="1262" spans="1:49" x14ac:dyDescent="0.25">
      <c r="A1262" t="s">
        <v>38</v>
      </c>
      <c r="B1262" t="s">
        <v>39</v>
      </c>
      <c r="C1262">
        <v>145606</v>
      </c>
      <c r="D1262">
        <v>2015</v>
      </c>
      <c r="E1262" t="s">
        <v>146</v>
      </c>
      <c r="F1262" t="s">
        <v>147</v>
      </c>
      <c r="I1262">
        <v>4</v>
      </c>
      <c r="J1262" t="s">
        <v>72</v>
      </c>
      <c r="K1262">
        <v>4</v>
      </c>
      <c r="L1262" t="s">
        <v>44</v>
      </c>
      <c r="M1262">
        <v>2.5</v>
      </c>
      <c r="N1262" t="s">
        <v>45</v>
      </c>
      <c r="O1262" t="s">
        <v>190</v>
      </c>
      <c r="P1262">
        <v>1</v>
      </c>
      <c r="Q1262" t="s">
        <v>62</v>
      </c>
      <c r="R1262" t="s">
        <v>148</v>
      </c>
      <c r="S1262" t="s">
        <v>49</v>
      </c>
      <c r="U1262" t="s">
        <v>50</v>
      </c>
      <c r="X1262" t="s">
        <v>65</v>
      </c>
      <c r="Y1262" t="s">
        <v>54</v>
      </c>
      <c r="AA1262">
        <v>0</v>
      </c>
      <c r="AB1262" t="s">
        <v>79</v>
      </c>
      <c r="AC1262" t="s">
        <v>87</v>
      </c>
      <c r="AD1262">
        <v>36</v>
      </c>
      <c r="AE1262">
        <v>9</v>
      </c>
      <c r="AF1262">
        <v>3</v>
      </c>
      <c r="AG1262">
        <v>2025</v>
      </c>
      <c r="AH1262" s="2">
        <v>200</v>
      </c>
      <c r="AI1262" s="2">
        <v>858.92034912109375</v>
      </c>
      <c r="AJ1262" s="2">
        <f t="shared" si="154"/>
        <v>658.92034912109375</v>
      </c>
      <c r="AK1262" s="6">
        <f t="shared" si="155"/>
        <v>3.2946017456054686</v>
      </c>
      <c r="AL1262" s="12">
        <v>200</v>
      </c>
      <c r="AM1262" s="12">
        <v>1072.469239237862</v>
      </c>
      <c r="AN1262" s="12">
        <f t="shared" si="156"/>
        <v>872.46923923786198</v>
      </c>
      <c r="AO1262" s="13">
        <f t="shared" si="157"/>
        <v>4.3623461961893097</v>
      </c>
      <c r="AP1262" s="16">
        <v>200</v>
      </c>
      <c r="AQ1262" s="16">
        <v>942.85979540129551</v>
      </c>
      <c r="AR1262" s="16">
        <f t="shared" si="158"/>
        <v>742.85979540129551</v>
      </c>
      <c r="AS1262" s="17">
        <f t="shared" si="152"/>
        <v>3.7142989770064774</v>
      </c>
      <c r="AT1262" s="20">
        <v>200</v>
      </c>
      <c r="AU1262" s="20">
        <v>871.989501953125</v>
      </c>
      <c r="AV1262" s="20">
        <f t="shared" si="153"/>
        <v>671.989501953125</v>
      </c>
      <c r="AW1262" s="21">
        <f t="shared" si="159"/>
        <v>3.3599475097656248</v>
      </c>
    </row>
    <row r="1263" spans="1:49" x14ac:dyDescent="0.25">
      <c r="A1263" t="s">
        <v>38</v>
      </c>
      <c r="B1263" t="s">
        <v>68</v>
      </c>
      <c r="C1263">
        <v>76083</v>
      </c>
      <c r="D1263">
        <v>2018</v>
      </c>
      <c r="E1263" t="s">
        <v>97</v>
      </c>
      <c r="F1263" t="s">
        <v>159</v>
      </c>
      <c r="G1263" t="s">
        <v>155</v>
      </c>
      <c r="H1263" t="s">
        <v>89</v>
      </c>
      <c r="I1263">
        <v>8</v>
      </c>
      <c r="J1263" t="s">
        <v>72</v>
      </c>
      <c r="K1263">
        <v>4</v>
      </c>
      <c r="L1263" t="s">
        <v>44</v>
      </c>
      <c r="M1263">
        <v>5.3</v>
      </c>
      <c r="N1263" t="s">
        <v>91</v>
      </c>
      <c r="O1263" t="s">
        <v>46</v>
      </c>
      <c r="P1263">
        <v>5</v>
      </c>
      <c r="Q1263" t="s">
        <v>74</v>
      </c>
      <c r="R1263" t="s">
        <v>92</v>
      </c>
      <c r="S1263" t="s">
        <v>93</v>
      </c>
      <c r="U1263" t="s">
        <v>50</v>
      </c>
      <c r="W1263" t="s">
        <v>424</v>
      </c>
      <c r="X1263" t="s">
        <v>108</v>
      </c>
      <c r="Y1263" t="s">
        <v>78</v>
      </c>
      <c r="AA1263">
        <v>0</v>
      </c>
      <c r="AB1263" t="s">
        <v>79</v>
      </c>
      <c r="AC1263" t="s">
        <v>95</v>
      </c>
      <c r="AD1263">
        <v>36</v>
      </c>
      <c r="AE1263">
        <v>9</v>
      </c>
      <c r="AF1263">
        <v>3</v>
      </c>
      <c r="AG1263">
        <v>2025</v>
      </c>
      <c r="AH1263" s="2">
        <v>23000</v>
      </c>
      <c r="AI1263" s="2">
        <v>27184.62109375</v>
      </c>
      <c r="AJ1263" s="2">
        <f t="shared" si="154"/>
        <v>4184.62109375</v>
      </c>
      <c r="AK1263" s="6">
        <f t="shared" si="155"/>
        <v>0.18194004755434784</v>
      </c>
      <c r="AL1263" s="12">
        <v>23000</v>
      </c>
      <c r="AM1263" s="12">
        <v>24799.43028284769</v>
      </c>
      <c r="AN1263" s="12">
        <f t="shared" si="156"/>
        <v>1799.4302828476903</v>
      </c>
      <c r="AO1263" s="13">
        <f t="shared" si="157"/>
        <v>7.8236099254247404E-2</v>
      </c>
      <c r="AP1263" s="16">
        <v>23000</v>
      </c>
      <c r="AQ1263" s="16">
        <v>22774.920748711091</v>
      </c>
      <c r="AR1263" s="16">
        <f t="shared" si="158"/>
        <v>225.07925128890929</v>
      </c>
      <c r="AS1263" s="17">
        <f t="shared" si="152"/>
        <v>9.7860544038656221E-3</v>
      </c>
      <c r="AT1263" s="20">
        <v>23000</v>
      </c>
      <c r="AU1263" s="20">
        <v>26562.212890625</v>
      </c>
      <c r="AV1263" s="20">
        <f t="shared" si="153"/>
        <v>3562.212890625</v>
      </c>
      <c r="AW1263" s="21">
        <f t="shared" si="159"/>
        <v>0.15487882133152173</v>
      </c>
    </row>
    <row r="1264" spans="1:49" x14ac:dyDescent="0.25">
      <c r="A1264" t="s">
        <v>128</v>
      </c>
      <c r="B1264" t="s">
        <v>129</v>
      </c>
      <c r="C1264">
        <v>109740</v>
      </c>
      <c r="D1264">
        <v>2013</v>
      </c>
      <c r="E1264" t="s">
        <v>162</v>
      </c>
      <c r="F1264" t="s">
        <v>163</v>
      </c>
      <c r="G1264" t="s">
        <v>1304</v>
      </c>
      <c r="I1264">
        <v>4</v>
      </c>
      <c r="J1264" t="s">
        <v>61</v>
      </c>
      <c r="K1264">
        <v>4</v>
      </c>
      <c r="L1264" t="s">
        <v>44</v>
      </c>
      <c r="M1264">
        <v>2.4</v>
      </c>
      <c r="N1264" t="s">
        <v>45</v>
      </c>
      <c r="Q1264" t="s">
        <v>47</v>
      </c>
      <c r="R1264" t="s">
        <v>123</v>
      </c>
      <c r="U1264" t="s">
        <v>50</v>
      </c>
      <c r="W1264" t="s">
        <v>193</v>
      </c>
      <c r="X1264" t="s">
        <v>125</v>
      </c>
      <c r="Y1264" t="s">
        <v>78</v>
      </c>
      <c r="AA1264">
        <v>0</v>
      </c>
      <c r="AB1264" t="s">
        <v>79</v>
      </c>
      <c r="AC1264" t="s">
        <v>127</v>
      </c>
      <c r="AD1264">
        <v>36</v>
      </c>
      <c r="AE1264">
        <v>9</v>
      </c>
      <c r="AF1264">
        <v>3</v>
      </c>
      <c r="AG1264">
        <v>2025</v>
      </c>
      <c r="AH1264" s="2">
        <v>3600</v>
      </c>
      <c r="AI1264" s="2">
        <v>3194.098388671875</v>
      </c>
      <c r="AJ1264" s="2">
        <f t="shared" si="154"/>
        <v>405.901611328125</v>
      </c>
      <c r="AK1264" s="6">
        <f t="shared" si="155"/>
        <v>0.11275044759114583</v>
      </c>
      <c r="AL1264" s="12">
        <v>3600</v>
      </c>
      <c r="AM1264" s="12">
        <v>3108.8134601372549</v>
      </c>
      <c r="AN1264" s="12">
        <f t="shared" si="156"/>
        <v>491.18653986274512</v>
      </c>
      <c r="AO1264" s="13">
        <f t="shared" si="157"/>
        <v>0.13644070551742921</v>
      </c>
      <c r="AP1264" s="16">
        <v>3600</v>
      </c>
      <c r="AQ1264" s="16">
        <v>2625.4489281336978</v>
      </c>
      <c r="AR1264" s="16">
        <f t="shared" si="158"/>
        <v>974.55107186630221</v>
      </c>
      <c r="AS1264" s="17">
        <f t="shared" si="152"/>
        <v>0.27070863107397286</v>
      </c>
      <c r="AT1264" s="20">
        <v>3600</v>
      </c>
      <c r="AU1264" s="20">
        <v>3216.6220703125</v>
      </c>
      <c r="AV1264" s="20">
        <f t="shared" si="153"/>
        <v>383.3779296875</v>
      </c>
      <c r="AW1264" s="21">
        <f t="shared" si="159"/>
        <v>0.1064938693576389</v>
      </c>
    </row>
    <row r="1265" spans="1:49" x14ac:dyDescent="0.25">
      <c r="A1265" t="s">
        <v>38</v>
      </c>
      <c r="B1265" t="s">
        <v>96</v>
      </c>
      <c r="C1265">
        <v>139838</v>
      </c>
      <c r="D1265">
        <v>2018</v>
      </c>
      <c r="E1265" t="s">
        <v>97</v>
      </c>
      <c r="F1265" t="s">
        <v>98</v>
      </c>
      <c r="G1265" t="s">
        <v>1272</v>
      </c>
      <c r="I1265">
        <v>4</v>
      </c>
      <c r="J1265" t="s">
        <v>122</v>
      </c>
      <c r="K1265">
        <v>4</v>
      </c>
      <c r="L1265" t="s">
        <v>44</v>
      </c>
      <c r="M1265">
        <v>1.5</v>
      </c>
      <c r="N1265" t="s">
        <v>45</v>
      </c>
      <c r="O1265" t="s">
        <v>46</v>
      </c>
      <c r="P1265">
        <v>2</v>
      </c>
      <c r="Q1265" t="s">
        <v>62</v>
      </c>
      <c r="R1265" t="s">
        <v>63</v>
      </c>
      <c r="S1265" t="s">
        <v>101</v>
      </c>
      <c r="U1265" t="s">
        <v>50</v>
      </c>
      <c r="V1265" t="s">
        <v>51</v>
      </c>
      <c r="W1265" t="s">
        <v>879</v>
      </c>
      <c r="X1265" t="s">
        <v>65</v>
      </c>
      <c r="Y1265" t="s">
        <v>126</v>
      </c>
      <c r="Z1265">
        <v>30800</v>
      </c>
      <c r="AA1265">
        <v>0</v>
      </c>
      <c r="AB1265" t="s">
        <v>79</v>
      </c>
      <c r="AC1265" t="s">
        <v>87</v>
      </c>
      <c r="AD1265">
        <v>36</v>
      </c>
      <c r="AE1265">
        <v>9</v>
      </c>
      <c r="AF1265">
        <v>3</v>
      </c>
      <c r="AG1265">
        <v>2025</v>
      </c>
      <c r="AH1265" s="2">
        <v>5400</v>
      </c>
      <c r="AI1265" s="2">
        <v>4586.70068359375</v>
      </c>
      <c r="AJ1265" s="2">
        <f t="shared" si="154"/>
        <v>813.29931640625</v>
      </c>
      <c r="AK1265" s="6">
        <f t="shared" si="155"/>
        <v>0.15061098451967592</v>
      </c>
      <c r="AL1265" s="12">
        <v>5400</v>
      </c>
      <c r="AM1265" s="12">
        <v>4046.9763410739338</v>
      </c>
      <c r="AN1265" s="12">
        <f t="shared" si="156"/>
        <v>1353.0236589260662</v>
      </c>
      <c r="AO1265" s="13">
        <f t="shared" si="157"/>
        <v>0.25055993683816041</v>
      </c>
      <c r="AP1265" s="16">
        <v>5400</v>
      </c>
      <c r="AQ1265" s="16">
        <v>4690.9856263121756</v>
      </c>
      <c r="AR1265" s="16">
        <f t="shared" si="158"/>
        <v>709.01437368782445</v>
      </c>
      <c r="AS1265" s="17">
        <f t="shared" si="152"/>
        <v>0.13129895809033787</v>
      </c>
      <c r="AT1265" s="20">
        <v>5400</v>
      </c>
      <c r="AU1265" s="20">
        <v>4566.7626953125</v>
      </c>
      <c r="AV1265" s="20">
        <f t="shared" si="153"/>
        <v>833.2373046875</v>
      </c>
      <c r="AW1265" s="21">
        <f t="shared" si="159"/>
        <v>0.15430320457175925</v>
      </c>
    </row>
    <row r="1266" spans="1:49" x14ac:dyDescent="0.25">
      <c r="A1266" t="s">
        <v>38</v>
      </c>
      <c r="B1266" t="s">
        <v>39</v>
      </c>
      <c r="C1266">
        <v>101866</v>
      </c>
      <c r="D1266">
        <v>2018</v>
      </c>
      <c r="E1266" t="s">
        <v>119</v>
      </c>
      <c r="F1266" t="s">
        <v>138</v>
      </c>
      <c r="G1266" t="s">
        <v>1305</v>
      </c>
      <c r="I1266">
        <v>6</v>
      </c>
      <c r="J1266" t="s">
        <v>72</v>
      </c>
      <c r="K1266">
        <v>4</v>
      </c>
      <c r="L1266" t="s">
        <v>44</v>
      </c>
      <c r="M1266">
        <v>3.6</v>
      </c>
      <c r="N1266" t="s">
        <v>44</v>
      </c>
      <c r="O1266" t="s">
        <v>46</v>
      </c>
      <c r="Q1266" t="s">
        <v>62</v>
      </c>
      <c r="R1266" t="s">
        <v>63</v>
      </c>
      <c r="T1266">
        <v>276</v>
      </c>
      <c r="U1266" t="s">
        <v>50</v>
      </c>
      <c r="W1266" t="s">
        <v>140</v>
      </c>
      <c r="X1266" t="s">
        <v>141</v>
      </c>
      <c r="Y1266" t="s">
        <v>78</v>
      </c>
      <c r="AA1266">
        <v>0</v>
      </c>
      <c r="AB1266" t="s">
        <v>79</v>
      </c>
      <c r="AC1266" t="s">
        <v>87</v>
      </c>
      <c r="AD1266">
        <v>36</v>
      </c>
      <c r="AE1266">
        <v>9</v>
      </c>
      <c r="AF1266">
        <v>3</v>
      </c>
      <c r="AG1266">
        <v>2025</v>
      </c>
      <c r="AH1266" s="2">
        <v>12500</v>
      </c>
      <c r="AI1266" s="2">
        <v>10241.90625</v>
      </c>
      <c r="AJ1266" s="2">
        <f t="shared" si="154"/>
        <v>2258.09375</v>
      </c>
      <c r="AK1266" s="6">
        <f t="shared" si="155"/>
        <v>0.18064749999999999</v>
      </c>
      <c r="AL1266" s="12">
        <v>12500</v>
      </c>
      <c r="AM1266" s="12">
        <v>11443.27947193914</v>
      </c>
      <c r="AN1266" s="12">
        <f t="shared" si="156"/>
        <v>1056.7205280608596</v>
      </c>
      <c r="AO1266" s="13">
        <f t="shared" si="157"/>
        <v>8.453764224486876E-2</v>
      </c>
      <c r="AP1266" s="16">
        <v>12500</v>
      </c>
      <c r="AQ1266" s="16">
        <v>12147.14517950146</v>
      </c>
      <c r="AR1266" s="16">
        <f t="shared" si="158"/>
        <v>352.85482049853999</v>
      </c>
      <c r="AS1266" s="17">
        <f t="shared" si="152"/>
        <v>2.82283856398832E-2</v>
      </c>
      <c r="AT1266" s="20">
        <v>12500</v>
      </c>
      <c r="AU1266" s="20">
        <v>10556.8359375</v>
      </c>
      <c r="AV1266" s="20">
        <f t="shared" si="153"/>
        <v>1943.1640625</v>
      </c>
      <c r="AW1266" s="21">
        <f t="shared" si="159"/>
        <v>0.155453125</v>
      </c>
    </row>
    <row r="1267" spans="1:49" x14ac:dyDescent="0.25">
      <c r="A1267" t="s">
        <v>38</v>
      </c>
      <c r="B1267" t="s">
        <v>96</v>
      </c>
      <c r="C1267">
        <v>279875</v>
      </c>
      <c r="D1267">
        <v>2005</v>
      </c>
      <c r="E1267" t="s">
        <v>40</v>
      </c>
      <c r="F1267" t="s">
        <v>215</v>
      </c>
      <c r="G1267" t="s">
        <v>150</v>
      </c>
      <c r="H1267" t="s">
        <v>1306</v>
      </c>
      <c r="I1267">
        <v>6</v>
      </c>
      <c r="J1267" t="s">
        <v>72</v>
      </c>
      <c r="K1267">
        <v>4</v>
      </c>
      <c r="L1267" t="s">
        <v>44</v>
      </c>
      <c r="M1267">
        <v>4</v>
      </c>
      <c r="N1267" t="s">
        <v>73</v>
      </c>
      <c r="O1267" t="s">
        <v>46</v>
      </c>
      <c r="Q1267" t="s">
        <v>74</v>
      </c>
      <c r="R1267" t="s">
        <v>92</v>
      </c>
      <c r="S1267" t="s">
        <v>49</v>
      </c>
      <c r="T1267">
        <v>236</v>
      </c>
      <c r="U1267" t="s">
        <v>50</v>
      </c>
      <c r="V1267" t="s">
        <v>76</v>
      </c>
      <c r="W1267" t="s">
        <v>185</v>
      </c>
      <c r="X1267" t="s">
        <v>141</v>
      </c>
      <c r="Y1267" t="s">
        <v>78</v>
      </c>
      <c r="AA1267">
        <v>0</v>
      </c>
      <c r="AB1267" t="s">
        <v>79</v>
      </c>
      <c r="AC1267" t="s">
        <v>95</v>
      </c>
      <c r="AD1267">
        <v>36</v>
      </c>
      <c r="AE1267">
        <v>9</v>
      </c>
      <c r="AF1267">
        <v>3</v>
      </c>
      <c r="AG1267">
        <v>2025</v>
      </c>
      <c r="AH1267" s="2">
        <v>1900</v>
      </c>
      <c r="AI1267" s="2">
        <v>2223.49658203125</v>
      </c>
      <c r="AJ1267" s="2">
        <f t="shared" si="154"/>
        <v>323.49658203125</v>
      </c>
      <c r="AK1267" s="6">
        <f t="shared" si="155"/>
        <v>0.17026135896381578</v>
      </c>
      <c r="AL1267" s="12">
        <v>1900</v>
      </c>
      <c r="AM1267" s="12">
        <v>3107.3802574621882</v>
      </c>
      <c r="AN1267" s="12">
        <f t="shared" si="156"/>
        <v>1207.3802574621882</v>
      </c>
      <c r="AO1267" s="13">
        <f t="shared" si="157"/>
        <v>0.63546329340115171</v>
      </c>
      <c r="AP1267" s="16">
        <v>1900</v>
      </c>
      <c r="AQ1267" s="16">
        <v>2143.400720115535</v>
      </c>
      <c r="AR1267" s="16">
        <f t="shared" si="158"/>
        <v>243.40072011553502</v>
      </c>
      <c r="AS1267" s="17">
        <f t="shared" si="152"/>
        <v>0.12810564216607107</v>
      </c>
      <c r="AT1267" s="20">
        <v>1900</v>
      </c>
      <c r="AU1267" s="20">
        <v>2279.03271484375</v>
      </c>
      <c r="AV1267" s="20">
        <f t="shared" si="153"/>
        <v>379.03271484375</v>
      </c>
      <c r="AW1267" s="21">
        <f t="shared" si="159"/>
        <v>0.1994909025493421</v>
      </c>
    </row>
    <row r="1268" spans="1:49" x14ac:dyDescent="0.25">
      <c r="A1268" t="s">
        <v>81</v>
      </c>
      <c r="B1268" t="s">
        <v>186</v>
      </c>
      <c r="C1268">
        <v>41031</v>
      </c>
      <c r="D1268">
        <v>2024</v>
      </c>
      <c r="E1268" t="s">
        <v>166</v>
      </c>
      <c r="F1268" t="s">
        <v>628</v>
      </c>
      <c r="G1268" t="s">
        <v>457</v>
      </c>
      <c r="I1268">
        <v>4</v>
      </c>
      <c r="J1268" t="s">
        <v>106</v>
      </c>
      <c r="K1268">
        <v>4</v>
      </c>
      <c r="L1268" t="s">
        <v>44</v>
      </c>
      <c r="M1268">
        <v>2</v>
      </c>
      <c r="N1268" t="s">
        <v>45</v>
      </c>
      <c r="O1268" t="s">
        <v>46</v>
      </c>
      <c r="P1268">
        <v>4</v>
      </c>
      <c r="Q1268" t="s">
        <v>47</v>
      </c>
      <c r="R1268" t="s">
        <v>48</v>
      </c>
      <c r="S1268" t="s">
        <v>49</v>
      </c>
      <c r="T1268">
        <v>158</v>
      </c>
      <c r="U1268" t="s">
        <v>50</v>
      </c>
      <c r="V1268" t="s">
        <v>51</v>
      </c>
      <c r="W1268" t="s">
        <v>795</v>
      </c>
      <c r="X1268" t="s">
        <v>53</v>
      </c>
      <c r="Y1268" t="s">
        <v>78</v>
      </c>
      <c r="AA1268">
        <v>0</v>
      </c>
      <c r="AB1268" t="s">
        <v>79</v>
      </c>
      <c r="AC1268" t="s">
        <v>359</v>
      </c>
      <c r="AD1268">
        <v>36</v>
      </c>
      <c r="AE1268">
        <v>9</v>
      </c>
      <c r="AF1268">
        <v>3</v>
      </c>
      <c r="AG1268">
        <v>2025</v>
      </c>
      <c r="AH1268" s="2">
        <v>22900</v>
      </c>
      <c r="AI1268" s="2">
        <v>19688.43359375</v>
      </c>
      <c r="AJ1268" s="2">
        <f t="shared" si="154"/>
        <v>3211.56640625</v>
      </c>
      <c r="AK1268" s="6">
        <f t="shared" si="155"/>
        <v>0.14024307450873363</v>
      </c>
      <c r="AL1268" s="12">
        <v>22900</v>
      </c>
      <c r="AM1268" s="12">
        <v>19541.310658727241</v>
      </c>
      <c r="AN1268" s="12">
        <f t="shared" si="156"/>
        <v>3358.6893412727586</v>
      </c>
      <c r="AO1268" s="13">
        <f t="shared" si="157"/>
        <v>0.14666765682413793</v>
      </c>
      <c r="AP1268" s="16">
        <v>22900</v>
      </c>
      <c r="AQ1268" s="16">
        <v>20046.524587532171</v>
      </c>
      <c r="AR1268" s="16">
        <f t="shared" si="158"/>
        <v>2853.4754124678293</v>
      </c>
      <c r="AS1268" s="17">
        <f t="shared" si="152"/>
        <v>0.12460591320820215</v>
      </c>
      <c r="AT1268" s="20">
        <v>22900</v>
      </c>
      <c r="AU1268" s="20">
        <v>19399.359375</v>
      </c>
      <c r="AV1268" s="20">
        <f t="shared" si="153"/>
        <v>3500.640625</v>
      </c>
      <c r="AW1268" s="21">
        <f t="shared" si="159"/>
        <v>0.15286640283842795</v>
      </c>
    </row>
    <row r="1269" spans="1:49" x14ac:dyDescent="0.25">
      <c r="A1269" t="s">
        <v>128</v>
      </c>
      <c r="B1269" t="s">
        <v>129</v>
      </c>
      <c r="C1269">
        <v>211319</v>
      </c>
      <c r="D1269">
        <v>2012</v>
      </c>
      <c r="E1269" t="s">
        <v>97</v>
      </c>
      <c r="F1269" t="s">
        <v>198</v>
      </c>
      <c r="G1269" t="s">
        <v>590</v>
      </c>
      <c r="I1269">
        <v>6</v>
      </c>
      <c r="J1269" t="s">
        <v>106</v>
      </c>
      <c r="K1269">
        <v>4</v>
      </c>
      <c r="L1269" t="s">
        <v>44</v>
      </c>
      <c r="M1269">
        <v>3.6</v>
      </c>
      <c r="N1269" t="s">
        <v>45</v>
      </c>
      <c r="Q1269" t="s">
        <v>62</v>
      </c>
      <c r="R1269" t="s">
        <v>63</v>
      </c>
      <c r="S1269" t="s">
        <v>101</v>
      </c>
      <c r="U1269" t="s">
        <v>50</v>
      </c>
      <c r="V1269" t="s">
        <v>76</v>
      </c>
      <c r="W1269" t="s">
        <v>200</v>
      </c>
      <c r="X1269" t="s">
        <v>94</v>
      </c>
      <c r="Y1269" t="s">
        <v>78</v>
      </c>
      <c r="AA1269">
        <v>0</v>
      </c>
      <c r="AB1269" t="s">
        <v>79</v>
      </c>
      <c r="AC1269" t="s">
        <v>87</v>
      </c>
      <c r="AD1269">
        <v>36</v>
      </c>
      <c r="AE1269">
        <v>9</v>
      </c>
      <c r="AF1269">
        <v>3</v>
      </c>
      <c r="AG1269">
        <v>2025</v>
      </c>
      <c r="AH1269" s="2">
        <v>400</v>
      </c>
      <c r="AI1269" s="2">
        <v>1014.609313964844</v>
      </c>
      <c r="AJ1269" s="2">
        <f t="shared" si="154"/>
        <v>614.60931396484398</v>
      </c>
      <c r="AK1269" s="6">
        <f t="shared" si="155"/>
        <v>1.53652328491211</v>
      </c>
      <c r="AL1269" s="12">
        <v>400</v>
      </c>
      <c r="AM1269" s="12">
        <v>1419.747638847294</v>
      </c>
      <c r="AN1269" s="12">
        <f t="shared" si="156"/>
        <v>1019.747638847294</v>
      </c>
      <c r="AO1269" s="13">
        <f t="shared" si="157"/>
        <v>2.5493690971182348</v>
      </c>
      <c r="AP1269" s="16">
        <v>400</v>
      </c>
      <c r="AQ1269" s="16">
        <v>1005.079226642866</v>
      </c>
      <c r="AR1269" s="16">
        <f t="shared" si="158"/>
        <v>605.07922664286605</v>
      </c>
      <c r="AS1269" s="17">
        <f t="shared" si="152"/>
        <v>1.5126980666071652</v>
      </c>
      <c r="AT1269" s="20">
        <v>400</v>
      </c>
      <c r="AU1269" s="20">
        <v>1021.933654785156</v>
      </c>
      <c r="AV1269" s="20">
        <f t="shared" si="153"/>
        <v>621.93365478515602</v>
      </c>
      <c r="AW1269" s="21">
        <f t="shared" si="159"/>
        <v>1.55483413696289</v>
      </c>
    </row>
    <row r="1270" spans="1:49" x14ac:dyDescent="0.25">
      <c r="A1270" t="s">
        <v>38</v>
      </c>
      <c r="B1270" t="s">
        <v>68</v>
      </c>
      <c r="C1270">
        <v>32485</v>
      </c>
      <c r="D1270">
        <v>2024</v>
      </c>
      <c r="E1270" t="s">
        <v>174</v>
      </c>
      <c r="F1270" t="s">
        <v>314</v>
      </c>
      <c r="G1270" t="s">
        <v>1283</v>
      </c>
      <c r="H1270" t="s">
        <v>89</v>
      </c>
      <c r="I1270">
        <v>4</v>
      </c>
      <c r="J1270" t="s">
        <v>122</v>
      </c>
      <c r="K1270">
        <v>2</v>
      </c>
      <c r="L1270" t="s">
        <v>44</v>
      </c>
      <c r="M1270">
        <v>2.7</v>
      </c>
      <c r="N1270" t="s">
        <v>73</v>
      </c>
      <c r="O1270" t="s">
        <v>46</v>
      </c>
      <c r="P1270">
        <v>4</v>
      </c>
      <c r="Q1270" t="s">
        <v>74</v>
      </c>
      <c r="R1270" t="s">
        <v>92</v>
      </c>
      <c r="S1270" t="s">
        <v>49</v>
      </c>
      <c r="U1270" t="s">
        <v>50</v>
      </c>
      <c r="V1270" t="s">
        <v>51</v>
      </c>
      <c r="W1270" t="s">
        <v>580</v>
      </c>
      <c r="X1270" t="s">
        <v>94</v>
      </c>
      <c r="Y1270" t="s">
        <v>126</v>
      </c>
      <c r="AA1270">
        <v>0</v>
      </c>
      <c r="AB1270" t="s">
        <v>79</v>
      </c>
      <c r="AC1270" t="s">
        <v>95</v>
      </c>
      <c r="AD1270">
        <v>36</v>
      </c>
      <c r="AE1270">
        <v>9</v>
      </c>
      <c r="AF1270">
        <v>3</v>
      </c>
      <c r="AG1270">
        <v>2025</v>
      </c>
      <c r="AH1270" s="2">
        <v>28000</v>
      </c>
      <c r="AI1270" s="2">
        <v>28274.9609375</v>
      </c>
      <c r="AJ1270" s="2">
        <f t="shared" si="154"/>
        <v>274.9609375</v>
      </c>
      <c r="AK1270" s="6">
        <f t="shared" si="155"/>
        <v>9.8200334821428575E-3</v>
      </c>
      <c r="AL1270" s="12">
        <v>28000</v>
      </c>
      <c r="AM1270" s="12">
        <v>27894.562457234832</v>
      </c>
      <c r="AN1270" s="12">
        <f t="shared" si="156"/>
        <v>105.43754276516847</v>
      </c>
      <c r="AO1270" s="13">
        <f t="shared" si="157"/>
        <v>3.7656265273274454E-3</v>
      </c>
      <c r="AP1270" s="16">
        <v>28000</v>
      </c>
      <c r="AQ1270" s="16">
        <v>29293.464120240918</v>
      </c>
      <c r="AR1270" s="16">
        <f t="shared" si="158"/>
        <v>1293.4641202409184</v>
      </c>
      <c r="AS1270" s="17">
        <f t="shared" si="152"/>
        <v>4.619514715146137E-2</v>
      </c>
      <c r="AT1270" s="20">
        <v>28000</v>
      </c>
      <c r="AU1270" s="20">
        <v>27832.654296875</v>
      </c>
      <c r="AV1270" s="20">
        <f t="shared" si="153"/>
        <v>167.345703125</v>
      </c>
      <c r="AW1270" s="21">
        <f t="shared" si="159"/>
        <v>5.9766322544642855E-3</v>
      </c>
    </row>
    <row r="1271" spans="1:49" x14ac:dyDescent="0.25">
      <c r="A1271" t="s">
        <v>38</v>
      </c>
      <c r="B1271" t="s">
        <v>96</v>
      </c>
      <c r="C1271">
        <v>182332</v>
      </c>
      <c r="D1271">
        <v>2015</v>
      </c>
      <c r="E1271" t="s">
        <v>174</v>
      </c>
      <c r="F1271" t="s">
        <v>314</v>
      </c>
      <c r="G1271" t="s">
        <v>315</v>
      </c>
      <c r="H1271" t="s">
        <v>89</v>
      </c>
      <c r="I1271">
        <v>8</v>
      </c>
      <c r="J1271" t="s">
        <v>72</v>
      </c>
      <c r="K1271">
        <v>4</v>
      </c>
      <c r="L1271" t="s">
        <v>44</v>
      </c>
      <c r="M1271">
        <v>5.3</v>
      </c>
      <c r="N1271" t="s">
        <v>73</v>
      </c>
      <c r="O1271" t="s">
        <v>46</v>
      </c>
      <c r="Q1271" t="s">
        <v>74</v>
      </c>
      <c r="R1271" t="s">
        <v>92</v>
      </c>
      <c r="S1271" t="s">
        <v>179</v>
      </c>
      <c r="U1271" t="s">
        <v>50</v>
      </c>
      <c r="W1271" t="s">
        <v>473</v>
      </c>
      <c r="X1271" t="s">
        <v>94</v>
      </c>
      <c r="Y1271" t="s">
        <v>126</v>
      </c>
      <c r="AA1271">
        <v>0</v>
      </c>
      <c r="AB1271" t="s">
        <v>79</v>
      </c>
      <c r="AC1271" t="s">
        <v>95</v>
      </c>
      <c r="AD1271">
        <v>36</v>
      </c>
      <c r="AE1271">
        <v>9</v>
      </c>
      <c r="AF1271">
        <v>3</v>
      </c>
      <c r="AG1271">
        <v>2025</v>
      </c>
      <c r="AH1271" s="2">
        <v>9250</v>
      </c>
      <c r="AI1271" s="2">
        <v>9601.6650390625</v>
      </c>
      <c r="AJ1271" s="2">
        <f t="shared" si="154"/>
        <v>351.6650390625</v>
      </c>
      <c r="AK1271" s="6">
        <f t="shared" si="155"/>
        <v>3.8017842060810811E-2</v>
      </c>
      <c r="AL1271" s="12">
        <v>9250</v>
      </c>
      <c r="AM1271" s="12">
        <v>9048.2769940734252</v>
      </c>
      <c r="AN1271" s="12">
        <f t="shared" si="156"/>
        <v>201.72300592657484</v>
      </c>
      <c r="AO1271" s="13">
        <f t="shared" si="157"/>
        <v>2.1807892532602687E-2</v>
      </c>
      <c r="AP1271" s="16">
        <v>9250</v>
      </c>
      <c r="AQ1271" s="16">
        <v>8963.5557477393104</v>
      </c>
      <c r="AR1271" s="16">
        <f t="shared" si="158"/>
        <v>286.44425226068961</v>
      </c>
      <c r="AS1271" s="17">
        <f t="shared" si="152"/>
        <v>3.0966946190344822E-2</v>
      </c>
      <c r="AT1271" s="20">
        <v>9250</v>
      </c>
      <c r="AU1271" s="20">
        <v>9571.62890625</v>
      </c>
      <c r="AV1271" s="20">
        <f t="shared" si="153"/>
        <v>321.62890625</v>
      </c>
      <c r="AW1271" s="21">
        <f t="shared" si="159"/>
        <v>3.4770692567567568E-2</v>
      </c>
    </row>
    <row r="1272" spans="1:49" x14ac:dyDescent="0.25">
      <c r="A1272" t="s">
        <v>38</v>
      </c>
      <c r="B1272" t="s">
        <v>68</v>
      </c>
      <c r="C1272">
        <v>74520</v>
      </c>
      <c r="D1272">
        <v>2021</v>
      </c>
      <c r="E1272" t="s">
        <v>146</v>
      </c>
      <c r="F1272" t="s">
        <v>451</v>
      </c>
      <c r="G1272" t="s">
        <v>280</v>
      </c>
      <c r="I1272">
        <v>4</v>
      </c>
      <c r="J1272" t="s">
        <v>106</v>
      </c>
      <c r="K1272">
        <v>4</v>
      </c>
      <c r="L1272" t="s">
        <v>44</v>
      </c>
      <c r="M1272">
        <v>1.6</v>
      </c>
      <c r="N1272" t="s">
        <v>45</v>
      </c>
      <c r="O1272" t="s">
        <v>46</v>
      </c>
      <c r="P1272">
        <v>4</v>
      </c>
      <c r="Q1272" t="s">
        <v>47</v>
      </c>
      <c r="R1272" t="s">
        <v>123</v>
      </c>
      <c r="S1272" t="s">
        <v>49</v>
      </c>
      <c r="U1272" t="s">
        <v>50</v>
      </c>
      <c r="X1272" t="s">
        <v>125</v>
      </c>
      <c r="Y1272" t="s">
        <v>126</v>
      </c>
      <c r="AA1272">
        <v>0</v>
      </c>
      <c r="AB1272" t="s">
        <v>79</v>
      </c>
      <c r="AC1272" t="s">
        <v>127</v>
      </c>
      <c r="AD1272">
        <v>36</v>
      </c>
      <c r="AE1272">
        <v>9</v>
      </c>
      <c r="AF1272">
        <v>3</v>
      </c>
      <c r="AG1272">
        <v>2025</v>
      </c>
      <c r="AH1272" s="2">
        <v>9750</v>
      </c>
      <c r="AI1272" s="2">
        <v>10219.638671875</v>
      </c>
      <c r="AJ1272" s="2">
        <f t="shared" si="154"/>
        <v>469.638671875</v>
      </c>
      <c r="AK1272" s="6">
        <f t="shared" si="155"/>
        <v>4.8168068910256413E-2</v>
      </c>
      <c r="AL1272" s="12">
        <v>9750</v>
      </c>
      <c r="AM1272" s="12">
        <v>9675.0827115882676</v>
      </c>
      <c r="AN1272" s="12">
        <f t="shared" si="156"/>
        <v>74.917288411732443</v>
      </c>
      <c r="AO1272" s="13">
        <f t="shared" si="157"/>
        <v>7.6838244524853787E-3</v>
      </c>
      <c r="AP1272" s="16">
        <v>9750</v>
      </c>
      <c r="AQ1272" s="16">
        <v>9388.7820632443163</v>
      </c>
      <c r="AR1272" s="16">
        <f t="shared" si="158"/>
        <v>361.2179367556837</v>
      </c>
      <c r="AS1272" s="17">
        <f t="shared" si="152"/>
        <v>3.7047993513403453E-2</v>
      </c>
      <c r="AT1272" s="20">
        <v>9750</v>
      </c>
      <c r="AU1272" s="20">
        <v>10177.5498046875</v>
      </c>
      <c r="AV1272" s="20">
        <f t="shared" si="153"/>
        <v>427.5498046875</v>
      </c>
      <c r="AW1272" s="21">
        <f t="shared" si="159"/>
        <v>4.3851262019230772E-2</v>
      </c>
    </row>
    <row r="1273" spans="1:49" x14ac:dyDescent="0.25">
      <c r="A1273" t="s">
        <v>81</v>
      </c>
      <c r="B1273" t="s">
        <v>82</v>
      </c>
      <c r="C1273">
        <v>79910</v>
      </c>
      <c r="D1273">
        <v>2019</v>
      </c>
      <c r="E1273" t="s">
        <v>166</v>
      </c>
      <c r="F1273" t="s">
        <v>628</v>
      </c>
      <c r="G1273" t="s">
        <v>240</v>
      </c>
      <c r="I1273">
        <v>4</v>
      </c>
      <c r="J1273" t="s">
        <v>253</v>
      </c>
      <c r="K1273">
        <v>4</v>
      </c>
      <c r="L1273" t="s">
        <v>44</v>
      </c>
      <c r="M1273">
        <v>2</v>
      </c>
      <c r="N1273" t="s">
        <v>45</v>
      </c>
      <c r="O1273" t="s">
        <v>46</v>
      </c>
      <c r="Q1273" t="s">
        <v>47</v>
      </c>
      <c r="R1273" t="s">
        <v>123</v>
      </c>
      <c r="S1273" t="s">
        <v>49</v>
      </c>
      <c r="T1273">
        <v>158</v>
      </c>
      <c r="U1273" t="s">
        <v>50</v>
      </c>
      <c r="V1273" t="s">
        <v>51</v>
      </c>
      <c r="W1273" t="s">
        <v>795</v>
      </c>
      <c r="X1273" t="s">
        <v>53</v>
      </c>
      <c r="Y1273" t="s">
        <v>103</v>
      </c>
      <c r="Z1273">
        <v>20250</v>
      </c>
      <c r="AA1273">
        <v>0</v>
      </c>
      <c r="AB1273" t="s">
        <v>79</v>
      </c>
      <c r="AC1273" t="s">
        <v>127</v>
      </c>
      <c r="AD1273">
        <v>36</v>
      </c>
      <c r="AE1273">
        <v>9</v>
      </c>
      <c r="AF1273">
        <v>3</v>
      </c>
      <c r="AG1273">
        <v>2025</v>
      </c>
      <c r="AH1273" s="2">
        <v>11500</v>
      </c>
      <c r="AI1273" s="2">
        <v>10115.681640625</v>
      </c>
      <c r="AJ1273" s="2">
        <f t="shared" si="154"/>
        <v>1384.318359375</v>
      </c>
      <c r="AK1273" s="6">
        <f t="shared" si="155"/>
        <v>0.12037550951086956</v>
      </c>
      <c r="AL1273" s="12">
        <v>11500</v>
      </c>
      <c r="AM1273" s="12">
        <v>10605.051561052251</v>
      </c>
      <c r="AN1273" s="12">
        <f t="shared" si="156"/>
        <v>894.94843894774931</v>
      </c>
      <c r="AO1273" s="13">
        <f t="shared" si="157"/>
        <v>7.7821603386760807E-2</v>
      </c>
      <c r="AP1273" s="16">
        <v>11500</v>
      </c>
      <c r="AQ1273" s="16">
        <v>10009.7110328868</v>
      </c>
      <c r="AR1273" s="16">
        <f t="shared" si="158"/>
        <v>1490.2889671131998</v>
      </c>
      <c r="AS1273" s="17">
        <f t="shared" si="152"/>
        <v>0.12959034496636521</v>
      </c>
      <c r="AT1273" s="20">
        <v>11500</v>
      </c>
      <c r="AU1273" s="20">
        <v>10333.314453125</v>
      </c>
      <c r="AV1273" s="20">
        <f t="shared" si="153"/>
        <v>1166.685546875</v>
      </c>
      <c r="AW1273" s="21">
        <f t="shared" si="159"/>
        <v>0.10145091711956522</v>
      </c>
    </row>
    <row r="1274" spans="1:49" x14ac:dyDescent="0.25">
      <c r="A1274" t="s">
        <v>38</v>
      </c>
      <c r="B1274" t="s">
        <v>110</v>
      </c>
      <c r="C1274">
        <v>146772</v>
      </c>
      <c r="D1274">
        <v>2015</v>
      </c>
      <c r="E1274" t="s">
        <v>162</v>
      </c>
      <c r="F1274" t="s">
        <v>163</v>
      </c>
      <c r="G1274" t="s">
        <v>1100</v>
      </c>
      <c r="I1274">
        <v>4</v>
      </c>
      <c r="J1274" t="s">
        <v>122</v>
      </c>
      <c r="K1274">
        <v>4</v>
      </c>
      <c r="L1274" t="s">
        <v>44</v>
      </c>
      <c r="M1274">
        <v>2.4</v>
      </c>
      <c r="N1274" t="s">
        <v>45</v>
      </c>
      <c r="Q1274" t="s">
        <v>47</v>
      </c>
      <c r="R1274" t="s">
        <v>123</v>
      </c>
      <c r="U1274" t="s">
        <v>50</v>
      </c>
      <c r="W1274" t="s">
        <v>165</v>
      </c>
      <c r="X1274" t="s">
        <v>125</v>
      </c>
      <c r="Y1274" t="s">
        <v>78</v>
      </c>
      <c r="AA1274">
        <v>0</v>
      </c>
      <c r="AB1274" t="s">
        <v>79</v>
      </c>
      <c r="AC1274" t="s">
        <v>127</v>
      </c>
      <c r="AD1274">
        <v>36</v>
      </c>
      <c r="AE1274">
        <v>9</v>
      </c>
      <c r="AF1274">
        <v>3</v>
      </c>
      <c r="AG1274">
        <v>2025</v>
      </c>
      <c r="AH1274" s="2">
        <v>3000</v>
      </c>
      <c r="AI1274" s="2">
        <v>2534.2353515625</v>
      </c>
      <c r="AJ1274" s="2">
        <f t="shared" si="154"/>
        <v>465.7646484375</v>
      </c>
      <c r="AK1274" s="6">
        <f t="shared" si="155"/>
        <v>0.15525488281249999</v>
      </c>
      <c r="AL1274" s="12">
        <v>3000</v>
      </c>
      <c r="AM1274" s="12">
        <v>2373.8080301887148</v>
      </c>
      <c r="AN1274" s="12">
        <f t="shared" si="156"/>
        <v>626.19196981128516</v>
      </c>
      <c r="AO1274" s="13">
        <f t="shared" si="157"/>
        <v>0.20873065660376172</v>
      </c>
      <c r="AP1274" s="16">
        <v>3000</v>
      </c>
      <c r="AQ1274" s="16">
        <v>1993.99824611134</v>
      </c>
      <c r="AR1274" s="16">
        <f t="shared" si="158"/>
        <v>1006.00175388866</v>
      </c>
      <c r="AS1274" s="17">
        <f t="shared" si="152"/>
        <v>0.33533391796288664</v>
      </c>
      <c r="AT1274" s="20">
        <v>3000</v>
      </c>
      <c r="AU1274" s="20">
        <v>2527.1201171875</v>
      </c>
      <c r="AV1274" s="20">
        <f t="shared" si="153"/>
        <v>472.8798828125</v>
      </c>
      <c r="AW1274" s="21">
        <f t="shared" si="159"/>
        <v>0.15762662760416668</v>
      </c>
    </row>
    <row r="1275" spans="1:49" x14ac:dyDescent="0.25">
      <c r="A1275" t="s">
        <v>128</v>
      </c>
      <c r="B1275" t="s">
        <v>210</v>
      </c>
      <c r="C1275">
        <v>62000</v>
      </c>
      <c r="D1275">
        <v>2017</v>
      </c>
      <c r="E1275" t="s">
        <v>58</v>
      </c>
      <c r="F1275" t="s">
        <v>243</v>
      </c>
      <c r="G1275" t="s">
        <v>734</v>
      </c>
      <c r="I1275">
        <v>4</v>
      </c>
      <c r="J1275" t="s">
        <v>122</v>
      </c>
      <c r="K1275">
        <v>4</v>
      </c>
      <c r="L1275" t="s">
        <v>44</v>
      </c>
      <c r="M1275">
        <v>2</v>
      </c>
      <c r="N1275" t="s">
        <v>45</v>
      </c>
      <c r="O1275" t="s">
        <v>46</v>
      </c>
      <c r="Q1275" t="s">
        <v>47</v>
      </c>
      <c r="R1275" t="s">
        <v>123</v>
      </c>
      <c r="T1275">
        <v>147</v>
      </c>
      <c r="U1275" t="s">
        <v>50</v>
      </c>
      <c r="W1275" t="s">
        <v>463</v>
      </c>
      <c r="X1275" t="s">
        <v>125</v>
      </c>
      <c r="Y1275" t="s">
        <v>126</v>
      </c>
      <c r="AA1275">
        <v>0</v>
      </c>
      <c r="AB1275" t="s">
        <v>79</v>
      </c>
      <c r="AC1275" t="s">
        <v>127</v>
      </c>
      <c r="AD1275">
        <v>36</v>
      </c>
      <c r="AE1275">
        <v>9</v>
      </c>
      <c r="AF1275">
        <v>3</v>
      </c>
      <c r="AG1275">
        <v>2025</v>
      </c>
      <c r="AH1275" s="2">
        <v>4500</v>
      </c>
      <c r="AI1275" s="2">
        <v>5911.291015625</v>
      </c>
      <c r="AJ1275" s="2">
        <f t="shared" si="154"/>
        <v>1411.291015625</v>
      </c>
      <c r="AK1275" s="6">
        <f t="shared" si="155"/>
        <v>0.31362022569444442</v>
      </c>
      <c r="AL1275" s="12">
        <v>4500</v>
      </c>
      <c r="AM1275" s="12">
        <v>7304.7128501260131</v>
      </c>
      <c r="AN1275" s="12">
        <f t="shared" si="156"/>
        <v>2804.7128501260131</v>
      </c>
      <c r="AO1275" s="13">
        <f t="shared" si="157"/>
        <v>0.62326952225022514</v>
      </c>
      <c r="AP1275" s="16">
        <v>4500</v>
      </c>
      <c r="AQ1275" s="16">
        <v>6300.8160503772951</v>
      </c>
      <c r="AR1275" s="16">
        <f t="shared" si="158"/>
        <v>1800.8160503772951</v>
      </c>
      <c r="AS1275" s="17">
        <f t="shared" si="152"/>
        <v>0.4001813445282878</v>
      </c>
      <c r="AT1275" s="20">
        <v>4500</v>
      </c>
      <c r="AU1275" s="20">
        <v>6137.0673828125</v>
      </c>
      <c r="AV1275" s="20">
        <f t="shared" si="153"/>
        <v>1637.0673828125</v>
      </c>
      <c r="AW1275" s="21">
        <f t="shared" si="159"/>
        <v>0.36379275173611109</v>
      </c>
    </row>
    <row r="1276" spans="1:49" x14ac:dyDescent="0.25">
      <c r="A1276" t="s">
        <v>128</v>
      </c>
      <c r="B1276" t="s">
        <v>129</v>
      </c>
      <c r="C1276">
        <v>244148</v>
      </c>
      <c r="D1276">
        <v>2012</v>
      </c>
      <c r="E1276" t="s">
        <v>40</v>
      </c>
      <c r="F1276" t="s">
        <v>297</v>
      </c>
      <c r="H1276" t="s">
        <v>298</v>
      </c>
      <c r="I1276">
        <v>4</v>
      </c>
      <c r="J1276" t="s">
        <v>135</v>
      </c>
      <c r="K1276">
        <v>4</v>
      </c>
      <c r="L1276" t="s">
        <v>44</v>
      </c>
      <c r="M1276">
        <v>2.5</v>
      </c>
      <c r="N1276" t="s">
        <v>45</v>
      </c>
      <c r="Q1276" t="s">
        <v>47</v>
      </c>
      <c r="R1276" t="s">
        <v>123</v>
      </c>
      <c r="S1276" t="s">
        <v>49</v>
      </c>
      <c r="T1276">
        <v>178</v>
      </c>
      <c r="U1276" t="s">
        <v>50</v>
      </c>
      <c r="V1276" t="s">
        <v>51</v>
      </c>
      <c r="W1276" t="s">
        <v>236</v>
      </c>
      <c r="X1276" t="s">
        <v>125</v>
      </c>
      <c r="Y1276" t="s">
        <v>78</v>
      </c>
      <c r="AA1276">
        <v>0</v>
      </c>
      <c r="AB1276" t="s">
        <v>79</v>
      </c>
      <c r="AC1276" t="s">
        <v>127</v>
      </c>
      <c r="AD1276">
        <v>36</v>
      </c>
      <c r="AE1276">
        <v>9</v>
      </c>
      <c r="AF1276">
        <v>3</v>
      </c>
      <c r="AG1276">
        <v>2025</v>
      </c>
      <c r="AH1276" s="2">
        <v>1600</v>
      </c>
      <c r="AI1276" s="2">
        <v>1564.64306640625</v>
      </c>
      <c r="AJ1276" s="2">
        <f t="shared" si="154"/>
        <v>35.35693359375</v>
      </c>
      <c r="AK1276" s="6">
        <f t="shared" si="155"/>
        <v>2.209808349609375E-2</v>
      </c>
      <c r="AL1276" s="12">
        <v>1600</v>
      </c>
      <c r="AM1276" s="12">
        <v>1650.8080681151359</v>
      </c>
      <c r="AN1276" s="12">
        <f t="shared" si="156"/>
        <v>50.808068115135939</v>
      </c>
      <c r="AO1276" s="13">
        <f t="shared" si="157"/>
        <v>3.1755042571959963E-2</v>
      </c>
      <c r="AP1276" s="16">
        <v>1600</v>
      </c>
      <c r="AQ1276" s="16">
        <v>1424.104500688094</v>
      </c>
      <c r="AR1276" s="16">
        <f t="shared" si="158"/>
        <v>175.89549931190595</v>
      </c>
      <c r="AS1276" s="17">
        <f t="shared" si="152"/>
        <v>0.10993468706994122</v>
      </c>
      <c r="AT1276" s="20">
        <v>1600</v>
      </c>
      <c r="AU1276" s="20">
        <v>1557.346801757812</v>
      </c>
      <c r="AV1276" s="20">
        <f t="shared" si="153"/>
        <v>42.653198242187955</v>
      </c>
      <c r="AW1276" s="21">
        <f t="shared" si="159"/>
        <v>2.6658248901367473E-2</v>
      </c>
    </row>
    <row r="1277" spans="1:49" x14ac:dyDescent="0.25">
      <c r="A1277" t="s">
        <v>128</v>
      </c>
      <c r="B1277" t="s">
        <v>129</v>
      </c>
      <c r="C1277">
        <v>140321</v>
      </c>
      <c r="D1277">
        <v>2014</v>
      </c>
      <c r="E1277" t="s">
        <v>345</v>
      </c>
      <c r="F1277" t="s">
        <v>502</v>
      </c>
      <c r="G1277" t="s">
        <v>1307</v>
      </c>
      <c r="I1277">
        <v>6</v>
      </c>
      <c r="J1277" t="s">
        <v>72</v>
      </c>
      <c r="K1277">
        <v>4</v>
      </c>
      <c r="L1277" t="s">
        <v>44</v>
      </c>
      <c r="M1277">
        <v>3</v>
      </c>
      <c r="N1277" t="s">
        <v>73</v>
      </c>
      <c r="O1277" t="s">
        <v>46</v>
      </c>
      <c r="P1277">
        <v>2</v>
      </c>
      <c r="Q1277" t="s">
        <v>62</v>
      </c>
      <c r="R1277" t="s">
        <v>63</v>
      </c>
      <c r="T1277">
        <v>300</v>
      </c>
      <c r="U1277" t="s">
        <v>50</v>
      </c>
      <c r="X1277" t="s">
        <v>94</v>
      </c>
      <c r="Y1277" t="s">
        <v>78</v>
      </c>
      <c r="AA1277">
        <v>0</v>
      </c>
      <c r="AB1277" t="s">
        <v>79</v>
      </c>
      <c r="AC1277" t="s">
        <v>87</v>
      </c>
      <c r="AD1277">
        <v>36</v>
      </c>
      <c r="AE1277">
        <v>9</v>
      </c>
      <c r="AF1277">
        <v>3</v>
      </c>
      <c r="AG1277">
        <v>2025</v>
      </c>
      <c r="AH1277" s="2">
        <v>4100</v>
      </c>
      <c r="AI1277" s="2">
        <v>3402.656494140625</v>
      </c>
      <c r="AJ1277" s="2">
        <f t="shared" si="154"/>
        <v>697.343505859375</v>
      </c>
      <c r="AK1277" s="6">
        <f t="shared" si="155"/>
        <v>0.17008378191692072</v>
      </c>
      <c r="AL1277" s="12">
        <v>4100</v>
      </c>
      <c r="AM1277" s="12">
        <v>3519.055867280912</v>
      </c>
      <c r="AN1277" s="12">
        <f t="shared" si="156"/>
        <v>580.94413271908797</v>
      </c>
      <c r="AO1277" s="13">
        <f t="shared" si="157"/>
        <v>0.14169369090709463</v>
      </c>
      <c r="AP1277" s="16">
        <v>4100</v>
      </c>
      <c r="AQ1277" s="16">
        <v>3909.429724135658</v>
      </c>
      <c r="AR1277" s="16">
        <f t="shared" si="158"/>
        <v>190.57027586434197</v>
      </c>
      <c r="AS1277" s="17">
        <f t="shared" si="152"/>
        <v>4.6480555088863895E-2</v>
      </c>
      <c r="AT1277" s="20">
        <v>4100</v>
      </c>
      <c r="AU1277" s="20">
        <v>3432.912841796875</v>
      </c>
      <c r="AV1277" s="20">
        <f t="shared" si="153"/>
        <v>667.087158203125</v>
      </c>
      <c r="AW1277" s="21">
        <f t="shared" si="159"/>
        <v>0.16270418492759145</v>
      </c>
    </row>
    <row r="1278" spans="1:49" x14ac:dyDescent="0.25">
      <c r="A1278" t="s">
        <v>128</v>
      </c>
      <c r="B1278" t="s">
        <v>484</v>
      </c>
      <c r="C1278">
        <v>424551</v>
      </c>
      <c r="D1278">
        <v>2012</v>
      </c>
      <c r="E1278" t="s">
        <v>174</v>
      </c>
      <c r="F1278" t="s">
        <v>809</v>
      </c>
      <c r="H1278" t="s">
        <v>172</v>
      </c>
      <c r="I1278">
        <v>8</v>
      </c>
      <c r="J1278" t="s">
        <v>72</v>
      </c>
      <c r="K1278">
        <v>3</v>
      </c>
      <c r="L1278" t="s">
        <v>44</v>
      </c>
      <c r="M1278">
        <v>4.8</v>
      </c>
      <c r="N1278" t="s">
        <v>73</v>
      </c>
      <c r="O1278" t="s">
        <v>46</v>
      </c>
      <c r="Q1278" t="s">
        <v>74</v>
      </c>
      <c r="R1278" t="s">
        <v>75</v>
      </c>
      <c r="S1278" t="s">
        <v>179</v>
      </c>
      <c r="U1278" t="s">
        <v>50</v>
      </c>
      <c r="W1278" t="s">
        <v>824</v>
      </c>
      <c r="X1278" t="s">
        <v>77</v>
      </c>
      <c r="Y1278" t="s">
        <v>78</v>
      </c>
      <c r="AA1278">
        <v>0</v>
      </c>
      <c r="AB1278" t="s">
        <v>79</v>
      </c>
      <c r="AC1278" t="s">
        <v>80</v>
      </c>
      <c r="AD1278">
        <v>36</v>
      </c>
      <c r="AE1278">
        <v>9</v>
      </c>
      <c r="AF1278">
        <v>3</v>
      </c>
      <c r="AG1278">
        <v>2025</v>
      </c>
      <c r="AH1278" s="2">
        <v>1100</v>
      </c>
      <c r="AI1278" s="2">
        <v>1258.216064453125</v>
      </c>
      <c r="AJ1278" s="2">
        <f t="shared" si="154"/>
        <v>158.216064453125</v>
      </c>
      <c r="AK1278" s="6">
        <f t="shared" si="155"/>
        <v>0.14383278586647727</v>
      </c>
      <c r="AL1278" s="12">
        <v>1100</v>
      </c>
      <c r="AM1278" s="12">
        <v>2056.2542386769892</v>
      </c>
      <c r="AN1278" s="12">
        <f t="shared" si="156"/>
        <v>956.25423867698919</v>
      </c>
      <c r="AO1278" s="13">
        <f t="shared" si="157"/>
        <v>0.86932203516089923</v>
      </c>
      <c r="AP1278" s="16">
        <v>1100</v>
      </c>
      <c r="AQ1278" s="16">
        <v>1472.604657983527</v>
      </c>
      <c r="AR1278" s="16">
        <f t="shared" si="158"/>
        <v>372.60465798352698</v>
      </c>
      <c r="AS1278" s="17">
        <f t="shared" si="152"/>
        <v>0.33873150725775181</v>
      </c>
      <c r="AT1278" s="20">
        <v>1100</v>
      </c>
      <c r="AU1278" s="20">
        <v>1319.2607421875</v>
      </c>
      <c r="AV1278" s="20">
        <f t="shared" si="153"/>
        <v>219.2607421875</v>
      </c>
      <c r="AW1278" s="21">
        <f t="shared" si="159"/>
        <v>0.19932794744318183</v>
      </c>
    </row>
    <row r="1279" spans="1:49" x14ac:dyDescent="0.25">
      <c r="A1279" t="s">
        <v>38</v>
      </c>
      <c r="B1279" t="s">
        <v>110</v>
      </c>
      <c r="C1279">
        <v>30204</v>
      </c>
      <c r="D1279">
        <v>2021</v>
      </c>
      <c r="E1279" t="s">
        <v>97</v>
      </c>
      <c r="F1279" t="s">
        <v>98</v>
      </c>
      <c r="G1279" t="s">
        <v>1308</v>
      </c>
      <c r="I1279">
        <v>4</v>
      </c>
      <c r="J1279" t="s">
        <v>72</v>
      </c>
      <c r="K1279">
        <v>4</v>
      </c>
      <c r="L1279" t="s">
        <v>44</v>
      </c>
      <c r="M1279">
        <v>1.5</v>
      </c>
      <c r="N1279" t="s">
        <v>44</v>
      </c>
      <c r="Q1279" t="s">
        <v>62</v>
      </c>
      <c r="R1279" t="s">
        <v>63</v>
      </c>
      <c r="S1279" t="s">
        <v>85</v>
      </c>
      <c r="U1279" t="s">
        <v>50</v>
      </c>
      <c r="V1279" t="s">
        <v>51</v>
      </c>
      <c r="W1279" t="s">
        <v>255</v>
      </c>
      <c r="X1279" t="s">
        <v>65</v>
      </c>
      <c r="Y1279" t="s">
        <v>126</v>
      </c>
      <c r="AA1279">
        <v>0</v>
      </c>
      <c r="AB1279" t="s">
        <v>79</v>
      </c>
      <c r="AC1279" t="s">
        <v>87</v>
      </c>
      <c r="AD1279">
        <v>36</v>
      </c>
      <c r="AE1279">
        <v>9</v>
      </c>
      <c r="AF1279">
        <v>3</v>
      </c>
      <c r="AG1279">
        <v>2025</v>
      </c>
      <c r="AH1279" s="2">
        <v>19500</v>
      </c>
      <c r="AI1279" s="2">
        <v>20457.625</v>
      </c>
      <c r="AJ1279" s="2">
        <f t="shared" si="154"/>
        <v>957.625</v>
      </c>
      <c r="AK1279" s="6">
        <f t="shared" si="155"/>
        <v>4.9108974358974357E-2</v>
      </c>
      <c r="AL1279" s="12">
        <v>19500</v>
      </c>
      <c r="AM1279" s="12">
        <v>21206.30075575965</v>
      </c>
      <c r="AN1279" s="12">
        <f t="shared" si="156"/>
        <v>1706.3007557596502</v>
      </c>
      <c r="AO1279" s="13">
        <f t="shared" si="157"/>
        <v>8.7502602859469245E-2</v>
      </c>
      <c r="AP1279" s="16">
        <v>19500</v>
      </c>
      <c r="AQ1279" s="16">
        <v>18135.566246899951</v>
      </c>
      <c r="AR1279" s="16">
        <f t="shared" si="158"/>
        <v>1364.4337531000492</v>
      </c>
      <c r="AS1279" s="17">
        <f t="shared" si="152"/>
        <v>6.9970961697438425E-2</v>
      </c>
      <c r="AT1279" s="20">
        <v>19500</v>
      </c>
      <c r="AU1279" s="20">
        <v>20299.88671875</v>
      </c>
      <c r="AV1279" s="20">
        <f t="shared" si="153"/>
        <v>799.88671875</v>
      </c>
      <c r="AW1279" s="21">
        <f t="shared" si="159"/>
        <v>4.101983173076923E-2</v>
      </c>
    </row>
    <row r="1280" spans="1:49" x14ac:dyDescent="0.25">
      <c r="A1280" t="s">
        <v>38</v>
      </c>
      <c r="B1280" t="s">
        <v>96</v>
      </c>
      <c r="C1280">
        <v>172130</v>
      </c>
      <c r="D1280">
        <v>2014</v>
      </c>
      <c r="E1280" t="s">
        <v>213</v>
      </c>
      <c r="F1280" t="s">
        <v>828</v>
      </c>
      <c r="I1280">
        <v>6</v>
      </c>
      <c r="J1280" t="s">
        <v>135</v>
      </c>
      <c r="K1280">
        <v>4</v>
      </c>
      <c r="L1280" t="s">
        <v>44</v>
      </c>
      <c r="M1280">
        <v>3.7</v>
      </c>
      <c r="N1280" t="s">
        <v>73</v>
      </c>
      <c r="O1280" t="s">
        <v>100</v>
      </c>
      <c r="P1280">
        <v>2</v>
      </c>
      <c r="Q1280" t="s">
        <v>62</v>
      </c>
      <c r="R1280" t="s">
        <v>148</v>
      </c>
      <c r="S1280" t="s">
        <v>49</v>
      </c>
      <c r="U1280" t="s">
        <v>50</v>
      </c>
      <c r="X1280" t="s">
        <v>141</v>
      </c>
      <c r="Y1280" t="s">
        <v>54</v>
      </c>
      <c r="AA1280">
        <v>0</v>
      </c>
      <c r="AB1280" t="s">
        <v>79</v>
      </c>
      <c r="AC1280" t="s">
        <v>87</v>
      </c>
      <c r="AD1280">
        <v>36</v>
      </c>
      <c r="AE1280">
        <v>9</v>
      </c>
      <c r="AF1280">
        <v>3</v>
      </c>
      <c r="AG1280">
        <v>2025</v>
      </c>
      <c r="AH1280" s="2">
        <v>1100</v>
      </c>
      <c r="AI1280" s="2">
        <v>1209.93701171875</v>
      </c>
      <c r="AJ1280" s="2">
        <f t="shared" si="154"/>
        <v>109.93701171875</v>
      </c>
      <c r="AK1280" s="6">
        <f t="shared" si="155"/>
        <v>9.9942737926136366E-2</v>
      </c>
      <c r="AL1280" s="12">
        <v>1100</v>
      </c>
      <c r="AM1280" s="12">
        <v>1305.7278599763449</v>
      </c>
      <c r="AN1280" s="12">
        <f t="shared" si="156"/>
        <v>205.72785997634492</v>
      </c>
      <c r="AO1280" s="13">
        <f t="shared" si="157"/>
        <v>0.18702532725122265</v>
      </c>
      <c r="AP1280" s="16">
        <v>1100</v>
      </c>
      <c r="AQ1280" s="16">
        <v>1447.9847243457459</v>
      </c>
      <c r="AR1280" s="16">
        <f t="shared" si="158"/>
        <v>347.98472434574592</v>
      </c>
      <c r="AS1280" s="17">
        <f t="shared" si="152"/>
        <v>0.31634974940522353</v>
      </c>
      <c r="AT1280" s="20">
        <v>1100</v>
      </c>
      <c r="AU1280" s="20">
        <v>1197.496704101562</v>
      </c>
      <c r="AV1280" s="20">
        <f t="shared" si="153"/>
        <v>97.496704101562045</v>
      </c>
      <c r="AW1280" s="21">
        <f t="shared" si="159"/>
        <v>8.8633367365056406E-2</v>
      </c>
    </row>
    <row r="1281" spans="1:49" x14ac:dyDescent="0.25">
      <c r="A1281" t="s">
        <v>38</v>
      </c>
      <c r="B1281" t="s">
        <v>110</v>
      </c>
      <c r="C1281">
        <v>85207</v>
      </c>
      <c r="D1281">
        <v>2019</v>
      </c>
      <c r="E1281" t="s">
        <v>116</v>
      </c>
      <c r="F1281" t="s">
        <v>237</v>
      </c>
      <c r="G1281" t="s">
        <v>238</v>
      </c>
      <c r="I1281">
        <v>6</v>
      </c>
      <c r="J1281" t="s">
        <v>61</v>
      </c>
      <c r="K1281">
        <v>4</v>
      </c>
      <c r="L1281" t="s">
        <v>44</v>
      </c>
      <c r="M1281">
        <v>3.6</v>
      </c>
      <c r="N1281" t="s">
        <v>73</v>
      </c>
      <c r="O1281" t="s">
        <v>46</v>
      </c>
      <c r="P1281">
        <v>3</v>
      </c>
      <c r="Q1281" t="s">
        <v>47</v>
      </c>
      <c r="R1281" t="s">
        <v>123</v>
      </c>
      <c r="S1281" t="s">
        <v>179</v>
      </c>
      <c r="T1281">
        <v>292</v>
      </c>
      <c r="U1281" t="s">
        <v>50</v>
      </c>
      <c r="V1281" t="s">
        <v>76</v>
      </c>
      <c r="X1281" t="s">
        <v>125</v>
      </c>
      <c r="Y1281" t="s">
        <v>103</v>
      </c>
      <c r="AA1281">
        <v>0</v>
      </c>
      <c r="AB1281" t="s">
        <v>79</v>
      </c>
      <c r="AC1281" t="s">
        <v>127</v>
      </c>
      <c r="AD1281">
        <v>36</v>
      </c>
      <c r="AE1281">
        <v>9</v>
      </c>
      <c r="AF1281">
        <v>3</v>
      </c>
      <c r="AG1281">
        <v>2025</v>
      </c>
      <c r="AH1281" s="2">
        <v>14500</v>
      </c>
      <c r="AI1281" s="2">
        <v>10822.88671875</v>
      </c>
      <c r="AJ1281" s="2">
        <f t="shared" si="154"/>
        <v>3677.11328125</v>
      </c>
      <c r="AK1281" s="6">
        <f t="shared" si="155"/>
        <v>0.25359401939655174</v>
      </c>
      <c r="AL1281" s="12">
        <v>14500</v>
      </c>
      <c r="AM1281" s="12">
        <v>13423.510877494509</v>
      </c>
      <c r="AN1281" s="12">
        <f t="shared" si="156"/>
        <v>1076.4891225054907</v>
      </c>
      <c r="AO1281" s="13">
        <f t="shared" si="157"/>
        <v>7.4240629138309699E-2</v>
      </c>
      <c r="AP1281" s="16">
        <v>14500</v>
      </c>
      <c r="AQ1281" s="16">
        <v>10618.42069506901</v>
      </c>
      <c r="AR1281" s="16">
        <f t="shared" si="158"/>
        <v>3881.5793049309905</v>
      </c>
      <c r="AS1281" s="17">
        <f t="shared" si="152"/>
        <v>0.26769512447799937</v>
      </c>
      <c r="AT1281" s="20">
        <v>14500</v>
      </c>
      <c r="AU1281" s="20">
        <v>11409.6708984375</v>
      </c>
      <c r="AV1281" s="20">
        <f t="shared" si="153"/>
        <v>3090.3291015625</v>
      </c>
      <c r="AW1281" s="21">
        <f t="shared" si="159"/>
        <v>0.21312614493534482</v>
      </c>
    </row>
    <row r="1282" spans="1:49" x14ac:dyDescent="0.25">
      <c r="A1282" t="s">
        <v>38</v>
      </c>
      <c r="B1282" t="s">
        <v>110</v>
      </c>
      <c r="C1282">
        <v>105012</v>
      </c>
      <c r="D1282">
        <v>2013</v>
      </c>
      <c r="E1282" t="s">
        <v>119</v>
      </c>
      <c r="F1282" t="s">
        <v>958</v>
      </c>
      <c r="I1282">
        <v>4</v>
      </c>
      <c r="J1282" t="s">
        <v>72</v>
      </c>
      <c r="K1282">
        <v>4</v>
      </c>
      <c r="L1282" t="s">
        <v>44</v>
      </c>
      <c r="M1282">
        <v>2</v>
      </c>
      <c r="N1282" t="s">
        <v>45</v>
      </c>
      <c r="Q1282" t="s">
        <v>62</v>
      </c>
      <c r="R1282" t="s">
        <v>63</v>
      </c>
      <c r="T1282">
        <v>200</v>
      </c>
      <c r="U1282" t="s">
        <v>50</v>
      </c>
      <c r="X1282" t="s">
        <v>65</v>
      </c>
      <c r="Y1282" t="s">
        <v>137</v>
      </c>
      <c r="AA1282">
        <v>0</v>
      </c>
      <c r="AB1282" t="s">
        <v>79</v>
      </c>
      <c r="AC1282" t="s">
        <v>87</v>
      </c>
      <c r="AD1282">
        <v>36</v>
      </c>
      <c r="AE1282">
        <v>9</v>
      </c>
      <c r="AF1282">
        <v>3</v>
      </c>
      <c r="AG1282">
        <v>2025</v>
      </c>
      <c r="AH1282" s="2">
        <v>800</v>
      </c>
      <c r="AI1282" s="2">
        <v>2717.57373046875</v>
      </c>
      <c r="AJ1282" s="2">
        <f t="shared" si="154"/>
        <v>1917.57373046875</v>
      </c>
      <c r="AK1282" s="6">
        <f t="shared" si="155"/>
        <v>2.3969671630859377</v>
      </c>
      <c r="AL1282" s="12">
        <v>800</v>
      </c>
      <c r="AM1282" s="12">
        <v>2762.1244105976998</v>
      </c>
      <c r="AN1282" s="12">
        <f t="shared" si="156"/>
        <v>1962.1244105976998</v>
      </c>
      <c r="AO1282" s="13">
        <f t="shared" si="157"/>
        <v>2.4526555132471248</v>
      </c>
      <c r="AP1282" s="16">
        <v>800</v>
      </c>
      <c r="AQ1282" s="16">
        <v>2499.255254520046</v>
      </c>
      <c r="AR1282" s="16">
        <f t="shared" si="158"/>
        <v>1699.255254520046</v>
      </c>
      <c r="AS1282" s="17">
        <f t="shared" si="152"/>
        <v>2.1240690681500576</v>
      </c>
      <c r="AT1282" s="20">
        <v>800</v>
      </c>
      <c r="AU1282" s="20">
        <v>2749.1748046875</v>
      </c>
      <c r="AV1282" s="20">
        <f t="shared" si="153"/>
        <v>1949.1748046875</v>
      </c>
      <c r="AW1282" s="21">
        <f t="shared" si="159"/>
        <v>2.4364685058593749</v>
      </c>
    </row>
    <row r="1283" spans="1:49" x14ac:dyDescent="0.25">
      <c r="A1283" t="s">
        <v>38</v>
      </c>
      <c r="B1283" t="s">
        <v>39</v>
      </c>
      <c r="C1283">
        <v>74556</v>
      </c>
      <c r="D1283">
        <v>2021</v>
      </c>
      <c r="E1283" t="s">
        <v>97</v>
      </c>
      <c r="F1283" t="s">
        <v>1237</v>
      </c>
      <c r="G1283" t="s">
        <v>155</v>
      </c>
      <c r="I1283">
        <v>3</v>
      </c>
      <c r="J1283" t="s">
        <v>122</v>
      </c>
      <c r="K1283">
        <v>4</v>
      </c>
      <c r="L1283" t="s">
        <v>44</v>
      </c>
      <c r="M1283">
        <v>1.2</v>
      </c>
      <c r="N1283" t="s">
        <v>45</v>
      </c>
      <c r="O1283" t="s">
        <v>46</v>
      </c>
      <c r="Q1283" t="s">
        <v>62</v>
      </c>
      <c r="R1283" t="s">
        <v>63</v>
      </c>
      <c r="S1283" t="s">
        <v>101</v>
      </c>
      <c r="U1283" t="s">
        <v>50</v>
      </c>
      <c r="V1283" t="s">
        <v>51</v>
      </c>
      <c r="W1283" t="s">
        <v>1309</v>
      </c>
      <c r="X1283" t="s">
        <v>65</v>
      </c>
      <c r="Y1283" t="s">
        <v>66</v>
      </c>
      <c r="AA1283">
        <v>0</v>
      </c>
      <c r="AB1283" t="s">
        <v>79</v>
      </c>
      <c r="AC1283" t="s">
        <v>87</v>
      </c>
      <c r="AD1283">
        <v>36</v>
      </c>
      <c r="AE1283">
        <v>9</v>
      </c>
      <c r="AF1283">
        <v>3</v>
      </c>
      <c r="AG1283">
        <v>2025</v>
      </c>
      <c r="AH1283" s="2">
        <v>14000</v>
      </c>
      <c r="AI1283" s="2">
        <v>14670.8515625</v>
      </c>
      <c r="AJ1283" s="2">
        <f t="shared" si="154"/>
        <v>670.8515625</v>
      </c>
      <c r="AK1283" s="6">
        <f t="shared" si="155"/>
        <v>4.7917968749999998E-2</v>
      </c>
      <c r="AL1283" s="12">
        <v>14000</v>
      </c>
      <c r="AM1283" s="12">
        <v>11184.837926552749</v>
      </c>
      <c r="AN1283" s="12">
        <f t="shared" si="156"/>
        <v>2815.1620734472508</v>
      </c>
      <c r="AO1283" s="13">
        <f t="shared" si="157"/>
        <v>0.20108300524623221</v>
      </c>
      <c r="AP1283" s="16">
        <v>14000</v>
      </c>
      <c r="AQ1283" s="16">
        <v>12244.471905487009</v>
      </c>
      <c r="AR1283" s="16">
        <f t="shared" si="158"/>
        <v>1755.5280945129907</v>
      </c>
      <c r="AS1283" s="17">
        <f t="shared" ref="AS1283:AS1346" si="160">ABS($AH1283-AQ1283)/$AH1283</f>
        <v>0.12539486389378504</v>
      </c>
      <c r="AT1283" s="20">
        <v>14000</v>
      </c>
      <c r="AU1283" s="20">
        <v>13831.599609375</v>
      </c>
      <c r="AV1283" s="20">
        <f t="shared" ref="AV1283:AV1346" si="161">ABS(AT1283-AU1283)</f>
        <v>168.400390625</v>
      </c>
      <c r="AW1283" s="21">
        <f t="shared" si="159"/>
        <v>1.2028599330357144E-2</v>
      </c>
    </row>
    <row r="1284" spans="1:49" x14ac:dyDescent="0.25">
      <c r="A1284" t="s">
        <v>38</v>
      </c>
      <c r="B1284" t="s">
        <v>39</v>
      </c>
      <c r="C1284">
        <v>188400</v>
      </c>
      <c r="D1284">
        <v>2012</v>
      </c>
      <c r="E1284" t="s">
        <v>69</v>
      </c>
      <c r="F1284" t="s">
        <v>231</v>
      </c>
      <c r="I1284">
        <v>6</v>
      </c>
      <c r="J1284" t="s">
        <v>122</v>
      </c>
      <c r="K1284">
        <v>4</v>
      </c>
      <c r="L1284" t="s">
        <v>44</v>
      </c>
      <c r="M1284">
        <v>3.5</v>
      </c>
      <c r="N1284" t="s">
        <v>73</v>
      </c>
      <c r="O1284" t="s">
        <v>46</v>
      </c>
      <c r="Q1284" t="s">
        <v>74</v>
      </c>
      <c r="R1284" t="s">
        <v>92</v>
      </c>
      <c r="S1284" t="s">
        <v>49</v>
      </c>
      <c r="T1284">
        <v>365</v>
      </c>
      <c r="U1284" t="s">
        <v>50</v>
      </c>
      <c r="V1284" t="s">
        <v>76</v>
      </c>
      <c r="X1284" t="s">
        <v>108</v>
      </c>
      <c r="Y1284" t="s">
        <v>78</v>
      </c>
      <c r="AA1284">
        <v>0</v>
      </c>
      <c r="AB1284" t="s">
        <v>79</v>
      </c>
      <c r="AC1284" t="s">
        <v>95</v>
      </c>
      <c r="AD1284">
        <v>36</v>
      </c>
      <c r="AE1284">
        <v>9</v>
      </c>
      <c r="AF1284">
        <v>3</v>
      </c>
      <c r="AG1284">
        <v>2025</v>
      </c>
      <c r="AH1284" s="2">
        <v>4600</v>
      </c>
      <c r="AI1284" s="2">
        <v>4965.9345703125</v>
      </c>
      <c r="AJ1284" s="2">
        <f t="shared" ref="AJ1284:AJ1347" si="162">ABS(AH1284-AI1284)</f>
        <v>365.9345703125</v>
      </c>
      <c r="AK1284" s="6">
        <f t="shared" ref="AK1284:AK1347" si="163">ABS($AH1284-AI1284)/$AH1284</f>
        <v>7.9550993546195659E-2</v>
      </c>
      <c r="AL1284" s="12">
        <v>4600</v>
      </c>
      <c r="AM1284" s="12">
        <v>4480.0632892121293</v>
      </c>
      <c r="AN1284" s="12">
        <f t="shared" ref="AN1284:AN1347" si="164">ABS(AL1284-AM1284)</f>
        <v>119.93671078787065</v>
      </c>
      <c r="AO1284" s="13">
        <f t="shared" ref="AO1284:AO1347" si="165">ABS($AH1284-AM1284)/$AH1284</f>
        <v>2.6073197997363184E-2</v>
      </c>
      <c r="AP1284" s="16">
        <v>4600</v>
      </c>
      <c r="AQ1284" s="16">
        <v>5176.8196432659979</v>
      </c>
      <c r="AR1284" s="16">
        <f t="shared" ref="AR1284:AR1347" si="166">ABS(AP1284-AQ1284)</f>
        <v>576.81964326599791</v>
      </c>
      <c r="AS1284" s="17">
        <f t="shared" si="160"/>
        <v>0.12539557462304302</v>
      </c>
      <c r="AT1284" s="20">
        <v>4600</v>
      </c>
      <c r="AU1284" s="20">
        <v>4957.7890625</v>
      </c>
      <c r="AV1284" s="20">
        <f t="shared" si="161"/>
        <v>357.7890625</v>
      </c>
      <c r="AW1284" s="21">
        <f t="shared" ref="AW1284:AW1347" si="167">ABS($AH1284-AU1284)/$AH1284</f>
        <v>7.7780230978260867E-2</v>
      </c>
    </row>
    <row r="1285" spans="1:49" x14ac:dyDescent="0.25">
      <c r="A1285" t="s">
        <v>38</v>
      </c>
      <c r="B1285" t="s">
        <v>39</v>
      </c>
      <c r="C1285">
        <v>218802</v>
      </c>
      <c r="D1285">
        <v>2005</v>
      </c>
      <c r="E1285" t="s">
        <v>40</v>
      </c>
      <c r="F1285" t="s">
        <v>550</v>
      </c>
      <c r="G1285" t="s">
        <v>841</v>
      </c>
      <c r="H1285" t="s">
        <v>1310</v>
      </c>
      <c r="I1285">
        <v>4</v>
      </c>
      <c r="J1285" t="s">
        <v>1311</v>
      </c>
      <c r="K1285">
        <v>4</v>
      </c>
      <c r="L1285" t="s">
        <v>44</v>
      </c>
      <c r="M1285">
        <v>2.4</v>
      </c>
      <c r="N1285" t="s">
        <v>45</v>
      </c>
      <c r="O1285" t="s">
        <v>46</v>
      </c>
      <c r="Q1285" t="s">
        <v>62</v>
      </c>
      <c r="R1285" t="s">
        <v>63</v>
      </c>
      <c r="S1285" t="s">
        <v>49</v>
      </c>
      <c r="T1285">
        <v>149</v>
      </c>
      <c r="U1285" t="s">
        <v>50</v>
      </c>
      <c r="V1285" t="s">
        <v>51</v>
      </c>
      <c r="W1285" t="s">
        <v>369</v>
      </c>
      <c r="X1285" t="s">
        <v>141</v>
      </c>
      <c r="Y1285" t="s">
        <v>54</v>
      </c>
      <c r="AA1285">
        <v>0</v>
      </c>
      <c r="AB1285" t="s">
        <v>79</v>
      </c>
      <c r="AC1285" t="s">
        <v>87</v>
      </c>
      <c r="AD1285">
        <v>36</v>
      </c>
      <c r="AE1285">
        <v>9</v>
      </c>
      <c r="AF1285">
        <v>3</v>
      </c>
      <c r="AG1285">
        <v>2025</v>
      </c>
      <c r="AH1285" s="2">
        <v>1400</v>
      </c>
      <c r="AI1285" s="2">
        <v>1762.162719726562</v>
      </c>
      <c r="AJ1285" s="2">
        <f t="shared" si="162"/>
        <v>362.16271972656205</v>
      </c>
      <c r="AK1285" s="6">
        <f t="shared" si="163"/>
        <v>0.25868765694754431</v>
      </c>
      <c r="AL1285" s="12">
        <v>1400</v>
      </c>
      <c r="AM1285" s="12">
        <v>1377.3165221568911</v>
      </c>
      <c r="AN1285" s="12">
        <f t="shared" si="164"/>
        <v>22.683477843108903</v>
      </c>
      <c r="AO1285" s="13">
        <f t="shared" si="165"/>
        <v>1.6202484173649216E-2</v>
      </c>
      <c r="AP1285" s="16">
        <v>1400</v>
      </c>
      <c r="AQ1285" s="16">
        <v>1210.575918457766</v>
      </c>
      <c r="AR1285" s="16">
        <f t="shared" si="166"/>
        <v>189.42408154223403</v>
      </c>
      <c r="AS1285" s="17">
        <f t="shared" si="160"/>
        <v>0.13530291538731001</v>
      </c>
      <c r="AT1285" s="20">
        <v>1400</v>
      </c>
      <c r="AU1285" s="20">
        <v>1716.911254882812</v>
      </c>
      <c r="AV1285" s="20">
        <f t="shared" si="161"/>
        <v>316.91125488281205</v>
      </c>
      <c r="AW1285" s="21">
        <f t="shared" si="167"/>
        <v>0.22636518205915146</v>
      </c>
    </row>
    <row r="1286" spans="1:49" x14ac:dyDescent="0.25">
      <c r="A1286" t="s">
        <v>114</v>
      </c>
      <c r="B1286" t="s">
        <v>340</v>
      </c>
      <c r="C1286">
        <v>128431</v>
      </c>
      <c r="D1286">
        <v>2012</v>
      </c>
      <c r="E1286" t="s">
        <v>162</v>
      </c>
      <c r="F1286" t="s">
        <v>163</v>
      </c>
      <c r="G1286" t="s">
        <v>1078</v>
      </c>
      <c r="I1286">
        <v>4</v>
      </c>
      <c r="J1286" t="s">
        <v>43</v>
      </c>
      <c r="K1286">
        <v>4</v>
      </c>
      <c r="L1286" t="s">
        <v>44</v>
      </c>
      <c r="M1286">
        <v>2.4</v>
      </c>
      <c r="N1286" t="s">
        <v>45</v>
      </c>
      <c r="O1286" t="s">
        <v>46</v>
      </c>
      <c r="P1286">
        <v>3</v>
      </c>
      <c r="Q1286" t="s">
        <v>47</v>
      </c>
      <c r="R1286" t="s">
        <v>123</v>
      </c>
      <c r="U1286" t="s">
        <v>50</v>
      </c>
      <c r="W1286" t="s">
        <v>193</v>
      </c>
      <c r="X1286" t="s">
        <v>125</v>
      </c>
      <c r="Y1286" t="s">
        <v>78</v>
      </c>
      <c r="AA1286">
        <v>0</v>
      </c>
      <c r="AB1286" t="s">
        <v>79</v>
      </c>
      <c r="AC1286" t="s">
        <v>127</v>
      </c>
      <c r="AD1286">
        <v>36</v>
      </c>
      <c r="AE1286">
        <v>9</v>
      </c>
      <c r="AF1286">
        <v>3</v>
      </c>
      <c r="AG1286">
        <v>2025</v>
      </c>
      <c r="AH1286" s="2">
        <v>1900</v>
      </c>
      <c r="AI1286" s="2">
        <v>1924.229370117188</v>
      </c>
      <c r="AJ1286" s="2">
        <f t="shared" si="162"/>
        <v>24.229370117187955</v>
      </c>
      <c r="AK1286" s="6">
        <f t="shared" si="163"/>
        <v>1.2752300061677871E-2</v>
      </c>
      <c r="AL1286" s="12">
        <v>1900</v>
      </c>
      <c r="AM1286" s="12">
        <v>2121.493739156861</v>
      </c>
      <c r="AN1286" s="12">
        <f t="shared" si="164"/>
        <v>221.49373915686101</v>
      </c>
      <c r="AO1286" s="13">
        <f t="shared" si="165"/>
        <v>0.11657565218782158</v>
      </c>
      <c r="AP1286" s="16">
        <v>1900</v>
      </c>
      <c r="AQ1286" s="16">
        <v>1713.9782897493101</v>
      </c>
      <c r="AR1286" s="16">
        <f t="shared" si="166"/>
        <v>186.02171025068992</v>
      </c>
      <c r="AS1286" s="17">
        <f t="shared" si="160"/>
        <v>9.7906163289836798E-2</v>
      </c>
      <c r="AT1286" s="20">
        <v>1900</v>
      </c>
      <c r="AU1286" s="20">
        <v>1926.718872070312</v>
      </c>
      <c r="AV1286" s="20">
        <f t="shared" si="161"/>
        <v>26.718872070312045</v>
      </c>
      <c r="AW1286" s="21">
        <f t="shared" si="167"/>
        <v>1.4062564247532655E-2</v>
      </c>
    </row>
    <row r="1287" spans="1:49" x14ac:dyDescent="0.25">
      <c r="A1287" t="s">
        <v>128</v>
      </c>
      <c r="B1287" t="s">
        <v>129</v>
      </c>
      <c r="C1287">
        <v>130019</v>
      </c>
      <c r="D1287">
        <v>2014</v>
      </c>
      <c r="E1287" t="s">
        <v>341</v>
      </c>
      <c r="F1287" t="s">
        <v>592</v>
      </c>
      <c r="G1287" t="s">
        <v>1014</v>
      </c>
      <c r="I1287">
        <v>4</v>
      </c>
      <c r="J1287" t="s">
        <v>106</v>
      </c>
      <c r="K1287">
        <v>4</v>
      </c>
      <c r="L1287" t="s">
        <v>44</v>
      </c>
      <c r="M1287">
        <v>1.4</v>
      </c>
      <c r="N1287" t="s">
        <v>45</v>
      </c>
      <c r="Q1287" t="s">
        <v>62</v>
      </c>
      <c r="R1287" t="s">
        <v>63</v>
      </c>
      <c r="S1287" t="s">
        <v>101</v>
      </c>
      <c r="U1287" t="s">
        <v>50</v>
      </c>
      <c r="V1287" t="s">
        <v>51</v>
      </c>
      <c r="W1287" t="s">
        <v>381</v>
      </c>
      <c r="X1287" t="s">
        <v>65</v>
      </c>
      <c r="Y1287" t="s">
        <v>66</v>
      </c>
      <c r="AA1287">
        <v>0</v>
      </c>
      <c r="AB1287" t="s">
        <v>79</v>
      </c>
      <c r="AC1287" t="s">
        <v>87</v>
      </c>
      <c r="AD1287">
        <v>36</v>
      </c>
      <c r="AE1287">
        <v>9</v>
      </c>
      <c r="AF1287">
        <v>3</v>
      </c>
      <c r="AG1287">
        <v>2025</v>
      </c>
      <c r="AH1287" s="2">
        <v>1100</v>
      </c>
      <c r="AI1287" s="2">
        <v>3098.78857421875</v>
      </c>
      <c r="AJ1287" s="2">
        <f t="shared" si="162"/>
        <v>1998.78857421875</v>
      </c>
      <c r="AK1287" s="6">
        <f t="shared" si="163"/>
        <v>1.8170805220170454</v>
      </c>
      <c r="AL1287" s="12">
        <v>1100</v>
      </c>
      <c r="AM1287" s="12">
        <v>2965.0914834385821</v>
      </c>
      <c r="AN1287" s="12">
        <f t="shared" si="164"/>
        <v>1865.0914834385821</v>
      </c>
      <c r="AO1287" s="13">
        <f t="shared" si="165"/>
        <v>1.6955377122168929</v>
      </c>
      <c r="AP1287" s="16">
        <v>1100</v>
      </c>
      <c r="AQ1287" s="16">
        <v>2679.855151268689</v>
      </c>
      <c r="AR1287" s="16">
        <f t="shared" si="166"/>
        <v>1579.855151268689</v>
      </c>
      <c r="AS1287" s="17">
        <f t="shared" si="160"/>
        <v>1.4362319556988081</v>
      </c>
      <c r="AT1287" s="20">
        <v>1100</v>
      </c>
      <c r="AU1287" s="20">
        <v>3114.279296875</v>
      </c>
      <c r="AV1287" s="20">
        <f t="shared" si="161"/>
        <v>2014.279296875</v>
      </c>
      <c r="AW1287" s="21">
        <f t="shared" si="167"/>
        <v>1.8311629971590908</v>
      </c>
    </row>
    <row r="1288" spans="1:49" x14ac:dyDescent="0.25">
      <c r="A1288" t="s">
        <v>128</v>
      </c>
      <c r="B1288" t="s">
        <v>210</v>
      </c>
      <c r="C1288">
        <v>189680</v>
      </c>
      <c r="D1288">
        <v>2014</v>
      </c>
      <c r="E1288" t="s">
        <v>146</v>
      </c>
      <c r="F1288" t="s">
        <v>334</v>
      </c>
      <c r="I1288">
        <v>4</v>
      </c>
      <c r="J1288" t="s">
        <v>72</v>
      </c>
      <c r="K1288">
        <v>4</v>
      </c>
      <c r="L1288" t="s">
        <v>44</v>
      </c>
      <c r="M1288">
        <v>2.5</v>
      </c>
      <c r="N1288" t="s">
        <v>45</v>
      </c>
      <c r="O1288" t="s">
        <v>46</v>
      </c>
      <c r="Q1288" t="s">
        <v>47</v>
      </c>
      <c r="R1288" t="s">
        <v>123</v>
      </c>
      <c r="S1288" t="s">
        <v>49</v>
      </c>
      <c r="U1288" t="s">
        <v>50</v>
      </c>
      <c r="X1288" t="s">
        <v>125</v>
      </c>
      <c r="Y1288" t="s">
        <v>78</v>
      </c>
      <c r="AA1288">
        <v>0</v>
      </c>
      <c r="AB1288" t="s">
        <v>79</v>
      </c>
      <c r="AC1288" t="s">
        <v>127</v>
      </c>
      <c r="AD1288">
        <v>36</v>
      </c>
      <c r="AE1288">
        <v>9</v>
      </c>
      <c r="AF1288">
        <v>3</v>
      </c>
      <c r="AG1288">
        <v>2025</v>
      </c>
      <c r="AH1288" s="2">
        <v>700</v>
      </c>
      <c r="AI1288" s="2">
        <v>1327.24609375</v>
      </c>
      <c r="AJ1288" s="2">
        <f t="shared" si="162"/>
        <v>627.24609375</v>
      </c>
      <c r="AK1288" s="6">
        <f t="shared" si="163"/>
        <v>0.8960658482142857</v>
      </c>
      <c r="AL1288" s="12">
        <v>700</v>
      </c>
      <c r="AM1288" s="12">
        <v>1514.813968764171</v>
      </c>
      <c r="AN1288" s="12">
        <f t="shared" si="164"/>
        <v>814.81396876417102</v>
      </c>
      <c r="AO1288" s="13">
        <f t="shared" si="165"/>
        <v>1.1640199553773871</v>
      </c>
      <c r="AP1288" s="16">
        <v>700</v>
      </c>
      <c r="AQ1288" s="16">
        <v>1308.692999677673</v>
      </c>
      <c r="AR1288" s="16">
        <f t="shared" si="166"/>
        <v>608.69299967767301</v>
      </c>
      <c r="AS1288" s="17">
        <f t="shared" si="160"/>
        <v>0.86956142811096149</v>
      </c>
      <c r="AT1288" s="20">
        <v>700</v>
      </c>
      <c r="AU1288" s="20">
        <v>1299.368530273438</v>
      </c>
      <c r="AV1288" s="20">
        <f t="shared" si="161"/>
        <v>599.36853027343795</v>
      </c>
      <c r="AW1288" s="21">
        <f t="shared" si="167"/>
        <v>0.85624075753348283</v>
      </c>
    </row>
    <row r="1289" spans="1:49" x14ac:dyDescent="0.25">
      <c r="A1289" t="s">
        <v>128</v>
      </c>
      <c r="B1289" t="s">
        <v>129</v>
      </c>
      <c r="C1289">
        <v>188172</v>
      </c>
      <c r="D1289">
        <v>2012</v>
      </c>
      <c r="E1289" t="s">
        <v>166</v>
      </c>
      <c r="F1289" t="s">
        <v>247</v>
      </c>
      <c r="G1289" t="s">
        <v>248</v>
      </c>
      <c r="I1289">
        <v>4</v>
      </c>
      <c r="J1289" t="s">
        <v>43</v>
      </c>
      <c r="K1289">
        <v>4</v>
      </c>
      <c r="L1289" t="s">
        <v>44</v>
      </c>
      <c r="M1289">
        <v>2.4</v>
      </c>
      <c r="N1289" t="s">
        <v>91</v>
      </c>
      <c r="O1289" t="s">
        <v>46</v>
      </c>
      <c r="Q1289" t="s">
        <v>62</v>
      </c>
      <c r="R1289" t="s">
        <v>63</v>
      </c>
      <c r="S1289" t="s">
        <v>93</v>
      </c>
      <c r="T1289">
        <v>185</v>
      </c>
      <c r="U1289" t="s">
        <v>50</v>
      </c>
      <c r="V1289" t="s">
        <v>51</v>
      </c>
      <c r="W1289" t="s">
        <v>812</v>
      </c>
      <c r="X1289" t="s">
        <v>65</v>
      </c>
      <c r="Y1289" t="s">
        <v>78</v>
      </c>
      <c r="AA1289">
        <v>0</v>
      </c>
      <c r="AB1289" t="s">
        <v>79</v>
      </c>
      <c r="AC1289" t="s">
        <v>87</v>
      </c>
      <c r="AD1289">
        <v>36</v>
      </c>
      <c r="AE1289">
        <v>9</v>
      </c>
      <c r="AF1289">
        <v>3</v>
      </c>
      <c r="AG1289">
        <v>2025</v>
      </c>
      <c r="AH1289" s="2">
        <v>4800</v>
      </c>
      <c r="AI1289" s="2">
        <v>3652.4853515625</v>
      </c>
      <c r="AJ1289" s="2">
        <f t="shared" si="162"/>
        <v>1147.5146484375</v>
      </c>
      <c r="AK1289" s="6">
        <f t="shared" si="163"/>
        <v>0.23906555175781249</v>
      </c>
      <c r="AL1289" s="12">
        <v>4800</v>
      </c>
      <c r="AM1289" s="12">
        <v>3228.515378346634</v>
      </c>
      <c r="AN1289" s="12">
        <f t="shared" si="164"/>
        <v>1571.484621653366</v>
      </c>
      <c r="AO1289" s="13">
        <f t="shared" si="165"/>
        <v>0.32739262951111792</v>
      </c>
      <c r="AP1289" s="16">
        <v>4800</v>
      </c>
      <c r="AQ1289" s="16">
        <v>3005.4513369588522</v>
      </c>
      <c r="AR1289" s="16">
        <f t="shared" si="166"/>
        <v>1794.5486630411478</v>
      </c>
      <c r="AS1289" s="17">
        <f t="shared" si="160"/>
        <v>0.37386430480023913</v>
      </c>
      <c r="AT1289" s="20">
        <v>4800</v>
      </c>
      <c r="AU1289" s="20">
        <v>3656.91650390625</v>
      </c>
      <c r="AV1289" s="20">
        <f t="shared" si="161"/>
        <v>1143.08349609375</v>
      </c>
      <c r="AW1289" s="21">
        <f t="shared" si="167"/>
        <v>0.23814239501953124</v>
      </c>
    </row>
    <row r="1290" spans="1:49" x14ac:dyDescent="0.25">
      <c r="A1290" t="s">
        <v>38</v>
      </c>
      <c r="B1290" t="s">
        <v>110</v>
      </c>
      <c r="C1290">
        <v>89937</v>
      </c>
      <c r="D1290">
        <v>2020</v>
      </c>
      <c r="E1290" t="s">
        <v>58</v>
      </c>
      <c r="F1290" t="s">
        <v>111</v>
      </c>
      <c r="G1290" t="s">
        <v>1312</v>
      </c>
      <c r="I1290">
        <v>4</v>
      </c>
      <c r="J1290" t="s">
        <v>135</v>
      </c>
      <c r="K1290">
        <v>4</v>
      </c>
      <c r="L1290" t="s">
        <v>44</v>
      </c>
      <c r="M1290">
        <v>2</v>
      </c>
      <c r="N1290" t="s">
        <v>45</v>
      </c>
      <c r="Q1290" t="s">
        <v>62</v>
      </c>
      <c r="R1290" t="s">
        <v>63</v>
      </c>
      <c r="S1290" t="s">
        <v>49</v>
      </c>
      <c r="T1290">
        <v>147</v>
      </c>
      <c r="U1290" t="s">
        <v>50</v>
      </c>
      <c r="W1290" t="s">
        <v>1212</v>
      </c>
      <c r="X1290" t="s">
        <v>65</v>
      </c>
      <c r="Y1290" t="s">
        <v>66</v>
      </c>
      <c r="AA1290">
        <v>0</v>
      </c>
      <c r="AB1290" t="s">
        <v>79</v>
      </c>
      <c r="AC1290" t="s">
        <v>87</v>
      </c>
      <c r="AD1290">
        <v>36</v>
      </c>
      <c r="AE1290">
        <v>9</v>
      </c>
      <c r="AF1290">
        <v>3</v>
      </c>
      <c r="AG1290">
        <v>2025</v>
      </c>
      <c r="AH1290" s="2">
        <v>4500</v>
      </c>
      <c r="AI1290" s="2">
        <v>7372.4189453125</v>
      </c>
      <c r="AJ1290" s="2">
        <f t="shared" si="162"/>
        <v>2872.4189453125</v>
      </c>
      <c r="AK1290" s="6">
        <f t="shared" si="163"/>
        <v>0.63831532118055556</v>
      </c>
      <c r="AL1290" s="12">
        <v>4500</v>
      </c>
      <c r="AM1290" s="12">
        <v>8353.7320331147657</v>
      </c>
      <c r="AN1290" s="12">
        <f t="shared" si="164"/>
        <v>3853.7320331147657</v>
      </c>
      <c r="AO1290" s="13">
        <f t="shared" si="165"/>
        <v>0.85638489624772574</v>
      </c>
      <c r="AP1290" s="16">
        <v>4500</v>
      </c>
      <c r="AQ1290" s="16">
        <v>6412.8296269809043</v>
      </c>
      <c r="AR1290" s="16">
        <f t="shared" si="166"/>
        <v>1912.8296269809043</v>
      </c>
      <c r="AS1290" s="17">
        <f t="shared" si="160"/>
        <v>0.42507325044020094</v>
      </c>
      <c r="AT1290" s="20">
        <v>4500</v>
      </c>
      <c r="AU1290" s="20">
        <v>7626.77392578125</v>
      </c>
      <c r="AV1290" s="20">
        <f t="shared" si="161"/>
        <v>3126.77392578125</v>
      </c>
      <c r="AW1290" s="21">
        <f t="shared" si="167"/>
        <v>0.69483865017361113</v>
      </c>
    </row>
    <row r="1291" spans="1:49" x14ac:dyDescent="0.25">
      <c r="A1291" t="s">
        <v>38</v>
      </c>
      <c r="B1291" t="s">
        <v>96</v>
      </c>
      <c r="C1291">
        <v>120409</v>
      </c>
      <c r="D1291">
        <v>2010</v>
      </c>
      <c r="E1291" t="s">
        <v>142</v>
      </c>
      <c r="F1291" t="s">
        <v>633</v>
      </c>
      <c r="G1291" t="s">
        <v>717</v>
      </c>
      <c r="H1291" t="s">
        <v>635</v>
      </c>
      <c r="I1291">
        <v>6</v>
      </c>
      <c r="J1291" t="s">
        <v>61</v>
      </c>
      <c r="K1291">
        <v>4</v>
      </c>
      <c r="L1291" t="s">
        <v>44</v>
      </c>
      <c r="M1291">
        <v>3.8</v>
      </c>
      <c r="N1291" t="s">
        <v>91</v>
      </c>
      <c r="O1291" t="s">
        <v>46</v>
      </c>
      <c r="Q1291" t="s">
        <v>62</v>
      </c>
      <c r="R1291" t="s">
        <v>63</v>
      </c>
      <c r="S1291" t="s">
        <v>93</v>
      </c>
      <c r="U1291" t="s">
        <v>50</v>
      </c>
      <c r="X1291" t="s">
        <v>141</v>
      </c>
      <c r="Y1291" t="s">
        <v>78</v>
      </c>
      <c r="AA1291">
        <v>0</v>
      </c>
      <c r="AB1291" t="s">
        <v>79</v>
      </c>
      <c r="AC1291" t="s">
        <v>87</v>
      </c>
      <c r="AD1291">
        <v>36</v>
      </c>
      <c r="AE1291">
        <v>9</v>
      </c>
      <c r="AF1291">
        <v>3</v>
      </c>
      <c r="AG1291">
        <v>2025</v>
      </c>
      <c r="AH1291" s="2">
        <v>9000</v>
      </c>
      <c r="AI1291" s="2">
        <v>6695.48193359375</v>
      </c>
      <c r="AJ1291" s="2">
        <f t="shared" si="162"/>
        <v>2304.51806640625</v>
      </c>
      <c r="AK1291" s="6">
        <f t="shared" si="163"/>
        <v>0.25605756293402776</v>
      </c>
      <c r="AL1291" s="12">
        <v>9000</v>
      </c>
      <c r="AM1291" s="12">
        <v>6894.1150677847581</v>
      </c>
      <c r="AN1291" s="12">
        <f t="shared" si="164"/>
        <v>2105.8849322152419</v>
      </c>
      <c r="AO1291" s="13">
        <f t="shared" si="165"/>
        <v>0.23398721469058242</v>
      </c>
      <c r="AP1291" s="16">
        <v>9000</v>
      </c>
      <c r="AQ1291" s="16">
        <v>8615.9488529791761</v>
      </c>
      <c r="AR1291" s="16">
        <f t="shared" si="166"/>
        <v>384.05114702082392</v>
      </c>
      <c r="AS1291" s="17">
        <f t="shared" si="160"/>
        <v>4.2672349668980439E-2</v>
      </c>
      <c r="AT1291" s="20">
        <v>9000</v>
      </c>
      <c r="AU1291" s="20">
        <v>6741.1455078125</v>
      </c>
      <c r="AV1291" s="20">
        <f t="shared" si="161"/>
        <v>2258.8544921875</v>
      </c>
      <c r="AW1291" s="21">
        <f t="shared" si="167"/>
        <v>0.25098383246527778</v>
      </c>
    </row>
    <row r="1292" spans="1:49" x14ac:dyDescent="0.25">
      <c r="A1292" t="s">
        <v>38</v>
      </c>
      <c r="B1292" t="s">
        <v>68</v>
      </c>
      <c r="C1292">
        <v>76142</v>
      </c>
      <c r="D1292">
        <v>2023</v>
      </c>
      <c r="E1292" t="s">
        <v>399</v>
      </c>
      <c r="F1292" t="s">
        <v>492</v>
      </c>
      <c r="G1292" t="s">
        <v>1313</v>
      </c>
      <c r="I1292">
        <v>4</v>
      </c>
      <c r="J1292" t="s">
        <v>61</v>
      </c>
      <c r="K1292">
        <v>4</v>
      </c>
      <c r="L1292" t="s">
        <v>44</v>
      </c>
      <c r="M1292">
        <v>2.5</v>
      </c>
      <c r="N1292" t="s">
        <v>44</v>
      </c>
      <c r="O1292" t="s">
        <v>46</v>
      </c>
      <c r="P1292">
        <v>3</v>
      </c>
      <c r="Q1292" t="s">
        <v>62</v>
      </c>
      <c r="R1292" t="s">
        <v>63</v>
      </c>
      <c r="S1292" t="s">
        <v>85</v>
      </c>
      <c r="T1292">
        <v>182</v>
      </c>
      <c r="U1292" t="s">
        <v>50</v>
      </c>
      <c r="W1292" t="s">
        <v>493</v>
      </c>
      <c r="X1292" t="s">
        <v>65</v>
      </c>
      <c r="Y1292" t="s">
        <v>54</v>
      </c>
      <c r="AA1292">
        <v>0</v>
      </c>
      <c r="AB1292" t="s">
        <v>79</v>
      </c>
      <c r="AC1292" t="s">
        <v>87</v>
      </c>
      <c r="AD1292">
        <v>36</v>
      </c>
      <c r="AE1292">
        <v>9</v>
      </c>
      <c r="AF1292">
        <v>3</v>
      </c>
      <c r="AG1292">
        <v>2025</v>
      </c>
      <c r="AH1292" s="2">
        <v>16500</v>
      </c>
      <c r="AI1292" s="2">
        <v>15097.5146484375</v>
      </c>
      <c r="AJ1292" s="2">
        <f t="shared" si="162"/>
        <v>1402.4853515625</v>
      </c>
      <c r="AK1292" s="6">
        <f t="shared" si="163"/>
        <v>8.4999112215909098E-2</v>
      </c>
      <c r="AL1292" s="12">
        <v>16500</v>
      </c>
      <c r="AM1292" s="12">
        <v>16678.156608781472</v>
      </c>
      <c r="AN1292" s="12">
        <f t="shared" si="164"/>
        <v>178.15660878147173</v>
      </c>
      <c r="AO1292" s="13">
        <f t="shared" si="165"/>
        <v>1.0797370229180104E-2</v>
      </c>
      <c r="AP1292" s="16">
        <v>16500</v>
      </c>
      <c r="AQ1292" s="16">
        <v>17051.105750561859</v>
      </c>
      <c r="AR1292" s="16">
        <f t="shared" si="166"/>
        <v>551.10575056185917</v>
      </c>
      <c r="AS1292" s="17">
        <f t="shared" si="160"/>
        <v>3.3400348518900558E-2</v>
      </c>
      <c r="AT1292" s="20">
        <v>16500</v>
      </c>
      <c r="AU1292" s="20">
        <v>15437.1953125</v>
      </c>
      <c r="AV1292" s="20">
        <f t="shared" si="161"/>
        <v>1062.8046875</v>
      </c>
      <c r="AW1292" s="21">
        <f t="shared" si="167"/>
        <v>6.4412405303030301E-2</v>
      </c>
    </row>
    <row r="1293" spans="1:49" x14ac:dyDescent="0.25">
      <c r="A1293" t="s">
        <v>38</v>
      </c>
      <c r="B1293" t="s">
        <v>39</v>
      </c>
      <c r="C1293">
        <v>165293</v>
      </c>
      <c r="D1293">
        <v>2014</v>
      </c>
      <c r="E1293" t="s">
        <v>83</v>
      </c>
      <c r="F1293" t="s">
        <v>187</v>
      </c>
      <c r="G1293" t="s">
        <v>1314</v>
      </c>
      <c r="I1293">
        <v>6</v>
      </c>
      <c r="J1293" t="s">
        <v>135</v>
      </c>
      <c r="K1293">
        <v>4</v>
      </c>
      <c r="L1293" t="s">
        <v>44</v>
      </c>
      <c r="M1293">
        <v>3.5</v>
      </c>
      <c r="N1293" t="s">
        <v>45</v>
      </c>
      <c r="O1293" t="s">
        <v>46</v>
      </c>
      <c r="Q1293" t="s">
        <v>62</v>
      </c>
      <c r="R1293" t="s">
        <v>63</v>
      </c>
      <c r="T1293">
        <v>290</v>
      </c>
      <c r="U1293" t="s">
        <v>50</v>
      </c>
      <c r="V1293" t="s">
        <v>76</v>
      </c>
      <c r="W1293" t="s">
        <v>189</v>
      </c>
      <c r="X1293" t="s">
        <v>141</v>
      </c>
      <c r="Y1293" t="s">
        <v>78</v>
      </c>
      <c r="AA1293">
        <v>0</v>
      </c>
      <c r="AB1293" t="s">
        <v>79</v>
      </c>
      <c r="AC1293" t="s">
        <v>87</v>
      </c>
      <c r="AD1293">
        <v>36</v>
      </c>
      <c r="AE1293">
        <v>9</v>
      </c>
      <c r="AF1293">
        <v>3</v>
      </c>
      <c r="AG1293">
        <v>2025</v>
      </c>
      <c r="AH1293" s="2">
        <v>5250</v>
      </c>
      <c r="AI1293" s="2">
        <v>3491.998779296875</v>
      </c>
      <c r="AJ1293" s="2">
        <f t="shared" si="162"/>
        <v>1758.001220703125</v>
      </c>
      <c r="AK1293" s="6">
        <f t="shared" si="163"/>
        <v>0.33485737537202381</v>
      </c>
      <c r="AL1293" s="12">
        <v>5250</v>
      </c>
      <c r="AM1293" s="12">
        <v>3894.3374623688628</v>
      </c>
      <c r="AN1293" s="12">
        <f t="shared" si="164"/>
        <v>1355.6625376311372</v>
      </c>
      <c r="AO1293" s="13">
        <f t="shared" si="165"/>
        <v>0.2582214357392642</v>
      </c>
      <c r="AP1293" s="16">
        <v>5250</v>
      </c>
      <c r="AQ1293" s="16">
        <v>5347.9922842953474</v>
      </c>
      <c r="AR1293" s="16">
        <f t="shared" si="166"/>
        <v>97.992284295347417</v>
      </c>
      <c r="AS1293" s="17">
        <f t="shared" si="160"/>
        <v>1.8665197008637602E-2</v>
      </c>
      <c r="AT1293" s="20">
        <v>5250</v>
      </c>
      <c r="AU1293" s="20">
        <v>3549.696533203125</v>
      </c>
      <c r="AV1293" s="20">
        <f t="shared" si="161"/>
        <v>1700.303466796875</v>
      </c>
      <c r="AW1293" s="21">
        <f t="shared" si="167"/>
        <v>0.32386732700892856</v>
      </c>
    </row>
    <row r="1294" spans="1:49" x14ac:dyDescent="0.25">
      <c r="A1294" t="s">
        <v>128</v>
      </c>
      <c r="B1294" t="s">
        <v>129</v>
      </c>
      <c r="C1294">
        <v>55112</v>
      </c>
      <c r="D1294">
        <v>2003</v>
      </c>
      <c r="E1294" t="s">
        <v>69</v>
      </c>
      <c r="F1294" t="s">
        <v>310</v>
      </c>
      <c r="G1294" t="s">
        <v>238</v>
      </c>
      <c r="I1294">
        <v>8</v>
      </c>
      <c r="J1294" t="s">
        <v>122</v>
      </c>
      <c r="K1294">
        <v>2</v>
      </c>
      <c r="L1294" t="s">
        <v>44</v>
      </c>
      <c r="M1294">
        <v>4.5999999999999996</v>
      </c>
      <c r="N1294" t="s">
        <v>73</v>
      </c>
      <c r="O1294" t="s">
        <v>46</v>
      </c>
      <c r="Q1294" t="s">
        <v>47</v>
      </c>
      <c r="R1294" t="s">
        <v>197</v>
      </c>
      <c r="U1294" t="s">
        <v>50</v>
      </c>
      <c r="V1294" t="s">
        <v>76</v>
      </c>
      <c r="X1294" t="s">
        <v>125</v>
      </c>
      <c r="Y1294" t="s">
        <v>78</v>
      </c>
      <c r="AA1294">
        <v>0</v>
      </c>
      <c r="AB1294" t="s">
        <v>79</v>
      </c>
      <c r="AC1294" t="s">
        <v>197</v>
      </c>
      <c r="AD1294">
        <v>36</v>
      </c>
      <c r="AE1294">
        <v>9</v>
      </c>
      <c r="AF1294">
        <v>3</v>
      </c>
      <c r="AG1294">
        <v>2025</v>
      </c>
      <c r="AH1294" s="2">
        <v>12100</v>
      </c>
      <c r="AI1294" s="2">
        <v>7962.349609375</v>
      </c>
      <c r="AJ1294" s="2">
        <f t="shared" si="162"/>
        <v>4137.650390625</v>
      </c>
      <c r="AK1294" s="6">
        <f t="shared" si="163"/>
        <v>0.34195457773760329</v>
      </c>
      <c r="AL1294" s="12">
        <v>12100</v>
      </c>
      <c r="AM1294" s="12">
        <v>6211.3855503583718</v>
      </c>
      <c r="AN1294" s="12">
        <f t="shared" si="164"/>
        <v>5888.6144496416282</v>
      </c>
      <c r="AO1294" s="13">
        <f t="shared" si="165"/>
        <v>0.48666235121005191</v>
      </c>
      <c r="AP1294" s="16">
        <v>12100</v>
      </c>
      <c r="AQ1294" s="16">
        <v>7624.9045333947424</v>
      </c>
      <c r="AR1294" s="16">
        <f t="shared" si="166"/>
        <v>4475.0954666052576</v>
      </c>
      <c r="AS1294" s="17">
        <f t="shared" si="160"/>
        <v>0.36984260054588908</v>
      </c>
      <c r="AT1294" s="20">
        <v>12100</v>
      </c>
      <c r="AU1294" s="20">
        <v>7697.64111328125</v>
      </c>
      <c r="AV1294" s="20">
        <f t="shared" si="161"/>
        <v>4402.35888671875</v>
      </c>
      <c r="AW1294" s="21">
        <f t="shared" si="167"/>
        <v>0.3638313129519628</v>
      </c>
    </row>
    <row r="1295" spans="1:49" x14ac:dyDescent="0.25">
      <c r="A1295" t="s">
        <v>81</v>
      </c>
      <c r="B1295" t="s">
        <v>82</v>
      </c>
      <c r="C1295">
        <v>207412</v>
      </c>
      <c r="D1295">
        <v>2012</v>
      </c>
      <c r="E1295" t="s">
        <v>132</v>
      </c>
      <c r="F1295" t="s">
        <v>361</v>
      </c>
      <c r="G1295" t="s">
        <v>1021</v>
      </c>
      <c r="H1295" t="s">
        <v>1087</v>
      </c>
      <c r="I1295">
        <v>6</v>
      </c>
      <c r="J1295" t="s">
        <v>72</v>
      </c>
      <c r="K1295">
        <v>4</v>
      </c>
      <c r="L1295" t="s">
        <v>44</v>
      </c>
      <c r="M1295">
        <v>3</v>
      </c>
      <c r="N1295" t="s">
        <v>44</v>
      </c>
      <c r="O1295" t="s">
        <v>46</v>
      </c>
      <c r="Q1295" t="s">
        <v>47</v>
      </c>
      <c r="R1295" t="s">
        <v>123</v>
      </c>
      <c r="S1295" t="s">
        <v>85</v>
      </c>
      <c r="U1295" t="s">
        <v>50</v>
      </c>
      <c r="V1295" t="s">
        <v>76</v>
      </c>
      <c r="X1295" t="s">
        <v>125</v>
      </c>
      <c r="Y1295" t="s">
        <v>137</v>
      </c>
      <c r="AA1295">
        <v>0</v>
      </c>
      <c r="AB1295" t="s">
        <v>79</v>
      </c>
      <c r="AC1295" t="s">
        <v>127</v>
      </c>
      <c r="AD1295">
        <v>36</v>
      </c>
      <c r="AE1295">
        <v>9</v>
      </c>
      <c r="AF1295">
        <v>3</v>
      </c>
      <c r="AG1295">
        <v>2025</v>
      </c>
      <c r="AH1295" s="2">
        <v>1700</v>
      </c>
      <c r="AI1295" s="2">
        <v>1662.702758789062</v>
      </c>
      <c r="AJ1295" s="2">
        <f t="shared" si="162"/>
        <v>37.297241210937955</v>
      </c>
      <c r="AK1295" s="6">
        <f t="shared" si="163"/>
        <v>2.1939553653492913E-2</v>
      </c>
      <c r="AL1295" s="12">
        <v>1700</v>
      </c>
      <c r="AM1295" s="12">
        <v>1394.722820046175</v>
      </c>
      <c r="AN1295" s="12">
        <f t="shared" si="164"/>
        <v>305.277179953825</v>
      </c>
      <c r="AO1295" s="13">
        <f t="shared" si="165"/>
        <v>0.17957481173754411</v>
      </c>
      <c r="AP1295" s="16">
        <v>1700</v>
      </c>
      <c r="AQ1295" s="16">
        <v>1057.2695993323109</v>
      </c>
      <c r="AR1295" s="16">
        <f t="shared" si="166"/>
        <v>642.73040066768908</v>
      </c>
      <c r="AS1295" s="17">
        <f t="shared" si="160"/>
        <v>0.37807670627511125</v>
      </c>
      <c r="AT1295" s="20">
        <v>1700</v>
      </c>
      <c r="AU1295" s="20">
        <v>1622.052734375</v>
      </c>
      <c r="AV1295" s="20">
        <f t="shared" si="161"/>
        <v>77.947265625</v>
      </c>
      <c r="AW1295" s="21">
        <f t="shared" si="167"/>
        <v>4.5851332720588237E-2</v>
      </c>
    </row>
    <row r="1296" spans="1:49" x14ac:dyDescent="0.25">
      <c r="A1296" t="s">
        <v>38</v>
      </c>
      <c r="B1296" t="s">
        <v>96</v>
      </c>
      <c r="C1296">
        <v>20862</v>
      </c>
      <c r="D1296">
        <v>2024</v>
      </c>
      <c r="E1296" t="s">
        <v>40</v>
      </c>
      <c r="F1296" t="s">
        <v>215</v>
      </c>
      <c r="G1296" t="s">
        <v>150</v>
      </c>
      <c r="H1296" t="s">
        <v>1071</v>
      </c>
      <c r="I1296">
        <v>6</v>
      </c>
      <c r="J1296" t="s">
        <v>135</v>
      </c>
      <c r="K1296">
        <v>4</v>
      </c>
      <c r="L1296" t="s">
        <v>44</v>
      </c>
      <c r="M1296">
        <v>3.4</v>
      </c>
      <c r="N1296" t="s">
        <v>91</v>
      </c>
      <c r="O1296" t="s">
        <v>46</v>
      </c>
      <c r="Q1296" t="s">
        <v>74</v>
      </c>
      <c r="R1296" t="s">
        <v>92</v>
      </c>
      <c r="S1296" t="s">
        <v>93</v>
      </c>
      <c r="T1296">
        <v>389</v>
      </c>
      <c r="U1296" t="s">
        <v>50</v>
      </c>
      <c r="V1296" t="s">
        <v>76</v>
      </c>
      <c r="W1296" t="s">
        <v>1072</v>
      </c>
      <c r="X1296" t="s">
        <v>108</v>
      </c>
      <c r="Y1296" t="s">
        <v>78</v>
      </c>
      <c r="AA1296">
        <v>0</v>
      </c>
      <c r="AB1296" t="s">
        <v>79</v>
      </c>
      <c r="AC1296" t="s">
        <v>95</v>
      </c>
      <c r="AD1296">
        <v>36</v>
      </c>
      <c r="AE1296">
        <v>9</v>
      </c>
      <c r="AF1296">
        <v>3</v>
      </c>
      <c r="AG1296">
        <v>2025</v>
      </c>
      <c r="AH1296" s="2">
        <v>40400</v>
      </c>
      <c r="AI1296" s="2">
        <v>49138.60546875</v>
      </c>
      <c r="AJ1296" s="2">
        <f t="shared" si="162"/>
        <v>8738.60546875</v>
      </c>
      <c r="AK1296" s="6">
        <f t="shared" si="163"/>
        <v>0.21630211556311882</v>
      </c>
      <c r="AL1296" s="12">
        <v>40400</v>
      </c>
      <c r="AM1296" s="12">
        <v>46824.327170501732</v>
      </c>
      <c r="AN1296" s="12">
        <f t="shared" si="164"/>
        <v>6424.3271705017323</v>
      </c>
      <c r="AO1296" s="13">
        <f t="shared" si="165"/>
        <v>0.15901799926984486</v>
      </c>
      <c r="AP1296" s="16">
        <v>40400</v>
      </c>
      <c r="AQ1296" s="16">
        <v>49484.543499122519</v>
      </c>
      <c r="AR1296" s="16">
        <f t="shared" si="166"/>
        <v>9084.5434991225193</v>
      </c>
      <c r="AS1296" s="17">
        <f t="shared" si="160"/>
        <v>0.22486493809709207</v>
      </c>
      <c r="AT1296" s="20">
        <v>40400</v>
      </c>
      <c r="AU1296" s="20">
        <v>48552.9609375</v>
      </c>
      <c r="AV1296" s="20">
        <f t="shared" si="161"/>
        <v>8152.9609375</v>
      </c>
      <c r="AW1296" s="21">
        <f t="shared" si="167"/>
        <v>0.20180596379950494</v>
      </c>
    </row>
    <row r="1297" spans="1:49" x14ac:dyDescent="0.25">
      <c r="A1297" t="s">
        <v>38</v>
      </c>
      <c r="B1297" t="s">
        <v>474</v>
      </c>
      <c r="C1297">
        <v>84246</v>
      </c>
      <c r="D1297">
        <v>2017</v>
      </c>
      <c r="E1297" t="s">
        <v>69</v>
      </c>
      <c r="F1297" t="s">
        <v>157</v>
      </c>
      <c r="G1297" t="s">
        <v>1020</v>
      </c>
      <c r="I1297">
        <v>6</v>
      </c>
      <c r="J1297" t="s">
        <v>72</v>
      </c>
      <c r="K1297">
        <v>4</v>
      </c>
      <c r="L1297" t="s">
        <v>44</v>
      </c>
      <c r="M1297">
        <v>3.7</v>
      </c>
      <c r="N1297" t="s">
        <v>44</v>
      </c>
      <c r="O1297" t="s">
        <v>46</v>
      </c>
      <c r="P1297">
        <v>3</v>
      </c>
      <c r="Q1297" t="s">
        <v>62</v>
      </c>
      <c r="R1297" t="s">
        <v>63</v>
      </c>
      <c r="S1297" t="s">
        <v>93</v>
      </c>
      <c r="T1297">
        <v>304</v>
      </c>
      <c r="U1297" t="s">
        <v>50</v>
      </c>
      <c r="V1297" t="s">
        <v>76</v>
      </c>
      <c r="W1297" t="s">
        <v>1315</v>
      </c>
      <c r="X1297" t="s">
        <v>94</v>
      </c>
      <c r="Y1297" t="s">
        <v>78</v>
      </c>
      <c r="AA1297">
        <v>0</v>
      </c>
      <c r="AB1297" t="s">
        <v>79</v>
      </c>
      <c r="AC1297" t="s">
        <v>87</v>
      </c>
      <c r="AD1297">
        <v>36</v>
      </c>
      <c r="AE1297">
        <v>9</v>
      </c>
      <c r="AF1297">
        <v>3</v>
      </c>
      <c r="AG1297">
        <v>2025</v>
      </c>
      <c r="AH1297" s="2">
        <v>7500</v>
      </c>
      <c r="AI1297" s="2">
        <v>4919.67822265625</v>
      </c>
      <c r="AJ1297" s="2">
        <f t="shared" si="162"/>
        <v>2580.32177734375</v>
      </c>
      <c r="AK1297" s="6">
        <f t="shared" si="163"/>
        <v>0.34404290364583334</v>
      </c>
      <c r="AL1297" s="12">
        <v>7500</v>
      </c>
      <c r="AM1297" s="12">
        <v>7509.7214327793708</v>
      </c>
      <c r="AN1297" s="12">
        <f t="shared" si="164"/>
        <v>9.7214327793708435</v>
      </c>
      <c r="AO1297" s="13">
        <f t="shared" si="165"/>
        <v>1.2961910372494459E-3</v>
      </c>
      <c r="AP1297" s="16">
        <v>7500</v>
      </c>
      <c r="AQ1297" s="16">
        <v>6197.5392611019925</v>
      </c>
      <c r="AR1297" s="16">
        <f t="shared" si="166"/>
        <v>1302.4607388980075</v>
      </c>
      <c r="AS1297" s="17">
        <f t="shared" si="160"/>
        <v>0.17366143185306768</v>
      </c>
      <c r="AT1297" s="20">
        <v>7500</v>
      </c>
      <c r="AU1297" s="20">
        <v>5155.216796875</v>
      </c>
      <c r="AV1297" s="20">
        <f t="shared" si="161"/>
        <v>2344.783203125</v>
      </c>
      <c r="AW1297" s="21">
        <f t="shared" si="167"/>
        <v>0.31263776041666669</v>
      </c>
    </row>
    <row r="1298" spans="1:49" x14ac:dyDescent="0.25">
      <c r="A1298" t="s">
        <v>128</v>
      </c>
      <c r="B1298" t="s">
        <v>210</v>
      </c>
      <c r="C1298">
        <v>106825</v>
      </c>
      <c r="D1298">
        <v>2013</v>
      </c>
      <c r="E1298" t="s">
        <v>166</v>
      </c>
      <c r="F1298" t="s">
        <v>562</v>
      </c>
      <c r="G1298" t="s">
        <v>240</v>
      </c>
      <c r="I1298">
        <v>4</v>
      </c>
      <c r="J1298" t="s">
        <v>106</v>
      </c>
      <c r="K1298">
        <v>4</v>
      </c>
      <c r="L1298" t="s">
        <v>44</v>
      </c>
      <c r="M1298">
        <v>2.4</v>
      </c>
      <c r="N1298" t="s">
        <v>45</v>
      </c>
      <c r="O1298" t="s">
        <v>46</v>
      </c>
      <c r="Q1298" t="s">
        <v>47</v>
      </c>
      <c r="R1298" t="s">
        <v>123</v>
      </c>
      <c r="T1298">
        <v>185</v>
      </c>
      <c r="U1298" t="s">
        <v>50</v>
      </c>
      <c r="V1298" t="s">
        <v>51</v>
      </c>
      <c r="W1298" t="s">
        <v>614</v>
      </c>
      <c r="X1298" t="s">
        <v>65</v>
      </c>
      <c r="Y1298" t="s">
        <v>78</v>
      </c>
      <c r="AA1298">
        <v>0</v>
      </c>
      <c r="AB1298" t="s">
        <v>79</v>
      </c>
      <c r="AC1298" t="s">
        <v>127</v>
      </c>
      <c r="AD1298">
        <v>36</v>
      </c>
      <c r="AE1298">
        <v>9</v>
      </c>
      <c r="AF1298">
        <v>3</v>
      </c>
      <c r="AG1298">
        <v>2025</v>
      </c>
      <c r="AH1298" s="2">
        <v>6200</v>
      </c>
      <c r="AI1298" s="2">
        <v>7061.912109375</v>
      </c>
      <c r="AJ1298" s="2">
        <f t="shared" si="162"/>
        <v>861.912109375</v>
      </c>
      <c r="AK1298" s="6">
        <f t="shared" si="163"/>
        <v>0.13901808215725805</v>
      </c>
      <c r="AL1298" s="12">
        <v>6200</v>
      </c>
      <c r="AM1298" s="12">
        <v>6715.2689758019442</v>
      </c>
      <c r="AN1298" s="12">
        <f t="shared" si="164"/>
        <v>515.26897580194418</v>
      </c>
      <c r="AO1298" s="13">
        <f t="shared" si="165"/>
        <v>8.3107899322894224E-2</v>
      </c>
      <c r="AP1298" s="16">
        <v>6200</v>
      </c>
      <c r="AQ1298" s="16">
        <v>5813.1878676478909</v>
      </c>
      <c r="AR1298" s="16">
        <f t="shared" si="166"/>
        <v>386.81213235210907</v>
      </c>
      <c r="AS1298" s="17">
        <f t="shared" si="160"/>
        <v>6.2389053605178886E-2</v>
      </c>
      <c r="AT1298" s="20">
        <v>6200</v>
      </c>
      <c r="AU1298" s="20">
        <v>7065.435546875</v>
      </c>
      <c r="AV1298" s="20">
        <f t="shared" si="161"/>
        <v>865.435546875</v>
      </c>
      <c r="AW1298" s="21">
        <f t="shared" si="167"/>
        <v>0.13958637852822581</v>
      </c>
    </row>
    <row r="1299" spans="1:49" x14ac:dyDescent="0.25">
      <c r="A1299" t="s">
        <v>38</v>
      </c>
      <c r="B1299" t="s">
        <v>68</v>
      </c>
      <c r="C1299">
        <v>91344</v>
      </c>
      <c r="D1299">
        <v>2017</v>
      </c>
      <c r="E1299" t="s">
        <v>69</v>
      </c>
      <c r="F1299" t="s">
        <v>394</v>
      </c>
      <c r="H1299" t="s">
        <v>224</v>
      </c>
      <c r="I1299">
        <v>4</v>
      </c>
      <c r="J1299" t="s">
        <v>135</v>
      </c>
      <c r="K1299">
        <v>4</v>
      </c>
      <c r="L1299" t="s">
        <v>44</v>
      </c>
      <c r="M1299">
        <v>2.5</v>
      </c>
      <c r="N1299" t="s">
        <v>45</v>
      </c>
      <c r="O1299" t="s">
        <v>46</v>
      </c>
      <c r="P1299">
        <v>4</v>
      </c>
      <c r="Q1299" t="s">
        <v>47</v>
      </c>
      <c r="R1299" t="s">
        <v>123</v>
      </c>
      <c r="S1299" t="s">
        <v>101</v>
      </c>
      <c r="T1299">
        <v>175</v>
      </c>
      <c r="U1299" t="s">
        <v>50</v>
      </c>
      <c r="V1299" t="s">
        <v>51</v>
      </c>
      <c r="X1299" t="s">
        <v>125</v>
      </c>
      <c r="Y1299" t="s">
        <v>126</v>
      </c>
      <c r="Z1299">
        <v>23740</v>
      </c>
      <c r="AA1299">
        <v>0</v>
      </c>
      <c r="AB1299" t="s">
        <v>79</v>
      </c>
      <c r="AC1299" t="s">
        <v>127</v>
      </c>
      <c r="AD1299">
        <v>36</v>
      </c>
      <c r="AE1299">
        <v>9</v>
      </c>
      <c r="AF1299">
        <v>3</v>
      </c>
      <c r="AG1299">
        <v>2025</v>
      </c>
      <c r="AH1299" s="2">
        <v>7600</v>
      </c>
      <c r="AI1299" s="2">
        <v>7702.12841796875</v>
      </c>
      <c r="AJ1299" s="2">
        <f t="shared" si="162"/>
        <v>102.12841796875</v>
      </c>
      <c r="AK1299" s="6">
        <f t="shared" si="163"/>
        <v>1.3437949732730263E-2</v>
      </c>
      <c r="AL1299" s="12">
        <v>7600</v>
      </c>
      <c r="AM1299" s="12">
        <v>7659.2274912427611</v>
      </c>
      <c r="AN1299" s="12">
        <f t="shared" si="164"/>
        <v>59.227491242761062</v>
      </c>
      <c r="AO1299" s="13">
        <f t="shared" si="165"/>
        <v>7.7930909529948765E-3</v>
      </c>
      <c r="AP1299" s="16">
        <v>7600</v>
      </c>
      <c r="AQ1299" s="16">
        <v>6735.8003841544742</v>
      </c>
      <c r="AR1299" s="16">
        <f t="shared" si="166"/>
        <v>864.19961584552584</v>
      </c>
      <c r="AS1299" s="17">
        <f t="shared" si="160"/>
        <v>0.11371047576914814</v>
      </c>
      <c r="AT1299" s="20">
        <v>7600</v>
      </c>
      <c r="AU1299" s="20">
        <v>7781.17333984375</v>
      </c>
      <c r="AV1299" s="20">
        <f t="shared" si="161"/>
        <v>181.17333984375</v>
      </c>
      <c r="AW1299" s="21">
        <f t="shared" si="167"/>
        <v>2.3838597347861843E-2</v>
      </c>
    </row>
    <row r="1300" spans="1:49" x14ac:dyDescent="0.25">
      <c r="A1300" t="s">
        <v>38</v>
      </c>
      <c r="B1300" t="s">
        <v>39</v>
      </c>
      <c r="C1300">
        <v>142830</v>
      </c>
      <c r="D1300">
        <v>2019</v>
      </c>
      <c r="E1300" t="s">
        <v>69</v>
      </c>
      <c r="F1300" t="s">
        <v>231</v>
      </c>
      <c r="I1300">
        <v>6</v>
      </c>
      <c r="J1300" t="s">
        <v>72</v>
      </c>
      <c r="K1300">
        <v>4</v>
      </c>
      <c r="L1300" t="s">
        <v>44</v>
      </c>
      <c r="M1300">
        <v>3.5</v>
      </c>
      <c r="N1300" t="s">
        <v>91</v>
      </c>
      <c r="O1300" t="s">
        <v>46</v>
      </c>
      <c r="Q1300" t="s">
        <v>74</v>
      </c>
      <c r="R1300" t="s">
        <v>92</v>
      </c>
      <c r="S1300" t="s">
        <v>93</v>
      </c>
      <c r="T1300">
        <v>375</v>
      </c>
      <c r="U1300" t="s">
        <v>50</v>
      </c>
      <c r="V1300" t="s">
        <v>76</v>
      </c>
      <c r="W1300" t="s">
        <v>308</v>
      </c>
      <c r="X1300" t="s">
        <v>94</v>
      </c>
      <c r="Y1300" t="s">
        <v>78</v>
      </c>
      <c r="AA1300">
        <v>0</v>
      </c>
      <c r="AB1300" t="s">
        <v>79</v>
      </c>
      <c r="AC1300" t="s">
        <v>95</v>
      </c>
      <c r="AD1300">
        <v>36</v>
      </c>
      <c r="AE1300">
        <v>9</v>
      </c>
      <c r="AF1300">
        <v>3</v>
      </c>
      <c r="AG1300">
        <v>2025</v>
      </c>
      <c r="AH1300" s="2">
        <v>17100</v>
      </c>
      <c r="AI1300" s="2">
        <v>15848.9150390625</v>
      </c>
      <c r="AJ1300" s="2">
        <f t="shared" si="162"/>
        <v>1251.0849609375</v>
      </c>
      <c r="AK1300" s="6">
        <f t="shared" si="163"/>
        <v>7.3162863212719295E-2</v>
      </c>
      <c r="AL1300" s="12">
        <v>17100</v>
      </c>
      <c r="AM1300" s="12">
        <v>15323.650069100189</v>
      </c>
      <c r="AN1300" s="12">
        <f t="shared" si="164"/>
        <v>1776.3499308998107</v>
      </c>
      <c r="AO1300" s="13">
        <f t="shared" si="165"/>
        <v>0.10388011291811759</v>
      </c>
      <c r="AP1300" s="16">
        <v>17100</v>
      </c>
      <c r="AQ1300" s="16">
        <v>15222.404126953939</v>
      </c>
      <c r="AR1300" s="16">
        <f t="shared" si="166"/>
        <v>1877.5958730460607</v>
      </c>
      <c r="AS1300" s="17">
        <f t="shared" si="160"/>
        <v>0.10980092824830764</v>
      </c>
      <c r="AT1300" s="20">
        <v>17100</v>
      </c>
      <c r="AU1300" s="20">
        <v>15533.84375</v>
      </c>
      <c r="AV1300" s="20">
        <f t="shared" si="161"/>
        <v>1566.15625</v>
      </c>
      <c r="AW1300" s="21">
        <f t="shared" si="167"/>
        <v>9.1588084795321642E-2</v>
      </c>
    </row>
    <row r="1301" spans="1:49" x14ac:dyDescent="0.25">
      <c r="A1301" t="s">
        <v>128</v>
      </c>
      <c r="B1301" t="s">
        <v>129</v>
      </c>
      <c r="C1301">
        <v>146290</v>
      </c>
      <c r="D1301">
        <v>2016</v>
      </c>
      <c r="E1301" t="s">
        <v>557</v>
      </c>
      <c r="F1301" t="s">
        <v>870</v>
      </c>
      <c r="G1301" t="s">
        <v>168</v>
      </c>
      <c r="H1301" t="s">
        <v>871</v>
      </c>
      <c r="I1301">
        <v>6</v>
      </c>
      <c r="J1301" t="s">
        <v>61</v>
      </c>
      <c r="K1301">
        <v>4</v>
      </c>
      <c r="L1301" t="s">
        <v>44</v>
      </c>
      <c r="M1301">
        <v>3.6</v>
      </c>
      <c r="N1301" t="s">
        <v>45</v>
      </c>
      <c r="O1301" t="s">
        <v>46</v>
      </c>
      <c r="Q1301" t="s">
        <v>62</v>
      </c>
      <c r="R1301" t="s">
        <v>225</v>
      </c>
      <c r="S1301" t="s">
        <v>101</v>
      </c>
      <c r="U1301" t="s">
        <v>50</v>
      </c>
      <c r="X1301" t="s">
        <v>94</v>
      </c>
      <c r="Y1301" t="s">
        <v>103</v>
      </c>
      <c r="AA1301">
        <v>0</v>
      </c>
      <c r="AB1301" t="s">
        <v>79</v>
      </c>
      <c r="AC1301" t="s">
        <v>225</v>
      </c>
      <c r="AD1301">
        <v>36</v>
      </c>
      <c r="AE1301">
        <v>9</v>
      </c>
      <c r="AF1301">
        <v>3</v>
      </c>
      <c r="AG1301">
        <v>2025</v>
      </c>
      <c r="AH1301" s="2">
        <v>1300</v>
      </c>
      <c r="AI1301" s="2">
        <v>2965.091552734375</v>
      </c>
      <c r="AJ1301" s="2">
        <f t="shared" si="162"/>
        <v>1665.091552734375</v>
      </c>
      <c r="AK1301" s="6">
        <f t="shared" si="163"/>
        <v>1.2808396559495192</v>
      </c>
      <c r="AL1301" s="12">
        <v>1300</v>
      </c>
      <c r="AM1301" s="12">
        <v>3724.82442958617</v>
      </c>
      <c r="AN1301" s="12">
        <f t="shared" si="164"/>
        <v>2424.82442958617</v>
      </c>
      <c r="AO1301" s="13">
        <f t="shared" si="165"/>
        <v>1.8652495612201307</v>
      </c>
      <c r="AP1301" s="16">
        <v>1300</v>
      </c>
      <c r="AQ1301" s="16">
        <v>2652.9377905758911</v>
      </c>
      <c r="AR1301" s="16">
        <f t="shared" si="166"/>
        <v>1352.9377905758911</v>
      </c>
      <c r="AS1301" s="17">
        <f t="shared" si="160"/>
        <v>1.04072137736607</v>
      </c>
      <c r="AT1301" s="20">
        <v>1300</v>
      </c>
      <c r="AU1301" s="20">
        <v>3031.86328125</v>
      </c>
      <c r="AV1301" s="20">
        <f t="shared" si="161"/>
        <v>1731.86328125</v>
      </c>
      <c r="AW1301" s="21">
        <f t="shared" si="167"/>
        <v>1.3322025240384616</v>
      </c>
    </row>
    <row r="1302" spans="1:49" x14ac:dyDescent="0.25">
      <c r="A1302" t="s">
        <v>38</v>
      </c>
      <c r="B1302" t="s">
        <v>96</v>
      </c>
      <c r="C1302">
        <v>42464</v>
      </c>
      <c r="D1302">
        <v>2021</v>
      </c>
      <c r="E1302" t="s">
        <v>146</v>
      </c>
      <c r="F1302" t="s">
        <v>279</v>
      </c>
      <c r="G1302" t="s">
        <v>303</v>
      </c>
      <c r="I1302">
        <v>4</v>
      </c>
      <c r="J1302" t="s">
        <v>135</v>
      </c>
      <c r="K1302">
        <v>4</v>
      </c>
      <c r="L1302" t="s">
        <v>44</v>
      </c>
      <c r="M1302">
        <v>2</v>
      </c>
      <c r="N1302" t="s">
        <v>45</v>
      </c>
      <c r="O1302" t="s">
        <v>46</v>
      </c>
      <c r="P1302">
        <v>4</v>
      </c>
      <c r="Q1302" t="s">
        <v>47</v>
      </c>
      <c r="R1302" t="s">
        <v>123</v>
      </c>
      <c r="S1302" t="s">
        <v>49</v>
      </c>
      <c r="U1302" t="s">
        <v>50</v>
      </c>
      <c r="X1302" t="s">
        <v>125</v>
      </c>
      <c r="Y1302" t="s">
        <v>126</v>
      </c>
      <c r="AA1302">
        <v>0</v>
      </c>
      <c r="AB1302" t="s">
        <v>79</v>
      </c>
      <c r="AC1302" t="s">
        <v>127</v>
      </c>
      <c r="AD1302">
        <v>36</v>
      </c>
      <c r="AE1302">
        <v>9</v>
      </c>
      <c r="AF1302">
        <v>3</v>
      </c>
      <c r="AG1302">
        <v>2025</v>
      </c>
      <c r="AH1302" s="2">
        <v>14750</v>
      </c>
      <c r="AI1302" s="2">
        <v>14054.134765625</v>
      </c>
      <c r="AJ1302" s="2">
        <f t="shared" si="162"/>
        <v>695.865234375</v>
      </c>
      <c r="AK1302" s="6">
        <f t="shared" si="163"/>
        <v>4.7177304025423729E-2</v>
      </c>
      <c r="AL1302" s="12">
        <v>14750</v>
      </c>
      <c r="AM1302" s="12">
        <v>14301.72634383299</v>
      </c>
      <c r="AN1302" s="12">
        <f t="shared" si="164"/>
        <v>448.2736561670099</v>
      </c>
      <c r="AO1302" s="13">
        <f t="shared" si="165"/>
        <v>3.0391434316407451E-2</v>
      </c>
      <c r="AP1302" s="16">
        <v>14750</v>
      </c>
      <c r="AQ1302" s="16">
        <v>12626.47301184115</v>
      </c>
      <c r="AR1302" s="16">
        <f t="shared" si="166"/>
        <v>2123.5269881588501</v>
      </c>
      <c r="AS1302" s="17">
        <f t="shared" si="160"/>
        <v>0.14396793140060002</v>
      </c>
      <c r="AT1302" s="20">
        <v>14750</v>
      </c>
      <c r="AU1302" s="20">
        <v>14098.962890625</v>
      </c>
      <c r="AV1302" s="20">
        <f t="shared" si="161"/>
        <v>651.037109375</v>
      </c>
      <c r="AW1302" s="21">
        <f t="shared" si="167"/>
        <v>4.4138109110169493E-2</v>
      </c>
    </row>
    <row r="1303" spans="1:49" x14ac:dyDescent="0.25">
      <c r="A1303" t="s">
        <v>81</v>
      </c>
      <c r="B1303" t="s">
        <v>82</v>
      </c>
      <c r="C1303">
        <v>171352</v>
      </c>
      <c r="D1303">
        <v>2011</v>
      </c>
      <c r="E1303" t="s">
        <v>58</v>
      </c>
      <c r="F1303" t="s">
        <v>391</v>
      </c>
      <c r="G1303" t="s">
        <v>292</v>
      </c>
      <c r="I1303">
        <v>4</v>
      </c>
      <c r="J1303" t="s">
        <v>178</v>
      </c>
      <c r="K1303">
        <v>4</v>
      </c>
      <c r="L1303" t="s">
        <v>44</v>
      </c>
      <c r="M1303">
        <v>2</v>
      </c>
      <c r="N1303" t="s">
        <v>45</v>
      </c>
      <c r="O1303" t="s">
        <v>46</v>
      </c>
      <c r="Q1303" t="s">
        <v>47</v>
      </c>
      <c r="R1303" t="s">
        <v>123</v>
      </c>
      <c r="U1303" t="s">
        <v>50</v>
      </c>
      <c r="W1303" t="s">
        <v>222</v>
      </c>
      <c r="X1303" t="s">
        <v>125</v>
      </c>
      <c r="Y1303" t="s">
        <v>66</v>
      </c>
      <c r="AA1303">
        <v>0</v>
      </c>
      <c r="AB1303" t="s">
        <v>79</v>
      </c>
      <c r="AC1303" t="s">
        <v>127</v>
      </c>
      <c r="AD1303">
        <v>36</v>
      </c>
      <c r="AE1303">
        <v>9</v>
      </c>
      <c r="AF1303">
        <v>3</v>
      </c>
      <c r="AG1303">
        <v>2025</v>
      </c>
      <c r="AH1303" s="2">
        <v>1400</v>
      </c>
      <c r="AI1303" s="2">
        <v>1058.912841796875</v>
      </c>
      <c r="AJ1303" s="2">
        <f t="shared" si="162"/>
        <v>341.087158203125</v>
      </c>
      <c r="AK1303" s="6">
        <f t="shared" si="163"/>
        <v>0.24363368443080358</v>
      </c>
      <c r="AL1303" s="12">
        <v>1400</v>
      </c>
      <c r="AM1303" s="12">
        <v>1008.801302440868</v>
      </c>
      <c r="AN1303" s="12">
        <f t="shared" si="164"/>
        <v>391.19869755913203</v>
      </c>
      <c r="AO1303" s="13">
        <f t="shared" si="165"/>
        <v>0.27942764111366575</v>
      </c>
      <c r="AP1303" s="16">
        <v>1400</v>
      </c>
      <c r="AQ1303" s="16">
        <v>905.728133505453</v>
      </c>
      <c r="AR1303" s="16">
        <f t="shared" si="166"/>
        <v>494.271866494547</v>
      </c>
      <c r="AS1303" s="17">
        <f t="shared" si="160"/>
        <v>0.35305133321039073</v>
      </c>
      <c r="AT1303" s="20">
        <v>1400</v>
      </c>
      <c r="AU1303" s="20">
        <v>1008.277282714844</v>
      </c>
      <c r="AV1303" s="20">
        <f t="shared" si="161"/>
        <v>391.72271728515602</v>
      </c>
      <c r="AW1303" s="21">
        <f t="shared" si="167"/>
        <v>0.27980194091796856</v>
      </c>
    </row>
    <row r="1304" spans="1:49" x14ac:dyDescent="0.25">
      <c r="A1304" t="s">
        <v>38</v>
      </c>
      <c r="B1304" t="s">
        <v>96</v>
      </c>
      <c r="C1304">
        <v>30640</v>
      </c>
      <c r="D1304">
        <v>2024</v>
      </c>
      <c r="E1304" t="s">
        <v>142</v>
      </c>
      <c r="F1304" t="s">
        <v>1025</v>
      </c>
      <c r="H1304" t="s">
        <v>398</v>
      </c>
      <c r="I1304">
        <v>6</v>
      </c>
      <c r="J1304" t="s">
        <v>135</v>
      </c>
      <c r="K1304">
        <v>4</v>
      </c>
      <c r="L1304" t="s">
        <v>44</v>
      </c>
      <c r="M1304">
        <v>3.6</v>
      </c>
      <c r="N1304" t="s">
        <v>91</v>
      </c>
      <c r="O1304" t="s">
        <v>46</v>
      </c>
      <c r="P1304">
        <v>4</v>
      </c>
      <c r="Q1304" t="s">
        <v>62</v>
      </c>
      <c r="R1304" t="s">
        <v>63</v>
      </c>
      <c r="S1304" t="s">
        <v>93</v>
      </c>
      <c r="T1304">
        <v>293</v>
      </c>
      <c r="U1304" t="s">
        <v>50</v>
      </c>
      <c r="V1304" t="s">
        <v>76</v>
      </c>
      <c r="X1304" t="s">
        <v>94</v>
      </c>
      <c r="Y1304" t="s">
        <v>78</v>
      </c>
      <c r="AA1304">
        <v>0</v>
      </c>
      <c r="AB1304" t="s">
        <v>79</v>
      </c>
      <c r="AC1304" t="s">
        <v>109</v>
      </c>
      <c r="AD1304">
        <v>36</v>
      </c>
      <c r="AE1304">
        <v>9</v>
      </c>
      <c r="AF1304">
        <v>3</v>
      </c>
      <c r="AG1304">
        <v>2025</v>
      </c>
      <c r="AH1304" s="2">
        <v>29250</v>
      </c>
      <c r="AI1304" s="2">
        <v>30536.32421875</v>
      </c>
      <c r="AJ1304" s="2">
        <f t="shared" si="162"/>
        <v>1286.32421875</v>
      </c>
      <c r="AK1304" s="6">
        <f t="shared" si="163"/>
        <v>4.3976896367521369E-2</v>
      </c>
      <c r="AL1304" s="12">
        <v>29250</v>
      </c>
      <c r="AM1304" s="12">
        <v>36326.425574846457</v>
      </c>
      <c r="AN1304" s="12">
        <f t="shared" si="164"/>
        <v>7076.4255748464566</v>
      </c>
      <c r="AO1304" s="13">
        <f t="shared" si="165"/>
        <v>0.24192907948193013</v>
      </c>
      <c r="AP1304" s="16">
        <v>29250</v>
      </c>
      <c r="AQ1304" s="16">
        <v>33574.285917985348</v>
      </c>
      <c r="AR1304" s="16">
        <f t="shared" si="166"/>
        <v>4324.2859179853476</v>
      </c>
      <c r="AS1304" s="17">
        <f t="shared" si="160"/>
        <v>0.14783883480291787</v>
      </c>
      <c r="AT1304" s="20">
        <v>29250</v>
      </c>
      <c r="AU1304" s="20">
        <v>30945.978515625</v>
      </c>
      <c r="AV1304" s="20">
        <f t="shared" si="161"/>
        <v>1695.978515625</v>
      </c>
      <c r="AW1304" s="21">
        <f t="shared" si="167"/>
        <v>5.7982171474358975E-2</v>
      </c>
    </row>
    <row r="1305" spans="1:49" x14ac:dyDescent="0.25">
      <c r="A1305" t="s">
        <v>38</v>
      </c>
      <c r="B1305" t="s">
        <v>39</v>
      </c>
      <c r="C1305">
        <v>183669</v>
      </c>
      <c r="D1305">
        <v>2007</v>
      </c>
      <c r="E1305" t="s">
        <v>166</v>
      </c>
      <c r="F1305" t="s">
        <v>1316</v>
      </c>
      <c r="G1305" t="s">
        <v>1317</v>
      </c>
      <c r="H1305" t="s">
        <v>1318</v>
      </c>
      <c r="I1305">
        <v>6</v>
      </c>
      <c r="J1305" t="s">
        <v>61</v>
      </c>
      <c r="K1305">
        <v>4</v>
      </c>
      <c r="L1305" t="s">
        <v>44</v>
      </c>
      <c r="M1305">
        <v>3.5</v>
      </c>
      <c r="N1305" t="s">
        <v>91</v>
      </c>
      <c r="O1305" t="s">
        <v>46</v>
      </c>
      <c r="Q1305" t="s">
        <v>74</v>
      </c>
      <c r="R1305" t="s">
        <v>92</v>
      </c>
      <c r="T1305">
        <v>247</v>
      </c>
      <c r="U1305" t="s">
        <v>50</v>
      </c>
      <c r="V1305" t="s">
        <v>76</v>
      </c>
      <c r="W1305" t="s">
        <v>1319</v>
      </c>
      <c r="X1305" t="s">
        <v>94</v>
      </c>
      <c r="Y1305" t="s">
        <v>103</v>
      </c>
      <c r="AA1305">
        <v>0</v>
      </c>
      <c r="AB1305" t="s">
        <v>79</v>
      </c>
      <c r="AC1305" t="s">
        <v>95</v>
      </c>
      <c r="AD1305">
        <v>36</v>
      </c>
      <c r="AE1305">
        <v>9</v>
      </c>
      <c r="AF1305">
        <v>3</v>
      </c>
      <c r="AG1305">
        <v>2025</v>
      </c>
      <c r="AH1305" s="2">
        <v>5250</v>
      </c>
      <c r="AI1305" s="2">
        <v>3275.22509765625</v>
      </c>
      <c r="AJ1305" s="2">
        <f t="shared" si="162"/>
        <v>1974.77490234375</v>
      </c>
      <c r="AK1305" s="6">
        <f t="shared" si="163"/>
        <v>0.37614760044642859</v>
      </c>
      <c r="AL1305" s="12">
        <v>5250</v>
      </c>
      <c r="AM1305" s="12">
        <v>3068.5774110497382</v>
      </c>
      <c r="AN1305" s="12">
        <f t="shared" si="164"/>
        <v>2181.4225889502618</v>
      </c>
      <c r="AO1305" s="13">
        <f t="shared" si="165"/>
        <v>0.41550906456195463</v>
      </c>
      <c r="AP1305" s="16">
        <v>5250</v>
      </c>
      <c r="AQ1305" s="16">
        <v>3022.1976623014821</v>
      </c>
      <c r="AR1305" s="16">
        <f t="shared" si="166"/>
        <v>2227.8023376985179</v>
      </c>
      <c r="AS1305" s="17">
        <f t="shared" si="160"/>
        <v>0.42434330241876533</v>
      </c>
      <c r="AT1305" s="20">
        <v>5250</v>
      </c>
      <c r="AU1305" s="20">
        <v>3266.257568359375</v>
      </c>
      <c r="AV1305" s="20">
        <f t="shared" si="161"/>
        <v>1983.742431640625</v>
      </c>
      <c r="AW1305" s="21">
        <f t="shared" si="167"/>
        <v>0.37785570126488094</v>
      </c>
    </row>
    <row r="1306" spans="1:49" x14ac:dyDescent="0.25">
      <c r="A1306" t="s">
        <v>38</v>
      </c>
      <c r="B1306" t="s">
        <v>96</v>
      </c>
      <c r="C1306">
        <v>112481</v>
      </c>
      <c r="D1306">
        <v>2019</v>
      </c>
      <c r="E1306" t="s">
        <v>58</v>
      </c>
      <c r="F1306" t="s">
        <v>243</v>
      </c>
      <c r="G1306" t="s">
        <v>1261</v>
      </c>
      <c r="I1306">
        <v>4</v>
      </c>
      <c r="J1306" t="s">
        <v>61</v>
      </c>
      <c r="K1306">
        <v>4</v>
      </c>
      <c r="L1306" t="s">
        <v>44</v>
      </c>
      <c r="M1306">
        <v>2</v>
      </c>
      <c r="N1306" t="s">
        <v>45</v>
      </c>
      <c r="O1306" t="s">
        <v>46</v>
      </c>
      <c r="P1306">
        <v>2</v>
      </c>
      <c r="Q1306" t="s">
        <v>47</v>
      </c>
      <c r="R1306" t="s">
        <v>123</v>
      </c>
      <c r="T1306">
        <v>147</v>
      </c>
      <c r="U1306" t="s">
        <v>50</v>
      </c>
      <c r="W1306" t="s">
        <v>463</v>
      </c>
      <c r="X1306" t="s">
        <v>125</v>
      </c>
      <c r="Y1306" t="s">
        <v>126</v>
      </c>
      <c r="AA1306">
        <v>0</v>
      </c>
      <c r="AB1306" t="s">
        <v>79</v>
      </c>
      <c r="AC1306" t="s">
        <v>127</v>
      </c>
      <c r="AD1306">
        <v>36</v>
      </c>
      <c r="AE1306">
        <v>9</v>
      </c>
      <c r="AF1306">
        <v>3</v>
      </c>
      <c r="AG1306">
        <v>2025</v>
      </c>
      <c r="AH1306" s="2">
        <v>5000</v>
      </c>
      <c r="AI1306" s="2">
        <v>4375.7587890625</v>
      </c>
      <c r="AJ1306" s="2">
        <f t="shared" si="162"/>
        <v>624.2412109375</v>
      </c>
      <c r="AK1306" s="6">
        <f t="shared" si="163"/>
        <v>0.1248482421875</v>
      </c>
      <c r="AL1306" s="12">
        <v>5000</v>
      </c>
      <c r="AM1306" s="12">
        <v>4177.1060409789679</v>
      </c>
      <c r="AN1306" s="12">
        <f t="shared" si="164"/>
        <v>822.89395902103206</v>
      </c>
      <c r="AO1306" s="13">
        <f t="shared" si="165"/>
        <v>0.16457879180420643</v>
      </c>
      <c r="AP1306" s="16">
        <v>5000</v>
      </c>
      <c r="AQ1306" s="16">
        <v>3782.954149645082</v>
      </c>
      <c r="AR1306" s="16">
        <f t="shared" si="166"/>
        <v>1217.045850354918</v>
      </c>
      <c r="AS1306" s="17">
        <f t="shared" si="160"/>
        <v>0.24340917007098359</v>
      </c>
      <c r="AT1306" s="20">
        <v>5000</v>
      </c>
      <c r="AU1306" s="20">
        <v>4426.99169921875</v>
      </c>
      <c r="AV1306" s="20">
        <f t="shared" si="161"/>
        <v>573.00830078125</v>
      </c>
      <c r="AW1306" s="21">
        <f t="shared" si="167"/>
        <v>0.11460166015624999</v>
      </c>
    </row>
    <row r="1307" spans="1:49" x14ac:dyDescent="0.25">
      <c r="A1307" t="s">
        <v>128</v>
      </c>
      <c r="B1307" t="s">
        <v>210</v>
      </c>
      <c r="C1307">
        <v>132031</v>
      </c>
      <c r="D1307">
        <v>2016</v>
      </c>
      <c r="E1307" t="s">
        <v>166</v>
      </c>
      <c r="F1307" t="s">
        <v>628</v>
      </c>
      <c r="G1307" t="s">
        <v>240</v>
      </c>
      <c r="I1307">
        <v>4</v>
      </c>
      <c r="J1307" t="s">
        <v>43</v>
      </c>
      <c r="K1307">
        <v>4</v>
      </c>
      <c r="L1307" t="s">
        <v>44</v>
      </c>
      <c r="M1307">
        <v>2</v>
      </c>
      <c r="N1307" t="s">
        <v>45</v>
      </c>
      <c r="O1307" t="s">
        <v>46</v>
      </c>
      <c r="Q1307" t="s">
        <v>47</v>
      </c>
      <c r="R1307" t="s">
        <v>123</v>
      </c>
      <c r="T1307">
        <v>158</v>
      </c>
      <c r="U1307" t="s">
        <v>50</v>
      </c>
      <c r="V1307" t="s">
        <v>51</v>
      </c>
      <c r="W1307" t="s">
        <v>795</v>
      </c>
      <c r="X1307" t="s">
        <v>53</v>
      </c>
      <c r="Y1307" t="s">
        <v>78</v>
      </c>
      <c r="AA1307">
        <v>0</v>
      </c>
      <c r="AB1307" t="s">
        <v>79</v>
      </c>
      <c r="AC1307" t="s">
        <v>127</v>
      </c>
      <c r="AD1307">
        <v>36</v>
      </c>
      <c r="AE1307">
        <v>9</v>
      </c>
      <c r="AF1307">
        <v>3</v>
      </c>
      <c r="AG1307">
        <v>2025</v>
      </c>
      <c r="AH1307" s="2">
        <v>5200</v>
      </c>
      <c r="AI1307" s="2">
        <v>6591.279296875</v>
      </c>
      <c r="AJ1307" s="2">
        <f t="shared" si="162"/>
        <v>1391.279296875</v>
      </c>
      <c r="AK1307" s="6">
        <f t="shared" si="163"/>
        <v>0.26755371093750002</v>
      </c>
      <c r="AL1307" s="12">
        <v>5200</v>
      </c>
      <c r="AM1307" s="12">
        <v>5828.3036201432242</v>
      </c>
      <c r="AN1307" s="12">
        <f t="shared" si="164"/>
        <v>628.30362014322418</v>
      </c>
      <c r="AO1307" s="13">
        <f t="shared" si="165"/>
        <v>0.12082761925831234</v>
      </c>
      <c r="AP1307" s="16">
        <v>5200</v>
      </c>
      <c r="AQ1307" s="16">
        <v>5785.2976592562372</v>
      </c>
      <c r="AR1307" s="16">
        <f t="shared" si="166"/>
        <v>585.29765925623724</v>
      </c>
      <c r="AS1307" s="17">
        <f t="shared" si="160"/>
        <v>0.11255724216466101</v>
      </c>
      <c r="AT1307" s="20">
        <v>5200</v>
      </c>
      <c r="AU1307" s="20">
        <v>6571.37353515625</v>
      </c>
      <c r="AV1307" s="20">
        <f t="shared" si="161"/>
        <v>1371.37353515625</v>
      </c>
      <c r="AW1307" s="21">
        <f t="shared" si="167"/>
        <v>0.26372567983774037</v>
      </c>
    </row>
    <row r="1308" spans="1:49" x14ac:dyDescent="0.25">
      <c r="A1308" t="s">
        <v>38</v>
      </c>
      <c r="B1308" t="s">
        <v>68</v>
      </c>
      <c r="C1308">
        <v>147044</v>
      </c>
      <c r="D1308">
        <v>2018</v>
      </c>
      <c r="E1308" t="s">
        <v>403</v>
      </c>
      <c r="F1308" t="s">
        <v>554</v>
      </c>
      <c r="G1308" t="s">
        <v>903</v>
      </c>
      <c r="I1308">
        <v>8</v>
      </c>
      <c r="J1308" t="s">
        <v>72</v>
      </c>
      <c r="K1308">
        <v>4</v>
      </c>
      <c r="L1308" t="s">
        <v>44</v>
      </c>
      <c r="M1308">
        <v>6.2</v>
      </c>
      <c r="N1308" t="s">
        <v>73</v>
      </c>
      <c r="O1308" t="s">
        <v>46</v>
      </c>
      <c r="Q1308" t="s">
        <v>62</v>
      </c>
      <c r="R1308" t="s">
        <v>63</v>
      </c>
      <c r="S1308" t="s">
        <v>49</v>
      </c>
      <c r="U1308" t="s">
        <v>50</v>
      </c>
      <c r="W1308" t="s">
        <v>948</v>
      </c>
      <c r="X1308" t="s">
        <v>108</v>
      </c>
      <c r="Y1308" t="s">
        <v>78</v>
      </c>
      <c r="Z1308">
        <v>93795</v>
      </c>
      <c r="AA1308">
        <v>0</v>
      </c>
      <c r="AB1308" t="s">
        <v>79</v>
      </c>
      <c r="AC1308" t="s">
        <v>109</v>
      </c>
      <c r="AD1308">
        <v>36</v>
      </c>
      <c r="AE1308">
        <v>9</v>
      </c>
      <c r="AF1308">
        <v>3</v>
      </c>
      <c r="AG1308">
        <v>2025</v>
      </c>
      <c r="AH1308" s="2">
        <v>19500</v>
      </c>
      <c r="AI1308" s="2">
        <v>17416.83984375</v>
      </c>
      <c r="AJ1308" s="2">
        <f t="shared" si="162"/>
        <v>2083.16015625</v>
      </c>
      <c r="AK1308" s="6">
        <f t="shared" si="163"/>
        <v>0.10682872596153846</v>
      </c>
      <c r="AL1308" s="12">
        <v>19500</v>
      </c>
      <c r="AM1308" s="12">
        <v>15915.63222717441</v>
      </c>
      <c r="AN1308" s="12">
        <f t="shared" si="164"/>
        <v>3584.3677728255898</v>
      </c>
      <c r="AO1308" s="13">
        <f t="shared" si="165"/>
        <v>0.18381373193977382</v>
      </c>
      <c r="AP1308" s="16">
        <v>19500</v>
      </c>
      <c r="AQ1308" s="16">
        <v>16651.122934743031</v>
      </c>
      <c r="AR1308" s="16">
        <f t="shared" si="166"/>
        <v>2848.8770652569692</v>
      </c>
      <c r="AS1308" s="17">
        <f t="shared" si="160"/>
        <v>0.14609625975676765</v>
      </c>
      <c r="AT1308" s="20">
        <v>19500</v>
      </c>
      <c r="AU1308" s="20">
        <v>16955.365234375</v>
      </c>
      <c r="AV1308" s="20">
        <f t="shared" si="161"/>
        <v>2544.634765625</v>
      </c>
      <c r="AW1308" s="21">
        <f t="shared" si="167"/>
        <v>0.13049409054487179</v>
      </c>
    </row>
    <row r="1309" spans="1:49" x14ac:dyDescent="0.25">
      <c r="A1309" t="s">
        <v>38</v>
      </c>
      <c r="B1309" t="s">
        <v>96</v>
      </c>
      <c r="C1309">
        <v>6576</v>
      </c>
      <c r="D1309">
        <v>2024</v>
      </c>
      <c r="E1309" t="s">
        <v>69</v>
      </c>
      <c r="F1309" t="s">
        <v>231</v>
      </c>
      <c r="H1309" t="s">
        <v>1320</v>
      </c>
      <c r="I1309">
        <v>6</v>
      </c>
      <c r="J1309" t="s">
        <v>135</v>
      </c>
      <c r="K1309">
        <v>4</v>
      </c>
      <c r="L1309" t="s">
        <v>44</v>
      </c>
      <c r="M1309">
        <v>2.7</v>
      </c>
      <c r="N1309" t="s">
        <v>73</v>
      </c>
      <c r="O1309" t="s">
        <v>46</v>
      </c>
      <c r="P1309">
        <v>3</v>
      </c>
      <c r="Q1309" t="s">
        <v>74</v>
      </c>
      <c r="R1309" t="s">
        <v>92</v>
      </c>
      <c r="S1309" t="s">
        <v>49</v>
      </c>
      <c r="U1309" t="s">
        <v>50</v>
      </c>
      <c r="V1309" t="s">
        <v>76</v>
      </c>
      <c r="W1309" t="s">
        <v>512</v>
      </c>
      <c r="X1309" t="s">
        <v>94</v>
      </c>
      <c r="Y1309" t="s">
        <v>78</v>
      </c>
      <c r="AA1309">
        <v>0</v>
      </c>
      <c r="AB1309" t="s">
        <v>79</v>
      </c>
      <c r="AC1309" t="s">
        <v>95</v>
      </c>
      <c r="AD1309">
        <v>36</v>
      </c>
      <c r="AE1309">
        <v>9</v>
      </c>
      <c r="AF1309">
        <v>3</v>
      </c>
      <c r="AG1309">
        <v>2025</v>
      </c>
      <c r="AH1309" s="2">
        <v>35000</v>
      </c>
      <c r="AI1309" s="2">
        <v>33536.890625</v>
      </c>
      <c r="AJ1309" s="2">
        <f t="shared" si="162"/>
        <v>1463.109375</v>
      </c>
      <c r="AK1309" s="6">
        <f t="shared" si="163"/>
        <v>4.1803124999999997E-2</v>
      </c>
      <c r="AL1309" s="12">
        <v>35000</v>
      </c>
      <c r="AM1309" s="12">
        <v>33277.760541829673</v>
      </c>
      <c r="AN1309" s="12">
        <f t="shared" si="164"/>
        <v>1722.2394581703265</v>
      </c>
      <c r="AO1309" s="13">
        <f t="shared" si="165"/>
        <v>4.920684166200933E-2</v>
      </c>
      <c r="AP1309" s="16">
        <v>35000</v>
      </c>
      <c r="AQ1309" s="16">
        <v>35864.660650533377</v>
      </c>
      <c r="AR1309" s="16">
        <f t="shared" si="166"/>
        <v>864.66065053337661</v>
      </c>
      <c r="AS1309" s="17">
        <f t="shared" si="160"/>
        <v>2.4704590015239333E-2</v>
      </c>
      <c r="AT1309" s="20">
        <v>35000</v>
      </c>
      <c r="AU1309" s="20">
        <v>33308.28125</v>
      </c>
      <c r="AV1309" s="20">
        <f t="shared" si="161"/>
        <v>1691.71875</v>
      </c>
      <c r="AW1309" s="21">
        <f t="shared" si="167"/>
        <v>4.8334821428571428E-2</v>
      </c>
    </row>
    <row r="1310" spans="1:49" x14ac:dyDescent="0.25">
      <c r="A1310" t="s">
        <v>38</v>
      </c>
      <c r="B1310" t="s">
        <v>68</v>
      </c>
      <c r="C1310">
        <v>180428</v>
      </c>
      <c r="D1310">
        <v>2016</v>
      </c>
      <c r="E1310" t="s">
        <v>263</v>
      </c>
      <c r="F1310" t="s">
        <v>563</v>
      </c>
      <c r="G1310" t="s">
        <v>647</v>
      </c>
      <c r="I1310">
        <v>4</v>
      </c>
      <c r="J1310" t="s">
        <v>135</v>
      </c>
      <c r="K1310">
        <v>4</v>
      </c>
      <c r="L1310" t="s">
        <v>44</v>
      </c>
      <c r="M1310">
        <v>2.5</v>
      </c>
      <c r="N1310" t="s">
        <v>45</v>
      </c>
      <c r="O1310" t="s">
        <v>46</v>
      </c>
      <c r="Q1310" t="s">
        <v>47</v>
      </c>
      <c r="R1310" t="s">
        <v>123</v>
      </c>
      <c r="U1310" t="s">
        <v>50</v>
      </c>
      <c r="V1310" t="s">
        <v>51</v>
      </c>
      <c r="W1310" t="s">
        <v>266</v>
      </c>
      <c r="X1310" t="s">
        <v>125</v>
      </c>
      <c r="Y1310" t="s">
        <v>54</v>
      </c>
      <c r="AA1310">
        <v>0</v>
      </c>
      <c r="AB1310" t="s">
        <v>79</v>
      </c>
      <c r="AC1310" t="s">
        <v>127</v>
      </c>
      <c r="AD1310">
        <v>36</v>
      </c>
      <c r="AE1310">
        <v>9</v>
      </c>
      <c r="AF1310">
        <v>3</v>
      </c>
      <c r="AG1310">
        <v>2025</v>
      </c>
      <c r="AH1310" s="2">
        <v>1500</v>
      </c>
      <c r="AI1310" s="2">
        <v>2675.26416015625</v>
      </c>
      <c r="AJ1310" s="2">
        <f t="shared" si="162"/>
        <v>1175.26416015625</v>
      </c>
      <c r="AK1310" s="6">
        <f t="shared" si="163"/>
        <v>0.78350944010416668</v>
      </c>
      <c r="AL1310" s="12">
        <v>1500</v>
      </c>
      <c r="AM1310" s="12">
        <v>2571.8426705842512</v>
      </c>
      <c r="AN1310" s="12">
        <f t="shared" si="164"/>
        <v>1071.8426705842512</v>
      </c>
      <c r="AO1310" s="13">
        <f t="shared" si="165"/>
        <v>0.7145617803895008</v>
      </c>
      <c r="AP1310" s="16">
        <v>1500</v>
      </c>
      <c r="AQ1310" s="16">
        <v>2342.680970281016</v>
      </c>
      <c r="AR1310" s="16">
        <f t="shared" si="166"/>
        <v>842.68097028101602</v>
      </c>
      <c r="AS1310" s="17">
        <f t="shared" si="160"/>
        <v>0.56178731352067734</v>
      </c>
      <c r="AT1310" s="20">
        <v>1500</v>
      </c>
      <c r="AU1310" s="20">
        <v>2712.50341796875</v>
      </c>
      <c r="AV1310" s="20">
        <f t="shared" si="161"/>
        <v>1212.50341796875</v>
      </c>
      <c r="AW1310" s="21">
        <f t="shared" si="167"/>
        <v>0.8083356119791667</v>
      </c>
    </row>
    <row r="1311" spans="1:49" x14ac:dyDescent="0.25">
      <c r="A1311" t="s">
        <v>38</v>
      </c>
      <c r="B1311" t="s">
        <v>96</v>
      </c>
      <c r="C1311">
        <v>63485</v>
      </c>
      <c r="D1311">
        <v>2020</v>
      </c>
      <c r="E1311" t="s">
        <v>162</v>
      </c>
      <c r="F1311" t="s">
        <v>211</v>
      </c>
      <c r="G1311" t="s">
        <v>1211</v>
      </c>
      <c r="I1311">
        <v>4</v>
      </c>
      <c r="J1311" t="s">
        <v>61</v>
      </c>
      <c r="K1311">
        <v>4</v>
      </c>
      <c r="L1311" t="s">
        <v>44</v>
      </c>
      <c r="M1311">
        <v>2</v>
      </c>
      <c r="N1311" t="s">
        <v>45</v>
      </c>
      <c r="O1311" t="s">
        <v>46</v>
      </c>
      <c r="P1311">
        <v>3</v>
      </c>
      <c r="Q1311" t="s">
        <v>47</v>
      </c>
      <c r="R1311" t="s">
        <v>123</v>
      </c>
      <c r="S1311" t="s">
        <v>101</v>
      </c>
      <c r="T1311">
        <v>147</v>
      </c>
      <c r="U1311" t="s">
        <v>50</v>
      </c>
      <c r="W1311" t="s">
        <v>1212</v>
      </c>
      <c r="X1311" t="s">
        <v>125</v>
      </c>
      <c r="Y1311" t="s">
        <v>66</v>
      </c>
      <c r="Z1311">
        <v>18200</v>
      </c>
      <c r="AA1311">
        <v>0</v>
      </c>
      <c r="AB1311" t="s">
        <v>79</v>
      </c>
      <c r="AC1311" t="s">
        <v>127</v>
      </c>
      <c r="AD1311">
        <v>36</v>
      </c>
      <c r="AE1311">
        <v>9</v>
      </c>
      <c r="AF1311">
        <v>3</v>
      </c>
      <c r="AG1311">
        <v>2025</v>
      </c>
      <c r="AH1311" s="2">
        <v>12000</v>
      </c>
      <c r="AI1311" s="2">
        <v>9445.904296875</v>
      </c>
      <c r="AJ1311" s="2">
        <f t="shared" si="162"/>
        <v>2554.095703125</v>
      </c>
      <c r="AK1311" s="6">
        <f t="shared" si="163"/>
        <v>0.21284130859375</v>
      </c>
      <c r="AL1311" s="12">
        <v>12000</v>
      </c>
      <c r="AM1311" s="12">
        <v>9195.8626304153004</v>
      </c>
      <c r="AN1311" s="12">
        <f t="shared" si="164"/>
        <v>2804.1373695846996</v>
      </c>
      <c r="AO1311" s="13">
        <f t="shared" si="165"/>
        <v>0.2336781141320583</v>
      </c>
      <c r="AP1311" s="16">
        <v>12000</v>
      </c>
      <c r="AQ1311" s="16">
        <v>8218.5626033024528</v>
      </c>
      <c r="AR1311" s="16">
        <f t="shared" si="166"/>
        <v>3781.4373966975472</v>
      </c>
      <c r="AS1311" s="17">
        <f t="shared" si="160"/>
        <v>0.31511978305812893</v>
      </c>
      <c r="AT1311" s="20">
        <v>12000</v>
      </c>
      <c r="AU1311" s="20">
        <v>9507.5205078125</v>
      </c>
      <c r="AV1311" s="20">
        <f t="shared" si="161"/>
        <v>2492.4794921875</v>
      </c>
      <c r="AW1311" s="21">
        <f t="shared" si="167"/>
        <v>0.20770662434895834</v>
      </c>
    </row>
    <row r="1312" spans="1:49" x14ac:dyDescent="0.25">
      <c r="A1312" t="s">
        <v>128</v>
      </c>
      <c r="B1312" t="s">
        <v>129</v>
      </c>
      <c r="C1312">
        <v>173236</v>
      </c>
      <c r="D1312">
        <v>2011</v>
      </c>
      <c r="E1312" t="s">
        <v>142</v>
      </c>
      <c r="F1312" t="s">
        <v>1321</v>
      </c>
      <c r="G1312" t="s">
        <v>457</v>
      </c>
      <c r="H1312" t="s">
        <v>1322</v>
      </c>
      <c r="I1312">
        <v>6</v>
      </c>
      <c r="J1312" t="s">
        <v>206</v>
      </c>
      <c r="K1312">
        <v>4</v>
      </c>
      <c r="L1312" t="s">
        <v>44</v>
      </c>
      <c r="M1312">
        <v>3.7</v>
      </c>
      <c r="N1312" t="s">
        <v>91</v>
      </c>
      <c r="O1312" t="s">
        <v>46</v>
      </c>
      <c r="Q1312" t="s">
        <v>62</v>
      </c>
      <c r="R1312" t="s">
        <v>63</v>
      </c>
      <c r="S1312" t="s">
        <v>93</v>
      </c>
      <c r="U1312" t="s">
        <v>50</v>
      </c>
      <c r="X1312" t="s">
        <v>141</v>
      </c>
      <c r="Y1312" t="s">
        <v>78</v>
      </c>
      <c r="AA1312">
        <v>0</v>
      </c>
      <c r="AB1312" t="s">
        <v>79</v>
      </c>
      <c r="AC1312" t="s">
        <v>87</v>
      </c>
      <c r="AD1312">
        <v>36</v>
      </c>
      <c r="AE1312">
        <v>9</v>
      </c>
      <c r="AF1312">
        <v>3</v>
      </c>
      <c r="AG1312">
        <v>2025</v>
      </c>
      <c r="AH1312" s="2">
        <v>1200</v>
      </c>
      <c r="AI1312" s="2">
        <v>1124.7412109375</v>
      </c>
      <c r="AJ1312" s="2">
        <f t="shared" si="162"/>
        <v>75.2587890625</v>
      </c>
      <c r="AK1312" s="6">
        <f t="shared" si="163"/>
        <v>6.2715657552083331E-2</v>
      </c>
      <c r="AL1312" s="12">
        <v>1200</v>
      </c>
      <c r="AM1312" s="12">
        <v>1822.7569646594729</v>
      </c>
      <c r="AN1312" s="12">
        <f t="shared" si="164"/>
        <v>622.75696465947294</v>
      </c>
      <c r="AO1312" s="13">
        <f t="shared" si="165"/>
        <v>0.51896413721622747</v>
      </c>
      <c r="AP1312" s="16">
        <v>1200</v>
      </c>
      <c r="AQ1312" s="16">
        <v>1272.2032823574029</v>
      </c>
      <c r="AR1312" s="16">
        <f t="shared" si="166"/>
        <v>72.203282357402941</v>
      </c>
      <c r="AS1312" s="17">
        <f t="shared" si="160"/>
        <v>6.0169401964502447E-2</v>
      </c>
      <c r="AT1312" s="20">
        <v>1200</v>
      </c>
      <c r="AU1312" s="20">
        <v>1183.345703125</v>
      </c>
      <c r="AV1312" s="20">
        <f t="shared" si="161"/>
        <v>16.654296875</v>
      </c>
      <c r="AW1312" s="21">
        <f t="shared" si="167"/>
        <v>1.3878580729166666E-2</v>
      </c>
    </row>
    <row r="1313" spans="1:49" x14ac:dyDescent="0.25">
      <c r="A1313" t="s">
        <v>128</v>
      </c>
      <c r="B1313" t="s">
        <v>271</v>
      </c>
      <c r="C1313">
        <v>24021</v>
      </c>
      <c r="D1313">
        <v>2019</v>
      </c>
      <c r="E1313" t="s">
        <v>116</v>
      </c>
      <c r="F1313" t="s">
        <v>237</v>
      </c>
      <c r="G1313" t="s">
        <v>1323</v>
      </c>
      <c r="I1313">
        <v>8</v>
      </c>
      <c r="J1313" t="s">
        <v>122</v>
      </c>
      <c r="K1313">
        <v>4</v>
      </c>
      <c r="L1313" t="s">
        <v>44</v>
      </c>
      <c r="M1313">
        <v>6.4</v>
      </c>
      <c r="N1313" t="s">
        <v>73</v>
      </c>
      <c r="O1313" t="s">
        <v>46</v>
      </c>
      <c r="P1313">
        <v>4</v>
      </c>
      <c r="Q1313" t="s">
        <v>47</v>
      </c>
      <c r="R1313" t="s">
        <v>123</v>
      </c>
      <c r="S1313" t="s">
        <v>179</v>
      </c>
      <c r="T1313">
        <v>485</v>
      </c>
      <c r="U1313" t="s">
        <v>50</v>
      </c>
      <c r="V1313" t="s">
        <v>76</v>
      </c>
      <c r="X1313" t="s">
        <v>125</v>
      </c>
      <c r="Y1313" t="s">
        <v>103</v>
      </c>
      <c r="AA1313">
        <v>0</v>
      </c>
      <c r="AB1313" t="s">
        <v>79</v>
      </c>
      <c r="AC1313" t="s">
        <v>127</v>
      </c>
      <c r="AD1313">
        <v>36</v>
      </c>
      <c r="AE1313">
        <v>9</v>
      </c>
      <c r="AF1313">
        <v>3</v>
      </c>
      <c r="AG1313">
        <v>2025</v>
      </c>
      <c r="AH1313" s="2">
        <v>30000</v>
      </c>
      <c r="AI1313" s="2">
        <v>41199.5703125</v>
      </c>
      <c r="AJ1313" s="2">
        <f t="shared" si="162"/>
        <v>11199.5703125</v>
      </c>
      <c r="AK1313" s="6">
        <f t="shared" si="163"/>
        <v>0.37331901041666665</v>
      </c>
      <c r="AL1313" s="12">
        <v>30000</v>
      </c>
      <c r="AM1313" s="12">
        <v>36981.057517601963</v>
      </c>
      <c r="AN1313" s="12">
        <f t="shared" si="164"/>
        <v>6981.0575176019629</v>
      </c>
      <c r="AO1313" s="13">
        <f t="shared" si="165"/>
        <v>0.23270191725339875</v>
      </c>
      <c r="AP1313" s="16">
        <v>30000</v>
      </c>
      <c r="AQ1313" s="16">
        <v>31782.274912954788</v>
      </c>
      <c r="AR1313" s="16">
        <f t="shared" si="166"/>
        <v>1782.2749129547883</v>
      </c>
      <c r="AS1313" s="17">
        <f t="shared" si="160"/>
        <v>5.940916376515961E-2</v>
      </c>
      <c r="AT1313" s="20">
        <v>30000</v>
      </c>
      <c r="AU1313" s="20">
        <v>40591.88671875</v>
      </c>
      <c r="AV1313" s="20">
        <f t="shared" si="161"/>
        <v>10591.88671875</v>
      </c>
      <c r="AW1313" s="21">
        <f t="shared" si="167"/>
        <v>0.35306289062500001</v>
      </c>
    </row>
    <row r="1314" spans="1:49" x14ac:dyDescent="0.25">
      <c r="A1314" t="s">
        <v>128</v>
      </c>
      <c r="B1314" t="s">
        <v>129</v>
      </c>
      <c r="C1314">
        <v>88072</v>
      </c>
      <c r="D1314">
        <v>2020</v>
      </c>
      <c r="E1314" t="s">
        <v>40</v>
      </c>
      <c r="F1314" t="s">
        <v>643</v>
      </c>
      <c r="G1314" t="s">
        <v>1324</v>
      </c>
      <c r="H1314" t="s">
        <v>1325</v>
      </c>
      <c r="I1314">
        <v>6</v>
      </c>
      <c r="J1314" t="s">
        <v>106</v>
      </c>
      <c r="K1314">
        <v>4</v>
      </c>
      <c r="L1314" t="s">
        <v>44</v>
      </c>
      <c r="M1314">
        <v>3.5</v>
      </c>
      <c r="N1314" t="s">
        <v>45</v>
      </c>
      <c r="O1314" t="s">
        <v>46</v>
      </c>
      <c r="Q1314" t="s">
        <v>62</v>
      </c>
      <c r="R1314" t="s">
        <v>225</v>
      </c>
      <c r="S1314" t="s">
        <v>49</v>
      </c>
      <c r="T1314">
        <v>296</v>
      </c>
      <c r="U1314" t="s">
        <v>50</v>
      </c>
      <c r="V1314" t="s">
        <v>76</v>
      </c>
      <c r="W1314" t="s">
        <v>152</v>
      </c>
      <c r="X1314" t="s">
        <v>141</v>
      </c>
      <c r="Y1314" t="s">
        <v>78</v>
      </c>
      <c r="AA1314">
        <v>0</v>
      </c>
      <c r="AB1314" t="s">
        <v>79</v>
      </c>
      <c r="AC1314" t="s">
        <v>225</v>
      </c>
      <c r="AD1314">
        <v>36</v>
      </c>
      <c r="AE1314">
        <v>9</v>
      </c>
      <c r="AF1314">
        <v>3</v>
      </c>
      <c r="AG1314">
        <v>2025</v>
      </c>
      <c r="AH1314" s="2">
        <v>19700</v>
      </c>
      <c r="AI1314" s="2">
        <v>17565.0546875</v>
      </c>
      <c r="AJ1314" s="2">
        <f t="shared" si="162"/>
        <v>2134.9453125</v>
      </c>
      <c r="AK1314" s="6">
        <f t="shared" si="163"/>
        <v>0.10837285850253807</v>
      </c>
      <c r="AL1314" s="12">
        <v>19700</v>
      </c>
      <c r="AM1314" s="12">
        <v>18379.86257136425</v>
      </c>
      <c r="AN1314" s="12">
        <f t="shared" si="164"/>
        <v>1320.1374286357495</v>
      </c>
      <c r="AO1314" s="13">
        <f t="shared" si="165"/>
        <v>6.7012052215012663E-2</v>
      </c>
      <c r="AP1314" s="16">
        <v>19700</v>
      </c>
      <c r="AQ1314" s="16">
        <v>15786.239712346831</v>
      </c>
      <c r="AR1314" s="16">
        <f t="shared" si="166"/>
        <v>3913.7602876531691</v>
      </c>
      <c r="AS1314" s="17">
        <f t="shared" si="160"/>
        <v>0.19866803490625223</v>
      </c>
      <c r="AT1314" s="20">
        <v>19700</v>
      </c>
      <c r="AU1314" s="20">
        <v>17646.759765625</v>
      </c>
      <c r="AV1314" s="20">
        <f t="shared" si="161"/>
        <v>2053.240234375</v>
      </c>
      <c r="AW1314" s="21">
        <f t="shared" si="167"/>
        <v>0.10422539260786802</v>
      </c>
    </row>
    <row r="1315" spans="1:49" x14ac:dyDescent="0.25">
      <c r="A1315" t="s">
        <v>38</v>
      </c>
      <c r="B1315" t="s">
        <v>68</v>
      </c>
      <c r="C1315">
        <v>77599</v>
      </c>
      <c r="D1315">
        <v>2017</v>
      </c>
      <c r="E1315" t="s">
        <v>166</v>
      </c>
      <c r="F1315" t="s">
        <v>628</v>
      </c>
      <c r="G1315" t="s">
        <v>881</v>
      </c>
      <c r="I1315">
        <v>4</v>
      </c>
      <c r="J1315" t="s">
        <v>106</v>
      </c>
      <c r="K1315">
        <v>4</v>
      </c>
      <c r="L1315" t="s">
        <v>44</v>
      </c>
      <c r="M1315">
        <v>1.5</v>
      </c>
      <c r="N1315" t="s">
        <v>45</v>
      </c>
      <c r="O1315" t="s">
        <v>46</v>
      </c>
      <c r="P1315">
        <v>4</v>
      </c>
      <c r="Q1315" t="s">
        <v>47</v>
      </c>
      <c r="R1315" t="s">
        <v>123</v>
      </c>
      <c r="S1315" t="s">
        <v>49</v>
      </c>
      <c r="T1315">
        <v>174</v>
      </c>
      <c r="U1315" t="s">
        <v>50</v>
      </c>
      <c r="V1315" t="s">
        <v>51</v>
      </c>
      <c r="W1315" t="s">
        <v>875</v>
      </c>
      <c r="X1315" t="s">
        <v>53</v>
      </c>
      <c r="Y1315" t="s">
        <v>78</v>
      </c>
      <c r="Z1315">
        <v>26600</v>
      </c>
      <c r="AA1315">
        <v>0</v>
      </c>
      <c r="AB1315" t="s">
        <v>79</v>
      </c>
      <c r="AC1315" t="s">
        <v>127</v>
      </c>
      <c r="AD1315">
        <v>36</v>
      </c>
      <c r="AE1315">
        <v>9</v>
      </c>
      <c r="AF1315">
        <v>3</v>
      </c>
      <c r="AG1315">
        <v>2025</v>
      </c>
      <c r="AH1315" s="2">
        <v>16250</v>
      </c>
      <c r="AI1315" s="2">
        <v>13488.095703125</v>
      </c>
      <c r="AJ1315" s="2">
        <f t="shared" si="162"/>
        <v>2761.904296875</v>
      </c>
      <c r="AK1315" s="6">
        <f t="shared" si="163"/>
        <v>0.16996334134615385</v>
      </c>
      <c r="AL1315" s="12">
        <v>16250</v>
      </c>
      <c r="AM1315" s="12">
        <v>12809.528615561319</v>
      </c>
      <c r="AN1315" s="12">
        <f t="shared" si="164"/>
        <v>3440.4713844386806</v>
      </c>
      <c r="AO1315" s="13">
        <f t="shared" si="165"/>
        <v>0.21172131596545726</v>
      </c>
      <c r="AP1315" s="16">
        <v>16250</v>
      </c>
      <c r="AQ1315" s="16">
        <v>12455.46374191185</v>
      </c>
      <c r="AR1315" s="16">
        <f t="shared" si="166"/>
        <v>3794.5362580881501</v>
      </c>
      <c r="AS1315" s="17">
        <f t="shared" si="160"/>
        <v>0.23350992357465539</v>
      </c>
      <c r="AT1315" s="20">
        <v>16250</v>
      </c>
      <c r="AU1315" s="20">
        <v>13208.283203125</v>
      </c>
      <c r="AV1315" s="20">
        <f t="shared" si="161"/>
        <v>3041.716796875</v>
      </c>
      <c r="AW1315" s="21">
        <f t="shared" si="167"/>
        <v>0.18718257211538461</v>
      </c>
    </row>
    <row r="1316" spans="1:49" x14ac:dyDescent="0.25">
      <c r="A1316" t="s">
        <v>128</v>
      </c>
      <c r="B1316" t="s">
        <v>129</v>
      </c>
      <c r="C1316">
        <v>153259</v>
      </c>
      <c r="D1316">
        <v>2013</v>
      </c>
      <c r="E1316" t="s">
        <v>69</v>
      </c>
      <c r="F1316" t="s">
        <v>250</v>
      </c>
      <c r="H1316" t="s">
        <v>224</v>
      </c>
      <c r="I1316">
        <v>4</v>
      </c>
      <c r="J1316" t="s">
        <v>61</v>
      </c>
      <c r="K1316">
        <v>4</v>
      </c>
      <c r="L1316" t="s">
        <v>44</v>
      </c>
      <c r="M1316">
        <v>1.6</v>
      </c>
      <c r="N1316" t="s">
        <v>45</v>
      </c>
      <c r="O1316" t="s">
        <v>46</v>
      </c>
      <c r="P1316">
        <v>2</v>
      </c>
      <c r="Q1316" t="s">
        <v>62</v>
      </c>
      <c r="R1316" t="s">
        <v>63</v>
      </c>
      <c r="S1316" t="s">
        <v>49</v>
      </c>
      <c r="T1316">
        <v>178</v>
      </c>
      <c r="U1316" t="s">
        <v>50</v>
      </c>
      <c r="V1316" t="s">
        <v>51</v>
      </c>
      <c r="X1316" t="s">
        <v>65</v>
      </c>
      <c r="Y1316" t="s">
        <v>78</v>
      </c>
      <c r="AA1316">
        <v>0</v>
      </c>
      <c r="AB1316" t="s">
        <v>79</v>
      </c>
      <c r="AC1316" t="s">
        <v>87</v>
      </c>
      <c r="AD1316">
        <v>36</v>
      </c>
      <c r="AE1316">
        <v>9</v>
      </c>
      <c r="AF1316">
        <v>3</v>
      </c>
      <c r="AG1316">
        <v>2025</v>
      </c>
      <c r="AH1316" s="2">
        <v>500</v>
      </c>
      <c r="AI1316" s="2">
        <v>1139.811889648438</v>
      </c>
      <c r="AJ1316" s="2">
        <f t="shared" si="162"/>
        <v>639.81188964843795</v>
      </c>
      <c r="AK1316" s="6">
        <f t="shared" si="163"/>
        <v>1.2796237792968759</v>
      </c>
      <c r="AL1316" s="12">
        <v>500</v>
      </c>
      <c r="AM1316" s="12">
        <v>1464.5202105187441</v>
      </c>
      <c r="AN1316" s="12">
        <f t="shared" si="164"/>
        <v>964.52021051874408</v>
      </c>
      <c r="AO1316" s="13">
        <f t="shared" si="165"/>
        <v>1.9290404210374881</v>
      </c>
      <c r="AP1316" s="16">
        <v>500</v>
      </c>
      <c r="AQ1316" s="16">
        <v>1262.4948372467341</v>
      </c>
      <c r="AR1316" s="16">
        <f t="shared" si="166"/>
        <v>762.49483724673405</v>
      </c>
      <c r="AS1316" s="17">
        <f t="shared" si="160"/>
        <v>1.5249896744934681</v>
      </c>
      <c r="AT1316" s="20">
        <v>500</v>
      </c>
      <c r="AU1316" s="20">
        <v>1134.120849609375</v>
      </c>
      <c r="AV1316" s="20">
        <f t="shared" si="161"/>
        <v>634.120849609375</v>
      </c>
      <c r="AW1316" s="21">
        <f t="shared" si="167"/>
        <v>1.26824169921875</v>
      </c>
    </row>
    <row r="1317" spans="1:49" x14ac:dyDescent="0.25">
      <c r="A1317" t="s">
        <v>38</v>
      </c>
      <c r="B1317" t="s">
        <v>68</v>
      </c>
      <c r="C1317">
        <v>131490</v>
      </c>
      <c r="D1317">
        <v>2021</v>
      </c>
      <c r="E1317" t="s">
        <v>40</v>
      </c>
      <c r="F1317" t="s">
        <v>643</v>
      </c>
      <c r="G1317" t="s">
        <v>572</v>
      </c>
      <c r="H1317" t="s">
        <v>1326</v>
      </c>
      <c r="I1317">
        <v>4</v>
      </c>
      <c r="J1317" t="s">
        <v>61</v>
      </c>
      <c r="K1317">
        <v>4</v>
      </c>
      <c r="L1317" t="s">
        <v>44</v>
      </c>
      <c r="M1317">
        <v>2.5</v>
      </c>
      <c r="N1317" t="s">
        <v>44</v>
      </c>
      <c r="O1317" t="s">
        <v>46</v>
      </c>
      <c r="P1317">
        <v>3</v>
      </c>
      <c r="Q1317" t="s">
        <v>62</v>
      </c>
      <c r="R1317" t="s">
        <v>225</v>
      </c>
      <c r="S1317" t="s">
        <v>93</v>
      </c>
      <c r="T1317">
        <v>189</v>
      </c>
      <c r="U1317" t="s">
        <v>50</v>
      </c>
      <c r="V1317" t="s">
        <v>51</v>
      </c>
      <c r="W1317" t="s">
        <v>1327</v>
      </c>
      <c r="X1317" t="s">
        <v>94</v>
      </c>
      <c r="Y1317" t="s">
        <v>78</v>
      </c>
      <c r="Z1317">
        <v>34460</v>
      </c>
      <c r="AA1317">
        <v>1</v>
      </c>
      <c r="AB1317" t="s">
        <v>55</v>
      </c>
      <c r="AC1317" t="s">
        <v>1328</v>
      </c>
      <c r="AD1317">
        <v>36</v>
      </c>
      <c r="AE1317">
        <v>9</v>
      </c>
      <c r="AF1317">
        <v>3</v>
      </c>
      <c r="AG1317">
        <v>2025</v>
      </c>
      <c r="AH1317" s="2">
        <v>17000</v>
      </c>
      <c r="AI1317" s="2">
        <v>13774.5576171875</v>
      </c>
      <c r="AJ1317" s="2">
        <f t="shared" si="162"/>
        <v>3225.4423828125</v>
      </c>
      <c r="AK1317" s="6">
        <f t="shared" si="163"/>
        <v>0.18973190487132352</v>
      </c>
      <c r="AL1317" s="12">
        <v>17000</v>
      </c>
      <c r="AM1317" s="12">
        <v>14280.64571808751</v>
      </c>
      <c r="AN1317" s="12">
        <f t="shared" si="164"/>
        <v>2719.3542819124905</v>
      </c>
      <c r="AO1317" s="13">
        <f t="shared" si="165"/>
        <v>0.15996201658308767</v>
      </c>
      <c r="AP1317" s="16">
        <v>17000</v>
      </c>
      <c r="AQ1317" s="16">
        <v>14907.17925285851</v>
      </c>
      <c r="AR1317" s="16">
        <f t="shared" si="166"/>
        <v>2092.8207471414898</v>
      </c>
      <c r="AS1317" s="17">
        <f t="shared" si="160"/>
        <v>0.12310710277302882</v>
      </c>
      <c r="AT1317" s="20">
        <v>17000</v>
      </c>
      <c r="AU1317" s="20">
        <v>13805.2275390625</v>
      </c>
      <c r="AV1317" s="20">
        <f t="shared" si="161"/>
        <v>3194.7724609375</v>
      </c>
      <c r="AW1317" s="21">
        <f t="shared" si="167"/>
        <v>0.18792779181985295</v>
      </c>
    </row>
    <row r="1318" spans="1:49" x14ac:dyDescent="0.25">
      <c r="A1318" t="s">
        <v>38</v>
      </c>
      <c r="B1318" t="s">
        <v>110</v>
      </c>
      <c r="C1318">
        <v>89942</v>
      </c>
      <c r="D1318">
        <v>2020</v>
      </c>
      <c r="E1318" t="s">
        <v>142</v>
      </c>
      <c r="F1318" t="s">
        <v>335</v>
      </c>
      <c r="G1318" t="s">
        <v>457</v>
      </c>
      <c r="I1318">
        <v>4</v>
      </c>
      <c r="J1318" t="s">
        <v>43</v>
      </c>
      <c r="K1318">
        <v>4</v>
      </c>
      <c r="L1318" t="s">
        <v>44</v>
      </c>
      <c r="M1318">
        <v>2.4</v>
      </c>
      <c r="N1318" t="s">
        <v>45</v>
      </c>
      <c r="O1318" t="s">
        <v>100</v>
      </c>
      <c r="Q1318" t="s">
        <v>62</v>
      </c>
      <c r="R1318" t="s">
        <v>63</v>
      </c>
      <c r="S1318" t="s">
        <v>101</v>
      </c>
      <c r="T1318">
        <v>180</v>
      </c>
      <c r="U1318" t="s">
        <v>50</v>
      </c>
      <c r="V1318" t="s">
        <v>51</v>
      </c>
      <c r="X1318" t="s">
        <v>65</v>
      </c>
      <c r="Y1318" t="s">
        <v>126</v>
      </c>
      <c r="AA1318">
        <v>0</v>
      </c>
      <c r="AB1318" t="s">
        <v>79</v>
      </c>
      <c r="AC1318" t="s">
        <v>87</v>
      </c>
      <c r="AD1318">
        <v>36</v>
      </c>
      <c r="AE1318">
        <v>9</v>
      </c>
      <c r="AF1318">
        <v>3</v>
      </c>
      <c r="AG1318">
        <v>2025</v>
      </c>
      <c r="AH1318" s="2">
        <v>6800</v>
      </c>
      <c r="AI1318" s="2">
        <v>4316.56201171875</v>
      </c>
      <c r="AJ1318" s="2">
        <f t="shared" si="162"/>
        <v>2483.43798828125</v>
      </c>
      <c r="AK1318" s="6">
        <f t="shared" si="163"/>
        <v>0.3652114688648897</v>
      </c>
      <c r="AL1318" s="12">
        <v>6800</v>
      </c>
      <c r="AM1318" s="12">
        <v>4787.1185683253152</v>
      </c>
      <c r="AN1318" s="12">
        <f t="shared" si="164"/>
        <v>2012.8814316746848</v>
      </c>
      <c r="AO1318" s="13">
        <f t="shared" si="165"/>
        <v>0.29601197524627715</v>
      </c>
      <c r="AP1318" s="16">
        <v>6800</v>
      </c>
      <c r="AQ1318" s="16">
        <v>4240.7567769283596</v>
      </c>
      <c r="AR1318" s="16">
        <f t="shared" si="166"/>
        <v>2559.2432230716404</v>
      </c>
      <c r="AS1318" s="17">
        <f t="shared" si="160"/>
        <v>0.37635929751053537</v>
      </c>
      <c r="AT1318" s="20">
        <v>6800</v>
      </c>
      <c r="AU1318" s="20">
        <v>4408.83251953125</v>
      </c>
      <c r="AV1318" s="20">
        <f t="shared" si="161"/>
        <v>2391.16748046875</v>
      </c>
      <c r="AW1318" s="21">
        <f t="shared" si="167"/>
        <v>0.35164227653952207</v>
      </c>
    </row>
    <row r="1319" spans="1:49" x14ac:dyDescent="0.25">
      <c r="A1319" t="s">
        <v>128</v>
      </c>
      <c r="B1319" t="s">
        <v>129</v>
      </c>
      <c r="C1319">
        <v>118446</v>
      </c>
      <c r="D1319">
        <v>2010</v>
      </c>
      <c r="E1319" t="s">
        <v>146</v>
      </c>
      <c r="F1319" t="s">
        <v>334</v>
      </c>
      <c r="I1319">
        <v>4</v>
      </c>
      <c r="J1319" t="s">
        <v>72</v>
      </c>
      <c r="K1319">
        <v>4</v>
      </c>
      <c r="L1319" t="s">
        <v>44</v>
      </c>
      <c r="M1319">
        <v>2.5</v>
      </c>
      <c r="N1319" t="s">
        <v>45</v>
      </c>
      <c r="Q1319" t="s">
        <v>47</v>
      </c>
      <c r="R1319" t="s">
        <v>123</v>
      </c>
      <c r="S1319" t="s">
        <v>49</v>
      </c>
      <c r="T1319">
        <v>170</v>
      </c>
      <c r="U1319" t="s">
        <v>50</v>
      </c>
      <c r="X1319" t="s">
        <v>125</v>
      </c>
      <c r="Y1319" t="s">
        <v>78</v>
      </c>
      <c r="AA1319">
        <v>0</v>
      </c>
      <c r="AB1319" t="s">
        <v>79</v>
      </c>
      <c r="AC1319" t="s">
        <v>127</v>
      </c>
      <c r="AD1319">
        <v>36</v>
      </c>
      <c r="AE1319">
        <v>9</v>
      </c>
      <c r="AF1319">
        <v>3</v>
      </c>
      <c r="AG1319">
        <v>2025</v>
      </c>
      <c r="AH1319" s="2">
        <v>1600</v>
      </c>
      <c r="AI1319" s="2">
        <v>1664.939819335938</v>
      </c>
      <c r="AJ1319" s="2">
        <f t="shared" si="162"/>
        <v>64.939819335937955</v>
      </c>
      <c r="AK1319" s="6">
        <f t="shared" si="163"/>
        <v>4.0587387084961221E-2</v>
      </c>
      <c r="AL1319" s="12">
        <v>1600</v>
      </c>
      <c r="AM1319" s="12">
        <v>1609.740476508149</v>
      </c>
      <c r="AN1319" s="12">
        <f t="shared" si="164"/>
        <v>9.7404765081489586</v>
      </c>
      <c r="AO1319" s="13">
        <f t="shared" si="165"/>
        <v>6.087797817593099E-3</v>
      </c>
      <c r="AP1319" s="16">
        <v>1600</v>
      </c>
      <c r="AQ1319" s="16">
        <v>1500.477265654165</v>
      </c>
      <c r="AR1319" s="16">
        <f t="shared" si="166"/>
        <v>99.522734345835033</v>
      </c>
      <c r="AS1319" s="17">
        <f t="shared" si="160"/>
        <v>6.2201708966146893E-2</v>
      </c>
      <c r="AT1319" s="20">
        <v>1600</v>
      </c>
      <c r="AU1319" s="20">
        <v>1655.252807617188</v>
      </c>
      <c r="AV1319" s="20">
        <f t="shared" si="161"/>
        <v>55.252807617187955</v>
      </c>
      <c r="AW1319" s="21">
        <f t="shared" si="167"/>
        <v>3.4533004760742475E-2</v>
      </c>
    </row>
    <row r="1320" spans="1:49" x14ac:dyDescent="0.25">
      <c r="A1320" t="s">
        <v>38</v>
      </c>
      <c r="B1320" t="s">
        <v>1018</v>
      </c>
      <c r="C1320">
        <v>65217</v>
      </c>
      <c r="D1320">
        <v>2022</v>
      </c>
      <c r="E1320" t="s">
        <v>69</v>
      </c>
      <c r="F1320" t="s">
        <v>1329</v>
      </c>
      <c r="H1320" t="s">
        <v>1330</v>
      </c>
      <c r="I1320">
        <v>8</v>
      </c>
      <c r="J1320" t="s">
        <v>72</v>
      </c>
      <c r="K1320">
        <v>4</v>
      </c>
      <c r="L1320" t="s">
        <v>371</v>
      </c>
      <c r="M1320">
        <v>6.7</v>
      </c>
      <c r="N1320" t="s">
        <v>91</v>
      </c>
      <c r="Q1320" t="s">
        <v>477</v>
      </c>
      <c r="R1320" t="s">
        <v>1331</v>
      </c>
      <c r="S1320" t="s">
        <v>93</v>
      </c>
      <c r="T1320">
        <v>475</v>
      </c>
      <c r="U1320" t="s">
        <v>229</v>
      </c>
      <c r="V1320" t="s">
        <v>76</v>
      </c>
      <c r="X1320" t="s">
        <v>1332</v>
      </c>
      <c r="Y1320" t="s">
        <v>78</v>
      </c>
      <c r="AA1320">
        <v>0</v>
      </c>
      <c r="AB1320" t="s">
        <v>79</v>
      </c>
      <c r="AC1320" t="s">
        <v>1333</v>
      </c>
      <c r="AD1320">
        <v>36</v>
      </c>
      <c r="AE1320">
        <v>9</v>
      </c>
      <c r="AF1320">
        <v>3</v>
      </c>
      <c r="AG1320">
        <v>2025</v>
      </c>
      <c r="AH1320" s="2">
        <v>52800</v>
      </c>
      <c r="AI1320" s="2">
        <v>54379.70703125</v>
      </c>
      <c r="AJ1320" s="2">
        <f t="shared" si="162"/>
        <v>1579.70703125</v>
      </c>
      <c r="AK1320" s="6">
        <f t="shared" si="163"/>
        <v>2.9918693773674242E-2</v>
      </c>
      <c r="AL1320" s="12">
        <v>52800</v>
      </c>
      <c r="AM1320" s="12">
        <v>55548.513517387153</v>
      </c>
      <c r="AN1320" s="12">
        <f t="shared" si="164"/>
        <v>2748.5135173871531</v>
      </c>
      <c r="AO1320" s="13">
        <f t="shared" si="165"/>
        <v>5.2055180253544567E-2</v>
      </c>
      <c r="AP1320" s="16">
        <v>52800</v>
      </c>
      <c r="AQ1320" s="16">
        <v>46945.722564901502</v>
      </c>
      <c r="AR1320" s="16">
        <f t="shared" si="166"/>
        <v>5854.2774350984982</v>
      </c>
      <c r="AS1320" s="17">
        <f t="shared" si="160"/>
        <v>0.11087646657383519</v>
      </c>
      <c r="AT1320" s="20">
        <v>52800</v>
      </c>
      <c r="AU1320" s="20">
        <v>54817.35546875</v>
      </c>
      <c r="AV1320" s="20">
        <f t="shared" si="161"/>
        <v>2017.35546875</v>
      </c>
      <c r="AW1320" s="21">
        <f t="shared" si="167"/>
        <v>3.820748993844697E-2</v>
      </c>
    </row>
    <row r="1321" spans="1:49" x14ac:dyDescent="0.25">
      <c r="A1321" t="s">
        <v>128</v>
      </c>
      <c r="B1321" t="s">
        <v>210</v>
      </c>
      <c r="C1321">
        <v>227179</v>
      </c>
      <c r="D1321">
        <v>2009</v>
      </c>
      <c r="E1321" t="s">
        <v>263</v>
      </c>
      <c r="F1321" t="s">
        <v>1241</v>
      </c>
      <c r="I1321">
        <v>6</v>
      </c>
      <c r="J1321" t="s">
        <v>61</v>
      </c>
      <c r="K1321">
        <v>4</v>
      </c>
      <c r="L1321" t="s">
        <v>44</v>
      </c>
      <c r="M1321">
        <v>3.7</v>
      </c>
      <c r="N1321" t="s">
        <v>44</v>
      </c>
      <c r="O1321" t="s">
        <v>46</v>
      </c>
      <c r="Q1321" t="s">
        <v>62</v>
      </c>
      <c r="R1321" t="s">
        <v>63</v>
      </c>
      <c r="S1321" t="s">
        <v>93</v>
      </c>
      <c r="U1321" t="s">
        <v>50</v>
      </c>
      <c r="W1321" t="s">
        <v>1242</v>
      </c>
      <c r="X1321" t="s">
        <v>94</v>
      </c>
      <c r="Y1321" t="s">
        <v>54</v>
      </c>
      <c r="AA1321">
        <v>0</v>
      </c>
      <c r="AB1321" t="s">
        <v>79</v>
      </c>
      <c r="AC1321" t="s">
        <v>87</v>
      </c>
      <c r="AD1321">
        <v>36</v>
      </c>
      <c r="AE1321">
        <v>9</v>
      </c>
      <c r="AF1321">
        <v>3</v>
      </c>
      <c r="AG1321">
        <v>2025</v>
      </c>
      <c r="AH1321" s="2">
        <v>500</v>
      </c>
      <c r="AI1321" s="2">
        <v>1027.70556640625</v>
      </c>
      <c r="AJ1321" s="2">
        <f t="shared" si="162"/>
        <v>527.70556640625</v>
      </c>
      <c r="AK1321" s="6">
        <f t="shared" si="163"/>
        <v>1.0554111328125</v>
      </c>
      <c r="AL1321" s="12">
        <v>500</v>
      </c>
      <c r="AM1321" s="12">
        <v>1323.7333999663231</v>
      </c>
      <c r="AN1321" s="12">
        <f t="shared" si="164"/>
        <v>823.73339996632308</v>
      </c>
      <c r="AO1321" s="13">
        <f t="shared" si="165"/>
        <v>1.6474667999326462</v>
      </c>
      <c r="AP1321" s="16">
        <v>500</v>
      </c>
      <c r="AQ1321" s="16">
        <v>982.0347469836338</v>
      </c>
      <c r="AR1321" s="16">
        <f t="shared" si="166"/>
        <v>482.0347469836338</v>
      </c>
      <c r="AS1321" s="17">
        <f t="shared" si="160"/>
        <v>0.9640694939672676</v>
      </c>
      <c r="AT1321" s="20">
        <v>500</v>
      </c>
      <c r="AU1321" s="20">
        <v>1014.768127441406</v>
      </c>
      <c r="AV1321" s="20">
        <f t="shared" si="161"/>
        <v>514.76812744140602</v>
      </c>
      <c r="AW1321" s="21">
        <f t="shared" si="167"/>
        <v>1.029536254882812</v>
      </c>
    </row>
    <row r="1322" spans="1:49" x14ac:dyDescent="0.25">
      <c r="A1322" t="s">
        <v>114</v>
      </c>
      <c r="B1322" t="s">
        <v>596</v>
      </c>
      <c r="C1322">
        <v>54314</v>
      </c>
      <c r="D1322">
        <v>2023</v>
      </c>
      <c r="E1322" t="s">
        <v>88</v>
      </c>
      <c r="F1322" t="s">
        <v>89</v>
      </c>
      <c r="G1322" t="s">
        <v>262</v>
      </c>
      <c r="H1322" t="s">
        <v>1052</v>
      </c>
      <c r="I1322">
        <v>8</v>
      </c>
      <c r="J1322" t="s">
        <v>72</v>
      </c>
      <c r="K1322">
        <v>4</v>
      </c>
      <c r="L1322" t="s">
        <v>44</v>
      </c>
      <c r="M1322">
        <v>5.7</v>
      </c>
      <c r="N1322" t="s">
        <v>91</v>
      </c>
      <c r="O1322" t="s">
        <v>46</v>
      </c>
      <c r="Q1322" t="s">
        <v>74</v>
      </c>
      <c r="R1322" t="s">
        <v>92</v>
      </c>
      <c r="S1322" t="s">
        <v>93</v>
      </c>
      <c r="T1322">
        <v>395</v>
      </c>
      <c r="U1322" t="s">
        <v>50</v>
      </c>
      <c r="V1322" t="s">
        <v>76</v>
      </c>
      <c r="X1322" t="s">
        <v>108</v>
      </c>
      <c r="Y1322" t="s">
        <v>78</v>
      </c>
      <c r="AA1322">
        <v>0</v>
      </c>
      <c r="AB1322" t="s">
        <v>79</v>
      </c>
      <c r="AC1322" t="s">
        <v>95</v>
      </c>
      <c r="AD1322">
        <v>36</v>
      </c>
      <c r="AE1322">
        <v>9</v>
      </c>
      <c r="AF1322">
        <v>3</v>
      </c>
      <c r="AG1322">
        <v>2025</v>
      </c>
      <c r="AH1322" s="2">
        <v>32000</v>
      </c>
      <c r="AI1322" s="2">
        <v>35416.6015625</v>
      </c>
      <c r="AJ1322" s="2">
        <f t="shared" si="162"/>
        <v>3416.6015625</v>
      </c>
      <c r="AK1322" s="6">
        <f t="shared" si="163"/>
        <v>0.106768798828125</v>
      </c>
      <c r="AL1322" s="12">
        <v>32000</v>
      </c>
      <c r="AM1322" s="12">
        <v>35375.845383345833</v>
      </c>
      <c r="AN1322" s="12">
        <f t="shared" si="164"/>
        <v>3375.8453833458334</v>
      </c>
      <c r="AO1322" s="13">
        <f t="shared" si="165"/>
        <v>0.10549516822955729</v>
      </c>
      <c r="AP1322" s="16">
        <v>32000</v>
      </c>
      <c r="AQ1322" s="16">
        <v>33005.342685862051</v>
      </c>
      <c r="AR1322" s="16">
        <f t="shared" si="166"/>
        <v>1005.3426858620514</v>
      </c>
      <c r="AS1322" s="17">
        <f t="shared" si="160"/>
        <v>3.1416958933189104E-2</v>
      </c>
      <c r="AT1322" s="20">
        <v>32000</v>
      </c>
      <c r="AU1322" s="20">
        <v>35413.32421875</v>
      </c>
      <c r="AV1322" s="20">
        <f t="shared" si="161"/>
        <v>3413.32421875</v>
      </c>
      <c r="AW1322" s="21">
        <f t="shared" si="167"/>
        <v>0.1066663818359375</v>
      </c>
    </row>
    <row r="1323" spans="1:49" x14ac:dyDescent="0.25">
      <c r="A1323" t="s">
        <v>81</v>
      </c>
      <c r="B1323" t="s">
        <v>304</v>
      </c>
      <c r="C1323">
        <v>21472</v>
      </c>
      <c r="D1323">
        <v>2023</v>
      </c>
      <c r="E1323" t="s">
        <v>88</v>
      </c>
      <c r="F1323" t="s">
        <v>637</v>
      </c>
      <c r="G1323" t="s">
        <v>638</v>
      </c>
      <c r="I1323">
        <v>6</v>
      </c>
      <c r="J1323" t="s">
        <v>72</v>
      </c>
      <c r="K1323">
        <v>3</v>
      </c>
      <c r="L1323" t="s">
        <v>44</v>
      </c>
      <c r="M1323">
        <v>3.6</v>
      </c>
      <c r="N1323" t="s">
        <v>45</v>
      </c>
      <c r="O1323" t="s">
        <v>46</v>
      </c>
      <c r="P1323">
        <v>4</v>
      </c>
      <c r="Q1323" t="s">
        <v>74</v>
      </c>
      <c r="R1323" t="s">
        <v>75</v>
      </c>
      <c r="S1323" t="s">
        <v>101</v>
      </c>
      <c r="T1323">
        <v>280</v>
      </c>
      <c r="U1323" t="s">
        <v>50</v>
      </c>
      <c r="V1323" t="s">
        <v>76</v>
      </c>
      <c r="X1323" t="s">
        <v>77</v>
      </c>
      <c r="Y1323" t="s">
        <v>126</v>
      </c>
      <c r="AA1323">
        <v>0</v>
      </c>
      <c r="AB1323" t="s">
        <v>79</v>
      </c>
      <c r="AC1323" t="s">
        <v>80</v>
      </c>
      <c r="AD1323">
        <v>36</v>
      </c>
      <c r="AE1323">
        <v>9</v>
      </c>
      <c r="AF1323">
        <v>3</v>
      </c>
      <c r="AG1323">
        <v>2025</v>
      </c>
      <c r="AH1323" s="2">
        <v>24400</v>
      </c>
      <c r="AI1323" s="2">
        <v>24089.638671875</v>
      </c>
      <c r="AJ1323" s="2">
        <f t="shared" si="162"/>
        <v>310.361328125</v>
      </c>
      <c r="AK1323" s="6">
        <f t="shared" si="163"/>
        <v>1.27197265625E-2</v>
      </c>
      <c r="AL1323" s="12">
        <v>24400</v>
      </c>
      <c r="AM1323" s="12">
        <v>28845.013468836871</v>
      </c>
      <c r="AN1323" s="12">
        <f t="shared" si="164"/>
        <v>4445.0134688368707</v>
      </c>
      <c r="AO1323" s="13">
        <f t="shared" si="165"/>
        <v>0.18217268314905208</v>
      </c>
      <c r="AP1323" s="16">
        <v>24400</v>
      </c>
      <c r="AQ1323" s="16">
        <v>30515.309198430208</v>
      </c>
      <c r="AR1323" s="16">
        <f t="shared" si="166"/>
        <v>6115.3091984302082</v>
      </c>
      <c r="AS1323" s="17">
        <f t="shared" si="160"/>
        <v>0.25062742616517247</v>
      </c>
      <c r="AT1323" s="20">
        <v>24400</v>
      </c>
      <c r="AU1323" s="20">
        <v>24747.2109375</v>
      </c>
      <c r="AV1323" s="20">
        <f t="shared" si="161"/>
        <v>347.2109375</v>
      </c>
      <c r="AW1323" s="21">
        <f t="shared" si="167"/>
        <v>1.4229956454918032E-2</v>
      </c>
    </row>
    <row r="1324" spans="1:49" x14ac:dyDescent="0.25">
      <c r="A1324" t="s">
        <v>38</v>
      </c>
      <c r="B1324" t="s">
        <v>39</v>
      </c>
      <c r="C1324">
        <v>152193</v>
      </c>
      <c r="D1324">
        <v>2017</v>
      </c>
      <c r="E1324" t="s">
        <v>97</v>
      </c>
      <c r="F1324" t="s">
        <v>159</v>
      </c>
      <c r="G1324" t="s">
        <v>579</v>
      </c>
      <c r="H1324" t="s">
        <v>89</v>
      </c>
      <c r="I1324">
        <v>8</v>
      </c>
      <c r="J1324" t="s">
        <v>72</v>
      </c>
      <c r="K1324">
        <v>4</v>
      </c>
      <c r="L1324" t="s">
        <v>44</v>
      </c>
      <c r="M1324">
        <v>5.3</v>
      </c>
      <c r="N1324" t="s">
        <v>91</v>
      </c>
      <c r="O1324" t="s">
        <v>46</v>
      </c>
      <c r="P1324">
        <v>2</v>
      </c>
      <c r="Q1324" t="s">
        <v>74</v>
      </c>
      <c r="R1324" t="s">
        <v>92</v>
      </c>
      <c r="S1324" t="s">
        <v>93</v>
      </c>
      <c r="U1324" t="s">
        <v>50</v>
      </c>
      <c r="W1324" t="s">
        <v>424</v>
      </c>
      <c r="X1324" t="s">
        <v>108</v>
      </c>
      <c r="Y1324" t="s">
        <v>78</v>
      </c>
      <c r="Z1324">
        <v>33645</v>
      </c>
      <c r="AA1324">
        <v>0</v>
      </c>
      <c r="AB1324" t="s">
        <v>79</v>
      </c>
      <c r="AC1324" t="s">
        <v>95</v>
      </c>
      <c r="AD1324">
        <v>36</v>
      </c>
      <c r="AE1324">
        <v>9</v>
      </c>
      <c r="AF1324">
        <v>3</v>
      </c>
      <c r="AG1324">
        <v>2025</v>
      </c>
      <c r="AH1324" s="2">
        <v>7000</v>
      </c>
      <c r="AI1324" s="2">
        <v>8722.3876953125</v>
      </c>
      <c r="AJ1324" s="2">
        <f t="shared" si="162"/>
        <v>1722.3876953125</v>
      </c>
      <c r="AK1324" s="6">
        <f t="shared" si="163"/>
        <v>0.24605538504464286</v>
      </c>
      <c r="AL1324" s="12">
        <v>7000</v>
      </c>
      <c r="AM1324" s="12">
        <v>10149.21111602255</v>
      </c>
      <c r="AN1324" s="12">
        <f t="shared" si="164"/>
        <v>3149.2111160225504</v>
      </c>
      <c r="AO1324" s="13">
        <f t="shared" si="165"/>
        <v>0.44988730228893575</v>
      </c>
      <c r="AP1324" s="16">
        <v>7000</v>
      </c>
      <c r="AQ1324" s="16">
        <v>9317.1420067282797</v>
      </c>
      <c r="AR1324" s="16">
        <f t="shared" si="166"/>
        <v>2317.1420067282797</v>
      </c>
      <c r="AS1324" s="17">
        <f t="shared" si="160"/>
        <v>0.33102028667546851</v>
      </c>
      <c r="AT1324" s="20">
        <v>7000</v>
      </c>
      <c r="AU1324" s="20">
        <v>9035.48046875</v>
      </c>
      <c r="AV1324" s="20">
        <f t="shared" si="161"/>
        <v>2035.48046875</v>
      </c>
      <c r="AW1324" s="21">
        <f t="shared" si="167"/>
        <v>0.29078292410714285</v>
      </c>
    </row>
    <row r="1325" spans="1:49" x14ac:dyDescent="0.25">
      <c r="A1325" t="s">
        <v>38</v>
      </c>
      <c r="B1325" t="s">
        <v>39</v>
      </c>
      <c r="C1325">
        <v>197679</v>
      </c>
      <c r="D1325">
        <v>2004</v>
      </c>
      <c r="E1325" t="s">
        <v>97</v>
      </c>
      <c r="F1325" t="s">
        <v>470</v>
      </c>
      <c r="G1325" t="s">
        <v>199</v>
      </c>
      <c r="I1325">
        <v>6</v>
      </c>
      <c r="J1325" t="s">
        <v>72</v>
      </c>
      <c r="K1325">
        <v>4</v>
      </c>
      <c r="L1325" t="s">
        <v>44</v>
      </c>
      <c r="M1325">
        <v>3.5</v>
      </c>
      <c r="N1325" t="s">
        <v>45</v>
      </c>
      <c r="Q1325" t="s">
        <v>47</v>
      </c>
      <c r="R1325" t="s">
        <v>48</v>
      </c>
      <c r="U1325" t="s">
        <v>50</v>
      </c>
      <c r="V1325" t="s">
        <v>76</v>
      </c>
      <c r="W1325" t="s">
        <v>859</v>
      </c>
      <c r="X1325" t="s">
        <v>125</v>
      </c>
      <c r="Y1325" t="s">
        <v>78</v>
      </c>
      <c r="AA1325">
        <v>0</v>
      </c>
      <c r="AB1325" t="s">
        <v>79</v>
      </c>
      <c r="AC1325" t="s">
        <v>359</v>
      </c>
      <c r="AD1325">
        <v>36</v>
      </c>
      <c r="AE1325">
        <v>9</v>
      </c>
      <c r="AF1325">
        <v>3</v>
      </c>
      <c r="AG1325">
        <v>2025</v>
      </c>
      <c r="AH1325" s="2">
        <v>400</v>
      </c>
      <c r="AI1325" s="2">
        <v>698.56549072265625</v>
      </c>
      <c r="AJ1325" s="2">
        <f t="shared" si="162"/>
        <v>298.56549072265625</v>
      </c>
      <c r="AK1325" s="6">
        <f t="shared" si="163"/>
        <v>0.74641372680664064</v>
      </c>
      <c r="AL1325" s="12">
        <v>400</v>
      </c>
      <c r="AM1325" s="12">
        <v>682.61594630045249</v>
      </c>
      <c r="AN1325" s="12">
        <f t="shared" si="164"/>
        <v>282.61594630045249</v>
      </c>
      <c r="AO1325" s="13">
        <f t="shared" si="165"/>
        <v>0.70653986575113126</v>
      </c>
      <c r="AP1325" s="16">
        <v>400</v>
      </c>
      <c r="AQ1325" s="16">
        <v>669.63380366378499</v>
      </c>
      <c r="AR1325" s="16">
        <f t="shared" si="166"/>
        <v>269.63380366378499</v>
      </c>
      <c r="AS1325" s="17">
        <f t="shared" si="160"/>
        <v>0.6740845091594625</v>
      </c>
      <c r="AT1325" s="20">
        <v>400</v>
      </c>
      <c r="AU1325" s="20">
        <v>648.20440673828125</v>
      </c>
      <c r="AV1325" s="20">
        <f t="shared" si="161"/>
        <v>248.20440673828125</v>
      </c>
      <c r="AW1325" s="21">
        <f t="shared" si="167"/>
        <v>0.62051101684570309</v>
      </c>
    </row>
    <row r="1326" spans="1:49" x14ac:dyDescent="0.25">
      <c r="A1326" t="s">
        <v>114</v>
      </c>
      <c r="B1326" t="s">
        <v>340</v>
      </c>
      <c r="C1326">
        <v>184961</v>
      </c>
      <c r="D1326">
        <v>2006</v>
      </c>
      <c r="E1326" t="s">
        <v>286</v>
      </c>
      <c r="F1326" t="s">
        <v>287</v>
      </c>
      <c r="G1326" t="s">
        <v>1334</v>
      </c>
      <c r="H1326" t="s">
        <v>1335</v>
      </c>
      <c r="I1326">
        <v>6</v>
      </c>
      <c r="J1326" t="s">
        <v>135</v>
      </c>
      <c r="K1326">
        <v>4</v>
      </c>
      <c r="L1326" t="s">
        <v>44</v>
      </c>
      <c r="M1326">
        <v>3.3</v>
      </c>
      <c r="N1326" t="s">
        <v>44</v>
      </c>
      <c r="O1326" t="s">
        <v>46</v>
      </c>
      <c r="P1326">
        <v>3</v>
      </c>
      <c r="Q1326" t="s">
        <v>62</v>
      </c>
      <c r="R1326" t="s">
        <v>63</v>
      </c>
      <c r="S1326" t="s">
        <v>85</v>
      </c>
      <c r="T1326">
        <v>208</v>
      </c>
      <c r="U1326" t="s">
        <v>50</v>
      </c>
      <c r="V1326" t="s">
        <v>76</v>
      </c>
      <c r="W1326" t="s">
        <v>1336</v>
      </c>
      <c r="X1326" t="s">
        <v>141</v>
      </c>
      <c r="Y1326" t="s">
        <v>54</v>
      </c>
      <c r="AA1326">
        <v>1</v>
      </c>
      <c r="AB1326" t="s">
        <v>55</v>
      </c>
      <c r="AC1326" t="s">
        <v>67</v>
      </c>
      <c r="AD1326">
        <v>36</v>
      </c>
      <c r="AE1326">
        <v>9</v>
      </c>
      <c r="AF1326">
        <v>3</v>
      </c>
      <c r="AG1326">
        <v>2025</v>
      </c>
      <c r="AH1326" s="2">
        <v>2400</v>
      </c>
      <c r="AI1326" s="2">
        <v>1489.560668945312</v>
      </c>
      <c r="AJ1326" s="2">
        <f t="shared" si="162"/>
        <v>910.43933105468795</v>
      </c>
      <c r="AK1326" s="6">
        <f t="shared" si="163"/>
        <v>0.37934972127278666</v>
      </c>
      <c r="AL1326" s="12">
        <v>2400</v>
      </c>
      <c r="AM1326" s="12">
        <v>1603.6586753516681</v>
      </c>
      <c r="AN1326" s="12">
        <f t="shared" si="164"/>
        <v>796.34132464833192</v>
      </c>
      <c r="AO1326" s="13">
        <f t="shared" si="165"/>
        <v>0.3318088852701383</v>
      </c>
      <c r="AP1326" s="16">
        <v>2400</v>
      </c>
      <c r="AQ1326" s="16">
        <v>1167.681248468976</v>
      </c>
      <c r="AR1326" s="16">
        <f t="shared" si="166"/>
        <v>1232.318751531024</v>
      </c>
      <c r="AS1326" s="17">
        <f t="shared" si="160"/>
        <v>0.51346614647125999</v>
      </c>
      <c r="AT1326" s="20">
        <v>2400</v>
      </c>
      <c r="AU1326" s="20">
        <v>1489.906860351562</v>
      </c>
      <c r="AV1326" s="20">
        <f t="shared" si="161"/>
        <v>910.09313964843795</v>
      </c>
      <c r="AW1326" s="21">
        <f t="shared" si="167"/>
        <v>0.3792054748535158</v>
      </c>
    </row>
    <row r="1327" spans="1:49" x14ac:dyDescent="0.25">
      <c r="A1327" t="s">
        <v>38</v>
      </c>
      <c r="B1327" t="s">
        <v>96</v>
      </c>
      <c r="C1327">
        <v>102625</v>
      </c>
      <c r="D1327">
        <v>2019</v>
      </c>
      <c r="E1327" t="s">
        <v>116</v>
      </c>
      <c r="F1327" t="s">
        <v>237</v>
      </c>
      <c r="G1327" t="s">
        <v>396</v>
      </c>
      <c r="I1327">
        <v>6</v>
      </c>
      <c r="J1327" t="s">
        <v>135</v>
      </c>
      <c r="K1327">
        <v>4</v>
      </c>
      <c r="L1327" t="s">
        <v>44</v>
      </c>
      <c r="M1327">
        <v>3.6</v>
      </c>
      <c r="N1327" t="s">
        <v>73</v>
      </c>
      <c r="O1327" t="s">
        <v>46</v>
      </c>
      <c r="P1327">
        <v>1</v>
      </c>
      <c r="Q1327" t="s">
        <v>47</v>
      </c>
      <c r="R1327" t="s">
        <v>123</v>
      </c>
      <c r="S1327" t="s">
        <v>179</v>
      </c>
      <c r="T1327">
        <v>292</v>
      </c>
      <c r="U1327" t="s">
        <v>50</v>
      </c>
      <c r="V1327" t="s">
        <v>76</v>
      </c>
      <c r="X1327" t="s">
        <v>125</v>
      </c>
      <c r="Y1327" t="s">
        <v>103</v>
      </c>
      <c r="AA1327">
        <v>0</v>
      </c>
      <c r="AB1327" t="s">
        <v>79</v>
      </c>
      <c r="AC1327" t="s">
        <v>127</v>
      </c>
      <c r="AD1327">
        <v>36</v>
      </c>
      <c r="AE1327">
        <v>9</v>
      </c>
      <c r="AF1327">
        <v>3</v>
      </c>
      <c r="AG1327">
        <v>2025</v>
      </c>
      <c r="AH1327" s="2">
        <v>9250</v>
      </c>
      <c r="AI1327" s="2">
        <v>6855.52685546875</v>
      </c>
      <c r="AJ1327" s="2">
        <f t="shared" si="162"/>
        <v>2394.47314453125</v>
      </c>
      <c r="AK1327" s="6">
        <f t="shared" si="163"/>
        <v>0.25886196157094593</v>
      </c>
      <c r="AL1327" s="12">
        <v>9250</v>
      </c>
      <c r="AM1327" s="12">
        <v>7547.8623800292225</v>
      </c>
      <c r="AN1327" s="12">
        <f t="shared" si="164"/>
        <v>1702.1376199707775</v>
      </c>
      <c r="AO1327" s="13">
        <f t="shared" si="165"/>
        <v>0.18401487783467865</v>
      </c>
      <c r="AP1327" s="16">
        <v>9250</v>
      </c>
      <c r="AQ1327" s="16">
        <v>6358.1256879465936</v>
      </c>
      <c r="AR1327" s="16">
        <f t="shared" si="166"/>
        <v>2891.8743120534064</v>
      </c>
      <c r="AS1327" s="17">
        <f t="shared" si="160"/>
        <v>0.31263506076253039</v>
      </c>
      <c r="AT1327" s="20">
        <v>9250</v>
      </c>
      <c r="AU1327" s="20">
        <v>6935.171875</v>
      </c>
      <c r="AV1327" s="20">
        <f t="shared" si="161"/>
        <v>2314.828125</v>
      </c>
      <c r="AW1327" s="21">
        <f t="shared" si="167"/>
        <v>0.25025168918918916</v>
      </c>
    </row>
    <row r="1328" spans="1:49" x14ac:dyDescent="0.25">
      <c r="A1328" t="s">
        <v>128</v>
      </c>
      <c r="B1328" t="s">
        <v>129</v>
      </c>
      <c r="C1328">
        <v>163681</v>
      </c>
      <c r="D1328">
        <v>2010</v>
      </c>
      <c r="E1328" t="s">
        <v>97</v>
      </c>
      <c r="F1328" t="s">
        <v>701</v>
      </c>
      <c r="G1328" t="s">
        <v>199</v>
      </c>
      <c r="I1328">
        <v>6</v>
      </c>
      <c r="J1328" t="s">
        <v>135</v>
      </c>
      <c r="K1328">
        <v>4</v>
      </c>
      <c r="L1328" t="s">
        <v>44</v>
      </c>
      <c r="M1328">
        <v>3.5</v>
      </c>
      <c r="N1328" t="s">
        <v>45</v>
      </c>
      <c r="O1328" t="s">
        <v>46</v>
      </c>
      <c r="P1328">
        <v>1</v>
      </c>
      <c r="Q1328" t="s">
        <v>47</v>
      </c>
      <c r="R1328" t="s">
        <v>123</v>
      </c>
      <c r="U1328" t="s">
        <v>180</v>
      </c>
      <c r="V1328" t="s">
        <v>76</v>
      </c>
      <c r="W1328" t="s">
        <v>702</v>
      </c>
      <c r="X1328" t="s">
        <v>125</v>
      </c>
      <c r="Y1328" t="s">
        <v>103</v>
      </c>
      <c r="AA1328">
        <v>0</v>
      </c>
      <c r="AB1328" t="s">
        <v>79</v>
      </c>
      <c r="AC1328" t="s">
        <v>127</v>
      </c>
      <c r="AD1328">
        <v>36</v>
      </c>
      <c r="AE1328">
        <v>9</v>
      </c>
      <c r="AF1328">
        <v>3</v>
      </c>
      <c r="AG1328">
        <v>2025</v>
      </c>
      <c r="AH1328" s="2">
        <v>500</v>
      </c>
      <c r="AI1328" s="2">
        <v>612.77423095703125</v>
      </c>
      <c r="AJ1328" s="2">
        <f t="shared" si="162"/>
        <v>112.77423095703125</v>
      </c>
      <c r="AK1328" s="6">
        <f t="shared" si="163"/>
        <v>0.2255484619140625</v>
      </c>
      <c r="AL1328" s="12">
        <v>500</v>
      </c>
      <c r="AM1328" s="12">
        <v>726.66827931148259</v>
      </c>
      <c r="AN1328" s="12">
        <f t="shared" si="164"/>
        <v>226.66827931148259</v>
      </c>
      <c r="AO1328" s="13">
        <f t="shared" si="165"/>
        <v>0.45333655862296518</v>
      </c>
      <c r="AP1328" s="16">
        <v>500</v>
      </c>
      <c r="AQ1328" s="16">
        <v>681.23952688879774</v>
      </c>
      <c r="AR1328" s="16">
        <f t="shared" si="166"/>
        <v>181.23952688879774</v>
      </c>
      <c r="AS1328" s="17">
        <f t="shared" si="160"/>
        <v>0.36247905377759548</v>
      </c>
      <c r="AT1328" s="20">
        <v>500</v>
      </c>
      <c r="AU1328" s="20">
        <v>616.9681396484375</v>
      </c>
      <c r="AV1328" s="20">
        <f t="shared" si="161"/>
        <v>116.9681396484375</v>
      </c>
      <c r="AW1328" s="21">
        <f t="shared" si="167"/>
        <v>0.23393627929687499</v>
      </c>
    </row>
    <row r="1329" spans="1:49" x14ac:dyDescent="0.25">
      <c r="A1329" t="s">
        <v>128</v>
      </c>
      <c r="B1329" t="s">
        <v>309</v>
      </c>
      <c r="C1329">
        <v>33376</v>
      </c>
      <c r="D1329">
        <v>2023</v>
      </c>
      <c r="E1329" t="s">
        <v>174</v>
      </c>
      <c r="F1329" t="s">
        <v>809</v>
      </c>
      <c r="H1329" t="s">
        <v>172</v>
      </c>
      <c r="I1329">
        <v>6</v>
      </c>
      <c r="J1329" t="s">
        <v>72</v>
      </c>
      <c r="K1329">
        <v>3</v>
      </c>
      <c r="L1329" t="s">
        <v>44</v>
      </c>
      <c r="M1329">
        <v>4.3</v>
      </c>
      <c r="N1329" t="s">
        <v>73</v>
      </c>
      <c r="O1329" t="s">
        <v>46</v>
      </c>
      <c r="P1329">
        <v>4</v>
      </c>
      <c r="Q1329" t="s">
        <v>74</v>
      </c>
      <c r="R1329" t="s">
        <v>75</v>
      </c>
      <c r="U1329" t="s">
        <v>50</v>
      </c>
      <c r="V1329" t="s">
        <v>76</v>
      </c>
      <c r="W1329" t="s">
        <v>173</v>
      </c>
      <c r="X1329" t="s">
        <v>77</v>
      </c>
      <c r="Y1329" t="s">
        <v>78</v>
      </c>
      <c r="AA1329">
        <v>0</v>
      </c>
      <c r="AB1329" t="s">
        <v>79</v>
      </c>
      <c r="AC1329" t="s">
        <v>80</v>
      </c>
      <c r="AD1329">
        <v>36</v>
      </c>
      <c r="AE1329">
        <v>9</v>
      </c>
      <c r="AF1329">
        <v>3</v>
      </c>
      <c r="AG1329">
        <v>2025</v>
      </c>
      <c r="AH1329" s="2">
        <v>23700</v>
      </c>
      <c r="AI1329" s="2">
        <v>26742.53125</v>
      </c>
      <c r="AJ1329" s="2">
        <f t="shared" si="162"/>
        <v>3042.53125</v>
      </c>
      <c r="AK1329" s="6">
        <f t="shared" si="163"/>
        <v>0.12837684599156118</v>
      </c>
      <c r="AL1329" s="12">
        <v>23700</v>
      </c>
      <c r="AM1329" s="12">
        <v>30763.05974212179</v>
      </c>
      <c r="AN1329" s="12">
        <f t="shared" si="164"/>
        <v>7063.0597421217899</v>
      </c>
      <c r="AO1329" s="13">
        <f t="shared" si="165"/>
        <v>0.29801939840176328</v>
      </c>
      <c r="AP1329" s="16">
        <v>23700</v>
      </c>
      <c r="AQ1329" s="16">
        <v>28568.639773750259</v>
      </c>
      <c r="AR1329" s="16">
        <f t="shared" si="166"/>
        <v>4868.6397737502593</v>
      </c>
      <c r="AS1329" s="17">
        <f t="shared" si="160"/>
        <v>0.20542783855486327</v>
      </c>
      <c r="AT1329" s="20">
        <v>23700</v>
      </c>
      <c r="AU1329" s="20">
        <v>27285.740234375</v>
      </c>
      <c r="AV1329" s="20">
        <f t="shared" si="161"/>
        <v>3585.740234375</v>
      </c>
      <c r="AW1329" s="21">
        <f t="shared" si="167"/>
        <v>0.15129705630274262</v>
      </c>
    </row>
    <row r="1330" spans="1:49" x14ac:dyDescent="0.25">
      <c r="A1330" t="s">
        <v>38</v>
      </c>
      <c r="B1330" t="s">
        <v>110</v>
      </c>
      <c r="C1330">
        <v>152343</v>
      </c>
      <c r="D1330">
        <v>2017</v>
      </c>
      <c r="E1330" t="s">
        <v>142</v>
      </c>
      <c r="F1330" t="s">
        <v>373</v>
      </c>
      <c r="G1330" t="s">
        <v>1337</v>
      </c>
      <c r="H1330" t="s">
        <v>375</v>
      </c>
      <c r="I1330">
        <v>6</v>
      </c>
      <c r="J1330" t="s">
        <v>135</v>
      </c>
      <c r="K1330">
        <v>4</v>
      </c>
      <c r="L1330" t="s">
        <v>44</v>
      </c>
      <c r="M1330">
        <v>3.6</v>
      </c>
      <c r="N1330" t="s">
        <v>73</v>
      </c>
      <c r="Q1330" t="s">
        <v>62</v>
      </c>
      <c r="R1330" t="s">
        <v>63</v>
      </c>
      <c r="S1330" t="s">
        <v>49</v>
      </c>
      <c r="T1330">
        <v>295</v>
      </c>
      <c r="U1330" t="s">
        <v>50</v>
      </c>
      <c r="V1330" t="s">
        <v>76</v>
      </c>
      <c r="X1330" t="s">
        <v>94</v>
      </c>
      <c r="Y1330" t="s">
        <v>78</v>
      </c>
      <c r="Z1330">
        <v>44795</v>
      </c>
      <c r="AA1330">
        <v>0</v>
      </c>
      <c r="AB1330" t="s">
        <v>79</v>
      </c>
      <c r="AC1330" t="s">
        <v>87</v>
      </c>
      <c r="AD1330">
        <v>36</v>
      </c>
      <c r="AE1330">
        <v>9</v>
      </c>
      <c r="AF1330">
        <v>3</v>
      </c>
      <c r="AG1330">
        <v>2025</v>
      </c>
      <c r="AH1330" s="2">
        <v>6000</v>
      </c>
      <c r="AI1330" s="2">
        <v>7292.56494140625</v>
      </c>
      <c r="AJ1330" s="2">
        <f t="shared" si="162"/>
        <v>1292.56494140625</v>
      </c>
      <c r="AK1330" s="6">
        <f t="shared" si="163"/>
        <v>0.21542749023437499</v>
      </c>
      <c r="AL1330" s="12">
        <v>6000</v>
      </c>
      <c r="AM1330" s="12">
        <v>6609.4860323776202</v>
      </c>
      <c r="AN1330" s="12">
        <f t="shared" si="164"/>
        <v>609.48603237762018</v>
      </c>
      <c r="AO1330" s="13">
        <f t="shared" si="165"/>
        <v>0.10158100539627003</v>
      </c>
      <c r="AP1330" s="16">
        <v>6000</v>
      </c>
      <c r="AQ1330" s="16">
        <v>5387.0950655447459</v>
      </c>
      <c r="AR1330" s="16">
        <f t="shared" si="166"/>
        <v>612.90493445525408</v>
      </c>
      <c r="AS1330" s="17">
        <f t="shared" si="160"/>
        <v>0.10215082240920902</v>
      </c>
      <c r="AT1330" s="20">
        <v>6000</v>
      </c>
      <c r="AU1330" s="20">
        <v>7230.34228515625</v>
      </c>
      <c r="AV1330" s="20">
        <f t="shared" si="161"/>
        <v>1230.34228515625</v>
      </c>
      <c r="AW1330" s="21">
        <f t="shared" si="167"/>
        <v>0.20505704752604167</v>
      </c>
    </row>
    <row r="1331" spans="1:49" x14ac:dyDescent="0.25">
      <c r="A1331" t="s">
        <v>38</v>
      </c>
      <c r="B1331" t="s">
        <v>96</v>
      </c>
      <c r="C1331">
        <v>18378</v>
      </c>
      <c r="D1331">
        <v>2025</v>
      </c>
      <c r="E1331" t="s">
        <v>97</v>
      </c>
      <c r="F1331" t="s">
        <v>363</v>
      </c>
      <c r="G1331" t="s">
        <v>1338</v>
      </c>
      <c r="I1331">
        <v>3</v>
      </c>
      <c r="J1331" t="s">
        <v>122</v>
      </c>
      <c r="K1331">
        <v>4</v>
      </c>
      <c r="L1331" t="s">
        <v>44</v>
      </c>
      <c r="M1331">
        <v>1.2</v>
      </c>
      <c r="N1331" t="s">
        <v>45</v>
      </c>
      <c r="O1331" t="s">
        <v>46</v>
      </c>
      <c r="P1331">
        <v>5</v>
      </c>
      <c r="Q1331" t="s">
        <v>62</v>
      </c>
      <c r="R1331" t="s">
        <v>63</v>
      </c>
      <c r="S1331" t="s">
        <v>101</v>
      </c>
      <c r="U1331" t="s">
        <v>50</v>
      </c>
      <c r="W1331" t="s">
        <v>968</v>
      </c>
      <c r="X1331" t="s">
        <v>65</v>
      </c>
      <c r="Y1331" t="s">
        <v>66</v>
      </c>
      <c r="AA1331">
        <v>0</v>
      </c>
      <c r="AB1331" t="s">
        <v>79</v>
      </c>
      <c r="AC1331" t="s">
        <v>87</v>
      </c>
      <c r="AD1331">
        <v>36</v>
      </c>
      <c r="AE1331">
        <v>9</v>
      </c>
      <c r="AF1331">
        <v>3</v>
      </c>
      <c r="AG1331">
        <v>2025</v>
      </c>
      <c r="AH1331" s="2">
        <v>21400</v>
      </c>
      <c r="AI1331" s="2">
        <v>21053.89453125</v>
      </c>
      <c r="AJ1331" s="2">
        <f t="shared" si="162"/>
        <v>346.10546875</v>
      </c>
      <c r="AK1331" s="6">
        <f t="shared" si="163"/>
        <v>1.6173152745327102E-2</v>
      </c>
      <c r="AL1331" s="12">
        <v>21400</v>
      </c>
      <c r="AM1331" s="12">
        <v>18724.410106047439</v>
      </c>
      <c r="AN1331" s="12">
        <f t="shared" si="164"/>
        <v>2675.5898939525614</v>
      </c>
      <c r="AO1331" s="13">
        <f t="shared" si="165"/>
        <v>0.12502756513797017</v>
      </c>
      <c r="AP1331" s="16">
        <v>21400</v>
      </c>
      <c r="AQ1331" s="16">
        <v>21332.457648905911</v>
      </c>
      <c r="AR1331" s="16">
        <f t="shared" si="166"/>
        <v>67.542351094089099</v>
      </c>
      <c r="AS1331" s="17">
        <f t="shared" si="160"/>
        <v>3.1561846305649113E-3</v>
      </c>
      <c r="AT1331" s="20">
        <v>21400</v>
      </c>
      <c r="AU1331" s="20">
        <v>20558.412109375</v>
      </c>
      <c r="AV1331" s="20">
        <f t="shared" si="161"/>
        <v>841.587890625</v>
      </c>
      <c r="AW1331" s="21">
        <f t="shared" si="167"/>
        <v>3.9326536945093457E-2</v>
      </c>
    </row>
    <row r="1332" spans="1:49" x14ac:dyDescent="0.25">
      <c r="A1332" t="s">
        <v>38</v>
      </c>
      <c r="B1332" t="s">
        <v>68</v>
      </c>
      <c r="C1332">
        <v>100229</v>
      </c>
      <c r="D1332">
        <v>2015</v>
      </c>
      <c r="E1332" t="s">
        <v>146</v>
      </c>
      <c r="F1332" t="s">
        <v>147</v>
      </c>
      <c r="I1332">
        <v>4</v>
      </c>
      <c r="J1332" t="s">
        <v>61</v>
      </c>
      <c r="K1332">
        <v>4</v>
      </c>
      <c r="L1332" t="s">
        <v>44</v>
      </c>
      <c r="M1332">
        <v>2.5</v>
      </c>
      <c r="N1332" t="s">
        <v>45</v>
      </c>
      <c r="O1332" t="s">
        <v>46</v>
      </c>
      <c r="P1332">
        <v>5</v>
      </c>
      <c r="Q1332" t="s">
        <v>62</v>
      </c>
      <c r="R1332" t="s">
        <v>148</v>
      </c>
      <c r="S1332" t="s">
        <v>49</v>
      </c>
      <c r="U1332" t="s">
        <v>50</v>
      </c>
      <c r="X1332" t="s">
        <v>65</v>
      </c>
      <c r="Y1332" t="s">
        <v>66</v>
      </c>
      <c r="AA1332">
        <v>0</v>
      </c>
      <c r="AB1332" t="s">
        <v>79</v>
      </c>
      <c r="AC1332" t="s">
        <v>87</v>
      </c>
      <c r="AD1332">
        <v>36</v>
      </c>
      <c r="AE1332">
        <v>9</v>
      </c>
      <c r="AF1332">
        <v>3</v>
      </c>
      <c r="AG1332">
        <v>2025</v>
      </c>
      <c r="AH1332" s="2">
        <v>7200</v>
      </c>
      <c r="AI1332" s="2">
        <v>5651.900390625</v>
      </c>
      <c r="AJ1332" s="2">
        <f t="shared" si="162"/>
        <v>1548.099609375</v>
      </c>
      <c r="AK1332" s="6">
        <f t="shared" si="163"/>
        <v>0.21501383463541668</v>
      </c>
      <c r="AL1332" s="12">
        <v>7200</v>
      </c>
      <c r="AM1332" s="12">
        <v>5462.0070080840096</v>
      </c>
      <c r="AN1332" s="12">
        <f t="shared" si="164"/>
        <v>1737.9929919159904</v>
      </c>
      <c r="AO1332" s="13">
        <f t="shared" si="165"/>
        <v>0.24138791554388755</v>
      </c>
      <c r="AP1332" s="16">
        <v>7200</v>
      </c>
      <c r="AQ1332" s="16">
        <v>5792.2791441556719</v>
      </c>
      <c r="AR1332" s="16">
        <f t="shared" si="166"/>
        <v>1407.7208558443281</v>
      </c>
      <c r="AS1332" s="17">
        <f t="shared" si="160"/>
        <v>0.19551678553393445</v>
      </c>
      <c r="AT1332" s="20">
        <v>7200</v>
      </c>
      <c r="AU1332" s="20">
        <v>5642.91552734375</v>
      </c>
      <c r="AV1332" s="20">
        <f t="shared" si="161"/>
        <v>1557.08447265625</v>
      </c>
      <c r="AW1332" s="21">
        <f t="shared" si="167"/>
        <v>0.21626173231336807</v>
      </c>
    </row>
    <row r="1333" spans="1:49" x14ac:dyDescent="0.25">
      <c r="A1333" t="s">
        <v>38</v>
      </c>
      <c r="B1333" t="s">
        <v>96</v>
      </c>
      <c r="C1333">
        <v>35756</v>
      </c>
      <c r="D1333">
        <v>2023</v>
      </c>
      <c r="E1333" t="s">
        <v>146</v>
      </c>
      <c r="F1333" t="s">
        <v>147</v>
      </c>
      <c r="G1333" t="s">
        <v>1060</v>
      </c>
      <c r="I1333">
        <v>3</v>
      </c>
      <c r="J1333" t="s">
        <v>135</v>
      </c>
      <c r="K1333">
        <v>4</v>
      </c>
      <c r="L1333" t="s">
        <v>44</v>
      </c>
      <c r="M1333">
        <v>1.5</v>
      </c>
      <c r="N1333" t="s">
        <v>45</v>
      </c>
      <c r="O1333" t="s">
        <v>46</v>
      </c>
      <c r="P1333">
        <v>4</v>
      </c>
      <c r="Q1333" t="s">
        <v>62</v>
      </c>
      <c r="R1333" t="s">
        <v>63</v>
      </c>
      <c r="S1333" t="s">
        <v>49</v>
      </c>
      <c r="U1333" t="s">
        <v>50</v>
      </c>
      <c r="V1333" t="s">
        <v>51</v>
      </c>
      <c r="X1333" t="s">
        <v>65</v>
      </c>
      <c r="Y1333" t="s">
        <v>54</v>
      </c>
      <c r="AA1333">
        <v>0</v>
      </c>
      <c r="AB1333" t="s">
        <v>79</v>
      </c>
      <c r="AC1333" t="s">
        <v>87</v>
      </c>
      <c r="AD1333">
        <v>36</v>
      </c>
      <c r="AE1333">
        <v>9</v>
      </c>
      <c r="AF1333">
        <v>3</v>
      </c>
      <c r="AG1333">
        <v>2025</v>
      </c>
      <c r="AH1333" s="2">
        <v>19100</v>
      </c>
      <c r="AI1333" s="2">
        <v>19959.912109375</v>
      </c>
      <c r="AJ1333" s="2">
        <f t="shared" si="162"/>
        <v>859.912109375</v>
      </c>
      <c r="AK1333" s="6">
        <f t="shared" si="163"/>
        <v>4.502157640706806E-2</v>
      </c>
      <c r="AL1333" s="12">
        <v>19100</v>
      </c>
      <c r="AM1333" s="12">
        <v>19281.453105651119</v>
      </c>
      <c r="AN1333" s="12">
        <f t="shared" si="164"/>
        <v>181.45310565111868</v>
      </c>
      <c r="AO1333" s="13">
        <f t="shared" si="165"/>
        <v>9.5001625995350097E-3</v>
      </c>
      <c r="AP1333" s="16">
        <v>19100</v>
      </c>
      <c r="AQ1333" s="16">
        <v>18024.49302751185</v>
      </c>
      <c r="AR1333" s="16">
        <f t="shared" si="166"/>
        <v>1075.5069724881505</v>
      </c>
      <c r="AS1333" s="17">
        <f t="shared" si="160"/>
        <v>5.6309265575295836E-2</v>
      </c>
      <c r="AT1333" s="20">
        <v>19100</v>
      </c>
      <c r="AU1333" s="20">
        <v>19722.375</v>
      </c>
      <c r="AV1333" s="20">
        <f t="shared" si="161"/>
        <v>622.375</v>
      </c>
      <c r="AW1333" s="21">
        <f t="shared" si="167"/>
        <v>3.2585078534031413E-2</v>
      </c>
    </row>
    <row r="1334" spans="1:49" x14ac:dyDescent="0.25">
      <c r="A1334" t="s">
        <v>128</v>
      </c>
      <c r="B1334" t="s">
        <v>210</v>
      </c>
      <c r="C1334">
        <v>120089</v>
      </c>
      <c r="D1334">
        <v>2012</v>
      </c>
      <c r="E1334" t="s">
        <v>146</v>
      </c>
      <c r="F1334" t="s">
        <v>334</v>
      </c>
      <c r="I1334">
        <v>4</v>
      </c>
      <c r="J1334" t="s">
        <v>72</v>
      </c>
      <c r="K1334">
        <v>4</v>
      </c>
      <c r="L1334" t="s">
        <v>44</v>
      </c>
      <c r="M1334">
        <v>2.5</v>
      </c>
      <c r="N1334" t="s">
        <v>45</v>
      </c>
      <c r="O1334" t="s">
        <v>46</v>
      </c>
      <c r="Q1334" t="s">
        <v>47</v>
      </c>
      <c r="R1334" t="s">
        <v>123</v>
      </c>
      <c r="S1334" t="s">
        <v>49</v>
      </c>
      <c r="T1334">
        <v>170</v>
      </c>
      <c r="U1334" t="s">
        <v>50</v>
      </c>
      <c r="X1334" t="s">
        <v>125</v>
      </c>
      <c r="Y1334" t="s">
        <v>78</v>
      </c>
      <c r="AA1334">
        <v>0</v>
      </c>
      <c r="AB1334" t="s">
        <v>79</v>
      </c>
      <c r="AC1334" t="s">
        <v>127</v>
      </c>
      <c r="AD1334">
        <v>36</v>
      </c>
      <c r="AE1334">
        <v>9</v>
      </c>
      <c r="AF1334">
        <v>3</v>
      </c>
      <c r="AG1334">
        <v>2025</v>
      </c>
      <c r="AH1334" s="2">
        <v>1000</v>
      </c>
      <c r="AI1334" s="2">
        <v>1854.422973632812</v>
      </c>
      <c r="AJ1334" s="2">
        <f t="shared" si="162"/>
        <v>854.42297363281205</v>
      </c>
      <c r="AK1334" s="6">
        <f t="shared" si="163"/>
        <v>0.85442297363281206</v>
      </c>
      <c r="AL1334" s="12">
        <v>1000</v>
      </c>
      <c r="AM1334" s="12">
        <v>2211.3435575955332</v>
      </c>
      <c r="AN1334" s="12">
        <f t="shared" si="164"/>
        <v>1211.3435575955332</v>
      </c>
      <c r="AO1334" s="13">
        <f t="shared" si="165"/>
        <v>1.2113435575955331</v>
      </c>
      <c r="AP1334" s="16">
        <v>1000</v>
      </c>
      <c r="AQ1334" s="16">
        <v>1899.763360966524</v>
      </c>
      <c r="AR1334" s="16">
        <f t="shared" si="166"/>
        <v>899.76336096652403</v>
      </c>
      <c r="AS1334" s="17">
        <f t="shared" si="160"/>
        <v>0.89976336096652398</v>
      </c>
      <c r="AT1334" s="20">
        <v>1000</v>
      </c>
      <c r="AU1334" s="20">
        <v>1884.668090820312</v>
      </c>
      <c r="AV1334" s="20">
        <f t="shared" si="161"/>
        <v>884.66809082031205</v>
      </c>
      <c r="AW1334" s="21">
        <f t="shared" si="167"/>
        <v>0.88466809082031206</v>
      </c>
    </row>
    <row r="1335" spans="1:49" x14ac:dyDescent="0.25">
      <c r="A1335" t="s">
        <v>38</v>
      </c>
      <c r="B1335" t="s">
        <v>96</v>
      </c>
      <c r="C1335">
        <v>96871</v>
      </c>
      <c r="D1335">
        <v>2015</v>
      </c>
      <c r="E1335" t="s">
        <v>142</v>
      </c>
      <c r="F1335" t="s">
        <v>373</v>
      </c>
      <c r="G1335" t="s">
        <v>118</v>
      </c>
      <c r="I1335">
        <v>6</v>
      </c>
      <c r="J1335" t="s">
        <v>135</v>
      </c>
      <c r="K1335">
        <v>4</v>
      </c>
      <c r="L1335" t="s">
        <v>44</v>
      </c>
      <c r="M1335">
        <v>3.6</v>
      </c>
      <c r="N1335" t="s">
        <v>73</v>
      </c>
      <c r="O1335" t="s">
        <v>46</v>
      </c>
      <c r="Q1335" t="s">
        <v>62</v>
      </c>
      <c r="R1335" t="s">
        <v>63</v>
      </c>
      <c r="S1335" t="s">
        <v>49</v>
      </c>
      <c r="U1335" t="s">
        <v>50</v>
      </c>
      <c r="X1335" t="s">
        <v>94</v>
      </c>
      <c r="Y1335" t="s">
        <v>78</v>
      </c>
      <c r="AA1335">
        <v>0</v>
      </c>
      <c r="AB1335" t="s">
        <v>79</v>
      </c>
      <c r="AC1335" t="s">
        <v>87</v>
      </c>
      <c r="AD1335">
        <v>36</v>
      </c>
      <c r="AE1335">
        <v>9</v>
      </c>
      <c r="AF1335">
        <v>3</v>
      </c>
      <c r="AG1335">
        <v>2025</v>
      </c>
      <c r="AH1335" s="2">
        <v>7500</v>
      </c>
      <c r="AI1335" s="2">
        <v>9160.1533203125</v>
      </c>
      <c r="AJ1335" s="2">
        <f t="shared" si="162"/>
        <v>1660.1533203125</v>
      </c>
      <c r="AK1335" s="6">
        <f t="shared" si="163"/>
        <v>0.22135377604166667</v>
      </c>
      <c r="AL1335" s="12">
        <v>7500</v>
      </c>
      <c r="AM1335" s="12">
        <v>9306.7694686064315</v>
      </c>
      <c r="AN1335" s="12">
        <f t="shared" si="164"/>
        <v>1806.7694686064315</v>
      </c>
      <c r="AO1335" s="13">
        <f t="shared" si="165"/>
        <v>0.24090259581419085</v>
      </c>
      <c r="AP1335" s="16">
        <v>7500</v>
      </c>
      <c r="AQ1335" s="16">
        <v>8496.9465886233575</v>
      </c>
      <c r="AR1335" s="16">
        <f t="shared" si="166"/>
        <v>996.94658862335746</v>
      </c>
      <c r="AS1335" s="17">
        <f t="shared" si="160"/>
        <v>0.13292621181644765</v>
      </c>
      <c r="AT1335" s="20">
        <v>7500</v>
      </c>
      <c r="AU1335" s="20">
        <v>9270.1494140625</v>
      </c>
      <c r="AV1335" s="20">
        <f t="shared" si="161"/>
        <v>1770.1494140625</v>
      </c>
      <c r="AW1335" s="21">
        <f t="shared" si="167"/>
        <v>0.23601992187500001</v>
      </c>
    </row>
    <row r="1336" spans="1:49" x14ac:dyDescent="0.25">
      <c r="A1336" t="s">
        <v>38</v>
      </c>
      <c r="B1336" t="s">
        <v>96</v>
      </c>
      <c r="C1336">
        <v>35244</v>
      </c>
      <c r="D1336">
        <v>2024</v>
      </c>
      <c r="E1336" t="s">
        <v>69</v>
      </c>
      <c r="F1336" t="s">
        <v>310</v>
      </c>
      <c r="H1336" t="s">
        <v>1339</v>
      </c>
      <c r="I1336">
        <v>4</v>
      </c>
      <c r="J1336" t="s">
        <v>122</v>
      </c>
      <c r="K1336">
        <v>2</v>
      </c>
      <c r="L1336" t="s">
        <v>44</v>
      </c>
      <c r="M1336">
        <v>2.2999999999999998</v>
      </c>
      <c r="N1336" t="s">
        <v>73</v>
      </c>
      <c r="O1336" t="s">
        <v>46</v>
      </c>
      <c r="P1336">
        <v>4</v>
      </c>
      <c r="Q1336" t="s">
        <v>47</v>
      </c>
      <c r="R1336" t="s">
        <v>197</v>
      </c>
      <c r="U1336" t="s">
        <v>50</v>
      </c>
      <c r="V1336" t="s">
        <v>51</v>
      </c>
      <c r="W1336" t="s">
        <v>1340</v>
      </c>
      <c r="X1336" t="s">
        <v>125</v>
      </c>
      <c r="Y1336" t="s">
        <v>78</v>
      </c>
      <c r="AA1336">
        <v>0</v>
      </c>
      <c r="AB1336" t="s">
        <v>79</v>
      </c>
      <c r="AC1336" t="s">
        <v>197</v>
      </c>
      <c r="AD1336">
        <v>36</v>
      </c>
      <c r="AE1336">
        <v>9</v>
      </c>
      <c r="AF1336">
        <v>3</v>
      </c>
      <c r="AG1336">
        <v>2025</v>
      </c>
      <c r="AH1336" s="2">
        <v>24750</v>
      </c>
      <c r="AI1336" s="2">
        <v>26364.546875</v>
      </c>
      <c r="AJ1336" s="2">
        <f t="shared" si="162"/>
        <v>1614.546875</v>
      </c>
      <c r="AK1336" s="6">
        <f t="shared" si="163"/>
        <v>6.5234217171717165E-2</v>
      </c>
      <c r="AL1336" s="12">
        <v>24750</v>
      </c>
      <c r="AM1336" s="12">
        <v>25811.39110639619</v>
      </c>
      <c r="AN1336" s="12">
        <f t="shared" si="164"/>
        <v>1061.3911063961896</v>
      </c>
      <c r="AO1336" s="13">
        <f t="shared" si="165"/>
        <v>4.2884489147320792E-2</v>
      </c>
      <c r="AP1336" s="16">
        <v>24750</v>
      </c>
      <c r="AQ1336" s="16">
        <v>23759.718608963889</v>
      </c>
      <c r="AR1336" s="16">
        <f t="shared" si="166"/>
        <v>990.28139103611102</v>
      </c>
      <c r="AS1336" s="17">
        <f t="shared" si="160"/>
        <v>4.0011369334792365E-2</v>
      </c>
      <c r="AT1336" s="20">
        <v>24750</v>
      </c>
      <c r="AU1336" s="20">
        <v>26030.826171875</v>
      </c>
      <c r="AV1336" s="20">
        <f t="shared" si="161"/>
        <v>1280.826171875</v>
      </c>
      <c r="AW1336" s="21">
        <f t="shared" si="167"/>
        <v>5.1750552398989902E-2</v>
      </c>
    </row>
    <row r="1337" spans="1:49" x14ac:dyDescent="0.25">
      <c r="A1337" t="s">
        <v>38</v>
      </c>
      <c r="B1337" t="s">
        <v>96</v>
      </c>
      <c r="C1337">
        <v>198468</v>
      </c>
      <c r="D1337">
        <v>2012</v>
      </c>
      <c r="E1337" t="s">
        <v>69</v>
      </c>
      <c r="F1337" t="s">
        <v>1341</v>
      </c>
      <c r="H1337" t="s">
        <v>1330</v>
      </c>
      <c r="I1337">
        <v>10</v>
      </c>
      <c r="J1337" t="s">
        <v>72</v>
      </c>
      <c r="K1337">
        <v>2</v>
      </c>
      <c r="L1337" t="s">
        <v>44</v>
      </c>
      <c r="M1337">
        <v>6.8</v>
      </c>
      <c r="N1337" t="s">
        <v>73</v>
      </c>
      <c r="O1337" t="s">
        <v>46</v>
      </c>
      <c r="Q1337" t="s">
        <v>477</v>
      </c>
      <c r="R1337" t="s">
        <v>995</v>
      </c>
      <c r="S1337" t="s">
        <v>49</v>
      </c>
      <c r="T1337">
        <v>362</v>
      </c>
      <c r="U1337" t="s">
        <v>50</v>
      </c>
      <c r="V1337" t="s">
        <v>76</v>
      </c>
      <c r="X1337" t="s">
        <v>1332</v>
      </c>
      <c r="Y1337" t="s">
        <v>78</v>
      </c>
      <c r="AA1337">
        <v>0</v>
      </c>
      <c r="AB1337" t="s">
        <v>79</v>
      </c>
      <c r="AC1337" t="s">
        <v>1333</v>
      </c>
      <c r="AD1337">
        <v>36</v>
      </c>
      <c r="AE1337">
        <v>9</v>
      </c>
      <c r="AF1337">
        <v>3</v>
      </c>
      <c r="AG1337">
        <v>2025</v>
      </c>
      <c r="AH1337" s="2">
        <v>5000</v>
      </c>
      <c r="AI1337" s="2">
        <v>4880.6494140625</v>
      </c>
      <c r="AJ1337" s="2">
        <f t="shared" si="162"/>
        <v>119.3505859375</v>
      </c>
      <c r="AK1337" s="6">
        <f t="shared" si="163"/>
        <v>2.3870117187500001E-2</v>
      </c>
      <c r="AL1337" s="12">
        <v>5000</v>
      </c>
      <c r="AM1337" s="12">
        <v>4099.7660430237347</v>
      </c>
      <c r="AN1337" s="12">
        <f t="shared" si="164"/>
        <v>900.23395697626529</v>
      </c>
      <c r="AO1337" s="13">
        <f t="shared" si="165"/>
        <v>0.18004679139525306</v>
      </c>
      <c r="AP1337" s="16">
        <v>5000</v>
      </c>
      <c r="AQ1337" s="16">
        <v>5242.8129575410439</v>
      </c>
      <c r="AR1337" s="16">
        <f t="shared" si="166"/>
        <v>242.81295754104394</v>
      </c>
      <c r="AS1337" s="17">
        <f t="shared" si="160"/>
        <v>4.856259150820879E-2</v>
      </c>
      <c r="AT1337" s="20">
        <v>5000</v>
      </c>
      <c r="AU1337" s="20">
        <v>4851.26904296875</v>
      </c>
      <c r="AV1337" s="20">
        <f t="shared" si="161"/>
        <v>148.73095703125</v>
      </c>
      <c r="AW1337" s="21">
        <f t="shared" si="167"/>
        <v>2.9746191406250001E-2</v>
      </c>
    </row>
    <row r="1338" spans="1:49" x14ac:dyDescent="0.25">
      <c r="A1338" t="s">
        <v>38</v>
      </c>
      <c r="B1338" t="s">
        <v>39</v>
      </c>
      <c r="C1338">
        <v>206649</v>
      </c>
      <c r="D1338">
        <v>2008</v>
      </c>
      <c r="E1338" t="s">
        <v>97</v>
      </c>
      <c r="F1338" t="s">
        <v>98</v>
      </c>
      <c r="G1338" t="s">
        <v>1342</v>
      </c>
      <c r="I1338">
        <v>6</v>
      </c>
      <c r="J1338" t="s">
        <v>43</v>
      </c>
      <c r="K1338">
        <v>4</v>
      </c>
      <c r="L1338" t="s">
        <v>44</v>
      </c>
      <c r="M1338">
        <v>3.4</v>
      </c>
      <c r="N1338" t="s">
        <v>45</v>
      </c>
      <c r="O1338" t="s">
        <v>46</v>
      </c>
      <c r="Q1338" t="s">
        <v>62</v>
      </c>
      <c r="R1338" t="s">
        <v>63</v>
      </c>
      <c r="S1338" t="s">
        <v>101</v>
      </c>
      <c r="V1338" t="s">
        <v>76</v>
      </c>
      <c r="W1338" t="s">
        <v>1343</v>
      </c>
      <c r="X1338" t="s">
        <v>141</v>
      </c>
      <c r="Y1338" t="s">
        <v>103</v>
      </c>
      <c r="AA1338">
        <v>0</v>
      </c>
      <c r="AB1338" t="s">
        <v>79</v>
      </c>
      <c r="AC1338" t="s">
        <v>87</v>
      </c>
      <c r="AD1338">
        <v>36</v>
      </c>
      <c r="AE1338">
        <v>9</v>
      </c>
      <c r="AF1338">
        <v>3</v>
      </c>
      <c r="AG1338">
        <v>2025</v>
      </c>
      <c r="AH1338" s="2">
        <v>500</v>
      </c>
      <c r="AI1338" s="2">
        <v>934.51385498046875</v>
      </c>
      <c r="AJ1338" s="2">
        <f t="shared" si="162"/>
        <v>434.51385498046875</v>
      </c>
      <c r="AK1338" s="6">
        <f t="shared" si="163"/>
        <v>0.86902770996093748</v>
      </c>
      <c r="AL1338" s="12">
        <v>500</v>
      </c>
      <c r="AM1338" s="12">
        <v>951.71169944260646</v>
      </c>
      <c r="AN1338" s="12">
        <f t="shared" si="164"/>
        <v>451.71169944260646</v>
      </c>
      <c r="AO1338" s="13">
        <f t="shared" si="165"/>
        <v>0.90342339888521295</v>
      </c>
      <c r="AP1338" s="16">
        <v>500</v>
      </c>
      <c r="AQ1338" s="16">
        <v>808.1542431211268</v>
      </c>
      <c r="AR1338" s="16">
        <f t="shared" si="166"/>
        <v>308.1542431211268</v>
      </c>
      <c r="AS1338" s="17">
        <f t="shared" si="160"/>
        <v>0.61630848624225354</v>
      </c>
      <c r="AT1338" s="20">
        <v>500</v>
      </c>
      <c r="AU1338" s="20">
        <v>906.11297607421875</v>
      </c>
      <c r="AV1338" s="20">
        <f t="shared" si="161"/>
        <v>406.11297607421875</v>
      </c>
      <c r="AW1338" s="21">
        <f t="shared" si="167"/>
        <v>0.81222595214843751</v>
      </c>
    </row>
    <row r="1339" spans="1:49" x14ac:dyDescent="0.25">
      <c r="A1339" t="s">
        <v>38</v>
      </c>
      <c r="B1339" t="s">
        <v>110</v>
      </c>
      <c r="C1339">
        <v>174557</v>
      </c>
      <c r="D1339">
        <v>2007</v>
      </c>
      <c r="E1339" t="s">
        <v>166</v>
      </c>
      <c r="F1339" t="s">
        <v>628</v>
      </c>
      <c r="G1339" t="s">
        <v>240</v>
      </c>
      <c r="I1339">
        <v>4</v>
      </c>
      <c r="J1339" t="s">
        <v>106</v>
      </c>
      <c r="K1339">
        <v>4</v>
      </c>
      <c r="L1339" t="s">
        <v>44</v>
      </c>
      <c r="M1339">
        <v>1.8</v>
      </c>
      <c r="N1339" t="s">
        <v>45</v>
      </c>
      <c r="Q1339" t="s">
        <v>47</v>
      </c>
      <c r="R1339" t="s">
        <v>123</v>
      </c>
      <c r="T1339">
        <v>140</v>
      </c>
      <c r="U1339" t="s">
        <v>50</v>
      </c>
      <c r="V1339" t="s">
        <v>51</v>
      </c>
      <c r="W1339" t="s">
        <v>767</v>
      </c>
      <c r="X1339" t="s">
        <v>53</v>
      </c>
      <c r="Y1339" t="s">
        <v>78</v>
      </c>
      <c r="AA1339">
        <v>0</v>
      </c>
      <c r="AB1339" t="s">
        <v>79</v>
      </c>
      <c r="AC1339" t="s">
        <v>127</v>
      </c>
      <c r="AD1339">
        <v>36</v>
      </c>
      <c r="AE1339">
        <v>9</v>
      </c>
      <c r="AF1339">
        <v>3</v>
      </c>
      <c r="AG1339">
        <v>2025</v>
      </c>
      <c r="AH1339" s="2">
        <v>2100</v>
      </c>
      <c r="AI1339" s="2">
        <v>1539.669677734375</v>
      </c>
      <c r="AJ1339" s="2">
        <f t="shared" si="162"/>
        <v>560.330322265625</v>
      </c>
      <c r="AK1339" s="6">
        <f t="shared" si="163"/>
        <v>0.26682396298363098</v>
      </c>
      <c r="AL1339" s="12">
        <v>2100</v>
      </c>
      <c r="AM1339" s="12">
        <v>1642.195437190798</v>
      </c>
      <c r="AN1339" s="12">
        <f t="shared" si="164"/>
        <v>457.80456280920203</v>
      </c>
      <c r="AO1339" s="13">
        <f t="shared" si="165"/>
        <v>0.21800217276628667</v>
      </c>
      <c r="AP1339" s="16">
        <v>2100</v>
      </c>
      <c r="AQ1339" s="16">
        <v>1301.506952651074</v>
      </c>
      <c r="AR1339" s="16">
        <f t="shared" si="166"/>
        <v>798.49304734892598</v>
      </c>
      <c r="AS1339" s="17">
        <f t="shared" si="160"/>
        <v>0.38023478445186953</v>
      </c>
      <c r="AT1339" s="20">
        <v>2100</v>
      </c>
      <c r="AU1339" s="20">
        <v>1530.447509765625</v>
      </c>
      <c r="AV1339" s="20">
        <f t="shared" si="161"/>
        <v>569.552490234375</v>
      </c>
      <c r="AW1339" s="21">
        <f t="shared" si="167"/>
        <v>0.27121547154017855</v>
      </c>
    </row>
    <row r="1340" spans="1:49" x14ac:dyDescent="0.25">
      <c r="A1340" t="s">
        <v>38</v>
      </c>
      <c r="B1340" t="s">
        <v>110</v>
      </c>
      <c r="C1340">
        <v>113626</v>
      </c>
      <c r="D1340">
        <v>2016</v>
      </c>
      <c r="E1340" t="s">
        <v>557</v>
      </c>
      <c r="F1340" t="s">
        <v>558</v>
      </c>
      <c r="G1340" t="s">
        <v>118</v>
      </c>
      <c r="H1340" t="s">
        <v>761</v>
      </c>
      <c r="I1340">
        <v>4</v>
      </c>
      <c r="J1340" t="s">
        <v>61</v>
      </c>
      <c r="K1340">
        <v>4</v>
      </c>
      <c r="L1340" t="s">
        <v>44</v>
      </c>
      <c r="M1340">
        <v>2.4</v>
      </c>
      <c r="N1340" t="s">
        <v>45</v>
      </c>
      <c r="Q1340" t="s">
        <v>47</v>
      </c>
      <c r="R1340" t="s">
        <v>123</v>
      </c>
      <c r="S1340" t="s">
        <v>101</v>
      </c>
      <c r="U1340" t="s">
        <v>50</v>
      </c>
      <c r="V1340" t="s">
        <v>51</v>
      </c>
      <c r="X1340" t="s">
        <v>125</v>
      </c>
      <c r="Y1340" t="s">
        <v>78</v>
      </c>
      <c r="AA1340">
        <v>0</v>
      </c>
      <c r="AB1340" t="s">
        <v>79</v>
      </c>
      <c r="AC1340" t="s">
        <v>127</v>
      </c>
      <c r="AD1340">
        <v>36</v>
      </c>
      <c r="AE1340">
        <v>9</v>
      </c>
      <c r="AF1340">
        <v>3</v>
      </c>
      <c r="AG1340">
        <v>2025</v>
      </c>
      <c r="AH1340" s="2">
        <v>3600</v>
      </c>
      <c r="AI1340" s="2">
        <v>3294.927490234375</v>
      </c>
      <c r="AJ1340" s="2">
        <f t="shared" si="162"/>
        <v>305.072509765625</v>
      </c>
      <c r="AK1340" s="6">
        <f t="shared" si="163"/>
        <v>8.4742363823784722E-2</v>
      </c>
      <c r="AL1340" s="12">
        <v>3600</v>
      </c>
      <c r="AM1340" s="12">
        <v>3719.6182616884021</v>
      </c>
      <c r="AN1340" s="12">
        <f t="shared" si="164"/>
        <v>119.61826168840207</v>
      </c>
      <c r="AO1340" s="13">
        <f t="shared" si="165"/>
        <v>3.3227294913445019E-2</v>
      </c>
      <c r="AP1340" s="16">
        <v>3600</v>
      </c>
      <c r="AQ1340" s="16">
        <v>2783.318603187091</v>
      </c>
      <c r="AR1340" s="16">
        <f t="shared" si="166"/>
        <v>816.68139681290904</v>
      </c>
      <c r="AS1340" s="17">
        <f t="shared" si="160"/>
        <v>0.2268559435591414</v>
      </c>
      <c r="AT1340" s="20">
        <v>3600</v>
      </c>
      <c r="AU1340" s="20">
        <v>3341.901611328125</v>
      </c>
      <c r="AV1340" s="20">
        <f t="shared" si="161"/>
        <v>258.098388671875</v>
      </c>
      <c r="AW1340" s="21">
        <f t="shared" si="167"/>
        <v>7.1693996853298608E-2</v>
      </c>
    </row>
    <row r="1341" spans="1:49" x14ac:dyDescent="0.25">
      <c r="A1341" t="s">
        <v>38</v>
      </c>
      <c r="B1341" t="s">
        <v>96</v>
      </c>
      <c r="C1341">
        <v>143478</v>
      </c>
      <c r="D1341">
        <v>2008</v>
      </c>
      <c r="E1341" t="s">
        <v>146</v>
      </c>
      <c r="F1341" t="s">
        <v>909</v>
      </c>
      <c r="I1341">
        <v>6</v>
      </c>
      <c r="J1341" t="s">
        <v>61</v>
      </c>
      <c r="K1341">
        <v>4</v>
      </c>
      <c r="L1341" t="s">
        <v>44</v>
      </c>
      <c r="M1341">
        <v>4</v>
      </c>
      <c r="N1341" t="s">
        <v>73</v>
      </c>
      <c r="O1341" t="s">
        <v>46</v>
      </c>
      <c r="Q1341" t="s">
        <v>62</v>
      </c>
      <c r="R1341" t="s">
        <v>63</v>
      </c>
      <c r="S1341" t="s">
        <v>49</v>
      </c>
      <c r="U1341" t="s">
        <v>50</v>
      </c>
      <c r="X1341" t="s">
        <v>141</v>
      </c>
      <c r="Y1341" t="s">
        <v>78</v>
      </c>
      <c r="AA1341">
        <v>0</v>
      </c>
      <c r="AB1341" t="s">
        <v>79</v>
      </c>
      <c r="AC1341" t="s">
        <v>87</v>
      </c>
      <c r="AD1341">
        <v>36</v>
      </c>
      <c r="AE1341">
        <v>9</v>
      </c>
      <c r="AF1341">
        <v>3</v>
      </c>
      <c r="AG1341">
        <v>2025</v>
      </c>
      <c r="AH1341" s="2">
        <v>1800</v>
      </c>
      <c r="AI1341" s="2">
        <v>1940.353637695312</v>
      </c>
      <c r="AJ1341" s="2">
        <f t="shared" si="162"/>
        <v>140.35363769531205</v>
      </c>
      <c r="AK1341" s="6">
        <f t="shared" si="163"/>
        <v>7.7974243164062249E-2</v>
      </c>
      <c r="AL1341" s="12">
        <v>1800</v>
      </c>
      <c r="AM1341" s="12">
        <v>1617.144230106305</v>
      </c>
      <c r="AN1341" s="12">
        <f t="shared" si="164"/>
        <v>182.85576989369497</v>
      </c>
      <c r="AO1341" s="13">
        <f t="shared" si="165"/>
        <v>0.10158653882983054</v>
      </c>
      <c r="AP1341" s="16">
        <v>1800</v>
      </c>
      <c r="AQ1341" s="16">
        <v>1687.9358760826269</v>
      </c>
      <c r="AR1341" s="16">
        <f t="shared" si="166"/>
        <v>112.06412391737308</v>
      </c>
      <c r="AS1341" s="17">
        <f t="shared" si="160"/>
        <v>6.2257846620762822E-2</v>
      </c>
      <c r="AT1341" s="20">
        <v>1800</v>
      </c>
      <c r="AU1341" s="20">
        <v>1872.618530273438</v>
      </c>
      <c r="AV1341" s="20">
        <f t="shared" si="161"/>
        <v>72.618530273437955</v>
      </c>
      <c r="AW1341" s="21">
        <f t="shared" si="167"/>
        <v>4.034362792968775E-2</v>
      </c>
    </row>
    <row r="1342" spans="1:49" x14ac:dyDescent="0.25">
      <c r="A1342" t="s">
        <v>114</v>
      </c>
      <c r="B1342" t="s">
        <v>596</v>
      </c>
      <c r="C1342">
        <v>52987</v>
      </c>
      <c r="D1342">
        <v>2022</v>
      </c>
      <c r="E1342" t="s">
        <v>88</v>
      </c>
      <c r="F1342" t="s">
        <v>89</v>
      </c>
      <c r="G1342" t="s">
        <v>262</v>
      </c>
      <c r="H1342" t="s">
        <v>176</v>
      </c>
      <c r="I1342">
        <v>6</v>
      </c>
      <c r="J1342" t="s">
        <v>61</v>
      </c>
      <c r="K1342">
        <v>4</v>
      </c>
      <c r="L1342" t="s">
        <v>44</v>
      </c>
      <c r="M1342">
        <v>3.6</v>
      </c>
      <c r="N1342" t="s">
        <v>91</v>
      </c>
      <c r="O1342" t="s">
        <v>46</v>
      </c>
      <c r="P1342">
        <v>4</v>
      </c>
      <c r="Q1342" t="s">
        <v>74</v>
      </c>
      <c r="R1342" t="s">
        <v>92</v>
      </c>
      <c r="S1342" t="s">
        <v>93</v>
      </c>
      <c r="T1342">
        <v>291</v>
      </c>
      <c r="U1342" t="s">
        <v>50</v>
      </c>
      <c r="V1342" t="s">
        <v>76</v>
      </c>
      <c r="X1342" t="s">
        <v>94</v>
      </c>
      <c r="Y1342" t="s">
        <v>78</v>
      </c>
      <c r="AA1342">
        <v>0</v>
      </c>
      <c r="AB1342" t="s">
        <v>79</v>
      </c>
      <c r="AC1342" t="s">
        <v>95</v>
      </c>
      <c r="AD1342">
        <v>36</v>
      </c>
      <c r="AE1342">
        <v>9</v>
      </c>
      <c r="AF1342">
        <v>3</v>
      </c>
      <c r="AG1342">
        <v>2025</v>
      </c>
      <c r="AH1342" s="2">
        <v>24700</v>
      </c>
      <c r="AI1342" s="2">
        <v>26015.140625</v>
      </c>
      <c r="AJ1342" s="2">
        <f t="shared" si="162"/>
        <v>1315.140625</v>
      </c>
      <c r="AK1342" s="6">
        <f t="shared" si="163"/>
        <v>5.3244559716599194E-2</v>
      </c>
      <c r="AL1342" s="12">
        <v>24700</v>
      </c>
      <c r="AM1342" s="12">
        <v>27485.610337572729</v>
      </c>
      <c r="AN1342" s="12">
        <f t="shared" si="164"/>
        <v>2785.6103375727289</v>
      </c>
      <c r="AO1342" s="13">
        <f t="shared" si="165"/>
        <v>0.11277774646043437</v>
      </c>
      <c r="AP1342" s="16">
        <v>24700</v>
      </c>
      <c r="AQ1342" s="16">
        <v>28503.133289184421</v>
      </c>
      <c r="AR1342" s="16">
        <f t="shared" si="166"/>
        <v>3803.1332891844213</v>
      </c>
      <c r="AS1342" s="17">
        <f t="shared" si="160"/>
        <v>0.15397300765928831</v>
      </c>
      <c r="AT1342" s="20">
        <v>24700</v>
      </c>
      <c r="AU1342" s="20">
        <v>26382.857421875</v>
      </c>
      <c r="AV1342" s="20">
        <f t="shared" si="161"/>
        <v>1682.857421875</v>
      </c>
      <c r="AW1342" s="21">
        <f t="shared" si="167"/>
        <v>6.8131879428137657E-2</v>
      </c>
    </row>
    <row r="1343" spans="1:49" x14ac:dyDescent="0.25">
      <c r="A1343" t="s">
        <v>81</v>
      </c>
      <c r="B1343" t="s">
        <v>82</v>
      </c>
      <c r="C1343">
        <v>210499</v>
      </c>
      <c r="D1343">
        <v>2012</v>
      </c>
      <c r="E1343" t="s">
        <v>146</v>
      </c>
      <c r="F1343" t="s">
        <v>147</v>
      </c>
      <c r="I1343">
        <v>4</v>
      </c>
      <c r="J1343" t="s">
        <v>61</v>
      </c>
      <c r="K1343">
        <v>4</v>
      </c>
      <c r="L1343" t="s">
        <v>44</v>
      </c>
      <c r="M1343">
        <v>2.5</v>
      </c>
      <c r="N1343" t="s">
        <v>44</v>
      </c>
      <c r="O1343" t="s">
        <v>46</v>
      </c>
      <c r="Q1343" t="s">
        <v>62</v>
      </c>
      <c r="R1343" t="s">
        <v>148</v>
      </c>
      <c r="S1343" t="s">
        <v>49</v>
      </c>
      <c r="U1343" t="s">
        <v>50</v>
      </c>
      <c r="X1343" t="s">
        <v>65</v>
      </c>
      <c r="Y1343" t="s">
        <v>54</v>
      </c>
      <c r="AA1343">
        <v>0</v>
      </c>
      <c r="AB1343" t="s">
        <v>79</v>
      </c>
      <c r="AC1343" t="s">
        <v>87</v>
      </c>
      <c r="AD1343">
        <v>36</v>
      </c>
      <c r="AE1343">
        <v>9</v>
      </c>
      <c r="AF1343">
        <v>3</v>
      </c>
      <c r="AG1343">
        <v>2025</v>
      </c>
      <c r="AH1343" s="2">
        <v>600</v>
      </c>
      <c r="AI1343" s="2">
        <v>757.010498046875</v>
      </c>
      <c r="AJ1343" s="2">
        <f t="shared" si="162"/>
        <v>157.010498046875</v>
      </c>
      <c r="AK1343" s="6">
        <f t="shared" si="163"/>
        <v>0.26168416341145834</v>
      </c>
      <c r="AL1343" s="12">
        <v>600</v>
      </c>
      <c r="AM1343" s="12">
        <v>1098.580087516061</v>
      </c>
      <c r="AN1343" s="12">
        <f t="shared" si="164"/>
        <v>498.58008751606098</v>
      </c>
      <c r="AO1343" s="13">
        <f t="shared" si="165"/>
        <v>0.83096681252676829</v>
      </c>
      <c r="AP1343" s="16">
        <v>600</v>
      </c>
      <c r="AQ1343" s="16">
        <v>776.11386286658262</v>
      </c>
      <c r="AR1343" s="16">
        <f t="shared" si="166"/>
        <v>176.11386286658262</v>
      </c>
      <c r="AS1343" s="17">
        <f t="shared" si="160"/>
        <v>0.29352310477763771</v>
      </c>
      <c r="AT1343" s="20">
        <v>600</v>
      </c>
      <c r="AU1343" s="20">
        <v>774.04248046875</v>
      </c>
      <c r="AV1343" s="20">
        <f t="shared" si="161"/>
        <v>174.04248046875</v>
      </c>
      <c r="AW1343" s="21">
        <f t="shared" si="167"/>
        <v>0.29007080078125003</v>
      </c>
    </row>
    <row r="1344" spans="1:49" x14ac:dyDescent="0.25">
      <c r="A1344" t="s">
        <v>38</v>
      </c>
      <c r="B1344" t="s">
        <v>68</v>
      </c>
      <c r="C1344">
        <v>84541</v>
      </c>
      <c r="D1344">
        <v>2020</v>
      </c>
      <c r="E1344" t="s">
        <v>162</v>
      </c>
      <c r="F1344" t="s">
        <v>736</v>
      </c>
      <c r="G1344" t="s">
        <v>285</v>
      </c>
      <c r="I1344">
        <v>4</v>
      </c>
      <c r="J1344" t="s">
        <v>135</v>
      </c>
      <c r="K1344">
        <v>4</v>
      </c>
      <c r="L1344" t="s">
        <v>44</v>
      </c>
      <c r="M1344">
        <v>2</v>
      </c>
      <c r="N1344" t="s">
        <v>44</v>
      </c>
      <c r="O1344" t="s">
        <v>46</v>
      </c>
      <c r="P1344">
        <v>4</v>
      </c>
      <c r="Q1344" t="s">
        <v>62</v>
      </c>
      <c r="R1344" t="s">
        <v>63</v>
      </c>
      <c r="S1344" t="s">
        <v>93</v>
      </c>
      <c r="T1344">
        <v>147</v>
      </c>
      <c r="U1344" t="s">
        <v>50</v>
      </c>
      <c r="W1344" t="s">
        <v>463</v>
      </c>
      <c r="X1344" t="s">
        <v>65</v>
      </c>
      <c r="Y1344" t="s">
        <v>66</v>
      </c>
      <c r="Z1344">
        <v>20900</v>
      </c>
      <c r="AA1344">
        <v>0</v>
      </c>
      <c r="AB1344" t="s">
        <v>79</v>
      </c>
      <c r="AC1344" t="s">
        <v>87</v>
      </c>
      <c r="AD1344">
        <v>36</v>
      </c>
      <c r="AE1344">
        <v>9</v>
      </c>
      <c r="AF1344">
        <v>3</v>
      </c>
      <c r="AG1344">
        <v>2025</v>
      </c>
      <c r="AH1344" s="2">
        <v>11500</v>
      </c>
      <c r="AI1344" s="2">
        <v>9221.744140625</v>
      </c>
      <c r="AJ1344" s="2">
        <f t="shared" si="162"/>
        <v>2278.255859375</v>
      </c>
      <c r="AK1344" s="6">
        <f t="shared" si="163"/>
        <v>0.19810920516304348</v>
      </c>
      <c r="AL1344" s="12">
        <v>11500</v>
      </c>
      <c r="AM1344" s="12">
        <v>11995.39199255381</v>
      </c>
      <c r="AN1344" s="12">
        <f t="shared" si="164"/>
        <v>495.39199255381027</v>
      </c>
      <c r="AO1344" s="13">
        <f t="shared" si="165"/>
        <v>4.3077564569896545E-2</v>
      </c>
      <c r="AP1344" s="16">
        <v>11500</v>
      </c>
      <c r="AQ1344" s="16">
        <v>11819.826035962271</v>
      </c>
      <c r="AR1344" s="16">
        <f t="shared" si="166"/>
        <v>319.82603596227091</v>
      </c>
      <c r="AS1344" s="17">
        <f t="shared" si="160"/>
        <v>2.7810959648893123E-2</v>
      </c>
      <c r="AT1344" s="20">
        <v>11500</v>
      </c>
      <c r="AU1344" s="20">
        <v>9759.017578125</v>
      </c>
      <c r="AV1344" s="20">
        <f t="shared" si="161"/>
        <v>1740.982421875</v>
      </c>
      <c r="AW1344" s="21">
        <f t="shared" si="167"/>
        <v>0.1513897758152174</v>
      </c>
    </row>
    <row r="1345" spans="1:49" x14ac:dyDescent="0.25">
      <c r="A1345" t="s">
        <v>38</v>
      </c>
      <c r="B1345" t="s">
        <v>68</v>
      </c>
      <c r="C1345">
        <v>130054</v>
      </c>
      <c r="D1345">
        <v>2022</v>
      </c>
      <c r="E1345" t="s">
        <v>69</v>
      </c>
      <c r="F1345" t="s">
        <v>475</v>
      </c>
      <c r="H1345" t="s">
        <v>476</v>
      </c>
      <c r="I1345">
        <v>8</v>
      </c>
      <c r="J1345" t="s">
        <v>72</v>
      </c>
      <c r="K1345">
        <v>4</v>
      </c>
      <c r="L1345" t="s">
        <v>44</v>
      </c>
      <c r="M1345">
        <v>6.2</v>
      </c>
      <c r="N1345" t="s">
        <v>91</v>
      </c>
      <c r="O1345" t="s">
        <v>46</v>
      </c>
      <c r="P1345">
        <v>4</v>
      </c>
      <c r="Q1345" t="s">
        <v>74</v>
      </c>
      <c r="R1345" t="s">
        <v>92</v>
      </c>
      <c r="S1345" t="s">
        <v>93</v>
      </c>
      <c r="T1345">
        <v>385</v>
      </c>
      <c r="U1345" t="s">
        <v>50</v>
      </c>
      <c r="V1345" t="s">
        <v>76</v>
      </c>
      <c r="X1345" t="s">
        <v>230</v>
      </c>
      <c r="Y1345" t="s">
        <v>78</v>
      </c>
      <c r="AA1345">
        <v>0</v>
      </c>
      <c r="AB1345" t="s">
        <v>79</v>
      </c>
      <c r="AC1345" t="s">
        <v>95</v>
      </c>
      <c r="AD1345">
        <v>36</v>
      </c>
      <c r="AE1345">
        <v>9</v>
      </c>
      <c r="AF1345">
        <v>3</v>
      </c>
      <c r="AG1345">
        <v>2025</v>
      </c>
      <c r="AH1345" s="2">
        <v>23500</v>
      </c>
      <c r="AI1345" s="2">
        <v>21394.45703125</v>
      </c>
      <c r="AJ1345" s="2">
        <f t="shared" si="162"/>
        <v>2105.54296875</v>
      </c>
      <c r="AK1345" s="6">
        <f t="shared" si="163"/>
        <v>8.9597573138297873E-2</v>
      </c>
      <c r="AL1345" s="12">
        <v>23500</v>
      </c>
      <c r="AM1345" s="12">
        <v>26701.698547261101</v>
      </c>
      <c r="AN1345" s="12">
        <f t="shared" si="164"/>
        <v>3201.6985472611013</v>
      </c>
      <c r="AO1345" s="13">
        <f t="shared" si="165"/>
        <v>0.13624249137281283</v>
      </c>
      <c r="AP1345" s="16">
        <v>23500</v>
      </c>
      <c r="AQ1345" s="16">
        <v>23342.138277355782</v>
      </c>
      <c r="AR1345" s="16">
        <f t="shared" si="166"/>
        <v>157.86172264421839</v>
      </c>
      <c r="AS1345" s="17">
        <f t="shared" si="160"/>
        <v>6.7175201125199311E-3</v>
      </c>
      <c r="AT1345" s="20">
        <v>23500</v>
      </c>
      <c r="AU1345" s="20">
        <v>22125.216796875</v>
      </c>
      <c r="AV1345" s="20">
        <f t="shared" si="161"/>
        <v>1374.783203125</v>
      </c>
      <c r="AW1345" s="21">
        <f t="shared" si="167"/>
        <v>5.8501412898936171E-2</v>
      </c>
    </row>
    <row r="1346" spans="1:49" x14ac:dyDescent="0.25">
      <c r="A1346" t="s">
        <v>81</v>
      </c>
      <c r="B1346" t="s">
        <v>82</v>
      </c>
      <c r="C1346">
        <v>125790</v>
      </c>
      <c r="D1346">
        <v>2015</v>
      </c>
      <c r="E1346" t="s">
        <v>166</v>
      </c>
      <c r="F1346" t="s">
        <v>1344</v>
      </c>
      <c r="G1346" t="s">
        <v>581</v>
      </c>
      <c r="I1346">
        <v>4</v>
      </c>
      <c r="J1346" t="s">
        <v>61</v>
      </c>
      <c r="K1346">
        <v>4</v>
      </c>
      <c r="L1346" t="s">
        <v>44</v>
      </c>
      <c r="M1346">
        <v>2.4</v>
      </c>
      <c r="N1346" t="s">
        <v>45</v>
      </c>
      <c r="O1346" t="s">
        <v>46</v>
      </c>
      <c r="Q1346" t="s">
        <v>62</v>
      </c>
      <c r="R1346" t="s">
        <v>63</v>
      </c>
      <c r="S1346" t="s">
        <v>49</v>
      </c>
      <c r="T1346">
        <v>192</v>
      </c>
      <c r="U1346" t="s">
        <v>50</v>
      </c>
      <c r="V1346" t="s">
        <v>51</v>
      </c>
      <c r="W1346" t="s">
        <v>1345</v>
      </c>
      <c r="X1346" t="s">
        <v>65</v>
      </c>
      <c r="Y1346" t="s">
        <v>78</v>
      </c>
      <c r="AA1346">
        <v>0</v>
      </c>
      <c r="AB1346" t="s">
        <v>79</v>
      </c>
      <c r="AC1346" t="s">
        <v>87</v>
      </c>
      <c r="AD1346">
        <v>36</v>
      </c>
      <c r="AE1346">
        <v>9</v>
      </c>
      <c r="AF1346">
        <v>3</v>
      </c>
      <c r="AG1346">
        <v>2025</v>
      </c>
      <c r="AH1346" s="2">
        <v>6300</v>
      </c>
      <c r="AI1346" s="2">
        <v>8372.3896484375</v>
      </c>
      <c r="AJ1346" s="2">
        <f t="shared" si="162"/>
        <v>2072.3896484375</v>
      </c>
      <c r="AK1346" s="6">
        <f t="shared" si="163"/>
        <v>0.32895073784722223</v>
      </c>
      <c r="AL1346" s="12">
        <v>6300</v>
      </c>
      <c r="AM1346" s="12">
        <v>5618.9710380845909</v>
      </c>
      <c r="AN1346" s="12">
        <f t="shared" si="164"/>
        <v>681.02896191540913</v>
      </c>
      <c r="AO1346" s="13">
        <f t="shared" si="165"/>
        <v>0.10809983522466811</v>
      </c>
      <c r="AP1346" s="16">
        <v>6300</v>
      </c>
      <c r="AQ1346" s="16">
        <v>3880.7949115475162</v>
      </c>
      <c r="AR1346" s="16">
        <f t="shared" si="166"/>
        <v>2419.2050884524838</v>
      </c>
      <c r="AS1346" s="17">
        <f t="shared" si="160"/>
        <v>0.38400080769087042</v>
      </c>
      <c r="AT1346" s="20">
        <v>6300</v>
      </c>
      <c r="AU1346" s="20">
        <v>8071.5244140625</v>
      </c>
      <c r="AV1346" s="20">
        <f t="shared" si="161"/>
        <v>1771.5244140625</v>
      </c>
      <c r="AW1346" s="21">
        <f t="shared" si="167"/>
        <v>0.28119435143849209</v>
      </c>
    </row>
    <row r="1347" spans="1:49" x14ac:dyDescent="0.25">
      <c r="A1347" t="s">
        <v>128</v>
      </c>
      <c r="B1347" t="s">
        <v>129</v>
      </c>
      <c r="C1347">
        <v>198345</v>
      </c>
      <c r="D1347">
        <v>2008</v>
      </c>
      <c r="E1347" t="s">
        <v>166</v>
      </c>
      <c r="F1347" t="s">
        <v>562</v>
      </c>
      <c r="G1347" t="s">
        <v>1346</v>
      </c>
      <c r="I1347">
        <v>4</v>
      </c>
      <c r="J1347" t="s">
        <v>72</v>
      </c>
      <c r="K1347">
        <v>4</v>
      </c>
      <c r="L1347" t="s">
        <v>44</v>
      </c>
      <c r="M1347">
        <v>2.4</v>
      </c>
      <c r="N1347" t="s">
        <v>45</v>
      </c>
      <c r="Q1347" t="s">
        <v>47</v>
      </c>
      <c r="R1347" t="s">
        <v>123</v>
      </c>
      <c r="T1347">
        <v>177</v>
      </c>
      <c r="U1347" t="s">
        <v>50</v>
      </c>
      <c r="V1347" t="s">
        <v>51</v>
      </c>
      <c r="W1347" t="s">
        <v>1258</v>
      </c>
      <c r="X1347" t="s">
        <v>65</v>
      </c>
      <c r="Y1347" t="s">
        <v>78</v>
      </c>
      <c r="AA1347">
        <v>0</v>
      </c>
      <c r="AB1347" t="s">
        <v>79</v>
      </c>
      <c r="AC1347" t="s">
        <v>127</v>
      </c>
      <c r="AD1347">
        <v>36</v>
      </c>
      <c r="AE1347">
        <v>9</v>
      </c>
      <c r="AF1347">
        <v>3</v>
      </c>
      <c r="AG1347">
        <v>2025</v>
      </c>
      <c r="AH1347" s="2">
        <v>700</v>
      </c>
      <c r="AI1347" s="2">
        <v>1487.132690429688</v>
      </c>
      <c r="AJ1347" s="2">
        <f t="shared" si="162"/>
        <v>787.13269042968795</v>
      </c>
      <c r="AK1347" s="6">
        <f t="shared" si="163"/>
        <v>1.1244752720424114</v>
      </c>
      <c r="AL1347" s="12">
        <v>700</v>
      </c>
      <c r="AM1347" s="12">
        <v>1654.3172696453321</v>
      </c>
      <c r="AN1347" s="12">
        <f t="shared" si="164"/>
        <v>954.31726964533209</v>
      </c>
      <c r="AO1347" s="13">
        <f t="shared" si="165"/>
        <v>1.3633103852076174</v>
      </c>
      <c r="AP1347" s="16">
        <v>700</v>
      </c>
      <c r="AQ1347" s="16">
        <v>1322.4112058471731</v>
      </c>
      <c r="AR1347" s="16">
        <f t="shared" si="166"/>
        <v>622.41120584717305</v>
      </c>
      <c r="AS1347" s="17">
        <f t="shared" ref="AS1347:AS1410" si="168">ABS($AH1347-AQ1347)/$AH1347</f>
        <v>0.88915886549596146</v>
      </c>
      <c r="AT1347" s="20">
        <v>700</v>
      </c>
      <c r="AU1347" s="20">
        <v>1495.840698242188</v>
      </c>
      <c r="AV1347" s="20">
        <f t="shared" ref="AV1347:AV1410" si="169">ABS(AT1347-AU1347)</f>
        <v>795.84069824218795</v>
      </c>
      <c r="AW1347" s="21">
        <f t="shared" si="167"/>
        <v>1.1369152832031257</v>
      </c>
    </row>
    <row r="1348" spans="1:49" x14ac:dyDescent="0.25">
      <c r="A1348" t="s">
        <v>38</v>
      </c>
      <c r="B1348" t="s">
        <v>96</v>
      </c>
      <c r="C1348">
        <v>155519</v>
      </c>
      <c r="D1348">
        <v>2013</v>
      </c>
      <c r="E1348" t="s">
        <v>97</v>
      </c>
      <c r="F1348" t="s">
        <v>159</v>
      </c>
      <c r="G1348" t="s">
        <v>380</v>
      </c>
      <c r="H1348" t="s">
        <v>89</v>
      </c>
      <c r="I1348">
        <v>8</v>
      </c>
      <c r="J1348" t="s">
        <v>72</v>
      </c>
      <c r="K1348">
        <v>2</v>
      </c>
      <c r="L1348" t="s">
        <v>44</v>
      </c>
      <c r="M1348">
        <v>5.3</v>
      </c>
      <c r="N1348" t="s">
        <v>73</v>
      </c>
      <c r="O1348" t="s">
        <v>46</v>
      </c>
      <c r="Q1348" t="s">
        <v>74</v>
      </c>
      <c r="R1348" t="s">
        <v>92</v>
      </c>
      <c r="S1348" t="s">
        <v>49</v>
      </c>
      <c r="U1348" t="s">
        <v>180</v>
      </c>
      <c r="V1348" t="s">
        <v>76</v>
      </c>
      <c r="W1348" t="s">
        <v>181</v>
      </c>
      <c r="X1348" t="s">
        <v>94</v>
      </c>
      <c r="Y1348" t="s">
        <v>78</v>
      </c>
      <c r="AA1348">
        <v>0</v>
      </c>
      <c r="AB1348" t="s">
        <v>79</v>
      </c>
      <c r="AC1348" t="s">
        <v>95</v>
      </c>
      <c r="AD1348">
        <v>36</v>
      </c>
      <c r="AE1348">
        <v>9</v>
      </c>
      <c r="AF1348">
        <v>3</v>
      </c>
      <c r="AG1348">
        <v>2025</v>
      </c>
      <c r="AH1348" s="2">
        <v>8200</v>
      </c>
      <c r="AI1348" s="2">
        <v>6718.2880859375</v>
      </c>
      <c r="AJ1348" s="2">
        <f t="shared" ref="AJ1348:AJ1411" si="170">ABS(AH1348-AI1348)</f>
        <v>1481.7119140625</v>
      </c>
      <c r="AK1348" s="6">
        <f t="shared" ref="AK1348:AK1411" si="171">ABS($AH1348-AI1348)/$AH1348</f>
        <v>0.18069657488567073</v>
      </c>
      <c r="AL1348" s="12">
        <v>8200</v>
      </c>
      <c r="AM1348" s="12">
        <v>6613.5255618948477</v>
      </c>
      <c r="AN1348" s="12">
        <f t="shared" ref="AN1348:AN1411" si="172">ABS(AL1348-AM1348)</f>
        <v>1586.4744381051523</v>
      </c>
      <c r="AO1348" s="13">
        <f t="shared" ref="AO1348:AO1411" si="173">ABS($AH1348-AM1348)/$AH1348</f>
        <v>0.19347249245184783</v>
      </c>
      <c r="AP1348" s="16">
        <v>8200</v>
      </c>
      <c r="AQ1348" s="16">
        <v>6012.1224475204226</v>
      </c>
      <c r="AR1348" s="16">
        <f t="shared" ref="AR1348:AR1411" si="174">ABS(AP1348-AQ1348)</f>
        <v>2187.8775524795774</v>
      </c>
      <c r="AS1348" s="17">
        <f t="shared" si="168"/>
        <v>0.26681433566824114</v>
      </c>
      <c r="AT1348" s="20">
        <v>8200</v>
      </c>
      <c r="AU1348" s="20">
        <v>6786.51220703125</v>
      </c>
      <c r="AV1348" s="20">
        <f t="shared" si="169"/>
        <v>1413.48779296875</v>
      </c>
      <c r="AW1348" s="21">
        <f t="shared" ref="AW1348:AW1411" si="175">ABS($AH1348-AU1348)/$AH1348</f>
        <v>0.17237656011814023</v>
      </c>
    </row>
    <row r="1349" spans="1:49" x14ac:dyDescent="0.25">
      <c r="A1349" t="s">
        <v>38</v>
      </c>
      <c r="B1349" t="s">
        <v>110</v>
      </c>
      <c r="C1349">
        <v>148158</v>
      </c>
      <c r="D1349">
        <v>2014</v>
      </c>
      <c r="E1349" t="s">
        <v>69</v>
      </c>
      <c r="F1349" t="s">
        <v>250</v>
      </c>
      <c r="H1349" t="s">
        <v>224</v>
      </c>
      <c r="I1349">
        <v>4</v>
      </c>
      <c r="J1349" t="s">
        <v>72</v>
      </c>
      <c r="K1349">
        <v>4</v>
      </c>
      <c r="L1349" t="s">
        <v>44</v>
      </c>
      <c r="M1349">
        <v>1.6</v>
      </c>
      <c r="N1349" t="s">
        <v>45</v>
      </c>
      <c r="Q1349" t="s">
        <v>62</v>
      </c>
      <c r="R1349" t="s">
        <v>63</v>
      </c>
      <c r="S1349" t="s">
        <v>49</v>
      </c>
      <c r="T1349">
        <v>178</v>
      </c>
      <c r="U1349" t="s">
        <v>50</v>
      </c>
      <c r="V1349" t="s">
        <v>51</v>
      </c>
      <c r="X1349" t="s">
        <v>65</v>
      </c>
      <c r="Y1349" t="s">
        <v>78</v>
      </c>
      <c r="AA1349">
        <v>0</v>
      </c>
      <c r="AB1349" t="s">
        <v>79</v>
      </c>
      <c r="AC1349" t="s">
        <v>87</v>
      </c>
      <c r="AD1349">
        <v>36</v>
      </c>
      <c r="AE1349">
        <v>9</v>
      </c>
      <c r="AF1349">
        <v>3</v>
      </c>
      <c r="AG1349">
        <v>2025</v>
      </c>
      <c r="AH1349" s="2">
        <v>1400</v>
      </c>
      <c r="AI1349" s="2">
        <v>1761.359985351562</v>
      </c>
      <c r="AJ1349" s="2">
        <f t="shared" si="170"/>
        <v>361.35998535156205</v>
      </c>
      <c r="AK1349" s="6">
        <f t="shared" si="171"/>
        <v>0.25811427525111574</v>
      </c>
      <c r="AL1349" s="12">
        <v>1400</v>
      </c>
      <c r="AM1349" s="12">
        <v>2163.5684524987169</v>
      </c>
      <c r="AN1349" s="12">
        <f t="shared" si="172"/>
        <v>763.56845249871685</v>
      </c>
      <c r="AO1349" s="13">
        <f t="shared" si="173"/>
        <v>0.54540603749908345</v>
      </c>
      <c r="AP1349" s="16">
        <v>1400</v>
      </c>
      <c r="AQ1349" s="16">
        <v>1807.8984434573499</v>
      </c>
      <c r="AR1349" s="16">
        <f t="shared" si="174"/>
        <v>407.89844345734991</v>
      </c>
      <c r="AS1349" s="17">
        <f t="shared" si="168"/>
        <v>0.29135603104096425</v>
      </c>
      <c r="AT1349" s="20">
        <v>1400</v>
      </c>
      <c r="AU1349" s="20">
        <v>1770.00146484375</v>
      </c>
      <c r="AV1349" s="20">
        <f t="shared" si="169"/>
        <v>370.00146484375</v>
      </c>
      <c r="AW1349" s="21">
        <f t="shared" si="175"/>
        <v>0.26428676060267858</v>
      </c>
    </row>
    <row r="1350" spans="1:49" x14ac:dyDescent="0.25">
      <c r="A1350" t="s">
        <v>38</v>
      </c>
      <c r="B1350" t="s">
        <v>39</v>
      </c>
      <c r="C1350">
        <v>103935</v>
      </c>
      <c r="D1350">
        <v>2018</v>
      </c>
      <c r="E1350" t="s">
        <v>40</v>
      </c>
      <c r="F1350" t="s">
        <v>1148</v>
      </c>
      <c r="G1350" t="s">
        <v>1149</v>
      </c>
      <c r="H1350" t="s">
        <v>1150</v>
      </c>
      <c r="I1350">
        <v>4</v>
      </c>
      <c r="J1350" t="s">
        <v>122</v>
      </c>
      <c r="K1350">
        <v>4</v>
      </c>
      <c r="L1350" t="s">
        <v>44</v>
      </c>
      <c r="M1350">
        <v>2</v>
      </c>
      <c r="N1350" t="s">
        <v>45</v>
      </c>
      <c r="O1350" t="s">
        <v>46</v>
      </c>
      <c r="Q1350" t="s">
        <v>47</v>
      </c>
      <c r="R1350" t="s">
        <v>148</v>
      </c>
      <c r="S1350" t="s">
        <v>101</v>
      </c>
      <c r="T1350">
        <v>145</v>
      </c>
      <c r="U1350" t="s">
        <v>50</v>
      </c>
      <c r="V1350" t="s">
        <v>51</v>
      </c>
      <c r="W1350" t="s">
        <v>1151</v>
      </c>
      <c r="X1350" t="s">
        <v>125</v>
      </c>
      <c r="Y1350" t="s">
        <v>1152</v>
      </c>
      <c r="Z1350">
        <v>22500</v>
      </c>
      <c r="AA1350">
        <v>0</v>
      </c>
      <c r="AB1350" t="s">
        <v>79</v>
      </c>
      <c r="AC1350" t="s">
        <v>87</v>
      </c>
      <c r="AD1350">
        <v>36</v>
      </c>
      <c r="AE1350">
        <v>9</v>
      </c>
      <c r="AF1350">
        <v>3</v>
      </c>
      <c r="AG1350">
        <v>2025</v>
      </c>
      <c r="AH1350" s="2">
        <v>9750</v>
      </c>
      <c r="AI1350" s="2">
        <v>6857.27294921875</v>
      </c>
      <c r="AJ1350" s="2">
        <f t="shared" si="170"/>
        <v>2892.72705078125</v>
      </c>
      <c r="AK1350" s="6">
        <f t="shared" si="171"/>
        <v>0.29668995392628206</v>
      </c>
      <c r="AL1350" s="12">
        <v>9750</v>
      </c>
      <c r="AM1350" s="12">
        <v>7281.3524463096956</v>
      </c>
      <c r="AN1350" s="12">
        <f t="shared" si="172"/>
        <v>2468.6475536903044</v>
      </c>
      <c r="AO1350" s="13">
        <f t="shared" si="173"/>
        <v>0.25319462089131328</v>
      </c>
      <c r="AP1350" s="16">
        <v>9750</v>
      </c>
      <c r="AQ1350" s="16">
        <v>7588.4758757598556</v>
      </c>
      <c r="AR1350" s="16">
        <f t="shared" si="174"/>
        <v>2161.5241242401444</v>
      </c>
      <c r="AS1350" s="17">
        <f t="shared" si="168"/>
        <v>0.22169478197334813</v>
      </c>
      <c r="AT1350" s="20">
        <v>9750</v>
      </c>
      <c r="AU1350" s="20">
        <v>7054.3046875</v>
      </c>
      <c r="AV1350" s="20">
        <f t="shared" si="169"/>
        <v>2695.6953125</v>
      </c>
      <c r="AW1350" s="21">
        <f t="shared" si="175"/>
        <v>0.27648157051282052</v>
      </c>
    </row>
    <row r="1351" spans="1:49" x14ac:dyDescent="0.25">
      <c r="A1351" t="s">
        <v>38</v>
      </c>
      <c r="B1351" t="s">
        <v>96</v>
      </c>
      <c r="C1351">
        <v>125648</v>
      </c>
      <c r="D1351">
        <v>2019</v>
      </c>
      <c r="E1351" t="s">
        <v>97</v>
      </c>
      <c r="F1351" t="s">
        <v>198</v>
      </c>
      <c r="G1351" t="s">
        <v>199</v>
      </c>
      <c r="I1351">
        <v>6</v>
      </c>
      <c r="J1351" t="s">
        <v>61</v>
      </c>
      <c r="K1351">
        <v>4</v>
      </c>
      <c r="L1351" t="s">
        <v>44</v>
      </c>
      <c r="M1351">
        <v>3.6</v>
      </c>
      <c r="N1351" t="s">
        <v>45</v>
      </c>
      <c r="O1351" t="s">
        <v>46</v>
      </c>
      <c r="P1351">
        <v>4</v>
      </c>
      <c r="Q1351" t="s">
        <v>62</v>
      </c>
      <c r="R1351" t="s">
        <v>63</v>
      </c>
      <c r="S1351" t="s">
        <v>101</v>
      </c>
      <c r="U1351" t="s">
        <v>50</v>
      </c>
      <c r="V1351" t="s">
        <v>76</v>
      </c>
      <c r="W1351" t="s">
        <v>1084</v>
      </c>
      <c r="X1351" t="s">
        <v>94</v>
      </c>
      <c r="Y1351" t="s">
        <v>78</v>
      </c>
      <c r="Z1351">
        <v>34095</v>
      </c>
      <c r="AA1351">
        <v>0</v>
      </c>
      <c r="AB1351" t="s">
        <v>79</v>
      </c>
      <c r="AC1351" t="s">
        <v>109</v>
      </c>
      <c r="AD1351">
        <v>36</v>
      </c>
      <c r="AE1351">
        <v>9</v>
      </c>
      <c r="AF1351">
        <v>3</v>
      </c>
      <c r="AG1351">
        <v>2025</v>
      </c>
      <c r="AH1351" s="2">
        <v>6400</v>
      </c>
      <c r="AI1351" s="2">
        <v>11279.6796875</v>
      </c>
      <c r="AJ1351" s="2">
        <f t="shared" si="170"/>
        <v>4879.6796875</v>
      </c>
      <c r="AK1351" s="6">
        <f t="shared" si="171"/>
        <v>0.76244995117187497</v>
      </c>
      <c r="AL1351" s="12">
        <v>6400</v>
      </c>
      <c r="AM1351" s="12">
        <v>9660.2195834435352</v>
      </c>
      <c r="AN1351" s="12">
        <f t="shared" si="172"/>
        <v>3260.2195834435352</v>
      </c>
      <c r="AO1351" s="13">
        <f t="shared" si="173"/>
        <v>0.50940930991305233</v>
      </c>
      <c r="AP1351" s="16">
        <v>6400</v>
      </c>
      <c r="AQ1351" s="16">
        <v>8129.5824273192366</v>
      </c>
      <c r="AR1351" s="16">
        <f t="shared" si="174"/>
        <v>1729.5824273192366</v>
      </c>
      <c r="AS1351" s="17">
        <f t="shared" si="168"/>
        <v>0.27024725426863072</v>
      </c>
      <c r="AT1351" s="20">
        <v>6400</v>
      </c>
      <c r="AU1351" s="20">
        <v>11132.8173828125</v>
      </c>
      <c r="AV1351" s="20">
        <f t="shared" si="169"/>
        <v>4732.8173828125</v>
      </c>
      <c r="AW1351" s="21">
        <f t="shared" si="175"/>
        <v>0.73950271606445317</v>
      </c>
    </row>
    <row r="1352" spans="1:49" x14ac:dyDescent="0.25">
      <c r="A1352" t="s">
        <v>38</v>
      </c>
      <c r="B1352" t="s">
        <v>110</v>
      </c>
      <c r="C1352">
        <v>219695</v>
      </c>
      <c r="D1352">
        <v>2015</v>
      </c>
      <c r="E1352" t="s">
        <v>69</v>
      </c>
      <c r="F1352" t="s">
        <v>70</v>
      </c>
      <c r="G1352" t="s">
        <v>1347</v>
      </c>
      <c r="H1352" t="s">
        <v>288</v>
      </c>
      <c r="I1352">
        <v>6</v>
      </c>
      <c r="J1352" t="s">
        <v>61</v>
      </c>
      <c r="K1352">
        <v>3</v>
      </c>
      <c r="L1352" t="s">
        <v>44</v>
      </c>
      <c r="M1352">
        <v>3.5</v>
      </c>
      <c r="N1352" t="s">
        <v>73</v>
      </c>
      <c r="Q1352" t="s">
        <v>1348</v>
      </c>
      <c r="R1352" t="s">
        <v>80</v>
      </c>
      <c r="T1352">
        <v>310</v>
      </c>
      <c r="U1352" t="s">
        <v>50</v>
      </c>
      <c r="V1352" t="s">
        <v>76</v>
      </c>
      <c r="X1352" t="s">
        <v>77</v>
      </c>
      <c r="Y1352" t="s">
        <v>78</v>
      </c>
      <c r="AA1352">
        <v>0</v>
      </c>
      <c r="AB1352" t="s">
        <v>79</v>
      </c>
      <c r="AC1352" t="s">
        <v>80</v>
      </c>
      <c r="AD1352">
        <v>36</v>
      </c>
      <c r="AE1352">
        <v>9</v>
      </c>
      <c r="AF1352">
        <v>3</v>
      </c>
      <c r="AG1352">
        <v>2025</v>
      </c>
      <c r="AH1352" s="2">
        <v>2400</v>
      </c>
      <c r="AI1352" s="2">
        <v>4115.1904296875</v>
      </c>
      <c r="AJ1352" s="2">
        <f t="shared" si="170"/>
        <v>1715.1904296875</v>
      </c>
      <c r="AK1352" s="6">
        <f t="shared" si="171"/>
        <v>0.7146626790364583</v>
      </c>
      <c r="AL1352" s="12">
        <v>2400</v>
      </c>
      <c r="AM1352" s="12">
        <v>4700.2659053721582</v>
      </c>
      <c r="AN1352" s="12">
        <f t="shared" si="172"/>
        <v>2300.2659053721582</v>
      </c>
      <c r="AO1352" s="13">
        <f t="shared" si="173"/>
        <v>0.95844412723839922</v>
      </c>
      <c r="AP1352" s="16">
        <v>2400</v>
      </c>
      <c r="AQ1352" s="16">
        <v>5297.0444967480043</v>
      </c>
      <c r="AR1352" s="16">
        <f t="shared" si="174"/>
        <v>2897.0444967480043</v>
      </c>
      <c r="AS1352" s="17">
        <f t="shared" si="168"/>
        <v>1.2071018736450019</v>
      </c>
      <c r="AT1352" s="20">
        <v>2400</v>
      </c>
      <c r="AU1352" s="20">
        <v>4174.4521484375</v>
      </c>
      <c r="AV1352" s="20">
        <f t="shared" si="169"/>
        <v>1774.4521484375</v>
      </c>
      <c r="AW1352" s="21">
        <f t="shared" si="175"/>
        <v>0.73935506184895838</v>
      </c>
    </row>
    <row r="1353" spans="1:49" x14ac:dyDescent="0.25">
      <c r="A1353" t="s">
        <v>38</v>
      </c>
      <c r="B1353" t="s">
        <v>110</v>
      </c>
      <c r="C1353">
        <v>89139</v>
      </c>
      <c r="D1353">
        <v>2020</v>
      </c>
      <c r="E1353" t="s">
        <v>97</v>
      </c>
      <c r="F1353" t="s">
        <v>154</v>
      </c>
      <c r="G1353" t="s">
        <v>155</v>
      </c>
      <c r="I1353">
        <v>6</v>
      </c>
      <c r="J1353" t="s">
        <v>72</v>
      </c>
      <c r="K1353">
        <v>4</v>
      </c>
      <c r="L1353" t="s">
        <v>44</v>
      </c>
      <c r="M1353">
        <v>3.6</v>
      </c>
      <c r="N1353" t="s">
        <v>73</v>
      </c>
      <c r="Q1353" t="s">
        <v>74</v>
      </c>
      <c r="R1353" t="s">
        <v>92</v>
      </c>
      <c r="S1353" t="s">
        <v>49</v>
      </c>
      <c r="U1353" t="s">
        <v>50</v>
      </c>
      <c r="V1353" t="s">
        <v>76</v>
      </c>
      <c r="W1353" t="s">
        <v>461</v>
      </c>
      <c r="X1353" t="s">
        <v>141</v>
      </c>
      <c r="Y1353" t="s">
        <v>78</v>
      </c>
      <c r="AA1353">
        <v>0</v>
      </c>
      <c r="AB1353" t="s">
        <v>79</v>
      </c>
      <c r="AC1353" t="s">
        <v>95</v>
      </c>
      <c r="AD1353">
        <v>36</v>
      </c>
      <c r="AE1353">
        <v>9</v>
      </c>
      <c r="AF1353">
        <v>3</v>
      </c>
      <c r="AG1353">
        <v>2025</v>
      </c>
      <c r="AH1353" s="2">
        <v>16800</v>
      </c>
      <c r="AI1353" s="2">
        <v>16439.75390625</v>
      </c>
      <c r="AJ1353" s="2">
        <f t="shared" si="170"/>
        <v>360.24609375</v>
      </c>
      <c r="AK1353" s="6">
        <f t="shared" si="171"/>
        <v>2.1443219866071429E-2</v>
      </c>
      <c r="AL1353" s="12">
        <v>16800</v>
      </c>
      <c r="AM1353" s="12">
        <v>16820.260605486659</v>
      </c>
      <c r="AN1353" s="12">
        <f t="shared" si="172"/>
        <v>20.260605486659188</v>
      </c>
      <c r="AO1353" s="13">
        <f t="shared" si="173"/>
        <v>1.2059884218249516E-3</v>
      </c>
      <c r="AP1353" s="16">
        <v>16800</v>
      </c>
      <c r="AQ1353" s="16">
        <v>15134.53904700754</v>
      </c>
      <c r="AR1353" s="16">
        <f t="shared" si="174"/>
        <v>1665.4609529924601</v>
      </c>
      <c r="AS1353" s="17">
        <f t="shared" si="168"/>
        <v>9.9134580535265485E-2</v>
      </c>
      <c r="AT1353" s="20">
        <v>16800</v>
      </c>
      <c r="AU1353" s="20">
        <v>16402.57421875</v>
      </c>
      <c r="AV1353" s="20">
        <f t="shared" si="169"/>
        <v>397.42578125</v>
      </c>
      <c r="AW1353" s="21">
        <f t="shared" si="175"/>
        <v>2.3656296502976189E-2</v>
      </c>
    </row>
    <row r="1354" spans="1:49" x14ac:dyDescent="0.25">
      <c r="A1354" t="s">
        <v>38</v>
      </c>
      <c r="B1354" t="s">
        <v>110</v>
      </c>
      <c r="C1354">
        <v>102516</v>
      </c>
      <c r="D1354">
        <v>2019</v>
      </c>
      <c r="E1354" t="s">
        <v>146</v>
      </c>
      <c r="F1354" t="s">
        <v>279</v>
      </c>
      <c r="I1354">
        <v>4</v>
      </c>
      <c r="J1354" t="s">
        <v>106</v>
      </c>
      <c r="K1354">
        <v>4</v>
      </c>
      <c r="L1354" t="s">
        <v>44</v>
      </c>
      <c r="M1354">
        <v>1.8</v>
      </c>
      <c r="N1354" t="s">
        <v>45</v>
      </c>
      <c r="O1354" t="s">
        <v>46</v>
      </c>
      <c r="P1354">
        <v>2</v>
      </c>
      <c r="Q1354" t="s">
        <v>47</v>
      </c>
      <c r="R1354" t="s">
        <v>123</v>
      </c>
      <c r="S1354" t="s">
        <v>49</v>
      </c>
      <c r="U1354" t="s">
        <v>50</v>
      </c>
      <c r="X1354" t="s">
        <v>125</v>
      </c>
      <c r="Y1354" t="s">
        <v>126</v>
      </c>
      <c r="AA1354">
        <v>0</v>
      </c>
      <c r="AB1354" t="s">
        <v>79</v>
      </c>
      <c r="AC1354" t="s">
        <v>127</v>
      </c>
      <c r="AD1354">
        <v>36</v>
      </c>
      <c r="AE1354">
        <v>9</v>
      </c>
      <c r="AF1354">
        <v>3</v>
      </c>
      <c r="AG1354">
        <v>2025</v>
      </c>
      <c r="AH1354" s="2">
        <v>2500</v>
      </c>
      <c r="AI1354" s="2">
        <v>2746.75634765625</v>
      </c>
      <c r="AJ1354" s="2">
        <f t="shared" si="170"/>
        <v>246.75634765625</v>
      </c>
      <c r="AK1354" s="6">
        <f t="shared" si="171"/>
        <v>9.8702539062499997E-2</v>
      </c>
      <c r="AL1354" s="12">
        <v>2500</v>
      </c>
      <c r="AM1354" s="12">
        <v>3959.943710325394</v>
      </c>
      <c r="AN1354" s="12">
        <f t="shared" si="172"/>
        <v>1459.943710325394</v>
      </c>
      <c r="AO1354" s="13">
        <f t="shared" si="173"/>
        <v>0.5839774841301576</v>
      </c>
      <c r="AP1354" s="16">
        <v>2500</v>
      </c>
      <c r="AQ1354" s="16">
        <v>2833.6144517518778</v>
      </c>
      <c r="AR1354" s="16">
        <f t="shared" si="174"/>
        <v>333.61445175187782</v>
      </c>
      <c r="AS1354" s="17">
        <f t="shared" si="168"/>
        <v>0.13344578070075114</v>
      </c>
      <c r="AT1354" s="20">
        <v>2500</v>
      </c>
      <c r="AU1354" s="20">
        <v>2813.287353515625</v>
      </c>
      <c r="AV1354" s="20">
        <f t="shared" si="169"/>
        <v>313.287353515625</v>
      </c>
      <c r="AW1354" s="21">
        <f t="shared" si="175"/>
        <v>0.12531494140624999</v>
      </c>
    </row>
    <row r="1355" spans="1:49" x14ac:dyDescent="0.25">
      <c r="A1355" t="s">
        <v>128</v>
      </c>
      <c r="B1355" t="s">
        <v>271</v>
      </c>
      <c r="C1355">
        <v>255484</v>
      </c>
      <c r="D1355">
        <v>2012</v>
      </c>
      <c r="E1355" t="s">
        <v>174</v>
      </c>
      <c r="F1355" t="s">
        <v>314</v>
      </c>
      <c r="G1355" t="s">
        <v>1208</v>
      </c>
      <c r="H1355" t="s">
        <v>89</v>
      </c>
      <c r="I1355">
        <v>6</v>
      </c>
      <c r="J1355" t="s">
        <v>72</v>
      </c>
      <c r="K1355">
        <v>2</v>
      </c>
      <c r="L1355" t="s">
        <v>44</v>
      </c>
      <c r="M1355">
        <v>4.3</v>
      </c>
      <c r="N1355" t="s">
        <v>73</v>
      </c>
      <c r="O1355" t="s">
        <v>46</v>
      </c>
      <c r="P1355">
        <v>2</v>
      </c>
      <c r="Q1355" t="s">
        <v>74</v>
      </c>
      <c r="R1355" t="s">
        <v>92</v>
      </c>
      <c r="S1355" t="s">
        <v>49</v>
      </c>
      <c r="U1355" t="s">
        <v>50</v>
      </c>
      <c r="V1355" t="s">
        <v>76</v>
      </c>
      <c r="W1355" t="s">
        <v>1349</v>
      </c>
      <c r="X1355" t="s">
        <v>94</v>
      </c>
      <c r="Y1355" t="s">
        <v>78</v>
      </c>
      <c r="AA1355">
        <v>0</v>
      </c>
      <c r="AB1355" t="s">
        <v>79</v>
      </c>
      <c r="AC1355" t="s">
        <v>95</v>
      </c>
      <c r="AD1355">
        <v>36</v>
      </c>
      <c r="AE1355">
        <v>9</v>
      </c>
      <c r="AF1355">
        <v>3</v>
      </c>
      <c r="AG1355">
        <v>2025</v>
      </c>
      <c r="AH1355" s="2">
        <v>3000</v>
      </c>
      <c r="AI1355" s="2">
        <v>2254.1806640625</v>
      </c>
      <c r="AJ1355" s="2">
        <f t="shared" si="170"/>
        <v>745.8193359375</v>
      </c>
      <c r="AK1355" s="6">
        <f t="shared" si="171"/>
        <v>0.24860644531250001</v>
      </c>
      <c r="AL1355" s="12">
        <v>3000</v>
      </c>
      <c r="AM1355" s="12">
        <v>1971.130618207101</v>
      </c>
      <c r="AN1355" s="12">
        <f t="shared" si="172"/>
        <v>1028.869381792899</v>
      </c>
      <c r="AO1355" s="13">
        <f t="shared" si="173"/>
        <v>0.34295646059763302</v>
      </c>
      <c r="AP1355" s="16">
        <v>3000</v>
      </c>
      <c r="AQ1355" s="16">
        <v>1856.102517289431</v>
      </c>
      <c r="AR1355" s="16">
        <f t="shared" si="174"/>
        <v>1143.897482710569</v>
      </c>
      <c r="AS1355" s="17">
        <f t="shared" si="168"/>
        <v>0.381299160903523</v>
      </c>
      <c r="AT1355" s="20">
        <v>3000</v>
      </c>
      <c r="AU1355" s="20">
        <v>2218.284912109375</v>
      </c>
      <c r="AV1355" s="20">
        <f t="shared" si="169"/>
        <v>781.715087890625</v>
      </c>
      <c r="AW1355" s="21">
        <f t="shared" si="175"/>
        <v>0.26057169596354168</v>
      </c>
    </row>
    <row r="1356" spans="1:49" x14ac:dyDescent="0.25">
      <c r="A1356" t="s">
        <v>38</v>
      </c>
      <c r="B1356" t="s">
        <v>96</v>
      </c>
      <c r="C1356">
        <v>103448</v>
      </c>
      <c r="D1356">
        <v>2015</v>
      </c>
      <c r="E1356" t="s">
        <v>142</v>
      </c>
      <c r="F1356" t="s">
        <v>373</v>
      </c>
      <c r="G1356" t="s">
        <v>118</v>
      </c>
      <c r="I1356">
        <v>6</v>
      </c>
      <c r="J1356" t="s">
        <v>135</v>
      </c>
      <c r="K1356">
        <v>4</v>
      </c>
      <c r="L1356" t="s">
        <v>44</v>
      </c>
      <c r="M1356">
        <v>3.6</v>
      </c>
      <c r="N1356" t="s">
        <v>73</v>
      </c>
      <c r="O1356" t="s">
        <v>46</v>
      </c>
      <c r="P1356">
        <v>3</v>
      </c>
      <c r="Q1356" t="s">
        <v>62</v>
      </c>
      <c r="R1356" t="s">
        <v>63</v>
      </c>
      <c r="S1356" t="s">
        <v>49</v>
      </c>
      <c r="U1356" t="s">
        <v>50</v>
      </c>
      <c r="X1356" t="s">
        <v>94</v>
      </c>
      <c r="Y1356" t="s">
        <v>78</v>
      </c>
      <c r="AA1356">
        <v>0</v>
      </c>
      <c r="AB1356" t="s">
        <v>79</v>
      </c>
      <c r="AC1356" t="s">
        <v>87</v>
      </c>
      <c r="AD1356">
        <v>36</v>
      </c>
      <c r="AE1356">
        <v>9</v>
      </c>
      <c r="AF1356">
        <v>3</v>
      </c>
      <c r="AG1356">
        <v>2025</v>
      </c>
      <c r="AH1356" s="2">
        <v>7000</v>
      </c>
      <c r="AI1356" s="2">
        <v>7951.4970703125</v>
      </c>
      <c r="AJ1356" s="2">
        <f t="shared" si="170"/>
        <v>951.4970703125</v>
      </c>
      <c r="AK1356" s="6">
        <f t="shared" si="171"/>
        <v>0.13592815290178573</v>
      </c>
      <c r="AL1356" s="12">
        <v>7000</v>
      </c>
      <c r="AM1356" s="12">
        <v>8111.7716003764381</v>
      </c>
      <c r="AN1356" s="12">
        <f t="shared" si="172"/>
        <v>1111.7716003764381</v>
      </c>
      <c r="AO1356" s="13">
        <f t="shared" si="173"/>
        <v>0.15882451433949116</v>
      </c>
      <c r="AP1356" s="16">
        <v>7000</v>
      </c>
      <c r="AQ1356" s="16">
        <v>7164.6834357061834</v>
      </c>
      <c r="AR1356" s="16">
        <f t="shared" si="174"/>
        <v>164.68343570618345</v>
      </c>
      <c r="AS1356" s="17">
        <f t="shared" si="168"/>
        <v>2.3526205100883348E-2</v>
      </c>
      <c r="AT1356" s="20">
        <v>7000</v>
      </c>
      <c r="AU1356" s="20">
        <v>7972.78369140625</v>
      </c>
      <c r="AV1356" s="20">
        <f t="shared" si="169"/>
        <v>972.78369140625</v>
      </c>
      <c r="AW1356" s="21">
        <f t="shared" si="175"/>
        <v>0.13896909877232144</v>
      </c>
    </row>
    <row r="1357" spans="1:49" x14ac:dyDescent="0.25">
      <c r="A1357" t="s">
        <v>38</v>
      </c>
      <c r="B1357" t="s">
        <v>110</v>
      </c>
      <c r="C1357">
        <v>132533</v>
      </c>
      <c r="D1357">
        <v>2017</v>
      </c>
      <c r="E1357" t="s">
        <v>464</v>
      </c>
      <c r="F1357" t="s">
        <v>465</v>
      </c>
      <c r="H1357" t="s">
        <v>852</v>
      </c>
      <c r="I1357">
        <v>4</v>
      </c>
      <c r="J1357" t="s">
        <v>135</v>
      </c>
      <c r="K1357">
        <v>4</v>
      </c>
      <c r="L1357" t="s">
        <v>44</v>
      </c>
      <c r="M1357">
        <v>2</v>
      </c>
      <c r="N1357" t="s">
        <v>91</v>
      </c>
      <c r="Q1357" t="s">
        <v>62</v>
      </c>
      <c r="R1357" t="s">
        <v>63</v>
      </c>
      <c r="T1357">
        <v>240</v>
      </c>
      <c r="U1357" t="s">
        <v>50</v>
      </c>
      <c r="V1357" t="s">
        <v>51</v>
      </c>
      <c r="W1357" t="s">
        <v>1350</v>
      </c>
      <c r="X1357" t="s">
        <v>141</v>
      </c>
      <c r="Y1357" t="s">
        <v>467</v>
      </c>
      <c r="Z1357">
        <v>51000</v>
      </c>
      <c r="AA1357">
        <v>0</v>
      </c>
      <c r="AB1357" t="s">
        <v>79</v>
      </c>
      <c r="AC1357" t="s">
        <v>87</v>
      </c>
      <c r="AD1357">
        <v>36</v>
      </c>
      <c r="AE1357">
        <v>9</v>
      </c>
      <c r="AF1357">
        <v>3</v>
      </c>
      <c r="AG1357">
        <v>2025</v>
      </c>
      <c r="AH1357" s="2">
        <v>3800</v>
      </c>
      <c r="AI1357" s="2">
        <v>5773.80419921875</v>
      </c>
      <c r="AJ1357" s="2">
        <f t="shared" si="170"/>
        <v>1973.80419921875</v>
      </c>
      <c r="AK1357" s="6">
        <f t="shared" si="171"/>
        <v>0.51942215768914479</v>
      </c>
      <c r="AL1357" s="12">
        <v>3800</v>
      </c>
      <c r="AM1357" s="12">
        <v>5954.9459582958734</v>
      </c>
      <c r="AN1357" s="12">
        <f t="shared" si="172"/>
        <v>2154.9459582958734</v>
      </c>
      <c r="AO1357" s="13">
        <f t="shared" si="173"/>
        <v>0.56709104165680879</v>
      </c>
      <c r="AP1357" s="16">
        <v>3800</v>
      </c>
      <c r="AQ1357" s="16">
        <v>4926.9974947517912</v>
      </c>
      <c r="AR1357" s="16">
        <f t="shared" si="174"/>
        <v>1126.9974947517912</v>
      </c>
      <c r="AS1357" s="17">
        <f t="shared" si="168"/>
        <v>0.29657828809257664</v>
      </c>
      <c r="AT1357" s="20">
        <v>3800</v>
      </c>
      <c r="AU1357" s="20">
        <v>5898.48876953125</v>
      </c>
      <c r="AV1357" s="20">
        <f t="shared" si="169"/>
        <v>2098.48876953125</v>
      </c>
      <c r="AW1357" s="21">
        <f t="shared" si="175"/>
        <v>0.55223388671874996</v>
      </c>
    </row>
    <row r="1358" spans="1:49" x14ac:dyDescent="0.25">
      <c r="A1358" t="s">
        <v>38</v>
      </c>
      <c r="B1358" t="s">
        <v>96</v>
      </c>
      <c r="C1358">
        <v>95670</v>
      </c>
      <c r="D1358">
        <v>2022</v>
      </c>
      <c r="E1358" t="s">
        <v>119</v>
      </c>
      <c r="F1358" t="s">
        <v>958</v>
      </c>
      <c r="G1358" t="s">
        <v>1351</v>
      </c>
      <c r="I1358">
        <v>4</v>
      </c>
      <c r="J1358" t="s">
        <v>135</v>
      </c>
      <c r="K1358">
        <v>4</v>
      </c>
      <c r="L1358" t="s">
        <v>44</v>
      </c>
      <c r="M1358">
        <v>2</v>
      </c>
      <c r="N1358" t="s">
        <v>45</v>
      </c>
      <c r="O1358" t="s">
        <v>46</v>
      </c>
      <c r="P1358">
        <v>2</v>
      </c>
      <c r="Q1358" t="s">
        <v>62</v>
      </c>
      <c r="R1358" t="s">
        <v>63</v>
      </c>
      <c r="T1358">
        <v>184</v>
      </c>
      <c r="U1358" t="s">
        <v>50</v>
      </c>
      <c r="X1358" t="s">
        <v>141</v>
      </c>
      <c r="Y1358" t="s">
        <v>126</v>
      </c>
      <c r="AA1358">
        <v>0</v>
      </c>
      <c r="AB1358" t="s">
        <v>79</v>
      </c>
      <c r="AC1358" t="s">
        <v>87</v>
      </c>
      <c r="AD1358">
        <v>36</v>
      </c>
      <c r="AE1358">
        <v>9</v>
      </c>
      <c r="AF1358">
        <v>3</v>
      </c>
      <c r="AG1358">
        <v>2025</v>
      </c>
      <c r="AH1358" s="2">
        <v>12200</v>
      </c>
      <c r="AI1358" s="2">
        <v>9544.0712890625</v>
      </c>
      <c r="AJ1358" s="2">
        <f t="shared" si="170"/>
        <v>2655.9287109375</v>
      </c>
      <c r="AK1358" s="6">
        <f t="shared" si="171"/>
        <v>0.21769907466700819</v>
      </c>
      <c r="AL1358" s="12">
        <v>12200</v>
      </c>
      <c r="AM1358" s="12">
        <v>8125.6541767620711</v>
      </c>
      <c r="AN1358" s="12">
        <f t="shared" si="172"/>
        <v>4074.3458232379289</v>
      </c>
      <c r="AO1358" s="13">
        <f t="shared" si="173"/>
        <v>0.33396277239655153</v>
      </c>
      <c r="AP1358" s="16">
        <v>12200</v>
      </c>
      <c r="AQ1358" s="16">
        <v>10345.61723561751</v>
      </c>
      <c r="AR1358" s="16">
        <f t="shared" si="174"/>
        <v>1854.3827643824898</v>
      </c>
      <c r="AS1358" s="17">
        <f t="shared" si="168"/>
        <v>0.15199858724446638</v>
      </c>
      <c r="AT1358" s="20">
        <v>12200</v>
      </c>
      <c r="AU1358" s="20">
        <v>9412.8623046875</v>
      </c>
      <c r="AV1358" s="20">
        <f t="shared" si="169"/>
        <v>2787.1376953125</v>
      </c>
      <c r="AW1358" s="21">
        <f t="shared" si="175"/>
        <v>0.22845390945184427</v>
      </c>
    </row>
    <row r="1359" spans="1:49" x14ac:dyDescent="0.25">
      <c r="A1359" t="s">
        <v>38</v>
      </c>
      <c r="B1359" t="s">
        <v>110</v>
      </c>
      <c r="C1359">
        <v>138698</v>
      </c>
      <c r="D1359">
        <v>2016</v>
      </c>
      <c r="E1359" t="s">
        <v>58</v>
      </c>
      <c r="F1359" t="s">
        <v>220</v>
      </c>
      <c r="G1359" t="s">
        <v>510</v>
      </c>
      <c r="I1359">
        <v>4</v>
      </c>
      <c r="J1359" t="s">
        <v>135</v>
      </c>
      <c r="K1359">
        <v>4</v>
      </c>
      <c r="L1359" t="s">
        <v>44</v>
      </c>
      <c r="M1359">
        <v>2.4</v>
      </c>
      <c r="N1359" t="s">
        <v>45</v>
      </c>
      <c r="O1359" t="s">
        <v>46</v>
      </c>
      <c r="Q1359" t="s">
        <v>62</v>
      </c>
      <c r="R1359" t="s">
        <v>63</v>
      </c>
      <c r="S1359" t="s">
        <v>49</v>
      </c>
      <c r="U1359" t="s">
        <v>50</v>
      </c>
      <c r="W1359" t="s">
        <v>511</v>
      </c>
      <c r="X1359" t="s">
        <v>141</v>
      </c>
      <c r="Y1359" t="s">
        <v>78</v>
      </c>
      <c r="AA1359">
        <v>0</v>
      </c>
      <c r="AB1359" t="s">
        <v>79</v>
      </c>
      <c r="AC1359" t="s">
        <v>87</v>
      </c>
      <c r="AD1359">
        <v>36</v>
      </c>
      <c r="AE1359">
        <v>9</v>
      </c>
      <c r="AF1359">
        <v>3</v>
      </c>
      <c r="AG1359">
        <v>2025</v>
      </c>
      <c r="AH1359" s="2">
        <v>2400</v>
      </c>
      <c r="AI1359" s="2">
        <v>3381.180908203125</v>
      </c>
      <c r="AJ1359" s="2">
        <f t="shared" si="170"/>
        <v>981.180908203125</v>
      </c>
      <c r="AK1359" s="6">
        <f t="shared" si="171"/>
        <v>0.40882537841796873</v>
      </c>
      <c r="AL1359" s="12">
        <v>2400</v>
      </c>
      <c r="AM1359" s="12">
        <v>3540.1258533167488</v>
      </c>
      <c r="AN1359" s="12">
        <f t="shared" si="172"/>
        <v>1140.1258533167488</v>
      </c>
      <c r="AO1359" s="13">
        <f t="shared" si="173"/>
        <v>0.47505243888197868</v>
      </c>
      <c r="AP1359" s="16">
        <v>2400</v>
      </c>
      <c r="AQ1359" s="16">
        <v>3061.8948970484812</v>
      </c>
      <c r="AR1359" s="16">
        <f t="shared" si="174"/>
        <v>661.8948970484812</v>
      </c>
      <c r="AS1359" s="17">
        <f t="shared" si="168"/>
        <v>0.27578954043686715</v>
      </c>
      <c r="AT1359" s="20">
        <v>2400</v>
      </c>
      <c r="AU1359" s="20">
        <v>3432.912841796875</v>
      </c>
      <c r="AV1359" s="20">
        <f t="shared" si="169"/>
        <v>1032.912841796875</v>
      </c>
      <c r="AW1359" s="21">
        <f t="shared" si="175"/>
        <v>0.4303803507486979</v>
      </c>
    </row>
    <row r="1360" spans="1:49" x14ac:dyDescent="0.25">
      <c r="A1360" t="s">
        <v>38</v>
      </c>
      <c r="B1360" t="s">
        <v>110</v>
      </c>
      <c r="C1360">
        <v>66234</v>
      </c>
      <c r="D1360">
        <v>2020</v>
      </c>
      <c r="E1360" t="s">
        <v>166</v>
      </c>
      <c r="F1360" t="s">
        <v>167</v>
      </c>
      <c r="G1360" t="s">
        <v>1352</v>
      </c>
      <c r="I1360">
        <v>6</v>
      </c>
      <c r="J1360" t="s">
        <v>106</v>
      </c>
      <c r="K1360">
        <v>4</v>
      </c>
      <c r="L1360" t="s">
        <v>44</v>
      </c>
      <c r="M1360">
        <v>3.5</v>
      </c>
      <c r="N1360" t="s">
        <v>44</v>
      </c>
      <c r="O1360" t="s">
        <v>46</v>
      </c>
      <c r="P1360">
        <v>3</v>
      </c>
      <c r="Q1360" t="s">
        <v>62</v>
      </c>
      <c r="R1360" t="s">
        <v>63</v>
      </c>
      <c r="S1360" t="s">
        <v>93</v>
      </c>
      <c r="T1360">
        <v>280</v>
      </c>
      <c r="U1360" t="s">
        <v>50</v>
      </c>
      <c r="V1360" t="s">
        <v>76</v>
      </c>
      <c r="W1360" t="s">
        <v>412</v>
      </c>
      <c r="X1360" t="s">
        <v>141</v>
      </c>
      <c r="Y1360" t="s">
        <v>78</v>
      </c>
      <c r="AA1360">
        <v>0</v>
      </c>
      <c r="AB1360" t="s">
        <v>79</v>
      </c>
      <c r="AC1360" t="s">
        <v>109</v>
      </c>
      <c r="AD1360">
        <v>36</v>
      </c>
      <c r="AE1360">
        <v>9</v>
      </c>
      <c r="AF1360">
        <v>3</v>
      </c>
      <c r="AG1360">
        <v>2025</v>
      </c>
      <c r="AH1360" s="2">
        <v>23500</v>
      </c>
      <c r="AI1360" s="2">
        <v>22658.6328125</v>
      </c>
      <c r="AJ1360" s="2">
        <f t="shared" si="170"/>
        <v>841.3671875</v>
      </c>
      <c r="AK1360" s="6">
        <f t="shared" si="171"/>
        <v>3.580285904255319E-2</v>
      </c>
      <c r="AL1360" s="12">
        <v>23500</v>
      </c>
      <c r="AM1360" s="12">
        <v>24385.95242531479</v>
      </c>
      <c r="AN1360" s="12">
        <f t="shared" si="172"/>
        <v>885.95242531479016</v>
      </c>
      <c r="AO1360" s="13">
        <f t="shared" si="173"/>
        <v>3.7700103204884684E-2</v>
      </c>
      <c r="AP1360" s="16">
        <v>23500</v>
      </c>
      <c r="AQ1360" s="16">
        <v>21170.179481206651</v>
      </c>
      <c r="AR1360" s="16">
        <f t="shared" si="174"/>
        <v>2329.820518793349</v>
      </c>
      <c r="AS1360" s="17">
        <f t="shared" si="168"/>
        <v>9.9141298672057412E-2</v>
      </c>
      <c r="AT1360" s="20">
        <v>23500</v>
      </c>
      <c r="AU1360" s="20">
        <v>22987.10546875</v>
      </c>
      <c r="AV1360" s="20">
        <f t="shared" si="169"/>
        <v>512.89453125</v>
      </c>
      <c r="AW1360" s="21">
        <f t="shared" si="175"/>
        <v>2.1825299202127661E-2</v>
      </c>
    </row>
    <row r="1361" spans="1:49" x14ac:dyDescent="0.25">
      <c r="A1361" t="s">
        <v>128</v>
      </c>
      <c r="B1361" t="s">
        <v>129</v>
      </c>
      <c r="C1361">
        <v>123982</v>
      </c>
      <c r="D1361">
        <v>2012</v>
      </c>
      <c r="E1361" t="s">
        <v>69</v>
      </c>
      <c r="F1361" t="s">
        <v>250</v>
      </c>
      <c r="H1361" t="s">
        <v>105</v>
      </c>
      <c r="I1361">
        <v>4</v>
      </c>
      <c r="J1361" t="s">
        <v>43</v>
      </c>
      <c r="K1361">
        <v>4</v>
      </c>
      <c r="L1361" t="s">
        <v>44</v>
      </c>
      <c r="M1361">
        <v>2.5</v>
      </c>
      <c r="N1361" t="s">
        <v>45</v>
      </c>
      <c r="Q1361" t="s">
        <v>62</v>
      </c>
      <c r="R1361" t="s">
        <v>63</v>
      </c>
      <c r="U1361" t="s">
        <v>50</v>
      </c>
      <c r="V1361" t="s">
        <v>51</v>
      </c>
      <c r="X1361" t="s">
        <v>65</v>
      </c>
      <c r="Y1361" t="s">
        <v>78</v>
      </c>
      <c r="AA1361">
        <v>0</v>
      </c>
      <c r="AB1361" t="s">
        <v>79</v>
      </c>
      <c r="AC1361" t="s">
        <v>87</v>
      </c>
      <c r="AD1361">
        <v>36</v>
      </c>
      <c r="AE1361">
        <v>9</v>
      </c>
      <c r="AF1361">
        <v>3</v>
      </c>
      <c r="AG1361">
        <v>2025</v>
      </c>
      <c r="AH1361" s="2">
        <v>500</v>
      </c>
      <c r="AI1361" s="2">
        <v>2318.47119140625</v>
      </c>
      <c r="AJ1361" s="2">
        <f t="shared" si="170"/>
        <v>1818.47119140625</v>
      </c>
      <c r="AK1361" s="6">
        <f t="shared" si="171"/>
        <v>3.6369423828124998</v>
      </c>
      <c r="AL1361" s="12">
        <v>500</v>
      </c>
      <c r="AM1361" s="12">
        <v>2348.1616555158889</v>
      </c>
      <c r="AN1361" s="12">
        <f t="shared" si="172"/>
        <v>1848.1616555158889</v>
      </c>
      <c r="AO1361" s="13">
        <f t="shared" si="173"/>
        <v>3.6963233110317777</v>
      </c>
      <c r="AP1361" s="16">
        <v>500</v>
      </c>
      <c r="AQ1361" s="16">
        <v>1893.2977041751919</v>
      </c>
      <c r="AR1361" s="16">
        <f t="shared" si="174"/>
        <v>1393.2977041751919</v>
      </c>
      <c r="AS1361" s="17">
        <f t="shared" si="168"/>
        <v>2.7865954083503839</v>
      </c>
      <c r="AT1361" s="20">
        <v>500</v>
      </c>
      <c r="AU1361" s="20">
        <v>2349.787109375</v>
      </c>
      <c r="AV1361" s="20">
        <f t="shared" si="169"/>
        <v>1849.787109375</v>
      </c>
      <c r="AW1361" s="21">
        <f t="shared" si="175"/>
        <v>3.69957421875</v>
      </c>
    </row>
    <row r="1362" spans="1:49" x14ac:dyDescent="0.25">
      <c r="A1362" t="s">
        <v>38</v>
      </c>
      <c r="B1362" t="s">
        <v>110</v>
      </c>
      <c r="C1362">
        <v>111367</v>
      </c>
      <c r="D1362">
        <v>2019</v>
      </c>
      <c r="E1362" t="s">
        <v>146</v>
      </c>
      <c r="F1362" t="s">
        <v>451</v>
      </c>
      <c r="I1362">
        <v>4</v>
      </c>
      <c r="J1362" t="s">
        <v>72</v>
      </c>
      <c r="K1362">
        <v>4</v>
      </c>
      <c r="L1362" t="s">
        <v>44</v>
      </c>
      <c r="M1362">
        <v>1.6</v>
      </c>
      <c r="N1362" t="s">
        <v>45</v>
      </c>
      <c r="Q1362" t="s">
        <v>47</v>
      </c>
      <c r="R1362" t="s">
        <v>123</v>
      </c>
      <c r="S1362" t="s">
        <v>49</v>
      </c>
      <c r="U1362" t="s">
        <v>50</v>
      </c>
      <c r="X1362" t="s">
        <v>125</v>
      </c>
      <c r="Y1362" t="s">
        <v>126</v>
      </c>
      <c r="AA1362">
        <v>0</v>
      </c>
      <c r="AB1362" t="s">
        <v>79</v>
      </c>
      <c r="AC1362" t="s">
        <v>127</v>
      </c>
      <c r="AD1362">
        <v>36</v>
      </c>
      <c r="AE1362">
        <v>9</v>
      </c>
      <c r="AF1362">
        <v>3</v>
      </c>
      <c r="AG1362">
        <v>2025</v>
      </c>
      <c r="AH1362" s="2">
        <v>1300</v>
      </c>
      <c r="AI1362" s="2">
        <v>2594.1328125</v>
      </c>
      <c r="AJ1362" s="2">
        <f t="shared" si="170"/>
        <v>1294.1328125</v>
      </c>
      <c r="AK1362" s="6">
        <f t="shared" si="171"/>
        <v>0.99548677884615389</v>
      </c>
      <c r="AL1362" s="12">
        <v>1300</v>
      </c>
      <c r="AM1362" s="12">
        <v>3893.418935225583</v>
      </c>
      <c r="AN1362" s="12">
        <f t="shared" si="172"/>
        <v>2593.418935225583</v>
      </c>
      <c r="AO1362" s="13">
        <f t="shared" si="173"/>
        <v>1.9949376424812177</v>
      </c>
      <c r="AP1362" s="16">
        <v>1300</v>
      </c>
      <c r="AQ1362" s="16">
        <v>2433.2425620473819</v>
      </c>
      <c r="AR1362" s="16">
        <f t="shared" si="174"/>
        <v>1133.2425620473819</v>
      </c>
      <c r="AS1362" s="17">
        <f t="shared" si="168"/>
        <v>0.87172504772875525</v>
      </c>
      <c r="AT1362" s="20">
        <v>1300</v>
      </c>
      <c r="AU1362" s="20">
        <v>2646.82568359375</v>
      </c>
      <c r="AV1362" s="20">
        <f t="shared" si="169"/>
        <v>1346.82568359375</v>
      </c>
      <c r="AW1362" s="21">
        <f t="shared" si="175"/>
        <v>1.0360197566105769</v>
      </c>
    </row>
    <row r="1363" spans="1:49" x14ac:dyDescent="0.25">
      <c r="A1363" t="s">
        <v>38</v>
      </c>
      <c r="B1363" t="s">
        <v>96</v>
      </c>
      <c r="C1363">
        <v>158375</v>
      </c>
      <c r="D1363">
        <v>2008</v>
      </c>
      <c r="E1363" t="s">
        <v>317</v>
      </c>
      <c r="F1363" t="s">
        <v>1353</v>
      </c>
      <c r="I1363">
        <v>5</v>
      </c>
      <c r="J1363" t="s">
        <v>61</v>
      </c>
      <c r="K1363">
        <v>4</v>
      </c>
      <c r="L1363" t="s">
        <v>44</v>
      </c>
      <c r="M1363">
        <v>2.5</v>
      </c>
      <c r="N1363" t="s">
        <v>45</v>
      </c>
      <c r="O1363" t="s">
        <v>46</v>
      </c>
      <c r="Q1363" t="s">
        <v>47</v>
      </c>
      <c r="R1363" t="s">
        <v>123</v>
      </c>
      <c r="S1363" t="s">
        <v>101</v>
      </c>
      <c r="T1363">
        <v>227</v>
      </c>
      <c r="U1363" t="s">
        <v>50</v>
      </c>
      <c r="V1363" t="s">
        <v>51</v>
      </c>
      <c r="W1363" t="s">
        <v>1354</v>
      </c>
      <c r="X1363" t="s">
        <v>125</v>
      </c>
      <c r="Y1363" t="s">
        <v>748</v>
      </c>
      <c r="AA1363">
        <v>0</v>
      </c>
      <c r="AB1363" t="s">
        <v>79</v>
      </c>
      <c r="AC1363" t="s">
        <v>127</v>
      </c>
      <c r="AD1363">
        <v>36</v>
      </c>
      <c r="AE1363">
        <v>9</v>
      </c>
      <c r="AF1363">
        <v>3</v>
      </c>
      <c r="AG1363">
        <v>2025</v>
      </c>
      <c r="AH1363" s="2">
        <v>1100</v>
      </c>
      <c r="AI1363" s="2">
        <v>1240.60400390625</v>
      </c>
      <c r="AJ1363" s="2">
        <f t="shared" si="170"/>
        <v>140.60400390625</v>
      </c>
      <c r="AK1363" s="6">
        <f t="shared" si="171"/>
        <v>0.12782182173295453</v>
      </c>
      <c r="AL1363" s="12">
        <v>1100</v>
      </c>
      <c r="AM1363" s="12">
        <v>1181.1826939628329</v>
      </c>
      <c r="AN1363" s="12">
        <f t="shared" si="172"/>
        <v>81.1826939628329</v>
      </c>
      <c r="AO1363" s="13">
        <f t="shared" si="173"/>
        <v>7.3802449057120814E-2</v>
      </c>
      <c r="AP1363" s="16">
        <v>1100</v>
      </c>
      <c r="AQ1363" s="16">
        <v>998.21472276882957</v>
      </c>
      <c r="AR1363" s="16">
        <f t="shared" si="174"/>
        <v>101.78527723117043</v>
      </c>
      <c r="AS1363" s="17">
        <f t="shared" si="168"/>
        <v>9.2532070210154929E-2</v>
      </c>
      <c r="AT1363" s="20">
        <v>1100</v>
      </c>
      <c r="AU1363" s="20">
        <v>1218.570068359375</v>
      </c>
      <c r="AV1363" s="20">
        <f t="shared" si="169"/>
        <v>118.570068359375</v>
      </c>
      <c r="AW1363" s="21">
        <f t="shared" si="175"/>
        <v>0.10779097123579545</v>
      </c>
    </row>
    <row r="1364" spans="1:49" x14ac:dyDescent="0.25">
      <c r="A1364" t="s">
        <v>128</v>
      </c>
      <c r="B1364" t="s">
        <v>210</v>
      </c>
      <c r="C1364">
        <v>155392</v>
      </c>
      <c r="D1364">
        <v>2012</v>
      </c>
      <c r="E1364" t="s">
        <v>166</v>
      </c>
      <c r="F1364" t="s">
        <v>562</v>
      </c>
      <c r="G1364" t="s">
        <v>224</v>
      </c>
      <c r="I1364">
        <v>4</v>
      </c>
      <c r="J1364" t="s">
        <v>106</v>
      </c>
      <c r="K1364">
        <v>4</v>
      </c>
      <c r="L1364" t="s">
        <v>44</v>
      </c>
      <c r="M1364">
        <v>2.4</v>
      </c>
      <c r="N1364" t="s">
        <v>45</v>
      </c>
      <c r="O1364" t="s">
        <v>46</v>
      </c>
      <c r="Q1364" t="s">
        <v>47</v>
      </c>
      <c r="R1364" t="s">
        <v>123</v>
      </c>
      <c r="T1364">
        <v>177</v>
      </c>
      <c r="U1364" t="s">
        <v>50</v>
      </c>
      <c r="V1364" t="s">
        <v>51</v>
      </c>
      <c r="W1364" t="s">
        <v>1258</v>
      </c>
      <c r="X1364" t="s">
        <v>65</v>
      </c>
      <c r="Y1364" t="s">
        <v>78</v>
      </c>
      <c r="AA1364">
        <v>0</v>
      </c>
      <c r="AB1364" t="s">
        <v>79</v>
      </c>
      <c r="AC1364" t="s">
        <v>127</v>
      </c>
      <c r="AD1364">
        <v>36</v>
      </c>
      <c r="AE1364">
        <v>9</v>
      </c>
      <c r="AF1364">
        <v>3</v>
      </c>
      <c r="AG1364">
        <v>2025</v>
      </c>
      <c r="AH1364" s="2">
        <v>500</v>
      </c>
      <c r="AI1364" s="2">
        <v>3086.736083984375</v>
      </c>
      <c r="AJ1364" s="2">
        <f t="shared" si="170"/>
        <v>2586.736083984375</v>
      </c>
      <c r="AK1364" s="6">
        <f t="shared" si="171"/>
        <v>5.1734721679687503</v>
      </c>
      <c r="AL1364" s="12">
        <v>500</v>
      </c>
      <c r="AM1364" s="12">
        <v>3456.158588754402</v>
      </c>
      <c r="AN1364" s="12">
        <f t="shared" si="172"/>
        <v>2956.158588754402</v>
      </c>
      <c r="AO1364" s="13">
        <f t="shared" si="173"/>
        <v>5.9123171775088039</v>
      </c>
      <c r="AP1364" s="16">
        <v>500</v>
      </c>
      <c r="AQ1364" s="16">
        <v>2773.856788435533</v>
      </c>
      <c r="AR1364" s="16">
        <f t="shared" si="174"/>
        <v>2273.856788435533</v>
      </c>
      <c r="AS1364" s="17">
        <f t="shared" si="168"/>
        <v>4.5477135768710664</v>
      </c>
      <c r="AT1364" s="20">
        <v>500</v>
      </c>
      <c r="AU1364" s="20">
        <v>3137.553955078125</v>
      </c>
      <c r="AV1364" s="20">
        <f t="shared" si="169"/>
        <v>2637.553955078125</v>
      </c>
      <c r="AW1364" s="21">
        <f t="shared" si="175"/>
        <v>5.2751079101562501</v>
      </c>
    </row>
    <row r="1365" spans="1:49" x14ac:dyDescent="0.25">
      <c r="A1365" t="s">
        <v>38</v>
      </c>
      <c r="B1365" t="s">
        <v>110</v>
      </c>
      <c r="C1365">
        <v>129197</v>
      </c>
      <c r="D1365">
        <v>2018</v>
      </c>
      <c r="E1365" t="s">
        <v>69</v>
      </c>
      <c r="F1365" t="s">
        <v>231</v>
      </c>
      <c r="G1365" t="s">
        <v>1355</v>
      </c>
      <c r="I1365">
        <v>6</v>
      </c>
      <c r="J1365" t="s">
        <v>106</v>
      </c>
      <c r="K1365">
        <v>4</v>
      </c>
      <c r="L1365" t="s">
        <v>44</v>
      </c>
      <c r="M1365">
        <v>3.5</v>
      </c>
      <c r="N1365" t="s">
        <v>91</v>
      </c>
      <c r="O1365" t="s">
        <v>46</v>
      </c>
      <c r="P1365">
        <v>2</v>
      </c>
      <c r="Q1365" t="s">
        <v>74</v>
      </c>
      <c r="R1365" t="s">
        <v>92</v>
      </c>
      <c r="S1365" t="s">
        <v>93</v>
      </c>
      <c r="T1365">
        <v>450</v>
      </c>
      <c r="U1365" t="s">
        <v>50</v>
      </c>
      <c r="V1365" t="s">
        <v>76</v>
      </c>
      <c r="W1365" t="s">
        <v>107</v>
      </c>
      <c r="X1365" t="s">
        <v>108</v>
      </c>
      <c r="Y1365" t="s">
        <v>78</v>
      </c>
      <c r="AA1365">
        <v>0</v>
      </c>
      <c r="AB1365" t="s">
        <v>79</v>
      </c>
      <c r="AC1365" t="s">
        <v>95</v>
      </c>
      <c r="AD1365">
        <v>36</v>
      </c>
      <c r="AE1365">
        <v>9</v>
      </c>
      <c r="AF1365">
        <v>3</v>
      </c>
      <c r="AG1365">
        <v>2025</v>
      </c>
      <c r="AH1365" s="2">
        <v>27000</v>
      </c>
      <c r="AI1365" s="2">
        <v>13601.802734375</v>
      </c>
      <c r="AJ1365" s="2">
        <f t="shared" si="170"/>
        <v>13398.197265625</v>
      </c>
      <c r="AK1365" s="6">
        <f t="shared" si="171"/>
        <v>0.49622952835648149</v>
      </c>
      <c r="AL1365" s="12">
        <v>27000</v>
      </c>
      <c r="AM1365" s="12">
        <v>15313.94922407263</v>
      </c>
      <c r="AN1365" s="12">
        <f t="shared" si="172"/>
        <v>11686.05077592737</v>
      </c>
      <c r="AO1365" s="13">
        <f t="shared" si="173"/>
        <v>0.4328166954047174</v>
      </c>
      <c r="AP1365" s="16">
        <v>27000</v>
      </c>
      <c r="AQ1365" s="16">
        <v>16414.935050550532</v>
      </c>
      <c r="AR1365" s="16">
        <f t="shared" si="174"/>
        <v>10585.064949449468</v>
      </c>
      <c r="AS1365" s="17">
        <f t="shared" si="168"/>
        <v>0.39203944257220252</v>
      </c>
      <c r="AT1365" s="20">
        <v>27000</v>
      </c>
      <c r="AU1365" s="20">
        <v>13894.7734375</v>
      </c>
      <c r="AV1365" s="20">
        <f t="shared" si="169"/>
        <v>13105.2265625</v>
      </c>
      <c r="AW1365" s="21">
        <f t="shared" si="175"/>
        <v>0.48537876157407406</v>
      </c>
    </row>
    <row r="1366" spans="1:49" x14ac:dyDescent="0.25">
      <c r="A1366" t="s">
        <v>38</v>
      </c>
      <c r="B1366" t="s">
        <v>110</v>
      </c>
      <c r="C1366">
        <v>89796</v>
      </c>
      <c r="D1366">
        <v>2014</v>
      </c>
      <c r="E1366" t="s">
        <v>58</v>
      </c>
      <c r="F1366" t="s">
        <v>239</v>
      </c>
      <c r="G1366" t="s">
        <v>248</v>
      </c>
      <c r="I1366">
        <v>4</v>
      </c>
      <c r="J1366" t="s">
        <v>61</v>
      </c>
      <c r="K1366">
        <v>4</v>
      </c>
      <c r="L1366" t="s">
        <v>44</v>
      </c>
      <c r="M1366">
        <v>2.4</v>
      </c>
      <c r="N1366" t="s">
        <v>45</v>
      </c>
      <c r="O1366" t="s">
        <v>100</v>
      </c>
      <c r="Q1366" t="s">
        <v>62</v>
      </c>
      <c r="R1366" t="s">
        <v>63</v>
      </c>
      <c r="U1366" t="s">
        <v>50</v>
      </c>
      <c r="W1366" t="s">
        <v>595</v>
      </c>
      <c r="X1366" t="s">
        <v>65</v>
      </c>
      <c r="Y1366" t="s">
        <v>66</v>
      </c>
      <c r="AA1366">
        <v>0</v>
      </c>
      <c r="AB1366" t="s">
        <v>79</v>
      </c>
      <c r="AC1366" t="s">
        <v>87</v>
      </c>
      <c r="AD1366">
        <v>36</v>
      </c>
      <c r="AE1366">
        <v>9</v>
      </c>
      <c r="AF1366">
        <v>3</v>
      </c>
      <c r="AG1366">
        <v>2025</v>
      </c>
      <c r="AH1366" s="2">
        <v>2800</v>
      </c>
      <c r="AI1366" s="2">
        <v>1863.134887695312</v>
      </c>
      <c r="AJ1366" s="2">
        <f t="shared" si="170"/>
        <v>936.86511230468795</v>
      </c>
      <c r="AK1366" s="6">
        <f t="shared" si="171"/>
        <v>0.33459468296596001</v>
      </c>
      <c r="AL1366" s="12">
        <v>2800</v>
      </c>
      <c r="AM1366" s="12">
        <v>1811.757925547342</v>
      </c>
      <c r="AN1366" s="12">
        <f t="shared" si="172"/>
        <v>988.24207445265802</v>
      </c>
      <c r="AO1366" s="13">
        <f t="shared" si="173"/>
        <v>0.35294359801880643</v>
      </c>
      <c r="AP1366" s="16">
        <v>2800</v>
      </c>
      <c r="AQ1366" s="16">
        <v>1920.6573322803929</v>
      </c>
      <c r="AR1366" s="16">
        <f t="shared" si="174"/>
        <v>879.34266771960711</v>
      </c>
      <c r="AS1366" s="17">
        <f t="shared" si="168"/>
        <v>0.31405095275700251</v>
      </c>
      <c r="AT1366" s="20">
        <v>2800</v>
      </c>
      <c r="AU1366" s="20">
        <v>1866.639526367188</v>
      </c>
      <c r="AV1366" s="20">
        <f t="shared" si="169"/>
        <v>933.36047363281205</v>
      </c>
      <c r="AW1366" s="21">
        <f t="shared" si="175"/>
        <v>0.3333430262974329</v>
      </c>
    </row>
    <row r="1367" spans="1:49" x14ac:dyDescent="0.25">
      <c r="A1367" t="s">
        <v>38</v>
      </c>
      <c r="B1367" t="s">
        <v>110</v>
      </c>
      <c r="C1367">
        <v>217649</v>
      </c>
      <c r="D1367">
        <v>2008</v>
      </c>
      <c r="E1367" t="s">
        <v>97</v>
      </c>
      <c r="F1367" t="s">
        <v>244</v>
      </c>
      <c r="G1367" t="s">
        <v>199</v>
      </c>
      <c r="H1367" t="s">
        <v>177</v>
      </c>
      <c r="I1367">
        <v>8</v>
      </c>
      <c r="J1367" t="s">
        <v>122</v>
      </c>
      <c r="K1367">
        <v>4</v>
      </c>
      <c r="L1367" t="s">
        <v>44</v>
      </c>
      <c r="M1367">
        <v>5.3</v>
      </c>
      <c r="N1367" t="s">
        <v>73</v>
      </c>
      <c r="Q1367" t="s">
        <v>62</v>
      </c>
      <c r="R1367" t="s">
        <v>63</v>
      </c>
      <c r="S1367" t="s">
        <v>49</v>
      </c>
      <c r="U1367" t="s">
        <v>180</v>
      </c>
      <c r="V1367" t="s">
        <v>76</v>
      </c>
      <c r="W1367" t="s">
        <v>421</v>
      </c>
      <c r="X1367" t="s">
        <v>108</v>
      </c>
      <c r="Y1367" t="s">
        <v>78</v>
      </c>
      <c r="AA1367">
        <v>0</v>
      </c>
      <c r="AB1367" t="s">
        <v>79</v>
      </c>
      <c r="AC1367" t="s">
        <v>87</v>
      </c>
      <c r="AD1367">
        <v>36</v>
      </c>
      <c r="AE1367">
        <v>9</v>
      </c>
      <c r="AF1367">
        <v>3</v>
      </c>
      <c r="AG1367">
        <v>2025</v>
      </c>
      <c r="AH1367" s="2">
        <v>1400</v>
      </c>
      <c r="AI1367" s="2">
        <v>2006.921752929688</v>
      </c>
      <c r="AJ1367" s="2">
        <f t="shared" si="170"/>
        <v>606.92175292968795</v>
      </c>
      <c r="AK1367" s="6">
        <f t="shared" si="171"/>
        <v>0.43351553780691998</v>
      </c>
      <c r="AL1367" s="12">
        <v>1400</v>
      </c>
      <c r="AM1367" s="12">
        <v>2535.2072312589739</v>
      </c>
      <c r="AN1367" s="12">
        <f t="shared" si="172"/>
        <v>1135.2072312589739</v>
      </c>
      <c r="AO1367" s="13">
        <f t="shared" si="173"/>
        <v>0.81086230804212422</v>
      </c>
      <c r="AP1367" s="16">
        <v>1400</v>
      </c>
      <c r="AQ1367" s="16">
        <v>1853.599413066454</v>
      </c>
      <c r="AR1367" s="16">
        <f t="shared" si="174"/>
        <v>453.59941306645396</v>
      </c>
      <c r="AS1367" s="17">
        <f t="shared" si="168"/>
        <v>0.32399958076175284</v>
      </c>
      <c r="AT1367" s="20">
        <v>1400</v>
      </c>
      <c r="AU1367" s="20">
        <v>2013.146240234375</v>
      </c>
      <c r="AV1367" s="20">
        <f t="shared" si="169"/>
        <v>613.146240234375</v>
      </c>
      <c r="AW1367" s="21">
        <f t="shared" si="175"/>
        <v>0.4379616001674107</v>
      </c>
    </row>
    <row r="1368" spans="1:49" x14ac:dyDescent="0.25">
      <c r="A1368" t="s">
        <v>114</v>
      </c>
      <c r="B1368" t="s">
        <v>349</v>
      </c>
      <c r="C1368">
        <v>165330</v>
      </c>
      <c r="D1368">
        <v>1995</v>
      </c>
      <c r="E1368" t="s">
        <v>97</v>
      </c>
      <c r="F1368" t="s">
        <v>1356</v>
      </c>
      <c r="H1368" t="s">
        <v>455</v>
      </c>
      <c r="I1368">
        <v>6</v>
      </c>
      <c r="J1368" t="s">
        <v>72</v>
      </c>
      <c r="L1368" t="s">
        <v>44</v>
      </c>
      <c r="M1368">
        <v>4.3</v>
      </c>
      <c r="N1368" t="s">
        <v>73</v>
      </c>
      <c r="O1368" t="s">
        <v>190</v>
      </c>
      <c r="P1368">
        <v>1</v>
      </c>
      <c r="Q1368" t="s">
        <v>477</v>
      </c>
      <c r="R1368" t="s">
        <v>75</v>
      </c>
      <c r="S1368" t="s">
        <v>49</v>
      </c>
      <c r="U1368" t="s">
        <v>50</v>
      </c>
      <c r="V1368" t="s">
        <v>76</v>
      </c>
      <c r="X1368" t="s">
        <v>141</v>
      </c>
      <c r="Y1368" t="s">
        <v>78</v>
      </c>
      <c r="AA1368">
        <v>0</v>
      </c>
      <c r="AB1368" t="s">
        <v>79</v>
      </c>
      <c r="AC1368" t="s">
        <v>80</v>
      </c>
      <c r="AD1368">
        <v>36</v>
      </c>
      <c r="AE1368">
        <v>9</v>
      </c>
      <c r="AF1368">
        <v>3</v>
      </c>
      <c r="AG1368">
        <v>2025</v>
      </c>
      <c r="AH1368" s="2">
        <v>425</v>
      </c>
      <c r="AI1368" s="2">
        <v>413.9886474609375</v>
      </c>
      <c r="AJ1368" s="2">
        <f t="shared" si="170"/>
        <v>11.0113525390625</v>
      </c>
      <c r="AK1368" s="6">
        <f t="shared" si="171"/>
        <v>2.5909064797794118E-2</v>
      </c>
      <c r="AL1368" s="12">
        <v>425</v>
      </c>
      <c r="AM1368" s="12">
        <v>310.52517308447779</v>
      </c>
      <c r="AN1368" s="12">
        <f t="shared" si="172"/>
        <v>114.47482691552221</v>
      </c>
      <c r="AO1368" s="13">
        <f t="shared" si="173"/>
        <v>0.26935253391887581</v>
      </c>
      <c r="AP1368" s="16">
        <v>425</v>
      </c>
      <c r="AQ1368" s="16">
        <v>337.59056194791452</v>
      </c>
      <c r="AR1368" s="16">
        <f t="shared" si="174"/>
        <v>87.409438052085477</v>
      </c>
      <c r="AS1368" s="17">
        <f t="shared" si="168"/>
        <v>0.20566926600490701</v>
      </c>
      <c r="AT1368" s="20">
        <v>425</v>
      </c>
      <c r="AU1368" s="20">
        <v>460.00308227539063</v>
      </c>
      <c r="AV1368" s="20">
        <f t="shared" si="169"/>
        <v>35.003082275390625</v>
      </c>
      <c r="AW1368" s="21">
        <f t="shared" si="175"/>
        <v>8.2360193589154418E-2</v>
      </c>
    </row>
    <row r="1369" spans="1:49" x14ac:dyDescent="0.25">
      <c r="A1369" t="s">
        <v>38</v>
      </c>
      <c r="B1369" t="s">
        <v>110</v>
      </c>
      <c r="C1369">
        <v>138131</v>
      </c>
      <c r="D1369">
        <v>2016</v>
      </c>
      <c r="E1369" t="s">
        <v>40</v>
      </c>
      <c r="F1369" t="s">
        <v>1357</v>
      </c>
      <c r="H1369" t="s">
        <v>1358</v>
      </c>
      <c r="I1369">
        <v>4</v>
      </c>
      <c r="J1369" t="s">
        <v>61</v>
      </c>
      <c r="K1369">
        <v>4</v>
      </c>
      <c r="L1369" t="s">
        <v>44</v>
      </c>
      <c r="M1369">
        <v>1.8</v>
      </c>
      <c r="N1369" t="s">
        <v>45</v>
      </c>
      <c r="O1369" t="s">
        <v>46</v>
      </c>
      <c r="P1369">
        <v>2</v>
      </c>
      <c r="Q1369" t="s">
        <v>47</v>
      </c>
      <c r="R1369" t="s">
        <v>48</v>
      </c>
      <c r="S1369" t="s">
        <v>49</v>
      </c>
      <c r="T1369">
        <v>137</v>
      </c>
      <c r="U1369" t="s">
        <v>50</v>
      </c>
      <c r="V1369" t="s">
        <v>51</v>
      </c>
      <c r="W1369" t="s">
        <v>693</v>
      </c>
      <c r="X1369" t="s">
        <v>125</v>
      </c>
      <c r="Y1369" t="s">
        <v>54</v>
      </c>
      <c r="AA1369">
        <v>0</v>
      </c>
      <c r="AB1369" t="s">
        <v>79</v>
      </c>
      <c r="AC1369" t="s">
        <v>359</v>
      </c>
      <c r="AD1369">
        <v>36</v>
      </c>
      <c r="AE1369">
        <v>9</v>
      </c>
      <c r="AF1369">
        <v>3</v>
      </c>
      <c r="AG1369">
        <v>2025</v>
      </c>
      <c r="AH1369" s="2">
        <v>3900</v>
      </c>
      <c r="AI1369" s="2">
        <v>3166.19384765625</v>
      </c>
      <c r="AJ1369" s="2">
        <f t="shared" si="170"/>
        <v>733.80615234375</v>
      </c>
      <c r="AK1369" s="6">
        <f t="shared" si="171"/>
        <v>0.18815542367788463</v>
      </c>
      <c r="AL1369" s="12">
        <v>3900</v>
      </c>
      <c r="AM1369" s="12">
        <v>3300.159235551153</v>
      </c>
      <c r="AN1369" s="12">
        <f t="shared" si="172"/>
        <v>599.84076444884704</v>
      </c>
      <c r="AO1369" s="13">
        <f t="shared" si="173"/>
        <v>0.15380532421765308</v>
      </c>
      <c r="AP1369" s="16">
        <v>3900</v>
      </c>
      <c r="AQ1369" s="16">
        <v>3220.8076625276221</v>
      </c>
      <c r="AR1369" s="16">
        <f t="shared" si="174"/>
        <v>679.19233747237786</v>
      </c>
      <c r="AS1369" s="17">
        <f t="shared" si="168"/>
        <v>0.17415188140317381</v>
      </c>
      <c r="AT1369" s="20">
        <v>3900</v>
      </c>
      <c r="AU1369" s="20">
        <v>3246.918701171875</v>
      </c>
      <c r="AV1369" s="20">
        <f t="shared" si="169"/>
        <v>653.081298828125</v>
      </c>
      <c r="AW1369" s="21">
        <f t="shared" si="175"/>
        <v>0.16745674328926283</v>
      </c>
    </row>
    <row r="1370" spans="1:49" x14ac:dyDescent="0.25">
      <c r="A1370" t="s">
        <v>128</v>
      </c>
      <c r="B1370" t="s">
        <v>129</v>
      </c>
      <c r="C1370">
        <v>166044</v>
      </c>
      <c r="D1370">
        <v>2016</v>
      </c>
      <c r="E1370" t="s">
        <v>341</v>
      </c>
      <c r="F1370" t="s">
        <v>574</v>
      </c>
      <c r="G1370" t="s">
        <v>1063</v>
      </c>
      <c r="I1370">
        <v>6</v>
      </c>
      <c r="J1370" t="s">
        <v>61</v>
      </c>
      <c r="K1370">
        <v>4</v>
      </c>
      <c r="L1370" t="s">
        <v>44</v>
      </c>
      <c r="M1370">
        <v>3.6</v>
      </c>
      <c r="N1370" t="s">
        <v>45</v>
      </c>
      <c r="O1370" t="s">
        <v>100</v>
      </c>
      <c r="P1370">
        <v>1</v>
      </c>
      <c r="Q1370" t="s">
        <v>62</v>
      </c>
      <c r="R1370" t="s">
        <v>63</v>
      </c>
      <c r="S1370" t="s">
        <v>101</v>
      </c>
      <c r="U1370" t="s">
        <v>50</v>
      </c>
      <c r="V1370" t="s">
        <v>76</v>
      </c>
      <c r="W1370" t="s">
        <v>591</v>
      </c>
      <c r="X1370" t="s">
        <v>94</v>
      </c>
      <c r="Y1370" t="s">
        <v>78</v>
      </c>
      <c r="AA1370">
        <v>0</v>
      </c>
      <c r="AB1370" t="s">
        <v>79</v>
      </c>
      <c r="AC1370" t="s">
        <v>87</v>
      </c>
      <c r="AD1370">
        <v>36</v>
      </c>
      <c r="AE1370">
        <v>9</v>
      </c>
      <c r="AF1370">
        <v>3</v>
      </c>
      <c r="AG1370">
        <v>2025</v>
      </c>
      <c r="AH1370" s="2">
        <v>500</v>
      </c>
      <c r="AI1370" s="2">
        <v>945.578857421875</v>
      </c>
      <c r="AJ1370" s="2">
        <f t="shared" si="170"/>
        <v>445.578857421875</v>
      </c>
      <c r="AK1370" s="6">
        <f t="shared" si="171"/>
        <v>0.89115771484374995</v>
      </c>
      <c r="AL1370" s="12">
        <v>500</v>
      </c>
      <c r="AM1370" s="12">
        <v>1356.0354055773</v>
      </c>
      <c r="AN1370" s="12">
        <f t="shared" si="172"/>
        <v>856.03540557730003</v>
      </c>
      <c r="AO1370" s="13">
        <f t="shared" si="173"/>
        <v>1.7120708111546001</v>
      </c>
      <c r="AP1370" s="16">
        <v>500</v>
      </c>
      <c r="AQ1370" s="16">
        <v>1021.859480398618</v>
      </c>
      <c r="AR1370" s="16">
        <f t="shared" si="174"/>
        <v>521.85948039861796</v>
      </c>
      <c r="AS1370" s="17">
        <f t="shared" si="168"/>
        <v>1.0437189607972359</v>
      </c>
      <c r="AT1370" s="20">
        <v>500</v>
      </c>
      <c r="AU1370" s="20">
        <v>951.86541748046875</v>
      </c>
      <c r="AV1370" s="20">
        <f t="shared" si="169"/>
        <v>451.86541748046875</v>
      </c>
      <c r="AW1370" s="21">
        <f t="shared" si="175"/>
        <v>0.90373083496093753</v>
      </c>
    </row>
    <row r="1371" spans="1:49" x14ac:dyDescent="0.25">
      <c r="A1371" t="s">
        <v>38</v>
      </c>
      <c r="B1371" t="s">
        <v>96</v>
      </c>
      <c r="C1371">
        <v>42459</v>
      </c>
      <c r="D1371">
        <v>2023</v>
      </c>
      <c r="E1371" t="s">
        <v>116</v>
      </c>
      <c r="F1371" t="s">
        <v>194</v>
      </c>
      <c r="H1371" t="s">
        <v>195</v>
      </c>
      <c r="I1371">
        <v>8</v>
      </c>
      <c r="J1371" t="s">
        <v>206</v>
      </c>
      <c r="K1371">
        <v>2</v>
      </c>
      <c r="L1371" t="s">
        <v>44</v>
      </c>
      <c r="M1371">
        <v>5.7</v>
      </c>
      <c r="N1371" t="s">
        <v>73</v>
      </c>
      <c r="O1371" t="s">
        <v>46</v>
      </c>
      <c r="P1371">
        <v>1</v>
      </c>
      <c r="Q1371" t="s">
        <v>47</v>
      </c>
      <c r="R1371" t="s">
        <v>123</v>
      </c>
      <c r="S1371" t="s">
        <v>179</v>
      </c>
      <c r="T1371">
        <v>375</v>
      </c>
      <c r="U1371" t="s">
        <v>50</v>
      </c>
      <c r="V1371" t="s">
        <v>76</v>
      </c>
      <c r="X1371" t="s">
        <v>125</v>
      </c>
      <c r="Y1371" t="s">
        <v>103</v>
      </c>
      <c r="AA1371">
        <v>0</v>
      </c>
      <c r="AB1371" t="s">
        <v>79</v>
      </c>
      <c r="AC1371" t="s">
        <v>127</v>
      </c>
      <c r="AD1371">
        <v>36</v>
      </c>
      <c r="AE1371">
        <v>9</v>
      </c>
      <c r="AF1371">
        <v>3</v>
      </c>
      <c r="AG1371">
        <v>2025</v>
      </c>
      <c r="AH1371" s="2">
        <v>19400</v>
      </c>
      <c r="AI1371" s="2">
        <v>24490.654296875</v>
      </c>
      <c r="AJ1371" s="2">
        <f t="shared" si="170"/>
        <v>5090.654296875</v>
      </c>
      <c r="AK1371" s="6">
        <f t="shared" si="171"/>
        <v>0.26240486066365981</v>
      </c>
      <c r="AL1371" s="12">
        <v>19400</v>
      </c>
      <c r="AM1371" s="12">
        <v>23136.32952953894</v>
      </c>
      <c r="AN1371" s="12">
        <f t="shared" si="172"/>
        <v>3736.3295295389398</v>
      </c>
      <c r="AO1371" s="13">
        <f t="shared" si="173"/>
        <v>0.19259430564633712</v>
      </c>
      <c r="AP1371" s="16">
        <v>19400</v>
      </c>
      <c r="AQ1371" s="16">
        <v>18189.284429198538</v>
      </c>
      <c r="AR1371" s="16">
        <f t="shared" si="174"/>
        <v>1210.7155708014616</v>
      </c>
      <c r="AS1371" s="17">
        <f t="shared" si="168"/>
        <v>6.2408019113477403E-2</v>
      </c>
      <c r="AT1371" s="20">
        <v>19400</v>
      </c>
      <c r="AU1371" s="20">
        <v>24072.4609375</v>
      </c>
      <c r="AV1371" s="20">
        <f t="shared" si="169"/>
        <v>4672.4609375</v>
      </c>
      <c r="AW1371" s="21">
        <f t="shared" si="175"/>
        <v>0.24084850193298968</v>
      </c>
    </row>
    <row r="1372" spans="1:49" x14ac:dyDescent="0.25">
      <c r="A1372" t="s">
        <v>128</v>
      </c>
      <c r="B1372" t="s">
        <v>210</v>
      </c>
      <c r="C1372">
        <v>132463</v>
      </c>
      <c r="D1372">
        <v>2015</v>
      </c>
      <c r="E1372" t="s">
        <v>40</v>
      </c>
      <c r="F1372" t="s">
        <v>1159</v>
      </c>
      <c r="H1372" t="s">
        <v>1359</v>
      </c>
      <c r="I1372">
        <v>4</v>
      </c>
      <c r="J1372" t="s">
        <v>106</v>
      </c>
      <c r="K1372">
        <v>4</v>
      </c>
      <c r="L1372" t="s">
        <v>44</v>
      </c>
      <c r="M1372">
        <v>1.5</v>
      </c>
      <c r="N1372" t="s">
        <v>45</v>
      </c>
      <c r="O1372" t="s">
        <v>46</v>
      </c>
      <c r="Q1372" t="s">
        <v>47</v>
      </c>
      <c r="R1372" t="s">
        <v>48</v>
      </c>
      <c r="S1372" t="s">
        <v>49</v>
      </c>
      <c r="T1372">
        <v>106</v>
      </c>
      <c r="U1372" t="s">
        <v>50</v>
      </c>
      <c r="V1372" t="s">
        <v>51</v>
      </c>
      <c r="W1372" t="s">
        <v>1161</v>
      </c>
      <c r="X1372" t="s">
        <v>125</v>
      </c>
      <c r="Y1372" t="s">
        <v>1360</v>
      </c>
      <c r="AA1372">
        <v>0</v>
      </c>
      <c r="AB1372" t="s">
        <v>79</v>
      </c>
      <c r="AC1372" t="s">
        <v>359</v>
      </c>
      <c r="AD1372">
        <v>36</v>
      </c>
      <c r="AE1372">
        <v>9</v>
      </c>
      <c r="AF1372">
        <v>3</v>
      </c>
      <c r="AG1372">
        <v>2025</v>
      </c>
      <c r="AH1372" s="2">
        <v>5000</v>
      </c>
      <c r="AI1372" s="2">
        <v>2965.858154296875</v>
      </c>
      <c r="AJ1372" s="2">
        <f t="shared" si="170"/>
        <v>2034.141845703125</v>
      </c>
      <c r="AK1372" s="6">
        <f t="shared" si="171"/>
        <v>0.40682836914062498</v>
      </c>
      <c r="AL1372" s="12">
        <v>5000</v>
      </c>
      <c r="AM1372" s="12">
        <v>3683.9011047547879</v>
      </c>
      <c r="AN1372" s="12">
        <f t="shared" si="172"/>
        <v>1316.0988952452121</v>
      </c>
      <c r="AO1372" s="13">
        <f t="shared" si="173"/>
        <v>0.26321977904904242</v>
      </c>
      <c r="AP1372" s="16">
        <v>5000</v>
      </c>
      <c r="AQ1372" s="16">
        <v>2049.8702663082281</v>
      </c>
      <c r="AR1372" s="16">
        <f t="shared" si="174"/>
        <v>2950.1297336917719</v>
      </c>
      <c r="AS1372" s="17">
        <f t="shared" si="168"/>
        <v>0.5900259467383544</v>
      </c>
      <c r="AT1372" s="20">
        <v>5000</v>
      </c>
      <c r="AU1372" s="20">
        <v>3031.86328125</v>
      </c>
      <c r="AV1372" s="20">
        <f t="shared" si="169"/>
        <v>1968.13671875</v>
      </c>
      <c r="AW1372" s="21">
        <f t="shared" si="175"/>
        <v>0.39362734375000002</v>
      </c>
    </row>
    <row r="1373" spans="1:49" x14ac:dyDescent="0.25">
      <c r="A1373" t="s">
        <v>38</v>
      </c>
      <c r="B1373" t="s">
        <v>39</v>
      </c>
      <c r="C1373">
        <v>89226</v>
      </c>
      <c r="D1373">
        <v>2018</v>
      </c>
      <c r="E1373" t="s">
        <v>97</v>
      </c>
      <c r="F1373" t="s">
        <v>444</v>
      </c>
      <c r="G1373" t="s">
        <v>919</v>
      </c>
      <c r="I1373">
        <v>4</v>
      </c>
      <c r="J1373" t="s">
        <v>72</v>
      </c>
      <c r="K1373">
        <v>2</v>
      </c>
      <c r="L1373" t="s">
        <v>44</v>
      </c>
      <c r="M1373">
        <v>2</v>
      </c>
      <c r="N1373" t="s">
        <v>73</v>
      </c>
      <c r="O1373" t="s">
        <v>46</v>
      </c>
      <c r="Q1373" t="s">
        <v>47</v>
      </c>
      <c r="R1373" t="s">
        <v>197</v>
      </c>
      <c r="S1373" t="s">
        <v>179</v>
      </c>
      <c r="U1373" t="s">
        <v>50</v>
      </c>
      <c r="V1373" t="s">
        <v>51</v>
      </c>
      <c r="W1373" t="s">
        <v>920</v>
      </c>
      <c r="X1373" t="s">
        <v>125</v>
      </c>
      <c r="Y1373" t="s">
        <v>78</v>
      </c>
      <c r="Z1373">
        <v>25905</v>
      </c>
      <c r="AA1373">
        <v>0</v>
      </c>
      <c r="AB1373" t="s">
        <v>79</v>
      </c>
      <c r="AC1373" t="s">
        <v>197</v>
      </c>
      <c r="AD1373">
        <v>36</v>
      </c>
      <c r="AE1373">
        <v>9</v>
      </c>
      <c r="AF1373">
        <v>3</v>
      </c>
      <c r="AG1373">
        <v>2025</v>
      </c>
      <c r="AH1373" s="2">
        <v>7500</v>
      </c>
      <c r="AI1373" s="2">
        <v>12330.23046875</v>
      </c>
      <c r="AJ1373" s="2">
        <f t="shared" si="170"/>
        <v>4830.23046875</v>
      </c>
      <c r="AK1373" s="6">
        <f t="shared" si="171"/>
        <v>0.6440307291666667</v>
      </c>
      <c r="AL1373" s="12">
        <v>7500</v>
      </c>
      <c r="AM1373" s="12">
        <v>11026.859866825351</v>
      </c>
      <c r="AN1373" s="12">
        <f t="shared" si="172"/>
        <v>3526.8598668253508</v>
      </c>
      <c r="AO1373" s="13">
        <f t="shared" si="173"/>
        <v>0.4702479822433801</v>
      </c>
      <c r="AP1373" s="16">
        <v>7500</v>
      </c>
      <c r="AQ1373" s="16">
        <v>10954.940404217819</v>
      </c>
      <c r="AR1373" s="16">
        <f t="shared" si="174"/>
        <v>3454.9404042178194</v>
      </c>
      <c r="AS1373" s="17">
        <f t="shared" si="168"/>
        <v>0.46065872056237589</v>
      </c>
      <c r="AT1373" s="20">
        <v>7500</v>
      </c>
      <c r="AU1373" s="20">
        <v>12032.6943359375</v>
      </c>
      <c r="AV1373" s="20">
        <f t="shared" si="169"/>
        <v>4532.6943359375</v>
      </c>
      <c r="AW1373" s="21">
        <f t="shared" si="175"/>
        <v>0.60435924479166669</v>
      </c>
    </row>
    <row r="1374" spans="1:49" x14ac:dyDescent="0.25">
      <c r="A1374" t="s">
        <v>38</v>
      </c>
      <c r="B1374" t="s">
        <v>110</v>
      </c>
      <c r="C1374">
        <v>183076</v>
      </c>
      <c r="D1374">
        <v>2016</v>
      </c>
      <c r="E1374" t="s">
        <v>69</v>
      </c>
      <c r="F1374" t="s">
        <v>394</v>
      </c>
      <c r="H1374" t="s">
        <v>224</v>
      </c>
      <c r="I1374">
        <v>4</v>
      </c>
      <c r="J1374" t="s">
        <v>61</v>
      </c>
      <c r="K1374">
        <v>4</v>
      </c>
      <c r="L1374" t="s">
        <v>44</v>
      </c>
      <c r="M1374">
        <v>2</v>
      </c>
      <c r="N1374" t="s">
        <v>45</v>
      </c>
      <c r="O1374" t="s">
        <v>46</v>
      </c>
      <c r="P1374">
        <v>3</v>
      </c>
      <c r="Q1374" t="s">
        <v>47</v>
      </c>
      <c r="R1374" t="s">
        <v>123</v>
      </c>
      <c r="S1374" t="s">
        <v>101</v>
      </c>
      <c r="T1374">
        <v>240</v>
      </c>
      <c r="U1374" t="s">
        <v>50</v>
      </c>
      <c r="V1374" t="s">
        <v>51</v>
      </c>
      <c r="X1374" t="s">
        <v>125</v>
      </c>
      <c r="Y1374" t="s">
        <v>126</v>
      </c>
      <c r="AA1374">
        <v>0</v>
      </c>
      <c r="AB1374" t="s">
        <v>79</v>
      </c>
      <c r="AC1374" t="s">
        <v>127</v>
      </c>
      <c r="AD1374">
        <v>36</v>
      </c>
      <c r="AE1374">
        <v>9</v>
      </c>
      <c r="AF1374">
        <v>3</v>
      </c>
      <c r="AG1374">
        <v>2025</v>
      </c>
      <c r="AH1374" s="2">
        <v>1900</v>
      </c>
      <c r="AI1374" s="2">
        <v>1776.061767578125</v>
      </c>
      <c r="AJ1374" s="2">
        <f t="shared" si="170"/>
        <v>123.938232421875</v>
      </c>
      <c r="AK1374" s="6">
        <f t="shared" si="171"/>
        <v>6.523064864309211E-2</v>
      </c>
      <c r="AL1374" s="12">
        <v>1900</v>
      </c>
      <c r="AM1374" s="12">
        <v>2040.9130469085719</v>
      </c>
      <c r="AN1374" s="12">
        <f t="shared" si="172"/>
        <v>140.91304690857191</v>
      </c>
      <c r="AO1374" s="13">
        <f t="shared" si="173"/>
        <v>7.4164761530827322E-2</v>
      </c>
      <c r="AP1374" s="16">
        <v>1900</v>
      </c>
      <c r="AQ1374" s="16">
        <v>1630.117485770694</v>
      </c>
      <c r="AR1374" s="16">
        <f t="shared" si="174"/>
        <v>269.88251422930603</v>
      </c>
      <c r="AS1374" s="17">
        <f t="shared" si="168"/>
        <v>0.14204342854174001</v>
      </c>
      <c r="AT1374" s="20">
        <v>1900</v>
      </c>
      <c r="AU1374" s="20">
        <v>1770.00146484375</v>
      </c>
      <c r="AV1374" s="20">
        <f t="shared" si="169"/>
        <v>129.99853515625</v>
      </c>
      <c r="AW1374" s="21">
        <f t="shared" si="175"/>
        <v>6.8420281661184204E-2</v>
      </c>
    </row>
    <row r="1375" spans="1:49" x14ac:dyDescent="0.25">
      <c r="A1375" t="s">
        <v>38</v>
      </c>
      <c r="B1375" t="s">
        <v>370</v>
      </c>
      <c r="C1375">
        <v>43484</v>
      </c>
      <c r="D1375">
        <v>2024</v>
      </c>
      <c r="E1375" t="s">
        <v>146</v>
      </c>
      <c r="F1375" t="s">
        <v>334</v>
      </c>
      <c r="G1375" t="s">
        <v>1060</v>
      </c>
      <c r="I1375">
        <v>4</v>
      </c>
      <c r="J1375" t="s">
        <v>61</v>
      </c>
      <c r="K1375">
        <v>4</v>
      </c>
      <c r="L1375" t="s">
        <v>44</v>
      </c>
      <c r="M1375">
        <v>2.5</v>
      </c>
      <c r="N1375" t="s">
        <v>45</v>
      </c>
      <c r="O1375" t="s">
        <v>46</v>
      </c>
      <c r="P1375">
        <v>4</v>
      </c>
      <c r="Q1375" t="s">
        <v>47</v>
      </c>
      <c r="R1375" t="s">
        <v>123</v>
      </c>
      <c r="S1375" t="s">
        <v>49</v>
      </c>
      <c r="U1375" t="s">
        <v>50</v>
      </c>
      <c r="X1375" t="s">
        <v>65</v>
      </c>
      <c r="Y1375" t="s">
        <v>78</v>
      </c>
      <c r="AA1375">
        <v>0</v>
      </c>
      <c r="AB1375" t="s">
        <v>79</v>
      </c>
      <c r="AC1375" t="s">
        <v>127</v>
      </c>
      <c r="AD1375">
        <v>36</v>
      </c>
      <c r="AE1375">
        <v>9</v>
      </c>
      <c r="AF1375">
        <v>3</v>
      </c>
      <c r="AG1375">
        <v>2025</v>
      </c>
      <c r="AH1375" s="2">
        <v>17500</v>
      </c>
      <c r="AI1375" s="2">
        <v>18483.30859375</v>
      </c>
      <c r="AJ1375" s="2">
        <f t="shared" si="170"/>
        <v>983.30859375</v>
      </c>
      <c r="AK1375" s="6">
        <f t="shared" si="171"/>
        <v>5.6189062499999998E-2</v>
      </c>
      <c r="AL1375" s="12">
        <v>17500</v>
      </c>
      <c r="AM1375" s="12">
        <v>19697.05740485073</v>
      </c>
      <c r="AN1375" s="12">
        <f t="shared" si="172"/>
        <v>2197.0574048507297</v>
      </c>
      <c r="AO1375" s="13">
        <f t="shared" si="173"/>
        <v>0.1255461374200417</v>
      </c>
      <c r="AP1375" s="16">
        <v>17500</v>
      </c>
      <c r="AQ1375" s="16">
        <v>19573.080347551429</v>
      </c>
      <c r="AR1375" s="16">
        <f t="shared" si="174"/>
        <v>2073.0803475514294</v>
      </c>
      <c r="AS1375" s="17">
        <f t="shared" si="168"/>
        <v>0.11846173414579597</v>
      </c>
      <c r="AT1375" s="20">
        <v>17500</v>
      </c>
      <c r="AU1375" s="20">
        <v>18657.708984375</v>
      </c>
      <c r="AV1375" s="20">
        <f t="shared" si="169"/>
        <v>1157.708984375</v>
      </c>
      <c r="AW1375" s="21">
        <f t="shared" si="175"/>
        <v>6.615479910714285E-2</v>
      </c>
    </row>
    <row r="1376" spans="1:49" x14ac:dyDescent="0.25">
      <c r="A1376" t="s">
        <v>38</v>
      </c>
      <c r="B1376" t="s">
        <v>96</v>
      </c>
      <c r="C1376">
        <v>203554</v>
      </c>
      <c r="D1376">
        <v>2017</v>
      </c>
      <c r="E1376" t="s">
        <v>69</v>
      </c>
      <c r="F1376" t="s">
        <v>475</v>
      </c>
      <c r="H1376" t="s">
        <v>259</v>
      </c>
      <c r="I1376">
        <v>8</v>
      </c>
      <c r="J1376" t="s">
        <v>178</v>
      </c>
      <c r="K1376">
        <v>4</v>
      </c>
      <c r="L1376" t="s">
        <v>44</v>
      </c>
      <c r="M1376">
        <v>6.7</v>
      </c>
      <c r="N1376" t="s">
        <v>91</v>
      </c>
      <c r="O1376" t="s">
        <v>46</v>
      </c>
      <c r="Q1376" t="s">
        <v>74</v>
      </c>
      <c r="R1376" t="s">
        <v>92</v>
      </c>
      <c r="S1376" t="s">
        <v>93</v>
      </c>
      <c r="T1376">
        <v>440</v>
      </c>
      <c r="U1376" t="s">
        <v>229</v>
      </c>
      <c r="V1376" t="s">
        <v>76</v>
      </c>
      <c r="X1376" t="s">
        <v>230</v>
      </c>
      <c r="Y1376" t="s">
        <v>78</v>
      </c>
      <c r="Z1376">
        <v>39135</v>
      </c>
      <c r="AA1376">
        <v>0</v>
      </c>
      <c r="AB1376" t="s">
        <v>79</v>
      </c>
      <c r="AC1376" t="s">
        <v>95</v>
      </c>
      <c r="AD1376">
        <v>36</v>
      </c>
      <c r="AE1376">
        <v>9</v>
      </c>
      <c r="AF1376">
        <v>3</v>
      </c>
      <c r="AG1376">
        <v>2025</v>
      </c>
      <c r="AH1376" s="2">
        <v>29500</v>
      </c>
      <c r="AI1376" s="2">
        <v>20823.369140625</v>
      </c>
      <c r="AJ1376" s="2">
        <f t="shared" si="170"/>
        <v>8676.630859375</v>
      </c>
      <c r="AK1376" s="6">
        <f t="shared" si="171"/>
        <v>0.29412307997881354</v>
      </c>
      <c r="AL1376" s="12">
        <v>29500</v>
      </c>
      <c r="AM1376" s="12">
        <v>17318.743315308169</v>
      </c>
      <c r="AN1376" s="12">
        <f t="shared" si="172"/>
        <v>12181.256684691831</v>
      </c>
      <c r="AO1376" s="13">
        <f t="shared" si="173"/>
        <v>0.41292395541328242</v>
      </c>
      <c r="AP1376" s="16">
        <v>29500</v>
      </c>
      <c r="AQ1376" s="16">
        <v>20817.71397647811</v>
      </c>
      <c r="AR1376" s="16">
        <f t="shared" si="174"/>
        <v>8682.2860235218905</v>
      </c>
      <c r="AS1376" s="17">
        <f t="shared" si="168"/>
        <v>0.29431478045836917</v>
      </c>
      <c r="AT1376" s="20">
        <v>29500</v>
      </c>
      <c r="AU1376" s="20">
        <v>20126.6953125</v>
      </c>
      <c r="AV1376" s="20">
        <f t="shared" si="169"/>
        <v>9373.3046875</v>
      </c>
      <c r="AW1376" s="21">
        <f t="shared" si="175"/>
        <v>0.31773914194915254</v>
      </c>
    </row>
    <row r="1377" spans="1:49" x14ac:dyDescent="0.25">
      <c r="A1377" t="s">
        <v>38</v>
      </c>
      <c r="B1377" t="s">
        <v>110</v>
      </c>
      <c r="C1377">
        <v>119084</v>
      </c>
      <c r="D1377">
        <v>2017</v>
      </c>
      <c r="E1377" t="s">
        <v>162</v>
      </c>
      <c r="F1377" t="s">
        <v>163</v>
      </c>
      <c r="G1377" t="s">
        <v>299</v>
      </c>
      <c r="I1377">
        <v>4</v>
      </c>
      <c r="J1377" t="s">
        <v>122</v>
      </c>
      <c r="K1377">
        <v>4</v>
      </c>
      <c r="L1377" t="s">
        <v>44</v>
      </c>
      <c r="M1377">
        <v>2.4</v>
      </c>
      <c r="N1377" t="s">
        <v>45</v>
      </c>
      <c r="Q1377" t="s">
        <v>47</v>
      </c>
      <c r="R1377" t="s">
        <v>123</v>
      </c>
      <c r="T1377">
        <v>187</v>
      </c>
      <c r="U1377" t="s">
        <v>50</v>
      </c>
      <c r="X1377" t="s">
        <v>125</v>
      </c>
      <c r="Y1377" t="s">
        <v>78</v>
      </c>
      <c r="Z1377">
        <v>21950</v>
      </c>
      <c r="AA1377">
        <v>0</v>
      </c>
      <c r="AB1377" t="s">
        <v>79</v>
      </c>
      <c r="AC1377" t="s">
        <v>127</v>
      </c>
      <c r="AD1377">
        <v>36</v>
      </c>
      <c r="AE1377">
        <v>9</v>
      </c>
      <c r="AF1377">
        <v>3</v>
      </c>
      <c r="AG1377">
        <v>2025</v>
      </c>
      <c r="AH1377" s="2">
        <v>4500</v>
      </c>
      <c r="AI1377" s="2">
        <v>3621.3408203125</v>
      </c>
      <c r="AJ1377" s="2">
        <f t="shared" si="170"/>
        <v>878.6591796875</v>
      </c>
      <c r="AK1377" s="6">
        <f t="shared" si="171"/>
        <v>0.1952575954861111</v>
      </c>
      <c r="AL1377" s="12">
        <v>4500</v>
      </c>
      <c r="AM1377" s="12">
        <v>3615.9668590416468</v>
      </c>
      <c r="AN1377" s="12">
        <f t="shared" si="172"/>
        <v>884.03314095835321</v>
      </c>
      <c r="AO1377" s="13">
        <f t="shared" si="173"/>
        <v>0.19645180910185628</v>
      </c>
      <c r="AP1377" s="16">
        <v>4500</v>
      </c>
      <c r="AQ1377" s="16">
        <v>3287.9316866953168</v>
      </c>
      <c r="AR1377" s="16">
        <f t="shared" si="174"/>
        <v>1212.0683133046832</v>
      </c>
      <c r="AS1377" s="17">
        <f t="shared" si="168"/>
        <v>0.26934851406770738</v>
      </c>
      <c r="AT1377" s="20">
        <v>4500</v>
      </c>
      <c r="AU1377" s="20">
        <v>3698.16455078125</v>
      </c>
      <c r="AV1377" s="20">
        <f t="shared" si="169"/>
        <v>801.83544921875</v>
      </c>
      <c r="AW1377" s="21">
        <f t="shared" si="175"/>
        <v>0.17818565538194445</v>
      </c>
    </row>
    <row r="1378" spans="1:49" x14ac:dyDescent="0.25">
      <c r="A1378" t="s">
        <v>38</v>
      </c>
      <c r="B1378" t="s">
        <v>57</v>
      </c>
      <c r="C1378">
        <v>197198</v>
      </c>
      <c r="D1378">
        <v>2009</v>
      </c>
      <c r="E1378" t="s">
        <v>40</v>
      </c>
      <c r="F1378" t="s">
        <v>41</v>
      </c>
      <c r="H1378" t="s">
        <v>1243</v>
      </c>
      <c r="I1378">
        <v>4</v>
      </c>
      <c r="J1378" t="s">
        <v>122</v>
      </c>
      <c r="K1378">
        <v>4</v>
      </c>
      <c r="L1378" t="s">
        <v>44</v>
      </c>
      <c r="M1378">
        <v>1.5</v>
      </c>
      <c r="N1378" t="s">
        <v>45</v>
      </c>
      <c r="O1378" t="s">
        <v>46</v>
      </c>
      <c r="P1378">
        <v>2</v>
      </c>
      <c r="Q1378" t="s">
        <v>47</v>
      </c>
      <c r="R1378" t="s">
        <v>48</v>
      </c>
      <c r="S1378" t="s">
        <v>49</v>
      </c>
      <c r="T1378">
        <v>76</v>
      </c>
      <c r="U1378" t="s">
        <v>50</v>
      </c>
      <c r="V1378" t="s">
        <v>51</v>
      </c>
      <c r="W1378" t="s">
        <v>1244</v>
      </c>
      <c r="X1378" t="s">
        <v>125</v>
      </c>
      <c r="Y1378" t="s">
        <v>54</v>
      </c>
      <c r="AA1378">
        <v>1</v>
      </c>
      <c r="AB1378" t="s">
        <v>55</v>
      </c>
      <c r="AC1378" t="s">
        <v>56</v>
      </c>
      <c r="AD1378">
        <v>36</v>
      </c>
      <c r="AE1378">
        <v>9</v>
      </c>
      <c r="AF1378">
        <v>3</v>
      </c>
      <c r="AG1378">
        <v>2025</v>
      </c>
      <c r="AH1378" s="2">
        <v>1800</v>
      </c>
      <c r="AI1378" s="2">
        <v>1311.6181640625</v>
      </c>
      <c r="AJ1378" s="2">
        <f t="shared" si="170"/>
        <v>488.3818359375</v>
      </c>
      <c r="AK1378" s="6">
        <f t="shared" si="171"/>
        <v>0.27132324218749998</v>
      </c>
      <c r="AL1378" s="12">
        <v>1800</v>
      </c>
      <c r="AM1378" s="12">
        <v>1166.144661098715</v>
      </c>
      <c r="AN1378" s="12">
        <f t="shared" si="172"/>
        <v>633.85533890128499</v>
      </c>
      <c r="AO1378" s="13">
        <f t="shared" si="173"/>
        <v>0.35214185494515832</v>
      </c>
      <c r="AP1378" s="16">
        <v>1800</v>
      </c>
      <c r="AQ1378" s="16">
        <v>964.23149829457554</v>
      </c>
      <c r="AR1378" s="16">
        <f t="shared" si="174"/>
        <v>835.76850170542446</v>
      </c>
      <c r="AS1378" s="17">
        <f t="shared" si="168"/>
        <v>0.46431583428079137</v>
      </c>
      <c r="AT1378" s="20">
        <v>1800</v>
      </c>
      <c r="AU1378" s="20">
        <v>1234.9775390625</v>
      </c>
      <c r="AV1378" s="20">
        <f t="shared" si="169"/>
        <v>565.0224609375</v>
      </c>
      <c r="AW1378" s="21">
        <f t="shared" si="175"/>
        <v>0.3139013671875</v>
      </c>
    </row>
    <row r="1379" spans="1:49" x14ac:dyDescent="0.25">
      <c r="A1379" t="s">
        <v>38</v>
      </c>
      <c r="B1379" t="s">
        <v>96</v>
      </c>
      <c r="C1379">
        <v>39354</v>
      </c>
      <c r="D1379">
        <v>2022</v>
      </c>
      <c r="E1379" t="s">
        <v>146</v>
      </c>
      <c r="F1379" t="s">
        <v>334</v>
      </c>
      <c r="G1379" t="s">
        <v>352</v>
      </c>
      <c r="I1379">
        <v>4</v>
      </c>
      <c r="J1379" t="s">
        <v>72</v>
      </c>
      <c r="K1379">
        <v>4</v>
      </c>
      <c r="L1379" t="s">
        <v>44</v>
      </c>
      <c r="M1379">
        <v>2.5</v>
      </c>
      <c r="N1379" t="s">
        <v>45</v>
      </c>
      <c r="O1379" t="s">
        <v>46</v>
      </c>
      <c r="P1379">
        <v>4</v>
      </c>
      <c r="Q1379" t="s">
        <v>47</v>
      </c>
      <c r="R1379" t="s">
        <v>123</v>
      </c>
      <c r="S1379" t="s">
        <v>49</v>
      </c>
      <c r="U1379" t="s">
        <v>50</v>
      </c>
      <c r="X1379" t="s">
        <v>125</v>
      </c>
      <c r="Y1379" t="s">
        <v>78</v>
      </c>
      <c r="AA1379">
        <v>0</v>
      </c>
      <c r="AB1379" t="s">
        <v>79</v>
      </c>
      <c r="AC1379" t="s">
        <v>127</v>
      </c>
      <c r="AD1379">
        <v>36</v>
      </c>
      <c r="AE1379">
        <v>9</v>
      </c>
      <c r="AF1379">
        <v>3</v>
      </c>
      <c r="AG1379">
        <v>2025</v>
      </c>
      <c r="AH1379" s="2">
        <v>19000</v>
      </c>
      <c r="AI1379" s="2">
        <v>18594.04296875</v>
      </c>
      <c r="AJ1379" s="2">
        <f t="shared" si="170"/>
        <v>405.95703125</v>
      </c>
      <c r="AK1379" s="6">
        <f t="shared" si="171"/>
        <v>2.1366159539473684E-2</v>
      </c>
      <c r="AL1379" s="12">
        <v>19000</v>
      </c>
      <c r="AM1379" s="12">
        <v>16438.17319928886</v>
      </c>
      <c r="AN1379" s="12">
        <f t="shared" si="172"/>
        <v>2561.8268007111401</v>
      </c>
      <c r="AO1379" s="13">
        <f t="shared" si="173"/>
        <v>0.13483298951111264</v>
      </c>
      <c r="AP1379" s="16">
        <v>19000</v>
      </c>
      <c r="AQ1379" s="16">
        <v>17221.039480792271</v>
      </c>
      <c r="AR1379" s="16">
        <f t="shared" si="174"/>
        <v>1778.9605192077288</v>
      </c>
      <c r="AS1379" s="17">
        <f t="shared" si="168"/>
        <v>9.3629501010933092E-2</v>
      </c>
      <c r="AT1379" s="20">
        <v>19000</v>
      </c>
      <c r="AU1379" s="20">
        <v>18042.8125</v>
      </c>
      <c r="AV1379" s="20">
        <f t="shared" si="169"/>
        <v>957.1875</v>
      </c>
      <c r="AW1379" s="21">
        <f t="shared" si="175"/>
        <v>5.037828947368421E-2</v>
      </c>
    </row>
    <row r="1380" spans="1:49" x14ac:dyDescent="0.25">
      <c r="A1380" t="s">
        <v>128</v>
      </c>
      <c r="B1380" t="s">
        <v>129</v>
      </c>
      <c r="C1380">
        <v>166849</v>
      </c>
      <c r="D1380">
        <v>2009</v>
      </c>
      <c r="E1380" t="s">
        <v>97</v>
      </c>
      <c r="F1380" t="s">
        <v>98</v>
      </c>
      <c r="G1380" t="s">
        <v>1361</v>
      </c>
      <c r="I1380">
        <v>6</v>
      </c>
      <c r="J1380" t="s">
        <v>122</v>
      </c>
      <c r="K1380">
        <v>4</v>
      </c>
      <c r="L1380" t="s">
        <v>44</v>
      </c>
      <c r="M1380">
        <v>3.4</v>
      </c>
      <c r="N1380" t="s">
        <v>45</v>
      </c>
      <c r="O1380" t="s">
        <v>46</v>
      </c>
      <c r="Q1380" t="s">
        <v>62</v>
      </c>
      <c r="R1380" t="s">
        <v>63</v>
      </c>
      <c r="S1380" t="s">
        <v>101</v>
      </c>
      <c r="V1380" t="s">
        <v>76</v>
      </c>
      <c r="W1380" t="s">
        <v>1343</v>
      </c>
      <c r="X1380" t="s">
        <v>141</v>
      </c>
      <c r="Y1380" t="s">
        <v>103</v>
      </c>
      <c r="AA1380">
        <v>0</v>
      </c>
      <c r="AB1380" t="s">
        <v>79</v>
      </c>
      <c r="AC1380" t="s">
        <v>87</v>
      </c>
      <c r="AD1380">
        <v>36</v>
      </c>
      <c r="AE1380">
        <v>9</v>
      </c>
      <c r="AF1380">
        <v>3</v>
      </c>
      <c r="AG1380">
        <v>2025</v>
      </c>
      <c r="AH1380" s="2">
        <v>1100</v>
      </c>
      <c r="AI1380" s="2">
        <v>995.48297119140625</v>
      </c>
      <c r="AJ1380" s="2">
        <f t="shared" si="170"/>
        <v>104.51702880859375</v>
      </c>
      <c r="AK1380" s="6">
        <f t="shared" si="171"/>
        <v>9.5015480735085228E-2</v>
      </c>
      <c r="AL1380" s="12">
        <v>1100</v>
      </c>
      <c r="AM1380" s="12">
        <v>1208.8261065156471</v>
      </c>
      <c r="AN1380" s="12">
        <f t="shared" si="172"/>
        <v>108.8261065156471</v>
      </c>
      <c r="AO1380" s="13">
        <f t="shared" si="173"/>
        <v>9.8932824105133724E-2</v>
      </c>
      <c r="AP1380" s="16">
        <v>1100</v>
      </c>
      <c r="AQ1380" s="16">
        <v>991.89812439978266</v>
      </c>
      <c r="AR1380" s="16">
        <f t="shared" si="174"/>
        <v>108.10187560021734</v>
      </c>
      <c r="AS1380" s="17">
        <f t="shared" si="168"/>
        <v>9.8274432363833944E-2</v>
      </c>
      <c r="AT1380" s="20">
        <v>1100</v>
      </c>
      <c r="AU1380" s="20">
        <v>1013.509582519531</v>
      </c>
      <c r="AV1380" s="20">
        <f t="shared" si="169"/>
        <v>86.490417480468977</v>
      </c>
      <c r="AW1380" s="21">
        <f t="shared" si="175"/>
        <v>7.86276522549718E-2</v>
      </c>
    </row>
    <row r="1381" spans="1:49" x14ac:dyDescent="0.25">
      <c r="A1381" t="s">
        <v>38</v>
      </c>
      <c r="B1381" t="s">
        <v>39</v>
      </c>
      <c r="C1381">
        <v>282110</v>
      </c>
      <c r="D1381">
        <v>2005</v>
      </c>
      <c r="E1381" t="s">
        <v>146</v>
      </c>
      <c r="F1381" t="s">
        <v>441</v>
      </c>
      <c r="I1381">
        <v>8</v>
      </c>
      <c r="J1381" t="s">
        <v>61</v>
      </c>
      <c r="K1381">
        <v>4</v>
      </c>
      <c r="L1381" t="s">
        <v>44</v>
      </c>
      <c r="M1381">
        <v>5.6</v>
      </c>
      <c r="N1381" t="s">
        <v>73</v>
      </c>
      <c r="O1381" t="s">
        <v>46</v>
      </c>
      <c r="Q1381" t="s">
        <v>62</v>
      </c>
      <c r="R1381" t="s">
        <v>63</v>
      </c>
      <c r="S1381" t="s">
        <v>49</v>
      </c>
      <c r="U1381" t="s">
        <v>50</v>
      </c>
      <c r="X1381" t="s">
        <v>94</v>
      </c>
      <c r="Y1381" t="s">
        <v>78</v>
      </c>
      <c r="AA1381">
        <v>0</v>
      </c>
      <c r="AB1381" t="s">
        <v>79</v>
      </c>
      <c r="AC1381" t="s">
        <v>87</v>
      </c>
      <c r="AD1381">
        <v>36</v>
      </c>
      <c r="AE1381">
        <v>9</v>
      </c>
      <c r="AF1381">
        <v>3</v>
      </c>
      <c r="AG1381">
        <v>2025</v>
      </c>
      <c r="AH1381" s="2">
        <v>500</v>
      </c>
      <c r="AI1381" s="2">
        <v>796.46881103515625</v>
      </c>
      <c r="AJ1381" s="2">
        <f t="shared" si="170"/>
        <v>296.46881103515625</v>
      </c>
      <c r="AK1381" s="6">
        <f t="shared" si="171"/>
        <v>0.59293762207031253</v>
      </c>
      <c r="AL1381" s="12">
        <v>500</v>
      </c>
      <c r="AM1381" s="12">
        <v>902.44829484767115</v>
      </c>
      <c r="AN1381" s="12">
        <f t="shared" si="172"/>
        <v>402.44829484767115</v>
      </c>
      <c r="AO1381" s="13">
        <f t="shared" si="173"/>
        <v>0.80489658969534228</v>
      </c>
      <c r="AP1381" s="16">
        <v>500</v>
      </c>
      <c r="AQ1381" s="16">
        <v>812.73208745272188</v>
      </c>
      <c r="AR1381" s="16">
        <f t="shared" si="174"/>
        <v>312.73208745272188</v>
      </c>
      <c r="AS1381" s="17">
        <f t="shared" si="168"/>
        <v>0.62546417490544381</v>
      </c>
      <c r="AT1381" s="20">
        <v>500</v>
      </c>
      <c r="AU1381" s="20">
        <v>810.9769287109375</v>
      </c>
      <c r="AV1381" s="20">
        <f t="shared" si="169"/>
        <v>310.9769287109375</v>
      </c>
      <c r="AW1381" s="21">
        <f t="shared" si="175"/>
        <v>0.62195385742187503</v>
      </c>
    </row>
    <row r="1382" spans="1:49" x14ac:dyDescent="0.25">
      <c r="A1382" t="s">
        <v>38</v>
      </c>
      <c r="B1382" t="s">
        <v>39</v>
      </c>
      <c r="C1382">
        <v>139289</v>
      </c>
      <c r="D1382">
        <v>2012</v>
      </c>
      <c r="E1382" t="s">
        <v>69</v>
      </c>
      <c r="F1382" t="s">
        <v>231</v>
      </c>
      <c r="I1382">
        <v>6</v>
      </c>
      <c r="J1382" t="s">
        <v>61</v>
      </c>
      <c r="K1382">
        <v>4</v>
      </c>
      <c r="L1382" t="s">
        <v>44</v>
      </c>
      <c r="M1382">
        <v>3.5</v>
      </c>
      <c r="N1382" t="s">
        <v>73</v>
      </c>
      <c r="O1382" t="s">
        <v>46</v>
      </c>
      <c r="Q1382" t="s">
        <v>74</v>
      </c>
      <c r="R1382" t="s">
        <v>92</v>
      </c>
      <c r="S1382" t="s">
        <v>49</v>
      </c>
      <c r="T1382">
        <v>365</v>
      </c>
      <c r="U1382" t="s">
        <v>50</v>
      </c>
      <c r="V1382" t="s">
        <v>76</v>
      </c>
      <c r="X1382" t="s">
        <v>108</v>
      </c>
      <c r="Y1382" t="s">
        <v>78</v>
      </c>
      <c r="AA1382">
        <v>0</v>
      </c>
      <c r="AB1382" t="s">
        <v>79</v>
      </c>
      <c r="AC1382" t="s">
        <v>95</v>
      </c>
      <c r="AD1382">
        <v>36</v>
      </c>
      <c r="AE1382">
        <v>9</v>
      </c>
      <c r="AF1382">
        <v>3</v>
      </c>
      <c r="AG1382">
        <v>2025</v>
      </c>
      <c r="AH1382" s="2">
        <v>7900</v>
      </c>
      <c r="AI1382" s="2">
        <v>6791.498046875</v>
      </c>
      <c r="AJ1382" s="2">
        <f t="shared" si="170"/>
        <v>1108.501953125</v>
      </c>
      <c r="AK1382" s="6">
        <f t="shared" si="171"/>
        <v>0.14031670292721518</v>
      </c>
      <c r="AL1382" s="12">
        <v>7900</v>
      </c>
      <c r="AM1382" s="12">
        <v>6489.0523389422697</v>
      </c>
      <c r="AN1382" s="12">
        <f t="shared" si="172"/>
        <v>1410.9476610577303</v>
      </c>
      <c r="AO1382" s="13">
        <f t="shared" si="173"/>
        <v>0.17860096975414308</v>
      </c>
      <c r="AP1382" s="16">
        <v>7900</v>
      </c>
      <c r="AQ1382" s="16">
        <v>6985.0857667584487</v>
      </c>
      <c r="AR1382" s="16">
        <f t="shared" si="174"/>
        <v>914.9142332415513</v>
      </c>
      <c r="AS1382" s="17">
        <f t="shared" si="168"/>
        <v>0.11581192825842422</v>
      </c>
      <c r="AT1382" s="20">
        <v>7900</v>
      </c>
      <c r="AU1382" s="20">
        <v>6802.88916015625</v>
      </c>
      <c r="AV1382" s="20">
        <f t="shared" si="169"/>
        <v>1097.11083984375</v>
      </c>
      <c r="AW1382" s="21">
        <f t="shared" si="175"/>
        <v>0.13887478985363924</v>
      </c>
    </row>
    <row r="1383" spans="1:49" x14ac:dyDescent="0.25">
      <c r="A1383" t="s">
        <v>38</v>
      </c>
      <c r="B1383" t="s">
        <v>39</v>
      </c>
      <c r="C1383">
        <v>87041</v>
      </c>
      <c r="D1383">
        <v>2008</v>
      </c>
      <c r="E1383" t="s">
        <v>97</v>
      </c>
      <c r="F1383" t="s">
        <v>706</v>
      </c>
      <c r="G1383" t="s">
        <v>199</v>
      </c>
      <c r="H1383" t="s">
        <v>177</v>
      </c>
      <c r="I1383">
        <v>8</v>
      </c>
      <c r="J1383" t="s">
        <v>61</v>
      </c>
      <c r="K1383">
        <v>4</v>
      </c>
      <c r="L1383" t="s">
        <v>44</v>
      </c>
      <c r="M1383">
        <v>5.3</v>
      </c>
      <c r="N1383" t="s">
        <v>73</v>
      </c>
      <c r="O1383" t="s">
        <v>46</v>
      </c>
      <c r="Q1383" t="s">
        <v>62</v>
      </c>
      <c r="R1383" t="s">
        <v>707</v>
      </c>
      <c r="S1383" t="s">
        <v>49</v>
      </c>
      <c r="U1383" t="s">
        <v>180</v>
      </c>
      <c r="V1383" t="s">
        <v>76</v>
      </c>
      <c r="W1383" t="s">
        <v>421</v>
      </c>
      <c r="X1383" t="s">
        <v>94</v>
      </c>
      <c r="Y1383" t="s">
        <v>126</v>
      </c>
      <c r="AA1383">
        <v>0</v>
      </c>
      <c r="AB1383" t="s">
        <v>79</v>
      </c>
      <c r="AC1383" t="s">
        <v>87</v>
      </c>
      <c r="AD1383">
        <v>36</v>
      </c>
      <c r="AE1383">
        <v>9</v>
      </c>
      <c r="AF1383">
        <v>3</v>
      </c>
      <c r="AG1383">
        <v>2025</v>
      </c>
      <c r="AH1383" s="2">
        <v>10250</v>
      </c>
      <c r="AI1383" s="2">
        <v>6256.47705078125</v>
      </c>
      <c r="AJ1383" s="2">
        <f t="shared" si="170"/>
        <v>3993.52294921875</v>
      </c>
      <c r="AK1383" s="6">
        <f t="shared" si="171"/>
        <v>0.38961199504573168</v>
      </c>
      <c r="AL1383" s="12">
        <v>10250</v>
      </c>
      <c r="AM1383" s="12">
        <v>7323.4411651281252</v>
      </c>
      <c r="AN1383" s="12">
        <f t="shared" si="172"/>
        <v>2926.5588348718748</v>
      </c>
      <c r="AO1383" s="13">
        <f t="shared" si="173"/>
        <v>0.28551793510945117</v>
      </c>
      <c r="AP1383" s="16">
        <v>10250</v>
      </c>
      <c r="AQ1383" s="16">
        <v>5534.3344448214712</v>
      </c>
      <c r="AR1383" s="16">
        <f t="shared" si="174"/>
        <v>4715.6655551785288</v>
      </c>
      <c r="AS1383" s="17">
        <f t="shared" si="168"/>
        <v>0.46006493221253941</v>
      </c>
      <c r="AT1383" s="20">
        <v>10250</v>
      </c>
      <c r="AU1383" s="20">
        <v>6348.529296875</v>
      </c>
      <c r="AV1383" s="20">
        <f t="shared" si="169"/>
        <v>3901.470703125</v>
      </c>
      <c r="AW1383" s="21">
        <f t="shared" si="175"/>
        <v>0.38063128810975611</v>
      </c>
    </row>
    <row r="1384" spans="1:49" x14ac:dyDescent="0.25">
      <c r="A1384" t="s">
        <v>114</v>
      </c>
      <c r="B1384" t="s">
        <v>349</v>
      </c>
      <c r="C1384">
        <v>47553</v>
      </c>
      <c r="D1384">
        <v>2021</v>
      </c>
      <c r="E1384" t="s">
        <v>97</v>
      </c>
      <c r="F1384" t="s">
        <v>98</v>
      </c>
      <c r="G1384" t="s">
        <v>1308</v>
      </c>
      <c r="I1384">
        <v>4</v>
      </c>
      <c r="J1384" t="s">
        <v>135</v>
      </c>
      <c r="K1384">
        <v>4</v>
      </c>
      <c r="L1384" t="s">
        <v>44</v>
      </c>
      <c r="M1384">
        <v>1.5</v>
      </c>
      <c r="N1384" t="s">
        <v>44</v>
      </c>
      <c r="O1384" t="s">
        <v>46</v>
      </c>
      <c r="P1384">
        <v>3</v>
      </c>
      <c r="Q1384" t="s">
        <v>62</v>
      </c>
      <c r="R1384" t="s">
        <v>63</v>
      </c>
      <c r="S1384" t="s">
        <v>85</v>
      </c>
      <c r="U1384" t="s">
        <v>50</v>
      </c>
      <c r="V1384" t="s">
        <v>51</v>
      </c>
      <c r="W1384" t="s">
        <v>255</v>
      </c>
      <c r="X1384" t="s">
        <v>65</v>
      </c>
      <c r="Y1384" t="s">
        <v>126</v>
      </c>
      <c r="AA1384">
        <v>0</v>
      </c>
      <c r="AB1384" t="s">
        <v>79</v>
      </c>
      <c r="AC1384" t="s">
        <v>87</v>
      </c>
      <c r="AD1384">
        <v>36</v>
      </c>
      <c r="AE1384">
        <v>9</v>
      </c>
      <c r="AF1384">
        <v>3</v>
      </c>
      <c r="AG1384">
        <v>2025</v>
      </c>
      <c r="AH1384" s="2">
        <v>14000</v>
      </c>
      <c r="AI1384" s="2">
        <v>18003.123046875</v>
      </c>
      <c r="AJ1384" s="2">
        <f t="shared" si="170"/>
        <v>4003.123046875</v>
      </c>
      <c r="AK1384" s="6">
        <f t="shared" si="171"/>
        <v>0.28593736049107144</v>
      </c>
      <c r="AL1384" s="12">
        <v>14000</v>
      </c>
      <c r="AM1384" s="12">
        <v>18489.811079384821</v>
      </c>
      <c r="AN1384" s="12">
        <f t="shared" si="172"/>
        <v>4489.8110793848209</v>
      </c>
      <c r="AO1384" s="13">
        <f t="shared" si="173"/>
        <v>0.32070079138463009</v>
      </c>
      <c r="AP1384" s="16">
        <v>14000</v>
      </c>
      <c r="AQ1384" s="16">
        <v>16240.405007406431</v>
      </c>
      <c r="AR1384" s="16">
        <f t="shared" si="174"/>
        <v>2240.4050074064307</v>
      </c>
      <c r="AS1384" s="17">
        <f t="shared" si="168"/>
        <v>0.16002892910045935</v>
      </c>
      <c r="AT1384" s="20">
        <v>14000</v>
      </c>
      <c r="AU1384" s="20">
        <v>17970.4609375</v>
      </c>
      <c r="AV1384" s="20">
        <f t="shared" si="169"/>
        <v>3970.4609375</v>
      </c>
      <c r="AW1384" s="21">
        <f t="shared" si="175"/>
        <v>0.28360435267857143</v>
      </c>
    </row>
    <row r="1385" spans="1:49" x14ac:dyDescent="0.25">
      <c r="A1385" t="s">
        <v>38</v>
      </c>
      <c r="B1385" t="s">
        <v>68</v>
      </c>
      <c r="C1385">
        <v>163184</v>
      </c>
      <c r="D1385">
        <v>2010</v>
      </c>
      <c r="E1385" t="s">
        <v>557</v>
      </c>
      <c r="F1385" t="s">
        <v>888</v>
      </c>
      <c r="G1385" t="s">
        <v>240</v>
      </c>
      <c r="I1385">
        <v>4</v>
      </c>
      <c r="J1385" t="s">
        <v>106</v>
      </c>
      <c r="K1385">
        <v>4</v>
      </c>
      <c r="L1385" t="s">
        <v>44</v>
      </c>
      <c r="M1385">
        <v>2.4</v>
      </c>
      <c r="N1385" t="s">
        <v>45</v>
      </c>
      <c r="O1385" t="s">
        <v>46</v>
      </c>
      <c r="P1385">
        <v>2</v>
      </c>
      <c r="Q1385" t="s">
        <v>47</v>
      </c>
      <c r="R1385" t="s">
        <v>123</v>
      </c>
      <c r="S1385" t="s">
        <v>101</v>
      </c>
      <c r="U1385" t="s">
        <v>50</v>
      </c>
      <c r="X1385" t="s">
        <v>125</v>
      </c>
      <c r="Y1385" t="s">
        <v>78</v>
      </c>
      <c r="AA1385">
        <v>0</v>
      </c>
      <c r="AB1385" t="s">
        <v>79</v>
      </c>
      <c r="AC1385" t="s">
        <v>127</v>
      </c>
      <c r="AD1385">
        <v>36</v>
      </c>
      <c r="AE1385">
        <v>9</v>
      </c>
      <c r="AF1385">
        <v>3</v>
      </c>
      <c r="AG1385">
        <v>2025</v>
      </c>
      <c r="AH1385" s="2">
        <v>1400</v>
      </c>
      <c r="AI1385" s="2">
        <v>944.0693359375</v>
      </c>
      <c r="AJ1385" s="2">
        <f t="shared" si="170"/>
        <v>455.9306640625</v>
      </c>
      <c r="AK1385" s="6">
        <f t="shared" si="171"/>
        <v>0.32566476004464284</v>
      </c>
      <c r="AL1385" s="12">
        <v>1400</v>
      </c>
      <c r="AM1385" s="12">
        <v>881.83054067216085</v>
      </c>
      <c r="AN1385" s="12">
        <f t="shared" si="172"/>
        <v>518.16945932783915</v>
      </c>
      <c r="AO1385" s="13">
        <f t="shared" si="173"/>
        <v>0.37012104237702798</v>
      </c>
      <c r="AP1385" s="16">
        <v>1400</v>
      </c>
      <c r="AQ1385" s="16">
        <v>826.53724542655982</v>
      </c>
      <c r="AR1385" s="16">
        <f t="shared" si="174"/>
        <v>573.46275457344018</v>
      </c>
      <c r="AS1385" s="17">
        <f t="shared" si="168"/>
        <v>0.409616253266743</v>
      </c>
      <c r="AT1385" s="20">
        <v>1400</v>
      </c>
      <c r="AU1385" s="20">
        <v>871.2596435546875</v>
      </c>
      <c r="AV1385" s="20">
        <f t="shared" si="169"/>
        <v>528.7403564453125</v>
      </c>
      <c r="AW1385" s="21">
        <f t="shared" si="175"/>
        <v>0.37767168317522321</v>
      </c>
    </row>
    <row r="1386" spans="1:49" x14ac:dyDescent="0.25">
      <c r="A1386" t="s">
        <v>81</v>
      </c>
      <c r="B1386" t="s">
        <v>82</v>
      </c>
      <c r="C1386">
        <v>136010</v>
      </c>
      <c r="D1386">
        <v>2003</v>
      </c>
      <c r="E1386" t="s">
        <v>97</v>
      </c>
      <c r="F1386" t="s">
        <v>470</v>
      </c>
      <c r="I1386">
        <v>6</v>
      </c>
      <c r="J1386" t="s">
        <v>106</v>
      </c>
      <c r="K1386">
        <v>4</v>
      </c>
      <c r="L1386" t="s">
        <v>44</v>
      </c>
      <c r="M1386">
        <v>3.1</v>
      </c>
      <c r="N1386" t="s">
        <v>45</v>
      </c>
      <c r="O1386" t="s">
        <v>46</v>
      </c>
      <c r="Q1386" t="s">
        <v>47</v>
      </c>
      <c r="R1386" t="s">
        <v>123</v>
      </c>
      <c r="U1386" t="s">
        <v>50</v>
      </c>
      <c r="V1386" t="s">
        <v>76</v>
      </c>
      <c r="W1386" t="s">
        <v>1362</v>
      </c>
      <c r="X1386" t="s">
        <v>125</v>
      </c>
      <c r="Y1386" t="s">
        <v>78</v>
      </c>
      <c r="AA1386">
        <v>0</v>
      </c>
      <c r="AB1386" t="s">
        <v>79</v>
      </c>
      <c r="AC1386" t="s">
        <v>127</v>
      </c>
      <c r="AD1386">
        <v>36</v>
      </c>
      <c r="AE1386">
        <v>9</v>
      </c>
      <c r="AF1386">
        <v>3</v>
      </c>
      <c r="AG1386">
        <v>2025</v>
      </c>
      <c r="AH1386" s="2">
        <v>500</v>
      </c>
      <c r="AI1386" s="2">
        <v>678.3359375</v>
      </c>
      <c r="AJ1386" s="2">
        <f t="shared" si="170"/>
        <v>178.3359375</v>
      </c>
      <c r="AK1386" s="6">
        <f t="shared" si="171"/>
        <v>0.35667187500000003</v>
      </c>
      <c r="AL1386" s="12">
        <v>500</v>
      </c>
      <c r="AM1386" s="12">
        <v>750.95801541231447</v>
      </c>
      <c r="AN1386" s="12">
        <f t="shared" si="172"/>
        <v>250.95801541231447</v>
      </c>
      <c r="AO1386" s="13">
        <f t="shared" si="173"/>
        <v>0.50191603082462888</v>
      </c>
      <c r="AP1386" s="16">
        <v>500</v>
      </c>
      <c r="AQ1386" s="16">
        <v>586.94508958164465</v>
      </c>
      <c r="AR1386" s="16">
        <f t="shared" si="174"/>
        <v>86.945089581644652</v>
      </c>
      <c r="AS1386" s="17">
        <f t="shared" si="168"/>
        <v>0.1738901791632893</v>
      </c>
      <c r="AT1386" s="20">
        <v>500</v>
      </c>
      <c r="AU1386" s="20">
        <v>676.7608642578125</v>
      </c>
      <c r="AV1386" s="20">
        <f t="shared" si="169"/>
        <v>176.7608642578125</v>
      </c>
      <c r="AW1386" s="21">
        <f t="shared" si="175"/>
        <v>0.35352172851562502</v>
      </c>
    </row>
    <row r="1387" spans="1:49" x14ac:dyDescent="0.25">
      <c r="A1387" t="s">
        <v>38</v>
      </c>
      <c r="B1387" t="s">
        <v>96</v>
      </c>
      <c r="C1387">
        <v>127786</v>
      </c>
      <c r="D1387">
        <v>2016</v>
      </c>
      <c r="E1387" t="s">
        <v>97</v>
      </c>
      <c r="F1387" t="s">
        <v>154</v>
      </c>
      <c r="G1387" t="s">
        <v>155</v>
      </c>
      <c r="I1387">
        <v>6</v>
      </c>
      <c r="J1387" t="s">
        <v>106</v>
      </c>
      <c r="K1387">
        <v>4</v>
      </c>
      <c r="L1387" t="s">
        <v>44</v>
      </c>
      <c r="M1387">
        <v>3.6</v>
      </c>
      <c r="N1387" t="s">
        <v>73</v>
      </c>
      <c r="O1387" t="s">
        <v>46</v>
      </c>
      <c r="P1387">
        <v>3</v>
      </c>
      <c r="Q1387" t="s">
        <v>74</v>
      </c>
      <c r="R1387" t="s">
        <v>92</v>
      </c>
      <c r="S1387" t="s">
        <v>49</v>
      </c>
      <c r="U1387" t="s">
        <v>50</v>
      </c>
      <c r="W1387" t="s">
        <v>1363</v>
      </c>
      <c r="X1387" t="s">
        <v>141</v>
      </c>
      <c r="Y1387" t="s">
        <v>78</v>
      </c>
      <c r="AA1387">
        <v>0</v>
      </c>
      <c r="AB1387" t="s">
        <v>79</v>
      </c>
      <c r="AC1387" t="s">
        <v>95</v>
      </c>
      <c r="AD1387">
        <v>36</v>
      </c>
      <c r="AE1387">
        <v>9</v>
      </c>
      <c r="AF1387">
        <v>3</v>
      </c>
      <c r="AG1387">
        <v>2025</v>
      </c>
      <c r="AH1387" s="2">
        <v>8750</v>
      </c>
      <c r="AI1387" s="2">
        <v>9317.0751953125</v>
      </c>
      <c r="AJ1387" s="2">
        <f t="shared" si="170"/>
        <v>567.0751953125</v>
      </c>
      <c r="AK1387" s="6">
        <f t="shared" si="171"/>
        <v>6.4808593750000004E-2</v>
      </c>
      <c r="AL1387" s="12">
        <v>8750</v>
      </c>
      <c r="AM1387" s="12">
        <v>8635.4825141238107</v>
      </c>
      <c r="AN1387" s="12">
        <f t="shared" si="172"/>
        <v>114.51748587618931</v>
      </c>
      <c r="AO1387" s="13">
        <f t="shared" si="173"/>
        <v>1.3087712671564493E-2</v>
      </c>
      <c r="AP1387" s="16">
        <v>8750</v>
      </c>
      <c r="AQ1387" s="16">
        <v>8842.6252897588874</v>
      </c>
      <c r="AR1387" s="16">
        <f t="shared" si="174"/>
        <v>92.625289758887448</v>
      </c>
      <c r="AS1387" s="17">
        <f t="shared" si="168"/>
        <v>1.0585747401015708E-2</v>
      </c>
      <c r="AT1387" s="20">
        <v>8750</v>
      </c>
      <c r="AU1387" s="20">
        <v>9284.2265625</v>
      </c>
      <c r="AV1387" s="20">
        <f t="shared" si="169"/>
        <v>534.2265625</v>
      </c>
      <c r="AW1387" s="21">
        <f t="shared" si="175"/>
        <v>6.1054464285714288E-2</v>
      </c>
    </row>
    <row r="1388" spans="1:49" x14ac:dyDescent="0.25">
      <c r="A1388" t="s">
        <v>38</v>
      </c>
      <c r="B1388" t="s">
        <v>68</v>
      </c>
      <c r="C1388">
        <v>165384</v>
      </c>
      <c r="D1388">
        <v>2015</v>
      </c>
      <c r="E1388" t="s">
        <v>58</v>
      </c>
      <c r="F1388" t="s">
        <v>220</v>
      </c>
      <c r="G1388" t="s">
        <v>1364</v>
      </c>
      <c r="I1388">
        <v>6</v>
      </c>
      <c r="J1388" t="s">
        <v>735</v>
      </c>
      <c r="K1388">
        <v>4</v>
      </c>
      <c r="L1388" t="s">
        <v>44</v>
      </c>
      <c r="M1388">
        <v>3.3</v>
      </c>
      <c r="N1388" t="s">
        <v>44</v>
      </c>
      <c r="O1388" t="s">
        <v>46</v>
      </c>
      <c r="P1388">
        <v>2</v>
      </c>
      <c r="Q1388" t="s">
        <v>62</v>
      </c>
      <c r="R1388" t="s">
        <v>63</v>
      </c>
      <c r="S1388" t="s">
        <v>93</v>
      </c>
      <c r="V1388" t="s">
        <v>76</v>
      </c>
      <c r="W1388" t="s">
        <v>1365</v>
      </c>
      <c r="X1388" t="s">
        <v>141</v>
      </c>
      <c r="Y1388" t="s">
        <v>78</v>
      </c>
      <c r="AA1388">
        <v>0</v>
      </c>
      <c r="AB1388" t="s">
        <v>79</v>
      </c>
      <c r="AC1388" t="s">
        <v>87</v>
      </c>
      <c r="AD1388">
        <v>36</v>
      </c>
      <c r="AE1388">
        <v>9</v>
      </c>
      <c r="AF1388">
        <v>3</v>
      </c>
      <c r="AG1388">
        <v>2025</v>
      </c>
      <c r="AH1388" s="2">
        <v>1200</v>
      </c>
      <c r="AI1388" s="2">
        <v>2074.381591796875</v>
      </c>
      <c r="AJ1388" s="2">
        <f t="shared" si="170"/>
        <v>874.381591796875</v>
      </c>
      <c r="AK1388" s="6">
        <f t="shared" si="171"/>
        <v>0.72865132649739583</v>
      </c>
      <c r="AL1388" s="12">
        <v>1200</v>
      </c>
      <c r="AM1388" s="12">
        <v>2903.320277357137</v>
      </c>
      <c r="AN1388" s="12">
        <f t="shared" si="172"/>
        <v>1703.320277357137</v>
      </c>
      <c r="AO1388" s="13">
        <f t="shared" si="173"/>
        <v>1.4194335644642808</v>
      </c>
      <c r="AP1388" s="16">
        <v>1200</v>
      </c>
      <c r="AQ1388" s="16">
        <v>2069.1224781464898</v>
      </c>
      <c r="AR1388" s="16">
        <f t="shared" si="174"/>
        <v>869.12247814648981</v>
      </c>
      <c r="AS1388" s="17">
        <f t="shared" si="168"/>
        <v>0.72426873178874152</v>
      </c>
      <c r="AT1388" s="20">
        <v>1200</v>
      </c>
      <c r="AU1388" s="20">
        <v>2154.627197265625</v>
      </c>
      <c r="AV1388" s="20">
        <f t="shared" si="169"/>
        <v>954.627197265625</v>
      </c>
      <c r="AW1388" s="21">
        <f t="shared" si="175"/>
        <v>0.79552266438802088</v>
      </c>
    </row>
    <row r="1389" spans="1:49" x14ac:dyDescent="0.25">
      <c r="A1389" t="s">
        <v>38</v>
      </c>
      <c r="B1389" t="s">
        <v>39</v>
      </c>
      <c r="C1389">
        <v>132980</v>
      </c>
      <c r="D1389">
        <v>2022</v>
      </c>
      <c r="E1389" t="s">
        <v>166</v>
      </c>
      <c r="F1389" t="s">
        <v>628</v>
      </c>
      <c r="G1389" t="s">
        <v>248</v>
      </c>
      <c r="I1389">
        <v>4</v>
      </c>
      <c r="J1389" t="s">
        <v>72</v>
      </c>
      <c r="K1389">
        <v>4</v>
      </c>
      <c r="L1389" t="s">
        <v>44</v>
      </c>
      <c r="M1389">
        <v>1.5</v>
      </c>
      <c r="N1389" t="s">
        <v>45</v>
      </c>
      <c r="O1389" t="s">
        <v>46</v>
      </c>
      <c r="Q1389" t="s">
        <v>47</v>
      </c>
      <c r="R1389" t="s">
        <v>123</v>
      </c>
      <c r="S1389" t="s">
        <v>49</v>
      </c>
      <c r="T1389">
        <v>180</v>
      </c>
      <c r="U1389" t="s">
        <v>50</v>
      </c>
      <c r="V1389" t="s">
        <v>51</v>
      </c>
      <c r="W1389" t="s">
        <v>1366</v>
      </c>
      <c r="X1389" t="s">
        <v>65</v>
      </c>
      <c r="Y1389" t="s">
        <v>103</v>
      </c>
      <c r="AA1389">
        <v>0</v>
      </c>
      <c r="AB1389" t="s">
        <v>79</v>
      </c>
      <c r="AC1389" t="s">
        <v>127</v>
      </c>
      <c r="AD1389">
        <v>36</v>
      </c>
      <c r="AE1389">
        <v>9</v>
      </c>
      <c r="AF1389">
        <v>3</v>
      </c>
      <c r="AG1389">
        <v>2025</v>
      </c>
      <c r="AH1389" s="2">
        <v>15000</v>
      </c>
      <c r="AI1389" s="2">
        <v>13546.5224609375</v>
      </c>
      <c r="AJ1389" s="2">
        <f t="shared" si="170"/>
        <v>1453.4775390625</v>
      </c>
      <c r="AK1389" s="6">
        <f t="shared" si="171"/>
        <v>9.6898502604166672E-2</v>
      </c>
      <c r="AL1389" s="12">
        <v>15000</v>
      </c>
      <c r="AM1389" s="12">
        <v>15776.34958081349</v>
      </c>
      <c r="AN1389" s="12">
        <f t="shared" si="172"/>
        <v>776.34958081349032</v>
      </c>
      <c r="AO1389" s="13">
        <f t="shared" si="173"/>
        <v>5.1756638720899355E-2</v>
      </c>
      <c r="AP1389" s="16">
        <v>15000</v>
      </c>
      <c r="AQ1389" s="16">
        <v>12653.935020908701</v>
      </c>
      <c r="AR1389" s="16">
        <f t="shared" si="174"/>
        <v>2346.0649790912994</v>
      </c>
      <c r="AS1389" s="17">
        <f t="shared" si="168"/>
        <v>0.15640433193941997</v>
      </c>
      <c r="AT1389" s="20">
        <v>15000</v>
      </c>
      <c r="AU1389" s="20">
        <v>14004</v>
      </c>
      <c r="AV1389" s="20">
        <f t="shared" si="169"/>
        <v>996</v>
      </c>
      <c r="AW1389" s="21">
        <f t="shared" si="175"/>
        <v>6.6400000000000001E-2</v>
      </c>
    </row>
    <row r="1390" spans="1:49" x14ac:dyDescent="0.25">
      <c r="A1390" t="s">
        <v>38</v>
      </c>
      <c r="B1390" t="s">
        <v>110</v>
      </c>
      <c r="C1390">
        <v>299999</v>
      </c>
      <c r="D1390">
        <v>2004</v>
      </c>
      <c r="E1390" t="s">
        <v>40</v>
      </c>
      <c r="F1390" t="s">
        <v>201</v>
      </c>
      <c r="G1390" t="s">
        <v>1367</v>
      </c>
      <c r="H1390" t="s">
        <v>376</v>
      </c>
      <c r="I1390">
        <v>4</v>
      </c>
      <c r="J1390" t="s">
        <v>72</v>
      </c>
      <c r="K1390">
        <v>4</v>
      </c>
      <c r="L1390" t="s">
        <v>44</v>
      </c>
      <c r="M1390">
        <v>1.8</v>
      </c>
      <c r="N1390" t="s">
        <v>45</v>
      </c>
      <c r="Q1390" t="s">
        <v>47</v>
      </c>
      <c r="R1390" t="s">
        <v>123</v>
      </c>
      <c r="S1390" t="s">
        <v>49</v>
      </c>
      <c r="T1390">
        <v>130</v>
      </c>
      <c r="U1390" t="s">
        <v>50</v>
      </c>
      <c r="V1390" t="s">
        <v>51</v>
      </c>
      <c r="W1390" t="s">
        <v>377</v>
      </c>
      <c r="X1390" t="s">
        <v>125</v>
      </c>
      <c r="Y1390" t="s">
        <v>54</v>
      </c>
      <c r="AA1390">
        <v>0</v>
      </c>
      <c r="AB1390" t="s">
        <v>79</v>
      </c>
      <c r="AC1390" t="s">
        <v>127</v>
      </c>
      <c r="AD1390">
        <v>36</v>
      </c>
      <c r="AE1390">
        <v>9</v>
      </c>
      <c r="AF1390">
        <v>3</v>
      </c>
      <c r="AG1390">
        <v>2025</v>
      </c>
      <c r="AH1390" s="2">
        <v>1600</v>
      </c>
      <c r="AI1390" s="2">
        <v>691.22515869140625</v>
      </c>
      <c r="AJ1390" s="2">
        <f t="shared" si="170"/>
        <v>908.77484130859375</v>
      </c>
      <c r="AK1390" s="6">
        <f t="shared" si="171"/>
        <v>0.56798427581787114</v>
      </c>
      <c r="AL1390" s="12">
        <v>1600</v>
      </c>
      <c r="AM1390" s="12">
        <v>686.06319863943918</v>
      </c>
      <c r="AN1390" s="12">
        <f t="shared" si="172"/>
        <v>913.93680136056082</v>
      </c>
      <c r="AO1390" s="13">
        <f t="shared" si="173"/>
        <v>0.57121050085035052</v>
      </c>
      <c r="AP1390" s="16">
        <v>1600</v>
      </c>
      <c r="AQ1390" s="16">
        <v>660.74934122387674</v>
      </c>
      <c r="AR1390" s="16">
        <f t="shared" si="174"/>
        <v>939.25065877612326</v>
      </c>
      <c r="AS1390" s="17">
        <f t="shared" si="168"/>
        <v>0.58703166173507704</v>
      </c>
      <c r="AT1390" s="20">
        <v>1600</v>
      </c>
      <c r="AU1390" s="20">
        <v>648.20440673828125</v>
      </c>
      <c r="AV1390" s="20">
        <f t="shared" si="169"/>
        <v>951.79559326171875</v>
      </c>
      <c r="AW1390" s="21">
        <f t="shared" si="175"/>
        <v>0.59487224578857423</v>
      </c>
    </row>
    <row r="1391" spans="1:49" x14ac:dyDescent="0.25">
      <c r="A1391" t="s">
        <v>38</v>
      </c>
      <c r="B1391" t="s">
        <v>96</v>
      </c>
      <c r="C1391">
        <v>263170</v>
      </c>
      <c r="D1391">
        <v>2008</v>
      </c>
      <c r="E1391" t="s">
        <v>40</v>
      </c>
      <c r="F1391" t="s">
        <v>149</v>
      </c>
      <c r="G1391" t="s">
        <v>1368</v>
      </c>
      <c r="H1391" t="s">
        <v>1369</v>
      </c>
      <c r="I1391">
        <v>6</v>
      </c>
      <c r="J1391" t="s">
        <v>61</v>
      </c>
      <c r="K1391">
        <v>4</v>
      </c>
      <c r="L1391" t="s">
        <v>44</v>
      </c>
      <c r="M1391">
        <v>4</v>
      </c>
      <c r="N1391" t="s">
        <v>73</v>
      </c>
      <c r="O1391" t="s">
        <v>46</v>
      </c>
      <c r="Q1391" t="s">
        <v>74</v>
      </c>
      <c r="R1391" t="s">
        <v>92</v>
      </c>
      <c r="S1391" t="s">
        <v>49</v>
      </c>
      <c r="T1391">
        <v>236</v>
      </c>
      <c r="U1391" t="s">
        <v>50</v>
      </c>
      <c r="V1391" t="s">
        <v>76</v>
      </c>
      <c r="W1391" t="s">
        <v>185</v>
      </c>
      <c r="X1391" t="s">
        <v>125</v>
      </c>
      <c r="Y1391" t="s">
        <v>126</v>
      </c>
      <c r="AA1391">
        <v>0</v>
      </c>
      <c r="AB1391" t="s">
        <v>79</v>
      </c>
      <c r="AC1391" t="s">
        <v>95</v>
      </c>
      <c r="AD1391">
        <v>36</v>
      </c>
      <c r="AE1391">
        <v>9</v>
      </c>
      <c r="AF1391">
        <v>3</v>
      </c>
      <c r="AG1391">
        <v>2025</v>
      </c>
      <c r="AH1391" s="2">
        <v>7400</v>
      </c>
      <c r="AI1391" s="2">
        <v>5182.36767578125</v>
      </c>
      <c r="AJ1391" s="2">
        <f t="shared" si="170"/>
        <v>2217.63232421875</v>
      </c>
      <c r="AK1391" s="6">
        <f t="shared" si="171"/>
        <v>0.29968004381334462</v>
      </c>
      <c r="AL1391" s="12">
        <v>7400</v>
      </c>
      <c r="AM1391" s="12">
        <v>4817.7429701456249</v>
      </c>
      <c r="AN1391" s="12">
        <f t="shared" si="172"/>
        <v>2582.2570298543751</v>
      </c>
      <c r="AO1391" s="13">
        <f t="shared" si="173"/>
        <v>0.34895365268302364</v>
      </c>
      <c r="AP1391" s="16">
        <v>7400</v>
      </c>
      <c r="AQ1391" s="16">
        <v>3571.41354433778</v>
      </c>
      <c r="AR1391" s="16">
        <f t="shared" si="174"/>
        <v>3828.58645566222</v>
      </c>
      <c r="AS1391" s="17">
        <f t="shared" si="168"/>
        <v>0.51737654806246214</v>
      </c>
      <c r="AT1391" s="20">
        <v>7400</v>
      </c>
      <c r="AU1391" s="20">
        <v>5217.947265625</v>
      </c>
      <c r="AV1391" s="20">
        <f t="shared" si="169"/>
        <v>2182.052734375</v>
      </c>
      <c r="AW1391" s="21">
        <f t="shared" si="175"/>
        <v>0.29487199113175677</v>
      </c>
    </row>
    <row r="1392" spans="1:49" x14ac:dyDescent="0.25">
      <c r="A1392" t="s">
        <v>128</v>
      </c>
      <c r="B1392" t="s">
        <v>129</v>
      </c>
      <c r="C1392">
        <v>145839</v>
      </c>
      <c r="D1392">
        <v>2017</v>
      </c>
      <c r="E1392" t="s">
        <v>146</v>
      </c>
      <c r="F1392" t="s">
        <v>334</v>
      </c>
      <c r="I1392">
        <v>4</v>
      </c>
      <c r="J1392" t="s">
        <v>135</v>
      </c>
      <c r="K1392">
        <v>4</v>
      </c>
      <c r="L1392" t="s">
        <v>44</v>
      </c>
      <c r="M1392">
        <v>2.5</v>
      </c>
      <c r="N1392" t="s">
        <v>45</v>
      </c>
      <c r="O1392" t="s">
        <v>46</v>
      </c>
      <c r="P1392">
        <v>1</v>
      </c>
      <c r="Q1392" t="s">
        <v>47</v>
      </c>
      <c r="R1392" t="s">
        <v>123</v>
      </c>
      <c r="S1392" t="s">
        <v>49</v>
      </c>
      <c r="U1392" t="s">
        <v>50</v>
      </c>
      <c r="V1392" t="s">
        <v>51</v>
      </c>
      <c r="X1392" t="s">
        <v>125</v>
      </c>
      <c r="Y1392" t="s">
        <v>78</v>
      </c>
      <c r="AA1392">
        <v>0</v>
      </c>
      <c r="AB1392" t="s">
        <v>79</v>
      </c>
      <c r="AC1392" t="s">
        <v>127</v>
      </c>
      <c r="AD1392">
        <v>36</v>
      </c>
      <c r="AE1392">
        <v>9</v>
      </c>
      <c r="AF1392">
        <v>3</v>
      </c>
      <c r="AG1392">
        <v>2025</v>
      </c>
      <c r="AH1392" s="2">
        <v>1600</v>
      </c>
      <c r="AI1392" s="2">
        <v>1822.040893554688</v>
      </c>
      <c r="AJ1392" s="2">
        <f t="shared" si="170"/>
        <v>222.04089355468795</v>
      </c>
      <c r="AK1392" s="6">
        <f t="shared" si="171"/>
        <v>0.13877555847167997</v>
      </c>
      <c r="AL1392" s="12">
        <v>1600</v>
      </c>
      <c r="AM1392" s="12">
        <v>1950.322880858811</v>
      </c>
      <c r="AN1392" s="12">
        <f t="shared" si="172"/>
        <v>350.322880858811</v>
      </c>
      <c r="AO1392" s="13">
        <f t="shared" si="173"/>
        <v>0.21895180053675689</v>
      </c>
      <c r="AP1392" s="16">
        <v>1600</v>
      </c>
      <c r="AQ1392" s="16">
        <v>1761.4757895990699</v>
      </c>
      <c r="AR1392" s="16">
        <f t="shared" si="174"/>
        <v>161.47578959906991</v>
      </c>
      <c r="AS1392" s="17">
        <f t="shared" si="168"/>
        <v>0.1009223684994187</v>
      </c>
      <c r="AT1392" s="20">
        <v>1600</v>
      </c>
      <c r="AU1392" s="20">
        <v>1845.017333984375</v>
      </c>
      <c r="AV1392" s="20">
        <f t="shared" si="169"/>
        <v>245.017333984375</v>
      </c>
      <c r="AW1392" s="21">
        <f t="shared" si="175"/>
        <v>0.15313583374023437</v>
      </c>
    </row>
    <row r="1393" spans="1:49" x14ac:dyDescent="0.25">
      <c r="A1393" t="s">
        <v>38</v>
      </c>
      <c r="B1393" t="s">
        <v>96</v>
      </c>
      <c r="C1393">
        <v>44666</v>
      </c>
      <c r="D1393">
        <v>2019</v>
      </c>
      <c r="E1393" t="s">
        <v>97</v>
      </c>
      <c r="F1393" t="s">
        <v>159</v>
      </c>
      <c r="G1393" t="s">
        <v>155</v>
      </c>
      <c r="H1393" t="s">
        <v>89</v>
      </c>
      <c r="I1393">
        <v>4</v>
      </c>
      <c r="J1393" t="s">
        <v>135</v>
      </c>
      <c r="K1393">
        <v>4</v>
      </c>
      <c r="L1393" t="s">
        <v>44</v>
      </c>
      <c r="M1393">
        <v>2.7</v>
      </c>
      <c r="N1393" t="s">
        <v>73</v>
      </c>
      <c r="O1393" t="s">
        <v>46</v>
      </c>
      <c r="Q1393" t="s">
        <v>74</v>
      </c>
      <c r="R1393" t="s">
        <v>92</v>
      </c>
      <c r="S1393" t="s">
        <v>49</v>
      </c>
      <c r="U1393" t="s">
        <v>50</v>
      </c>
      <c r="V1393" t="s">
        <v>51</v>
      </c>
      <c r="W1393" t="s">
        <v>993</v>
      </c>
      <c r="X1393" t="s">
        <v>94</v>
      </c>
      <c r="Y1393" t="s">
        <v>126</v>
      </c>
      <c r="Z1393">
        <v>40895</v>
      </c>
      <c r="AA1393">
        <v>0</v>
      </c>
      <c r="AB1393" t="s">
        <v>79</v>
      </c>
      <c r="AC1393" t="s">
        <v>95</v>
      </c>
      <c r="AD1393">
        <v>36</v>
      </c>
      <c r="AE1393">
        <v>9</v>
      </c>
      <c r="AF1393">
        <v>3</v>
      </c>
      <c r="AG1393">
        <v>2025</v>
      </c>
      <c r="AH1393" s="2">
        <v>23800</v>
      </c>
      <c r="AI1393" s="2">
        <v>24878.642578125</v>
      </c>
      <c r="AJ1393" s="2">
        <f t="shared" si="170"/>
        <v>1078.642578125</v>
      </c>
      <c r="AK1393" s="6">
        <f t="shared" si="171"/>
        <v>4.5321116727941174E-2</v>
      </c>
      <c r="AL1393" s="12">
        <v>23800</v>
      </c>
      <c r="AM1393" s="12">
        <v>22093.560088221471</v>
      </c>
      <c r="AN1393" s="12">
        <f t="shared" si="172"/>
        <v>1706.4399117785288</v>
      </c>
      <c r="AO1393" s="13">
        <f t="shared" si="173"/>
        <v>7.169915595708104E-2</v>
      </c>
      <c r="AP1393" s="16">
        <v>23800</v>
      </c>
      <c r="AQ1393" s="16">
        <v>23051.863507248039</v>
      </c>
      <c r="AR1393" s="16">
        <f t="shared" si="174"/>
        <v>748.13649275196076</v>
      </c>
      <c r="AS1393" s="17">
        <f t="shared" si="168"/>
        <v>3.1434306418149614E-2</v>
      </c>
      <c r="AT1393" s="20">
        <v>23800</v>
      </c>
      <c r="AU1393" s="20">
        <v>24273.00390625</v>
      </c>
      <c r="AV1393" s="20">
        <f t="shared" si="169"/>
        <v>473.00390625</v>
      </c>
      <c r="AW1393" s="21">
        <f t="shared" si="175"/>
        <v>1.9874113707983192E-2</v>
      </c>
    </row>
    <row r="1394" spans="1:49" x14ac:dyDescent="0.25">
      <c r="A1394" t="s">
        <v>38</v>
      </c>
      <c r="B1394" t="s">
        <v>1018</v>
      </c>
      <c r="C1394">
        <v>199927</v>
      </c>
      <c r="D1394">
        <v>2014</v>
      </c>
      <c r="E1394" t="s">
        <v>97</v>
      </c>
      <c r="F1394" t="s">
        <v>171</v>
      </c>
      <c r="H1394" t="s">
        <v>172</v>
      </c>
      <c r="I1394">
        <v>8</v>
      </c>
      <c r="J1394" t="s">
        <v>72</v>
      </c>
      <c r="K1394">
        <v>3</v>
      </c>
      <c r="L1394" t="s">
        <v>44</v>
      </c>
      <c r="M1394">
        <v>4.8</v>
      </c>
      <c r="N1394" t="s">
        <v>73</v>
      </c>
      <c r="O1394" t="s">
        <v>46</v>
      </c>
      <c r="P1394">
        <v>2</v>
      </c>
      <c r="Q1394" t="s">
        <v>74</v>
      </c>
      <c r="R1394" t="s">
        <v>75</v>
      </c>
      <c r="S1394" t="s">
        <v>49</v>
      </c>
      <c r="U1394" t="s">
        <v>50</v>
      </c>
      <c r="W1394" t="s">
        <v>1370</v>
      </c>
      <c r="X1394" t="s">
        <v>77</v>
      </c>
      <c r="Y1394" t="s">
        <v>78</v>
      </c>
      <c r="AA1394">
        <v>0</v>
      </c>
      <c r="AB1394" t="s">
        <v>79</v>
      </c>
      <c r="AC1394" t="s">
        <v>80</v>
      </c>
      <c r="AD1394">
        <v>36</v>
      </c>
      <c r="AE1394">
        <v>9</v>
      </c>
      <c r="AF1394">
        <v>3</v>
      </c>
      <c r="AG1394">
        <v>2025</v>
      </c>
      <c r="AH1394" s="2">
        <v>3900</v>
      </c>
      <c r="AI1394" s="2">
        <v>3172.79736328125</v>
      </c>
      <c r="AJ1394" s="2">
        <f t="shared" si="170"/>
        <v>727.20263671875</v>
      </c>
      <c r="AK1394" s="6">
        <f t="shared" si="171"/>
        <v>0.18646221454326922</v>
      </c>
      <c r="AL1394" s="12">
        <v>3900</v>
      </c>
      <c r="AM1394" s="12">
        <v>3452.371776552046</v>
      </c>
      <c r="AN1394" s="12">
        <f t="shared" si="172"/>
        <v>447.62822344795404</v>
      </c>
      <c r="AO1394" s="13">
        <f t="shared" si="173"/>
        <v>0.11477646755075745</v>
      </c>
      <c r="AP1394" s="16">
        <v>3900</v>
      </c>
      <c r="AQ1394" s="16">
        <v>2915.8468199955141</v>
      </c>
      <c r="AR1394" s="16">
        <f t="shared" si="174"/>
        <v>984.15318000448588</v>
      </c>
      <c r="AS1394" s="17">
        <f t="shared" si="168"/>
        <v>0.25234696923191946</v>
      </c>
      <c r="AT1394" s="20">
        <v>3900</v>
      </c>
      <c r="AU1394" s="20">
        <v>3246.918701171875</v>
      </c>
      <c r="AV1394" s="20">
        <f t="shared" si="169"/>
        <v>653.081298828125</v>
      </c>
      <c r="AW1394" s="21">
        <f t="shared" si="175"/>
        <v>0.16745674328926283</v>
      </c>
    </row>
    <row r="1395" spans="1:49" x14ac:dyDescent="0.25">
      <c r="A1395" t="s">
        <v>38</v>
      </c>
      <c r="B1395" t="s">
        <v>39</v>
      </c>
      <c r="C1395">
        <v>181977</v>
      </c>
      <c r="D1395">
        <v>2014</v>
      </c>
      <c r="E1395" t="s">
        <v>97</v>
      </c>
      <c r="F1395" t="s">
        <v>159</v>
      </c>
      <c r="G1395" t="s">
        <v>155</v>
      </c>
      <c r="H1395" t="s">
        <v>89</v>
      </c>
      <c r="I1395">
        <v>8</v>
      </c>
      <c r="J1395" t="s">
        <v>106</v>
      </c>
      <c r="K1395">
        <v>4</v>
      </c>
      <c r="L1395" t="s">
        <v>44</v>
      </c>
      <c r="M1395">
        <v>5.3</v>
      </c>
      <c r="N1395" t="s">
        <v>73</v>
      </c>
      <c r="O1395" t="s">
        <v>46</v>
      </c>
      <c r="Q1395" t="s">
        <v>74</v>
      </c>
      <c r="R1395" t="s">
        <v>92</v>
      </c>
      <c r="S1395" t="s">
        <v>49</v>
      </c>
      <c r="U1395" t="s">
        <v>50</v>
      </c>
      <c r="W1395" t="s">
        <v>712</v>
      </c>
      <c r="X1395" t="s">
        <v>94</v>
      </c>
      <c r="Y1395" t="s">
        <v>126</v>
      </c>
      <c r="AA1395">
        <v>0</v>
      </c>
      <c r="AB1395" t="s">
        <v>79</v>
      </c>
      <c r="AC1395" t="s">
        <v>95</v>
      </c>
      <c r="AD1395">
        <v>36</v>
      </c>
      <c r="AE1395">
        <v>9</v>
      </c>
      <c r="AF1395">
        <v>3</v>
      </c>
      <c r="AG1395">
        <v>2025</v>
      </c>
      <c r="AH1395" s="2">
        <v>8700</v>
      </c>
      <c r="AI1395" s="2">
        <v>7995.43115234375</v>
      </c>
      <c r="AJ1395" s="2">
        <f t="shared" si="170"/>
        <v>704.56884765625</v>
      </c>
      <c r="AK1395" s="6">
        <f t="shared" si="171"/>
        <v>8.0984925017959772E-2</v>
      </c>
      <c r="AL1395" s="12">
        <v>8700</v>
      </c>
      <c r="AM1395" s="12">
        <v>7449.339567635714</v>
      </c>
      <c r="AN1395" s="12">
        <f t="shared" si="172"/>
        <v>1250.660432364286</v>
      </c>
      <c r="AO1395" s="13">
        <f t="shared" si="173"/>
        <v>0.1437540726855501</v>
      </c>
      <c r="AP1395" s="16">
        <v>8700</v>
      </c>
      <c r="AQ1395" s="16">
        <v>7492.188067085066</v>
      </c>
      <c r="AR1395" s="16">
        <f t="shared" si="174"/>
        <v>1207.811932914934</v>
      </c>
      <c r="AS1395" s="17">
        <f t="shared" si="168"/>
        <v>0.13882895780631424</v>
      </c>
      <c r="AT1395" s="20">
        <v>8700</v>
      </c>
      <c r="AU1395" s="20">
        <v>8035.4990234375</v>
      </c>
      <c r="AV1395" s="20">
        <f t="shared" si="169"/>
        <v>664.5009765625</v>
      </c>
      <c r="AW1395" s="21">
        <f t="shared" si="175"/>
        <v>7.6379422593390811E-2</v>
      </c>
    </row>
    <row r="1396" spans="1:49" x14ac:dyDescent="0.25">
      <c r="A1396" t="s">
        <v>128</v>
      </c>
      <c r="B1396" t="s">
        <v>129</v>
      </c>
      <c r="C1396">
        <v>131088</v>
      </c>
      <c r="D1396">
        <v>2011</v>
      </c>
      <c r="E1396" t="s">
        <v>305</v>
      </c>
      <c r="F1396" t="s">
        <v>703</v>
      </c>
      <c r="I1396">
        <v>6</v>
      </c>
      <c r="J1396" t="s">
        <v>72</v>
      </c>
      <c r="K1396">
        <v>4</v>
      </c>
      <c r="L1396" t="s">
        <v>44</v>
      </c>
      <c r="M1396">
        <v>3.7</v>
      </c>
      <c r="N1396" t="s">
        <v>45</v>
      </c>
      <c r="Q1396" t="s">
        <v>62</v>
      </c>
      <c r="R1396" t="s">
        <v>63</v>
      </c>
      <c r="S1396" t="s">
        <v>101</v>
      </c>
      <c r="T1396">
        <v>305</v>
      </c>
      <c r="U1396" t="s">
        <v>50</v>
      </c>
      <c r="X1396" t="s">
        <v>141</v>
      </c>
      <c r="Y1396" t="s">
        <v>103</v>
      </c>
      <c r="AA1396">
        <v>0</v>
      </c>
      <c r="AB1396" t="s">
        <v>79</v>
      </c>
      <c r="AC1396" t="s">
        <v>87</v>
      </c>
      <c r="AD1396">
        <v>36</v>
      </c>
      <c r="AE1396">
        <v>9</v>
      </c>
      <c r="AF1396">
        <v>3</v>
      </c>
      <c r="AG1396">
        <v>2025</v>
      </c>
      <c r="AH1396" s="2">
        <v>5000</v>
      </c>
      <c r="AI1396" s="2">
        <v>2628.038330078125</v>
      </c>
      <c r="AJ1396" s="2">
        <f t="shared" si="170"/>
        <v>2371.961669921875</v>
      </c>
      <c r="AK1396" s="6">
        <f t="shared" si="171"/>
        <v>0.47439233398437503</v>
      </c>
      <c r="AL1396" s="12">
        <v>5000</v>
      </c>
      <c r="AM1396" s="12">
        <v>2752.9959159102391</v>
      </c>
      <c r="AN1396" s="12">
        <f t="shared" si="172"/>
        <v>2247.0040840897609</v>
      </c>
      <c r="AO1396" s="13">
        <f t="shared" si="173"/>
        <v>0.44940081681795219</v>
      </c>
      <c r="AP1396" s="16">
        <v>5000</v>
      </c>
      <c r="AQ1396" s="16">
        <v>2579.6801472001689</v>
      </c>
      <c r="AR1396" s="16">
        <f t="shared" si="174"/>
        <v>2420.3198527998311</v>
      </c>
      <c r="AS1396" s="17">
        <f t="shared" si="168"/>
        <v>0.48406397055996619</v>
      </c>
      <c r="AT1396" s="20">
        <v>5000</v>
      </c>
      <c r="AU1396" s="20">
        <v>2650.208984375</v>
      </c>
      <c r="AV1396" s="20">
        <f t="shared" si="169"/>
        <v>2349.791015625</v>
      </c>
      <c r="AW1396" s="21">
        <f t="shared" si="175"/>
        <v>0.46995820312499997</v>
      </c>
    </row>
    <row r="1397" spans="1:49" x14ac:dyDescent="0.25">
      <c r="A1397" t="s">
        <v>114</v>
      </c>
      <c r="B1397" t="s">
        <v>340</v>
      </c>
      <c r="C1397">
        <v>139590</v>
      </c>
      <c r="D1397">
        <v>2003</v>
      </c>
      <c r="E1397" t="s">
        <v>174</v>
      </c>
      <c r="F1397" t="s">
        <v>1371</v>
      </c>
      <c r="H1397" t="s">
        <v>1372</v>
      </c>
      <c r="I1397">
        <v>8</v>
      </c>
      <c r="J1397" t="s">
        <v>72</v>
      </c>
      <c r="K1397">
        <v>2</v>
      </c>
      <c r="L1397" t="s">
        <v>44</v>
      </c>
      <c r="M1397">
        <v>6.6</v>
      </c>
      <c r="N1397" t="s">
        <v>73</v>
      </c>
      <c r="O1397" t="s">
        <v>46</v>
      </c>
      <c r="P1397">
        <v>3</v>
      </c>
      <c r="Q1397" t="s">
        <v>477</v>
      </c>
      <c r="R1397" t="s">
        <v>935</v>
      </c>
      <c r="S1397" t="s">
        <v>49</v>
      </c>
      <c r="U1397" t="s">
        <v>229</v>
      </c>
      <c r="V1397" t="s">
        <v>76</v>
      </c>
      <c r="X1397" t="s">
        <v>1373</v>
      </c>
      <c r="Y1397" t="s">
        <v>78</v>
      </c>
      <c r="AA1397">
        <v>0</v>
      </c>
      <c r="AB1397" t="s">
        <v>79</v>
      </c>
      <c r="AC1397" t="s">
        <v>1333</v>
      </c>
      <c r="AD1397">
        <v>36</v>
      </c>
      <c r="AE1397">
        <v>9</v>
      </c>
      <c r="AF1397">
        <v>3</v>
      </c>
      <c r="AG1397">
        <v>2025</v>
      </c>
      <c r="AH1397" s="2">
        <v>2600</v>
      </c>
      <c r="AI1397" s="2">
        <v>3299.0634765625</v>
      </c>
      <c r="AJ1397" s="2">
        <f t="shared" si="170"/>
        <v>699.0634765625</v>
      </c>
      <c r="AK1397" s="6">
        <f t="shared" si="171"/>
        <v>0.26887056790865382</v>
      </c>
      <c r="AL1397" s="12">
        <v>2600</v>
      </c>
      <c r="AM1397" s="12">
        <v>2464.8174746546438</v>
      </c>
      <c r="AN1397" s="12">
        <f t="shared" si="172"/>
        <v>135.18252534535623</v>
      </c>
      <c r="AO1397" s="13">
        <f t="shared" si="173"/>
        <v>5.1993278978983162E-2</v>
      </c>
      <c r="AP1397" s="16">
        <v>2600</v>
      </c>
      <c r="AQ1397" s="16">
        <v>3222.4241055348321</v>
      </c>
      <c r="AR1397" s="16">
        <f t="shared" si="174"/>
        <v>622.42410553483205</v>
      </c>
      <c r="AS1397" s="17">
        <f t="shared" si="168"/>
        <v>0.23939388674416617</v>
      </c>
      <c r="AT1397" s="20">
        <v>2600</v>
      </c>
      <c r="AU1397" s="20">
        <v>3198.220703125</v>
      </c>
      <c r="AV1397" s="20">
        <f t="shared" si="169"/>
        <v>598.220703125</v>
      </c>
      <c r="AW1397" s="21">
        <f t="shared" si="175"/>
        <v>0.23008488581730768</v>
      </c>
    </row>
    <row r="1398" spans="1:49" x14ac:dyDescent="0.25">
      <c r="A1398" t="s">
        <v>128</v>
      </c>
      <c r="B1398" t="s">
        <v>129</v>
      </c>
      <c r="C1398">
        <v>129659</v>
      </c>
      <c r="D1398">
        <v>2018</v>
      </c>
      <c r="E1398" t="s">
        <v>174</v>
      </c>
      <c r="F1398" t="s">
        <v>645</v>
      </c>
      <c r="H1398" t="s">
        <v>1374</v>
      </c>
      <c r="I1398">
        <v>6</v>
      </c>
      <c r="J1398" t="s">
        <v>43</v>
      </c>
      <c r="K1398">
        <v>4</v>
      </c>
      <c r="L1398" t="s">
        <v>44</v>
      </c>
      <c r="M1398">
        <v>3.6</v>
      </c>
      <c r="N1398" t="s">
        <v>44</v>
      </c>
      <c r="Q1398" t="s">
        <v>62</v>
      </c>
      <c r="R1398" t="s">
        <v>63</v>
      </c>
      <c r="S1398" t="s">
        <v>85</v>
      </c>
      <c r="U1398" t="s">
        <v>50</v>
      </c>
      <c r="V1398" t="s">
        <v>76</v>
      </c>
      <c r="W1398" t="s">
        <v>646</v>
      </c>
      <c r="X1398" t="s">
        <v>94</v>
      </c>
      <c r="Y1398" t="s">
        <v>78</v>
      </c>
      <c r="Z1398">
        <v>45100</v>
      </c>
      <c r="AA1398">
        <v>0</v>
      </c>
      <c r="AB1398" t="s">
        <v>79</v>
      </c>
      <c r="AC1398" t="s">
        <v>109</v>
      </c>
      <c r="AD1398">
        <v>36</v>
      </c>
      <c r="AE1398">
        <v>9</v>
      </c>
      <c r="AF1398">
        <v>3</v>
      </c>
      <c r="AG1398">
        <v>2025</v>
      </c>
      <c r="AH1398" s="2">
        <v>10500</v>
      </c>
      <c r="AI1398" s="2">
        <v>10831.26171875</v>
      </c>
      <c r="AJ1398" s="2">
        <f t="shared" si="170"/>
        <v>331.26171875</v>
      </c>
      <c r="AK1398" s="6">
        <f t="shared" si="171"/>
        <v>3.154873511904762E-2</v>
      </c>
      <c r="AL1398" s="12">
        <v>10500</v>
      </c>
      <c r="AM1398" s="12">
        <v>9538.2420015211355</v>
      </c>
      <c r="AN1398" s="12">
        <f t="shared" si="172"/>
        <v>961.75799847886447</v>
      </c>
      <c r="AO1398" s="13">
        <f t="shared" si="173"/>
        <v>9.159599985512995E-2</v>
      </c>
      <c r="AP1398" s="16">
        <v>10500</v>
      </c>
      <c r="AQ1398" s="16">
        <v>9037.0606665906416</v>
      </c>
      <c r="AR1398" s="16">
        <f t="shared" si="174"/>
        <v>1462.9393334093584</v>
      </c>
      <c r="AS1398" s="17">
        <f t="shared" si="168"/>
        <v>0.13932755556279602</v>
      </c>
      <c r="AT1398" s="20">
        <v>10500</v>
      </c>
      <c r="AU1398" s="20">
        <v>10651.755859375</v>
      </c>
      <c r="AV1398" s="20">
        <f t="shared" si="169"/>
        <v>151.755859375</v>
      </c>
      <c r="AW1398" s="21">
        <f t="shared" si="175"/>
        <v>1.4452938988095238E-2</v>
      </c>
    </row>
    <row r="1399" spans="1:49" x14ac:dyDescent="0.25">
      <c r="A1399" t="s">
        <v>38</v>
      </c>
      <c r="B1399" t="s">
        <v>110</v>
      </c>
      <c r="C1399">
        <v>152840</v>
      </c>
      <c r="D1399">
        <v>2016</v>
      </c>
      <c r="E1399" t="s">
        <v>58</v>
      </c>
      <c r="F1399" t="s">
        <v>391</v>
      </c>
      <c r="G1399" t="s">
        <v>1375</v>
      </c>
      <c r="I1399">
        <v>4</v>
      </c>
      <c r="J1399" t="s">
        <v>72</v>
      </c>
      <c r="K1399">
        <v>4</v>
      </c>
      <c r="L1399" t="s">
        <v>44</v>
      </c>
      <c r="M1399">
        <v>2.4</v>
      </c>
      <c r="N1399" t="s">
        <v>45</v>
      </c>
      <c r="Q1399" t="s">
        <v>47</v>
      </c>
      <c r="R1399" t="s">
        <v>123</v>
      </c>
      <c r="U1399" t="s">
        <v>50</v>
      </c>
      <c r="W1399" t="s">
        <v>732</v>
      </c>
      <c r="X1399" t="s">
        <v>125</v>
      </c>
      <c r="Y1399" t="s">
        <v>78</v>
      </c>
      <c r="AA1399">
        <v>0</v>
      </c>
      <c r="AB1399" t="s">
        <v>79</v>
      </c>
      <c r="AC1399" t="s">
        <v>127</v>
      </c>
      <c r="AD1399">
        <v>36</v>
      </c>
      <c r="AE1399">
        <v>9</v>
      </c>
      <c r="AF1399">
        <v>3</v>
      </c>
      <c r="AG1399">
        <v>2025</v>
      </c>
      <c r="AH1399" s="2">
        <v>2600</v>
      </c>
      <c r="AI1399" s="2">
        <v>2758.927734375</v>
      </c>
      <c r="AJ1399" s="2">
        <f t="shared" si="170"/>
        <v>158.927734375</v>
      </c>
      <c r="AK1399" s="6">
        <f t="shared" si="171"/>
        <v>6.1126051682692306E-2</v>
      </c>
      <c r="AL1399" s="12">
        <v>2600</v>
      </c>
      <c r="AM1399" s="12">
        <v>2474.1062634199338</v>
      </c>
      <c r="AN1399" s="12">
        <f t="shared" si="172"/>
        <v>125.89373658006616</v>
      </c>
      <c r="AO1399" s="13">
        <f t="shared" si="173"/>
        <v>4.8420667915410061E-2</v>
      </c>
      <c r="AP1399" s="16">
        <v>2600</v>
      </c>
      <c r="AQ1399" s="16">
        <v>2220.765581070149</v>
      </c>
      <c r="AR1399" s="16">
        <f t="shared" si="174"/>
        <v>379.23441892985102</v>
      </c>
      <c r="AS1399" s="17">
        <f t="shared" si="168"/>
        <v>0.14585939189609654</v>
      </c>
      <c r="AT1399" s="20">
        <v>2600</v>
      </c>
      <c r="AU1399" s="20">
        <v>2771.27880859375</v>
      </c>
      <c r="AV1399" s="20">
        <f t="shared" si="169"/>
        <v>171.27880859375</v>
      </c>
      <c r="AW1399" s="21">
        <f t="shared" si="175"/>
        <v>6.5876464843749996E-2</v>
      </c>
    </row>
    <row r="1400" spans="1:49" x14ac:dyDescent="0.25">
      <c r="A1400" t="s">
        <v>114</v>
      </c>
      <c r="B1400" t="s">
        <v>115</v>
      </c>
      <c r="C1400">
        <v>152950</v>
      </c>
      <c r="D1400">
        <v>2014</v>
      </c>
      <c r="E1400" t="s">
        <v>146</v>
      </c>
      <c r="F1400" t="s">
        <v>302</v>
      </c>
      <c r="I1400">
        <v>6</v>
      </c>
      <c r="J1400" t="s">
        <v>43</v>
      </c>
      <c r="K1400">
        <v>4</v>
      </c>
      <c r="L1400" t="s">
        <v>44</v>
      </c>
      <c r="M1400">
        <v>3.5</v>
      </c>
      <c r="N1400" t="s">
        <v>91</v>
      </c>
      <c r="O1400" t="s">
        <v>46</v>
      </c>
      <c r="Q1400" t="s">
        <v>62</v>
      </c>
      <c r="R1400" t="s">
        <v>148</v>
      </c>
      <c r="S1400" t="s">
        <v>93</v>
      </c>
      <c r="U1400" t="s">
        <v>50</v>
      </c>
      <c r="X1400" t="s">
        <v>141</v>
      </c>
      <c r="Y1400" t="s">
        <v>78</v>
      </c>
      <c r="AA1400">
        <v>0</v>
      </c>
      <c r="AB1400" t="s">
        <v>79</v>
      </c>
      <c r="AC1400" t="s">
        <v>87</v>
      </c>
      <c r="AD1400">
        <v>36</v>
      </c>
      <c r="AE1400">
        <v>9</v>
      </c>
      <c r="AF1400">
        <v>3</v>
      </c>
      <c r="AG1400">
        <v>2025</v>
      </c>
      <c r="AH1400" s="2">
        <v>3100</v>
      </c>
      <c r="AI1400" s="2">
        <v>1850.664794921875</v>
      </c>
      <c r="AJ1400" s="2">
        <f t="shared" si="170"/>
        <v>1249.335205078125</v>
      </c>
      <c r="AK1400" s="6">
        <f t="shared" si="171"/>
        <v>0.40301135647681452</v>
      </c>
      <c r="AL1400" s="12">
        <v>3100</v>
      </c>
      <c r="AM1400" s="12">
        <v>3020.451474994707</v>
      </c>
      <c r="AN1400" s="12">
        <f t="shared" si="172"/>
        <v>79.548525005292959</v>
      </c>
      <c r="AO1400" s="13">
        <f t="shared" si="173"/>
        <v>2.5660814517836437E-2</v>
      </c>
      <c r="AP1400" s="16">
        <v>3100</v>
      </c>
      <c r="AQ1400" s="16">
        <v>1983.8139139798971</v>
      </c>
      <c r="AR1400" s="16">
        <f t="shared" si="174"/>
        <v>1116.1860860201029</v>
      </c>
      <c r="AS1400" s="17">
        <f t="shared" si="168"/>
        <v>0.36006002774842033</v>
      </c>
      <c r="AT1400" s="20">
        <v>3100</v>
      </c>
      <c r="AU1400" s="20">
        <v>1928.189208984375</v>
      </c>
      <c r="AV1400" s="20">
        <f t="shared" si="169"/>
        <v>1171.810791015625</v>
      </c>
      <c r="AW1400" s="21">
        <f t="shared" si="175"/>
        <v>0.37800348097278225</v>
      </c>
    </row>
    <row r="1401" spans="1:49" x14ac:dyDescent="0.25">
      <c r="A1401" t="s">
        <v>81</v>
      </c>
      <c r="B1401" t="s">
        <v>82</v>
      </c>
      <c r="C1401">
        <v>127045</v>
      </c>
      <c r="D1401">
        <v>2012</v>
      </c>
      <c r="E1401" t="s">
        <v>97</v>
      </c>
      <c r="F1401" t="s">
        <v>98</v>
      </c>
      <c r="G1401" t="s">
        <v>422</v>
      </c>
      <c r="I1401">
        <v>4</v>
      </c>
      <c r="J1401" t="s">
        <v>106</v>
      </c>
      <c r="K1401">
        <v>4</v>
      </c>
      <c r="L1401" t="s">
        <v>44</v>
      </c>
      <c r="M1401">
        <v>2.4</v>
      </c>
      <c r="N1401" t="s">
        <v>44</v>
      </c>
      <c r="O1401" t="s">
        <v>46</v>
      </c>
      <c r="Q1401" t="s">
        <v>62</v>
      </c>
      <c r="R1401" t="s">
        <v>63</v>
      </c>
      <c r="S1401" t="s">
        <v>85</v>
      </c>
      <c r="U1401" t="s">
        <v>50</v>
      </c>
      <c r="W1401" t="s">
        <v>479</v>
      </c>
      <c r="X1401" t="s">
        <v>141</v>
      </c>
      <c r="Y1401" t="s">
        <v>103</v>
      </c>
      <c r="AA1401">
        <v>0</v>
      </c>
      <c r="AB1401" t="s">
        <v>79</v>
      </c>
      <c r="AC1401" t="s">
        <v>87</v>
      </c>
      <c r="AD1401">
        <v>36</v>
      </c>
      <c r="AE1401">
        <v>9</v>
      </c>
      <c r="AF1401">
        <v>3</v>
      </c>
      <c r="AG1401">
        <v>2025</v>
      </c>
      <c r="AH1401" s="2">
        <v>2000</v>
      </c>
      <c r="AI1401" s="2">
        <v>1918.722778320312</v>
      </c>
      <c r="AJ1401" s="2">
        <f t="shared" si="170"/>
        <v>81.277221679687955</v>
      </c>
      <c r="AK1401" s="6">
        <f t="shared" si="171"/>
        <v>4.0638610839843978E-2</v>
      </c>
      <c r="AL1401" s="12">
        <v>2000</v>
      </c>
      <c r="AM1401" s="12">
        <v>2470.8904232298091</v>
      </c>
      <c r="AN1401" s="12">
        <f t="shared" si="172"/>
        <v>470.89042322980913</v>
      </c>
      <c r="AO1401" s="13">
        <f t="shared" si="173"/>
        <v>0.23544521161490456</v>
      </c>
      <c r="AP1401" s="16">
        <v>2000</v>
      </c>
      <c r="AQ1401" s="16">
        <v>1463.157681933048</v>
      </c>
      <c r="AR1401" s="16">
        <f t="shared" si="174"/>
        <v>536.84231806695198</v>
      </c>
      <c r="AS1401" s="17">
        <f t="shared" si="168"/>
        <v>0.26842115903347596</v>
      </c>
      <c r="AT1401" s="20">
        <v>2000</v>
      </c>
      <c r="AU1401" s="20">
        <v>1947.226196289062</v>
      </c>
      <c r="AV1401" s="20">
        <f t="shared" si="169"/>
        <v>52.773803710937955</v>
      </c>
      <c r="AW1401" s="21">
        <f t="shared" si="175"/>
        <v>2.6386901855468978E-2</v>
      </c>
    </row>
    <row r="1402" spans="1:49" x14ac:dyDescent="0.25">
      <c r="A1402" t="s">
        <v>38</v>
      </c>
      <c r="B1402" t="s">
        <v>57</v>
      </c>
      <c r="C1402">
        <v>139375</v>
      </c>
      <c r="D1402">
        <v>2014</v>
      </c>
      <c r="E1402" t="s">
        <v>142</v>
      </c>
      <c r="F1402" t="s">
        <v>335</v>
      </c>
      <c r="G1402" t="s">
        <v>457</v>
      </c>
      <c r="I1402">
        <v>4</v>
      </c>
      <c r="J1402" t="s">
        <v>122</v>
      </c>
      <c r="K1402">
        <v>4</v>
      </c>
      <c r="L1402" t="s">
        <v>44</v>
      </c>
      <c r="M1402">
        <v>2.4</v>
      </c>
      <c r="N1402" t="s">
        <v>91</v>
      </c>
      <c r="O1402" t="s">
        <v>46</v>
      </c>
      <c r="P1402">
        <v>4</v>
      </c>
      <c r="Q1402" t="s">
        <v>62</v>
      </c>
      <c r="R1402" t="s">
        <v>63</v>
      </c>
      <c r="S1402" t="s">
        <v>93</v>
      </c>
      <c r="U1402" t="s">
        <v>50</v>
      </c>
      <c r="X1402" t="s">
        <v>65</v>
      </c>
      <c r="Y1402" t="s">
        <v>78</v>
      </c>
      <c r="AA1402">
        <v>0</v>
      </c>
      <c r="AB1402" t="s">
        <v>79</v>
      </c>
      <c r="AC1402" t="s">
        <v>87</v>
      </c>
      <c r="AD1402">
        <v>36</v>
      </c>
      <c r="AE1402">
        <v>9</v>
      </c>
      <c r="AF1402">
        <v>3</v>
      </c>
      <c r="AG1402">
        <v>2025</v>
      </c>
      <c r="AH1402" s="2">
        <v>3800</v>
      </c>
      <c r="AI1402" s="2">
        <v>2960.93896484375</v>
      </c>
      <c r="AJ1402" s="2">
        <f t="shared" si="170"/>
        <v>839.06103515625</v>
      </c>
      <c r="AK1402" s="6">
        <f t="shared" si="171"/>
        <v>0.22080553556743421</v>
      </c>
      <c r="AL1402" s="12">
        <v>3800</v>
      </c>
      <c r="AM1402" s="12">
        <v>3159.203173109016</v>
      </c>
      <c r="AN1402" s="12">
        <f t="shared" si="172"/>
        <v>640.79682689098399</v>
      </c>
      <c r="AO1402" s="13">
        <f t="shared" si="173"/>
        <v>0.16863074391867999</v>
      </c>
      <c r="AP1402" s="16">
        <v>3800</v>
      </c>
      <c r="AQ1402" s="16">
        <v>2591.1427782380001</v>
      </c>
      <c r="AR1402" s="16">
        <f t="shared" si="174"/>
        <v>1208.8572217619999</v>
      </c>
      <c r="AS1402" s="17">
        <f t="shared" si="168"/>
        <v>0.31812032151631575</v>
      </c>
      <c r="AT1402" s="20">
        <v>3800</v>
      </c>
      <c r="AU1402" s="20">
        <v>3010.354248046875</v>
      </c>
      <c r="AV1402" s="20">
        <f t="shared" si="169"/>
        <v>789.645751953125</v>
      </c>
      <c r="AW1402" s="21">
        <f t="shared" si="175"/>
        <v>0.20780151367187499</v>
      </c>
    </row>
    <row r="1403" spans="1:49" x14ac:dyDescent="0.25">
      <c r="A1403" t="s">
        <v>38</v>
      </c>
      <c r="B1403" t="s">
        <v>110</v>
      </c>
      <c r="C1403">
        <v>62315</v>
      </c>
      <c r="D1403">
        <v>2021</v>
      </c>
      <c r="E1403" t="s">
        <v>213</v>
      </c>
      <c r="F1403" t="s">
        <v>974</v>
      </c>
      <c r="G1403" t="s">
        <v>303</v>
      </c>
      <c r="I1403">
        <v>8</v>
      </c>
      <c r="J1403" t="s">
        <v>72</v>
      </c>
      <c r="K1403">
        <v>4</v>
      </c>
      <c r="L1403" t="s">
        <v>44</v>
      </c>
      <c r="M1403">
        <v>5.6</v>
      </c>
      <c r="N1403" t="s">
        <v>73</v>
      </c>
      <c r="O1403" t="s">
        <v>46</v>
      </c>
      <c r="P1403">
        <v>3</v>
      </c>
      <c r="Q1403" t="s">
        <v>62</v>
      </c>
      <c r="R1403" t="s">
        <v>63</v>
      </c>
      <c r="S1403" t="s">
        <v>49</v>
      </c>
      <c r="U1403" t="s">
        <v>50</v>
      </c>
      <c r="X1403" t="s">
        <v>108</v>
      </c>
      <c r="Y1403" t="s">
        <v>54</v>
      </c>
      <c r="AA1403">
        <v>0</v>
      </c>
      <c r="AB1403" t="s">
        <v>79</v>
      </c>
      <c r="AC1403" t="s">
        <v>109</v>
      </c>
      <c r="AD1403">
        <v>36</v>
      </c>
      <c r="AE1403">
        <v>9</v>
      </c>
      <c r="AF1403">
        <v>3</v>
      </c>
      <c r="AG1403">
        <v>2025</v>
      </c>
      <c r="AH1403" s="2">
        <v>24750</v>
      </c>
      <c r="AI1403" s="2">
        <v>29470.80078125</v>
      </c>
      <c r="AJ1403" s="2">
        <f t="shared" si="170"/>
        <v>4720.80078125</v>
      </c>
      <c r="AK1403" s="6">
        <f t="shared" si="171"/>
        <v>0.19073942550505049</v>
      </c>
      <c r="AL1403" s="12">
        <v>24750</v>
      </c>
      <c r="AM1403" s="12">
        <v>28434.413751313808</v>
      </c>
      <c r="AN1403" s="12">
        <f t="shared" si="172"/>
        <v>3684.4137513138085</v>
      </c>
      <c r="AO1403" s="13">
        <f t="shared" si="173"/>
        <v>0.14886520207328519</v>
      </c>
      <c r="AP1403" s="16">
        <v>24750</v>
      </c>
      <c r="AQ1403" s="16">
        <v>25673.63034542782</v>
      </c>
      <c r="AR1403" s="16">
        <f t="shared" si="174"/>
        <v>923.63034542782043</v>
      </c>
      <c r="AS1403" s="17">
        <f t="shared" si="168"/>
        <v>3.7318397795063449E-2</v>
      </c>
      <c r="AT1403" s="20">
        <v>24750</v>
      </c>
      <c r="AU1403" s="20">
        <v>28995.763671875</v>
      </c>
      <c r="AV1403" s="20">
        <f t="shared" si="169"/>
        <v>4245.763671875</v>
      </c>
      <c r="AW1403" s="21">
        <f t="shared" si="175"/>
        <v>0.17154600694444444</v>
      </c>
    </row>
    <row r="1404" spans="1:49" x14ac:dyDescent="0.25">
      <c r="A1404" t="s">
        <v>38</v>
      </c>
      <c r="B1404" t="s">
        <v>68</v>
      </c>
      <c r="C1404">
        <v>36570</v>
      </c>
      <c r="D1404">
        <v>2021</v>
      </c>
      <c r="E1404" t="s">
        <v>146</v>
      </c>
      <c r="F1404" t="s">
        <v>874</v>
      </c>
      <c r="G1404" t="s">
        <v>280</v>
      </c>
      <c r="I1404">
        <v>4</v>
      </c>
      <c r="J1404" t="s">
        <v>106</v>
      </c>
      <c r="K1404">
        <v>4</v>
      </c>
      <c r="L1404" t="s">
        <v>44</v>
      </c>
      <c r="M1404">
        <v>2</v>
      </c>
      <c r="N1404" t="s">
        <v>45</v>
      </c>
      <c r="O1404" t="s">
        <v>46</v>
      </c>
      <c r="P1404">
        <v>4</v>
      </c>
      <c r="Q1404" t="s">
        <v>47</v>
      </c>
      <c r="R1404" t="s">
        <v>48</v>
      </c>
      <c r="S1404" t="s">
        <v>49</v>
      </c>
      <c r="U1404" t="s">
        <v>50</v>
      </c>
      <c r="X1404" t="s">
        <v>125</v>
      </c>
      <c r="Y1404" t="s">
        <v>54</v>
      </c>
      <c r="AA1404">
        <v>0</v>
      </c>
      <c r="AB1404" t="s">
        <v>79</v>
      </c>
      <c r="AC1404" t="s">
        <v>359</v>
      </c>
      <c r="AD1404">
        <v>36</v>
      </c>
      <c r="AE1404">
        <v>9</v>
      </c>
      <c r="AF1404">
        <v>3</v>
      </c>
      <c r="AG1404">
        <v>2025</v>
      </c>
      <c r="AH1404" s="2">
        <v>15500</v>
      </c>
      <c r="AI1404" s="2">
        <v>16931.369140625</v>
      </c>
      <c r="AJ1404" s="2">
        <f t="shared" si="170"/>
        <v>1431.369140625</v>
      </c>
      <c r="AK1404" s="6">
        <f t="shared" si="171"/>
        <v>9.2346396169354833E-2</v>
      </c>
      <c r="AL1404" s="12">
        <v>15500</v>
      </c>
      <c r="AM1404" s="12">
        <v>15126.443432604319</v>
      </c>
      <c r="AN1404" s="12">
        <f t="shared" si="172"/>
        <v>373.55656739568076</v>
      </c>
      <c r="AO1404" s="13">
        <f t="shared" si="173"/>
        <v>2.4100423702947144E-2</v>
      </c>
      <c r="AP1404" s="16">
        <v>15500</v>
      </c>
      <c r="AQ1404" s="16">
        <v>14808.16055163863</v>
      </c>
      <c r="AR1404" s="16">
        <f t="shared" si="174"/>
        <v>691.83944836137016</v>
      </c>
      <c r="AS1404" s="17">
        <f t="shared" si="168"/>
        <v>4.4634803120088398E-2</v>
      </c>
      <c r="AT1404" s="20">
        <v>15500</v>
      </c>
      <c r="AU1404" s="20">
        <v>16602.6796875</v>
      </c>
      <c r="AV1404" s="20">
        <f t="shared" si="169"/>
        <v>1102.6796875</v>
      </c>
      <c r="AW1404" s="21">
        <f t="shared" si="175"/>
        <v>7.1140624999999999E-2</v>
      </c>
    </row>
    <row r="1405" spans="1:49" x14ac:dyDescent="0.25">
      <c r="A1405" t="s">
        <v>38</v>
      </c>
      <c r="B1405" t="s">
        <v>39</v>
      </c>
      <c r="C1405">
        <v>86470</v>
      </c>
      <c r="D1405">
        <v>2016</v>
      </c>
      <c r="E1405" t="s">
        <v>69</v>
      </c>
      <c r="F1405" t="s">
        <v>873</v>
      </c>
      <c r="G1405" t="s">
        <v>224</v>
      </c>
      <c r="I1405">
        <v>4</v>
      </c>
      <c r="J1405" t="s">
        <v>61</v>
      </c>
      <c r="K1405">
        <v>4</v>
      </c>
      <c r="L1405" t="s">
        <v>44</v>
      </c>
      <c r="M1405">
        <v>2</v>
      </c>
      <c r="N1405" t="s">
        <v>45</v>
      </c>
      <c r="O1405" t="s">
        <v>100</v>
      </c>
      <c r="P1405">
        <v>3</v>
      </c>
      <c r="Q1405" t="s">
        <v>62</v>
      </c>
      <c r="R1405" t="s">
        <v>63</v>
      </c>
      <c r="S1405" t="s">
        <v>101</v>
      </c>
      <c r="T1405">
        <v>245</v>
      </c>
      <c r="U1405" t="s">
        <v>50</v>
      </c>
      <c r="V1405" t="s">
        <v>51</v>
      </c>
      <c r="X1405" t="s">
        <v>141</v>
      </c>
      <c r="Y1405" t="s">
        <v>103</v>
      </c>
      <c r="AA1405">
        <v>0</v>
      </c>
      <c r="AB1405" t="s">
        <v>79</v>
      </c>
      <c r="AC1405" t="s">
        <v>87</v>
      </c>
      <c r="AD1405">
        <v>36</v>
      </c>
      <c r="AE1405">
        <v>9</v>
      </c>
      <c r="AF1405">
        <v>3</v>
      </c>
      <c r="AG1405">
        <v>2025</v>
      </c>
      <c r="AH1405" s="2">
        <v>3400</v>
      </c>
      <c r="AI1405" s="2">
        <v>3101.3408203125</v>
      </c>
      <c r="AJ1405" s="2">
        <f t="shared" si="170"/>
        <v>298.6591796875</v>
      </c>
      <c r="AK1405" s="6">
        <f t="shared" si="171"/>
        <v>8.7840935202205886E-2</v>
      </c>
      <c r="AL1405" s="12">
        <v>3400</v>
      </c>
      <c r="AM1405" s="12">
        <v>3428.354496190198</v>
      </c>
      <c r="AN1405" s="12">
        <f t="shared" si="172"/>
        <v>28.354496190198006</v>
      </c>
      <c r="AO1405" s="13">
        <f t="shared" si="173"/>
        <v>8.3395577029994131E-3</v>
      </c>
      <c r="AP1405" s="16">
        <v>3400</v>
      </c>
      <c r="AQ1405" s="16">
        <v>3146.6301115918332</v>
      </c>
      <c r="AR1405" s="16">
        <f t="shared" si="174"/>
        <v>253.36988840816684</v>
      </c>
      <c r="AS1405" s="17">
        <f t="shared" si="168"/>
        <v>7.4520555414166717E-2</v>
      </c>
      <c r="AT1405" s="20">
        <v>3400</v>
      </c>
      <c r="AU1405" s="20">
        <v>3137.553955078125</v>
      </c>
      <c r="AV1405" s="20">
        <f t="shared" si="169"/>
        <v>262.446044921875</v>
      </c>
      <c r="AW1405" s="21">
        <f t="shared" si="175"/>
        <v>7.719001321231618E-2</v>
      </c>
    </row>
    <row r="1406" spans="1:49" x14ac:dyDescent="0.25">
      <c r="A1406" t="s">
        <v>38</v>
      </c>
      <c r="B1406" t="s">
        <v>96</v>
      </c>
      <c r="C1406">
        <v>90061</v>
      </c>
      <c r="D1406">
        <v>2019</v>
      </c>
      <c r="E1406" t="s">
        <v>88</v>
      </c>
      <c r="F1406" t="s">
        <v>89</v>
      </c>
      <c r="H1406" t="s">
        <v>686</v>
      </c>
      <c r="I1406">
        <v>6</v>
      </c>
      <c r="J1406" t="s">
        <v>106</v>
      </c>
      <c r="K1406">
        <v>4</v>
      </c>
      <c r="L1406" t="s">
        <v>44</v>
      </c>
      <c r="M1406">
        <v>3.6</v>
      </c>
      <c r="N1406" t="s">
        <v>91</v>
      </c>
      <c r="O1406" t="s">
        <v>100</v>
      </c>
      <c r="P1406">
        <v>2</v>
      </c>
      <c r="Q1406" t="s">
        <v>74</v>
      </c>
      <c r="R1406" t="s">
        <v>92</v>
      </c>
      <c r="S1406" t="s">
        <v>93</v>
      </c>
      <c r="T1406">
        <v>305</v>
      </c>
      <c r="U1406" t="s">
        <v>50</v>
      </c>
      <c r="V1406" t="s">
        <v>76</v>
      </c>
      <c r="X1406" t="s">
        <v>94</v>
      </c>
      <c r="Y1406" t="s">
        <v>78</v>
      </c>
      <c r="AA1406">
        <v>0</v>
      </c>
      <c r="AB1406" t="s">
        <v>79</v>
      </c>
      <c r="AC1406" t="s">
        <v>95</v>
      </c>
      <c r="AD1406">
        <v>36</v>
      </c>
      <c r="AE1406">
        <v>9</v>
      </c>
      <c r="AF1406">
        <v>3</v>
      </c>
      <c r="AG1406">
        <v>2025</v>
      </c>
      <c r="AH1406" s="2">
        <v>13750</v>
      </c>
      <c r="AI1406" s="2">
        <v>11233.7080078125</v>
      </c>
      <c r="AJ1406" s="2">
        <f t="shared" si="170"/>
        <v>2516.2919921875</v>
      </c>
      <c r="AK1406" s="6">
        <f t="shared" si="171"/>
        <v>0.18300305397727273</v>
      </c>
      <c r="AL1406" s="12">
        <v>13750</v>
      </c>
      <c r="AM1406" s="12">
        <v>8887.3723894216746</v>
      </c>
      <c r="AN1406" s="12">
        <f t="shared" si="172"/>
        <v>4862.6276105783254</v>
      </c>
      <c r="AO1406" s="13">
        <f t="shared" si="173"/>
        <v>0.3536456444056964</v>
      </c>
      <c r="AP1406" s="16">
        <v>13750</v>
      </c>
      <c r="AQ1406" s="16">
        <v>10078.67425697995</v>
      </c>
      <c r="AR1406" s="16">
        <f t="shared" si="174"/>
        <v>3671.3257430200501</v>
      </c>
      <c r="AS1406" s="17">
        <f t="shared" si="168"/>
        <v>0.26700550858327637</v>
      </c>
      <c r="AT1406" s="20">
        <v>13750</v>
      </c>
      <c r="AU1406" s="20">
        <v>10893.87890625</v>
      </c>
      <c r="AV1406" s="20">
        <f t="shared" si="169"/>
        <v>2856.12109375</v>
      </c>
      <c r="AW1406" s="21">
        <f t="shared" si="175"/>
        <v>0.20771789772727273</v>
      </c>
    </row>
    <row r="1407" spans="1:49" x14ac:dyDescent="0.25">
      <c r="A1407" t="s">
        <v>128</v>
      </c>
      <c r="B1407" t="s">
        <v>129</v>
      </c>
      <c r="C1407">
        <v>61014</v>
      </c>
      <c r="D1407">
        <v>2015</v>
      </c>
      <c r="E1407" t="s">
        <v>557</v>
      </c>
      <c r="F1407" t="s">
        <v>558</v>
      </c>
      <c r="G1407" t="s">
        <v>118</v>
      </c>
      <c r="I1407">
        <v>4</v>
      </c>
      <c r="J1407" t="s">
        <v>106</v>
      </c>
      <c r="K1407">
        <v>4</v>
      </c>
      <c r="L1407" t="s">
        <v>44</v>
      </c>
      <c r="M1407">
        <v>2.4</v>
      </c>
      <c r="N1407" t="s">
        <v>45</v>
      </c>
      <c r="O1407" t="s">
        <v>46</v>
      </c>
      <c r="Q1407" t="s">
        <v>47</v>
      </c>
      <c r="R1407" t="s">
        <v>123</v>
      </c>
      <c r="S1407" t="s">
        <v>101</v>
      </c>
      <c r="U1407" t="s">
        <v>50</v>
      </c>
      <c r="X1407" t="s">
        <v>125</v>
      </c>
      <c r="Y1407" t="s">
        <v>78</v>
      </c>
      <c r="AA1407">
        <v>0</v>
      </c>
      <c r="AB1407" t="s">
        <v>79</v>
      </c>
      <c r="AC1407" t="s">
        <v>127</v>
      </c>
      <c r="AD1407">
        <v>36</v>
      </c>
      <c r="AE1407">
        <v>9</v>
      </c>
      <c r="AF1407">
        <v>3</v>
      </c>
      <c r="AG1407">
        <v>2025</v>
      </c>
      <c r="AH1407" s="2">
        <v>3600</v>
      </c>
      <c r="AI1407" s="2">
        <v>5775.17578125</v>
      </c>
      <c r="AJ1407" s="2">
        <f t="shared" si="170"/>
        <v>2175.17578125</v>
      </c>
      <c r="AK1407" s="6">
        <f t="shared" si="171"/>
        <v>0.6042154947916667</v>
      </c>
      <c r="AL1407" s="12">
        <v>3600</v>
      </c>
      <c r="AM1407" s="12">
        <v>6661.4165399029234</v>
      </c>
      <c r="AN1407" s="12">
        <f t="shared" si="172"/>
        <v>3061.4165399029234</v>
      </c>
      <c r="AO1407" s="13">
        <f t="shared" si="173"/>
        <v>0.85039348330636766</v>
      </c>
      <c r="AP1407" s="16">
        <v>3600</v>
      </c>
      <c r="AQ1407" s="16">
        <v>4731.5904217627894</v>
      </c>
      <c r="AR1407" s="16">
        <f t="shared" si="174"/>
        <v>1131.5904217627894</v>
      </c>
      <c r="AS1407" s="17">
        <f t="shared" si="168"/>
        <v>0.31433067271188597</v>
      </c>
      <c r="AT1407" s="20">
        <v>3600</v>
      </c>
      <c r="AU1407" s="20">
        <v>5997.298828125</v>
      </c>
      <c r="AV1407" s="20">
        <f t="shared" si="169"/>
        <v>2397.298828125</v>
      </c>
      <c r="AW1407" s="21">
        <f t="shared" si="175"/>
        <v>0.66591634114583331</v>
      </c>
    </row>
    <row r="1408" spans="1:49" x14ac:dyDescent="0.25">
      <c r="A1408" t="s">
        <v>128</v>
      </c>
      <c r="B1408" t="s">
        <v>1248</v>
      </c>
      <c r="C1408">
        <v>13609</v>
      </c>
      <c r="D1408">
        <v>2024</v>
      </c>
      <c r="E1408" t="s">
        <v>142</v>
      </c>
      <c r="F1408" t="s">
        <v>1376</v>
      </c>
      <c r="H1408" t="s">
        <v>1377</v>
      </c>
      <c r="I1408">
        <v>6</v>
      </c>
      <c r="J1408" t="s">
        <v>72</v>
      </c>
      <c r="K1408">
        <v>4</v>
      </c>
      <c r="L1408" t="s">
        <v>44</v>
      </c>
      <c r="M1408">
        <v>3</v>
      </c>
      <c r="N1408" t="s">
        <v>91</v>
      </c>
      <c r="Q1408" t="s">
        <v>62</v>
      </c>
      <c r="R1408" t="s">
        <v>63</v>
      </c>
      <c r="S1408" t="s">
        <v>93</v>
      </c>
      <c r="T1408">
        <v>510</v>
      </c>
      <c r="U1408" t="s">
        <v>50</v>
      </c>
      <c r="V1408" t="s">
        <v>51</v>
      </c>
      <c r="X1408" t="s">
        <v>108</v>
      </c>
      <c r="Y1408" t="s">
        <v>78</v>
      </c>
      <c r="AA1408">
        <v>0</v>
      </c>
      <c r="AB1408" t="s">
        <v>79</v>
      </c>
      <c r="AC1408" t="s">
        <v>87</v>
      </c>
      <c r="AD1408">
        <v>36</v>
      </c>
      <c r="AE1408">
        <v>9</v>
      </c>
      <c r="AF1408">
        <v>3</v>
      </c>
      <c r="AG1408">
        <v>2025</v>
      </c>
      <c r="AH1408" s="2">
        <v>83600</v>
      </c>
      <c r="AI1408" s="2">
        <v>77998.5</v>
      </c>
      <c r="AJ1408" s="2">
        <f t="shared" si="170"/>
        <v>5601.5</v>
      </c>
      <c r="AK1408" s="6">
        <f t="shared" si="171"/>
        <v>6.7003588516746412E-2</v>
      </c>
      <c r="AL1408" s="12">
        <v>83600</v>
      </c>
      <c r="AM1408" s="12">
        <v>71316.121687216117</v>
      </c>
      <c r="AN1408" s="12">
        <f t="shared" si="172"/>
        <v>12283.878312783883</v>
      </c>
      <c r="AO1408" s="13">
        <f t="shared" si="173"/>
        <v>0.14693634345435266</v>
      </c>
      <c r="AP1408" s="16">
        <v>83600</v>
      </c>
      <c r="AQ1408" s="16">
        <v>69191.501022154873</v>
      </c>
      <c r="AR1408" s="16">
        <f t="shared" si="174"/>
        <v>14408.498977845127</v>
      </c>
      <c r="AS1408" s="17">
        <f t="shared" si="168"/>
        <v>0.1723504662421666</v>
      </c>
      <c r="AT1408" s="20">
        <v>83600</v>
      </c>
      <c r="AU1408" s="20">
        <v>88943.4453125</v>
      </c>
      <c r="AV1408" s="20">
        <f t="shared" si="169"/>
        <v>5343.4453125</v>
      </c>
      <c r="AW1408" s="21">
        <f t="shared" si="175"/>
        <v>6.3916809958133966E-2</v>
      </c>
    </row>
    <row r="1409" spans="1:49" x14ac:dyDescent="0.25">
      <c r="A1409" t="s">
        <v>128</v>
      </c>
      <c r="B1409" t="s">
        <v>210</v>
      </c>
      <c r="C1409">
        <v>194472</v>
      </c>
      <c r="D1409">
        <v>2014</v>
      </c>
      <c r="E1409" t="s">
        <v>69</v>
      </c>
      <c r="F1409" t="s">
        <v>394</v>
      </c>
      <c r="H1409" t="s">
        <v>224</v>
      </c>
      <c r="I1409">
        <v>4</v>
      </c>
      <c r="J1409" t="s">
        <v>106</v>
      </c>
      <c r="K1409">
        <v>4</v>
      </c>
      <c r="L1409" t="s">
        <v>44</v>
      </c>
      <c r="M1409">
        <v>2</v>
      </c>
      <c r="N1409" t="s">
        <v>45</v>
      </c>
      <c r="O1409" t="s">
        <v>46</v>
      </c>
      <c r="Q1409" t="s">
        <v>47</v>
      </c>
      <c r="R1409" t="s">
        <v>123</v>
      </c>
      <c r="S1409" t="s">
        <v>101</v>
      </c>
      <c r="T1409">
        <v>240</v>
      </c>
      <c r="U1409" t="s">
        <v>50</v>
      </c>
      <c r="V1409" t="s">
        <v>51</v>
      </c>
      <c r="X1409" t="s">
        <v>125</v>
      </c>
      <c r="Y1409" t="s">
        <v>126</v>
      </c>
      <c r="AA1409">
        <v>0</v>
      </c>
      <c r="AB1409" t="s">
        <v>79</v>
      </c>
      <c r="AC1409" t="s">
        <v>127</v>
      </c>
      <c r="AD1409">
        <v>36</v>
      </c>
      <c r="AE1409">
        <v>9</v>
      </c>
      <c r="AF1409">
        <v>3</v>
      </c>
      <c r="AG1409">
        <v>2025</v>
      </c>
      <c r="AH1409" s="2">
        <v>700</v>
      </c>
      <c r="AI1409" s="2">
        <v>1369.398071289062</v>
      </c>
      <c r="AJ1409" s="2">
        <f t="shared" si="170"/>
        <v>669.39807128906205</v>
      </c>
      <c r="AK1409" s="6">
        <f t="shared" si="171"/>
        <v>0.95628295898437432</v>
      </c>
      <c r="AL1409" s="12">
        <v>700</v>
      </c>
      <c r="AM1409" s="12">
        <v>1593.4821963453389</v>
      </c>
      <c r="AN1409" s="12">
        <f t="shared" si="172"/>
        <v>893.48219634533893</v>
      </c>
      <c r="AO1409" s="13">
        <f t="shared" si="173"/>
        <v>1.2764031376361984</v>
      </c>
      <c r="AP1409" s="16">
        <v>700</v>
      </c>
      <c r="AQ1409" s="16">
        <v>1391.039509319598</v>
      </c>
      <c r="AR1409" s="16">
        <f t="shared" si="174"/>
        <v>691.03950931959798</v>
      </c>
      <c r="AS1409" s="17">
        <f t="shared" si="168"/>
        <v>0.98719929902799708</v>
      </c>
      <c r="AT1409" s="20">
        <v>700</v>
      </c>
      <c r="AU1409" s="20">
        <v>1344.59326171875</v>
      </c>
      <c r="AV1409" s="20">
        <f t="shared" si="169"/>
        <v>644.59326171875</v>
      </c>
      <c r="AW1409" s="21">
        <f t="shared" si="175"/>
        <v>0.92084751674107146</v>
      </c>
    </row>
    <row r="1410" spans="1:49" x14ac:dyDescent="0.25">
      <c r="A1410" t="s">
        <v>38</v>
      </c>
      <c r="B1410" t="s">
        <v>96</v>
      </c>
      <c r="C1410">
        <v>282555</v>
      </c>
      <c r="D1410">
        <v>2016</v>
      </c>
      <c r="E1410" t="s">
        <v>69</v>
      </c>
      <c r="F1410" t="s">
        <v>475</v>
      </c>
      <c r="H1410" t="s">
        <v>259</v>
      </c>
      <c r="I1410">
        <v>8</v>
      </c>
      <c r="J1410" t="s">
        <v>72</v>
      </c>
      <c r="K1410">
        <v>4</v>
      </c>
      <c r="L1410" t="s">
        <v>44</v>
      </c>
      <c r="M1410">
        <v>6.7</v>
      </c>
      <c r="N1410" t="s">
        <v>91</v>
      </c>
      <c r="O1410" t="s">
        <v>46</v>
      </c>
      <c r="Q1410" t="s">
        <v>74</v>
      </c>
      <c r="R1410" t="s">
        <v>92</v>
      </c>
      <c r="S1410" t="s">
        <v>93</v>
      </c>
      <c r="T1410">
        <v>440</v>
      </c>
      <c r="U1410" t="s">
        <v>229</v>
      </c>
      <c r="V1410" t="s">
        <v>76</v>
      </c>
      <c r="X1410" t="s">
        <v>230</v>
      </c>
      <c r="Y1410" t="s">
        <v>78</v>
      </c>
      <c r="AA1410">
        <v>0</v>
      </c>
      <c r="AB1410" t="s">
        <v>79</v>
      </c>
      <c r="AC1410" t="s">
        <v>95</v>
      </c>
      <c r="AD1410">
        <v>36</v>
      </c>
      <c r="AE1410">
        <v>9</v>
      </c>
      <c r="AF1410">
        <v>3</v>
      </c>
      <c r="AG1410">
        <v>2025</v>
      </c>
      <c r="AH1410" s="2">
        <v>15000</v>
      </c>
      <c r="AI1410" s="2">
        <v>12372.521484375</v>
      </c>
      <c r="AJ1410" s="2">
        <f t="shared" si="170"/>
        <v>2627.478515625</v>
      </c>
      <c r="AK1410" s="6">
        <f t="shared" si="171"/>
        <v>0.17516523437500001</v>
      </c>
      <c r="AL1410" s="12">
        <v>15000</v>
      </c>
      <c r="AM1410" s="12">
        <v>11244.68848444654</v>
      </c>
      <c r="AN1410" s="12">
        <f t="shared" si="172"/>
        <v>3755.3115155534597</v>
      </c>
      <c r="AO1410" s="13">
        <f t="shared" si="173"/>
        <v>0.25035410103689731</v>
      </c>
      <c r="AP1410" s="16">
        <v>15000</v>
      </c>
      <c r="AQ1410" s="16">
        <v>12421.14099630823</v>
      </c>
      <c r="AR1410" s="16">
        <f t="shared" si="174"/>
        <v>2578.8590036917703</v>
      </c>
      <c r="AS1410" s="17">
        <f t="shared" si="168"/>
        <v>0.17192393357945135</v>
      </c>
      <c r="AT1410" s="20">
        <v>15000</v>
      </c>
      <c r="AU1410" s="20">
        <v>12070.9130859375</v>
      </c>
      <c r="AV1410" s="20">
        <f t="shared" si="169"/>
        <v>2929.0869140625</v>
      </c>
      <c r="AW1410" s="21">
        <f t="shared" si="175"/>
        <v>0.1952724609375</v>
      </c>
    </row>
    <row r="1411" spans="1:49" x14ac:dyDescent="0.25">
      <c r="A1411" t="s">
        <v>128</v>
      </c>
      <c r="B1411" t="s">
        <v>210</v>
      </c>
      <c r="C1411">
        <v>198409</v>
      </c>
      <c r="D1411">
        <v>2013</v>
      </c>
      <c r="E1411" t="s">
        <v>166</v>
      </c>
      <c r="F1411" t="s">
        <v>562</v>
      </c>
      <c r="G1411" t="s">
        <v>240</v>
      </c>
      <c r="I1411">
        <v>4</v>
      </c>
      <c r="J1411" t="s">
        <v>61</v>
      </c>
      <c r="K1411">
        <v>4</v>
      </c>
      <c r="L1411" t="s">
        <v>44</v>
      </c>
      <c r="M1411">
        <v>2.4</v>
      </c>
      <c r="N1411" t="s">
        <v>45</v>
      </c>
      <c r="O1411" t="s">
        <v>46</v>
      </c>
      <c r="Q1411" t="s">
        <v>47</v>
      </c>
      <c r="R1411" t="s">
        <v>123</v>
      </c>
      <c r="T1411">
        <v>185</v>
      </c>
      <c r="U1411" t="s">
        <v>50</v>
      </c>
      <c r="V1411" t="s">
        <v>51</v>
      </c>
      <c r="W1411" t="s">
        <v>614</v>
      </c>
      <c r="X1411" t="s">
        <v>65</v>
      </c>
      <c r="Y1411" t="s">
        <v>78</v>
      </c>
      <c r="AA1411">
        <v>0</v>
      </c>
      <c r="AB1411" t="s">
        <v>79</v>
      </c>
      <c r="AC1411" t="s">
        <v>127</v>
      </c>
      <c r="AD1411">
        <v>36</v>
      </c>
      <c r="AE1411">
        <v>9</v>
      </c>
      <c r="AF1411">
        <v>3</v>
      </c>
      <c r="AG1411">
        <v>2025</v>
      </c>
      <c r="AH1411" s="2">
        <v>2000</v>
      </c>
      <c r="AI1411" s="2">
        <v>2541.5888671875</v>
      </c>
      <c r="AJ1411" s="2">
        <f t="shared" si="170"/>
        <v>541.5888671875</v>
      </c>
      <c r="AK1411" s="6">
        <f t="shared" si="171"/>
        <v>0.27079443359374999</v>
      </c>
      <c r="AL1411" s="12">
        <v>2000</v>
      </c>
      <c r="AM1411" s="12">
        <v>2936.4915546492689</v>
      </c>
      <c r="AN1411" s="12">
        <f t="shared" si="172"/>
        <v>936.49155464926889</v>
      </c>
      <c r="AO1411" s="13">
        <f t="shared" si="173"/>
        <v>0.46824577732463446</v>
      </c>
      <c r="AP1411" s="16">
        <v>2000</v>
      </c>
      <c r="AQ1411" s="16">
        <v>2598.0938276716452</v>
      </c>
      <c r="AR1411" s="16">
        <f t="shared" si="174"/>
        <v>598.09382767164516</v>
      </c>
      <c r="AS1411" s="17">
        <f t="shared" ref="AS1411:AS1474" si="176">ABS($AH1411-AQ1411)/$AH1411</f>
        <v>0.2990469138358226</v>
      </c>
      <c r="AT1411" s="20">
        <v>2000</v>
      </c>
      <c r="AU1411" s="20">
        <v>2540.00830078125</v>
      </c>
      <c r="AV1411" s="20">
        <f t="shared" ref="AV1411:AV1474" si="177">ABS(AT1411-AU1411)</f>
        <v>540.00830078125</v>
      </c>
      <c r="AW1411" s="21">
        <f t="shared" si="175"/>
        <v>0.27000415039062498</v>
      </c>
    </row>
    <row r="1412" spans="1:49" x14ac:dyDescent="0.25">
      <c r="A1412" t="s">
        <v>38</v>
      </c>
      <c r="B1412" t="s">
        <v>110</v>
      </c>
      <c r="C1412">
        <v>149736</v>
      </c>
      <c r="D1412">
        <v>2014</v>
      </c>
      <c r="E1412" t="s">
        <v>69</v>
      </c>
      <c r="F1412" t="s">
        <v>310</v>
      </c>
      <c r="G1412" t="s">
        <v>112</v>
      </c>
      <c r="H1412" t="s">
        <v>1378</v>
      </c>
      <c r="I1412">
        <v>6</v>
      </c>
      <c r="J1412" t="s">
        <v>72</v>
      </c>
      <c r="K1412">
        <v>2</v>
      </c>
      <c r="L1412" t="s">
        <v>44</v>
      </c>
      <c r="M1412">
        <v>3.7</v>
      </c>
      <c r="N1412" t="s">
        <v>73</v>
      </c>
      <c r="Q1412" t="s">
        <v>47</v>
      </c>
      <c r="R1412" t="s">
        <v>530</v>
      </c>
      <c r="T1412">
        <v>305</v>
      </c>
      <c r="U1412" t="s">
        <v>50</v>
      </c>
      <c r="V1412" t="s">
        <v>76</v>
      </c>
      <c r="X1412" t="s">
        <v>125</v>
      </c>
      <c r="Y1412" t="s">
        <v>78</v>
      </c>
      <c r="AA1412">
        <v>0</v>
      </c>
      <c r="AB1412" t="s">
        <v>79</v>
      </c>
      <c r="AC1412" t="s">
        <v>531</v>
      </c>
      <c r="AD1412">
        <v>36</v>
      </c>
      <c r="AE1412">
        <v>9</v>
      </c>
      <c r="AF1412">
        <v>3</v>
      </c>
      <c r="AG1412">
        <v>2025</v>
      </c>
      <c r="AH1412" s="2">
        <v>900</v>
      </c>
      <c r="AI1412" s="2">
        <v>4141.75341796875</v>
      </c>
      <c r="AJ1412" s="2">
        <f t="shared" ref="AJ1412:AJ1475" si="178">ABS(AH1412-AI1412)</f>
        <v>3241.75341796875</v>
      </c>
      <c r="AK1412" s="6">
        <f t="shared" ref="AK1412:AK1475" si="179">ABS($AH1412-AI1412)/$AH1412</f>
        <v>3.6019482421875</v>
      </c>
      <c r="AL1412" s="12">
        <v>900</v>
      </c>
      <c r="AM1412" s="12">
        <v>4536.4660476715417</v>
      </c>
      <c r="AN1412" s="12">
        <f t="shared" ref="AN1412:AN1475" si="180">ABS(AL1412-AM1412)</f>
        <v>3636.4660476715417</v>
      </c>
      <c r="AO1412" s="13">
        <f t="shared" ref="AO1412:AO1475" si="181">ABS($AH1412-AM1412)/$AH1412</f>
        <v>4.0405178307461576</v>
      </c>
      <c r="AP1412" s="16">
        <v>900</v>
      </c>
      <c r="AQ1412" s="16">
        <v>3393.4037925315779</v>
      </c>
      <c r="AR1412" s="16">
        <f t="shared" ref="AR1412:AR1475" si="182">ABS(AP1412-AQ1412)</f>
        <v>2493.4037925315779</v>
      </c>
      <c r="AS1412" s="17">
        <f t="shared" si="176"/>
        <v>2.7704486583684198</v>
      </c>
      <c r="AT1412" s="20">
        <v>900</v>
      </c>
      <c r="AU1412" s="20">
        <v>4260.595703125</v>
      </c>
      <c r="AV1412" s="20">
        <f t="shared" si="177"/>
        <v>3360.595703125</v>
      </c>
      <c r="AW1412" s="21">
        <f t="shared" ref="AW1412:AW1475" si="183">ABS($AH1412-AU1412)/$AH1412</f>
        <v>3.7339952256944446</v>
      </c>
    </row>
    <row r="1413" spans="1:49" x14ac:dyDescent="0.25">
      <c r="A1413" t="s">
        <v>114</v>
      </c>
      <c r="B1413" t="s">
        <v>115</v>
      </c>
      <c r="C1413">
        <v>110501</v>
      </c>
      <c r="D1413">
        <v>2008</v>
      </c>
      <c r="E1413" t="s">
        <v>97</v>
      </c>
      <c r="F1413" t="s">
        <v>470</v>
      </c>
      <c r="G1413" t="s">
        <v>1379</v>
      </c>
      <c r="I1413">
        <v>4</v>
      </c>
      <c r="J1413" t="s">
        <v>241</v>
      </c>
      <c r="K1413">
        <v>4</v>
      </c>
      <c r="L1413" t="s">
        <v>44</v>
      </c>
      <c r="M1413">
        <v>2.4</v>
      </c>
      <c r="N1413" t="s">
        <v>45</v>
      </c>
      <c r="O1413" t="s">
        <v>46</v>
      </c>
      <c r="Q1413" t="s">
        <v>47</v>
      </c>
      <c r="R1413" t="s">
        <v>123</v>
      </c>
      <c r="U1413" t="s">
        <v>50</v>
      </c>
      <c r="V1413" t="s">
        <v>51</v>
      </c>
      <c r="W1413" t="s">
        <v>478</v>
      </c>
      <c r="X1413" t="s">
        <v>125</v>
      </c>
      <c r="Y1413" t="s">
        <v>78</v>
      </c>
      <c r="AA1413">
        <v>0</v>
      </c>
      <c r="AB1413" t="s">
        <v>79</v>
      </c>
      <c r="AC1413" t="s">
        <v>127</v>
      </c>
      <c r="AD1413">
        <v>36</v>
      </c>
      <c r="AE1413">
        <v>9</v>
      </c>
      <c r="AF1413">
        <v>3</v>
      </c>
      <c r="AG1413">
        <v>2025</v>
      </c>
      <c r="AH1413" s="2">
        <v>2400</v>
      </c>
      <c r="AI1413" s="2">
        <v>1637.79296875</v>
      </c>
      <c r="AJ1413" s="2">
        <f t="shared" si="178"/>
        <v>762.20703125</v>
      </c>
      <c r="AK1413" s="6">
        <f t="shared" si="179"/>
        <v>0.31758626302083331</v>
      </c>
      <c r="AL1413" s="12">
        <v>2400</v>
      </c>
      <c r="AM1413" s="12">
        <v>1559.291212164396</v>
      </c>
      <c r="AN1413" s="12">
        <f t="shared" si="180"/>
        <v>840.70878783560397</v>
      </c>
      <c r="AO1413" s="13">
        <f t="shared" si="181"/>
        <v>0.350295328264835</v>
      </c>
      <c r="AP1413" s="16">
        <v>2400</v>
      </c>
      <c r="AQ1413" s="16">
        <v>1112.014437653173</v>
      </c>
      <c r="AR1413" s="16">
        <f t="shared" si="182"/>
        <v>1287.985562346827</v>
      </c>
      <c r="AS1413" s="17">
        <f t="shared" si="176"/>
        <v>0.53666065097784454</v>
      </c>
      <c r="AT1413" s="20">
        <v>2400</v>
      </c>
      <c r="AU1413" s="20">
        <v>1611.906616210938</v>
      </c>
      <c r="AV1413" s="20">
        <f t="shared" si="177"/>
        <v>788.09338378906205</v>
      </c>
      <c r="AW1413" s="21">
        <f t="shared" si="183"/>
        <v>0.32837224324544251</v>
      </c>
    </row>
    <row r="1414" spans="1:49" x14ac:dyDescent="0.25">
      <c r="A1414" t="s">
        <v>38</v>
      </c>
      <c r="B1414" t="s">
        <v>68</v>
      </c>
      <c r="C1414">
        <v>78580</v>
      </c>
      <c r="D1414">
        <v>2022</v>
      </c>
      <c r="E1414" t="s">
        <v>88</v>
      </c>
      <c r="F1414" t="s">
        <v>89</v>
      </c>
      <c r="G1414" t="s">
        <v>262</v>
      </c>
      <c r="H1414" t="s">
        <v>921</v>
      </c>
      <c r="I1414">
        <v>8</v>
      </c>
      <c r="J1414" t="s">
        <v>72</v>
      </c>
      <c r="K1414">
        <v>4</v>
      </c>
      <c r="L1414" t="s">
        <v>44</v>
      </c>
      <c r="M1414">
        <v>5.7</v>
      </c>
      <c r="N1414" t="s">
        <v>91</v>
      </c>
      <c r="O1414" t="s">
        <v>46</v>
      </c>
      <c r="P1414">
        <v>3</v>
      </c>
      <c r="Q1414" t="s">
        <v>74</v>
      </c>
      <c r="R1414" t="s">
        <v>92</v>
      </c>
      <c r="S1414" t="s">
        <v>93</v>
      </c>
      <c r="T1414">
        <v>395</v>
      </c>
      <c r="U1414" t="s">
        <v>50</v>
      </c>
      <c r="V1414" t="s">
        <v>76</v>
      </c>
      <c r="X1414" t="s">
        <v>108</v>
      </c>
      <c r="Y1414" t="s">
        <v>78</v>
      </c>
      <c r="AA1414">
        <v>0</v>
      </c>
      <c r="AB1414" t="s">
        <v>79</v>
      </c>
      <c r="AC1414" t="s">
        <v>95</v>
      </c>
      <c r="AD1414">
        <v>36</v>
      </c>
      <c r="AE1414">
        <v>9</v>
      </c>
      <c r="AF1414">
        <v>3</v>
      </c>
      <c r="AG1414">
        <v>2025</v>
      </c>
      <c r="AH1414" s="2">
        <v>19500</v>
      </c>
      <c r="AI1414" s="2">
        <v>24172.052734375</v>
      </c>
      <c r="AJ1414" s="2">
        <f t="shared" si="178"/>
        <v>4672.052734375</v>
      </c>
      <c r="AK1414" s="6">
        <f t="shared" si="179"/>
        <v>0.23959244791666667</v>
      </c>
      <c r="AL1414" s="12">
        <v>19500</v>
      </c>
      <c r="AM1414" s="12">
        <v>29087.719095360131</v>
      </c>
      <c r="AN1414" s="12">
        <f t="shared" si="180"/>
        <v>9587.7190953601312</v>
      </c>
      <c r="AO1414" s="13">
        <f t="shared" si="181"/>
        <v>0.4916779023261606</v>
      </c>
      <c r="AP1414" s="16">
        <v>19500</v>
      </c>
      <c r="AQ1414" s="16">
        <v>25340.222476364379</v>
      </c>
      <c r="AR1414" s="16">
        <f t="shared" si="182"/>
        <v>5840.222476364379</v>
      </c>
      <c r="AS1414" s="17">
        <f t="shared" si="176"/>
        <v>0.29949858853150663</v>
      </c>
      <c r="AT1414" s="20">
        <v>19500</v>
      </c>
      <c r="AU1414" s="20">
        <v>24822.734375</v>
      </c>
      <c r="AV1414" s="20">
        <f t="shared" si="177"/>
        <v>5322.734375</v>
      </c>
      <c r="AW1414" s="21">
        <f t="shared" si="183"/>
        <v>0.27296073717948716</v>
      </c>
    </row>
    <row r="1415" spans="1:49" x14ac:dyDescent="0.25">
      <c r="A1415" t="s">
        <v>38</v>
      </c>
      <c r="B1415" t="s">
        <v>96</v>
      </c>
      <c r="C1415">
        <v>133312</v>
      </c>
      <c r="D1415">
        <v>2015</v>
      </c>
      <c r="E1415" t="s">
        <v>142</v>
      </c>
      <c r="F1415" t="s">
        <v>633</v>
      </c>
      <c r="G1415" t="s">
        <v>634</v>
      </c>
      <c r="I1415">
        <v>6</v>
      </c>
      <c r="J1415" t="s">
        <v>253</v>
      </c>
      <c r="K1415">
        <v>4</v>
      </c>
      <c r="L1415" t="s">
        <v>44</v>
      </c>
      <c r="M1415">
        <v>3.6</v>
      </c>
      <c r="N1415" t="s">
        <v>91</v>
      </c>
      <c r="O1415" t="s">
        <v>46</v>
      </c>
      <c r="Q1415" t="s">
        <v>62</v>
      </c>
      <c r="R1415" t="s">
        <v>63</v>
      </c>
      <c r="S1415" t="s">
        <v>93</v>
      </c>
      <c r="U1415" t="s">
        <v>50</v>
      </c>
      <c r="X1415" t="s">
        <v>141</v>
      </c>
      <c r="Y1415" t="s">
        <v>78</v>
      </c>
      <c r="AA1415">
        <v>0</v>
      </c>
      <c r="AB1415" t="s">
        <v>79</v>
      </c>
      <c r="AC1415" t="s">
        <v>87</v>
      </c>
      <c r="AD1415">
        <v>36</v>
      </c>
      <c r="AE1415">
        <v>9</v>
      </c>
      <c r="AF1415">
        <v>3</v>
      </c>
      <c r="AG1415">
        <v>2025</v>
      </c>
      <c r="AH1415" s="2">
        <v>12500</v>
      </c>
      <c r="AI1415" s="2">
        <v>11006.1376953125</v>
      </c>
      <c r="AJ1415" s="2">
        <f t="shared" si="178"/>
        <v>1493.8623046875</v>
      </c>
      <c r="AK1415" s="6">
        <f t="shared" si="179"/>
        <v>0.119508984375</v>
      </c>
      <c r="AL1415" s="12">
        <v>12500</v>
      </c>
      <c r="AM1415" s="12">
        <v>10014.59199910479</v>
      </c>
      <c r="AN1415" s="12">
        <f t="shared" si="180"/>
        <v>2485.4080008952096</v>
      </c>
      <c r="AO1415" s="13">
        <f t="shared" si="181"/>
        <v>0.19883264007161677</v>
      </c>
      <c r="AP1415" s="16">
        <v>12500</v>
      </c>
      <c r="AQ1415" s="16">
        <v>11231.02131038183</v>
      </c>
      <c r="AR1415" s="16">
        <f t="shared" si="182"/>
        <v>1268.9786896181704</v>
      </c>
      <c r="AS1415" s="17">
        <f t="shared" si="176"/>
        <v>0.10151829516945363</v>
      </c>
      <c r="AT1415" s="20">
        <v>12500</v>
      </c>
      <c r="AU1415" s="20">
        <v>10961.0400390625</v>
      </c>
      <c r="AV1415" s="20">
        <f t="shared" si="177"/>
        <v>1538.9599609375</v>
      </c>
      <c r="AW1415" s="21">
        <f t="shared" si="183"/>
        <v>0.123116796875</v>
      </c>
    </row>
    <row r="1416" spans="1:49" x14ac:dyDescent="0.25">
      <c r="A1416" t="s">
        <v>38</v>
      </c>
      <c r="B1416" t="s">
        <v>39</v>
      </c>
      <c r="C1416">
        <v>134704</v>
      </c>
      <c r="D1416">
        <v>2016</v>
      </c>
      <c r="E1416" t="s">
        <v>166</v>
      </c>
      <c r="F1416" t="s">
        <v>167</v>
      </c>
      <c r="G1416" t="s">
        <v>411</v>
      </c>
      <c r="I1416">
        <v>6</v>
      </c>
      <c r="J1416" t="s">
        <v>135</v>
      </c>
      <c r="K1416">
        <v>4</v>
      </c>
      <c r="L1416" t="s">
        <v>44</v>
      </c>
      <c r="M1416">
        <v>3.5</v>
      </c>
      <c r="N1416" t="s">
        <v>45</v>
      </c>
      <c r="O1416" t="s">
        <v>46</v>
      </c>
      <c r="P1416">
        <v>3</v>
      </c>
      <c r="Q1416" t="s">
        <v>62</v>
      </c>
      <c r="R1416" t="s">
        <v>63</v>
      </c>
      <c r="S1416" t="s">
        <v>49</v>
      </c>
      <c r="T1416">
        <v>280</v>
      </c>
      <c r="U1416" t="s">
        <v>50</v>
      </c>
      <c r="V1416" t="s">
        <v>76</v>
      </c>
      <c r="W1416" t="s">
        <v>412</v>
      </c>
      <c r="X1416" t="s">
        <v>141</v>
      </c>
      <c r="Y1416" t="s">
        <v>78</v>
      </c>
      <c r="AA1416">
        <v>0</v>
      </c>
      <c r="AB1416" t="s">
        <v>79</v>
      </c>
      <c r="AC1416" t="s">
        <v>87</v>
      </c>
      <c r="AD1416">
        <v>36</v>
      </c>
      <c r="AE1416">
        <v>9</v>
      </c>
      <c r="AF1416">
        <v>3</v>
      </c>
      <c r="AG1416">
        <v>2025</v>
      </c>
      <c r="AH1416" s="2">
        <v>10100</v>
      </c>
      <c r="AI1416" s="2">
        <v>9005.31640625</v>
      </c>
      <c r="AJ1416" s="2">
        <f t="shared" si="178"/>
        <v>1094.68359375</v>
      </c>
      <c r="AK1416" s="6">
        <f t="shared" si="179"/>
        <v>0.10838451423267327</v>
      </c>
      <c r="AL1416" s="12">
        <v>10100</v>
      </c>
      <c r="AM1416" s="12">
        <v>7804.1499751865094</v>
      </c>
      <c r="AN1416" s="12">
        <f t="shared" si="180"/>
        <v>2295.8500248134906</v>
      </c>
      <c r="AO1416" s="13">
        <f t="shared" si="181"/>
        <v>0.22731188364490004</v>
      </c>
      <c r="AP1416" s="16">
        <v>10100</v>
      </c>
      <c r="AQ1416" s="16">
        <v>6878.1572986706888</v>
      </c>
      <c r="AR1416" s="16">
        <f t="shared" si="182"/>
        <v>3221.8427013293112</v>
      </c>
      <c r="AS1416" s="17">
        <f t="shared" si="176"/>
        <v>0.31899432686428825</v>
      </c>
      <c r="AT1416" s="20">
        <v>10100</v>
      </c>
      <c r="AU1416" s="20">
        <v>8904.5751953125</v>
      </c>
      <c r="AV1416" s="20">
        <f t="shared" si="177"/>
        <v>1195.4248046875</v>
      </c>
      <c r="AW1416" s="21">
        <f t="shared" si="183"/>
        <v>0.11835889155321783</v>
      </c>
    </row>
    <row r="1417" spans="1:49" x14ac:dyDescent="0.25">
      <c r="A1417" t="s">
        <v>38</v>
      </c>
      <c r="B1417" t="s">
        <v>39</v>
      </c>
      <c r="C1417">
        <v>102185</v>
      </c>
      <c r="D1417">
        <v>2019</v>
      </c>
      <c r="E1417" t="s">
        <v>40</v>
      </c>
      <c r="F1417" t="s">
        <v>297</v>
      </c>
      <c r="G1417" t="s">
        <v>991</v>
      </c>
      <c r="H1417" t="s">
        <v>863</v>
      </c>
      <c r="I1417">
        <v>4</v>
      </c>
      <c r="J1417" t="s">
        <v>135</v>
      </c>
      <c r="K1417">
        <v>4</v>
      </c>
      <c r="L1417" t="s">
        <v>44</v>
      </c>
      <c r="M1417">
        <v>2.5</v>
      </c>
      <c r="N1417" t="s">
        <v>45</v>
      </c>
      <c r="O1417" t="s">
        <v>46</v>
      </c>
      <c r="Q1417" t="s">
        <v>47</v>
      </c>
      <c r="R1417" t="s">
        <v>123</v>
      </c>
      <c r="S1417" t="s">
        <v>49</v>
      </c>
      <c r="T1417">
        <v>203</v>
      </c>
      <c r="U1417" t="s">
        <v>50</v>
      </c>
      <c r="V1417" t="s">
        <v>51</v>
      </c>
      <c r="W1417" t="s">
        <v>449</v>
      </c>
      <c r="X1417" t="s">
        <v>125</v>
      </c>
      <c r="Y1417" t="s">
        <v>78</v>
      </c>
      <c r="AA1417">
        <v>0</v>
      </c>
      <c r="AB1417" t="s">
        <v>79</v>
      </c>
      <c r="AC1417" t="s">
        <v>127</v>
      </c>
      <c r="AD1417">
        <v>36</v>
      </c>
      <c r="AE1417">
        <v>9</v>
      </c>
      <c r="AF1417">
        <v>3</v>
      </c>
      <c r="AG1417">
        <v>2025</v>
      </c>
      <c r="AH1417" s="2">
        <v>14000</v>
      </c>
      <c r="AI1417" s="2">
        <v>9733.5751953125</v>
      </c>
      <c r="AJ1417" s="2">
        <f t="shared" si="178"/>
        <v>4266.4248046875</v>
      </c>
      <c r="AK1417" s="6">
        <f t="shared" si="179"/>
        <v>0.30474462890624998</v>
      </c>
      <c r="AL1417" s="12">
        <v>14000</v>
      </c>
      <c r="AM1417" s="12">
        <v>9560.001228716932</v>
      </c>
      <c r="AN1417" s="12">
        <f t="shared" si="180"/>
        <v>4439.998771283068</v>
      </c>
      <c r="AO1417" s="13">
        <f t="shared" si="181"/>
        <v>0.31714276937736202</v>
      </c>
      <c r="AP1417" s="16">
        <v>14000</v>
      </c>
      <c r="AQ1417" s="16">
        <v>9430.5934286049687</v>
      </c>
      <c r="AR1417" s="16">
        <f t="shared" si="182"/>
        <v>4569.4065713950313</v>
      </c>
      <c r="AS1417" s="17">
        <f t="shared" si="176"/>
        <v>0.32638618367107364</v>
      </c>
      <c r="AT1417" s="20">
        <v>14000</v>
      </c>
      <c r="AU1417" s="20">
        <v>9752.978515625</v>
      </c>
      <c r="AV1417" s="20">
        <f t="shared" si="177"/>
        <v>4247.021484375</v>
      </c>
      <c r="AW1417" s="21">
        <f t="shared" si="183"/>
        <v>0.30335867745535716</v>
      </c>
    </row>
    <row r="1418" spans="1:49" x14ac:dyDescent="0.25">
      <c r="A1418" t="s">
        <v>114</v>
      </c>
      <c r="B1418" t="s">
        <v>115</v>
      </c>
      <c r="C1418">
        <v>193996</v>
      </c>
      <c r="D1418">
        <v>2017</v>
      </c>
      <c r="E1418" t="s">
        <v>174</v>
      </c>
      <c r="F1418" t="s">
        <v>645</v>
      </c>
      <c r="H1418" t="s">
        <v>1380</v>
      </c>
      <c r="I1418">
        <v>6</v>
      </c>
      <c r="J1418" t="s">
        <v>61</v>
      </c>
      <c r="K1418">
        <v>4</v>
      </c>
      <c r="L1418" t="s">
        <v>44</v>
      </c>
      <c r="M1418">
        <v>3.6</v>
      </c>
      <c r="N1418" t="s">
        <v>44</v>
      </c>
      <c r="O1418" t="s">
        <v>46</v>
      </c>
      <c r="Q1418" t="s">
        <v>62</v>
      </c>
      <c r="R1418" t="s">
        <v>63</v>
      </c>
      <c r="S1418" t="s">
        <v>85</v>
      </c>
      <c r="U1418" t="s">
        <v>50</v>
      </c>
      <c r="V1418" t="s">
        <v>76</v>
      </c>
      <c r="W1418" t="s">
        <v>833</v>
      </c>
      <c r="X1418" t="s">
        <v>94</v>
      </c>
      <c r="Y1418" t="s">
        <v>78</v>
      </c>
      <c r="AA1418">
        <v>0</v>
      </c>
      <c r="AB1418" t="s">
        <v>79</v>
      </c>
      <c r="AC1418" t="s">
        <v>87</v>
      </c>
      <c r="AD1418">
        <v>36</v>
      </c>
      <c r="AE1418">
        <v>9</v>
      </c>
      <c r="AF1418">
        <v>3</v>
      </c>
      <c r="AG1418">
        <v>2025</v>
      </c>
      <c r="AH1418" s="2">
        <v>6200</v>
      </c>
      <c r="AI1418" s="2">
        <v>3484.11279296875</v>
      </c>
      <c r="AJ1418" s="2">
        <f t="shared" si="178"/>
        <v>2715.88720703125</v>
      </c>
      <c r="AK1418" s="6">
        <f t="shared" si="179"/>
        <v>0.43804632371471774</v>
      </c>
      <c r="AL1418" s="12">
        <v>6200</v>
      </c>
      <c r="AM1418" s="12">
        <v>4311.4882854470679</v>
      </c>
      <c r="AN1418" s="12">
        <f t="shared" si="180"/>
        <v>1888.5117145529321</v>
      </c>
      <c r="AO1418" s="13">
        <f t="shared" si="181"/>
        <v>0.30459866363756971</v>
      </c>
      <c r="AP1418" s="16">
        <v>6200</v>
      </c>
      <c r="AQ1418" s="16">
        <v>3672.05245625008</v>
      </c>
      <c r="AR1418" s="16">
        <f t="shared" si="182"/>
        <v>2527.94754374992</v>
      </c>
      <c r="AS1418" s="17">
        <f t="shared" si="176"/>
        <v>0.40773347479837418</v>
      </c>
      <c r="AT1418" s="20">
        <v>6200</v>
      </c>
      <c r="AU1418" s="20">
        <v>3585.334716796875</v>
      </c>
      <c r="AV1418" s="20">
        <f t="shared" si="177"/>
        <v>2614.665283203125</v>
      </c>
      <c r="AW1418" s="21">
        <f t="shared" si="183"/>
        <v>0.42172020696824597</v>
      </c>
    </row>
    <row r="1419" spans="1:49" x14ac:dyDescent="0.25">
      <c r="A1419" t="s">
        <v>114</v>
      </c>
      <c r="B1419" t="s">
        <v>115</v>
      </c>
      <c r="C1419">
        <v>226508</v>
      </c>
      <c r="D1419">
        <v>2008</v>
      </c>
      <c r="E1419" t="s">
        <v>263</v>
      </c>
      <c r="F1419" t="s">
        <v>563</v>
      </c>
      <c r="G1419" t="s">
        <v>1381</v>
      </c>
      <c r="I1419">
        <v>4</v>
      </c>
      <c r="J1419" t="s">
        <v>61</v>
      </c>
      <c r="K1419">
        <v>4</v>
      </c>
      <c r="L1419" t="s">
        <v>44</v>
      </c>
      <c r="M1419">
        <v>2.2999999999999998</v>
      </c>
      <c r="N1419" t="s">
        <v>45</v>
      </c>
      <c r="O1419" t="s">
        <v>46</v>
      </c>
      <c r="Q1419" t="s">
        <v>47</v>
      </c>
      <c r="R1419" t="s">
        <v>123</v>
      </c>
      <c r="T1419">
        <v>146</v>
      </c>
      <c r="V1419" t="s">
        <v>51</v>
      </c>
      <c r="X1419" t="s">
        <v>125</v>
      </c>
      <c r="Y1419" t="s">
        <v>78</v>
      </c>
      <c r="AA1419">
        <v>0</v>
      </c>
      <c r="AB1419" t="s">
        <v>79</v>
      </c>
      <c r="AC1419" t="s">
        <v>127</v>
      </c>
      <c r="AD1419">
        <v>36</v>
      </c>
      <c r="AE1419">
        <v>9</v>
      </c>
      <c r="AF1419">
        <v>3</v>
      </c>
      <c r="AG1419">
        <v>2025</v>
      </c>
      <c r="AH1419" s="2">
        <v>400</v>
      </c>
      <c r="AI1419" s="2">
        <v>668.556884765625</v>
      </c>
      <c r="AJ1419" s="2">
        <f t="shared" si="178"/>
        <v>268.556884765625</v>
      </c>
      <c r="AK1419" s="6">
        <f t="shared" si="179"/>
        <v>0.67139221191406251</v>
      </c>
      <c r="AL1419" s="12">
        <v>400</v>
      </c>
      <c r="AM1419" s="12">
        <v>669.03537276980069</v>
      </c>
      <c r="AN1419" s="12">
        <f t="shared" si="180"/>
        <v>269.03537276980069</v>
      </c>
      <c r="AO1419" s="13">
        <f t="shared" si="181"/>
        <v>0.67258843192450168</v>
      </c>
      <c r="AP1419" s="16">
        <v>400</v>
      </c>
      <c r="AQ1419" s="16">
        <v>532.98838648170658</v>
      </c>
      <c r="AR1419" s="16">
        <f t="shared" si="182"/>
        <v>132.98838648170658</v>
      </c>
      <c r="AS1419" s="17">
        <f t="shared" si="176"/>
        <v>0.33247096620426647</v>
      </c>
      <c r="AT1419" s="20">
        <v>400</v>
      </c>
      <c r="AU1419" s="20">
        <v>648.20440673828125</v>
      </c>
      <c r="AV1419" s="20">
        <f t="shared" si="177"/>
        <v>248.20440673828125</v>
      </c>
      <c r="AW1419" s="21">
        <f t="shared" si="183"/>
        <v>0.62051101684570309</v>
      </c>
    </row>
    <row r="1420" spans="1:49" x14ac:dyDescent="0.25">
      <c r="A1420" t="s">
        <v>38</v>
      </c>
      <c r="B1420" t="s">
        <v>39</v>
      </c>
      <c r="C1420">
        <v>109024</v>
      </c>
      <c r="D1420">
        <v>2015</v>
      </c>
      <c r="E1420" t="s">
        <v>69</v>
      </c>
      <c r="F1420" t="s">
        <v>873</v>
      </c>
      <c r="G1420" t="s">
        <v>457</v>
      </c>
      <c r="I1420">
        <v>6</v>
      </c>
      <c r="J1420" t="s">
        <v>61</v>
      </c>
      <c r="K1420">
        <v>4</v>
      </c>
      <c r="L1420" t="s">
        <v>44</v>
      </c>
      <c r="M1420">
        <v>2.7</v>
      </c>
      <c r="N1420" t="s">
        <v>45</v>
      </c>
      <c r="O1420" t="s">
        <v>46</v>
      </c>
      <c r="Q1420" t="s">
        <v>62</v>
      </c>
      <c r="R1420" t="s">
        <v>63</v>
      </c>
      <c r="S1420" t="s">
        <v>101</v>
      </c>
      <c r="U1420" t="s">
        <v>50</v>
      </c>
      <c r="V1420" t="s">
        <v>76</v>
      </c>
      <c r="X1420" t="s">
        <v>141</v>
      </c>
      <c r="Y1420" t="s">
        <v>103</v>
      </c>
      <c r="AA1420">
        <v>0</v>
      </c>
      <c r="AB1420" t="s">
        <v>79</v>
      </c>
      <c r="AC1420" t="s">
        <v>87</v>
      </c>
      <c r="AD1420">
        <v>36</v>
      </c>
      <c r="AE1420">
        <v>9</v>
      </c>
      <c r="AF1420">
        <v>3</v>
      </c>
      <c r="AG1420">
        <v>2025</v>
      </c>
      <c r="AH1420" s="2">
        <v>8500</v>
      </c>
      <c r="AI1420" s="2">
        <v>5730.2470703125</v>
      </c>
      <c r="AJ1420" s="2">
        <f t="shared" si="178"/>
        <v>2769.7529296875</v>
      </c>
      <c r="AK1420" s="6">
        <f t="shared" si="179"/>
        <v>0.32585328584558826</v>
      </c>
      <c r="AL1420" s="12">
        <v>8500</v>
      </c>
      <c r="AM1420" s="12">
        <v>5936.5999283529864</v>
      </c>
      <c r="AN1420" s="12">
        <f t="shared" si="180"/>
        <v>2563.4000716470136</v>
      </c>
      <c r="AO1420" s="13">
        <f t="shared" si="181"/>
        <v>0.30157647901729573</v>
      </c>
      <c r="AP1420" s="16">
        <v>8500</v>
      </c>
      <c r="AQ1420" s="16">
        <v>5396.3805930790431</v>
      </c>
      <c r="AR1420" s="16">
        <f t="shared" si="182"/>
        <v>3103.6194069209569</v>
      </c>
      <c r="AS1420" s="17">
        <f t="shared" si="176"/>
        <v>0.3651316949318773</v>
      </c>
      <c r="AT1420" s="20">
        <v>8500</v>
      </c>
      <c r="AU1420" s="20">
        <v>5759.140625</v>
      </c>
      <c r="AV1420" s="20">
        <f t="shared" si="177"/>
        <v>2740.859375</v>
      </c>
      <c r="AW1420" s="21">
        <f t="shared" si="183"/>
        <v>0.32245404411764705</v>
      </c>
    </row>
    <row r="1421" spans="1:49" x14ac:dyDescent="0.25">
      <c r="A1421" t="s">
        <v>38</v>
      </c>
      <c r="B1421" t="s">
        <v>110</v>
      </c>
      <c r="C1421">
        <v>90647</v>
      </c>
      <c r="D1421">
        <v>2019</v>
      </c>
      <c r="E1421" t="s">
        <v>146</v>
      </c>
      <c r="F1421" t="s">
        <v>279</v>
      </c>
      <c r="I1421">
        <v>4</v>
      </c>
      <c r="J1421" t="s">
        <v>106</v>
      </c>
      <c r="K1421">
        <v>4</v>
      </c>
      <c r="L1421" t="s">
        <v>44</v>
      </c>
      <c r="M1421">
        <v>1.8</v>
      </c>
      <c r="N1421" t="s">
        <v>45</v>
      </c>
      <c r="O1421" t="s">
        <v>46</v>
      </c>
      <c r="Q1421" t="s">
        <v>47</v>
      </c>
      <c r="R1421" t="s">
        <v>123</v>
      </c>
      <c r="S1421" t="s">
        <v>49</v>
      </c>
      <c r="U1421" t="s">
        <v>50</v>
      </c>
      <c r="X1421" t="s">
        <v>125</v>
      </c>
      <c r="Y1421" t="s">
        <v>126</v>
      </c>
      <c r="AA1421">
        <v>0</v>
      </c>
      <c r="AB1421" t="s">
        <v>79</v>
      </c>
      <c r="AC1421" t="s">
        <v>127</v>
      </c>
      <c r="AD1421">
        <v>36</v>
      </c>
      <c r="AE1421">
        <v>9</v>
      </c>
      <c r="AF1421">
        <v>3</v>
      </c>
      <c r="AG1421">
        <v>2025</v>
      </c>
      <c r="AH1421" s="2">
        <v>4200</v>
      </c>
      <c r="AI1421" s="2">
        <v>5069.83349609375</v>
      </c>
      <c r="AJ1421" s="2">
        <f t="shared" si="178"/>
        <v>869.83349609375</v>
      </c>
      <c r="AK1421" s="6">
        <f t="shared" si="179"/>
        <v>0.20710321335565476</v>
      </c>
      <c r="AL1421" s="12">
        <v>4200</v>
      </c>
      <c r="AM1421" s="12">
        <v>5769.490710119303</v>
      </c>
      <c r="AN1421" s="12">
        <f t="shared" si="180"/>
        <v>1569.490710119303</v>
      </c>
      <c r="AO1421" s="13">
        <f t="shared" si="181"/>
        <v>0.37368826431411978</v>
      </c>
      <c r="AP1421" s="16">
        <v>4200</v>
      </c>
      <c r="AQ1421" s="16">
        <v>4017.992315488963</v>
      </c>
      <c r="AR1421" s="16">
        <f t="shared" si="182"/>
        <v>182.00768451103704</v>
      </c>
      <c r="AS1421" s="17">
        <f t="shared" si="176"/>
        <v>4.3335162978818342E-2</v>
      </c>
      <c r="AT1421" s="20">
        <v>4200</v>
      </c>
      <c r="AU1421" s="20">
        <v>5149.8154296875</v>
      </c>
      <c r="AV1421" s="20">
        <f t="shared" si="177"/>
        <v>949.8154296875</v>
      </c>
      <c r="AW1421" s="21">
        <f t="shared" si="183"/>
        <v>0.2261465308779762</v>
      </c>
    </row>
    <row r="1422" spans="1:49" x14ac:dyDescent="0.25">
      <c r="A1422" t="s">
        <v>38</v>
      </c>
      <c r="B1422" t="s">
        <v>68</v>
      </c>
      <c r="C1422">
        <v>70512</v>
      </c>
      <c r="D1422">
        <v>2009</v>
      </c>
      <c r="E1422" t="s">
        <v>174</v>
      </c>
      <c r="F1422" t="s">
        <v>645</v>
      </c>
      <c r="G1422" t="s">
        <v>1382</v>
      </c>
      <c r="H1422" t="s">
        <v>177</v>
      </c>
      <c r="I1422">
        <v>6</v>
      </c>
      <c r="J1422" t="s">
        <v>106</v>
      </c>
      <c r="K1422">
        <v>4</v>
      </c>
      <c r="L1422" t="s">
        <v>44</v>
      </c>
      <c r="M1422">
        <v>3.6</v>
      </c>
      <c r="N1422" t="s">
        <v>45</v>
      </c>
      <c r="O1422" t="s">
        <v>46</v>
      </c>
      <c r="P1422">
        <v>4</v>
      </c>
      <c r="Q1422" t="s">
        <v>62</v>
      </c>
      <c r="R1422" t="s">
        <v>63</v>
      </c>
      <c r="S1422" t="s">
        <v>101</v>
      </c>
      <c r="U1422" t="s">
        <v>50</v>
      </c>
      <c r="X1422" t="s">
        <v>94</v>
      </c>
      <c r="Y1422" t="s">
        <v>78</v>
      </c>
      <c r="AA1422">
        <v>0</v>
      </c>
      <c r="AB1422" t="s">
        <v>79</v>
      </c>
      <c r="AC1422" t="s">
        <v>87</v>
      </c>
      <c r="AD1422">
        <v>36</v>
      </c>
      <c r="AE1422">
        <v>9</v>
      </c>
      <c r="AF1422">
        <v>3</v>
      </c>
      <c r="AG1422">
        <v>2025</v>
      </c>
      <c r="AH1422" s="2">
        <v>3200</v>
      </c>
      <c r="AI1422" s="2">
        <v>4565.3037109375</v>
      </c>
      <c r="AJ1422" s="2">
        <f t="shared" si="178"/>
        <v>1365.3037109375</v>
      </c>
      <c r="AK1422" s="6">
        <f t="shared" si="179"/>
        <v>0.42665740966796872</v>
      </c>
      <c r="AL1422" s="12">
        <v>3200</v>
      </c>
      <c r="AM1422" s="12">
        <v>4118.4352696598989</v>
      </c>
      <c r="AN1422" s="12">
        <f t="shared" si="180"/>
        <v>918.43526965989895</v>
      </c>
      <c r="AO1422" s="13">
        <f t="shared" si="181"/>
        <v>0.2870110217687184</v>
      </c>
      <c r="AP1422" s="16">
        <v>3200</v>
      </c>
      <c r="AQ1422" s="16">
        <v>3831.5963842824931</v>
      </c>
      <c r="AR1422" s="16">
        <f t="shared" si="182"/>
        <v>631.59638428249309</v>
      </c>
      <c r="AS1422" s="17">
        <f t="shared" si="176"/>
        <v>0.19737387008827909</v>
      </c>
      <c r="AT1422" s="20">
        <v>3200</v>
      </c>
      <c r="AU1422" s="20">
        <v>4566.7626953125</v>
      </c>
      <c r="AV1422" s="20">
        <f t="shared" si="177"/>
        <v>1366.7626953125</v>
      </c>
      <c r="AW1422" s="21">
        <f t="shared" si="183"/>
        <v>0.42711334228515624</v>
      </c>
    </row>
    <row r="1423" spans="1:49" x14ac:dyDescent="0.25">
      <c r="A1423" t="s">
        <v>38</v>
      </c>
      <c r="B1423" t="s">
        <v>68</v>
      </c>
      <c r="C1423">
        <v>67616</v>
      </c>
      <c r="D1423">
        <v>2019</v>
      </c>
      <c r="E1423" t="s">
        <v>162</v>
      </c>
      <c r="F1423" t="s">
        <v>674</v>
      </c>
      <c r="G1423" t="s">
        <v>1383</v>
      </c>
      <c r="I1423">
        <v>4</v>
      </c>
      <c r="J1423" t="s">
        <v>43</v>
      </c>
      <c r="K1423">
        <v>4</v>
      </c>
      <c r="L1423" t="s">
        <v>44</v>
      </c>
      <c r="M1423">
        <v>2.4</v>
      </c>
      <c r="N1423" t="s">
        <v>45</v>
      </c>
      <c r="O1423" t="s">
        <v>46</v>
      </c>
      <c r="P1423">
        <v>4</v>
      </c>
      <c r="Q1423" t="s">
        <v>62</v>
      </c>
      <c r="R1423" t="s">
        <v>63</v>
      </c>
      <c r="S1423" t="s">
        <v>49</v>
      </c>
      <c r="T1423">
        <v>181</v>
      </c>
      <c r="U1423" t="s">
        <v>50</v>
      </c>
      <c r="W1423" t="s">
        <v>1384</v>
      </c>
      <c r="X1423" t="s">
        <v>65</v>
      </c>
      <c r="Y1423" t="s">
        <v>66</v>
      </c>
      <c r="AA1423">
        <v>0</v>
      </c>
      <c r="AB1423" t="s">
        <v>79</v>
      </c>
      <c r="AC1423" t="s">
        <v>87</v>
      </c>
      <c r="AD1423">
        <v>36</v>
      </c>
      <c r="AE1423">
        <v>9</v>
      </c>
      <c r="AF1423">
        <v>3</v>
      </c>
      <c r="AG1423">
        <v>2025</v>
      </c>
      <c r="AH1423" s="2">
        <v>11800</v>
      </c>
      <c r="AI1423" s="2">
        <v>13853.5546875</v>
      </c>
      <c r="AJ1423" s="2">
        <f t="shared" si="178"/>
        <v>2053.5546875</v>
      </c>
      <c r="AK1423" s="6">
        <f t="shared" si="179"/>
        <v>0.17403005826271187</v>
      </c>
      <c r="AL1423" s="12">
        <v>11800</v>
      </c>
      <c r="AM1423" s="12">
        <v>12532.23304379818</v>
      </c>
      <c r="AN1423" s="12">
        <f t="shared" si="180"/>
        <v>732.23304379818001</v>
      </c>
      <c r="AO1423" s="13">
        <f t="shared" si="181"/>
        <v>6.2053647779506782E-2</v>
      </c>
      <c r="AP1423" s="16">
        <v>11800</v>
      </c>
      <c r="AQ1423" s="16">
        <v>12997.26089349788</v>
      </c>
      <c r="AR1423" s="16">
        <f t="shared" si="182"/>
        <v>1197.2608934978798</v>
      </c>
      <c r="AS1423" s="17">
        <f t="shared" si="176"/>
        <v>0.10146278758456609</v>
      </c>
      <c r="AT1423" s="20">
        <v>11800</v>
      </c>
      <c r="AU1423" s="20">
        <v>13663.966796875</v>
      </c>
      <c r="AV1423" s="20">
        <f t="shared" si="177"/>
        <v>1863.966796875</v>
      </c>
      <c r="AW1423" s="21">
        <f t="shared" si="183"/>
        <v>0.15796328787076272</v>
      </c>
    </row>
    <row r="1424" spans="1:49" x14ac:dyDescent="0.25">
      <c r="A1424" t="s">
        <v>38</v>
      </c>
      <c r="B1424" t="s">
        <v>110</v>
      </c>
      <c r="C1424">
        <v>84030</v>
      </c>
      <c r="D1424">
        <v>2020</v>
      </c>
      <c r="E1424" t="s">
        <v>88</v>
      </c>
      <c r="F1424" t="s">
        <v>89</v>
      </c>
      <c r="G1424" t="s">
        <v>685</v>
      </c>
      <c r="H1424" t="s">
        <v>90</v>
      </c>
      <c r="I1424">
        <v>8</v>
      </c>
      <c r="J1424" t="s">
        <v>122</v>
      </c>
      <c r="K1424">
        <v>4</v>
      </c>
      <c r="L1424" t="s">
        <v>44</v>
      </c>
      <c r="M1424">
        <v>5.7</v>
      </c>
      <c r="N1424" t="s">
        <v>73</v>
      </c>
      <c r="Q1424" t="s">
        <v>74</v>
      </c>
      <c r="R1424" t="s">
        <v>92</v>
      </c>
      <c r="S1424" t="s">
        <v>49</v>
      </c>
      <c r="T1424">
        <v>395</v>
      </c>
      <c r="U1424" t="s">
        <v>50</v>
      </c>
      <c r="V1424" t="s">
        <v>76</v>
      </c>
      <c r="X1424" t="s">
        <v>94</v>
      </c>
      <c r="Y1424" t="s">
        <v>78</v>
      </c>
      <c r="AA1424">
        <v>0</v>
      </c>
      <c r="AB1424" t="s">
        <v>79</v>
      </c>
      <c r="AC1424" t="s">
        <v>95</v>
      </c>
      <c r="AD1424">
        <v>36</v>
      </c>
      <c r="AE1424">
        <v>9</v>
      </c>
      <c r="AF1424">
        <v>3</v>
      </c>
      <c r="AG1424">
        <v>2025</v>
      </c>
      <c r="AH1424" s="2">
        <v>25000</v>
      </c>
      <c r="AI1424" s="2">
        <v>24086.1015625</v>
      </c>
      <c r="AJ1424" s="2">
        <f t="shared" si="178"/>
        <v>913.8984375</v>
      </c>
      <c r="AK1424" s="6">
        <f t="shared" si="179"/>
        <v>3.6555937500000003E-2</v>
      </c>
      <c r="AL1424" s="12">
        <v>25000</v>
      </c>
      <c r="AM1424" s="12">
        <v>19594.206055973518</v>
      </c>
      <c r="AN1424" s="12">
        <f t="shared" si="180"/>
        <v>5405.7939440264818</v>
      </c>
      <c r="AO1424" s="13">
        <f t="shared" si="181"/>
        <v>0.21623175776105927</v>
      </c>
      <c r="AP1424" s="16">
        <v>25000</v>
      </c>
      <c r="AQ1424" s="16">
        <v>22029.282657296852</v>
      </c>
      <c r="AR1424" s="16">
        <f t="shared" si="182"/>
        <v>2970.7173427031485</v>
      </c>
      <c r="AS1424" s="17">
        <f t="shared" si="176"/>
        <v>0.11882869370812593</v>
      </c>
      <c r="AT1424" s="20">
        <v>25000</v>
      </c>
      <c r="AU1424" s="20">
        <v>23332.53125</v>
      </c>
      <c r="AV1424" s="20">
        <f t="shared" si="177"/>
        <v>1667.46875</v>
      </c>
      <c r="AW1424" s="21">
        <f t="shared" si="183"/>
        <v>6.6698750000000001E-2</v>
      </c>
    </row>
    <row r="1425" spans="1:49" x14ac:dyDescent="0.25">
      <c r="A1425" t="s">
        <v>38</v>
      </c>
      <c r="B1425" t="s">
        <v>39</v>
      </c>
      <c r="C1425">
        <v>107099</v>
      </c>
      <c r="D1425">
        <v>2006</v>
      </c>
      <c r="E1425" t="s">
        <v>40</v>
      </c>
      <c r="F1425" t="s">
        <v>201</v>
      </c>
      <c r="H1425" t="s">
        <v>376</v>
      </c>
      <c r="I1425">
        <v>4</v>
      </c>
      <c r="J1425" t="s">
        <v>135</v>
      </c>
      <c r="K1425">
        <v>4</v>
      </c>
      <c r="L1425" t="s">
        <v>358</v>
      </c>
      <c r="M1425">
        <v>1.8</v>
      </c>
      <c r="N1425" t="s">
        <v>45</v>
      </c>
      <c r="O1425" t="s">
        <v>46</v>
      </c>
      <c r="Q1425" t="s">
        <v>47</v>
      </c>
      <c r="R1425" t="s">
        <v>123</v>
      </c>
      <c r="S1425" t="s">
        <v>49</v>
      </c>
      <c r="T1425">
        <v>126</v>
      </c>
      <c r="U1425" t="s">
        <v>50</v>
      </c>
      <c r="V1425" t="s">
        <v>51</v>
      </c>
      <c r="W1425" t="s">
        <v>1385</v>
      </c>
      <c r="X1425" t="s">
        <v>125</v>
      </c>
      <c r="Y1425" t="s">
        <v>78</v>
      </c>
      <c r="AA1425">
        <v>0</v>
      </c>
      <c r="AB1425" t="s">
        <v>79</v>
      </c>
      <c r="AC1425" t="s">
        <v>127</v>
      </c>
      <c r="AD1425">
        <v>36</v>
      </c>
      <c r="AE1425">
        <v>9</v>
      </c>
      <c r="AF1425">
        <v>3</v>
      </c>
      <c r="AG1425">
        <v>2025</v>
      </c>
      <c r="AH1425" s="2">
        <v>3000</v>
      </c>
      <c r="AI1425" s="2">
        <v>2292.813232421875</v>
      </c>
      <c r="AJ1425" s="2">
        <f t="shared" si="178"/>
        <v>707.186767578125</v>
      </c>
      <c r="AK1425" s="6">
        <f t="shared" si="179"/>
        <v>0.23572892252604166</v>
      </c>
      <c r="AL1425" s="12">
        <v>3000</v>
      </c>
      <c r="AM1425" s="12">
        <v>1967.771005939363</v>
      </c>
      <c r="AN1425" s="12">
        <f t="shared" si="180"/>
        <v>1032.228994060637</v>
      </c>
      <c r="AO1425" s="13">
        <f t="shared" si="181"/>
        <v>0.34407633135354565</v>
      </c>
      <c r="AP1425" s="16">
        <v>3000</v>
      </c>
      <c r="AQ1425" s="16">
        <v>1787.196055086273</v>
      </c>
      <c r="AR1425" s="16">
        <f t="shared" si="182"/>
        <v>1212.803944913727</v>
      </c>
      <c r="AS1425" s="17">
        <f t="shared" si="176"/>
        <v>0.404267981637909</v>
      </c>
      <c r="AT1425" s="20">
        <v>3000</v>
      </c>
      <c r="AU1425" s="20">
        <v>2305.921142578125</v>
      </c>
      <c r="AV1425" s="20">
        <f t="shared" si="177"/>
        <v>694.078857421875</v>
      </c>
      <c r="AW1425" s="21">
        <f t="shared" si="183"/>
        <v>0.231359619140625</v>
      </c>
    </row>
    <row r="1426" spans="1:49" x14ac:dyDescent="0.25">
      <c r="A1426" t="s">
        <v>128</v>
      </c>
      <c r="B1426" t="s">
        <v>819</v>
      </c>
      <c r="C1426">
        <v>16682</v>
      </c>
      <c r="D1426">
        <v>2024</v>
      </c>
      <c r="E1426" t="s">
        <v>286</v>
      </c>
      <c r="F1426" t="s">
        <v>240</v>
      </c>
      <c r="G1426" t="s">
        <v>1386</v>
      </c>
      <c r="H1426" t="s">
        <v>1387</v>
      </c>
      <c r="I1426">
        <v>6</v>
      </c>
      <c r="J1426" t="s">
        <v>72</v>
      </c>
      <c r="K1426">
        <v>4</v>
      </c>
      <c r="L1426" t="s">
        <v>44</v>
      </c>
      <c r="M1426">
        <v>3.4</v>
      </c>
      <c r="N1426" t="s">
        <v>91</v>
      </c>
      <c r="Q1426" t="s">
        <v>62</v>
      </c>
      <c r="R1426" t="s">
        <v>63</v>
      </c>
      <c r="S1426" t="s">
        <v>93</v>
      </c>
      <c r="T1426">
        <v>409</v>
      </c>
      <c r="U1426" t="s">
        <v>50</v>
      </c>
      <c r="V1426" t="s">
        <v>76</v>
      </c>
      <c r="W1426" t="s">
        <v>1072</v>
      </c>
      <c r="X1426" t="s">
        <v>108</v>
      </c>
      <c r="Y1426" t="s">
        <v>54</v>
      </c>
      <c r="AA1426">
        <v>0</v>
      </c>
      <c r="AB1426" t="s">
        <v>79</v>
      </c>
      <c r="AC1426" t="s">
        <v>87</v>
      </c>
      <c r="AD1426">
        <v>36</v>
      </c>
      <c r="AE1426">
        <v>9</v>
      </c>
      <c r="AF1426">
        <v>3</v>
      </c>
      <c r="AG1426">
        <v>2025</v>
      </c>
      <c r="AH1426" s="2">
        <v>98000</v>
      </c>
      <c r="AI1426" s="2">
        <v>107562.578125</v>
      </c>
      <c r="AJ1426" s="2">
        <f t="shared" si="178"/>
        <v>9562.578125</v>
      </c>
      <c r="AK1426" s="6">
        <f t="shared" si="179"/>
        <v>9.7577327806122452E-2</v>
      </c>
      <c r="AL1426" s="12">
        <v>98000</v>
      </c>
      <c r="AM1426" s="12">
        <v>91625.913876455175</v>
      </c>
      <c r="AN1426" s="12">
        <f t="shared" si="180"/>
        <v>6374.0861235448247</v>
      </c>
      <c r="AO1426" s="13">
        <f t="shared" si="181"/>
        <v>6.5041695138212494E-2</v>
      </c>
      <c r="AP1426" s="16">
        <v>98000</v>
      </c>
      <c r="AQ1426" s="16">
        <v>75622.288383641004</v>
      </c>
      <c r="AR1426" s="16">
        <f t="shared" si="182"/>
        <v>22377.711616358996</v>
      </c>
      <c r="AS1426" s="17">
        <f t="shared" si="176"/>
        <v>0.22834399608529587</v>
      </c>
      <c r="AT1426" s="20">
        <v>98000</v>
      </c>
      <c r="AU1426" s="20">
        <v>88943.4453125</v>
      </c>
      <c r="AV1426" s="20">
        <f t="shared" si="177"/>
        <v>9056.5546875</v>
      </c>
      <c r="AW1426" s="21">
        <f t="shared" si="183"/>
        <v>9.2413823341836732E-2</v>
      </c>
    </row>
    <row r="1427" spans="1:49" x14ac:dyDescent="0.25">
      <c r="A1427" t="s">
        <v>38</v>
      </c>
      <c r="B1427" t="s">
        <v>68</v>
      </c>
      <c r="C1427">
        <v>106580</v>
      </c>
      <c r="D1427">
        <v>2020</v>
      </c>
      <c r="E1427" t="s">
        <v>69</v>
      </c>
      <c r="F1427" t="s">
        <v>475</v>
      </c>
      <c r="H1427" t="s">
        <v>259</v>
      </c>
      <c r="I1427">
        <v>8</v>
      </c>
      <c r="J1427" t="s">
        <v>106</v>
      </c>
      <c r="K1427">
        <v>4</v>
      </c>
      <c r="L1427" t="s">
        <v>44</v>
      </c>
      <c r="M1427">
        <v>6.2</v>
      </c>
      <c r="N1427" t="s">
        <v>91</v>
      </c>
      <c r="O1427" t="s">
        <v>46</v>
      </c>
      <c r="P1427">
        <v>2</v>
      </c>
      <c r="Q1427" t="s">
        <v>74</v>
      </c>
      <c r="R1427" t="s">
        <v>92</v>
      </c>
      <c r="S1427" t="s">
        <v>93</v>
      </c>
      <c r="T1427">
        <v>383</v>
      </c>
      <c r="U1427" t="s">
        <v>50</v>
      </c>
      <c r="V1427" t="s">
        <v>76</v>
      </c>
      <c r="X1427" t="s">
        <v>230</v>
      </c>
      <c r="Y1427" t="s">
        <v>78</v>
      </c>
      <c r="AA1427">
        <v>0</v>
      </c>
      <c r="AB1427" t="s">
        <v>79</v>
      </c>
      <c r="AC1427" t="s">
        <v>95</v>
      </c>
      <c r="AD1427">
        <v>36</v>
      </c>
      <c r="AE1427">
        <v>9</v>
      </c>
      <c r="AF1427">
        <v>3</v>
      </c>
      <c r="AG1427">
        <v>2025</v>
      </c>
      <c r="AH1427" s="2">
        <v>20250</v>
      </c>
      <c r="AI1427" s="2">
        <v>18150.4921875</v>
      </c>
      <c r="AJ1427" s="2">
        <f t="shared" si="178"/>
        <v>2099.5078125</v>
      </c>
      <c r="AK1427" s="6">
        <f t="shared" si="179"/>
        <v>0.10367939814814815</v>
      </c>
      <c r="AL1427" s="12">
        <v>20250</v>
      </c>
      <c r="AM1427" s="12">
        <v>18446.329331443569</v>
      </c>
      <c r="AN1427" s="12">
        <f t="shared" si="180"/>
        <v>1803.6706685564313</v>
      </c>
      <c r="AO1427" s="13">
        <f t="shared" si="181"/>
        <v>8.907015647192254E-2</v>
      </c>
      <c r="AP1427" s="16">
        <v>20250</v>
      </c>
      <c r="AQ1427" s="16">
        <v>18017.588627967991</v>
      </c>
      <c r="AR1427" s="16">
        <f t="shared" si="182"/>
        <v>2232.4113720320092</v>
      </c>
      <c r="AS1427" s="17">
        <f t="shared" si="176"/>
        <v>0.11024253689046959</v>
      </c>
      <c r="AT1427" s="20">
        <v>20250</v>
      </c>
      <c r="AU1427" s="20">
        <v>17970.4609375</v>
      </c>
      <c r="AV1427" s="20">
        <f t="shared" si="177"/>
        <v>2279.5390625</v>
      </c>
      <c r="AW1427" s="21">
        <f t="shared" si="183"/>
        <v>0.11256983024691358</v>
      </c>
    </row>
    <row r="1428" spans="1:49" x14ac:dyDescent="0.25">
      <c r="A1428" t="s">
        <v>38</v>
      </c>
      <c r="B1428" t="s">
        <v>96</v>
      </c>
      <c r="C1428">
        <v>124133</v>
      </c>
      <c r="D1428">
        <v>2006</v>
      </c>
      <c r="E1428" t="s">
        <v>305</v>
      </c>
      <c r="F1428" t="s">
        <v>1388</v>
      </c>
      <c r="H1428" t="s">
        <v>1388</v>
      </c>
      <c r="I1428">
        <v>6</v>
      </c>
      <c r="J1428" t="s">
        <v>277</v>
      </c>
      <c r="K1428">
        <v>4</v>
      </c>
      <c r="L1428" t="s">
        <v>44</v>
      </c>
      <c r="M1428">
        <v>3</v>
      </c>
      <c r="N1428" t="s">
        <v>45</v>
      </c>
      <c r="O1428" t="s">
        <v>46</v>
      </c>
      <c r="Q1428" t="s">
        <v>47</v>
      </c>
      <c r="R1428" t="s">
        <v>123</v>
      </c>
      <c r="T1428">
        <v>210</v>
      </c>
      <c r="U1428" t="s">
        <v>50</v>
      </c>
      <c r="V1428" t="s">
        <v>76</v>
      </c>
      <c r="X1428" t="s">
        <v>125</v>
      </c>
      <c r="Y1428" t="s">
        <v>126</v>
      </c>
      <c r="AA1428">
        <v>0</v>
      </c>
      <c r="AB1428" t="s">
        <v>79</v>
      </c>
      <c r="AC1428" t="s">
        <v>127</v>
      </c>
      <c r="AD1428">
        <v>36</v>
      </c>
      <c r="AE1428">
        <v>9</v>
      </c>
      <c r="AF1428">
        <v>3</v>
      </c>
      <c r="AG1428">
        <v>2025</v>
      </c>
      <c r="AH1428" s="2">
        <v>800</v>
      </c>
      <c r="AI1428" s="2">
        <v>1170.8583984375</v>
      </c>
      <c r="AJ1428" s="2">
        <f t="shared" si="178"/>
        <v>370.8583984375</v>
      </c>
      <c r="AK1428" s="6">
        <f t="shared" si="179"/>
        <v>0.46357299804687502</v>
      </c>
      <c r="AL1428" s="12">
        <v>800</v>
      </c>
      <c r="AM1428" s="12">
        <v>1240.737860909242</v>
      </c>
      <c r="AN1428" s="12">
        <f t="shared" si="180"/>
        <v>440.73786090924204</v>
      </c>
      <c r="AO1428" s="13">
        <f t="shared" si="181"/>
        <v>0.55092232613655256</v>
      </c>
      <c r="AP1428" s="16">
        <v>800</v>
      </c>
      <c r="AQ1428" s="16">
        <v>1191.820862677363</v>
      </c>
      <c r="AR1428" s="16">
        <f t="shared" si="182"/>
        <v>391.82086267736304</v>
      </c>
      <c r="AS1428" s="17">
        <f t="shared" si="176"/>
        <v>0.48977607834670378</v>
      </c>
      <c r="AT1428" s="20">
        <v>800</v>
      </c>
      <c r="AU1428" s="20">
        <v>1162.204833984375</v>
      </c>
      <c r="AV1428" s="20">
        <f t="shared" si="177"/>
        <v>362.204833984375</v>
      </c>
      <c r="AW1428" s="21">
        <f t="shared" si="183"/>
        <v>0.45275604248046875</v>
      </c>
    </row>
    <row r="1429" spans="1:49" x14ac:dyDescent="0.25">
      <c r="A1429" t="s">
        <v>128</v>
      </c>
      <c r="B1429" t="s">
        <v>129</v>
      </c>
      <c r="C1429">
        <v>143785</v>
      </c>
      <c r="D1429">
        <v>2017</v>
      </c>
      <c r="E1429" t="s">
        <v>116</v>
      </c>
      <c r="F1429" t="s">
        <v>251</v>
      </c>
      <c r="G1429" t="s">
        <v>865</v>
      </c>
      <c r="H1429" t="s">
        <v>866</v>
      </c>
      <c r="I1429">
        <v>4</v>
      </c>
      <c r="K1429">
        <v>4</v>
      </c>
      <c r="L1429" t="s">
        <v>44</v>
      </c>
      <c r="M1429">
        <v>2.4</v>
      </c>
      <c r="N1429" t="s">
        <v>45</v>
      </c>
      <c r="Q1429" t="s">
        <v>62</v>
      </c>
      <c r="R1429" t="s">
        <v>63</v>
      </c>
      <c r="S1429" t="s">
        <v>101</v>
      </c>
      <c r="T1429">
        <v>173</v>
      </c>
      <c r="U1429" t="s">
        <v>50</v>
      </c>
      <c r="V1429" t="s">
        <v>51</v>
      </c>
      <c r="X1429" t="s">
        <v>141</v>
      </c>
      <c r="Y1429" t="s">
        <v>126</v>
      </c>
      <c r="Z1429">
        <v>21195</v>
      </c>
      <c r="AA1429">
        <v>0</v>
      </c>
      <c r="AB1429" t="s">
        <v>79</v>
      </c>
      <c r="AC1429" t="s">
        <v>87</v>
      </c>
      <c r="AD1429">
        <v>36</v>
      </c>
      <c r="AE1429">
        <v>9</v>
      </c>
      <c r="AF1429">
        <v>3</v>
      </c>
      <c r="AG1429">
        <v>2025</v>
      </c>
      <c r="AH1429" s="2">
        <v>1000</v>
      </c>
      <c r="AI1429" s="2">
        <v>2552.18310546875</v>
      </c>
      <c r="AJ1429" s="2">
        <f t="shared" si="178"/>
        <v>1552.18310546875</v>
      </c>
      <c r="AK1429" s="6">
        <f t="shared" si="179"/>
        <v>1.55218310546875</v>
      </c>
      <c r="AL1429" s="12">
        <v>1000</v>
      </c>
      <c r="AM1429" s="12">
        <v>3027.2161514087979</v>
      </c>
      <c r="AN1429" s="12">
        <f t="shared" si="180"/>
        <v>2027.2161514087979</v>
      </c>
      <c r="AO1429" s="13">
        <f t="shared" si="181"/>
        <v>2.0272161514087981</v>
      </c>
      <c r="AP1429" s="16">
        <v>1000</v>
      </c>
      <c r="AQ1429" s="16">
        <v>2314.7506913991492</v>
      </c>
      <c r="AR1429" s="16">
        <f t="shared" si="182"/>
        <v>1314.7506913991492</v>
      </c>
      <c r="AS1429" s="17">
        <f t="shared" si="176"/>
        <v>1.3147506913991491</v>
      </c>
      <c r="AT1429" s="20">
        <v>1000</v>
      </c>
      <c r="AU1429" s="20">
        <v>2582.436767578125</v>
      </c>
      <c r="AV1429" s="20">
        <f t="shared" si="177"/>
        <v>1582.436767578125</v>
      </c>
      <c r="AW1429" s="21">
        <f t="shared" si="183"/>
        <v>1.582436767578125</v>
      </c>
    </row>
    <row r="1430" spans="1:49" x14ac:dyDescent="0.25">
      <c r="A1430" t="s">
        <v>38</v>
      </c>
      <c r="B1430" t="s">
        <v>110</v>
      </c>
      <c r="C1430">
        <v>55434</v>
      </c>
      <c r="D1430">
        <v>2013</v>
      </c>
      <c r="E1430" t="s">
        <v>146</v>
      </c>
      <c r="F1430" t="s">
        <v>334</v>
      </c>
      <c r="I1430">
        <v>4</v>
      </c>
      <c r="J1430" t="s">
        <v>72</v>
      </c>
      <c r="K1430">
        <v>4</v>
      </c>
      <c r="L1430" t="s">
        <v>44</v>
      </c>
      <c r="M1430">
        <v>2.5</v>
      </c>
      <c r="N1430" t="s">
        <v>45</v>
      </c>
      <c r="Q1430" t="s">
        <v>47</v>
      </c>
      <c r="R1430" t="s">
        <v>123</v>
      </c>
      <c r="S1430" t="s">
        <v>49</v>
      </c>
      <c r="U1430" t="s">
        <v>50</v>
      </c>
      <c r="X1430" t="s">
        <v>125</v>
      </c>
      <c r="Y1430" t="s">
        <v>78</v>
      </c>
      <c r="AA1430">
        <v>0</v>
      </c>
      <c r="AB1430" t="s">
        <v>79</v>
      </c>
      <c r="AC1430" t="s">
        <v>127</v>
      </c>
      <c r="AD1430">
        <v>36</v>
      </c>
      <c r="AE1430">
        <v>9</v>
      </c>
      <c r="AF1430">
        <v>3</v>
      </c>
      <c r="AG1430">
        <v>2025</v>
      </c>
      <c r="AH1430" s="2">
        <v>4750</v>
      </c>
      <c r="AI1430" s="2">
        <v>4351.88623046875</v>
      </c>
      <c r="AJ1430" s="2">
        <f t="shared" si="178"/>
        <v>398.11376953125</v>
      </c>
      <c r="AK1430" s="6">
        <f t="shared" si="179"/>
        <v>8.3813425164473682E-2</v>
      </c>
      <c r="AL1430" s="12">
        <v>4750</v>
      </c>
      <c r="AM1430" s="12">
        <v>4395.9802300396896</v>
      </c>
      <c r="AN1430" s="12">
        <f t="shared" si="180"/>
        <v>354.01976996031044</v>
      </c>
      <c r="AO1430" s="13">
        <f t="shared" si="181"/>
        <v>7.4530477886381147E-2</v>
      </c>
      <c r="AP1430" s="16">
        <v>4750</v>
      </c>
      <c r="AQ1430" s="16">
        <v>4137.0820443410339</v>
      </c>
      <c r="AR1430" s="16">
        <f t="shared" si="182"/>
        <v>612.91795565896609</v>
      </c>
      <c r="AS1430" s="17">
        <f t="shared" si="176"/>
        <v>0.12903535908609812</v>
      </c>
      <c r="AT1430" s="20">
        <v>4750</v>
      </c>
      <c r="AU1430" s="20">
        <v>4404.6416015625</v>
      </c>
      <c r="AV1430" s="20">
        <f t="shared" si="177"/>
        <v>345.3583984375</v>
      </c>
      <c r="AW1430" s="21">
        <f t="shared" si="183"/>
        <v>7.2707031249999998E-2</v>
      </c>
    </row>
    <row r="1431" spans="1:49" x14ac:dyDescent="0.25">
      <c r="A1431" t="s">
        <v>38</v>
      </c>
      <c r="B1431" t="s">
        <v>68</v>
      </c>
      <c r="C1431">
        <v>93939</v>
      </c>
      <c r="D1431">
        <v>2019</v>
      </c>
      <c r="E1431" t="s">
        <v>97</v>
      </c>
      <c r="F1431" t="s">
        <v>752</v>
      </c>
      <c r="G1431" t="s">
        <v>155</v>
      </c>
      <c r="H1431" t="s">
        <v>312</v>
      </c>
      <c r="I1431">
        <v>8</v>
      </c>
      <c r="J1431" t="s">
        <v>106</v>
      </c>
      <c r="K1431">
        <v>4</v>
      </c>
      <c r="L1431" t="s">
        <v>44</v>
      </c>
      <c r="M1431">
        <v>6</v>
      </c>
      <c r="N1431" t="s">
        <v>91</v>
      </c>
      <c r="O1431" t="s">
        <v>46</v>
      </c>
      <c r="P1431">
        <v>2</v>
      </c>
      <c r="Q1431" t="s">
        <v>74</v>
      </c>
      <c r="R1431" t="s">
        <v>92</v>
      </c>
      <c r="U1431" t="s">
        <v>50</v>
      </c>
      <c r="W1431" t="s">
        <v>490</v>
      </c>
      <c r="X1431" t="s">
        <v>230</v>
      </c>
      <c r="Y1431" t="s">
        <v>78</v>
      </c>
      <c r="AA1431">
        <v>0</v>
      </c>
      <c r="AB1431" t="s">
        <v>79</v>
      </c>
      <c r="AC1431" t="s">
        <v>95</v>
      </c>
      <c r="AD1431">
        <v>36</v>
      </c>
      <c r="AE1431">
        <v>9</v>
      </c>
      <c r="AF1431">
        <v>3</v>
      </c>
      <c r="AG1431">
        <v>2025</v>
      </c>
      <c r="AH1431" s="2">
        <v>19500</v>
      </c>
      <c r="AI1431" s="2">
        <v>20043.349609375</v>
      </c>
      <c r="AJ1431" s="2">
        <f t="shared" si="178"/>
        <v>543.349609375</v>
      </c>
      <c r="AK1431" s="6">
        <f t="shared" si="179"/>
        <v>2.7864082532051283E-2</v>
      </c>
      <c r="AL1431" s="12">
        <v>19500</v>
      </c>
      <c r="AM1431" s="12">
        <v>17674.223621010689</v>
      </c>
      <c r="AN1431" s="12">
        <f t="shared" si="180"/>
        <v>1825.7763789893106</v>
      </c>
      <c r="AO1431" s="13">
        <f t="shared" si="181"/>
        <v>9.3629557896887719E-2</v>
      </c>
      <c r="AP1431" s="16">
        <v>19500</v>
      </c>
      <c r="AQ1431" s="16">
        <v>17252.11108917389</v>
      </c>
      <c r="AR1431" s="16">
        <f t="shared" si="182"/>
        <v>2247.8889108261101</v>
      </c>
      <c r="AS1431" s="17">
        <f t="shared" si="176"/>
        <v>0.11527635440133897</v>
      </c>
      <c r="AT1431" s="20">
        <v>19500</v>
      </c>
      <c r="AU1431" s="20">
        <v>19425.630859375</v>
      </c>
      <c r="AV1431" s="20">
        <f t="shared" si="177"/>
        <v>74.369140625</v>
      </c>
      <c r="AW1431" s="21">
        <f t="shared" si="183"/>
        <v>3.8138020833333335E-3</v>
      </c>
    </row>
    <row r="1432" spans="1:49" x14ac:dyDescent="0.25">
      <c r="A1432" t="s">
        <v>38</v>
      </c>
      <c r="B1432" t="s">
        <v>96</v>
      </c>
      <c r="C1432">
        <v>111784</v>
      </c>
      <c r="D1432">
        <v>2023</v>
      </c>
      <c r="E1432" t="s">
        <v>97</v>
      </c>
      <c r="F1432" t="s">
        <v>470</v>
      </c>
      <c r="G1432" t="s">
        <v>513</v>
      </c>
      <c r="I1432">
        <v>4</v>
      </c>
      <c r="J1432" t="s">
        <v>135</v>
      </c>
      <c r="K1432">
        <v>4</v>
      </c>
      <c r="L1432" t="s">
        <v>44</v>
      </c>
      <c r="M1432">
        <v>1.5</v>
      </c>
      <c r="N1432" t="s">
        <v>45</v>
      </c>
      <c r="O1432" t="s">
        <v>46</v>
      </c>
      <c r="P1432">
        <v>4</v>
      </c>
      <c r="Q1432" t="s">
        <v>47</v>
      </c>
      <c r="R1432" t="s">
        <v>123</v>
      </c>
      <c r="U1432" t="s">
        <v>50</v>
      </c>
      <c r="V1432" t="s">
        <v>51</v>
      </c>
      <c r="W1432" t="s">
        <v>751</v>
      </c>
      <c r="X1432" t="s">
        <v>125</v>
      </c>
      <c r="Y1432" t="s">
        <v>78</v>
      </c>
      <c r="AA1432">
        <v>0</v>
      </c>
      <c r="AB1432" t="s">
        <v>79</v>
      </c>
      <c r="AC1432" t="s">
        <v>127</v>
      </c>
      <c r="AD1432">
        <v>36</v>
      </c>
      <c r="AE1432">
        <v>9</v>
      </c>
      <c r="AF1432">
        <v>3</v>
      </c>
      <c r="AG1432">
        <v>2025</v>
      </c>
      <c r="AH1432" s="2">
        <v>11250</v>
      </c>
      <c r="AI1432" s="2">
        <v>13476.625</v>
      </c>
      <c r="AJ1432" s="2">
        <f t="shared" si="178"/>
        <v>2226.625</v>
      </c>
      <c r="AK1432" s="6">
        <f t="shared" si="179"/>
        <v>0.19792222222222222</v>
      </c>
      <c r="AL1432" s="12">
        <v>11250</v>
      </c>
      <c r="AM1432" s="12">
        <v>13494.93306794851</v>
      </c>
      <c r="AN1432" s="12">
        <f t="shared" si="180"/>
        <v>2244.9330679485101</v>
      </c>
      <c r="AO1432" s="13">
        <f t="shared" si="181"/>
        <v>0.19954960603986757</v>
      </c>
      <c r="AP1432" s="16">
        <v>11250</v>
      </c>
      <c r="AQ1432" s="16">
        <v>11694.551980140061</v>
      </c>
      <c r="AR1432" s="16">
        <f t="shared" si="182"/>
        <v>444.55198014006055</v>
      </c>
      <c r="AS1432" s="17">
        <f t="shared" si="176"/>
        <v>3.9515731568005384E-2</v>
      </c>
      <c r="AT1432" s="20">
        <v>11250</v>
      </c>
      <c r="AU1432" s="20">
        <v>13490.1669921875</v>
      </c>
      <c r="AV1432" s="20">
        <f t="shared" si="177"/>
        <v>2240.1669921875</v>
      </c>
      <c r="AW1432" s="21">
        <f t="shared" si="183"/>
        <v>0.19912595486111112</v>
      </c>
    </row>
    <row r="1433" spans="1:49" x14ac:dyDescent="0.25">
      <c r="A1433" t="s">
        <v>38</v>
      </c>
      <c r="B1433" t="s">
        <v>110</v>
      </c>
      <c r="C1433">
        <v>75236</v>
      </c>
      <c r="D1433">
        <v>2020</v>
      </c>
      <c r="E1433" t="s">
        <v>263</v>
      </c>
      <c r="F1433" t="s">
        <v>264</v>
      </c>
      <c r="G1433" t="s">
        <v>1389</v>
      </c>
      <c r="I1433">
        <v>4</v>
      </c>
      <c r="J1433" t="s">
        <v>72</v>
      </c>
      <c r="K1433">
        <v>4</v>
      </c>
      <c r="L1433" t="s">
        <v>44</v>
      </c>
      <c r="M1433">
        <v>2.5</v>
      </c>
      <c r="N1433" t="s">
        <v>45</v>
      </c>
      <c r="Q1433" t="s">
        <v>62</v>
      </c>
      <c r="R1433" t="s">
        <v>63</v>
      </c>
      <c r="S1433" t="s">
        <v>49</v>
      </c>
      <c r="T1433">
        <v>187</v>
      </c>
      <c r="U1433" t="s">
        <v>50</v>
      </c>
      <c r="V1433" t="s">
        <v>51</v>
      </c>
      <c r="W1433" t="s">
        <v>1390</v>
      </c>
      <c r="X1433" t="s">
        <v>65</v>
      </c>
      <c r="Y1433" t="s">
        <v>54</v>
      </c>
      <c r="Z1433">
        <v>30210</v>
      </c>
      <c r="AA1433">
        <v>0</v>
      </c>
      <c r="AB1433" t="s">
        <v>79</v>
      </c>
      <c r="AC1433" t="s">
        <v>87</v>
      </c>
      <c r="AD1433">
        <v>36</v>
      </c>
      <c r="AE1433">
        <v>9</v>
      </c>
      <c r="AF1433">
        <v>3</v>
      </c>
      <c r="AG1433">
        <v>2025</v>
      </c>
      <c r="AH1433" s="2">
        <v>16000</v>
      </c>
      <c r="AI1433" s="2">
        <v>14631.3349609375</v>
      </c>
      <c r="AJ1433" s="2">
        <f t="shared" si="178"/>
        <v>1368.6650390625</v>
      </c>
      <c r="AK1433" s="6">
        <f t="shared" si="179"/>
        <v>8.5541564941406245E-2</v>
      </c>
      <c r="AL1433" s="12">
        <v>16000</v>
      </c>
      <c r="AM1433" s="12">
        <v>12734.279887011229</v>
      </c>
      <c r="AN1433" s="12">
        <f t="shared" si="180"/>
        <v>3265.7201129887708</v>
      </c>
      <c r="AO1433" s="13">
        <f t="shared" si="181"/>
        <v>0.20410750706179817</v>
      </c>
      <c r="AP1433" s="16">
        <v>16000</v>
      </c>
      <c r="AQ1433" s="16">
        <v>13772.64642557484</v>
      </c>
      <c r="AR1433" s="16">
        <f t="shared" si="182"/>
        <v>2227.3535744251603</v>
      </c>
      <c r="AS1433" s="17">
        <f t="shared" si="176"/>
        <v>0.13920959840157252</v>
      </c>
      <c r="AT1433" s="20">
        <v>16000</v>
      </c>
      <c r="AU1433" s="20">
        <v>14109.548828125</v>
      </c>
      <c r="AV1433" s="20">
        <f t="shared" si="177"/>
        <v>1890.451171875</v>
      </c>
      <c r="AW1433" s="21">
        <f t="shared" si="183"/>
        <v>0.11815319824218749</v>
      </c>
    </row>
    <row r="1434" spans="1:49" x14ac:dyDescent="0.25">
      <c r="A1434" t="s">
        <v>38</v>
      </c>
      <c r="B1434" t="s">
        <v>68</v>
      </c>
      <c r="C1434">
        <v>161260</v>
      </c>
      <c r="D1434">
        <v>2018</v>
      </c>
      <c r="E1434" t="s">
        <v>40</v>
      </c>
      <c r="F1434" t="s">
        <v>233</v>
      </c>
      <c r="G1434" t="s">
        <v>452</v>
      </c>
      <c r="H1434" t="s">
        <v>453</v>
      </c>
      <c r="I1434">
        <v>4</v>
      </c>
      <c r="J1434" t="s">
        <v>135</v>
      </c>
      <c r="K1434">
        <v>4</v>
      </c>
      <c r="L1434" t="s">
        <v>44</v>
      </c>
      <c r="M1434">
        <v>2.5</v>
      </c>
      <c r="N1434" t="s">
        <v>45</v>
      </c>
      <c r="O1434" t="s">
        <v>46</v>
      </c>
      <c r="Q1434" t="s">
        <v>62</v>
      </c>
      <c r="R1434" t="s">
        <v>63</v>
      </c>
      <c r="S1434" t="s">
        <v>49</v>
      </c>
      <c r="T1434">
        <v>176</v>
      </c>
      <c r="U1434" t="s">
        <v>50</v>
      </c>
      <c r="V1434" t="s">
        <v>51</v>
      </c>
      <c r="W1434" t="s">
        <v>236</v>
      </c>
      <c r="X1434" t="s">
        <v>65</v>
      </c>
      <c r="Y1434" t="s">
        <v>54</v>
      </c>
      <c r="Z1434">
        <v>25750</v>
      </c>
      <c r="AA1434">
        <v>0</v>
      </c>
      <c r="AB1434" t="s">
        <v>79</v>
      </c>
      <c r="AC1434" t="s">
        <v>87</v>
      </c>
      <c r="AD1434">
        <v>36</v>
      </c>
      <c r="AE1434">
        <v>9</v>
      </c>
      <c r="AF1434">
        <v>3</v>
      </c>
      <c r="AG1434">
        <v>2025</v>
      </c>
      <c r="AH1434" s="2">
        <v>9000</v>
      </c>
      <c r="AI1434" s="2">
        <v>6520.51318359375</v>
      </c>
      <c r="AJ1434" s="2">
        <f t="shared" si="178"/>
        <v>2479.48681640625</v>
      </c>
      <c r="AK1434" s="6">
        <f t="shared" si="179"/>
        <v>0.27549853515625</v>
      </c>
      <c r="AL1434" s="12">
        <v>9000</v>
      </c>
      <c r="AM1434" s="12">
        <v>6695.5586050678457</v>
      </c>
      <c r="AN1434" s="12">
        <f t="shared" si="180"/>
        <v>2304.4413949321543</v>
      </c>
      <c r="AO1434" s="13">
        <f t="shared" si="181"/>
        <v>0.25604904388135047</v>
      </c>
      <c r="AP1434" s="16">
        <v>9000</v>
      </c>
      <c r="AQ1434" s="16">
        <v>6050.8563871386104</v>
      </c>
      <c r="AR1434" s="16">
        <f t="shared" si="182"/>
        <v>2949.1436128613896</v>
      </c>
      <c r="AS1434" s="17">
        <f t="shared" si="176"/>
        <v>0.32768262365126549</v>
      </c>
      <c r="AT1434" s="20">
        <v>9000</v>
      </c>
      <c r="AU1434" s="20">
        <v>6562.09130859375</v>
      </c>
      <c r="AV1434" s="20">
        <f t="shared" si="177"/>
        <v>2437.90869140625</v>
      </c>
      <c r="AW1434" s="21">
        <f t="shared" si="183"/>
        <v>0.27087874348958335</v>
      </c>
    </row>
    <row r="1435" spans="1:49" x14ac:dyDescent="0.25">
      <c r="A1435" t="s">
        <v>38</v>
      </c>
      <c r="B1435" t="s">
        <v>39</v>
      </c>
      <c r="C1435">
        <v>257882</v>
      </c>
      <c r="D1435">
        <v>2003</v>
      </c>
      <c r="E1435" t="s">
        <v>69</v>
      </c>
      <c r="F1435" t="s">
        <v>231</v>
      </c>
      <c r="H1435" t="s">
        <v>832</v>
      </c>
      <c r="I1435">
        <v>8</v>
      </c>
      <c r="J1435" t="s">
        <v>61</v>
      </c>
      <c r="K1435">
        <v>4</v>
      </c>
      <c r="L1435" t="s">
        <v>44</v>
      </c>
      <c r="M1435">
        <v>5.4</v>
      </c>
      <c r="N1435" t="s">
        <v>73</v>
      </c>
      <c r="O1435" t="s">
        <v>46</v>
      </c>
      <c r="P1435">
        <v>2</v>
      </c>
      <c r="Q1435" t="s">
        <v>74</v>
      </c>
      <c r="R1435" t="s">
        <v>92</v>
      </c>
      <c r="S1435" t="s">
        <v>49</v>
      </c>
      <c r="T1435">
        <v>260</v>
      </c>
      <c r="U1435" t="s">
        <v>50</v>
      </c>
      <c r="V1435" t="s">
        <v>76</v>
      </c>
      <c r="X1435" t="s">
        <v>94</v>
      </c>
      <c r="Y1435" t="s">
        <v>78</v>
      </c>
      <c r="AA1435">
        <v>0</v>
      </c>
      <c r="AB1435" t="s">
        <v>79</v>
      </c>
      <c r="AC1435" t="s">
        <v>95</v>
      </c>
      <c r="AD1435">
        <v>36</v>
      </c>
      <c r="AE1435">
        <v>9</v>
      </c>
      <c r="AF1435">
        <v>3</v>
      </c>
      <c r="AG1435">
        <v>2025</v>
      </c>
      <c r="AH1435" s="2">
        <v>1400</v>
      </c>
      <c r="AI1435" s="2">
        <v>1316.34033203125</v>
      </c>
      <c r="AJ1435" s="2">
        <f t="shared" si="178"/>
        <v>83.65966796875</v>
      </c>
      <c r="AK1435" s="6">
        <f t="shared" si="179"/>
        <v>5.9756905691964284E-2</v>
      </c>
      <c r="AL1435" s="12">
        <v>1400</v>
      </c>
      <c r="AM1435" s="12">
        <v>1170.7779615934419</v>
      </c>
      <c r="AN1435" s="12">
        <f t="shared" si="180"/>
        <v>229.22203840655811</v>
      </c>
      <c r="AO1435" s="13">
        <f t="shared" si="181"/>
        <v>0.16373002743325579</v>
      </c>
      <c r="AP1435" s="16">
        <v>1400</v>
      </c>
      <c r="AQ1435" s="16">
        <v>1347.749227382287</v>
      </c>
      <c r="AR1435" s="16">
        <f t="shared" si="182"/>
        <v>52.250772617712983</v>
      </c>
      <c r="AS1435" s="17">
        <f t="shared" si="176"/>
        <v>3.7321980441223562E-2</v>
      </c>
      <c r="AT1435" s="20">
        <v>1400</v>
      </c>
      <c r="AU1435" s="20">
        <v>1274.56201171875</v>
      </c>
      <c r="AV1435" s="20">
        <f t="shared" si="177"/>
        <v>125.43798828125</v>
      </c>
      <c r="AW1435" s="21">
        <f t="shared" si="183"/>
        <v>8.9598563058035721E-2</v>
      </c>
    </row>
    <row r="1436" spans="1:49" x14ac:dyDescent="0.25">
      <c r="A1436" t="s">
        <v>38</v>
      </c>
      <c r="B1436" t="s">
        <v>110</v>
      </c>
      <c r="C1436">
        <v>103057</v>
      </c>
      <c r="D1436">
        <v>2019</v>
      </c>
      <c r="E1436" t="s">
        <v>345</v>
      </c>
      <c r="F1436" t="s">
        <v>502</v>
      </c>
      <c r="G1436" t="s">
        <v>503</v>
      </c>
      <c r="I1436">
        <v>6</v>
      </c>
      <c r="J1436" t="s">
        <v>72</v>
      </c>
      <c r="K1436">
        <v>4</v>
      </c>
      <c r="L1436" t="s">
        <v>44</v>
      </c>
      <c r="M1436">
        <v>3</v>
      </c>
      <c r="N1436" t="s">
        <v>44</v>
      </c>
      <c r="O1436" t="s">
        <v>46</v>
      </c>
      <c r="P1436">
        <v>3</v>
      </c>
      <c r="Q1436" t="s">
        <v>62</v>
      </c>
      <c r="R1436" t="s">
        <v>63</v>
      </c>
      <c r="S1436" t="s">
        <v>85</v>
      </c>
      <c r="T1436">
        <v>335</v>
      </c>
      <c r="U1436" t="s">
        <v>50</v>
      </c>
      <c r="X1436" t="s">
        <v>94</v>
      </c>
      <c r="Y1436" t="s">
        <v>78</v>
      </c>
      <c r="Z1436">
        <v>60700</v>
      </c>
      <c r="AA1436">
        <v>0</v>
      </c>
      <c r="AB1436" t="s">
        <v>79</v>
      </c>
      <c r="AC1436" t="s">
        <v>87</v>
      </c>
      <c r="AD1436">
        <v>36</v>
      </c>
      <c r="AE1436">
        <v>9</v>
      </c>
      <c r="AF1436">
        <v>3</v>
      </c>
      <c r="AG1436">
        <v>2025</v>
      </c>
      <c r="AH1436" s="2">
        <v>19000</v>
      </c>
      <c r="AI1436" s="2">
        <v>12660.298828125</v>
      </c>
      <c r="AJ1436" s="2">
        <f t="shared" si="178"/>
        <v>6339.701171875</v>
      </c>
      <c r="AK1436" s="6">
        <f t="shared" si="179"/>
        <v>0.33366848273026317</v>
      </c>
      <c r="AL1436" s="12">
        <v>19000</v>
      </c>
      <c r="AM1436" s="12">
        <v>15712.15844072767</v>
      </c>
      <c r="AN1436" s="12">
        <f t="shared" si="180"/>
        <v>3287.8415592723304</v>
      </c>
      <c r="AO1436" s="13">
        <f t="shared" si="181"/>
        <v>0.17304429259328055</v>
      </c>
      <c r="AP1436" s="16">
        <v>19000</v>
      </c>
      <c r="AQ1436" s="16">
        <v>15157.37725438634</v>
      </c>
      <c r="AR1436" s="16">
        <f t="shared" si="182"/>
        <v>3842.6227456136603</v>
      </c>
      <c r="AS1436" s="17">
        <f t="shared" si="176"/>
        <v>0.20224330240071897</v>
      </c>
      <c r="AT1436" s="20">
        <v>19000</v>
      </c>
      <c r="AU1436" s="20">
        <v>13269.12890625</v>
      </c>
      <c r="AV1436" s="20">
        <f t="shared" si="177"/>
        <v>5730.87109375</v>
      </c>
      <c r="AW1436" s="21">
        <f t="shared" si="183"/>
        <v>0.30162479440789475</v>
      </c>
    </row>
    <row r="1437" spans="1:49" x14ac:dyDescent="0.25">
      <c r="A1437" t="s">
        <v>38</v>
      </c>
      <c r="B1437" t="s">
        <v>96</v>
      </c>
      <c r="C1437">
        <v>53695</v>
      </c>
      <c r="D1437">
        <v>2017</v>
      </c>
      <c r="E1437" t="s">
        <v>341</v>
      </c>
      <c r="F1437" t="s">
        <v>574</v>
      </c>
      <c r="G1437" t="s">
        <v>541</v>
      </c>
      <c r="I1437">
        <v>6</v>
      </c>
      <c r="J1437" t="s">
        <v>241</v>
      </c>
      <c r="K1437">
        <v>4</v>
      </c>
      <c r="L1437" t="s">
        <v>44</v>
      </c>
      <c r="M1437">
        <v>3.6</v>
      </c>
      <c r="N1437" t="s">
        <v>45</v>
      </c>
      <c r="O1437" t="s">
        <v>46</v>
      </c>
      <c r="P1437">
        <v>3</v>
      </c>
      <c r="Q1437" t="s">
        <v>62</v>
      </c>
      <c r="R1437" t="s">
        <v>63</v>
      </c>
      <c r="S1437" t="s">
        <v>101</v>
      </c>
      <c r="U1437" t="s">
        <v>50</v>
      </c>
      <c r="V1437" t="s">
        <v>76</v>
      </c>
      <c r="W1437" t="s">
        <v>1391</v>
      </c>
      <c r="X1437" t="s">
        <v>94</v>
      </c>
      <c r="Y1437" t="s">
        <v>78</v>
      </c>
      <c r="Z1437">
        <v>47625</v>
      </c>
      <c r="AA1437">
        <v>0</v>
      </c>
      <c r="AB1437" t="s">
        <v>79</v>
      </c>
      <c r="AC1437" t="s">
        <v>109</v>
      </c>
      <c r="AD1437">
        <v>36</v>
      </c>
      <c r="AE1437">
        <v>9</v>
      </c>
      <c r="AF1437">
        <v>3</v>
      </c>
      <c r="AG1437">
        <v>2025</v>
      </c>
      <c r="AH1437" s="2">
        <v>11400</v>
      </c>
      <c r="AI1437" s="2">
        <v>15490.2294921875</v>
      </c>
      <c r="AJ1437" s="2">
        <f t="shared" si="178"/>
        <v>4090.2294921875</v>
      </c>
      <c r="AK1437" s="6">
        <f t="shared" si="179"/>
        <v>0.35879206071820174</v>
      </c>
      <c r="AL1437" s="12">
        <v>11400</v>
      </c>
      <c r="AM1437" s="12">
        <v>14577.327492661159</v>
      </c>
      <c r="AN1437" s="12">
        <f t="shared" si="180"/>
        <v>3177.3274926611593</v>
      </c>
      <c r="AO1437" s="13">
        <f t="shared" si="181"/>
        <v>0.27871293795273328</v>
      </c>
      <c r="AP1437" s="16">
        <v>11400</v>
      </c>
      <c r="AQ1437" s="16">
        <v>13033.49086925952</v>
      </c>
      <c r="AR1437" s="16">
        <f t="shared" si="182"/>
        <v>1633.49086925952</v>
      </c>
      <c r="AS1437" s="17">
        <f t="shared" si="176"/>
        <v>0.14328867274206317</v>
      </c>
      <c r="AT1437" s="20">
        <v>11400</v>
      </c>
      <c r="AU1437" s="20">
        <v>15190.26953125</v>
      </c>
      <c r="AV1437" s="20">
        <f t="shared" si="177"/>
        <v>3790.26953125</v>
      </c>
      <c r="AW1437" s="21">
        <f t="shared" si="183"/>
        <v>0.33247978344298246</v>
      </c>
    </row>
    <row r="1438" spans="1:49" x14ac:dyDescent="0.25">
      <c r="A1438" t="s">
        <v>38</v>
      </c>
      <c r="B1438" t="s">
        <v>39</v>
      </c>
      <c r="C1438">
        <v>60742</v>
      </c>
      <c r="D1438">
        <v>2022</v>
      </c>
      <c r="E1438" t="s">
        <v>116</v>
      </c>
      <c r="F1438" t="s">
        <v>237</v>
      </c>
      <c r="H1438" t="s">
        <v>195</v>
      </c>
      <c r="I1438">
        <v>8</v>
      </c>
      <c r="J1438" t="s">
        <v>43</v>
      </c>
      <c r="K1438">
        <v>4</v>
      </c>
      <c r="L1438" t="s">
        <v>44</v>
      </c>
      <c r="M1438">
        <v>5.7</v>
      </c>
      <c r="N1438" t="s">
        <v>73</v>
      </c>
      <c r="O1438" t="s">
        <v>46</v>
      </c>
      <c r="Q1438" t="s">
        <v>47</v>
      </c>
      <c r="R1438" t="s">
        <v>123</v>
      </c>
      <c r="S1438" t="s">
        <v>179</v>
      </c>
      <c r="T1438">
        <v>370</v>
      </c>
      <c r="U1438" t="s">
        <v>50</v>
      </c>
      <c r="V1438" t="s">
        <v>76</v>
      </c>
      <c r="X1438" t="s">
        <v>125</v>
      </c>
      <c r="Y1438" t="s">
        <v>103</v>
      </c>
      <c r="AA1438">
        <v>0</v>
      </c>
      <c r="AB1438" t="s">
        <v>79</v>
      </c>
      <c r="AC1438" t="s">
        <v>127</v>
      </c>
      <c r="AD1438">
        <v>36</v>
      </c>
      <c r="AE1438">
        <v>9</v>
      </c>
      <c r="AF1438">
        <v>3</v>
      </c>
      <c r="AG1438">
        <v>2025</v>
      </c>
      <c r="AH1438" s="2">
        <v>28000</v>
      </c>
      <c r="AI1438" s="2">
        <v>25277.52734375</v>
      </c>
      <c r="AJ1438" s="2">
        <f t="shared" si="178"/>
        <v>2722.47265625</v>
      </c>
      <c r="AK1438" s="6">
        <f t="shared" si="179"/>
        <v>9.723116629464286E-2</v>
      </c>
      <c r="AL1438" s="12">
        <v>28000</v>
      </c>
      <c r="AM1438" s="12">
        <v>30380.2588986767</v>
      </c>
      <c r="AN1438" s="12">
        <f t="shared" si="180"/>
        <v>2380.2588986767005</v>
      </c>
      <c r="AO1438" s="13">
        <f t="shared" si="181"/>
        <v>8.500924638131073E-2</v>
      </c>
      <c r="AP1438" s="16">
        <v>28000</v>
      </c>
      <c r="AQ1438" s="16">
        <v>22545.384062624529</v>
      </c>
      <c r="AR1438" s="16">
        <f t="shared" si="182"/>
        <v>5454.6159373754708</v>
      </c>
      <c r="AS1438" s="17">
        <f t="shared" si="176"/>
        <v>0.19480771204912395</v>
      </c>
      <c r="AT1438" s="20">
        <v>28000</v>
      </c>
      <c r="AU1438" s="20">
        <v>26030.703125</v>
      </c>
      <c r="AV1438" s="20">
        <f t="shared" si="177"/>
        <v>1969.296875</v>
      </c>
      <c r="AW1438" s="21">
        <f t="shared" si="183"/>
        <v>7.0332031249999996E-2</v>
      </c>
    </row>
    <row r="1439" spans="1:49" x14ac:dyDescent="0.25">
      <c r="A1439" t="s">
        <v>38</v>
      </c>
      <c r="B1439" t="s">
        <v>96</v>
      </c>
      <c r="C1439">
        <v>109056</v>
      </c>
      <c r="D1439">
        <v>2012</v>
      </c>
      <c r="E1439" t="s">
        <v>403</v>
      </c>
      <c r="F1439" t="s">
        <v>849</v>
      </c>
      <c r="G1439" t="s">
        <v>405</v>
      </c>
      <c r="I1439">
        <v>6</v>
      </c>
      <c r="J1439" t="s">
        <v>241</v>
      </c>
      <c r="K1439">
        <v>4</v>
      </c>
      <c r="L1439" t="s">
        <v>44</v>
      </c>
      <c r="M1439">
        <v>3.6</v>
      </c>
      <c r="N1439" t="s">
        <v>44</v>
      </c>
      <c r="O1439" t="s">
        <v>46</v>
      </c>
      <c r="Q1439" t="s">
        <v>62</v>
      </c>
      <c r="R1439" t="s">
        <v>63</v>
      </c>
      <c r="S1439" t="s">
        <v>85</v>
      </c>
      <c r="U1439" t="s">
        <v>50</v>
      </c>
      <c r="W1439" t="s">
        <v>850</v>
      </c>
      <c r="X1439" t="s">
        <v>141</v>
      </c>
      <c r="Y1439" t="s">
        <v>126</v>
      </c>
      <c r="AA1439">
        <v>0</v>
      </c>
      <c r="AB1439" t="s">
        <v>79</v>
      </c>
      <c r="AC1439" t="s">
        <v>87</v>
      </c>
      <c r="AD1439">
        <v>36</v>
      </c>
      <c r="AE1439">
        <v>9</v>
      </c>
      <c r="AF1439">
        <v>3</v>
      </c>
      <c r="AG1439">
        <v>2025</v>
      </c>
      <c r="AH1439" s="2">
        <v>4800</v>
      </c>
      <c r="AI1439" s="2">
        <v>4437.2060546875</v>
      </c>
      <c r="AJ1439" s="2">
        <f t="shared" si="178"/>
        <v>362.7939453125</v>
      </c>
      <c r="AK1439" s="6">
        <f t="shared" si="179"/>
        <v>7.5582071940104162E-2</v>
      </c>
      <c r="AL1439" s="12">
        <v>4800</v>
      </c>
      <c r="AM1439" s="12">
        <v>4378.2682324696734</v>
      </c>
      <c r="AN1439" s="12">
        <f t="shared" si="180"/>
        <v>421.73176753032658</v>
      </c>
      <c r="AO1439" s="13">
        <f t="shared" si="181"/>
        <v>8.7860784902151365E-2</v>
      </c>
      <c r="AP1439" s="16">
        <v>4800</v>
      </c>
      <c r="AQ1439" s="16">
        <v>4126.3419789529926</v>
      </c>
      <c r="AR1439" s="16">
        <f t="shared" si="182"/>
        <v>673.65802104700742</v>
      </c>
      <c r="AS1439" s="17">
        <f t="shared" si="176"/>
        <v>0.14034542105145989</v>
      </c>
      <c r="AT1439" s="20">
        <v>4800</v>
      </c>
      <c r="AU1439" s="20">
        <v>4479.8623046875</v>
      </c>
      <c r="AV1439" s="20">
        <f t="shared" si="177"/>
        <v>320.1376953125</v>
      </c>
      <c r="AW1439" s="21">
        <f t="shared" si="183"/>
        <v>6.6695353190104167E-2</v>
      </c>
    </row>
    <row r="1440" spans="1:49" x14ac:dyDescent="0.25">
      <c r="A1440" t="s">
        <v>38</v>
      </c>
      <c r="B1440" t="s">
        <v>110</v>
      </c>
      <c r="C1440">
        <v>236909</v>
      </c>
      <c r="D1440">
        <v>2009</v>
      </c>
      <c r="E1440" t="s">
        <v>40</v>
      </c>
      <c r="F1440" t="s">
        <v>550</v>
      </c>
      <c r="G1440" t="s">
        <v>234</v>
      </c>
      <c r="H1440" t="s">
        <v>551</v>
      </c>
      <c r="I1440">
        <v>6</v>
      </c>
      <c r="J1440" t="s">
        <v>61</v>
      </c>
      <c r="K1440">
        <v>4</v>
      </c>
      <c r="L1440" t="s">
        <v>44</v>
      </c>
      <c r="M1440">
        <v>3.5</v>
      </c>
      <c r="N1440" t="s">
        <v>45</v>
      </c>
      <c r="Q1440" t="s">
        <v>62</v>
      </c>
      <c r="R1440" t="s">
        <v>63</v>
      </c>
      <c r="S1440" t="s">
        <v>49</v>
      </c>
      <c r="U1440" t="s">
        <v>50</v>
      </c>
      <c r="V1440" t="s">
        <v>76</v>
      </c>
      <c r="W1440" t="s">
        <v>290</v>
      </c>
      <c r="X1440" t="s">
        <v>141</v>
      </c>
      <c r="Y1440" t="s">
        <v>54</v>
      </c>
      <c r="AA1440">
        <v>0</v>
      </c>
      <c r="AB1440" t="s">
        <v>79</v>
      </c>
      <c r="AC1440" t="s">
        <v>87</v>
      </c>
      <c r="AD1440">
        <v>36</v>
      </c>
      <c r="AE1440">
        <v>9</v>
      </c>
      <c r="AF1440">
        <v>3</v>
      </c>
      <c r="AG1440">
        <v>2025</v>
      </c>
      <c r="AH1440" s="2">
        <v>1800</v>
      </c>
      <c r="AI1440" s="2">
        <v>1787.9560546875</v>
      </c>
      <c r="AJ1440" s="2">
        <f t="shared" si="178"/>
        <v>12.0439453125</v>
      </c>
      <c r="AK1440" s="6">
        <f t="shared" si="179"/>
        <v>6.6910807291666666E-3</v>
      </c>
      <c r="AL1440" s="12">
        <v>1800</v>
      </c>
      <c r="AM1440" s="12">
        <v>1702.306848189173</v>
      </c>
      <c r="AN1440" s="12">
        <f t="shared" si="180"/>
        <v>97.693151810826976</v>
      </c>
      <c r="AO1440" s="13">
        <f t="shared" si="181"/>
        <v>5.427397322823721E-2</v>
      </c>
      <c r="AP1440" s="16">
        <v>1800</v>
      </c>
      <c r="AQ1440" s="16">
        <v>1472.1470792070061</v>
      </c>
      <c r="AR1440" s="16">
        <f t="shared" si="182"/>
        <v>327.85292079299393</v>
      </c>
      <c r="AS1440" s="17">
        <f t="shared" si="176"/>
        <v>0.1821405115516633</v>
      </c>
      <c r="AT1440" s="20">
        <v>1800</v>
      </c>
      <c r="AU1440" s="20">
        <v>1773.532470703125</v>
      </c>
      <c r="AV1440" s="20">
        <f t="shared" si="177"/>
        <v>26.467529296875</v>
      </c>
      <c r="AW1440" s="21">
        <f t="shared" si="183"/>
        <v>1.4704182942708333E-2</v>
      </c>
    </row>
    <row r="1441" spans="1:49" x14ac:dyDescent="0.25">
      <c r="A1441" t="s">
        <v>38</v>
      </c>
      <c r="B1441" t="s">
        <v>96</v>
      </c>
      <c r="C1441">
        <v>100538</v>
      </c>
      <c r="D1441">
        <v>2013</v>
      </c>
      <c r="E1441" t="s">
        <v>40</v>
      </c>
      <c r="F1441" t="s">
        <v>524</v>
      </c>
      <c r="H1441" t="s">
        <v>1392</v>
      </c>
      <c r="I1441">
        <v>6</v>
      </c>
      <c r="J1441" t="s">
        <v>72</v>
      </c>
      <c r="K1441">
        <v>4</v>
      </c>
      <c r="L1441" t="s">
        <v>44</v>
      </c>
      <c r="M1441">
        <v>3.5</v>
      </c>
      <c r="N1441" t="s">
        <v>45</v>
      </c>
      <c r="O1441" t="s">
        <v>46</v>
      </c>
      <c r="P1441">
        <v>2</v>
      </c>
      <c r="Q1441" t="s">
        <v>47</v>
      </c>
      <c r="R1441" t="s">
        <v>123</v>
      </c>
      <c r="S1441" t="s">
        <v>49</v>
      </c>
      <c r="T1441">
        <v>268</v>
      </c>
      <c r="U1441" t="s">
        <v>50</v>
      </c>
      <c r="V1441" t="s">
        <v>76</v>
      </c>
      <c r="X1441" t="s">
        <v>125</v>
      </c>
      <c r="Y1441" t="s">
        <v>78</v>
      </c>
      <c r="AA1441">
        <v>0</v>
      </c>
      <c r="AB1441" t="s">
        <v>79</v>
      </c>
      <c r="AC1441" t="s">
        <v>127</v>
      </c>
      <c r="AD1441">
        <v>36</v>
      </c>
      <c r="AE1441">
        <v>9</v>
      </c>
      <c r="AF1441">
        <v>3</v>
      </c>
      <c r="AG1441">
        <v>2025</v>
      </c>
      <c r="AH1441" s="2">
        <v>5800</v>
      </c>
      <c r="AI1441" s="2">
        <v>5093.001953125</v>
      </c>
      <c r="AJ1441" s="2">
        <f t="shared" si="178"/>
        <v>706.998046875</v>
      </c>
      <c r="AK1441" s="6">
        <f t="shared" si="179"/>
        <v>0.12189621497844827</v>
      </c>
      <c r="AL1441" s="12">
        <v>5800</v>
      </c>
      <c r="AM1441" s="12">
        <v>4457.1915027425975</v>
      </c>
      <c r="AN1441" s="12">
        <f t="shared" si="180"/>
        <v>1342.8084972574025</v>
      </c>
      <c r="AO1441" s="13">
        <f t="shared" si="181"/>
        <v>0.23151870642369007</v>
      </c>
      <c r="AP1441" s="16">
        <v>5800</v>
      </c>
      <c r="AQ1441" s="16">
        <v>4567.4884969816039</v>
      </c>
      <c r="AR1441" s="16">
        <f t="shared" si="182"/>
        <v>1232.5115030183961</v>
      </c>
      <c r="AS1441" s="17">
        <f t="shared" si="176"/>
        <v>0.2125019832790338</v>
      </c>
      <c r="AT1441" s="20">
        <v>5800</v>
      </c>
      <c r="AU1441" s="20">
        <v>5067.21337890625</v>
      </c>
      <c r="AV1441" s="20">
        <f t="shared" si="177"/>
        <v>732.78662109375</v>
      </c>
      <c r="AW1441" s="21">
        <f t="shared" si="183"/>
        <v>0.12634252087823275</v>
      </c>
    </row>
    <row r="1442" spans="1:49" x14ac:dyDescent="0.25">
      <c r="A1442" t="s">
        <v>38</v>
      </c>
      <c r="B1442" t="s">
        <v>96</v>
      </c>
      <c r="C1442">
        <v>118560</v>
      </c>
      <c r="D1442">
        <v>2017</v>
      </c>
      <c r="E1442" t="s">
        <v>97</v>
      </c>
      <c r="F1442" t="s">
        <v>419</v>
      </c>
      <c r="G1442" t="s">
        <v>199</v>
      </c>
      <c r="I1442">
        <v>8</v>
      </c>
      <c r="J1442" t="s">
        <v>241</v>
      </c>
      <c r="K1442">
        <v>4</v>
      </c>
      <c r="L1442" t="s">
        <v>44</v>
      </c>
      <c r="M1442">
        <v>5.3</v>
      </c>
      <c r="N1442" t="s">
        <v>73</v>
      </c>
      <c r="O1442" t="s">
        <v>46</v>
      </c>
      <c r="Q1442" t="s">
        <v>62</v>
      </c>
      <c r="R1442" t="s">
        <v>63</v>
      </c>
      <c r="S1442" t="s">
        <v>49</v>
      </c>
      <c r="U1442" t="s">
        <v>50</v>
      </c>
      <c r="W1442" t="s">
        <v>424</v>
      </c>
      <c r="X1442" t="s">
        <v>108</v>
      </c>
      <c r="Y1442" t="s">
        <v>78</v>
      </c>
      <c r="Z1442">
        <v>47215</v>
      </c>
      <c r="AA1442">
        <v>0</v>
      </c>
      <c r="AB1442" t="s">
        <v>79</v>
      </c>
      <c r="AC1442" t="s">
        <v>109</v>
      </c>
      <c r="AD1442">
        <v>36</v>
      </c>
      <c r="AE1442">
        <v>9</v>
      </c>
      <c r="AF1442">
        <v>3</v>
      </c>
      <c r="AG1442">
        <v>2025</v>
      </c>
      <c r="AH1442" s="2">
        <v>13000</v>
      </c>
      <c r="AI1442" s="2">
        <v>16174.865234375</v>
      </c>
      <c r="AJ1442" s="2">
        <f t="shared" si="178"/>
        <v>3174.865234375</v>
      </c>
      <c r="AK1442" s="6">
        <f t="shared" si="179"/>
        <v>0.24422040264423078</v>
      </c>
      <c r="AL1442" s="12">
        <v>13000</v>
      </c>
      <c r="AM1442" s="12">
        <v>16479.061368197901</v>
      </c>
      <c r="AN1442" s="12">
        <f t="shared" si="180"/>
        <v>3479.0613681979012</v>
      </c>
      <c r="AO1442" s="13">
        <f t="shared" si="181"/>
        <v>0.26762010524599239</v>
      </c>
      <c r="AP1442" s="16">
        <v>13000</v>
      </c>
      <c r="AQ1442" s="16">
        <v>13630.135945750089</v>
      </c>
      <c r="AR1442" s="16">
        <f t="shared" si="182"/>
        <v>630.13594575008938</v>
      </c>
      <c r="AS1442" s="17">
        <f t="shared" si="176"/>
        <v>4.8471995826929952E-2</v>
      </c>
      <c r="AT1442" s="20">
        <v>13000</v>
      </c>
      <c r="AU1442" s="20">
        <v>16103.9970703125</v>
      </c>
      <c r="AV1442" s="20">
        <f t="shared" si="177"/>
        <v>3103.9970703125</v>
      </c>
      <c r="AW1442" s="21">
        <f t="shared" si="183"/>
        <v>0.23876900540865384</v>
      </c>
    </row>
    <row r="1443" spans="1:49" x14ac:dyDescent="0.25">
      <c r="A1443" t="s">
        <v>128</v>
      </c>
      <c r="B1443" t="s">
        <v>129</v>
      </c>
      <c r="C1443">
        <v>119550</v>
      </c>
      <c r="D1443">
        <v>2020</v>
      </c>
      <c r="E1443" t="s">
        <v>97</v>
      </c>
      <c r="F1443" t="s">
        <v>159</v>
      </c>
      <c r="G1443" t="s">
        <v>380</v>
      </c>
      <c r="H1443" t="s">
        <v>89</v>
      </c>
      <c r="I1443">
        <v>8</v>
      </c>
      <c r="J1443" t="s">
        <v>106</v>
      </c>
      <c r="K1443">
        <v>4</v>
      </c>
      <c r="L1443" t="s">
        <v>44</v>
      </c>
      <c r="M1443">
        <v>5.3</v>
      </c>
      <c r="N1443" t="s">
        <v>73</v>
      </c>
      <c r="O1443" t="s">
        <v>46</v>
      </c>
      <c r="P1443">
        <v>2</v>
      </c>
      <c r="Q1443" t="s">
        <v>74</v>
      </c>
      <c r="R1443" t="s">
        <v>92</v>
      </c>
      <c r="S1443" t="s">
        <v>49</v>
      </c>
      <c r="U1443" t="s">
        <v>50</v>
      </c>
      <c r="W1443" t="s">
        <v>577</v>
      </c>
      <c r="X1443" t="s">
        <v>94</v>
      </c>
      <c r="Y1443" t="s">
        <v>126</v>
      </c>
      <c r="AA1443">
        <v>0</v>
      </c>
      <c r="AB1443" t="s">
        <v>79</v>
      </c>
      <c r="AC1443" t="s">
        <v>95</v>
      </c>
      <c r="AD1443">
        <v>36</v>
      </c>
      <c r="AE1443">
        <v>9</v>
      </c>
      <c r="AF1443">
        <v>3</v>
      </c>
      <c r="AG1443">
        <v>2025</v>
      </c>
      <c r="AH1443" s="2">
        <v>17000</v>
      </c>
      <c r="AI1443" s="2">
        <v>15367.580078125</v>
      </c>
      <c r="AJ1443" s="2">
        <f t="shared" si="178"/>
        <v>1632.419921875</v>
      </c>
      <c r="AK1443" s="6">
        <f t="shared" si="179"/>
        <v>9.6024701286764699E-2</v>
      </c>
      <c r="AL1443" s="12">
        <v>17000</v>
      </c>
      <c r="AM1443" s="12">
        <v>15844.738348990801</v>
      </c>
      <c r="AN1443" s="12">
        <f t="shared" si="180"/>
        <v>1155.2616510091993</v>
      </c>
      <c r="AO1443" s="13">
        <f t="shared" si="181"/>
        <v>6.7956567706423485E-2</v>
      </c>
      <c r="AP1443" s="16">
        <v>17000</v>
      </c>
      <c r="AQ1443" s="16">
        <v>13440.49312269103</v>
      </c>
      <c r="AR1443" s="16">
        <f t="shared" si="182"/>
        <v>3559.5068773089697</v>
      </c>
      <c r="AS1443" s="17">
        <f t="shared" si="176"/>
        <v>0.20938275748876292</v>
      </c>
      <c r="AT1443" s="20">
        <v>17000</v>
      </c>
      <c r="AU1443" s="20">
        <v>15364.150390625</v>
      </c>
      <c r="AV1443" s="20">
        <f t="shared" si="177"/>
        <v>1635.849609375</v>
      </c>
      <c r="AW1443" s="21">
        <f t="shared" si="183"/>
        <v>9.6226447610294114E-2</v>
      </c>
    </row>
    <row r="1444" spans="1:49" x14ac:dyDescent="0.25">
      <c r="A1444" t="s">
        <v>38</v>
      </c>
      <c r="B1444" t="s">
        <v>110</v>
      </c>
      <c r="C1444">
        <v>126965</v>
      </c>
      <c r="D1444">
        <v>2013</v>
      </c>
      <c r="E1444" t="s">
        <v>69</v>
      </c>
      <c r="F1444" t="s">
        <v>250</v>
      </c>
      <c r="H1444" t="s">
        <v>224</v>
      </c>
      <c r="I1444">
        <v>4</v>
      </c>
      <c r="J1444" t="s">
        <v>72</v>
      </c>
      <c r="K1444">
        <v>4</v>
      </c>
      <c r="L1444" t="s">
        <v>44</v>
      </c>
      <c r="M1444">
        <v>1.6</v>
      </c>
      <c r="N1444" t="s">
        <v>45</v>
      </c>
      <c r="Q1444" t="s">
        <v>62</v>
      </c>
      <c r="R1444" t="s">
        <v>63</v>
      </c>
      <c r="S1444" t="s">
        <v>49</v>
      </c>
      <c r="T1444">
        <v>178</v>
      </c>
      <c r="U1444" t="s">
        <v>50</v>
      </c>
      <c r="V1444" t="s">
        <v>51</v>
      </c>
      <c r="X1444" t="s">
        <v>65</v>
      </c>
      <c r="Y1444" t="s">
        <v>78</v>
      </c>
      <c r="AA1444">
        <v>0</v>
      </c>
      <c r="AB1444" t="s">
        <v>79</v>
      </c>
      <c r="AC1444" t="s">
        <v>87</v>
      </c>
      <c r="AD1444">
        <v>36</v>
      </c>
      <c r="AE1444">
        <v>9</v>
      </c>
      <c r="AF1444">
        <v>3</v>
      </c>
      <c r="AG1444">
        <v>2025</v>
      </c>
      <c r="AH1444" s="2">
        <v>1400</v>
      </c>
      <c r="AI1444" s="2">
        <v>2075.927001953125</v>
      </c>
      <c r="AJ1444" s="2">
        <f t="shared" si="178"/>
        <v>675.927001953125</v>
      </c>
      <c r="AK1444" s="6">
        <f t="shared" si="179"/>
        <v>0.48280500139508931</v>
      </c>
      <c r="AL1444" s="12">
        <v>1400</v>
      </c>
      <c r="AM1444" s="12">
        <v>2434.8499155312679</v>
      </c>
      <c r="AN1444" s="12">
        <f t="shared" si="180"/>
        <v>1034.8499155312679</v>
      </c>
      <c r="AO1444" s="13">
        <f t="shared" si="181"/>
        <v>0.73917851109376276</v>
      </c>
      <c r="AP1444" s="16">
        <v>1400</v>
      </c>
      <c r="AQ1444" s="16">
        <v>2114.4073303771452</v>
      </c>
      <c r="AR1444" s="16">
        <f t="shared" si="182"/>
        <v>714.40733037714517</v>
      </c>
      <c r="AS1444" s="17">
        <f t="shared" si="176"/>
        <v>0.51029095026938942</v>
      </c>
      <c r="AT1444" s="20">
        <v>1400</v>
      </c>
      <c r="AU1444" s="20">
        <v>2077.38232421875</v>
      </c>
      <c r="AV1444" s="20">
        <f t="shared" si="177"/>
        <v>677.38232421875</v>
      </c>
      <c r="AW1444" s="21">
        <f t="shared" si="183"/>
        <v>0.48384451729910716</v>
      </c>
    </row>
    <row r="1445" spans="1:49" x14ac:dyDescent="0.25">
      <c r="A1445" t="s">
        <v>38</v>
      </c>
      <c r="B1445" t="s">
        <v>39</v>
      </c>
      <c r="C1445">
        <v>166109</v>
      </c>
      <c r="D1445">
        <v>2018</v>
      </c>
      <c r="E1445" t="s">
        <v>69</v>
      </c>
      <c r="F1445" t="s">
        <v>231</v>
      </c>
      <c r="I1445">
        <v>6</v>
      </c>
      <c r="J1445" t="s">
        <v>61</v>
      </c>
      <c r="K1445">
        <v>4</v>
      </c>
      <c r="L1445" t="s">
        <v>44</v>
      </c>
      <c r="M1445">
        <v>3.5</v>
      </c>
      <c r="N1445" t="s">
        <v>91</v>
      </c>
      <c r="O1445" t="s">
        <v>46</v>
      </c>
      <c r="Q1445" t="s">
        <v>74</v>
      </c>
      <c r="R1445" t="s">
        <v>92</v>
      </c>
      <c r="S1445" t="s">
        <v>93</v>
      </c>
      <c r="T1445">
        <v>375</v>
      </c>
      <c r="U1445" t="s">
        <v>50</v>
      </c>
      <c r="V1445" t="s">
        <v>76</v>
      </c>
      <c r="W1445" t="s">
        <v>107</v>
      </c>
      <c r="X1445" t="s">
        <v>94</v>
      </c>
      <c r="Y1445" t="s">
        <v>78</v>
      </c>
      <c r="AA1445">
        <v>0</v>
      </c>
      <c r="AB1445" t="s">
        <v>79</v>
      </c>
      <c r="AC1445" t="s">
        <v>95</v>
      </c>
      <c r="AD1445">
        <v>36</v>
      </c>
      <c r="AE1445">
        <v>9</v>
      </c>
      <c r="AF1445">
        <v>3</v>
      </c>
      <c r="AG1445">
        <v>2025</v>
      </c>
      <c r="AH1445" s="2">
        <v>17250</v>
      </c>
      <c r="AI1445" s="2">
        <v>13320.9404296875</v>
      </c>
      <c r="AJ1445" s="2">
        <f t="shared" si="178"/>
        <v>3929.0595703125</v>
      </c>
      <c r="AK1445" s="6">
        <f t="shared" si="179"/>
        <v>0.22777156929347825</v>
      </c>
      <c r="AL1445" s="12">
        <v>17250</v>
      </c>
      <c r="AM1445" s="12">
        <v>12609.48689698803</v>
      </c>
      <c r="AN1445" s="12">
        <f t="shared" si="180"/>
        <v>4640.5131030119701</v>
      </c>
      <c r="AO1445" s="13">
        <f t="shared" si="181"/>
        <v>0.26901525234852003</v>
      </c>
      <c r="AP1445" s="16">
        <v>17250</v>
      </c>
      <c r="AQ1445" s="16">
        <v>12302.97483279034</v>
      </c>
      <c r="AR1445" s="16">
        <f t="shared" si="182"/>
        <v>4947.0251672096601</v>
      </c>
      <c r="AS1445" s="17">
        <f t="shared" si="176"/>
        <v>0.28678406766432812</v>
      </c>
      <c r="AT1445" s="20">
        <v>17250</v>
      </c>
      <c r="AU1445" s="20">
        <v>13007.44921875</v>
      </c>
      <c r="AV1445" s="20">
        <f t="shared" si="177"/>
        <v>4242.55078125</v>
      </c>
      <c r="AW1445" s="21">
        <f t="shared" si="183"/>
        <v>0.24594497282608696</v>
      </c>
    </row>
    <row r="1446" spans="1:49" x14ac:dyDescent="0.25">
      <c r="A1446" t="s">
        <v>38</v>
      </c>
      <c r="B1446" t="s">
        <v>96</v>
      </c>
      <c r="C1446">
        <v>66587</v>
      </c>
      <c r="D1446">
        <v>2023</v>
      </c>
      <c r="E1446" t="s">
        <v>97</v>
      </c>
      <c r="F1446" t="s">
        <v>159</v>
      </c>
      <c r="G1446" t="s">
        <v>338</v>
      </c>
      <c r="H1446" t="s">
        <v>89</v>
      </c>
      <c r="I1446">
        <v>8</v>
      </c>
      <c r="J1446" t="s">
        <v>72</v>
      </c>
      <c r="K1446">
        <v>4</v>
      </c>
      <c r="L1446" t="s">
        <v>44</v>
      </c>
      <c r="M1446">
        <v>5.3</v>
      </c>
      <c r="N1446" t="s">
        <v>91</v>
      </c>
      <c r="O1446" t="s">
        <v>46</v>
      </c>
      <c r="Q1446" t="s">
        <v>74</v>
      </c>
      <c r="R1446" t="s">
        <v>92</v>
      </c>
      <c r="S1446" t="s">
        <v>93</v>
      </c>
      <c r="U1446" t="s">
        <v>50</v>
      </c>
      <c r="W1446" t="s">
        <v>161</v>
      </c>
      <c r="X1446" t="s">
        <v>108</v>
      </c>
      <c r="Y1446" t="s">
        <v>103</v>
      </c>
      <c r="AA1446">
        <v>0</v>
      </c>
      <c r="AB1446" t="s">
        <v>79</v>
      </c>
      <c r="AC1446" t="s">
        <v>95</v>
      </c>
      <c r="AD1446">
        <v>36</v>
      </c>
      <c r="AE1446">
        <v>9</v>
      </c>
      <c r="AF1446">
        <v>3</v>
      </c>
      <c r="AG1446">
        <v>2025</v>
      </c>
      <c r="AH1446" s="2">
        <v>34200</v>
      </c>
      <c r="AI1446" s="2">
        <v>38481.96484375</v>
      </c>
      <c r="AJ1446" s="2">
        <f t="shared" si="178"/>
        <v>4281.96484375</v>
      </c>
      <c r="AK1446" s="6">
        <f t="shared" si="179"/>
        <v>0.12520365040204678</v>
      </c>
      <c r="AL1446" s="12">
        <v>34200</v>
      </c>
      <c r="AM1446" s="12">
        <v>40225.796443659499</v>
      </c>
      <c r="AN1446" s="12">
        <f t="shared" si="180"/>
        <v>6025.7964436594993</v>
      </c>
      <c r="AO1446" s="13">
        <f t="shared" si="181"/>
        <v>0.17619287846957601</v>
      </c>
      <c r="AP1446" s="16">
        <v>34200</v>
      </c>
      <c r="AQ1446" s="16">
        <v>36345.085353565722</v>
      </c>
      <c r="AR1446" s="16">
        <f t="shared" si="182"/>
        <v>2145.0853535657225</v>
      </c>
      <c r="AS1446" s="17">
        <f t="shared" si="176"/>
        <v>6.2721793963910019E-2</v>
      </c>
      <c r="AT1446" s="20">
        <v>34200</v>
      </c>
      <c r="AU1446" s="20">
        <v>38004.98046875</v>
      </c>
      <c r="AV1446" s="20">
        <f t="shared" si="177"/>
        <v>3804.98046875</v>
      </c>
      <c r="AW1446" s="21">
        <f t="shared" si="183"/>
        <v>0.11125673885233918</v>
      </c>
    </row>
    <row r="1447" spans="1:49" x14ac:dyDescent="0.25">
      <c r="A1447" t="s">
        <v>38</v>
      </c>
      <c r="B1447" t="s">
        <v>110</v>
      </c>
      <c r="C1447">
        <v>149369</v>
      </c>
      <c r="D1447">
        <v>2013</v>
      </c>
      <c r="E1447" t="s">
        <v>557</v>
      </c>
      <c r="F1447" t="s">
        <v>558</v>
      </c>
      <c r="G1447" t="s">
        <v>168</v>
      </c>
      <c r="I1447">
        <v>4</v>
      </c>
      <c r="J1447" t="s">
        <v>106</v>
      </c>
      <c r="K1447">
        <v>4</v>
      </c>
      <c r="L1447" t="s">
        <v>44</v>
      </c>
      <c r="M1447">
        <v>2.4</v>
      </c>
      <c r="N1447" t="s">
        <v>45</v>
      </c>
      <c r="Q1447" t="s">
        <v>47</v>
      </c>
      <c r="R1447" t="s">
        <v>123</v>
      </c>
      <c r="S1447" t="s">
        <v>101</v>
      </c>
      <c r="U1447" t="s">
        <v>50</v>
      </c>
      <c r="X1447" t="s">
        <v>125</v>
      </c>
      <c r="Y1447" t="s">
        <v>78</v>
      </c>
      <c r="AA1447">
        <v>0</v>
      </c>
      <c r="AB1447" t="s">
        <v>79</v>
      </c>
      <c r="AC1447" t="s">
        <v>127</v>
      </c>
      <c r="AD1447">
        <v>36</v>
      </c>
      <c r="AE1447">
        <v>9</v>
      </c>
      <c r="AF1447">
        <v>3</v>
      </c>
      <c r="AG1447">
        <v>2025</v>
      </c>
      <c r="AH1447" s="2">
        <v>800</v>
      </c>
      <c r="AI1447" s="2">
        <v>1346.653198242188</v>
      </c>
      <c r="AJ1447" s="2">
        <f t="shared" si="178"/>
        <v>546.65319824218795</v>
      </c>
      <c r="AK1447" s="6">
        <f t="shared" si="179"/>
        <v>0.68331649780273496</v>
      </c>
      <c r="AL1447" s="12">
        <v>800</v>
      </c>
      <c r="AM1447" s="12">
        <v>1624.2397715285281</v>
      </c>
      <c r="AN1447" s="12">
        <f t="shared" si="180"/>
        <v>824.23977152852808</v>
      </c>
      <c r="AO1447" s="13">
        <f t="shared" si="181"/>
        <v>1.03029971441066</v>
      </c>
      <c r="AP1447" s="16">
        <v>800</v>
      </c>
      <c r="AQ1447" s="16">
        <v>1190.074513142813</v>
      </c>
      <c r="AR1447" s="16">
        <f t="shared" si="182"/>
        <v>390.07451314281298</v>
      </c>
      <c r="AS1447" s="17">
        <f t="shared" si="176"/>
        <v>0.48759314142851623</v>
      </c>
      <c r="AT1447" s="20">
        <v>800</v>
      </c>
      <c r="AU1447" s="20">
        <v>1344.59326171875</v>
      </c>
      <c r="AV1447" s="20">
        <f t="shared" si="177"/>
        <v>544.59326171875</v>
      </c>
      <c r="AW1447" s="21">
        <f t="shared" si="183"/>
        <v>0.68074157714843753</v>
      </c>
    </row>
    <row r="1448" spans="1:49" x14ac:dyDescent="0.25">
      <c r="A1448" t="s">
        <v>114</v>
      </c>
      <c r="B1448" t="s">
        <v>115</v>
      </c>
      <c r="C1448">
        <v>112139</v>
      </c>
      <c r="D1448">
        <v>2017</v>
      </c>
      <c r="E1448" t="s">
        <v>69</v>
      </c>
      <c r="F1448" t="s">
        <v>157</v>
      </c>
      <c r="G1448" t="s">
        <v>105</v>
      </c>
      <c r="I1448">
        <v>4</v>
      </c>
      <c r="J1448" t="s">
        <v>61</v>
      </c>
      <c r="K1448">
        <v>4</v>
      </c>
      <c r="L1448" t="s">
        <v>44</v>
      </c>
      <c r="M1448">
        <v>2.2999999999999998</v>
      </c>
      <c r="N1448" t="s">
        <v>91</v>
      </c>
      <c r="O1448" t="s">
        <v>46</v>
      </c>
      <c r="Q1448" t="s">
        <v>62</v>
      </c>
      <c r="R1448" t="s">
        <v>63</v>
      </c>
      <c r="S1448" t="s">
        <v>93</v>
      </c>
      <c r="T1448">
        <v>280</v>
      </c>
      <c r="U1448" t="s">
        <v>50</v>
      </c>
      <c r="V1448" t="s">
        <v>51</v>
      </c>
      <c r="W1448" t="s">
        <v>268</v>
      </c>
      <c r="X1448" t="s">
        <v>94</v>
      </c>
      <c r="Y1448" t="s">
        <v>78</v>
      </c>
      <c r="Z1448">
        <v>33775</v>
      </c>
      <c r="AA1448">
        <v>0</v>
      </c>
      <c r="AB1448" t="s">
        <v>79</v>
      </c>
      <c r="AC1448" t="s">
        <v>109</v>
      </c>
      <c r="AD1448">
        <v>36</v>
      </c>
      <c r="AE1448">
        <v>9</v>
      </c>
      <c r="AF1448">
        <v>3</v>
      </c>
      <c r="AG1448">
        <v>2025</v>
      </c>
      <c r="AH1448" s="2">
        <v>9500</v>
      </c>
      <c r="AI1448" s="2">
        <v>9932.9970703125</v>
      </c>
      <c r="AJ1448" s="2">
        <f t="shared" si="178"/>
        <v>432.9970703125</v>
      </c>
      <c r="AK1448" s="6">
        <f t="shared" si="179"/>
        <v>4.557863898026316E-2</v>
      </c>
      <c r="AL1448" s="12">
        <v>9500</v>
      </c>
      <c r="AM1448" s="12">
        <v>9039.9787133574482</v>
      </c>
      <c r="AN1448" s="12">
        <f t="shared" si="180"/>
        <v>460.02128664255179</v>
      </c>
      <c r="AO1448" s="13">
        <f t="shared" si="181"/>
        <v>4.8423293330794925E-2</v>
      </c>
      <c r="AP1448" s="16">
        <v>9500</v>
      </c>
      <c r="AQ1448" s="16">
        <v>7204.9934214542454</v>
      </c>
      <c r="AR1448" s="16">
        <f t="shared" si="182"/>
        <v>2295.0065785457546</v>
      </c>
      <c r="AS1448" s="17">
        <f t="shared" si="176"/>
        <v>0.24157963984692155</v>
      </c>
      <c r="AT1448" s="20">
        <v>9500</v>
      </c>
      <c r="AU1448" s="20">
        <v>9867.5693359375</v>
      </c>
      <c r="AV1448" s="20">
        <f t="shared" si="177"/>
        <v>367.5693359375</v>
      </c>
      <c r="AW1448" s="21">
        <f t="shared" si="183"/>
        <v>3.8691509046052633E-2</v>
      </c>
    </row>
    <row r="1449" spans="1:49" x14ac:dyDescent="0.25">
      <c r="A1449" t="s">
        <v>38</v>
      </c>
      <c r="B1449" t="s">
        <v>96</v>
      </c>
      <c r="C1449">
        <v>118158</v>
      </c>
      <c r="D1449">
        <v>2018</v>
      </c>
      <c r="E1449" t="s">
        <v>116</v>
      </c>
      <c r="F1449" t="s">
        <v>251</v>
      </c>
      <c r="H1449" t="s">
        <v>1393</v>
      </c>
      <c r="I1449">
        <v>6</v>
      </c>
      <c r="J1449" t="s">
        <v>135</v>
      </c>
      <c r="K1449">
        <v>4</v>
      </c>
      <c r="L1449" t="s">
        <v>44</v>
      </c>
      <c r="M1449">
        <v>3.6</v>
      </c>
      <c r="N1449" t="s">
        <v>44</v>
      </c>
      <c r="O1449" t="s">
        <v>100</v>
      </c>
      <c r="P1449">
        <v>3</v>
      </c>
      <c r="Q1449" t="s">
        <v>62</v>
      </c>
      <c r="R1449" t="s">
        <v>63</v>
      </c>
      <c r="S1449" t="s">
        <v>85</v>
      </c>
      <c r="T1449">
        <v>283</v>
      </c>
      <c r="U1449" t="s">
        <v>50</v>
      </c>
      <c r="V1449" t="s">
        <v>76</v>
      </c>
      <c r="X1449" t="s">
        <v>141</v>
      </c>
      <c r="Y1449" t="s">
        <v>126</v>
      </c>
      <c r="Z1449">
        <v>31495</v>
      </c>
      <c r="AA1449">
        <v>0</v>
      </c>
      <c r="AB1449" t="s">
        <v>79</v>
      </c>
      <c r="AC1449" t="s">
        <v>87</v>
      </c>
      <c r="AD1449">
        <v>36</v>
      </c>
      <c r="AE1449">
        <v>9</v>
      </c>
      <c r="AF1449">
        <v>3</v>
      </c>
      <c r="AG1449">
        <v>2025</v>
      </c>
      <c r="AH1449" s="2">
        <v>4000</v>
      </c>
      <c r="AI1449" s="2">
        <v>3652.10205078125</v>
      </c>
      <c r="AJ1449" s="2">
        <f t="shared" si="178"/>
        <v>347.89794921875</v>
      </c>
      <c r="AK1449" s="6">
        <f t="shared" si="179"/>
        <v>8.6974487304687501E-2</v>
      </c>
      <c r="AL1449" s="12">
        <v>4000</v>
      </c>
      <c r="AM1449" s="12">
        <v>3837.049270408972</v>
      </c>
      <c r="AN1449" s="12">
        <f t="shared" si="180"/>
        <v>162.95072959102799</v>
      </c>
      <c r="AO1449" s="13">
        <f t="shared" si="181"/>
        <v>4.0737682397756998E-2</v>
      </c>
      <c r="AP1449" s="16">
        <v>4000</v>
      </c>
      <c r="AQ1449" s="16">
        <v>2775.727155228949</v>
      </c>
      <c r="AR1449" s="16">
        <f t="shared" si="182"/>
        <v>1224.272844771051</v>
      </c>
      <c r="AS1449" s="17">
        <f t="shared" si="176"/>
        <v>0.30606821119276278</v>
      </c>
      <c r="AT1449" s="20">
        <v>4000</v>
      </c>
      <c r="AU1449" s="20">
        <v>3696.721923828125</v>
      </c>
      <c r="AV1449" s="20">
        <f t="shared" si="177"/>
        <v>303.278076171875</v>
      </c>
      <c r="AW1449" s="21">
        <f t="shared" si="183"/>
        <v>7.5819519042968755E-2</v>
      </c>
    </row>
    <row r="1450" spans="1:49" x14ac:dyDescent="0.25">
      <c r="A1450" t="s">
        <v>38</v>
      </c>
      <c r="B1450" t="s">
        <v>110</v>
      </c>
      <c r="C1450">
        <v>151776</v>
      </c>
      <c r="D1450">
        <v>2013</v>
      </c>
      <c r="E1450" t="s">
        <v>162</v>
      </c>
      <c r="F1450" t="s">
        <v>211</v>
      </c>
      <c r="G1450" t="s">
        <v>212</v>
      </c>
      <c r="I1450">
        <v>4</v>
      </c>
      <c r="J1450" t="s">
        <v>241</v>
      </c>
      <c r="K1450">
        <v>4</v>
      </c>
      <c r="L1450" t="s">
        <v>44</v>
      </c>
      <c r="M1450">
        <v>1.8</v>
      </c>
      <c r="N1450" t="s">
        <v>45</v>
      </c>
      <c r="Q1450" t="s">
        <v>47</v>
      </c>
      <c r="R1450" t="s">
        <v>123</v>
      </c>
      <c r="U1450" t="s">
        <v>50</v>
      </c>
      <c r="X1450" t="s">
        <v>125</v>
      </c>
      <c r="Y1450" t="s">
        <v>78</v>
      </c>
      <c r="AA1450">
        <v>0</v>
      </c>
      <c r="AB1450" t="s">
        <v>79</v>
      </c>
      <c r="AC1450" t="s">
        <v>127</v>
      </c>
      <c r="AD1450">
        <v>36</v>
      </c>
      <c r="AE1450">
        <v>9</v>
      </c>
      <c r="AF1450">
        <v>3</v>
      </c>
      <c r="AG1450">
        <v>2025</v>
      </c>
      <c r="AH1450" s="2">
        <v>2400</v>
      </c>
      <c r="AI1450" s="2">
        <v>1592.273681640625</v>
      </c>
      <c r="AJ1450" s="2">
        <f t="shared" si="178"/>
        <v>807.726318359375</v>
      </c>
      <c r="AK1450" s="6">
        <f t="shared" si="179"/>
        <v>0.33655263264973956</v>
      </c>
      <c r="AL1450" s="12">
        <v>2400</v>
      </c>
      <c r="AM1450" s="12">
        <v>1709.248878376972</v>
      </c>
      <c r="AN1450" s="12">
        <f t="shared" si="180"/>
        <v>690.75112162302798</v>
      </c>
      <c r="AO1450" s="13">
        <f t="shared" si="181"/>
        <v>0.28781296734292833</v>
      </c>
      <c r="AP1450" s="16">
        <v>2400</v>
      </c>
      <c r="AQ1450" s="16">
        <v>1444.3264007643691</v>
      </c>
      <c r="AR1450" s="16">
        <f t="shared" si="182"/>
        <v>955.67359923563095</v>
      </c>
      <c r="AS1450" s="17">
        <f t="shared" si="176"/>
        <v>0.39819733301484622</v>
      </c>
      <c r="AT1450" s="20">
        <v>2400</v>
      </c>
      <c r="AU1450" s="20">
        <v>1589.842895507812</v>
      </c>
      <c r="AV1450" s="20">
        <f t="shared" si="177"/>
        <v>810.15710449218795</v>
      </c>
      <c r="AW1450" s="21">
        <f t="shared" si="183"/>
        <v>0.33756546020507833</v>
      </c>
    </row>
    <row r="1451" spans="1:49" x14ac:dyDescent="0.25">
      <c r="A1451" t="s">
        <v>38</v>
      </c>
      <c r="B1451" t="s">
        <v>39</v>
      </c>
      <c r="C1451">
        <v>135896</v>
      </c>
      <c r="D1451">
        <v>2017</v>
      </c>
      <c r="E1451" t="s">
        <v>146</v>
      </c>
      <c r="F1451" t="s">
        <v>565</v>
      </c>
      <c r="I1451">
        <v>8</v>
      </c>
      <c r="J1451" t="s">
        <v>135</v>
      </c>
      <c r="K1451">
        <v>4</v>
      </c>
      <c r="L1451" t="s">
        <v>44</v>
      </c>
      <c r="M1451">
        <v>5.6</v>
      </c>
      <c r="N1451" t="s">
        <v>91</v>
      </c>
      <c r="O1451" t="s">
        <v>46</v>
      </c>
      <c r="P1451">
        <v>2</v>
      </c>
      <c r="Q1451" t="s">
        <v>74</v>
      </c>
      <c r="R1451" t="s">
        <v>92</v>
      </c>
      <c r="S1451" t="s">
        <v>93</v>
      </c>
      <c r="U1451" t="s">
        <v>50</v>
      </c>
      <c r="X1451" t="s">
        <v>108</v>
      </c>
      <c r="Y1451" t="s">
        <v>78</v>
      </c>
      <c r="AA1451">
        <v>0</v>
      </c>
      <c r="AB1451" t="s">
        <v>79</v>
      </c>
      <c r="AC1451" t="s">
        <v>95</v>
      </c>
      <c r="AD1451">
        <v>36</v>
      </c>
      <c r="AE1451">
        <v>9</v>
      </c>
      <c r="AF1451">
        <v>3</v>
      </c>
      <c r="AG1451">
        <v>2025</v>
      </c>
      <c r="AH1451" s="2">
        <v>7100</v>
      </c>
      <c r="AI1451" s="2">
        <v>8631.048828125</v>
      </c>
      <c r="AJ1451" s="2">
        <f t="shared" si="178"/>
        <v>1531.048828125</v>
      </c>
      <c r="AK1451" s="6">
        <f t="shared" si="179"/>
        <v>0.21564068001760564</v>
      </c>
      <c r="AL1451" s="12">
        <v>7100</v>
      </c>
      <c r="AM1451" s="12">
        <v>9489.0885861946663</v>
      </c>
      <c r="AN1451" s="12">
        <f t="shared" si="180"/>
        <v>2389.0885861946663</v>
      </c>
      <c r="AO1451" s="13">
        <f t="shared" si="181"/>
        <v>0.33649135016826287</v>
      </c>
      <c r="AP1451" s="16">
        <v>7100</v>
      </c>
      <c r="AQ1451" s="16">
        <v>9308.9843591546178</v>
      </c>
      <c r="AR1451" s="16">
        <f t="shared" si="182"/>
        <v>2208.9843591546178</v>
      </c>
      <c r="AS1451" s="17">
        <f t="shared" si="176"/>
        <v>0.31112455762741098</v>
      </c>
      <c r="AT1451" s="20">
        <v>7100</v>
      </c>
      <c r="AU1451" s="20">
        <v>8903.896484375</v>
      </c>
      <c r="AV1451" s="20">
        <f t="shared" si="177"/>
        <v>1803.896484375</v>
      </c>
      <c r="AW1451" s="21">
        <f t="shared" si="183"/>
        <v>0.25406992737676054</v>
      </c>
    </row>
    <row r="1452" spans="1:49" x14ac:dyDescent="0.25">
      <c r="A1452" t="s">
        <v>38</v>
      </c>
      <c r="B1452" t="s">
        <v>96</v>
      </c>
      <c r="C1452">
        <v>137916</v>
      </c>
      <c r="D1452">
        <v>2019</v>
      </c>
      <c r="E1452" t="s">
        <v>142</v>
      </c>
      <c r="F1452" t="s">
        <v>143</v>
      </c>
      <c r="H1452" t="s">
        <v>938</v>
      </c>
      <c r="I1452">
        <v>4</v>
      </c>
      <c r="J1452" t="s">
        <v>72</v>
      </c>
      <c r="K1452">
        <v>4</v>
      </c>
      <c r="L1452" t="s">
        <v>44</v>
      </c>
      <c r="M1452">
        <v>2</v>
      </c>
      <c r="N1452" t="s">
        <v>45</v>
      </c>
      <c r="O1452" t="s">
        <v>46</v>
      </c>
      <c r="P1452">
        <v>1</v>
      </c>
      <c r="Q1452" t="s">
        <v>62</v>
      </c>
      <c r="R1452" t="s">
        <v>63</v>
      </c>
      <c r="S1452" t="s">
        <v>49</v>
      </c>
      <c r="T1452">
        <v>270</v>
      </c>
      <c r="X1452" t="s">
        <v>141</v>
      </c>
      <c r="Y1452" t="s">
        <v>78</v>
      </c>
      <c r="Z1452">
        <v>27395</v>
      </c>
      <c r="AA1452">
        <v>0</v>
      </c>
      <c r="AB1452" t="s">
        <v>79</v>
      </c>
      <c r="AC1452" t="s">
        <v>87</v>
      </c>
      <c r="AD1452">
        <v>36</v>
      </c>
      <c r="AE1452">
        <v>9</v>
      </c>
      <c r="AF1452">
        <v>3</v>
      </c>
      <c r="AG1452">
        <v>2025</v>
      </c>
      <c r="AH1452" s="2">
        <v>3300</v>
      </c>
      <c r="AI1452" s="2">
        <v>3451.228515625</v>
      </c>
      <c r="AJ1452" s="2">
        <f t="shared" si="178"/>
        <v>151.228515625</v>
      </c>
      <c r="AK1452" s="6">
        <f t="shared" si="179"/>
        <v>4.5826822916666669E-2</v>
      </c>
      <c r="AL1452" s="12">
        <v>3300</v>
      </c>
      <c r="AM1452" s="12">
        <v>4290.6372446748437</v>
      </c>
      <c r="AN1452" s="12">
        <f t="shared" si="180"/>
        <v>990.63724467484371</v>
      </c>
      <c r="AO1452" s="13">
        <f t="shared" si="181"/>
        <v>0.30019310444692232</v>
      </c>
      <c r="AP1452" s="16">
        <v>3300</v>
      </c>
      <c r="AQ1452" s="16">
        <v>4030.2873603646208</v>
      </c>
      <c r="AR1452" s="16">
        <f t="shared" si="182"/>
        <v>730.28736036462078</v>
      </c>
      <c r="AS1452" s="17">
        <f t="shared" si="176"/>
        <v>0.22129920011049115</v>
      </c>
      <c r="AT1452" s="20">
        <v>3300</v>
      </c>
      <c r="AU1452" s="20">
        <v>3504.108642578125</v>
      </c>
      <c r="AV1452" s="20">
        <f t="shared" si="177"/>
        <v>204.108642578125</v>
      </c>
      <c r="AW1452" s="21">
        <f t="shared" si="183"/>
        <v>6.1851103811553031E-2</v>
      </c>
    </row>
    <row r="1453" spans="1:49" x14ac:dyDescent="0.25">
      <c r="A1453" t="s">
        <v>128</v>
      </c>
      <c r="B1453" t="s">
        <v>129</v>
      </c>
      <c r="C1453">
        <v>165931</v>
      </c>
      <c r="D1453">
        <v>2014</v>
      </c>
      <c r="E1453" t="s">
        <v>97</v>
      </c>
      <c r="F1453" t="s">
        <v>159</v>
      </c>
      <c r="G1453" t="s">
        <v>155</v>
      </c>
      <c r="H1453" t="s">
        <v>89</v>
      </c>
      <c r="I1453">
        <v>8</v>
      </c>
      <c r="J1453" t="s">
        <v>122</v>
      </c>
      <c r="K1453">
        <v>4</v>
      </c>
      <c r="L1453" t="s">
        <v>44</v>
      </c>
      <c r="M1453">
        <v>5.3</v>
      </c>
      <c r="N1453" t="s">
        <v>91</v>
      </c>
      <c r="Q1453" t="s">
        <v>74</v>
      </c>
      <c r="R1453" t="s">
        <v>92</v>
      </c>
      <c r="S1453" t="s">
        <v>93</v>
      </c>
      <c r="U1453" t="s">
        <v>50</v>
      </c>
      <c r="W1453" t="s">
        <v>712</v>
      </c>
      <c r="X1453" t="s">
        <v>108</v>
      </c>
      <c r="Y1453" t="s">
        <v>126</v>
      </c>
      <c r="AA1453">
        <v>0</v>
      </c>
      <c r="AB1453" t="s">
        <v>79</v>
      </c>
      <c r="AC1453" t="s">
        <v>95</v>
      </c>
      <c r="AD1453">
        <v>36</v>
      </c>
      <c r="AE1453">
        <v>9</v>
      </c>
      <c r="AF1453">
        <v>3</v>
      </c>
      <c r="AG1453">
        <v>2025</v>
      </c>
      <c r="AH1453" s="2">
        <v>10000</v>
      </c>
      <c r="AI1453" s="2">
        <v>9027.9169921875</v>
      </c>
      <c r="AJ1453" s="2">
        <f t="shared" si="178"/>
        <v>972.0830078125</v>
      </c>
      <c r="AK1453" s="6">
        <f t="shared" si="179"/>
        <v>9.7208300781250007E-2</v>
      </c>
      <c r="AL1453" s="12">
        <v>10000</v>
      </c>
      <c r="AM1453" s="12">
        <v>8614.766780836022</v>
      </c>
      <c r="AN1453" s="12">
        <f t="shared" si="180"/>
        <v>1385.233219163978</v>
      </c>
      <c r="AO1453" s="13">
        <f t="shared" si="181"/>
        <v>0.1385233219163978</v>
      </c>
      <c r="AP1453" s="16">
        <v>10000</v>
      </c>
      <c r="AQ1453" s="16">
        <v>8683.4106832806992</v>
      </c>
      <c r="AR1453" s="16">
        <f t="shared" si="182"/>
        <v>1316.5893167193008</v>
      </c>
      <c r="AS1453" s="17">
        <f t="shared" si="176"/>
        <v>0.13165893167193007</v>
      </c>
      <c r="AT1453" s="20">
        <v>10000</v>
      </c>
      <c r="AU1453" s="20">
        <v>9053.8291015625</v>
      </c>
      <c r="AV1453" s="20">
        <f t="shared" si="177"/>
        <v>946.1708984375</v>
      </c>
      <c r="AW1453" s="21">
        <f t="shared" si="183"/>
        <v>9.4617089843750002E-2</v>
      </c>
    </row>
    <row r="1454" spans="1:49" x14ac:dyDescent="0.25">
      <c r="A1454" t="s">
        <v>128</v>
      </c>
      <c r="B1454" t="s">
        <v>129</v>
      </c>
      <c r="C1454">
        <v>127159</v>
      </c>
      <c r="D1454">
        <v>2013</v>
      </c>
      <c r="E1454" t="s">
        <v>97</v>
      </c>
      <c r="F1454" t="s">
        <v>444</v>
      </c>
      <c r="G1454" t="s">
        <v>155</v>
      </c>
      <c r="I1454">
        <v>6</v>
      </c>
      <c r="J1454" t="s">
        <v>122</v>
      </c>
      <c r="K1454">
        <v>2</v>
      </c>
      <c r="L1454" t="s">
        <v>44</v>
      </c>
      <c r="M1454">
        <v>3.6</v>
      </c>
      <c r="N1454" t="s">
        <v>73</v>
      </c>
      <c r="Q1454" t="s">
        <v>47</v>
      </c>
      <c r="R1454" t="s">
        <v>197</v>
      </c>
      <c r="U1454" t="s">
        <v>50</v>
      </c>
      <c r="W1454" t="s">
        <v>406</v>
      </c>
      <c r="X1454" t="s">
        <v>125</v>
      </c>
      <c r="Y1454" t="s">
        <v>103</v>
      </c>
      <c r="AA1454">
        <v>0</v>
      </c>
      <c r="AB1454" t="s">
        <v>79</v>
      </c>
      <c r="AC1454" t="s">
        <v>197</v>
      </c>
      <c r="AD1454">
        <v>36</v>
      </c>
      <c r="AE1454">
        <v>9</v>
      </c>
      <c r="AF1454">
        <v>3</v>
      </c>
      <c r="AG1454">
        <v>2025</v>
      </c>
      <c r="AH1454" s="2">
        <v>8600</v>
      </c>
      <c r="AI1454" s="2">
        <v>5003.03857421875</v>
      </c>
      <c r="AJ1454" s="2">
        <f t="shared" si="178"/>
        <v>3596.96142578125</v>
      </c>
      <c r="AK1454" s="6">
        <f t="shared" si="179"/>
        <v>0.4182513285792151</v>
      </c>
      <c r="AL1454" s="12">
        <v>8600</v>
      </c>
      <c r="AM1454" s="12">
        <v>5262.4352391894836</v>
      </c>
      <c r="AN1454" s="12">
        <f t="shared" si="180"/>
        <v>3337.5647608105164</v>
      </c>
      <c r="AO1454" s="13">
        <f t="shared" si="181"/>
        <v>0.38808892567564146</v>
      </c>
      <c r="AP1454" s="16">
        <v>8600</v>
      </c>
      <c r="AQ1454" s="16">
        <v>5285.4163761169903</v>
      </c>
      <c r="AR1454" s="16">
        <f t="shared" si="182"/>
        <v>3314.5836238830097</v>
      </c>
      <c r="AS1454" s="17">
        <f t="shared" si="176"/>
        <v>0.38541670045151277</v>
      </c>
      <c r="AT1454" s="20">
        <v>8600</v>
      </c>
      <c r="AU1454" s="20">
        <v>5105.93115234375</v>
      </c>
      <c r="AV1454" s="20">
        <f t="shared" si="177"/>
        <v>3494.06884765625</v>
      </c>
      <c r="AW1454" s="21">
        <f t="shared" si="183"/>
        <v>0.40628707530886626</v>
      </c>
    </row>
    <row r="1455" spans="1:49" x14ac:dyDescent="0.25">
      <c r="A1455" t="s">
        <v>128</v>
      </c>
      <c r="B1455" t="s">
        <v>129</v>
      </c>
      <c r="C1455">
        <v>124399</v>
      </c>
      <c r="D1455">
        <v>2016</v>
      </c>
      <c r="E1455" t="s">
        <v>515</v>
      </c>
      <c r="F1455" t="s">
        <v>1394</v>
      </c>
      <c r="G1455" t="s">
        <v>517</v>
      </c>
      <c r="I1455">
        <v>4</v>
      </c>
      <c r="J1455" t="s">
        <v>135</v>
      </c>
      <c r="K1455">
        <v>4</v>
      </c>
      <c r="L1455" t="s">
        <v>44</v>
      </c>
      <c r="M1455">
        <v>2</v>
      </c>
      <c r="N1455" t="s">
        <v>44</v>
      </c>
      <c r="O1455" t="s">
        <v>46</v>
      </c>
      <c r="Q1455" t="s">
        <v>47</v>
      </c>
      <c r="R1455" t="s">
        <v>123</v>
      </c>
      <c r="S1455" t="s">
        <v>85</v>
      </c>
      <c r="T1455">
        <v>252</v>
      </c>
      <c r="U1455" t="s">
        <v>50</v>
      </c>
      <c r="V1455" t="s">
        <v>51</v>
      </c>
      <c r="W1455" t="s">
        <v>1204</v>
      </c>
      <c r="X1455" t="s">
        <v>125</v>
      </c>
      <c r="Y1455" t="s">
        <v>137</v>
      </c>
      <c r="AA1455">
        <v>0</v>
      </c>
      <c r="AB1455" t="s">
        <v>79</v>
      </c>
      <c r="AC1455" t="s">
        <v>127</v>
      </c>
      <c r="AD1455">
        <v>36</v>
      </c>
      <c r="AE1455">
        <v>9</v>
      </c>
      <c r="AF1455">
        <v>3</v>
      </c>
      <c r="AG1455">
        <v>2025</v>
      </c>
      <c r="AH1455" s="2">
        <v>6000</v>
      </c>
      <c r="AI1455" s="2">
        <v>7120.47119140625</v>
      </c>
      <c r="AJ1455" s="2">
        <f t="shared" si="178"/>
        <v>1120.47119140625</v>
      </c>
      <c r="AK1455" s="6">
        <f t="shared" si="179"/>
        <v>0.18674519856770833</v>
      </c>
      <c r="AL1455" s="12">
        <v>6000</v>
      </c>
      <c r="AM1455" s="12">
        <v>6019.8085672264306</v>
      </c>
      <c r="AN1455" s="12">
        <f t="shared" si="180"/>
        <v>19.808567226430569</v>
      </c>
      <c r="AO1455" s="13">
        <f t="shared" si="181"/>
        <v>3.3014278710717616E-3</v>
      </c>
      <c r="AP1455" s="16">
        <v>6000</v>
      </c>
      <c r="AQ1455" s="16">
        <v>5328.639169149702</v>
      </c>
      <c r="AR1455" s="16">
        <f t="shared" si="182"/>
        <v>671.36083085029804</v>
      </c>
      <c r="AS1455" s="17">
        <f t="shared" si="176"/>
        <v>0.11189347180838301</v>
      </c>
      <c r="AT1455" s="20">
        <v>6000</v>
      </c>
      <c r="AU1455" s="20">
        <v>6993.2607421875</v>
      </c>
      <c r="AV1455" s="20">
        <f t="shared" si="177"/>
        <v>993.2607421875</v>
      </c>
      <c r="AW1455" s="21">
        <f t="shared" si="183"/>
        <v>0.16554345703125001</v>
      </c>
    </row>
    <row r="1456" spans="1:49" x14ac:dyDescent="0.25">
      <c r="A1456" t="s">
        <v>38</v>
      </c>
      <c r="B1456" t="s">
        <v>110</v>
      </c>
      <c r="C1456">
        <v>175245</v>
      </c>
      <c r="D1456">
        <v>2015</v>
      </c>
      <c r="E1456" t="s">
        <v>40</v>
      </c>
      <c r="F1456" t="s">
        <v>643</v>
      </c>
      <c r="H1456" t="s">
        <v>1325</v>
      </c>
      <c r="I1456">
        <v>6</v>
      </c>
      <c r="J1456" t="s">
        <v>61</v>
      </c>
      <c r="K1456">
        <v>4</v>
      </c>
      <c r="L1456" t="s">
        <v>44</v>
      </c>
      <c r="M1456">
        <v>3.5</v>
      </c>
      <c r="N1456" t="s">
        <v>45</v>
      </c>
      <c r="Q1456" t="s">
        <v>62</v>
      </c>
      <c r="R1456" t="s">
        <v>225</v>
      </c>
      <c r="S1456" t="s">
        <v>49</v>
      </c>
      <c r="T1456">
        <v>295</v>
      </c>
      <c r="U1456" t="s">
        <v>50</v>
      </c>
      <c r="V1456" t="s">
        <v>76</v>
      </c>
      <c r="W1456" t="s">
        <v>152</v>
      </c>
      <c r="X1456" t="s">
        <v>141</v>
      </c>
      <c r="Y1456" t="s">
        <v>78</v>
      </c>
      <c r="AA1456">
        <v>0</v>
      </c>
      <c r="AB1456" t="s">
        <v>79</v>
      </c>
      <c r="AC1456" t="s">
        <v>225</v>
      </c>
      <c r="AD1456">
        <v>36</v>
      </c>
      <c r="AE1456">
        <v>9</v>
      </c>
      <c r="AF1456">
        <v>3</v>
      </c>
      <c r="AG1456">
        <v>2025</v>
      </c>
      <c r="AH1456" s="2">
        <v>5500</v>
      </c>
      <c r="AI1456" s="2">
        <v>5415.8720703125</v>
      </c>
      <c r="AJ1456" s="2">
        <f t="shared" si="178"/>
        <v>84.1279296875</v>
      </c>
      <c r="AK1456" s="6">
        <f t="shared" si="179"/>
        <v>1.5295987215909091E-2</v>
      </c>
      <c r="AL1456" s="12">
        <v>5500</v>
      </c>
      <c r="AM1456" s="12">
        <v>5081.493531117123</v>
      </c>
      <c r="AN1456" s="12">
        <f t="shared" si="180"/>
        <v>418.50646888287702</v>
      </c>
      <c r="AO1456" s="13">
        <f t="shared" si="181"/>
        <v>7.6092085251432184E-2</v>
      </c>
      <c r="AP1456" s="16">
        <v>5500</v>
      </c>
      <c r="AQ1456" s="16">
        <v>4339.5990967034249</v>
      </c>
      <c r="AR1456" s="16">
        <f t="shared" si="182"/>
        <v>1160.4009032965751</v>
      </c>
      <c r="AS1456" s="17">
        <f t="shared" si="176"/>
        <v>0.21098198241755911</v>
      </c>
      <c r="AT1456" s="20">
        <v>5500</v>
      </c>
      <c r="AU1456" s="20">
        <v>5417.58740234375</v>
      </c>
      <c r="AV1456" s="20">
        <f t="shared" si="177"/>
        <v>82.41259765625</v>
      </c>
      <c r="AW1456" s="21">
        <f t="shared" si="183"/>
        <v>1.4984108664772728E-2</v>
      </c>
    </row>
    <row r="1457" spans="1:49" x14ac:dyDescent="0.25">
      <c r="A1457" t="s">
        <v>38</v>
      </c>
      <c r="B1457" t="s">
        <v>110</v>
      </c>
      <c r="C1457">
        <v>118700</v>
      </c>
      <c r="D1457">
        <v>2014</v>
      </c>
      <c r="E1457" t="s">
        <v>69</v>
      </c>
      <c r="F1457" t="s">
        <v>1395</v>
      </c>
      <c r="H1457" t="s">
        <v>541</v>
      </c>
      <c r="I1457">
        <v>4</v>
      </c>
      <c r="J1457" t="s">
        <v>72</v>
      </c>
      <c r="K1457">
        <v>4</v>
      </c>
      <c r="L1457" t="s">
        <v>44</v>
      </c>
      <c r="M1457">
        <v>2</v>
      </c>
      <c r="N1457" t="s">
        <v>45</v>
      </c>
      <c r="O1457" t="s">
        <v>46</v>
      </c>
      <c r="P1457">
        <v>3</v>
      </c>
      <c r="Q1457" t="s">
        <v>47</v>
      </c>
      <c r="R1457" t="s">
        <v>48</v>
      </c>
      <c r="T1457">
        <v>141</v>
      </c>
      <c r="U1457" t="s">
        <v>601</v>
      </c>
      <c r="V1457" t="s">
        <v>51</v>
      </c>
      <c r="W1457" t="s">
        <v>1396</v>
      </c>
      <c r="X1457" t="s">
        <v>125</v>
      </c>
      <c r="Y1457" t="s">
        <v>78</v>
      </c>
      <c r="AA1457">
        <v>1</v>
      </c>
      <c r="AB1457" t="s">
        <v>603</v>
      </c>
      <c r="AC1457" t="s">
        <v>56</v>
      </c>
      <c r="AD1457">
        <v>36</v>
      </c>
      <c r="AE1457">
        <v>9</v>
      </c>
      <c r="AF1457">
        <v>3</v>
      </c>
      <c r="AG1457">
        <v>2025</v>
      </c>
      <c r="AH1457" s="2">
        <v>1250</v>
      </c>
      <c r="AI1457" s="2">
        <v>2957.7021484375</v>
      </c>
      <c r="AJ1457" s="2">
        <f t="shared" si="178"/>
        <v>1707.7021484375</v>
      </c>
      <c r="AK1457" s="6">
        <f t="shared" si="179"/>
        <v>1.3661617187499999</v>
      </c>
      <c r="AL1457" s="12">
        <v>1250</v>
      </c>
      <c r="AM1457" s="12">
        <v>2649.8096061889901</v>
      </c>
      <c r="AN1457" s="12">
        <f t="shared" si="180"/>
        <v>1399.8096061889901</v>
      </c>
      <c r="AO1457" s="13">
        <f t="shared" si="181"/>
        <v>1.119847684951192</v>
      </c>
      <c r="AP1457" s="16">
        <v>1250</v>
      </c>
      <c r="AQ1457" s="16">
        <v>2192.284122130895</v>
      </c>
      <c r="AR1457" s="16">
        <f t="shared" si="182"/>
        <v>942.28412213089496</v>
      </c>
      <c r="AS1457" s="17">
        <f t="shared" si="176"/>
        <v>0.75382729770471602</v>
      </c>
      <c r="AT1457" s="20">
        <v>1250</v>
      </c>
      <c r="AU1457" s="20">
        <v>2983.821044921875</v>
      </c>
      <c r="AV1457" s="20">
        <f t="shared" si="177"/>
        <v>1733.821044921875</v>
      </c>
      <c r="AW1457" s="21">
        <f t="shared" si="183"/>
        <v>1.3870568359375</v>
      </c>
    </row>
    <row r="1458" spans="1:49" x14ac:dyDescent="0.25">
      <c r="A1458" t="s">
        <v>114</v>
      </c>
      <c r="B1458" t="s">
        <v>115</v>
      </c>
      <c r="C1458">
        <v>285879</v>
      </c>
      <c r="D1458">
        <v>2013</v>
      </c>
      <c r="E1458" t="s">
        <v>97</v>
      </c>
      <c r="F1458" t="s">
        <v>159</v>
      </c>
      <c r="G1458" t="s">
        <v>1208</v>
      </c>
      <c r="H1458" t="s">
        <v>312</v>
      </c>
      <c r="I1458">
        <v>8</v>
      </c>
      <c r="J1458" t="s">
        <v>72</v>
      </c>
      <c r="K1458">
        <v>2</v>
      </c>
      <c r="L1458" t="s">
        <v>44</v>
      </c>
      <c r="M1458">
        <v>6</v>
      </c>
      <c r="N1458" t="s">
        <v>91</v>
      </c>
      <c r="O1458" t="s">
        <v>46</v>
      </c>
      <c r="Q1458" t="s">
        <v>74</v>
      </c>
      <c r="R1458" t="s">
        <v>92</v>
      </c>
      <c r="S1458" t="s">
        <v>93</v>
      </c>
      <c r="U1458" t="s">
        <v>50</v>
      </c>
      <c r="V1458" t="s">
        <v>76</v>
      </c>
      <c r="W1458" t="s">
        <v>1397</v>
      </c>
      <c r="X1458" t="s">
        <v>230</v>
      </c>
      <c r="Y1458" t="s">
        <v>78</v>
      </c>
      <c r="AA1458">
        <v>0</v>
      </c>
      <c r="AB1458" t="s">
        <v>79</v>
      </c>
      <c r="AC1458" t="s">
        <v>95</v>
      </c>
      <c r="AD1458">
        <v>36</v>
      </c>
      <c r="AE1458">
        <v>9</v>
      </c>
      <c r="AF1458">
        <v>3</v>
      </c>
      <c r="AG1458">
        <v>2025</v>
      </c>
      <c r="AH1458" s="2">
        <v>2000</v>
      </c>
      <c r="AI1458" s="2">
        <v>2594.2900390625</v>
      </c>
      <c r="AJ1458" s="2">
        <f t="shared" si="178"/>
        <v>594.2900390625</v>
      </c>
      <c r="AK1458" s="6">
        <f t="shared" si="179"/>
        <v>0.29714501953125</v>
      </c>
      <c r="AL1458" s="12">
        <v>2000</v>
      </c>
      <c r="AM1458" s="12">
        <v>3876.4171246097749</v>
      </c>
      <c r="AN1458" s="12">
        <f t="shared" si="180"/>
        <v>1876.4171246097749</v>
      </c>
      <c r="AO1458" s="13">
        <f t="shared" si="181"/>
        <v>0.93820856230488747</v>
      </c>
      <c r="AP1458" s="16">
        <v>2000</v>
      </c>
      <c r="AQ1458" s="16">
        <v>2735.7789562171042</v>
      </c>
      <c r="AR1458" s="16">
        <f t="shared" si="182"/>
        <v>735.77895621710422</v>
      </c>
      <c r="AS1458" s="17">
        <f t="shared" si="176"/>
        <v>0.3678894781085521</v>
      </c>
      <c r="AT1458" s="20">
        <v>2000</v>
      </c>
      <c r="AU1458" s="20">
        <v>2646.82568359375</v>
      </c>
      <c r="AV1458" s="20">
        <f t="shared" si="177"/>
        <v>646.82568359375</v>
      </c>
      <c r="AW1458" s="21">
        <f t="shared" si="183"/>
        <v>0.32341284179687502</v>
      </c>
    </row>
    <row r="1459" spans="1:49" x14ac:dyDescent="0.25">
      <c r="A1459" t="s">
        <v>114</v>
      </c>
      <c r="B1459" t="s">
        <v>115</v>
      </c>
      <c r="C1459">
        <v>194536</v>
      </c>
      <c r="D1459">
        <v>2015</v>
      </c>
      <c r="E1459" t="s">
        <v>69</v>
      </c>
      <c r="F1459" t="s">
        <v>250</v>
      </c>
      <c r="H1459" t="s">
        <v>224</v>
      </c>
      <c r="I1459">
        <v>4</v>
      </c>
      <c r="J1459" t="s">
        <v>43</v>
      </c>
      <c r="K1459">
        <v>4</v>
      </c>
      <c r="L1459" t="s">
        <v>44</v>
      </c>
      <c r="M1459">
        <v>1.6</v>
      </c>
      <c r="N1459" t="s">
        <v>45</v>
      </c>
      <c r="O1459" t="s">
        <v>46</v>
      </c>
      <c r="Q1459" t="s">
        <v>62</v>
      </c>
      <c r="R1459" t="s">
        <v>63</v>
      </c>
      <c r="T1459">
        <v>178</v>
      </c>
      <c r="U1459" t="s">
        <v>50</v>
      </c>
      <c r="V1459" t="s">
        <v>51</v>
      </c>
      <c r="X1459" t="s">
        <v>65</v>
      </c>
      <c r="Y1459" t="s">
        <v>78</v>
      </c>
      <c r="AA1459">
        <v>0</v>
      </c>
      <c r="AB1459" t="s">
        <v>79</v>
      </c>
      <c r="AC1459" t="s">
        <v>87</v>
      </c>
      <c r="AD1459">
        <v>36</v>
      </c>
      <c r="AE1459">
        <v>9</v>
      </c>
      <c r="AF1459">
        <v>3</v>
      </c>
      <c r="AG1459">
        <v>2025</v>
      </c>
      <c r="AH1459" s="2">
        <v>500</v>
      </c>
      <c r="AI1459" s="2">
        <v>1410.0400390625</v>
      </c>
      <c r="AJ1459" s="2">
        <f t="shared" si="178"/>
        <v>910.0400390625</v>
      </c>
      <c r="AK1459" s="6">
        <f t="shared" si="179"/>
        <v>1.8200800781249999</v>
      </c>
      <c r="AL1459" s="12">
        <v>500</v>
      </c>
      <c r="AM1459" s="12">
        <v>1725.8116764320939</v>
      </c>
      <c r="AN1459" s="12">
        <f t="shared" si="180"/>
        <v>1225.8116764320939</v>
      </c>
      <c r="AO1459" s="13">
        <f t="shared" si="181"/>
        <v>2.4516233528641878</v>
      </c>
      <c r="AP1459" s="16">
        <v>500</v>
      </c>
      <c r="AQ1459" s="16">
        <v>1251.6847977231259</v>
      </c>
      <c r="AR1459" s="16">
        <f t="shared" si="182"/>
        <v>751.68479772312594</v>
      </c>
      <c r="AS1459" s="17">
        <f t="shared" si="176"/>
        <v>1.5033695954462518</v>
      </c>
      <c r="AT1459" s="20">
        <v>500</v>
      </c>
      <c r="AU1459" s="20">
        <v>1416.93798828125</v>
      </c>
      <c r="AV1459" s="20">
        <f t="shared" si="177"/>
        <v>916.93798828125</v>
      </c>
      <c r="AW1459" s="21">
        <f t="shared" si="183"/>
        <v>1.8338759765624999</v>
      </c>
    </row>
    <row r="1460" spans="1:49" x14ac:dyDescent="0.25">
      <c r="A1460" t="s">
        <v>38</v>
      </c>
      <c r="B1460" t="s">
        <v>96</v>
      </c>
      <c r="C1460">
        <v>40528</v>
      </c>
      <c r="D1460">
        <v>2020</v>
      </c>
      <c r="E1460" t="s">
        <v>146</v>
      </c>
      <c r="F1460" t="s">
        <v>147</v>
      </c>
      <c r="I1460">
        <v>4</v>
      </c>
      <c r="J1460" t="s">
        <v>135</v>
      </c>
      <c r="K1460">
        <v>4</v>
      </c>
      <c r="L1460" t="s">
        <v>44</v>
      </c>
      <c r="M1460">
        <v>2.5</v>
      </c>
      <c r="N1460" t="s">
        <v>45</v>
      </c>
      <c r="O1460" t="s">
        <v>46</v>
      </c>
      <c r="P1460">
        <v>2</v>
      </c>
      <c r="Q1460" t="s">
        <v>62</v>
      </c>
      <c r="R1460" t="s">
        <v>148</v>
      </c>
      <c r="S1460" t="s">
        <v>49</v>
      </c>
      <c r="U1460" t="s">
        <v>50</v>
      </c>
      <c r="X1460" t="s">
        <v>65</v>
      </c>
      <c r="Y1460" t="s">
        <v>54</v>
      </c>
      <c r="AA1460">
        <v>0</v>
      </c>
      <c r="AB1460" t="s">
        <v>79</v>
      </c>
      <c r="AC1460" t="s">
        <v>87</v>
      </c>
      <c r="AD1460">
        <v>36</v>
      </c>
      <c r="AE1460">
        <v>9</v>
      </c>
      <c r="AF1460">
        <v>3</v>
      </c>
      <c r="AG1460">
        <v>2025</v>
      </c>
      <c r="AH1460" s="2">
        <v>4000</v>
      </c>
      <c r="AI1460" s="2">
        <v>11212.8662109375</v>
      </c>
      <c r="AJ1460" s="2">
        <f t="shared" si="178"/>
        <v>7212.8662109375</v>
      </c>
      <c r="AK1460" s="6">
        <f t="shared" si="179"/>
        <v>1.8032165527343751</v>
      </c>
      <c r="AL1460" s="12">
        <v>4000</v>
      </c>
      <c r="AM1460" s="12">
        <v>10419.850760422351</v>
      </c>
      <c r="AN1460" s="12">
        <f t="shared" si="180"/>
        <v>6419.8507604223505</v>
      </c>
      <c r="AO1460" s="13">
        <f t="shared" si="181"/>
        <v>1.6049626901055876</v>
      </c>
      <c r="AP1460" s="16">
        <v>4000</v>
      </c>
      <c r="AQ1460" s="16">
        <v>9196.6179739911804</v>
      </c>
      <c r="AR1460" s="16">
        <f t="shared" si="182"/>
        <v>5196.6179739911804</v>
      </c>
      <c r="AS1460" s="17">
        <f t="shared" si="176"/>
        <v>1.299154493497795</v>
      </c>
      <c r="AT1460" s="20">
        <v>4000</v>
      </c>
      <c r="AU1460" s="20">
        <v>11089.7275390625</v>
      </c>
      <c r="AV1460" s="20">
        <f t="shared" si="177"/>
        <v>7089.7275390625</v>
      </c>
      <c r="AW1460" s="21">
        <f t="shared" si="183"/>
        <v>1.7724318847656251</v>
      </c>
    </row>
    <row r="1461" spans="1:49" x14ac:dyDescent="0.25">
      <c r="A1461" t="s">
        <v>38</v>
      </c>
      <c r="B1461" t="s">
        <v>39</v>
      </c>
      <c r="C1461">
        <v>89750</v>
      </c>
      <c r="D1461">
        <v>2021</v>
      </c>
      <c r="E1461" t="s">
        <v>97</v>
      </c>
      <c r="F1461" t="s">
        <v>159</v>
      </c>
      <c r="G1461" t="s">
        <v>160</v>
      </c>
      <c r="H1461" t="s">
        <v>883</v>
      </c>
      <c r="I1461">
        <v>8</v>
      </c>
      <c r="J1461" t="s">
        <v>72</v>
      </c>
      <c r="K1461">
        <v>4</v>
      </c>
      <c r="L1461" t="s">
        <v>44</v>
      </c>
      <c r="M1461">
        <v>6.6</v>
      </c>
      <c r="N1461" t="s">
        <v>91</v>
      </c>
      <c r="O1461" t="s">
        <v>46</v>
      </c>
      <c r="Q1461" t="s">
        <v>477</v>
      </c>
      <c r="R1461" t="s">
        <v>1331</v>
      </c>
      <c r="S1461" t="s">
        <v>93</v>
      </c>
      <c r="U1461" t="s">
        <v>229</v>
      </c>
      <c r="V1461" t="s">
        <v>76</v>
      </c>
      <c r="W1461" t="s">
        <v>957</v>
      </c>
      <c r="X1461" t="s">
        <v>260</v>
      </c>
      <c r="Y1461" t="s">
        <v>78</v>
      </c>
      <c r="AA1461">
        <v>0</v>
      </c>
      <c r="AB1461" t="s">
        <v>79</v>
      </c>
      <c r="AC1461" t="s">
        <v>886</v>
      </c>
      <c r="AD1461">
        <v>36</v>
      </c>
      <c r="AE1461">
        <v>9</v>
      </c>
      <c r="AF1461">
        <v>3</v>
      </c>
      <c r="AG1461">
        <v>2025</v>
      </c>
      <c r="AH1461" s="2">
        <v>30250</v>
      </c>
      <c r="AI1461" s="2">
        <v>43980.8828125</v>
      </c>
      <c r="AJ1461" s="2">
        <f t="shared" si="178"/>
        <v>13730.8828125</v>
      </c>
      <c r="AK1461" s="6">
        <f t="shared" si="179"/>
        <v>0.45391348140495869</v>
      </c>
      <c r="AL1461" s="12">
        <v>30250</v>
      </c>
      <c r="AM1461" s="12">
        <v>43032.338102549278</v>
      </c>
      <c r="AN1461" s="12">
        <f t="shared" si="180"/>
        <v>12782.338102549278</v>
      </c>
      <c r="AO1461" s="13">
        <f t="shared" si="181"/>
        <v>0.42255663148923234</v>
      </c>
      <c r="AP1461" s="16">
        <v>30250</v>
      </c>
      <c r="AQ1461" s="16">
        <v>38805.611773773853</v>
      </c>
      <c r="AR1461" s="16">
        <f t="shared" si="182"/>
        <v>8555.6117737738532</v>
      </c>
      <c r="AS1461" s="17">
        <f t="shared" si="176"/>
        <v>0.28283014128178025</v>
      </c>
      <c r="AT1461" s="20">
        <v>30250</v>
      </c>
      <c r="AU1461" s="20">
        <v>42989.5859375</v>
      </c>
      <c r="AV1461" s="20">
        <f t="shared" si="177"/>
        <v>12739.5859375</v>
      </c>
      <c r="AW1461" s="21">
        <f t="shared" si="183"/>
        <v>0.4211433367768595</v>
      </c>
    </row>
    <row r="1462" spans="1:49" x14ac:dyDescent="0.25">
      <c r="A1462" t="s">
        <v>38</v>
      </c>
      <c r="B1462" t="s">
        <v>110</v>
      </c>
      <c r="C1462">
        <v>73680</v>
      </c>
      <c r="D1462">
        <v>2019</v>
      </c>
      <c r="E1462" t="s">
        <v>345</v>
      </c>
      <c r="F1462" t="s">
        <v>676</v>
      </c>
      <c r="G1462" t="s">
        <v>1398</v>
      </c>
      <c r="H1462" t="s">
        <v>678</v>
      </c>
      <c r="I1462">
        <v>4</v>
      </c>
      <c r="J1462" t="s">
        <v>106</v>
      </c>
      <c r="K1462">
        <v>4</v>
      </c>
      <c r="L1462" t="s">
        <v>44</v>
      </c>
      <c r="M1462">
        <v>2</v>
      </c>
      <c r="N1462" t="s">
        <v>73</v>
      </c>
      <c r="Q1462" t="s">
        <v>47</v>
      </c>
      <c r="R1462" t="s">
        <v>123</v>
      </c>
      <c r="S1462" t="s">
        <v>85</v>
      </c>
      <c r="T1462">
        <v>248</v>
      </c>
      <c r="U1462" t="s">
        <v>50</v>
      </c>
      <c r="X1462" t="s">
        <v>125</v>
      </c>
      <c r="Y1462" t="s">
        <v>137</v>
      </c>
      <c r="AA1462">
        <v>0</v>
      </c>
      <c r="AB1462" t="s">
        <v>79</v>
      </c>
      <c r="AC1462" t="s">
        <v>127</v>
      </c>
      <c r="AD1462">
        <v>36</v>
      </c>
      <c r="AE1462">
        <v>9</v>
      </c>
      <c r="AF1462">
        <v>3</v>
      </c>
      <c r="AG1462">
        <v>2025</v>
      </c>
      <c r="AH1462" s="2">
        <v>13200</v>
      </c>
      <c r="AI1462" s="2">
        <v>13669.98828125</v>
      </c>
      <c r="AJ1462" s="2">
        <f t="shared" si="178"/>
        <v>469.98828125</v>
      </c>
      <c r="AK1462" s="6">
        <f t="shared" si="179"/>
        <v>3.5605172821969698E-2</v>
      </c>
      <c r="AL1462" s="12">
        <v>13200</v>
      </c>
      <c r="AM1462" s="12">
        <v>13354.77981998923</v>
      </c>
      <c r="AN1462" s="12">
        <f t="shared" si="180"/>
        <v>154.77981998922951</v>
      </c>
      <c r="AO1462" s="13">
        <f t="shared" si="181"/>
        <v>1.1725743938577993E-2</v>
      </c>
      <c r="AP1462" s="16">
        <v>13200</v>
      </c>
      <c r="AQ1462" s="16">
        <v>13163.861297877191</v>
      </c>
      <c r="AR1462" s="16">
        <f t="shared" si="182"/>
        <v>36.138702122809264</v>
      </c>
      <c r="AS1462" s="17">
        <f t="shared" si="176"/>
        <v>2.7377804638491865E-3</v>
      </c>
      <c r="AT1462" s="20">
        <v>13200</v>
      </c>
      <c r="AU1462" s="20">
        <v>13570.677734375</v>
      </c>
      <c r="AV1462" s="20">
        <f t="shared" si="177"/>
        <v>370.677734375</v>
      </c>
      <c r="AW1462" s="21">
        <f t="shared" si="183"/>
        <v>2.8081646543560605E-2</v>
      </c>
    </row>
    <row r="1463" spans="1:49" x14ac:dyDescent="0.25">
      <c r="A1463" t="s">
        <v>38</v>
      </c>
      <c r="B1463" t="s">
        <v>110</v>
      </c>
      <c r="C1463">
        <v>212715</v>
      </c>
      <c r="D1463">
        <v>2004</v>
      </c>
      <c r="E1463" t="s">
        <v>69</v>
      </c>
      <c r="F1463" t="s">
        <v>231</v>
      </c>
      <c r="H1463" t="s">
        <v>832</v>
      </c>
      <c r="I1463">
        <v>8</v>
      </c>
      <c r="J1463" t="s">
        <v>1399</v>
      </c>
      <c r="K1463">
        <v>4</v>
      </c>
      <c r="L1463" t="s">
        <v>44</v>
      </c>
      <c r="M1463">
        <v>5.4</v>
      </c>
      <c r="N1463" t="s">
        <v>91</v>
      </c>
      <c r="O1463" t="s">
        <v>46</v>
      </c>
      <c r="Q1463" t="s">
        <v>74</v>
      </c>
      <c r="R1463" t="s">
        <v>92</v>
      </c>
      <c r="S1463" t="s">
        <v>93</v>
      </c>
      <c r="T1463">
        <v>300</v>
      </c>
      <c r="U1463" t="s">
        <v>50</v>
      </c>
      <c r="V1463" t="s">
        <v>76</v>
      </c>
      <c r="X1463" t="s">
        <v>108</v>
      </c>
      <c r="Y1463" t="s">
        <v>78</v>
      </c>
      <c r="AA1463">
        <v>0</v>
      </c>
      <c r="AB1463" t="s">
        <v>79</v>
      </c>
      <c r="AC1463" t="s">
        <v>95</v>
      </c>
      <c r="AD1463">
        <v>36</v>
      </c>
      <c r="AE1463">
        <v>9</v>
      </c>
      <c r="AF1463">
        <v>3</v>
      </c>
      <c r="AG1463">
        <v>2025</v>
      </c>
      <c r="AH1463" s="2">
        <v>3800</v>
      </c>
      <c r="AI1463" s="2">
        <v>1783.202392578125</v>
      </c>
      <c r="AJ1463" s="2">
        <f t="shared" si="178"/>
        <v>2016.797607421875</v>
      </c>
      <c r="AK1463" s="6">
        <f t="shared" si="179"/>
        <v>0.53073621247944081</v>
      </c>
      <c r="AL1463" s="12">
        <v>3800</v>
      </c>
      <c r="AM1463" s="12">
        <v>2045.0623144888191</v>
      </c>
      <c r="AN1463" s="12">
        <f t="shared" si="180"/>
        <v>1754.9376855111809</v>
      </c>
      <c r="AO1463" s="13">
        <f t="shared" si="181"/>
        <v>0.46182570671346868</v>
      </c>
      <c r="AP1463" s="16">
        <v>3800</v>
      </c>
      <c r="AQ1463" s="16">
        <v>1906.816181507796</v>
      </c>
      <c r="AR1463" s="16">
        <f t="shared" si="182"/>
        <v>1893.183818492204</v>
      </c>
      <c r="AS1463" s="17">
        <f t="shared" si="176"/>
        <v>0.49820626802426421</v>
      </c>
      <c r="AT1463" s="20">
        <v>3800</v>
      </c>
      <c r="AU1463" s="20">
        <v>1793.074829101562</v>
      </c>
      <c r="AV1463" s="20">
        <f t="shared" si="177"/>
        <v>2006.925170898438</v>
      </c>
      <c r="AW1463" s="21">
        <f t="shared" si="183"/>
        <v>0.52813820286800994</v>
      </c>
    </row>
    <row r="1464" spans="1:49" x14ac:dyDescent="0.25">
      <c r="A1464" t="s">
        <v>38</v>
      </c>
      <c r="B1464" t="s">
        <v>110</v>
      </c>
      <c r="C1464">
        <v>65542</v>
      </c>
      <c r="D1464">
        <v>2019</v>
      </c>
      <c r="E1464" t="s">
        <v>97</v>
      </c>
      <c r="F1464" t="s">
        <v>1066</v>
      </c>
      <c r="G1464" t="s">
        <v>199</v>
      </c>
      <c r="I1464">
        <v>4</v>
      </c>
      <c r="J1464" t="s">
        <v>72</v>
      </c>
      <c r="K1464">
        <v>4</v>
      </c>
      <c r="L1464" t="s">
        <v>44</v>
      </c>
      <c r="M1464">
        <v>1.4</v>
      </c>
      <c r="N1464" t="s">
        <v>45</v>
      </c>
      <c r="Q1464" t="s">
        <v>47</v>
      </c>
      <c r="R1464" t="s">
        <v>48</v>
      </c>
      <c r="U1464" t="s">
        <v>50</v>
      </c>
      <c r="V1464" t="s">
        <v>51</v>
      </c>
      <c r="W1464" t="s">
        <v>1068</v>
      </c>
      <c r="X1464" t="s">
        <v>125</v>
      </c>
      <c r="Y1464" t="s">
        <v>66</v>
      </c>
      <c r="Z1464">
        <v>14095</v>
      </c>
      <c r="AA1464">
        <v>0</v>
      </c>
      <c r="AB1464" t="s">
        <v>79</v>
      </c>
      <c r="AC1464" t="s">
        <v>359</v>
      </c>
      <c r="AD1464">
        <v>36</v>
      </c>
      <c r="AE1464">
        <v>9</v>
      </c>
      <c r="AF1464">
        <v>3</v>
      </c>
      <c r="AG1464">
        <v>2025</v>
      </c>
      <c r="AH1464" s="2">
        <v>2600</v>
      </c>
      <c r="AI1464" s="2">
        <v>4807.6806640625</v>
      </c>
      <c r="AJ1464" s="2">
        <f t="shared" si="178"/>
        <v>2207.6806640625</v>
      </c>
      <c r="AK1464" s="6">
        <f t="shared" si="179"/>
        <v>0.84910794771634612</v>
      </c>
      <c r="AL1464" s="12">
        <v>2600</v>
      </c>
      <c r="AM1464" s="12">
        <v>6719.2838055849688</v>
      </c>
      <c r="AN1464" s="12">
        <f t="shared" si="180"/>
        <v>4119.2838055849688</v>
      </c>
      <c r="AO1464" s="13">
        <f t="shared" si="181"/>
        <v>1.5843399252249881</v>
      </c>
      <c r="AP1464" s="16">
        <v>2600</v>
      </c>
      <c r="AQ1464" s="16">
        <v>4522.3364964988778</v>
      </c>
      <c r="AR1464" s="16">
        <f t="shared" si="182"/>
        <v>1922.3364964988778</v>
      </c>
      <c r="AS1464" s="17">
        <f t="shared" si="176"/>
        <v>0.73936019096110683</v>
      </c>
      <c r="AT1464" s="20">
        <v>2600</v>
      </c>
      <c r="AU1464" s="20">
        <v>5022.6669921875</v>
      </c>
      <c r="AV1464" s="20">
        <f t="shared" si="177"/>
        <v>2422.6669921875</v>
      </c>
      <c r="AW1464" s="21">
        <f t="shared" si="183"/>
        <v>0.9317949969951923</v>
      </c>
    </row>
    <row r="1465" spans="1:49" x14ac:dyDescent="0.25">
      <c r="A1465" t="s">
        <v>38</v>
      </c>
      <c r="B1465" t="s">
        <v>110</v>
      </c>
      <c r="C1465">
        <v>27159</v>
      </c>
      <c r="D1465">
        <v>2022</v>
      </c>
      <c r="E1465" t="s">
        <v>97</v>
      </c>
      <c r="F1465" t="s">
        <v>154</v>
      </c>
      <c r="G1465" t="s">
        <v>155</v>
      </c>
      <c r="I1465">
        <v>4</v>
      </c>
      <c r="J1465" t="s">
        <v>61</v>
      </c>
      <c r="K1465">
        <v>2</v>
      </c>
      <c r="L1465" t="s">
        <v>44</v>
      </c>
      <c r="M1465">
        <v>2.5</v>
      </c>
      <c r="N1465" t="s">
        <v>73</v>
      </c>
      <c r="O1465" t="s">
        <v>100</v>
      </c>
      <c r="P1465">
        <v>1</v>
      </c>
      <c r="Q1465" t="s">
        <v>74</v>
      </c>
      <c r="R1465" t="s">
        <v>92</v>
      </c>
      <c r="S1465" t="s">
        <v>49</v>
      </c>
      <c r="U1465" t="s">
        <v>50</v>
      </c>
      <c r="V1465" t="s">
        <v>51</v>
      </c>
      <c r="W1465" t="s">
        <v>623</v>
      </c>
      <c r="X1465" t="s">
        <v>141</v>
      </c>
      <c r="Y1465" t="s">
        <v>78</v>
      </c>
      <c r="AA1465">
        <v>0</v>
      </c>
      <c r="AB1465" t="s">
        <v>79</v>
      </c>
      <c r="AC1465" t="s">
        <v>95</v>
      </c>
      <c r="AD1465">
        <v>36</v>
      </c>
      <c r="AE1465">
        <v>9</v>
      </c>
      <c r="AF1465">
        <v>3</v>
      </c>
      <c r="AG1465">
        <v>2025</v>
      </c>
      <c r="AH1465" s="2">
        <v>13000</v>
      </c>
      <c r="AI1465" s="2">
        <v>7318.94677734375</v>
      </c>
      <c r="AJ1465" s="2">
        <f t="shared" si="178"/>
        <v>5681.05322265625</v>
      </c>
      <c r="AK1465" s="6">
        <f t="shared" si="179"/>
        <v>0.4370040940504808</v>
      </c>
      <c r="AL1465" s="12">
        <v>13000</v>
      </c>
      <c r="AM1465" s="12">
        <v>10447.441257936231</v>
      </c>
      <c r="AN1465" s="12">
        <f t="shared" si="180"/>
        <v>2552.5587420637694</v>
      </c>
      <c r="AO1465" s="13">
        <f t="shared" si="181"/>
        <v>0.1963506724664438</v>
      </c>
      <c r="AP1465" s="16">
        <v>13000</v>
      </c>
      <c r="AQ1465" s="16">
        <v>7788.0947403643404</v>
      </c>
      <c r="AR1465" s="16">
        <f t="shared" si="182"/>
        <v>5211.9052596356596</v>
      </c>
      <c r="AS1465" s="17">
        <f t="shared" si="176"/>
        <v>0.40091578920274307</v>
      </c>
      <c r="AT1465" s="20">
        <v>13000</v>
      </c>
      <c r="AU1465" s="20">
        <v>7880.00634765625</v>
      </c>
      <c r="AV1465" s="20">
        <f t="shared" si="177"/>
        <v>5119.99365234375</v>
      </c>
      <c r="AW1465" s="21">
        <f t="shared" si="183"/>
        <v>0.39384566556490386</v>
      </c>
    </row>
    <row r="1466" spans="1:49" x14ac:dyDescent="0.25">
      <c r="A1466" t="s">
        <v>38</v>
      </c>
      <c r="B1466" t="s">
        <v>39</v>
      </c>
      <c r="C1466">
        <v>227028</v>
      </c>
      <c r="D1466">
        <v>2014</v>
      </c>
      <c r="E1466" t="s">
        <v>83</v>
      </c>
      <c r="F1466" t="s">
        <v>187</v>
      </c>
      <c r="G1466" t="s">
        <v>1314</v>
      </c>
      <c r="I1466">
        <v>6</v>
      </c>
      <c r="J1466" t="s">
        <v>106</v>
      </c>
      <c r="K1466">
        <v>4</v>
      </c>
      <c r="L1466" t="s">
        <v>44</v>
      </c>
      <c r="M1466">
        <v>3.5</v>
      </c>
      <c r="N1466" t="s">
        <v>45</v>
      </c>
      <c r="O1466" t="s">
        <v>46</v>
      </c>
      <c r="Q1466" t="s">
        <v>62</v>
      </c>
      <c r="R1466" t="s">
        <v>63</v>
      </c>
      <c r="T1466">
        <v>290</v>
      </c>
      <c r="U1466" t="s">
        <v>50</v>
      </c>
      <c r="V1466" t="s">
        <v>76</v>
      </c>
      <c r="W1466" t="s">
        <v>189</v>
      </c>
      <c r="X1466" t="s">
        <v>141</v>
      </c>
      <c r="Y1466" t="s">
        <v>78</v>
      </c>
      <c r="AA1466">
        <v>0</v>
      </c>
      <c r="AB1466" t="s">
        <v>79</v>
      </c>
      <c r="AC1466" t="s">
        <v>87</v>
      </c>
      <c r="AD1466">
        <v>36</v>
      </c>
      <c r="AE1466">
        <v>9</v>
      </c>
      <c r="AF1466">
        <v>3</v>
      </c>
      <c r="AG1466">
        <v>2025</v>
      </c>
      <c r="AH1466" s="2">
        <v>4750</v>
      </c>
      <c r="AI1466" s="2">
        <v>2329.039794921875</v>
      </c>
      <c r="AJ1466" s="2">
        <f t="shared" si="178"/>
        <v>2420.960205078125</v>
      </c>
      <c r="AK1466" s="6">
        <f t="shared" si="179"/>
        <v>0.50967583264802629</v>
      </c>
      <c r="AL1466" s="12">
        <v>4750</v>
      </c>
      <c r="AM1466" s="12">
        <v>2604.518684865443</v>
      </c>
      <c r="AN1466" s="12">
        <f t="shared" si="180"/>
        <v>2145.481315134557</v>
      </c>
      <c r="AO1466" s="13">
        <f t="shared" si="181"/>
        <v>0.45168027687043305</v>
      </c>
      <c r="AP1466" s="16">
        <v>4750</v>
      </c>
      <c r="AQ1466" s="16">
        <v>3548.7139559740181</v>
      </c>
      <c r="AR1466" s="16">
        <f t="shared" si="182"/>
        <v>1201.2860440259819</v>
      </c>
      <c r="AS1466" s="17">
        <f t="shared" si="176"/>
        <v>0.25290232505810145</v>
      </c>
      <c r="AT1466" s="20">
        <v>4750</v>
      </c>
      <c r="AU1466" s="20">
        <v>2370.853759765625</v>
      </c>
      <c r="AV1466" s="20">
        <f t="shared" si="177"/>
        <v>2379.146240234375</v>
      </c>
      <c r="AW1466" s="21">
        <f t="shared" si="183"/>
        <v>0.50087289268092106</v>
      </c>
    </row>
    <row r="1467" spans="1:49" x14ac:dyDescent="0.25">
      <c r="A1467" t="s">
        <v>38</v>
      </c>
      <c r="B1467" t="s">
        <v>96</v>
      </c>
      <c r="C1467">
        <v>153594</v>
      </c>
      <c r="D1467">
        <v>2018</v>
      </c>
      <c r="E1467" t="s">
        <v>88</v>
      </c>
      <c r="F1467" t="s">
        <v>312</v>
      </c>
      <c r="G1467" t="s">
        <v>1112</v>
      </c>
      <c r="H1467" t="s">
        <v>956</v>
      </c>
      <c r="I1467">
        <v>6</v>
      </c>
      <c r="J1467" t="s">
        <v>72</v>
      </c>
      <c r="K1467">
        <v>4</v>
      </c>
      <c r="L1467" t="s">
        <v>44</v>
      </c>
      <c r="M1467">
        <v>6.7</v>
      </c>
      <c r="N1467" t="s">
        <v>91</v>
      </c>
      <c r="O1467" t="s">
        <v>46</v>
      </c>
      <c r="Q1467" t="s">
        <v>74</v>
      </c>
      <c r="R1467" t="s">
        <v>92</v>
      </c>
      <c r="S1467" t="s">
        <v>93</v>
      </c>
      <c r="T1467">
        <v>370</v>
      </c>
      <c r="U1467" t="s">
        <v>229</v>
      </c>
      <c r="V1467" t="s">
        <v>51</v>
      </c>
      <c r="X1467" t="s">
        <v>230</v>
      </c>
      <c r="Y1467" t="s">
        <v>126</v>
      </c>
      <c r="AA1467">
        <v>0</v>
      </c>
      <c r="AB1467" t="s">
        <v>79</v>
      </c>
      <c r="AC1467" t="s">
        <v>95</v>
      </c>
      <c r="AD1467">
        <v>36</v>
      </c>
      <c r="AE1467">
        <v>9</v>
      </c>
      <c r="AF1467">
        <v>3</v>
      </c>
      <c r="AG1467">
        <v>2025</v>
      </c>
      <c r="AH1467" s="2">
        <v>22000</v>
      </c>
      <c r="AI1467" s="2">
        <v>18896.384765625</v>
      </c>
      <c r="AJ1467" s="2">
        <f t="shared" si="178"/>
        <v>3103.615234375</v>
      </c>
      <c r="AK1467" s="6">
        <f t="shared" si="179"/>
        <v>0.14107341974431817</v>
      </c>
      <c r="AL1467" s="12">
        <v>22000</v>
      </c>
      <c r="AM1467" s="12">
        <v>19443.299993782359</v>
      </c>
      <c r="AN1467" s="12">
        <f t="shared" si="180"/>
        <v>2556.7000062176412</v>
      </c>
      <c r="AO1467" s="13">
        <f t="shared" si="181"/>
        <v>0.11621363664625642</v>
      </c>
      <c r="AP1467" s="16">
        <v>22000</v>
      </c>
      <c r="AQ1467" s="16">
        <v>20810.856622296829</v>
      </c>
      <c r="AR1467" s="16">
        <f t="shared" si="182"/>
        <v>1189.1433777031707</v>
      </c>
      <c r="AS1467" s="17">
        <f t="shared" si="176"/>
        <v>5.4051971713780483E-2</v>
      </c>
      <c r="AT1467" s="20">
        <v>22000</v>
      </c>
      <c r="AU1467" s="20">
        <v>18782.775390625</v>
      </c>
      <c r="AV1467" s="20">
        <f t="shared" si="177"/>
        <v>3217.224609375</v>
      </c>
      <c r="AW1467" s="21">
        <f t="shared" si="183"/>
        <v>0.14623748224431818</v>
      </c>
    </row>
    <row r="1468" spans="1:49" x14ac:dyDescent="0.25">
      <c r="A1468" t="s">
        <v>81</v>
      </c>
      <c r="B1468" t="s">
        <v>836</v>
      </c>
      <c r="C1468">
        <v>43927</v>
      </c>
      <c r="D1468">
        <v>2022</v>
      </c>
      <c r="E1468" t="s">
        <v>142</v>
      </c>
      <c r="F1468" t="s">
        <v>143</v>
      </c>
      <c r="H1468" t="s">
        <v>118</v>
      </c>
      <c r="I1468">
        <v>6</v>
      </c>
      <c r="J1468" t="s">
        <v>72</v>
      </c>
      <c r="K1468">
        <v>4</v>
      </c>
      <c r="L1468" t="s">
        <v>44</v>
      </c>
      <c r="M1468">
        <v>3.2</v>
      </c>
      <c r="N1468" t="s">
        <v>91</v>
      </c>
      <c r="Q1468" t="s">
        <v>62</v>
      </c>
      <c r="R1468" t="s">
        <v>63</v>
      </c>
      <c r="S1468" t="s">
        <v>93</v>
      </c>
      <c r="T1468">
        <v>271</v>
      </c>
      <c r="U1468" t="s">
        <v>50</v>
      </c>
      <c r="V1468" t="s">
        <v>76</v>
      </c>
      <c r="X1468" t="s">
        <v>141</v>
      </c>
      <c r="Y1468" t="s">
        <v>78</v>
      </c>
      <c r="AA1468">
        <v>0</v>
      </c>
      <c r="AB1468" t="s">
        <v>79</v>
      </c>
      <c r="AC1468" t="s">
        <v>87</v>
      </c>
      <c r="AD1468">
        <v>36</v>
      </c>
      <c r="AE1468">
        <v>9</v>
      </c>
      <c r="AF1468">
        <v>3</v>
      </c>
      <c r="AG1468">
        <v>2025</v>
      </c>
      <c r="AH1468" s="2">
        <v>21400</v>
      </c>
      <c r="AI1468" s="2">
        <v>26193.4453125</v>
      </c>
      <c r="AJ1468" s="2">
        <f t="shared" si="178"/>
        <v>4793.4453125</v>
      </c>
      <c r="AK1468" s="6">
        <f t="shared" si="179"/>
        <v>0.22399277161214953</v>
      </c>
      <c r="AL1468" s="12">
        <v>21400</v>
      </c>
      <c r="AM1468" s="12">
        <v>29847.610816253429</v>
      </c>
      <c r="AN1468" s="12">
        <f t="shared" si="180"/>
        <v>8447.6108162534292</v>
      </c>
      <c r="AO1468" s="13">
        <f t="shared" si="181"/>
        <v>0.3947481689838051</v>
      </c>
      <c r="AP1468" s="16">
        <v>21400</v>
      </c>
      <c r="AQ1468" s="16">
        <v>22742.77704288645</v>
      </c>
      <c r="AR1468" s="16">
        <f t="shared" si="182"/>
        <v>1342.7770428864496</v>
      </c>
      <c r="AS1468" s="17">
        <f t="shared" si="176"/>
        <v>6.2746590789086426E-2</v>
      </c>
      <c r="AT1468" s="20">
        <v>21400</v>
      </c>
      <c r="AU1468" s="20">
        <v>26740.74609375</v>
      </c>
      <c r="AV1468" s="20">
        <f t="shared" si="177"/>
        <v>5340.74609375</v>
      </c>
      <c r="AW1468" s="21">
        <f t="shared" si="183"/>
        <v>0.24956757447429906</v>
      </c>
    </row>
    <row r="1469" spans="1:49" x14ac:dyDescent="0.25">
      <c r="A1469" t="s">
        <v>114</v>
      </c>
      <c r="B1469" t="s">
        <v>115</v>
      </c>
      <c r="C1469">
        <v>111791</v>
      </c>
      <c r="D1469">
        <v>2015</v>
      </c>
      <c r="E1469" t="s">
        <v>97</v>
      </c>
      <c r="F1469" t="s">
        <v>159</v>
      </c>
      <c r="G1469" t="s">
        <v>155</v>
      </c>
      <c r="H1469" t="s">
        <v>89</v>
      </c>
      <c r="I1469">
        <v>8</v>
      </c>
      <c r="J1469" t="s">
        <v>72</v>
      </c>
      <c r="K1469">
        <v>4</v>
      </c>
      <c r="L1469" t="s">
        <v>44</v>
      </c>
      <c r="M1469">
        <v>5.3</v>
      </c>
      <c r="N1469" t="s">
        <v>91</v>
      </c>
      <c r="O1469" t="s">
        <v>46</v>
      </c>
      <c r="Q1469" t="s">
        <v>74</v>
      </c>
      <c r="R1469" t="s">
        <v>92</v>
      </c>
      <c r="S1469" t="s">
        <v>93</v>
      </c>
      <c r="U1469" t="s">
        <v>50</v>
      </c>
      <c r="W1469" t="s">
        <v>473</v>
      </c>
      <c r="X1469" t="s">
        <v>108</v>
      </c>
      <c r="Y1469" t="s">
        <v>126</v>
      </c>
      <c r="AA1469">
        <v>0</v>
      </c>
      <c r="AB1469" t="s">
        <v>79</v>
      </c>
      <c r="AC1469" t="s">
        <v>95</v>
      </c>
      <c r="AD1469">
        <v>36</v>
      </c>
      <c r="AE1469">
        <v>9</v>
      </c>
      <c r="AF1469">
        <v>3</v>
      </c>
      <c r="AG1469">
        <v>2025</v>
      </c>
      <c r="AH1469" s="2">
        <v>9200</v>
      </c>
      <c r="AI1469" s="2">
        <v>12675.6064453125</v>
      </c>
      <c r="AJ1469" s="2">
        <f t="shared" si="178"/>
        <v>3475.6064453125</v>
      </c>
      <c r="AK1469" s="6">
        <f t="shared" si="179"/>
        <v>0.37778330927309783</v>
      </c>
      <c r="AL1469" s="12">
        <v>9200</v>
      </c>
      <c r="AM1469" s="12">
        <v>15080.081408474491</v>
      </c>
      <c r="AN1469" s="12">
        <f t="shared" si="180"/>
        <v>5880.0814084744907</v>
      </c>
      <c r="AO1469" s="13">
        <f t="shared" si="181"/>
        <v>0.63913928352983596</v>
      </c>
      <c r="AP1469" s="16">
        <v>9200</v>
      </c>
      <c r="AQ1469" s="16">
        <v>10756.19035920595</v>
      </c>
      <c r="AR1469" s="16">
        <f t="shared" si="182"/>
        <v>1556.1903592059498</v>
      </c>
      <c r="AS1469" s="17">
        <f t="shared" si="176"/>
        <v>0.16915112600064672</v>
      </c>
      <c r="AT1469" s="20">
        <v>9200</v>
      </c>
      <c r="AU1469" s="20">
        <v>13178.7119140625</v>
      </c>
      <c r="AV1469" s="20">
        <f t="shared" si="177"/>
        <v>3978.7119140625</v>
      </c>
      <c r="AW1469" s="21">
        <f t="shared" si="183"/>
        <v>0.43246868631114133</v>
      </c>
    </row>
    <row r="1470" spans="1:49" x14ac:dyDescent="0.25">
      <c r="A1470" t="s">
        <v>38</v>
      </c>
      <c r="B1470" t="s">
        <v>110</v>
      </c>
      <c r="C1470">
        <v>141316</v>
      </c>
      <c r="D1470">
        <v>2017</v>
      </c>
      <c r="E1470" t="s">
        <v>286</v>
      </c>
      <c r="F1470" t="s">
        <v>1400</v>
      </c>
      <c r="G1470" t="s">
        <v>1401</v>
      </c>
      <c r="H1470" t="s">
        <v>1402</v>
      </c>
      <c r="I1470">
        <v>6</v>
      </c>
      <c r="J1470" t="s">
        <v>106</v>
      </c>
      <c r="K1470">
        <v>2</v>
      </c>
      <c r="L1470" t="s">
        <v>44</v>
      </c>
      <c r="M1470">
        <v>3.5</v>
      </c>
      <c r="N1470" t="s">
        <v>73</v>
      </c>
      <c r="Q1470" t="s">
        <v>47</v>
      </c>
      <c r="R1470" t="s">
        <v>197</v>
      </c>
      <c r="S1470" t="s">
        <v>49</v>
      </c>
      <c r="T1470">
        <v>306</v>
      </c>
      <c r="U1470" t="s">
        <v>50</v>
      </c>
      <c r="V1470" t="s">
        <v>76</v>
      </c>
      <c r="W1470" t="s">
        <v>793</v>
      </c>
      <c r="X1470" t="s">
        <v>125</v>
      </c>
      <c r="Y1470" t="s">
        <v>54</v>
      </c>
      <c r="AA1470">
        <v>0</v>
      </c>
      <c r="AB1470" t="s">
        <v>79</v>
      </c>
      <c r="AC1470" t="s">
        <v>197</v>
      </c>
      <c r="AD1470">
        <v>36</v>
      </c>
      <c r="AE1470">
        <v>9</v>
      </c>
      <c r="AF1470">
        <v>3</v>
      </c>
      <c r="AG1470">
        <v>2025</v>
      </c>
      <c r="AH1470" s="2">
        <v>15000</v>
      </c>
      <c r="AI1470" s="2">
        <v>14733.501953125</v>
      </c>
      <c r="AJ1470" s="2">
        <f t="shared" si="178"/>
        <v>266.498046875</v>
      </c>
      <c r="AK1470" s="6">
        <f t="shared" si="179"/>
        <v>1.7766536458333333E-2</v>
      </c>
      <c r="AL1470" s="12">
        <v>15000</v>
      </c>
      <c r="AM1470" s="12">
        <v>12465.992457908031</v>
      </c>
      <c r="AN1470" s="12">
        <f t="shared" si="180"/>
        <v>2534.0075420919693</v>
      </c>
      <c r="AO1470" s="13">
        <f t="shared" si="181"/>
        <v>0.16893383613946461</v>
      </c>
      <c r="AP1470" s="16">
        <v>15000</v>
      </c>
      <c r="AQ1470" s="16">
        <v>9282.5380581351255</v>
      </c>
      <c r="AR1470" s="16">
        <f t="shared" si="182"/>
        <v>5717.4619418648745</v>
      </c>
      <c r="AS1470" s="17">
        <f t="shared" si="176"/>
        <v>0.38116412945765832</v>
      </c>
      <c r="AT1470" s="20">
        <v>15000</v>
      </c>
      <c r="AU1470" s="20">
        <v>14215.6767578125</v>
      </c>
      <c r="AV1470" s="20">
        <f t="shared" si="177"/>
        <v>784.3232421875</v>
      </c>
      <c r="AW1470" s="21">
        <f t="shared" si="183"/>
        <v>5.228821614583333E-2</v>
      </c>
    </row>
    <row r="1471" spans="1:49" x14ac:dyDescent="0.25">
      <c r="A1471" t="s">
        <v>38</v>
      </c>
      <c r="B1471" t="s">
        <v>39</v>
      </c>
      <c r="C1471">
        <v>54394</v>
      </c>
      <c r="D1471">
        <v>2019</v>
      </c>
      <c r="E1471" t="s">
        <v>142</v>
      </c>
      <c r="F1471" t="s">
        <v>630</v>
      </c>
      <c r="H1471" t="s">
        <v>1403</v>
      </c>
      <c r="I1471">
        <v>4</v>
      </c>
      <c r="J1471" t="s">
        <v>135</v>
      </c>
      <c r="K1471">
        <v>4</v>
      </c>
      <c r="L1471" t="s">
        <v>44</v>
      </c>
      <c r="M1471">
        <v>2.4</v>
      </c>
      <c r="N1471" t="s">
        <v>45</v>
      </c>
      <c r="O1471" t="s">
        <v>46</v>
      </c>
      <c r="P1471">
        <v>3</v>
      </c>
      <c r="Q1471" t="s">
        <v>62</v>
      </c>
      <c r="R1471" t="s">
        <v>63</v>
      </c>
      <c r="T1471">
        <v>180</v>
      </c>
      <c r="U1471" t="s">
        <v>50</v>
      </c>
      <c r="V1471" t="s">
        <v>51</v>
      </c>
      <c r="X1471" t="s">
        <v>65</v>
      </c>
      <c r="Y1471" t="s">
        <v>632</v>
      </c>
      <c r="Z1471">
        <v>22275</v>
      </c>
      <c r="AA1471">
        <v>0</v>
      </c>
      <c r="AB1471" t="s">
        <v>79</v>
      </c>
      <c r="AC1471" t="s">
        <v>87</v>
      </c>
      <c r="AD1471">
        <v>36</v>
      </c>
      <c r="AE1471">
        <v>9</v>
      </c>
      <c r="AF1471">
        <v>3</v>
      </c>
      <c r="AG1471">
        <v>2025</v>
      </c>
      <c r="AH1471" s="2">
        <v>9300</v>
      </c>
      <c r="AI1471" s="2">
        <v>11582.2578125</v>
      </c>
      <c r="AJ1471" s="2">
        <f t="shared" si="178"/>
        <v>2282.2578125</v>
      </c>
      <c r="AK1471" s="6">
        <f t="shared" si="179"/>
        <v>0.24540406586021504</v>
      </c>
      <c r="AL1471" s="12">
        <v>9300</v>
      </c>
      <c r="AM1471" s="12">
        <v>11182.471853101481</v>
      </c>
      <c r="AN1471" s="12">
        <f t="shared" si="180"/>
        <v>1882.4718531014805</v>
      </c>
      <c r="AO1471" s="13">
        <f t="shared" si="181"/>
        <v>0.20241632829048178</v>
      </c>
      <c r="AP1471" s="16">
        <v>9300</v>
      </c>
      <c r="AQ1471" s="16">
        <v>9334.1951957588681</v>
      </c>
      <c r="AR1471" s="16">
        <f t="shared" si="182"/>
        <v>34.195195758868067</v>
      </c>
      <c r="AS1471" s="17">
        <f t="shared" si="176"/>
        <v>3.6769027697707598E-3</v>
      </c>
      <c r="AT1471" s="20">
        <v>9300</v>
      </c>
      <c r="AU1471" s="20">
        <v>11565.88671875</v>
      </c>
      <c r="AV1471" s="20">
        <f t="shared" si="177"/>
        <v>2265.88671875</v>
      </c>
      <c r="AW1471" s="21">
        <f t="shared" si="183"/>
        <v>0.24364373319892474</v>
      </c>
    </row>
    <row r="1472" spans="1:49" x14ac:dyDescent="0.25">
      <c r="A1472" t="s">
        <v>38</v>
      </c>
      <c r="B1472" t="s">
        <v>39</v>
      </c>
      <c r="C1472">
        <v>224762</v>
      </c>
      <c r="D1472">
        <v>2000</v>
      </c>
      <c r="E1472" t="s">
        <v>97</v>
      </c>
      <c r="F1472" t="s">
        <v>159</v>
      </c>
      <c r="H1472" t="s">
        <v>781</v>
      </c>
      <c r="I1472">
        <v>8</v>
      </c>
      <c r="J1472" t="s">
        <v>178</v>
      </c>
      <c r="K1472">
        <v>2</v>
      </c>
      <c r="L1472" t="s">
        <v>44</v>
      </c>
      <c r="M1472">
        <v>5.3</v>
      </c>
      <c r="N1472" t="s">
        <v>73</v>
      </c>
      <c r="O1472" t="s">
        <v>46</v>
      </c>
      <c r="Q1472" t="s">
        <v>74</v>
      </c>
      <c r="R1472" t="s">
        <v>92</v>
      </c>
      <c r="S1472" t="s">
        <v>49</v>
      </c>
      <c r="V1472" t="s">
        <v>76</v>
      </c>
      <c r="W1472" t="s">
        <v>762</v>
      </c>
      <c r="X1472" t="s">
        <v>94</v>
      </c>
      <c r="Y1472" t="s">
        <v>103</v>
      </c>
      <c r="AA1472">
        <v>0</v>
      </c>
      <c r="AB1472" t="s">
        <v>79</v>
      </c>
      <c r="AC1472" t="s">
        <v>95</v>
      </c>
      <c r="AD1472">
        <v>36</v>
      </c>
      <c r="AE1472">
        <v>9</v>
      </c>
      <c r="AF1472">
        <v>3</v>
      </c>
      <c r="AG1472">
        <v>2025</v>
      </c>
      <c r="AH1472" s="2">
        <v>900</v>
      </c>
      <c r="AI1472" s="2">
        <v>1647.255249023438</v>
      </c>
      <c r="AJ1472" s="2">
        <f t="shared" si="178"/>
        <v>747.25524902343795</v>
      </c>
      <c r="AK1472" s="6">
        <f t="shared" si="179"/>
        <v>0.83028361002604212</v>
      </c>
      <c r="AL1472" s="12">
        <v>900</v>
      </c>
      <c r="AM1472" s="12">
        <v>2053.37570627177</v>
      </c>
      <c r="AN1472" s="12">
        <f t="shared" si="180"/>
        <v>1153.37570627177</v>
      </c>
      <c r="AO1472" s="13">
        <f t="shared" si="181"/>
        <v>1.281528562524189</v>
      </c>
      <c r="AP1472" s="16">
        <v>900</v>
      </c>
      <c r="AQ1472" s="16">
        <v>1822.805806263754</v>
      </c>
      <c r="AR1472" s="16">
        <f t="shared" si="182"/>
        <v>922.80580626375399</v>
      </c>
      <c r="AS1472" s="17">
        <f t="shared" si="176"/>
        <v>1.0253397847375045</v>
      </c>
      <c r="AT1472" s="20">
        <v>900</v>
      </c>
      <c r="AU1472" s="20">
        <v>1670.147216796875</v>
      </c>
      <c r="AV1472" s="20">
        <f t="shared" si="177"/>
        <v>770.147216796875</v>
      </c>
      <c r="AW1472" s="21">
        <f t="shared" si="183"/>
        <v>0.85571912977430553</v>
      </c>
    </row>
    <row r="1473" spans="1:49" x14ac:dyDescent="0.25">
      <c r="A1473" t="s">
        <v>38</v>
      </c>
      <c r="B1473" t="s">
        <v>39</v>
      </c>
      <c r="C1473">
        <v>81425</v>
      </c>
      <c r="D1473">
        <v>2020</v>
      </c>
      <c r="E1473" t="s">
        <v>97</v>
      </c>
      <c r="F1473" t="s">
        <v>159</v>
      </c>
      <c r="G1473" t="s">
        <v>338</v>
      </c>
      <c r="H1473" t="s">
        <v>89</v>
      </c>
      <c r="I1473">
        <v>8</v>
      </c>
      <c r="J1473" t="s">
        <v>106</v>
      </c>
      <c r="K1473">
        <v>4</v>
      </c>
      <c r="L1473" t="s">
        <v>44</v>
      </c>
      <c r="M1473">
        <v>5.3</v>
      </c>
      <c r="N1473" t="s">
        <v>73</v>
      </c>
      <c r="Q1473" t="s">
        <v>74</v>
      </c>
      <c r="R1473" t="s">
        <v>92</v>
      </c>
      <c r="S1473" t="s">
        <v>49</v>
      </c>
      <c r="U1473" t="s">
        <v>50</v>
      </c>
      <c r="W1473" t="s">
        <v>577</v>
      </c>
      <c r="X1473" t="s">
        <v>94</v>
      </c>
      <c r="Y1473" t="s">
        <v>126</v>
      </c>
      <c r="AA1473">
        <v>0</v>
      </c>
      <c r="AB1473" t="s">
        <v>79</v>
      </c>
      <c r="AC1473" t="s">
        <v>95</v>
      </c>
      <c r="AD1473">
        <v>36</v>
      </c>
      <c r="AE1473">
        <v>9</v>
      </c>
      <c r="AF1473">
        <v>3</v>
      </c>
      <c r="AG1473">
        <v>2025</v>
      </c>
      <c r="AH1473" s="2">
        <v>23000</v>
      </c>
      <c r="AI1473" s="2">
        <v>26401.66015625</v>
      </c>
      <c r="AJ1473" s="2">
        <f t="shared" si="178"/>
        <v>3401.66015625</v>
      </c>
      <c r="AK1473" s="6">
        <f t="shared" si="179"/>
        <v>0.14789826766304348</v>
      </c>
      <c r="AL1473" s="12">
        <v>23000</v>
      </c>
      <c r="AM1473" s="12">
        <v>26388.335851647251</v>
      </c>
      <c r="AN1473" s="12">
        <f t="shared" si="180"/>
        <v>3388.3358516472508</v>
      </c>
      <c r="AO1473" s="13">
        <f t="shared" si="181"/>
        <v>0.1473189500716196</v>
      </c>
      <c r="AP1473" s="16">
        <v>23000</v>
      </c>
      <c r="AQ1473" s="16">
        <v>23758.696701293022</v>
      </c>
      <c r="AR1473" s="16">
        <f t="shared" si="182"/>
        <v>758.69670129302176</v>
      </c>
      <c r="AS1473" s="17">
        <f t="shared" si="176"/>
        <v>3.2986813099696595E-2</v>
      </c>
      <c r="AT1473" s="20">
        <v>23000</v>
      </c>
      <c r="AU1473" s="20">
        <v>26123.09375</v>
      </c>
      <c r="AV1473" s="20">
        <f t="shared" si="177"/>
        <v>3123.09375</v>
      </c>
      <c r="AW1473" s="21">
        <f t="shared" si="183"/>
        <v>0.13578668478260869</v>
      </c>
    </row>
    <row r="1474" spans="1:49" x14ac:dyDescent="0.25">
      <c r="A1474" t="s">
        <v>128</v>
      </c>
      <c r="B1474" t="s">
        <v>210</v>
      </c>
      <c r="C1474">
        <v>176915</v>
      </c>
      <c r="D1474">
        <v>2011</v>
      </c>
      <c r="E1474" t="s">
        <v>40</v>
      </c>
      <c r="F1474" t="s">
        <v>550</v>
      </c>
      <c r="G1474" t="s">
        <v>1404</v>
      </c>
      <c r="H1474" t="s">
        <v>1405</v>
      </c>
      <c r="I1474">
        <v>4</v>
      </c>
      <c r="J1474" t="s">
        <v>72</v>
      </c>
      <c r="K1474">
        <v>4</v>
      </c>
      <c r="L1474" t="s">
        <v>44</v>
      </c>
      <c r="M1474">
        <v>2.7</v>
      </c>
      <c r="N1474" t="s">
        <v>45</v>
      </c>
      <c r="O1474" t="s">
        <v>46</v>
      </c>
      <c r="Q1474" t="s">
        <v>62</v>
      </c>
      <c r="R1474" t="s">
        <v>63</v>
      </c>
      <c r="S1474" t="s">
        <v>93</v>
      </c>
      <c r="U1474" t="s">
        <v>50</v>
      </c>
      <c r="V1474" t="s">
        <v>51</v>
      </c>
      <c r="W1474" t="s">
        <v>834</v>
      </c>
      <c r="X1474" t="s">
        <v>141</v>
      </c>
      <c r="Y1474" t="s">
        <v>78</v>
      </c>
      <c r="AA1474">
        <v>0</v>
      </c>
      <c r="AB1474" t="s">
        <v>79</v>
      </c>
      <c r="AC1474" t="s">
        <v>87</v>
      </c>
      <c r="AD1474">
        <v>36</v>
      </c>
      <c r="AE1474">
        <v>9</v>
      </c>
      <c r="AF1474">
        <v>3</v>
      </c>
      <c r="AG1474">
        <v>2025</v>
      </c>
      <c r="AH1474" s="2">
        <v>4200</v>
      </c>
      <c r="AI1474" s="2">
        <v>3215.18017578125</v>
      </c>
      <c r="AJ1474" s="2">
        <f t="shared" si="178"/>
        <v>984.81982421875</v>
      </c>
      <c r="AK1474" s="6">
        <f t="shared" si="179"/>
        <v>0.2344809105282738</v>
      </c>
      <c r="AL1474" s="12">
        <v>4200</v>
      </c>
      <c r="AM1474" s="12">
        <v>3019.6779301124311</v>
      </c>
      <c r="AN1474" s="12">
        <f t="shared" si="180"/>
        <v>1180.3220698875689</v>
      </c>
      <c r="AO1474" s="13">
        <f t="shared" si="181"/>
        <v>0.28102906425894497</v>
      </c>
      <c r="AP1474" s="16">
        <v>4200</v>
      </c>
      <c r="AQ1474" s="16">
        <v>2770.5847986130052</v>
      </c>
      <c r="AR1474" s="16">
        <f t="shared" si="182"/>
        <v>1429.4152013869948</v>
      </c>
      <c r="AS1474" s="17">
        <f t="shared" si="176"/>
        <v>0.34033695271118924</v>
      </c>
      <c r="AT1474" s="20">
        <v>4200</v>
      </c>
      <c r="AU1474" s="20">
        <v>3219.440185546875</v>
      </c>
      <c r="AV1474" s="20">
        <f t="shared" si="177"/>
        <v>980.559814453125</v>
      </c>
      <c r="AW1474" s="21">
        <f t="shared" si="183"/>
        <v>0.23346662248883929</v>
      </c>
    </row>
    <row r="1475" spans="1:49" x14ac:dyDescent="0.25">
      <c r="A1475" t="s">
        <v>38</v>
      </c>
      <c r="B1475" t="s">
        <v>96</v>
      </c>
      <c r="C1475">
        <v>40939</v>
      </c>
      <c r="D1475">
        <v>2019</v>
      </c>
      <c r="E1475" t="s">
        <v>116</v>
      </c>
      <c r="F1475" t="s">
        <v>943</v>
      </c>
      <c r="H1475" t="s">
        <v>224</v>
      </c>
      <c r="I1475">
        <v>6</v>
      </c>
      <c r="J1475" t="s">
        <v>61</v>
      </c>
      <c r="K1475">
        <v>4</v>
      </c>
      <c r="L1475" t="s">
        <v>44</v>
      </c>
      <c r="M1475">
        <v>3.6</v>
      </c>
      <c r="N1475" t="s">
        <v>45</v>
      </c>
      <c r="O1475" t="s">
        <v>46</v>
      </c>
      <c r="P1475">
        <v>3</v>
      </c>
      <c r="Q1475" t="s">
        <v>62</v>
      </c>
      <c r="R1475" t="s">
        <v>225</v>
      </c>
      <c r="S1475" t="s">
        <v>101</v>
      </c>
      <c r="T1475">
        <v>283</v>
      </c>
      <c r="U1475" t="s">
        <v>50</v>
      </c>
      <c r="V1475" t="s">
        <v>76</v>
      </c>
      <c r="X1475" t="s">
        <v>94</v>
      </c>
      <c r="Y1475" t="s">
        <v>103</v>
      </c>
      <c r="AA1475">
        <v>0</v>
      </c>
      <c r="AB1475" t="s">
        <v>79</v>
      </c>
      <c r="AC1475" t="s">
        <v>225</v>
      </c>
      <c r="AD1475">
        <v>36</v>
      </c>
      <c r="AE1475">
        <v>9</v>
      </c>
      <c r="AF1475">
        <v>3</v>
      </c>
      <c r="AG1475">
        <v>2025</v>
      </c>
      <c r="AH1475" s="2">
        <v>12600</v>
      </c>
      <c r="AI1475" s="2">
        <v>14951.44140625</v>
      </c>
      <c r="AJ1475" s="2">
        <f t="shared" si="178"/>
        <v>2351.44140625</v>
      </c>
      <c r="AK1475" s="6">
        <f t="shared" si="179"/>
        <v>0.18662233382936508</v>
      </c>
      <c r="AL1475" s="12">
        <v>12600</v>
      </c>
      <c r="AM1475" s="12">
        <v>14600.034096223781</v>
      </c>
      <c r="AN1475" s="12">
        <f t="shared" si="180"/>
        <v>2000.0340962237806</v>
      </c>
      <c r="AO1475" s="13">
        <f t="shared" si="181"/>
        <v>0.15873286477966511</v>
      </c>
      <c r="AP1475" s="16">
        <v>12600</v>
      </c>
      <c r="AQ1475" s="16">
        <v>11619.57780074734</v>
      </c>
      <c r="AR1475" s="16">
        <f t="shared" si="182"/>
        <v>980.42219925265999</v>
      </c>
      <c r="AS1475" s="17">
        <f t="shared" ref="AS1475:AS1538" si="184">ABS($AH1475-AQ1475)/$AH1475</f>
        <v>7.7811285654973014E-2</v>
      </c>
      <c r="AT1475" s="20">
        <v>12600</v>
      </c>
      <c r="AU1475" s="20">
        <v>14830.9638671875</v>
      </c>
      <c r="AV1475" s="20">
        <f t="shared" ref="AV1475:AV1538" si="185">ABS(AT1475-AU1475)</f>
        <v>2230.9638671875</v>
      </c>
      <c r="AW1475" s="21">
        <f t="shared" si="183"/>
        <v>0.17706062437996031</v>
      </c>
    </row>
    <row r="1476" spans="1:49" x14ac:dyDescent="0.25">
      <c r="A1476" t="s">
        <v>114</v>
      </c>
      <c r="B1476" t="s">
        <v>340</v>
      </c>
      <c r="C1476">
        <v>267560</v>
      </c>
      <c r="D1476">
        <v>2017</v>
      </c>
      <c r="E1476" t="s">
        <v>88</v>
      </c>
      <c r="F1476" t="s">
        <v>1287</v>
      </c>
      <c r="G1476" t="s">
        <v>1406</v>
      </c>
      <c r="H1476" t="s">
        <v>1288</v>
      </c>
      <c r="I1476">
        <v>6</v>
      </c>
      <c r="J1476" t="s">
        <v>122</v>
      </c>
      <c r="K1476">
        <v>3</v>
      </c>
      <c r="L1476" t="s">
        <v>44</v>
      </c>
      <c r="M1476">
        <v>3.6</v>
      </c>
      <c r="N1476" t="s">
        <v>45</v>
      </c>
      <c r="O1476" t="s">
        <v>46</v>
      </c>
      <c r="P1476">
        <v>2</v>
      </c>
      <c r="Q1476" t="s">
        <v>74</v>
      </c>
      <c r="R1476" t="s">
        <v>75</v>
      </c>
      <c r="S1476" t="s">
        <v>101</v>
      </c>
      <c r="T1476">
        <v>280</v>
      </c>
      <c r="U1476" t="s">
        <v>50</v>
      </c>
      <c r="V1476" t="s">
        <v>76</v>
      </c>
      <c r="X1476" t="s">
        <v>77</v>
      </c>
      <c r="Y1476" t="s">
        <v>126</v>
      </c>
      <c r="Z1476">
        <v>30795</v>
      </c>
      <c r="AA1476">
        <v>0</v>
      </c>
      <c r="AB1476" t="s">
        <v>79</v>
      </c>
      <c r="AC1476" t="s">
        <v>80</v>
      </c>
      <c r="AD1476">
        <v>36</v>
      </c>
      <c r="AE1476">
        <v>9</v>
      </c>
      <c r="AF1476">
        <v>3</v>
      </c>
      <c r="AG1476">
        <v>2025</v>
      </c>
      <c r="AH1476" s="2">
        <v>900</v>
      </c>
      <c r="AI1476" s="2">
        <v>2255.99560546875</v>
      </c>
      <c r="AJ1476" s="2">
        <f t="shared" ref="AJ1476:AJ1539" si="186">ABS(AH1476-AI1476)</f>
        <v>1355.99560546875</v>
      </c>
      <c r="AK1476" s="6">
        <f t="shared" ref="AK1476:AK1539" si="187">ABS($AH1476-AI1476)/$AH1476</f>
        <v>1.5066617838541667</v>
      </c>
      <c r="AL1476" s="12">
        <v>900</v>
      </c>
      <c r="AM1476" s="12">
        <v>2606.1713116559681</v>
      </c>
      <c r="AN1476" s="12">
        <f t="shared" ref="AN1476:AN1539" si="188">ABS(AL1476-AM1476)</f>
        <v>1706.1713116559681</v>
      </c>
      <c r="AO1476" s="13">
        <f t="shared" ref="AO1476:AO1539" si="189">ABS($AH1476-AM1476)/$AH1476</f>
        <v>1.8957459018399645</v>
      </c>
      <c r="AP1476" s="16">
        <v>900</v>
      </c>
      <c r="AQ1476" s="16">
        <v>3229.0737993452422</v>
      </c>
      <c r="AR1476" s="16">
        <f t="shared" ref="AR1476:AR1539" si="190">ABS(AP1476-AQ1476)</f>
        <v>2329.0737993452422</v>
      </c>
      <c r="AS1476" s="17">
        <f t="shared" si="184"/>
        <v>2.5878597770502689</v>
      </c>
      <c r="AT1476" s="20">
        <v>900</v>
      </c>
      <c r="AU1476" s="20">
        <v>2278.271728515625</v>
      </c>
      <c r="AV1476" s="20">
        <f t="shared" si="185"/>
        <v>1378.271728515625</v>
      </c>
      <c r="AW1476" s="21">
        <f t="shared" ref="AW1476:AW1539" si="191">ABS($AH1476-AU1476)/$AH1476</f>
        <v>1.5314130316840278</v>
      </c>
    </row>
    <row r="1477" spans="1:49" x14ac:dyDescent="0.25">
      <c r="A1477" t="s">
        <v>38</v>
      </c>
      <c r="B1477" t="s">
        <v>68</v>
      </c>
      <c r="C1477">
        <v>119842</v>
      </c>
      <c r="D1477">
        <v>2016</v>
      </c>
      <c r="E1477" t="s">
        <v>166</v>
      </c>
      <c r="F1477" t="s">
        <v>539</v>
      </c>
      <c r="G1477" t="s">
        <v>240</v>
      </c>
      <c r="I1477">
        <v>4</v>
      </c>
      <c r="J1477" t="s">
        <v>72</v>
      </c>
      <c r="K1477">
        <v>4</v>
      </c>
      <c r="L1477" t="s">
        <v>402</v>
      </c>
      <c r="M1477">
        <v>1.8</v>
      </c>
      <c r="N1477" t="s">
        <v>45</v>
      </c>
      <c r="O1477" t="s">
        <v>46</v>
      </c>
      <c r="Q1477" t="s">
        <v>62</v>
      </c>
      <c r="R1477" t="s">
        <v>63</v>
      </c>
      <c r="S1477" t="s">
        <v>49</v>
      </c>
      <c r="T1477">
        <v>141</v>
      </c>
      <c r="U1477" t="s">
        <v>50</v>
      </c>
      <c r="V1477" t="s">
        <v>51</v>
      </c>
      <c r="W1477" t="s">
        <v>540</v>
      </c>
      <c r="X1477" t="s">
        <v>65</v>
      </c>
      <c r="Y1477" t="s">
        <v>126</v>
      </c>
      <c r="AA1477">
        <v>0</v>
      </c>
      <c r="AB1477" t="s">
        <v>79</v>
      </c>
      <c r="AC1477" t="s">
        <v>87</v>
      </c>
      <c r="AD1477">
        <v>36</v>
      </c>
      <c r="AE1477">
        <v>9</v>
      </c>
      <c r="AF1477">
        <v>3</v>
      </c>
      <c r="AG1477">
        <v>2025</v>
      </c>
      <c r="AH1477" s="2">
        <v>7600</v>
      </c>
      <c r="AI1477" s="2">
        <v>7239.2646484375</v>
      </c>
      <c r="AJ1477" s="2">
        <f t="shared" si="186"/>
        <v>360.7353515625</v>
      </c>
      <c r="AK1477" s="6">
        <f t="shared" si="187"/>
        <v>4.7465177837171052E-2</v>
      </c>
      <c r="AL1477" s="12">
        <v>7600</v>
      </c>
      <c r="AM1477" s="12">
        <v>6594.534572965269</v>
      </c>
      <c r="AN1477" s="12">
        <f t="shared" si="188"/>
        <v>1005.465427034731</v>
      </c>
      <c r="AO1477" s="13">
        <f t="shared" si="189"/>
        <v>0.13229808250456987</v>
      </c>
      <c r="AP1477" s="16">
        <v>7600</v>
      </c>
      <c r="AQ1477" s="16">
        <v>5999.176539428604</v>
      </c>
      <c r="AR1477" s="16">
        <f t="shared" si="190"/>
        <v>1600.823460571396</v>
      </c>
      <c r="AS1477" s="17">
        <f t="shared" si="184"/>
        <v>0.21063466586465737</v>
      </c>
      <c r="AT1477" s="20">
        <v>7600</v>
      </c>
      <c r="AU1477" s="20">
        <v>7230.34228515625</v>
      </c>
      <c r="AV1477" s="20">
        <f t="shared" si="185"/>
        <v>369.65771484375</v>
      </c>
      <c r="AW1477" s="21">
        <f t="shared" si="191"/>
        <v>4.8639173005756577E-2</v>
      </c>
    </row>
    <row r="1478" spans="1:49" x14ac:dyDescent="0.25">
      <c r="A1478" t="s">
        <v>38</v>
      </c>
      <c r="B1478" t="s">
        <v>96</v>
      </c>
      <c r="C1478">
        <v>133688</v>
      </c>
      <c r="D1478">
        <v>2019</v>
      </c>
      <c r="E1478" t="s">
        <v>388</v>
      </c>
      <c r="F1478" t="s">
        <v>389</v>
      </c>
      <c r="H1478" t="s">
        <v>830</v>
      </c>
      <c r="I1478">
        <v>6</v>
      </c>
      <c r="J1478" t="s">
        <v>61</v>
      </c>
      <c r="K1478">
        <v>4</v>
      </c>
      <c r="L1478" t="s">
        <v>44</v>
      </c>
      <c r="M1478">
        <v>3</v>
      </c>
      <c r="N1478" t="s">
        <v>91</v>
      </c>
      <c r="O1478" t="s">
        <v>46</v>
      </c>
      <c r="P1478">
        <v>2</v>
      </c>
      <c r="Q1478" t="s">
        <v>62</v>
      </c>
      <c r="R1478" t="s">
        <v>63</v>
      </c>
      <c r="S1478" t="s">
        <v>93</v>
      </c>
      <c r="T1478">
        <v>224</v>
      </c>
      <c r="U1478" t="s">
        <v>50</v>
      </c>
      <c r="V1478" t="s">
        <v>51</v>
      </c>
      <c r="W1478" t="s">
        <v>438</v>
      </c>
      <c r="X1478" t="s">
        <v>141</v>
      </c>
      <c r="Y1478" t="s">
        <v>54</v>
      </c>
      <c r="AA1478">
        <v>0</v>
      </c>
      <c r="AB1478" t="s">
        <v>79</v>
      </c>
      <c r="AC1478" t="s">
        <v>109</v>
      </c>
      <c r="AD1478">
        <v>36</v>
      </c>
      <c r="AE1478">
        <v>9</v>
      </c>
      <c r="AF1478">
        <v>3</v>
      </c>
      <c r="AG1478">
        <v>2025</v>
      </c>
      <c r="AH1478" s="2">
        <v>3300</v>
      </c>
      <c r="AI1478" s="2">
        <v>8468.7412109375</v>
      </c>
      <c r="AJ1478" s="2">
        <f t="shared" si="186"/>
        <v>5168.7412109375</v>
      </c>
      <c r="AK1478" s="6">
        <f t="shared" si="187"/>
        <v>1.5662852154356062</v>
      </c>
      <c r="AL1478" s="12">
        <v>3300</v>
      </c>
      <c r="AM1478" s="12">
        <v>6376.408764099122</v>
      </c>
      <c r="AN1478" s="12">
        <f t="shared" si="188"/>
        <v>3076.408764099122</v>
      </c>
      <c r="AO1478" s="13">
        <f t="shared" si="189"/>
        <v>0.93224508003003692</v>
      </c>
      <c r="AP1478" s="16">
        <v>3300</v>
      </c>
      <c r="AQ1478" s="16">
        <v>6057.9746048101433</v>
      </c>
      <c r="AR1478" s="16">
        <f t="shared" si="190"/>
        <v>2757.9746048101433</v>
      </c>
      <c r="AS1478" s="17">
        <f t="shared" si="184"/>
        <v>0.83574988024549801</v>
      </c>
      <c r="AT1478" s="20">
        <v>3300</v>
      </c>
      <c r="AU1478" s="20">
        <v>8278.017578125</v>
      </c>
      <c r="AV1478" s="20">
        <f t="shared" si="185"/>
        <v>4978.017578125</v>
      </c>
      <c r="AW1478" s="21">
        <f t="shared" si="191"/>
        <v>1.508490175189394</v>
      </c>
    </row>
    <row r="1479" spans="1:49" x14ac:dyDescent="0.25">
      <c r="A1479" t="s">
        <v>38</v>
      </c>
      <c r="B1479" t="s">
        <v>68</v>
      </c>
      <c r="C1479">
        <v>161448</v>
      </c>
      <c r="D1479">
        <v>2014</v>
      </c>
      <c r="E1479" t="s">
        <v>97</v>
      </c>
      <c r="F1479" t="s">
        <v>159</v>
      </c>
      <c r="G1479" t="s">
        <v>1208</v>
      </c>
      <c r="H1479" t="s">
        <v>89</v>
      </c>
      <c r="I1479">
        <v>6</v>
      </c>
      <c r="J1479" t="s">
        <v>72</v>
      </c>
      <c r="K1479">
        <v>4</v>
      </c>
      <c r="L1479" t="s">
        <v>44</v>
      </c>
      <c r="M1479">
        <v>4.3</v>
      </c>
      <c r="N1479" t="s">
        <v>73</v>
      </c>
      <c r="O1479" t="s">
        <v>46</v>
      </c>
      <c r="P1479">
        <v>2</v>
      </c>
      <c r="Q1479" t="s">
        <v>74</v>
      </c>
      <c r="R1479" t="s">
        <v>92</v>
      </c>
      <c r="S1479" t="s">
        <v>49</v>
      </c>
      <c r="U1479" t="s">
        <v>50</v>
      </c>
      <c r="V1479" t="s">
        <v>76</v>
      </c>
      <c r="W1479" t="s">
        <v>783</v>
      </c>
      <c r="X1479" t="s">
        <v>94</v>
      </c>
      <c r="Y1479" t="s">
        <v>78</v>
      </c>
      <c r="AA1479">
        <v>0</v>
      </c>
      <c r="AB1479" t="s">
        <v>79</v>
      </c>
      <c r="AC1479" t="s">
        <v>95</v>
      </c>
      <c r="AD1479">
        <v>36</v>
      </c>
      <c r="AE1479">
        <v>9</v>
      </c>
      <c r="AF1479">
        <v>3</v>
      </c>
      <c r="AG1479">
        <v>2025</v>
      </c>
      <c r="AH1479" s="2">
        <v>4400</v>
      </c>
      <c r="AI1479" s="2">
        <v>4071.353759765625</v>
      </c>
      <c r="AJ1479" s="2">
        <f t="shared" si="186"/>
        <v>328.646240234375</v>
      </c>
      <c r="AK1479" s="6">
        <f t="shared" si="187"/>
        <v>7.4692327325994318E-2</v>
      </c>
      <c r="AL1479" s="12">
        <v>4400</v>
      </c>
      <c r="AM1479" s="12">
        <v>3807.3030663604632</v>
      </c>
      <c r="AN1479" s="12">
        <f t="shared" si="188"/>
        <v>592.69693363953684</v>
      </c>
      <c r="AO1479" s="13">
        <f t="shared" si="189"/>
        <v>0.1347038485544402</v>
      </c>
      <c r="AP1479" s="16">
        <v>4400</v>
      </c>
      <c r="AQ1479" s="16">
        <v>4132.7087830683859</v>
      </c>
      <c r="AR1479" s="16">
        <f t="shared" si="190"/>
        <v>267.29121693161414</v>
      </c>
      <c r="AS1479" s="17">
        <f t="shared" si="184"/>
        <v>6.0748003848094125E-2</v>
      </c>
      <c r="AT1479" s="20">
        <v>4400</v>
      </c>
      <c r="AU1479" s="20">
        <v>4090.1630859375</v>
      </c>
      <c r="AV1479" s="20">
        <f t="shared" si="185"/>
        <v>309.8369140625</v>
      </c>
      <c r="AW1479" s="21">
        <f t="shared" si="191"/>
        <v>7.0417480468750002E-2</v>
      </c>
    </row>
    <row r="1480" spans="1:49" x14ac:dyDescent="0.25">
      <c r="A1480" t="s">
        <v>38</v>
      </c>
      <c r="B1480" t="s">
        <v>110</v>
      </c>
      <c r="C1480">
        <v>101848</v>
      </c>
      <c r="D1480">
        <v>2012</v>
      </c>
      <c r="E1480" t="s">
        <v>83</v>
      </c>
      <c r="F1480" t="s">
        <v>187</v>
      </c>
      <c r="G1480" t="s">
        <v>1407</v>
      </c>
      <c r="I1480">
        <v>6</v>
      </c>
      <c r="J1480" t="s">
        <v>135</v>
      </c>
      <c r="K1480">
        <v>4</v>
      </c>
      <c r="L1480" t="s">
        <v>44</v>
      </c>
      <c r="M1480">
        <v>3.7</v>
      </c>
      <c r="N1480" t="s">
        <v>44</v>
      </c>
      <c r="Q1480" t="s">
        <v>62</v>
      </c>
      <c r="R1480" t="s">
        <v>63</v>
      </c>
      <c r="T1480">
        <v>300</v>
      </c>
      <c r="U1480" t="s">
        <v>50</v>
      </c>
      <c r="V1480" t="s">
        <v>76</v>
      </c>
      <c r="W1480" t="s">
        <v>209</v>
      </c>
      <c r="X1480" t="s">
        <v>141</v>
      </c>
      <c r="Y1480" t="s">
        <v>103</v>
      </c>
      <c r="AA1480">
        <v>0</v>
      </c>
      <c r="AB1480" t="s">
        <v>79</v>
      </c>
      <c r="AC1480" t="s">
        <v>87</v>
      </c>
      <c r="AD1480">
        <v>36</v>
      </c>
      <c r="AE1480">
        <v>9</v>
      </c>
      <c r="AF1480">
        <v>3</v>
      </c>
      <c r="AG1480">
        <v>2025</v>
      </c>
      <c r="AH1480" s="2">
        <v>5800</v>
      </c>
      <c r="AI1480" s="2">
        <v>6089.55615234375</v>
      </c>
      <c r="AJ1480" s="2">
        <f t="shared" si="186"/>
        <v>289.55615234375</v>
      </c>
      <c r="AK1480" s="6">
        <f t="shared" si="187"/>
        <v>4.9923474542025864E-2</v>
      </c>
      <c r="AL1480" s="12">
        <v>5800</v>
      </c>
      <c r="AM1480" s="12">
        <v>5389.5445579784591</v>
      </c>
      <c r="AN1480" s="12">
        <f t="shared" si="188"/>
        <v>410.45544202154088</v>
      </c>
      <c r="AO1480" s="13">
        <f t="shared" si="189"/>
        <v>7.0768179658886363E-2</v>
      </c>
      <c r="AP1480" s="16">
        <v>5800</v>
      </c>
      <c r="AQ1480" s="16">
        <v>5816.8765172989442</v>
      </c>
      <c r="AR1480" s="16">
        <f t="shared" si="190"/>
        <v>16.876517298944236</v>
      </c>
      <c r="AS1480" s="17">
        <f t="shared" si="184"/>
        <v>2.9097443618869372E-3</v>
      </c>
      <c r="AT1480" s="20">
        <v>5800</v>
      </c>
      <c r="AU1480" s="20">
        <v>6078.23486328125</v>
      </c>
      <c r="AV1480" s="20">
        <f t="shared" si="185"/>
        <v>278.23486328125</v>
      </c>
      <c r="AW1480" s="21">
        <f t="shared" si="191"/>
        <v>4.7971528151939655E-2</v>
      </c>
    </row>
    <row r="1481" spans="1:49" x14ac:dyDescent="0.25">
      <c r="A1481" t="s">
        <v>38</v>
      </c>
      <c r="B1481" t="s">
        <v>96</v>
      </c>
      <c r="C1481">
        <v>104137</v>
      </c>
      <c r="D1481">
        <v>2014</v>
      </c>
      <c r="E1481" t="s">
        <v>58</v>
      </c>
      <c r="F1481" t="s">
        <v>220</v>
      </c>
      <c r="G1481" t="s">
        <v>642</v>
      </c>
      <c r="I1481">
        <v>4</v>
      </c>
      <c r="J1481" t="s">
        <v>122</v>
      </c>
      <c r="K1481">
        <v>4</v>
      </c>
      <c r="L1481" t="s">
        <v>44</v>
      </c>
      <c r="M1481">
        <v>2.4</v>
      </c>
      <c r="N1481" t="s">
        <v>45</v>
      </c>
      <c r="O1481" t="s">
        <v>46</v>
      </c>
      <c r="P1481">
        <v>1</v>
      </c>
      <c r="Q1481" t="s">
        <v>62</v>
      </c>
      <c r="R1481" t="s">
        <v>63</v>
      </c>
      <c r="S1481" t="s">
        <v>49</v>
      </c>
      <c r="U1481" t="s">
        <v>50</v>
      </c>
      <c r="W1481" t="s">
        <v>222</v>
      </c>
      <c r="X1481" t="s">
        <v>141</v>
      </c>
      <c r="Y1481" t="s">
        <v>78</v>
      </c>
      <c r="AA1481">
        <v>0</v>
      </c>
      <c r="AB1481" t="s">
        <v>79</v>
      </c>
      <c r="AC1481" t="s">
        <v>87</v>
      </c>
      <c r="AD1481">
        <v>36</v>
      </c>
      <c r="AE1481">
        <v>9</v>
      </c>
      <c r="AF1481">
        <v>3</v>
      </c>
      <c r="AG1481">
        <v>2025</v>
      </c>
      <c r="AH1481" s="2">
        <v>4200</v>
      </c>
      <c r="AI1481" s="2">
        <v>2741.793701171875</v>
      </c>
      <c r="AJ1481" s="2">
        <f t="shared" si="186"/>
        <v>1458.206298828125</v>
      </c>
      <c r="AK1481" s="6">
        <f t="shared" si="187"/>
        <v>0.34719197591145834</v>
      </c>
      <c r="AL1481" s="12">
        <v>4200</v>
      </c>
      <c r="AM1481" s="12">
        <v>2754.1066030776092</v>
      </c>
      <c r="AN1481" s="12">
        <f t="shared" si="188"/>
        <v>1445.8933969223908</v>
      </c>
      <c r="AO1481" s="13">
        <f t="shared" si="189"/>
        <v>0.34426033260056926</v>
      </c>
      <c r="AP1481" s="16">
        <v>4200</v>
      </c>
      <c r="AQ1481" s="16">
        <v>2416.6054385931452</v>
      </c>
      <c r="AR1481" s="16">
        <f t="shared" si="190"/>
        <v>1783.3945614068548</v>
      </c>
      <c r="AS1481" s="17">
        <f t="shared" si="184"/>
        <v>0.42461775271591778</v>
      </c>
      <c r="AT1481" s="20">
        <v>4200</v>
      </c>
      <c r="AU1481" s="20">
        <v>2779.89111328125</v>
      </c>
      <c r="AV1481" s="20">
        <f t="shared" si="185"/>
        <v>1420.10888671875</v>
      </c>
      <c r="AW1481" s="21">
        <f t="shared" si="191"/>
        <v>0.33812116350446431</v>
      </c>
    </row>
    <row r="1482" spans="1:49" x14ac:dyDescent="0.25">
      <c r="A1482" t="s">
        <v>38</v>
      </c>
      <c r="B1482" t="s">
        <v>110</v>
      </c>
      <c r="C1482">
        <v>138348</v>
      </c>
      <c r="D1482">
        <v>2010</v>
      </c>
      <c r="E1482" t="s">
        <v>69</v>
      </c>
      <c r="F1482" t="s">
        <v>231</v>
      </c>
      <c r="G1482" t="s">
        <v>831</v>
      </c>
      <c r="H1482" t="s">
        <v>832</v>
      </c>
      <c r="I1482">
        <v>8</v>
      </c>
      <c r="J1482" t="s">
        <v>135</v>
      </c>
      <c r="K1482">
        <v>4</v>
      </c>
      <c r="L1482" t="s">
        <v>44</v>
      </c>
      <c r="M1482">
        <v>4.5999999999999996</v>
      </c>
      <c r="N1482" t="s">
        <v>91</v>
      </c>
      <c r="Q1482" t="s">
        <v>74</v>
      </c>
      <c r="R1482" t="s">
        <v>92</v>
      </c>
      <c r="S1482" t="s">
        <v>93</v>
      </c>
      <c r="T1482">
        <v>292</v>
      </c>
      <c r="U1482" t="s">
        <v>50</v>
      </c>
      <c r="V1482" t="s">
        <v>76</v>
      </c>
      <c r="W1482" t="s">
        <v>625</v>
      </c>
      <c r="X1482" t="s">
        <v>94</v>
      </c>
      <c r="Y1482" t="s">
        <v>78</v>
      </c>
      <c r="AA1482">
        <v>0</v>
      </c>
      <c r="AB1482" t="s">
        <v>79</v>
      </c>
      <c r="AC1482" t="s">
        <v>95</v>
      </c>
      <c r="AD1482">
        <v>36</v>
      </c>
      <c r="AE1482">
        <v>9</v>
      </c>
      <c r="AF1482">
        <v>3</v>
      </c>
      <c r="AG1482">
        <v>2025</v>
      </c>
      <c r="AH1482" s="2">
        <v>6250</v>
      </c>
      <c r="AI1482" s="2">
        <v>5446.416015625</v>
      </c>
      <c r="AJ1482" s="2">
        <f t="shared" si="186"/>
        <v>803.583984375</v>
      </c>
      <c r="AK1482" s="6">
        <f t="shared" si="187"/>
        <v>0.1285734375</v>
      </c>
      <c r="AL1482" s="12">
        <v>6250</v>
      </c>
      <c r="AM1482" s="12">
        <v>5026.0662752629723</v>
      </c>
      <c r="AN1482" s="12">
        <f t="shared" si="188"/>
        <v>1223.9337247370277</v>
      </c>
      <c r="AO1482" s="13">
        <f t="shared" si="189"/>
        <v>0.19582939595792442</v>
      </c>
      <c r="AP1482" s="16">
        <v>6250</v>
      </c>
      <c r="AQ1482" s="16">
        <v>4566.6839166672644</v>
      </c>
      <c r="AR1482" s="16">
        <f t="shared" si="190"/>
        <v>1683.3160833327356</v>
      </c>
      <c r="AS1482" s="17">
        <f t="shared" si="184"/>
        <v>0.26933057333323768</v>
      </c>
      <c r="AT1482" s="20">
        <v>6250</v>
      </c>
      <c r="AU1482" s="20">
        <v>5417.58740234375</v>
      </c>
      <c r="AV1482" s="20">
        <f t="shared" si="185"/>
        <v>832.41259765625</v>
      </c>
      <c r="AW1482" s="21">
        <f t="shared" si="191"/>
        <v>0.13318601562499999</v>
      </c>
    </row>
    <row r="1483" spans="1:49" x14ac:dyDescent="0.25">
      <c r="A1483" t="s">
        <v>38</v>
      </c>
      <c r="B1483" t="s">
        <v>96</v>
      </c>
      <c r="C1483">
        <v>127912</v>
      </c>
      <c r="D1483">
        <v>2017</v>
      </c>
      <c r="E1483" t="s">
        <v>142</v>
      </c>
      <c r="F1483" t="s">
        <v>630</v>
      </c>
      <c r="G1483" t="s">
        <v>457</v>
      </c>
      <c r="I1483">
        <v>4</v>
      </c>
      <c r="J1483" t="s">
        <v>72</v>
      </c>
      <c r="K1483">
        <v>4</v>
      </c>
      <c r="L1483" t="s">
        <v>44</v>
      </c>
      <c r="M1483">
        <v>2.4</v>
      </c>
      <c r="N1483" t="s">
        <v>45</v>
      </c>
      <c r="O1483" t="s">
        <v>46</v>
      </c>
      <c r="P1483">
        <v>2</v>
      </c>
      <c r="Q1483" t="s">
        <v>62</v>
      </c>
      <c r="R1483" t="s">
        <v>63</v>
      </c>
      <c r="S1483" t="s">
        <v>101</v>
      </c>
      <c r="T1483">
        <v>180</v>
      </c>
      <c r="U1483" t="s">
        <v>50</v>
      </c>
      <c r="X1483" t="s">
        <v>65</v>
      </c>
      <c r="Y1483" t="s">
        <v>632</v>
      </c>
      <c r="Z1483">
        <v>17995</v>
      </c>
      <c r="AA1483">
        <v>0</v>
      </c>
      <c r="AB1483" t="s">
        <v>79</v>
      </c>
      <c r="AC1483" t="s">
        <v>87</v>
      </c>
      <c r="AD1483">
        <v>36</v>
      </c>
      <c r="AE1483">
        <v>9</v>
      </c>
      <c r="AF1483">
        <v>3</v>
      </c>
      <c r="AG1483">
        <v>2025</v>
      </c>
      <c r="AH1483" s="2">
        <v>3200</v>
      </c>
      <c r="AI1483" s="2">
        <v>3659.4150390625</v>
      </c>
      <c r="AJ1483" s="2">
        <f t="shared" si="186"/>
        <v>459.4150390625</v>
      </c>
      <c r="AK1483" s="6">
        <f t="shared" si="187"/>
        <v>0.14356719970703125</v>
      </c>
      <c r="AL1483" s="12">
        <v>3200</v>
      </c>
      <c r="AM1483" s="12">
        <v>3391.460227990975</v>
      </c>
      <c r="AN1483" s="12">
        <f t="shared" si="188"/>
        <v>191.460227990975</v>
      </c>
      <c r="AO1483" s="13">
        <f t="shared" si="189"/>
        <v>5.9831321247179686E-2</v>
      </c>
      <c r="AP1483" s="16">
        <v>3200</v>
      </c>
      <c r="AQ1483" s="16">
        <v>3286.468785496771</v>
      </c>
      <c r="AR1483" s="16">
        <f t="shared" si="190"/>
        <v>86.468785496771034</v>
      </c>
      <c r="AS1483" s="17">
        <f t="shared" si="184"/>
        <v>2.702149546774095E-2</v>
      </c>
      <c r="AT1483" s="20">
        <v>3200</v>
      </c>
      <c r="AU1483" s="20">
        <v>3672.1962890625</v>
      </c>
      <c r="AV1483" s="20">
        <f t="shared" si="185"/>
        <v>472.1962890625</v>
      </c>
      <c r="AW1483" s="21">
        <f t="shared" si="191"/>
        <v>0.14756134033203125</v>
      </c>
    </row>
    <row r="1484" spans="1:49" x14ac:dyDescent="0.25">
      <c r="A1484" t="s">
        <v>38</v>
      </c>
      <c r="B1484" t="s">
        <v>68</v>
      </c>
      <c r="C1484">
        <v>69406</v>
      </c>
      <c r="D1484">
        <v>2021</v>
      </c>
      <c r="E1484" t="s">
        <v>146</v>
      </c>
      <c r="F1484" t="s">
        <v>279</v>
      </c>
      <c r="G1484" t="s">
        <v>280</v>
      </c>
      <c r="I1484">
        <v>4</v>
      </c>
      <c r="J1484" t="s">
        <v>61</v>
      </c>
      <c r="K1484">
        <v>4</v>
      </c>
      <c r="L1484" t="s">
        <v>44</v>
      </c>
      <c r="M1484">
        <v>2</v>
      </c>
      <c r="N1484" t="s">
        <v>45</v>
      </c>
      <c r="O1484" t="s">
        <v>46</v>
      </c>
      <c r="P1484">
        <v>4</v>
      </c>
      <c r="Q1484" t="s">
        <v>47</v>
      </c>
      <c r="R1484" t="s">
        <v>123</v>
      </c>
      <c r="S1484" t="s">
        <v>49</v>
      </c>
      <c r="U1484" t="s">
        <v>50</v>
      </c>
      <c r="X1484" t="s">
        <v>125</v>
      </c>
      <c r="Y1484" t="s">
        <v>126</v>
      </c>
      <c r="AA1484">
        <v>0</v>
      </c>
      <c r="AB1484" t="s">
        <v>79</v>
      </c>
      <c r="AC1484" t="s">
        <v>127</v>
      </c>
      <c r="AD1484">
        <v>36</v>
      </c>
      <c r="AE1484">
        <v>9</v>
      </c>
      <c r="AF1484">
        <v>3</v>
      </c>
      <c r="AG1484">
        <v>2025</v>
      </c>
      <c r="AH1484" s="2">
        <v>12500</v>
      </c>
      <c r="AI1484" s="2">
        <v>10952.13671875</v>
      </c>
      <c r="AJ1484" s="2">
        <f t="shared" si="186"/>
        <v>1547.86328125</v>
      </c>
      <c r="AK1484" s="6">
        <f t="shared" si="187"/>
        <v>0.1238290625</v>
      </c>
      <c r="AL1484" s="12">
        <v>12500</v>
      </c>
      <c r="AM1484" s="12">
        <v>11753.13921011511</v>
      </c>
      <c r="AN1484" s="12">
        <f t="shared" si="188"/>
        <v>746.86078988488953</v>
      </c>
      <c r="AO1484" s="13">
        <f t="shared" si="189"/>
        <v>5.974886319079116E-2</v>
      </c>
      <c r="AP1484" s="16">
        <v>12500</v>
      </c>
      <c r="AQ1484" s="16">
        <v>11748.725237767931</v>
      </c>
      <c r="AR1484" s="16">
        <f t="shared" si="190"/>
        <v>751.27476223206941</v>
      </c>
      <c r="AS1484" s="17">
        <f t="shared" si="184"/>
        <v>6.0101980978565554E-2</v>
      </c>
      <c r="AT1484" s="20">
        <v>12500</v>
      </c>
      <c r="AU1484" s="20">
        <v>11153.22265625</v>
      </c>
      <c r="AV1484" s="20">
        <f t="shared" si="185"/>
        <v>1346.77734375</v>
      </c>
      <c r="AW1484" s="21">
        <f t="shared" si="191"/>
        <v>0.1077421875</v>
      </c>
    </row>
    <row r="1485" spans="1:49" x14ac:dyDescent="0.25">
      <c r="A1485" t="s">
        <v>38</v>
      </c>
      <c r="B1485" t="s">
        <v>370</v>
      </c>
      <c r="C1485">
        <v>18177</v>
      </c>
      <c r="D1485">
        <v>2022</v>
      </c>
      <c r="E1485" t="s">
        <v>69</v>
      </c>
      <c r="F1485" t="s">
        <v>475</v>
      </c>
      <c r="H1485" t="s">
        <v>476</v>
      </c>
      <c r="I1485">
        <v>8</v>
      </c>
      <c r="J1485" t="s">
        <v>72</v>
      </c>
      <c r="K1485">
        <v>4</v>
      </c>
      <c r="L1485" t="s">
        <v>44</v>
      </c>
      <c r="M1485">
        <v>6.7</v>
      </c>
      <c r="N1485" t="s">
        <v>91</v>
      </c>
      <c r="O1485" t="s">
        <v>46</v>
      </c>
      <c r="Q1485" t="s">
        <v>74</v>
      </c>
      <c r="R1485" t="s">
        <v>92</v>
      </c>
      <c r="S1485" t="s">
        <v>93</v>
      </c>
      <c r="T1485">
        <v>470</v>
      </c>
      <c r="U1485" t="s">
        <v>229</v>
      </c>
      <c r="V1485" t="s">
        <v>76</v>
      </c>
      <c r="X1485" t="s">
        <v>230</v>
      </c>
      <c r="Y1485" t="s">
        <v>78</v>
      </c>
      <c r="AA1485">
        <v>0</v>
      </c>
      <c r="AB1485" t="s">
        <v>79</v>
      </c>
      <c r="AC1485" t="s">
        <v>95</v>
      </c>
      <c r="AD1485">
        <v>36</v>
      </c>
      <c r="AE1485">
        <v>9</v>
      </c>
      <c r="AF1485">
        <v>3</v>
      </c>
      <c r="AG1485">
        <v>2025</v>
      </c>
      <c r="AH1485" s="2">
        <v>68300</v>
      </c>
      <c r="AI1485" s="2">
        <v>73859.203125</v>
      </c>
      <c r="AJ1485" s="2">
        <f t="shared" si="186"/>
        <v>5559.203125</v>
      </c>
      <c r="AK1485" s="6">
        <f t="shared" si="187"/>
        <v>8.1393896412884331E-2</v>
      </c>
      <c r="AL1485" s="12">
        <v>68300</v>
      </c>
      <c r="AM1485" s="12">
        <v>58276.963517379423</v>
      </c>
      <c r="AN1485" s="12">
        <f t="shared" si="188"/>
        <v>10023.036482620577</v>
      </c>
      <c r="AO1485" s="13">
        <f t="shared" si="189"/>
        <v>0.14675016812035985</v>
      </c>
      <c r="AP1485" s="16">
        <v>68300</v>
      </c>
      <c r="AQ1485" s="16">
        <v>58636.467272037502</v>
      </c>
      <c r="AR1485" s="16">
        <f t="shared" si="190"/>
        <v>9663.532727962498</v>
      </c>
      <c r="AS1485" s="17">
        <f t="shared" si="184"/>
        <v>0.14148656995552705</v>
      </c>
      <c r="AT1485" s="20">
        <v>68300</v>
      </c>
      <c r="AU1485" s="20">
        <v>75029.921875</v>
      </c>
      <c r="AV1485" s="20">
        <f t="shared" si="185"/>
        <v>6729.921875</v>
      </c>
      <c r="AW1485" s="21">
        <f t="shared" si="191"/>
        <v>9.8534727306002934E-2</v>
      </c>
    </row>
    <row r="1486" spans="1:49" x14ac:dyDescent="0.25">
      <c r="A1486" t="s">
        <v>38</v>
      </c>
      <c r="B1486" t="s">
        <v>57</v>
      </c>
      <c r="C1486">
        <v>22912</v>
      </c>
      <c r="D1486">
        <v>2023</v>
      </c>
      <c r="E1486" t="s">
        <v>88</v>
      </c>
      <c r="F1486" t="s">
        <v>637</v>
      </c>
      <c r="G1486" t="s">
        <v>638</v>
      </c>
      <c r="I1486">
        <v>6</v>
      </c>
      <c r="J1486" t="s">
        <v>72</v>
      </c>
      <c r="K1486">
        <v>3</v>
      </c>
      <c r="L1486" t="s">
        <v>44</v>
      </c>
      <c r="M1486">
        <v>3.6</v>
      </c>
      <c r="N1486" t="s">
        <v>45</v>
      </c>
      <c r="O1486" t="s">
        <v>46</v>
      </c>
      <c r="P1486">
        <v>4</v>
      </c>
      <c r="Q1486" t="s">
        <v>74</v>
      </c>
      <c r="R1486" t="s">
        <v>75</v>
      </c>
      <c r="S1486" t="s">
        <v>101</v>
      </c>
      <c r="T1486">
        <v>280</v>
      </c>
      <c r="U1486" t="s">
        <v>50</v>
      </c>
      <c r="V1486" t="s">
        <v>76</v>
      </c>
      <c r="X1486" t="s">
        <v>77</v>
      </c>
      <c r="Y1486" t="s">
        <v>126</v>
      </c>
      <c r="AA1486">
        <v>0</v>
      </c>
      <c r="AB1486" t="s">
        <v>79</v>
      </c>
      <c r="AC1486" t="s">
        <v>80</v>
      </c>
      <c r="AD1486">
        <v>36</v>
      </c>
      <c r="AE1486">
        <v>9</v>
      </c>
      <c r="AF1486">
        <v>3</v>
      </c>
      <c r="AG1486">
        <v>2025</v>
      </c>
      <c r="AH1486" s="2">
        <v>24600</v>
      </c>
      <c r="AI1486" s="2">
        <v>25973.095703125</v>
      </c>
      <c r="AJ1486" s="2">
        <f t="shared" si="186"/>
        <v>1373.095703125</v>
      </c>
      <c r="AK1486" s="6">
        <f t="shared" si="187"/>
        <v>5.581689850101626E-2</v>
      </c>
      <c r="AL1486" s="12">
        <v>24600</v>
      </c>
      <c r="AM1486" s="12">
        <v>28356.176986083188</v>
      </c>
      <c r="AN1486" s="12">
        <f t="shared" si="188"/>
        <v>3756.1769860831882</v>
      </c>
      <c r="AO1486" s="13">
        <f t="shared" si="189"/>
        <v>0.15269012138549545</v>
      </c>
      <c r="AP1486" s="16">
        <v>24600</v>
      </c>
      <c r="AQ1486" s="16">
        <v>30439.070546581319</v>
      </c>
      <c r="AR1486" s="16">
        <f t="shared" si="190"/>
        <v>5839.0705465813189</v>
      </c>
      <c r="AS1486" s="17">
        <f t="shared" si="184"/>
        <v>0.23736059132444387</v>
      </c>
      <c r="AT1486" s="20">
        <v>24600</v>
      </c>
      <c r="AU1486" s="20">
        <v>26060.857421875</v>
      </c>
      <c r="AV1486" s="20">
        <f t="shared" si="185"/>
        <v>1460.857421875</v>
      </c>
      <c r="AW1486" s="21">
        <f t="shared" si="191"/>
        <v>5.938444804369919E-2</v>
      </c>
    </row>
    <row r="1487" spans="1:49" x14ac:dyDescent="0.25">
      <c r="A1487" t="s">
        <v>128</v>
      </c>
      <c r="B1487" t="s">
        <v>129</v>
      </c>
      <c r="C1487">
        <v>212305</v>
      </c>
      <c r="D1487">
        <v>2014</v>
      </c>
      <c r="E1487" t="s">
        <v>166</v>
      </c>
      <c r="F1487" t="s">
        <v>247</v>
      </c>
      <c r="G1487" t="s">
        <v>581</v>
      </c>
      <c r="I1487">
        <v>4</v>
      </c>
      <c r="J1487" t="s">
        <v>206</v>
      </c>
      <c r="K1487">
        <v>4</v>
      </c>
      <c r="L1487" t="s">
        <v>44</v>
      </c>
      <c r="M1487">
        <v>2.4</v>
      </c>
      <c r="N1487" t="s">
        <v>45</v>
      </c>
      <c r="Q1487" t="s">
        <v>62</v>
      </c>
      <c r="R1487" t="s">
        <v>63</v>
      </c>
      <c r="S1487" t="s">
        <v>49</v>
      </c>
      <c r="T1487">
        <v>185</v>
      </c>
      <c r="U1487" t="s">
        <v>50</v>
      </c>
      <c r="V1487" t="s">
        <v>51</v>
      </c>
      <c r="W1487" t="s">
        <v>812</v>
      </c>
      <c r="X1487" t="s">
        <v>65</v>
      </c>
      <c r="Y1487" t="s">
        <v>103</v>
      </c>
      <c r="AA1487">
        <v>0</v>
      </c>
      <c r="AB1487" t="s">
        <v>79</v>
      </c>
      <c r="AC1487" t="s">
        <v>87</v>
      </c>
      <c r="AD1487">
        <v>36</v>
      </c>
      <c r="AE1487">
        <v>9</v>
      </c>
      <c r="AF1487">
        <v>3</v>
      </c>
      <c r="AG1487">
        <v>2025</v>
      </c>
      <c r="AH1487" s="2">
        <v>3200</v>
      </c>
      <c r="AI1487" s="2">
        <v>3671.380126953125</v>
      </c>
      <c r="AJ1487" s="2">
        <f t="shared" si="186"/>
        <v>471.380126953125</v>
      </c>
      <c r="AK1487" s="6">
        <f t="shared" si="187"/>
        <v>0.14730628967285156</v>
      </c>
      <c r="AL1487" s="12">
        <v>3200</v>
      </c>
      <c r="AM1487" s="12">
        <v>3213.4457863448029</v>
      </c>
      <c r="AN1487" s="12">
        <f t="shared" si="188"/>
        <v>13.445786344802855</v>
      </c>
      <c r="AO1487" s="13">
        <f t="shared" si="189"/>
        <v>4.2018082327508919E-3</v>
      </c>
      <c r="AP1487" s="16">
        <v>3200</v>
      </c>
      <c r="AQ1487" s="16">
        <v>3166.1943149154658</v>
      </c>
      <c r="AR1487" s="16">
        <f t="shared" si="190"/>
        <v>33.805685084534161</v>
      </c>
      <c r="AS1487" s="17">
        <f t="shared" si="184"/>
        <v>1.0564276588916925E-2</v>
      </c>
      <c r="AT1487" s="20">
        <v>3200</v>
      </c>
      <c r="AU1487" s="20">
        <v>3701.90234375</v>
      </c>
      <c r="AV1487" s="20">
        <f t="shared" si="185"/>
        <v>501.90234375</v>
      </c>
      <c r="AW1487" s="21">
        <f t="shared" si="191"/>
        <v>0.15684448242187499</v>
      </c>
    </row>
    <row r="1488" spans="1:49" x14ac:dyDescent="0.25">
      <c r="A1488" t="s">
        <v>38</v>
      </c>
      <c r="B1488" t="s">
        <v>39</v>
      </c>
      <c r="C1488">
        <v>128238</v>
      </c>
      <c r="D1488">
        <v>2015</v>
      </c>
      <c r="E1488" t="s">
        <v>116</v>
      </c>
      <c r="F1488" t="s">
        <v>194</v>
      </c>
      <c r="G1488" t="s">
        <v>396</v>
      </c>
      <c r="I1488">
        <v>6</v>
      </c>
      <c r="J1488" t="s">
        <v>43</v>
      </c>
      <c r="K1488">
        <v>2</v>
      </c>
      <c r="L1488" t="s">
        <v>44</v>
      </c>
      <c r="M1488">
        <v>3.6</v>
      </c>
      <c r="N1488" t="s">
        <v>73</v>
      </c>
      <c r="Q1488" t="s">
        <v>47</v>
      </c>
      <c r="R1488" t="s">
        <v>197</v>
      </c>
      <c r="S1488" t="s">
        <v>179</v>
      </c>
      <c r="U1488" t="s">
        <v>50</v>
      </c>
      <c r="X1488" t="s">
        <v>125</v>
      </c>
      <c r="Y1488" t="s">
        <v>103</v>
      </c>
      <c r="AA1488">
        <v>0</v>
      </c>
      <c r="AB1488" t="s">
        <v>79</v>
      </c>
      <c r="AC1488" t="s">
        <v>197</v>
      </c>
      <c r="AD1488">
        <v>36</v>
      </c>
      <c r="AE1488">
        <v>9</v>
      </c>
      <c r="AF1488">
        <v>3</v>
      </c>
      <c r="AG1488">
        <v>2025</v>
      </c>
      <c r="AH1488" s="2">
        <v>8600</v>
      </c>
      <c r="AI1488" s="2">
        <v>6500.59814453125</v>
      </c>
      <c r="AJ1488" s="2">
        <f t="shared" si="186"/>
        <v>2099.40185546875</v>
      </c>
      <c r="AK1488" s="6">
        <f t="shared" si="187"/>
        <v>0.24411649482194767</v>
      </c>
      <c r="AL1488" s="12">
        <v>8600</v>
      </c>
      <c r="AM1488" s="12">
        <v>6592.5606077003104</v>
      </c>
      <c r="AN1488" s="12">
        <f t="shared" si="188"/>
        <v>2007.4393922996896</v>
      </c>
      <c r="AO1488" s="13">
        <f t="shared" si="189"/>
        <v>0.2334231851511267</v>
      </c>
      <c r="AP1488" s="16">
        <v>8600</v>
      </c>
      <c r="AQ1488" s="16">
        <v>6471.7269130287577</v>
      </c>
      <c r="AR1488" s="16">
        <f t="shared" si="190"/>
        <v>2128.2730869712423</v>
      </c>
      <c r="AS1488" s="17">
        <f t="shared" si="184"/>
        <v>0.24747361476409793</v>
      </c>
      <c r="AT1488" s="20">
        <v>8600</v>
      </c>
      <c r="AU1488" s="20">
        <v>6539.34765625</v>
      </c>
      <c r="AV1488" s="20">
        <f t="shared" si="185"/>
        <v>2060.65234375</v>
      </c>
      <c r="AW1488" s="21">
        <f t="shared" si="191"/>
        <v>0.23961073764534885</v>
      </c>
    </row>
    <row r="1489" spans="1:49" x14ac:dyDescent="0.25">
      <c r="A1489" t="s">
        <v>38</v>
      </c>
      <c r="B1489" t="s">
        <v>68</v>
      </c>
      <c r="C1489">
        <v>223912</v>
      </c>
      <c r="D1489">
        <v>2006</v>
      </c>
      <c r="E1489" t="s">
        <v>97</v>
      </c>
      <c r="F1489" t="s">
        <v>159</v>
      </c>
      <c r="H1489" t="s">
        <v>683</v>
      </c>
      <c r="I1489">
        <v>8</v>
      </c>
      <c r="J1489" t="s">
        <v>135</v>
      </c>
      <c r="K1489">
        <v>4</v>
      </c>
      <c r="L1489" t="s">
        <v>44</v>
      </c>
      <c r="M1489">
        <v>5.3</v>
      </c>
      <c r="N1489" t="s">
        <v>91</v>
      </c>
      <c r="O1489" t="s">
        <v>46</v>
      </c>
      <c r="Q1489" t="s">
        <v>74</v>
      </c>
      <c r="R1489" t="s">
        <v>92</v>
      </c>
      <c r="S1489" t="s">
        <v>93</v>
      </c>
      <c r="U1489" t="s">
        <v>180</v>
      </c>
      <c r="V1489" t="s">
        <v>76</v>
      </c>
      <c r="W1489" t="s">
        <v>1200</v>
      </c>
      <c r="X1489" t="s">
        <v>94</v>
      </c>
      <c r="Y1489" t="s">
        <v>103</v>
      </c>
      <c r="AA1489">
        <v>1</v>
      </c>
      <c r="AB1489" t="s">
        <v>55</v>
      </c>
      <c r="AC1489" t="s">
        <v>1408</v>
      </c>
      <c r="AD1489">
        <v>36</v>
      </c>
      <c r="AE1489">
        <v>9</v>
      </c>
      <c r="AF1489">
        <v>3</v>
      </c>
      <c r="AG1489">
        <v>2025</v>
      </c>
      <c r="AH1489" s="2">
        <v>5600</v>
      </c>
      <c r="AI1489" s="2">
        <v>3003.171875</v>
      </c>
      <c r="AJ1489" s="2">
        <f t="shared" si="186"/>
        <v>2596.828125</v>
      </c>
      <c r="AK1489" s="6">
        <f t="shared" si="187"/>
        <v>0.46371930803571426</v>
      </c>
      <c r="AL1489" s="12">
        <v>5600</v>
      </c>
      <c r="AM1489" s="12">
        <v>2631.53147579301</v>
      </c>
      <c r="AN1489" s="12">
        <f t="shared" si="188"/>
        <v>2968.46852420699</v>
      </c>
      <c r="AO1489" s="13">
        <f t="shared" si="189"/>
        <v>0.53008366503696247</v>
      </c>
      <c r="AP1489" s="16">
        <v>5600</v>
      </c>
      <c r="AQ1489" s="16">
        <v>2717.099301667587</v>
      </c>
      <c r="AR1489" s="16">
        <f t="shared" si="190"/>
        <v>2882.900698332413</v>
      </c>
      <c r="AS1489" s="17">
        <f t="shared" si="184"/>
        <v>0.51480369613078802</v>
      </c>
      <c r="AT1489" s="20">
        <v>5600</v>
      </c>
      <c r="AU1489" s="20">
        <v>2974.780029296875</v>
      </c>
      <c r="AV1489" s="20">
        <f t="shared" si="185"/>
        <v>2625.219970703125</v>
      </c>
      <c r="AW1489" s="21">
        <f t="shared" si="191"/>
        <v>0.46878928048270091</v>
      </c>
    </row>
    <row r="1490" spans="1:49" x14ac:dyDescent="0.25">
      <c r="A1490" t="s">
        <v>38</v>
      </c>
      <c r="B1490" t="s">
        <v>110</v>
      </c>
      <c r="C1490">
        <v>50871</v>
      </c>
      <c r="D1490">
        <v>2018</v>
      </c>
      <c r="E1490" t="s">
        <v>58</v>
      </c>
      <c r="F1490" t="s">
        <v>111</v>
      </c>
      <c r="G1490" t="s">
        <v>112</v>
      </c>
      <c r="I1490">
        <v>4</v>
      </c>
      <c r="J1490" t="s">
        <v>61</v>
      </c>
      <c r="K1490">
        <v>4</v>
      </c>
      <c r="L1490" t="s">
        <v>44</v>
      </c>
      <c r="M1490">
        <v>1.6</v>
      </c>
      <c r="N1490" t="s">
        <v>45</v>
      </c>
      <c r="O1490" t="s">
        <v>46</v>
      </c>
      <c r="Q1490" t="s">
        <v>62</v>
      </c>
      <c r="R1490" t="s">
        <v>63</v>
      </c>
      <c r="S1490" t="s">
        <v>49</v>
      </c>
      <c r="T1490">
        <v>130</v>
      </c>
      <c r="U1490" t="s">
        <v>50</v>
      </c>
      <c r="W1490" t="s">
        <v>1409</v>
      </c>
      <c r="X1490" t="s">
        <v>53</v>
      </c>
      <c r="Y1490" t="s">
        <v>66</v>
      </c>
      <c r="AA1490">
        <v>0</v>
      </c>
      <c r="AB1490" t="s">
        <v>79</v>
      </c>
      <c r="AC1490" t="s">
        <v>87</v>
      </c>
      <c r="AD1490">
        <v>36</v>
      </c>
      <c r="AE1490">
        <v>9</v>
      </c>
      <c r="AF1490">
        <v>3</v>
      </c>
      <c r="AG1490">
        <v>2025</v>
      </c>
      <c r="AH1490" s="2">
        <v>5800</v>
      </c>
      <c r="AI1490" s="2">
        <v>6701.6923828125</v>
      </c>
      <c r="AJ1490" s="2">
        <f t="shared" si="186"/>
        <v>901.6923828125</v>
      </c>
      <c r="AK1490" s="6">
        <f t="shared" si="187"/>
        <v>0.15546420393318966</v>
      </c>
      <c r="AL1490" s="12">
        <v>5800</v>
      </c>
      <c r="AM1490" s="12">
        <v>7706.2947766346688</v>
      </c>
      <c r="AN1490" s="12">
        <f t="shared" si="188"/>
        <v>1906.2947766346688</v>
      </c>
      <c r="AO1490" s="13">
        <f t="shared" si="189"/>
        <v>0.32867151321287391</v>
      </c>
      <c r="AP1490" s="16">
        <v>5800</v>
      </c>
      <c r="AQ1490" s="16">
        <v>6248.1135933736878</v>
      </c>
      <c r="AR1490" s="16">
        <f t="shared" si="190"/>
        <v>448.11359337368776</v>
      </c>
      <c r="AS1490" s="17">
        <f t="shared" si="184"/>
        <v>7.7260964374773755E-2</v>
      </c>
      <c r="AT1490" s="20">
        <v>5800</v>
      </c>
      <c r="AU1490" s="20">
        <v>6954.93212890625</v>
      </c>
      <c r="AV1490" s="20">
        <f t="shared" si="185"/>
        <v>1154.93212890625</v>
      </c>
      <c r="AW1490" s="21">
        <f t="shared" si="191"/>
        <v>0.19912622912176725</v>
      </c>
    </row>
    <row r="1491" spans="1:49" x14ac:dyDescent="0.25">
      <c r="A1491" t="s">
        <v>38</v>
      </c>
      <c r="B1491" t="s">
        <v>110</v>
      </c>
      <c r="C1491">
        <v>128749</v>
      </c>
      <c r="D1491">
        <v>2018</v>
      </c>
      <c r="E1491" t="s">
        <v>162</v>
      </c>
      <c r="F1491" t="s">
        <v>163</v>
      </c>
      <c r="G1491" t="s">
        <v>460</v>
      </c>
      <c r="I1491">
        <v>4</v>
      </c>
      <c r="J1491" t="s">
        <v>122</v>
      </c>
      <c r="K1491">
        <v>4</v>
      </c>
      <c r="L1491" t="s">
        <v>44</v>
      </c>
      <c r="M1491">
        <v>2.4</v>
      </c>
      <c r="N1491" t="s">
        <v>45</v>
      </c>
      <c r="O1491" t="s">
        <v>46</v>
      </c>
      <c r="P1491">
        <v>3</v>
      </c>
      <c r="Q1491" t="s">
        <v>47</v>
      </c>
      <c r="R1491" t="s">
        <v>123</v>
      </c>
      <c r="S1491" t="s">
        <v>101</v>
      </c>
      <c r="T1491">
        <v>187</v>
      </c>
      <c r="U1491" t="s">
        <v>50</v>
      </c>
      <c r="W1491" t="s">
        <v>300</v>
      </c>
      <c r="X1491" t="s">
        <v>125</v>
      </c>
      <c r="Y1491" t="s">
        <v>78</v>
      </c>
      <c r="Z1491">
        <v>23700</v>
      </c>
      <c r="AA1491">
        <v>0</v>
      </c>
      <c r="AB1491" t="s">
        <v>79</v>
      </c>
      <c r="AC1491" t="s">
        <v>127</v>
      </c>
      <c r="AD1491">
        <v>36</v>
      </c>
      <c r="AE1491">
        <v>9</v>
      </c>
      <c r="AF1491">
        <v>3</v>
      </c>
      <c r="AG1491">
        <v>2025</v>
      </c>
      <c r="AH1491" s="2">
        <v>5000</v>
      </c>
      <c r="AI1491" s="2">
        <v>4464.8583984375</v>
      </c>
      <c r="AJ1491" s="2">
        <f t="shared" si="186"/>
        <v>535.1416015625</v>
      </c>
      <c r="AK1491" s="6">
        <f t="shared" si="187"/>
        <v>0.10702832031249999</v>
      </c>
      <c r="AL1491" s="12">
        <v>5000</v>
      </c>
      <c r="AM1491" s="12">
        <v>4222.0245932224034</v>
      </c>
      <c r="AN1491" s="12">
        <f t="shared" si="188"/>
        <v>777.97540677759662</v>
      </c>
      <c r="AO1491" s="13">
        <f t="shared" si="189"/>
        <v>0.15559508135551933</v>
      </c>
      <c r="AP1491" s="16">
        <v>5000</v>
      </c>
      <c r="AQ1491" s="16">
        <v>3808.6473150761649</v>
      </c>
      <c r="AR1491" s="16">
        <f t="shared" si="190"/>
        <v>1191.3526849238351</v>
      </c>
      <c r="AS1491" s="17">
        <f t="shared" si="184"/>
        <v>0.23827053698476702</v>
      </c>
      <c r="AT1491" s="20">
        <v>5000</v>
      </c>
      <c r="AU1491" s="20">
        <v>4453.216796875</v>
      </c>
      <c r="AV1491" s="20">
        <f t="shared" si="185"/>
        <v>546.783203125</v>
      </c>
      <c r="AW1491" s="21">
        <f t="shared" si="191"/>
        <v>0.109356640625</v>
      </c>
    </row>
    <row r="1492" spans="1:49" x14ac:dyDescent="0.25">
      <c r="A1492" t="s">
        <v>128</v>
      </c>
      <c r="B1492" t="s">
        <v>129</v>
      </c>
      <c r="C1492">
        <v>132096</v>
      </c>
      <c r="D1492">
        <v>2011</v>
      </c>
      <c r="E1492" t="s">
        <v>116</v>
      </c>
      <c r="F1492" t="s">
        <v>697</v>
      </c>
      <c r="G1492" t="s">
        <v>312</v>
      </c>
      <c r="H1492" t="s">
        <v>1410</v>
      </c>
      <c r="I1492">
        <v>8</v>
      </c>
      <c r="J1492" t="s">
        <v>106</v>
      </c>
      <c r="K1492">
        <v>4</v>
      </c>
      <c r="L1492" t="s">
        <v>44</v>
      </c>
      <c r="M1492">
        <v>5.7</v>
      </c>
      <c r="N1492" t="s">
        <v>91</v>
      </c>
      <c r="O1492" t="s">
        <v>100</v>
      </c>
      <c r="Q1492" t="s">
        <v>74</v>
      </c>
      <c r="R1492" t="s">
        <v>92</v>
      </c>
      <c r="S1492" t="s">
        <v>93</v>
      </c>
      <c r="U1492" t="s">
        <v>50</v>
      </c>
      <c r="X1492" t="s">
        <v>77</v>
      </c>
      <c r="Y1492" t="s">
        <v>126</v>
      </c>
      <c r="AA1492">
        <v>0</v>
      </c>
      <c r="AB1492" t="s">
        <v>79</v>
      </c>
      <c r="AC1492" t="s">
        <v>95</v>
      </c>
      <c r="AD1492">
        <v>36</v>
      </c>
      <c r="AE1492">
        <v>9</v>
      </c>
      <c r="AF1492">
        <v>3</v>
      </c>
      <c r="AG1492">
        <v>2025</v>
      </c>
      <c r="AH1492" s="2">
        <v>1800</v>
      </c>
      <c r="AI1492" s="2">
        <v>2200.174560546875</v>
      </c>
      <c r="AJ1492" s="2">
        <f t="shared" si="186"/>
        <v>400.174560546875</v>
      </c>
      <c r="AK1492" s="6">
        <f t="shared" si="187"/>
        <v>0.22231920030381944</v>
      </c>
      <c r="AL1492" s="12">
        <v>1800</v>
      </c>
      <c r="AM1492" s="12">
        <v>2757.6907109538511</v>
      </c>
      <c r="AN1492" s="12">
        <f t="shared" si="188"/>
        <v>957.69071095385107</v>
      </c>
      <c r="AO1492" s="13">
        <f t="shared" si="189"/>
        <v>0.53205039497436168</v>
      </c>
      <c r="AP1492" s="16">
        <v>1800</v>
      </c>
      <c r="AQ1492" s="16">
        <v>2607.4136480329571</v>
      </c>
      <c r="AR1492" s="16">
        <f t="shared" si="190"/>
        <v>807.4136480329571</v>
      </c>
      <c r="AS1492" s="17">
        <f t="shared" si="184"/>
        <v>0.44856313779608725</v>
      </c>
      <c r="AT1492" s="20">
        <v>1800</v>
      </c>
      <c r="AU1492" s="20">
        <v>2276.964599609375</v>
      </c>
      <c r="AV1492" s="20">
        <f t="shared" si="185"/>
        <v>476.964599609375</v>
      </c>
      <c r="AW1492" s="21">
        <f t="shared" si="191"/>
        <v>0.26498033311631947</v>
      </c>
    </row>
    <row r="1493" spans="1:49" x14ac:dyDescent="0.25">
      <c r="A1493" t="s">
        <v>38</v>
      </c>
      <c r="B1493" t="s">
        <v>39</v>
      </c>
      <c r="C1493">
        <v>103989</v>
      </c>
      <c r="D1493">
        <v>2015</v>
      </c>
      <c r="E1493" t="s">
        <v>174</v>
      </c>
      <c r="F1493" t="s">
        <v>254</v>
      </c>
      <c r="H1493" t="s">
        <v>626</v>
      </c>
      <c r="I1493">
        <v>6</v>
      </c>
      <c r="J1493" t="s">
        <v>61</v>
      </c>
      <c r="K1493">
        <v>4</v>
      </c>
      <c r="L1493" t="s">
        <v>44</v>
      </c>
      <c r="M1493">
        <v>3.6</v>
      </c>
      <c r="N1493" t="s">
        <v>45</v>
      </c>
      <c r="O1493" t="s">
        <v>100</v>
      </c>
      <c r="P1493">
        <v>1</v>
      </c>
      <c r="Q1493" t="s">
        <v>62</v>
      </c>
      <c r="R1493" t="s">
        <v>63</v>
      </c>
      <c r="S1493" t="s">
        <v>101</v>
      </c>
      <c r="U1493" t="s">
        <v>50</v>
      </c>
      <c r="W1493" t="s">
        <v>1411</v>
      </c>
      <c r="X1493" t="s">
        <v>141</v>
      </c>
      <c r="Y1493" t="s">
        <v>103</v>
      </c>
      <c r="AA1493">
        <v>0</v>
      </c>
      <c r="AB1493" t="s">
        <v>79</v>
      </c>
      <c r="AC1493" t="s">
        <v>87</v>
      </c>
      <c r="AD1493">
        <v>36</v>
      </c>
      <c r="AE1493">
        <v>9</v>
      </c>
      <c r="AF1493">
        <v>3</v>
      </c>
      <c r="AG1493">
        <v>2025</v>
      </c>
      <c r="AH1493" s="2">
        <v>900</v>
      </c>
      <c r="AI1493" s="2">
        <v>2499.61083984375</v>
      </c>
      <c r="AJ1493" s="2">
        <f t="shared" si="186"/>
        <v>1599.61083984375</v>
      </c>
      <c r="AK1493" s="6">
        <f t="shared" si="187"/>
        <v>1.7773453776041668</v>
      </c>
      <c r="AL1493" s="12">
        <v>900</v>
      </c>
      <c r="AM1493" s="12">
        <v>2197.9449666677692</v>
      </c>
      <c r="AN1493" s="12">
        <f t="shared" si="188"/>
        <v>1297.9449666677692</v>
      </c>
      <c r="AO1493" s="13">
        <f t="shared" si="189"/>
        <v>1.442161074075299</v>
      </c>
      <c r="AP1493" s="16">
        <v>900</v>
      </c>
      <c r="AQ1493" s="16">
        <v>1869.4089727863011</v>
      </c>
      <c r="AR1493" s="16">
        <f t="shared" si="190"/>
        <v>969.40897278630109</v>
      </c>
      <c r="AS1493" s="17">
        <f t="shared" si="184"/>
        <v>1.077121080873668</v>
      </c>
      <c r="AT1493" s="20">
        <v>900</v>
      </c>
      <c r="AU1493" s="20">
        <v>2473.66162109375</v>
      </c>
      <c r="AV1493" s="20">
        <f t="shared" si="185"/>
        <v>1573.66162109375</v>
      </c>
      <c r="AW1493" s="21">
        <f t="shared" si="191"/>
        <v>1.7485129123263889</v>
      </c>
    </row>
    <row r="1494" spans="1:49" x14ac:dyDescent="0.25">
      <c r="A1494" t="s">
        <v>38</v>
      </c>
      <c r="B1494" t="s">
        <v>370</v>
      </c>
      <c r="C1494">
        <v>31917</v>
      </c>
      <c r="D1494">
        <v>2024</v>
      </c>
      <c r="E1494" t="s">
        <v>174</v>
      </c>
      <c r="F1494" t="s">
        <v>254</v>
      </c>
      <c r="G1494" t="s">
        <v>315</v>
      </c>
      <c r="I1494">
        <v>4</v>
      </c>
      <c r="J1494" t="s">
        <v>135</v>
      </c>
      <c r="K1494">
        <v>4</v>
      </c>
      <c r="L1494" t="s">
        <v>371</v>
      </c>
      <c r="M1494">
        <v>1.5</v>
      </c>
      <c r="N1494" t="s">
        <v>45</v>
      </c>
      <c r="O1494" t="s">
        <v>46</v>
      </c>
      <c r="Q1494" t="s">
        <v>62</v>
      </c>
      <c r="R1494" t="s">
        <v>63</v>
      </c>
      <c r="S1494" t="s">
        <v>101</v>
      </c>
      <c r="U1494" t="s">
        <v>50</v>
      </c>
      <c r="V1494" t="s">
        <v>51</v>
      </c>
      <c r="W1494" t="s">
        <v>283</v>
      </c>
      <c r="X1494" t="s">
        <v>65</v>
      </c>
      <c r="Y1494" t="s">
        <v>126</v>
      </c>
      <c r="AA1494">
        <v>0</v>
      </c>
      <c r="AB1494" t="s">
        <v>79</v>
      </c>
      <c r="AC1494" t="s">
        <v>87</v>
      </c>
      <c r="AD1494">
        <v>36</v>
      </c>
      <c r="AE1494">
        <v>9</v>
      </c>
      <c r="AF1494">
        <v>3</v>
      </c>
      <c r="AG1494">
        <v>2025</v>
      </c>
      <c r="AH1494" s="2">
        <v>21200</v>
      </c>
      <c r="AI1494" s="2">
        <v>22636.36328125</v>
      </c>
      <c r="AJ1494" s="2">
        <f t="shared" si="186"/>
        <v>1436.36328125</v>
      </c>
      <c r="AK1494" s="6">
        <f t="shared" si="187"/>
        <v>6.7752984964622648E-2</v>
      </c>
      <c r="AL1494" s="12">
        <v>21200</v>
      </c>
      <c r="AM1494" s="12">
        <v>24220.219997081469</v>
      </c>
      <c r="AN1494" s="12">
        <f t="shared" si="188"/>
        <v>3020.219997081469</v>
      </c>
      <c r="AO1494" s="13">
        <f t="shared" si="189"/>
        <v>0.14246320740950325</v>
      </c>
      <c r="AP1494" s="16">
        <v>21200</v>
      </c>
      <c r="AQ1494" s="16">
        <v>22248.385474466009</v>
      </c>
      <c r="AR1494" s="16">
        <f t="shared" si="190"/>
        <v>1048.3854744660093</v>
      </c>
      <c r="AS1494" s="17">
        <f t="shared" si="184"/>
        <v>4.9452145021981572E-2</v>
      </c>
      <c r="AT1494" s="20">
        <v>21200</v>
      </c>
      <c r="AU1494" s="20">
        <v>22852.783203125</v>
      </c>
      <c r="AV1494" s="20">
        <f t="shared" si="185"/>
        <v>1652.783203125</v>
      </c>
      <c r="AW1494" s="21">
        <f t="shared" si="191"/>
        <v>7.7961471845518868E-2</v>
      </c>
    </row>
    <row r="1495" spans="1:49" x14ac:dyDescent="0.25">
      <c r="A1495" t="s">
        <v>38</v>
      </c>
      <c r="B1495" t="s">
        <v>110</v>
      </c>
      <c r="C1495">
        <v>129134</v>
      </c>
      <c r="D1495">
        <v>2018</v>
      </c>
      <c r="E1495" t="s">
        <v>345</v>
      </c>
      <c r="F1495" t="s">
        <v>1412</v>
      </c>
      <c r="G1495" t="s">
        <v>127</v>
      </c>
      <c r="H1495" t="s">
        <v>710</v>
      </c>
      <c r="I1495">
        <v>4</v>
      </c>
      <c r="J1495" t="s">
        <v>72</v>
      </c>
      <c r="K1495">
        <v>4</v>
      </c>
      <c r="L1495" t="s">
        <v>44</v>
      </c>
      <c r="M1495">
        <v>2</v>
      </c>
      <c r="N1495" t="s">
        <v>73</v>
      </c>
      <c r="Q1495" t="s">
        <v>47</v>
      </c>
      <c r="R1495" t="s">
        <v>123</v>
      </c>
      <c r="T1495">
        <v>180</v>
      </c>
      <c r="U1495" t="s">
        <v>601</v>
      </c>
      <c r="X1495" t="s">
        <v>125</v>
      </c>
      <c r="Y1495" t="s">
        <v>137</v>
      </c>
      <c r="Z1495">
        <v>52650</v>
      </c>
      <c r="AA1495">
        <v>1</v>
      </c>
      <c r="AB1495" t="s">
        <v>603</v>
      </c>
      <c r="AC1495" t="s">
        <v>393</v>
      </c>
      <c r="AD1495">
        <v>36</v>
      </c>
      <c r="AE1495">
        <v>9</v>
      </c>
      <c r="AF1495">
        <v>3</v>
      </c>
      <c r="AG1495">
        <v>2025</v>
      </c>
      <c r="AH1495" s="2">
        <v>8600</v>
      </c>
      <c r="AI1495" s="2">
        <v>6321.03662109375</v>
      </c>
      <c r="AJ1495" s="2">
        <f t="shared" si="186"/>
        <v>2278.96337890625</v>
      </c>
      <c r="AK1495" s="6">
        <f t="shared" si="187"/>
        <v>0.26499574173328488</v>
      </c>
      <c r="AL1495" s="12">
        <v>8600</v>
      </c>
      <c r="AM1495" s="12">
        <v>6679.8412425614488</v>
      </c>
      <c r="AN1495" s="12">
        <f t="shared" si="188"/>
        <v>1920.1587574385512</v>
      </c>
      <c r="AO1495" s="13">
        <f t="shared" si="189"/>
        <v>0.22327427412076176</v>
      </c>
      <c r="AP1495" s="16">
        <v>8600</v>
      </c>
      <c r="AQ1495" s="16">
        <v>6798.6114009379098</v>
      </c>
      <c r="AR1495" s="16">
        <f t="shared" si="190"/>
        <v>1801.3885990620902</v>
      </c>
      <c r="AS1495" s="17">
        <f t="shared" si="184"/>
        <v>0.20946379058861514</v>
      </c>
      <c r="AT1495" s="20">
        <v>8600</v>
      </c>
      <c r="AU1495" s="20">
        <v>6452.6728515625</v>
      </c>
      <c r="AV1495" s="20">
        <f t="shared" si="185"/>
        <v>2147.3271484375</v>
      </c>
      <c r="AW1495" s="21">
        <f t="shared" si="191"/>
        <v>0.24968920330668604</v>
      </c>
    </row>
    <row r="1496" spans="1:49" x14ac:dyDescent="0.25">
      <c r="A1496" t="s">
        <v>128</v>
      </c>
      <c r="B1496" t="s">
        <v>129</v>
      </c>
      <c r="C1496">
        <v>92288</v>
      </c>
      <c r="D1496">
        <v>2017</v>
      </c>
      <c r="E1496" t="s">
        <v>515</v>
      </c>
      <c r="F1496" t="s">
        <v>1109</v>
      </c>
      <c r="G1496" t="s">
        <v>1413</v>
      </c>
      <c r="I1496">
        <v>4</v>
      </c>
      <c r="J1496" t="s">
        <v>61</v>
      </c>
      <c r="K1496">
        <v>4</v>
      </c>
      <c r="L1496" t="s">
        <v>44</v>
      </c>
      <c r="M1496">
        <v>2</v>
      </c>
      <c r="N1496" t="s">
        <v>45</v>
      </c>
      <c r="O1496" t="s">
        <v>46</v>
      </c>
      <c r="Q1496" t="s">
        <v>47</v>
      </c>
      <c r="R1496" t="s">
        <v>123</v>
      </c>
      <c r="T1496">
        <v>190</v>
      </c>
      <c r="U1496" t="s">
        <v>50</v>
      </c>
      <c r="X1496" t="s">
        <v>125</v>
      </c>
      <c r="Y1496" t="s">
        <v>137</v>
      </c>
      <c r="AA1496">
        <v>0</v>
      </c>
      <c r="AB1496" t="s">
        <v>79</v>
      </c>
      <c r="AC1496" t="s">
        <v>127</v>
      </c>
      <c r="AD1496">
        <v>36</v>
      </c>
      <c r="AE1496">
        <v>9</v>
      </c>
      <c r="AF1496">
        <v>3</v>
      </c>
      <c r="AG1496">
        <v>2025</v>
      </c>
      <c r="AH1496" s="2">
        <v>7700</v>
      </c>
      <c r="AI1496" s="2">
        <v>5463.7119140625</v>
      </c>
      <c r="AJ1496" s="2">
        <f t="shared" si="186"/>
        <v>2236.2880859375</v>
      </c>
      <c r="AK1496" s="6">
        <f t="shared" si="187"/>
        <v>0.29042702414772725</v>
      </c>
      <c r="AL1496" s="12">
        <v>7700</v>
      </c>
      <c r="AM1496" s="12">
        <v>6182.3756436704452</v>
      </c>
      <c r="AN1496" s="12">
        <f t="shared" si="188"/>
        <v>1517.6243563295548</v>
      </c>
      <c r="AO1496" s="13">
        <f t="shared" si="189"/>
        <v>0.19709407225059153</v>
      </c>
      <c r="AP1496" s="16">
        <v>7700</v>
      </c>
      <c r="AQ1496" s="16">
        <v>6687.2858396394167</v>
      </c>
      <c r="AR1496" s="16">
        <f t="shared" si="190"/>
        <v>1012.7141603605833</v>
      </c>
      <c r="AS1496" s="17">
        <f t="shared" si="184"/>
        <v>0.13152131952734847</v>
      </c>
      <c r="AT1496" s="20">
        <v>7700</v>
      </c>
      <c r="AU1496" s="20">
        <v>5626.0771484375</v>
      </c>
      <c r="AV1496" s="20">
        <f t="shared" si="185"/>
        <v>2073.9228515625</v>
      </c>
      <c r="AW1496" s="21">
        <f t="shared" si="191"/>
        <v>0.26934063007305192</v>
      </c>
    </row>
    <row r="1497" spans="1:49" x14ac:dyDescent="0.25">
      <c r="A1497" t="s">
        <v>128</v>
      </c>
      <c r="B1497" t="s">
        <v>129</v>
      </c>
      <c r="C1497">
        <v>130974</v>
      </c>
      <c r="D1497">
        <v>2012</v>
      </c>
      <c r="E1497" t="s">
        <v>174</v>
      </c>
      <c r="F1497" t="s">
        <v>254</v>
      </c>
      <c r="H1497" t="s">
        <v>1414</v>
      </c>
      <c r="I1497">
        <v>4</v>
      </c>
      <c r="J1497" t="s">
        <v>178</v>
      </c>
      <c r="K1497">
        <v>4</v>
      </c>
      <c r="L1497" t="s">
        <v>44</v>
      </c>
      <c r="M1497">
        <v>2.4</v>
      </c>
      <c r="N1497" t="s">
        <v>45</v>
      </c>
      <c r="Q1497" t="s">
        <v>62</v>
      </c>
      <c r="R1497" t="s">
        <v>63</v>
      </c>
      <c r="S1497" t="s">
        <v>101</v>
      </c>
      <c r="U1497" t="s">
        <v>50</v>
      </c>
      <c r="W1497" t="s">
        <v>479</v>
      </c>
      <c r="X1497" t="s">
        <v>65</v>
      </c>
      <c r="Y1497" t="s">
        <v>103</v>
      </c>
      <c r="AA1497">
        <v>0</v>
      </c>
      <c r="AB1497" t="s">
        <v>79</v>
      </c>
      <c r="AC1497" t="s">
        <v>87</v>
      </c>
      <c r="AD1497">
        <v>36</v>
      </c>
      <c r="AE1497">
        <v>9</v>
      </c>
      <c r="AF1497">
        <v>3</v>
      </c>
      <c r="AG1497">
        <v>2025</v>
      </c>
      <c r="AH1497" s="2">
        <v>3800</v>
      </c>
      <c r="AI1497" s="2">
        <v>2399.076904296875</v>
      </c>
      <c r="AJ1497" s="2">
        <f t="shared" si="186"/>
        <v>1400.923095703125</v>
      </c>
      <c r="AK1497" s="6">
        <f t="shared" si="187"/>
        <v>0.36866397255345396</v>
      </c>
      <c r="AL1497" s="12">
        <v>3800</v>
      </c>
      <c r="AM1497" s="12">
        <v>2497.7056282621452</v>
      </c>
      <c r="AN1497" s="12">
        <f t="shared" si="188"/>
        <v>1302.2943717378548</v>
      </c>
      <c r="AO1497" s="13">
        <f t="shared" si="189"/>
        <v>0.34270904519417233</v>
      </c>
      <c r="AP1497" s="16">
        <v>3800</v>
      </c>
      <c r="AQ1497" s="16">
        <v>2260.4245559267679</v>
      </c>
      <c r="AR1497" s="16">
        <f t="shared" si="190"/>
        <v>1539.5754440732321</v>
      </c>
      <c r="AS1497" s="17">
        <f t="shared" si="184"/>
        <v>0.40515143265085057</v>
      </c>
      <c r="AT1497" s="20">
        <v>3800</v>
      </c>
      <c r="AU1497" s="20">
        <v>2407.92724609375</v>
      </c>
      <c r="AV1497" s="20">
        <f t="shared" si="185"/>
        <v>1392.07275390625</v>
      </c>
      <c r="AW1497" s="21">
        <f t="shared" si="191"/>
        <v>0.36633493523848687</v>
      </c>
    </row>
    <row r="1498" spans="1:49" x14ac:dyDescent="0.25">
      <c r="A1498" t="s">
        <v>38</v>
      </c>
      <c r="B1498" t="s">
        <v>110</v>
      </c>
      <c r="C1498">
        <v>124511</v>
      </c>
      <c r="D1498">
        <v>2013</v>
      </c>
      <c r="E1498" t="s">
        <v>97</v>
      </c>
      <c r="F1498" t="s">
        <v>98</v>
      </c>
      <c r="G1498" t="s">
        <v>199</v>
      </c>
      <c r="I1498">
        <v>4</v>
      </c>
      <c r="J1498" t="s">
        <v>106</v>
      </c>
      <c r="K1498">
        <v>4</v>
      </c>
      <c r="L1498" t="s">
        <v>44</v>
      </c>
      <c r="M1498">
        <v>2.4</v>
      </c>
      <c r="N1498" t="s">
        <v>45</v>
      </c>
      <c r="Q1498" t="s">
        <v>62</v>
      </c>
      <c r="R1498" t="s">
        <v>63</v>
      </c>
      <c r="S1498" t="s">
        <v>101</v>
      </c>
      <c r="U1498" t="s">
        <v>50</v>
      </c>
      <c r="W1498" t="s">
        <v>479</v>
      </c>
      <c r="X1498" t="s">
        <v>65</v>
      </c>
      <c r="Y1498" t="s">
        <v>103</v>
      </c>
      <c r="AA1498">
        <v>0</v>
      </c>
      <c r="AB1498" t="s">
        <v>79</v>
      </c>
      <c r="AC1498" t="s">
        <v>87</v>
      </c>
      <c r="AD1498">
        <v>36</v>
      </c>
      <c r="AE1498">
        <v>9</v>
      </c>
      <c r="AF1498">
        <v>3</v>
      </c>
      <c r="AG1498">
        <v>2025</v>
      </c>
      <c r="AH1498" s="2">
        <v>1300</v>
      </c>
      <c r="AI1498" s="2">
        <v>3289.682373046875</v>
      </c>
      <c r="AJ1498" s="2">
        <f t="shared" si="186"/>
        <v>1989.682373046875</v>
      </c>
      <c r="AK1498" s="6">
        <f t="shared" si="187"/>
        <v>1.5305249023437499</v>
      </c>
      <c r="AL1498" s="12">
        <v>1300</v>
      </c>
      <c r="AM1498" s="12">
        <v>2808.685740352777</v>
      </c>
      <c r="AN1498" s="12">
        <f t="shared" si="188"/>
        <v>1508.685740352777</v>
      </c>
      <c r="AO1498" s="13">
        <f t="shared" si="189"/>
        <v>1.1605274925790592</v>
      </c>
      <c r="AP1498" s="16">
        <v>1300</v>
      </c>
      <c r="AQ1498" s="16">
        <v>2221.4858404974152</v>
      </c>
      <c r="AR1498" s="16">
        <f t="shared" si="190"/>
        <v>921.48584049741521</v>
      </c>
      <c r="AS1498" s="17">
        <f t="shared" si="184"/>
        <v>0.70883526192108859</v>
      </c>
      <c r="AT1498" s="20">
        <v>1300</v>
      </c>
      <c r="AU1498" s="20">
        <v>3265.90869140625</v>
      </c>
      <c r="AV1498" s="20">
        <f t="shared" si="185"/>
        <v>1965.90869140625</v>
      </c>
      <c r="AW1498" s="21">
        <f t="shared" si="191"/>
        <v>1.5122374549278845</v>
      </c>
    </row>
    <row r="1499" spans="1:49" x14ac:dyDescent="0.25">
      <c r="A1499" t="s">
        <v>128</v>
      </c>
      <c r="B1499" t="s">
        <v>210</v>
      </c>
      <c r="C1499">
        <v>113949</v>
      </c>
      <c r="D1499">
        <v>2017</v>
      </c>
      <c r="E1499" t="s">
        <v>69</v>
      </c>
      <c r="F1499" t="s">
        <v>157</v>
      </c>
      <c r="G1499" t="s">
        <v>112</v>
      </c>
      <c r="I1499">
        <v>6</v>
      </c>
      <c r="J1499" t="s">
        <v>72</v>
      </c>
      <c r="K1499">
        <v>4</v>
      </c>
      <c r="L1499" t="s">
        <v>44</v>
      </c>
      <c r="M1499">
        <v>3.5</v>
      </c>
      <c r="N1499" t="s">
        <v>45</v>
      </c>
      <c r="O1499" t="s">
        <v>46</v>
      </c>
      <c r="Q1499" t="s">
        <v>62</v>
      </c>
      <c r="R1499" t="s">
        <v>63</v>
      </c>
      <c r="S1499" t="s">
        <v>101</v>
      </c>
      <c r="T1499">
        <v>290</v>
      </c>
      <c r="U1499" t="s">
        <v>50</v>
      </c>
      <c r="V1499" t="s">
        <v>76</v>
      </c>
      <c r="W1499" t="s">
        <v>609</v>
      </c>
      <c r="X1499" t="s">
        <v>94</v>
      </c>
      <c r="Y1499" t="s">
        <v>78</v>
      </c>
      <c r="Z1499">
        <v>31660</v>
      </c>
      <c r="AA1499">
        <v>0</v>
      </c>
      <c r="AB1499" t="s">
        <v>79</v>
      </c>
      <c r="AC1499" t="s">
        <v>109</v>
      </c>
      <c r="AD1499">
        <v>36</v>
      </c>
      <c r="AE1499">
        <v>9</v>
      </c>
      <c r="AF1499">
        <v>3</v>
      </c>
      <c r="AG1499">
        <v>2025</v>
      </c>
      <c r="AH1499" s="2">
        <v>7000</v>
      </c>
      <c r="AI1499" s="2">
        <v>8502.1103515625</v>
      </c>
      <c r="AJ1499" s="2">
        <f t="shared" si="186"/>
        <v>1502.1103515625</v>
      </c>
      <c r="AK1499" s="6">
        <f t="shared" si="187"/>
        <v>0.21458719308035715</v>
      </c>
      <c r="AL1499" s="12">
        <v>7000</v>
      </c>
      <c r="AM1499" s="12">
        <v>8814.6824210494869</v>
      </c>
      <c r="AN1499" s="12">
        <f t="shared" si="188"/>
        <v>1814.6824210494869</v>
      </c>
      <c r="AO1499" s="13">
        <f t="shared" si="189"/>
        <v>0.25924034586421241</v>
      </c>
      <c r="AP1499" s="16">
        <v>7000</v>
      </c>
      <c r="AQ1499" s="16">
        <v>7001.2218278894834</v>
      </c>
      <c r="AR1499" s="16">
        <f t="shared" si="190"/>
        <v>1.2218278894833929</v>
      </c>
      <c r="AS1499" s="17">
        <f t="shared" si="184"/>
        <v>1.7454684135477042E-4</v>
      </c>
      <c r="AT1499" s="20">
        <v>7000</v>
      </c>
      <c r="AU1499" s="20">
        <v>8779.29296875</v>
      </c>
      <c r="AV1499" s="20">
        <f t="shared" si="185"/>
        <v>1779.29296875</v>
      </c>
      <c r="AW1499" s="21">
        <f t="shared" si="191"/>
        <v>0.25418470982142854</v>
      </c>
    </row>
    <row r="1500" spans="1:49" x14ac:dyDescent="0.25">
      <c r="A1500" t="s">
        <v>38</v>
      </c>
      <c r="B1500" t="s">
        <v>39</v>
      </c>
      <c r="C1500">
        <v>119295</v>
      </c>
      <c r="D1500">
        <v>2018</v>
      </c>
      <c r="E1500" t="s">
        <v>69</v>
      </c>
      <c r="F1500" t="s">
        <v>250</v>
      </c>
      <c r="H1500" t="s">
        <v>224</v>
      </c>
      <c r="I1500">
        <v>4</v>
      </c>
      <c r="J1500" t="s">
        <v>178</v>
      </c>
      <c r="K1500">
        <v>4</v>
      </c>
      <c r="L1500" t="s">
        <v>44</v>
      </c>
      <c r="M1500">
        <v>1.5</v>
      </c>
      <c r="N1500" t="s">
        <v>45</v>
      </c>
      <c r="O1500" t="s">
        <v>46</v>
      </c>
      <c r="P1500">
        <v>2</v>
      </c>
      <c r="Q1500" t="s">
        <v>62</v>
      </c>
      <c r="R1500" t="s">
        <v>63</v>
      </c>
      <c r="S1500" t="s">
        <v>49</v>
      </c>
      <c r="T1500">
        <v>170</v>
      </c>
      <c r="U1500" t="s">
        <v>50</v>
      </c>
      <c r="V1500" t="s">
        <v>51</v>
      </c>
      <c r="W1500" t="s">
        <v>598</v>
      </c>
      <c r="X1500" t="s">
        <v>65</v>
      </c>
      <c r="Y1500" t="s">
        <v>78</v>
      </c>
      <c r="Z1500">
        <v>25700</v>
      </c>
      <c r="AA1500">
        <v>0</v>
      </c>
      <c r="AB1500" t="s">
        <v>79</v>
      </c>
      <c r="AC1500" t="s">
        <v>87</v>
      </c>
      <c r="AD1500">
        <v>36</v>
      </c>
      <c r="AE1500">
        <v>9</v>
      </c>
      <c r="AF1500">
        <v>3</v>
      </c>
      <c r="AG1500">
        <v>2025</v>
      </c>
      <c r="AH1500" s="2">
        <v>3600</v>
      </c>
      <c r="AI1500" s="2">
        <v>3550.929443359375</v>
      </c>
      <c r="AJ1500" s="2">
        <f t="shared" si="186"/>
        <v>49.070556640625</v>
      </c>
      <c r="AK1500" s="6">
        <f t="shared" si="187"/>
        <v>1.3630710177951389E-2</v>
      </c>
      <c r="AL1500" s="12">
        <v>3600</v>
      </c>
      <c r="AM1500" s="12">
        <v>3787.4960042922821</v>
      </c>
      <c r="AN1500" s="12">
        <f t="shared" si="188"/>
        <v>187.49600429228212</v>
      </c>
      <c r="AO1500" s="13">
        <f t="shared" si="189"/>
        <v>5.2082223414522809E-2</v>
      </c>
      <c r="AP1500" s="16">
        <v>3600</v>
      </c>
      <c r="AQ1500" s="16">
        <v>3056.7511843167108</v>
      </c>
      <c r="AR1500" s="16">
        <f t="shared" si="190"/>
        <v>543.24881568328919</v>
      </c>
      <c r="AS1500" s="17">
        <f t="shared" si="184"/>
        <v>0.15090244880091366</v>
      </c>
      <c r="AT1500" s="20">
        <v>3600</v>
      </c>
      <c r="AU1500" s="20">
        <v>3607.339111328125</v>
      </c>
      <c r="AV1500" s="20">
        <f t="shared" si="185"/>
        <v>7.339111328125</v>
      </c>
      <c r="AW1500" s="21">
        <f t="shared" si="191"/>
        <v>2.0386420355902779E-3</v>
      </c>
    </row>
    <row r="1501" spans="1:49" x14ac:dyDescent="0.25">
      <c r="A1501" t="s">
        <v>128</v>
      </c>
      <c r="B1501" t="s">
        <v>129</v>
      </c>
      <c r="C1501">
        <v>200125</v>
      </c>
      <c r="D1501">
        <v>2010</v>
      </c>
      <c r="E1501" t="s">
        <v>69</v>
      </c>
      <c r="F1501" t="s">
        <v>231</v>
      </c>
      <c r="G1501" t="s">
        <v>831</v>
      </c>
      <c r="H1501" t="s">
        <v>832</v>
      </c>
      <c r="I1501">
        <v>8</v>
      </c>
      <c r="J1501" t="s">
        <v>135</v>
      </c>
      <c r="K1501">
        <v>4</v>
      </c>
      <c r="L1501" t="s">
        <v>44</v>
      </c>
      <c r="M1501">
        <v>5.4</v>
      </c>
      <c r="N1501" t="s">
        <v>91</v>
      </c>
      <c r="Q1501" t="s">
        <v>74</v>
      </c>
      <c r="R1501" t="s">
        <v>92</v>
      </c>
      <c r="S1501" t="s">
        <v>93</v>
      </c>
      <c r="T1501">
        <v>310</v>
      </c>
      <c r="U1501" t="s">
        <v>50</v>
      </c>
      <c r="V1501" t="s">
        <v>76</v>
      </c>
      <c r="W1501" t="s">
        <v>625</v>
      </c>
      <c r="X1501" t="s">
        <v>108</v>
      </c>
      <c r="Y1501" t="s">
        <v>78</v>
      </c>
      <c r="AA1501">
        <v>0</v>
      </c>
      <c r="AB1501" t="s">
        <v>79</v>
      </c>
      <c r="AC1501" t="s">
        <v>95</v>
      </c>
      <c r="AD1501">
        <v>36</v>
      </c>
      <c r="AE1501">
        <v>9</v>
      </c>
      <c r="AF1501">
        <v>3</v>
      </c>
      <c r="AG1501">
        <v>2025</v>
      </c>
      <c r="AH1501" s="2">
        <v>6000</v>
      </c>
      <c r="AI1501" s="2">
        <v>3427.304443359375</v>
      </c>
      <c r="AJ1501" s="2">
        <f t="shared" si="186"/>
        <v>2572.695556640625</v>
      </c>
      <c r="AK1501" s="6">
        <f t="shared" si="187"/>
        <v>0.4287825927734375</v>
      </c>
      <c r="AL1501" s="12">
        <v>6000</v>
      </c>
      <c r="AM1501" s="12">
        <v>3172.3597847001261</v>
      </c>
      <c r="AN1501" s="12">
        <f t="shared" si="188"/>
        <v>2827.6402152998739</v>
      </c>
      <c r="AO1501" s="13">
        <f t="shared" si="189"/>
        <v>0.47127336921664564</v>
      </c>
      <c r="AP1501" s="16">
        <v>6000</v>
      </c>
      <c r="AQ1501" s="16">
        <v>3055.859496224698</v>
      </c>
      <c r="AR1501" s="16">
        <f t="shared" si="190"/>
        <v>2944.140503775302</v>
      </c>
      <c r="AS1501" s="17">
        <f t="shared" si="184"/>
        <v>0.49069008396255032</v>
      </c>
      <c r="AT1501" s="20">
        <v>6000</v>
      </c>
      <c r="AU1501" s="20">
        <v>3472.492919921875</v>
      </c>
      <c r="AV1501" s="20">
        <f t="shared" si="185"/>
        <v>2527.507080078125</v>
      </c>
      <c r="AW1501" s="21">
        <f t="shared" si="191"/>
        <v>0.42125118001302081</v>
      </c>
    </row>
    <row r="1502" spans="1:49" x14ac:dyDescent="0.25">
      <c r="A1502" t="s">
        <v>81</v>
      </c>
      <c r="B1502" t="s">
        <v>170</v>
      </c>
      <c r="C1502">
        <v>33045</v>
      </c>
      <c r="D1502">
        <v>2021</v>
      </c>
      <c r="E1502" t="s">
        <v>142</v>
      </c>
      <c r="F1502" t="s">
        <v>633</v>
      </c>
      <c r="G1502" t="s">
        <v>820</v>
      </c>
      <c r="I1502">
        <v>6</v>
      </c>
      <c r="J1502" t="s">
        <v>61</v>
      </c>
      <c r="K1502">
        <v>4</v>
      </c>
      <c r="L1502" t="s">
        <v>44</v>
      </c>
      <c r="M1502">
        <v>3.6</v>
      </c>
      <c r="N1502" t="s">
        <v>91</v>
      </c>
      <c r="O1502" t="s">
        <v>46</v>
      </c>
      <c r="Q1502" t="s">
        <v>62</v>
      </c>
      <c r="R1502" t="s">
        <v>63</v>
      </c>
      <c r="S1502" t="s">
        <v>93</v>
      </c>
      <c r="T1502">
        <v>285</v>
      </c>
      <c r="U1502" t="s">
        <v>50</v>
      </c>
      <c r="V1502" t="s">
        <v>76</v>
      </c>
      <c r="X1502" t="s">
        <v>141</v>
      </c>
      <c r="Y1502" t="s">
        <v>78</v>
      </c>
      <c r="AA1502">
        <v>0</v>
      </c>
      <c r="AB1502" t="s">
        <v>79</v>
      </c>
      <c r="AC1502" t="s">
        <v>87</v>
      </c>
      <c r="AD1502">
        <v>36</v>
      </c>
      <c r="AE1502">
        <v>9</v>
      </c>
      <c r="AF1502">
        <v>3</v>
      </c>
      <c r="AG1502">
        <v>2025</v>
      </c>
      <c r="AH1502" s="2">
        <v>26700</v>
      </c>
      <c r="AI1502" s="2">
        <v>30064.779296875</v>
      </c>
      <c r="AJ1502" s="2">
        <f t="shared" si="186"/>
        <v>3364.779296875</v>
      </c>
      <c r="AK1502" s="6">
        <f t="shared" si="187"/>
        <v>0.12602169651217229</v>
      </c>
      <c r="AL1502" s="12">
        <v>26700</v>
      </c>
      <c r="AM1502" s="12">
        <v>32927.279737267752</v>
      </c>
      <c r="AN1502" s="12">
        <f t="shared" si="188"/>
        <v>6227.2797372677524</v>
      </c>
      <c r="AO1502" s="13">
        <f t="shared" si="189"/>
        <v>0.23323145083399821</v>
      </c>
      <c r="AP1502" s="16">
        <v>26700</v>
      </c>
      <c r="AQ1502" s="16">
        <v>30155.738950221999</v>
      </c>
      <c r="AR1502" s="16">
        <f t="shared" si="190"/>
        <v>3455.7389502219994</v>
      </c>
      <c r="AS1502" s="17">
        <f t="shared" si="184"/>
        <v>0.12942842510194755</v>
      </c>
      <c r="AT1502" s="20">
        <v>26700</v>
      </c>
      <c r="AU1502" s="20">
        <v>30023.17578125</v>
      </c>
      <c r="AV1502" s="20">
        <f t="shared" si="185"/>
        <v>3323.17578125</v>
      </c>
      <c r="AW1502" s="21">
        <f t="shared" si="191"/>
        <v>0.12446351240636704</v>
      </c>
    </row>
    <row r="1503" spans="1:49" x14ac:dyDescent="0.25">
      <c r="A1503" t="s">
        <v>38</v>
      </c>
      <c r="B1503" t="s">
        <v>39</v>
      </c>
      <c r="C1503">
        <v>73982</v>
      </c>
      <c r="D1503">
        <v>2020</v>
      </c>
      <c r="E1503" t="s">
        <v>116</v>
      </c>
      <c r="F1503" t="s">
        <v>194</v>
      </c>
      <c r="H1503" t="s">
        <v>396</v>
      </c>
      <c r="I1503">
        <v>6</v>
      </c>
      <c r="J1503" t="s">
        <v>72</v>
      </c>
      <c r="K1503">
        <v>2</v>
      </c>
      <c r="L1503" t="s">
        <v>44</v>
      </c>
      <c r="M1503">
        <v>3.6</v>
      </c>
      <c r="N1503" t="s">
        <v>73</v>
      </c>
      <c r="O1503" t="s">
        <v>46</v>
      </c>
      <c r="Q1503" t="s">
        <v>47</v>
      </c>
      <c r="R1503" t="s">
        <v>123</v>
      </c>
      <c r="S1503" t="s">
        <v>179</v>
      </c>
      <c r="T1503">
        <v>305</v>
      </c>
      <c r="U1503" t="s">
        <v>50</v>
      </c>
      <c r="V1503" t="s">
        <v>76</v>
      </c>
      <c r="X1503" t="s">
        <v>125</v>
      </c>
      <c r="Y1503" t="s">
        <v>103</v>
      </c>
      <c r="Z1503">
        <v>28095</v>
      </c>
      <c r="AA1503">
        <v>0</v>
      </c>
      <c r="AB1503" t="s">
        <v>79</v>
      </c>
      <c r="AC1503" t="s">
        <v>127</v>
      </c>
      <c r="AD1503">
        <v>36</v>
      </c>
      <c r="AE1503">
        <v>9</v>
      </c>
      <c r="AF1503">
        <v>3</v>
      </c>
      <c r="AG1503">
        <v>2025</v>
      </c>
      <c r="AH1503" s="2">
        <v>15000</v>
      </c>
      <c r="AI1503" s="2">
        <v>15131.24609375</v>
      </c>
      <c r="AJ1503" s="2">
        <f t="shared" si="186"/>
        <v>131.24609375</v>
      </c>
      <c r="AK1503" s="6">
        <f t="shared" si="187"/>
        <v>8.7497395833333342E-3</v>
      </c>
      <c r="AL1503" s="12">
        <v>15000</v>
      </c>
      <c r="AM1503" s="12">
        <v>16385.38417724154</v>
      </c>
      <c r="AN1503" s="12">
        <f t="shared" si="188"/>
        <v>1385.3841772415399</v>
      </c>
      <c r="AO1503" s="13">
        <f t="shared" si="189"/>
        <v>9.2358945149435989E-2</v>
      </c>
      <c r="AP1503" s="16">
        <v>15000</v>
      </c>
      <c r="AQ1503" s="16">
        <v>15290.077354860139</v>
      </c>
      <c r="AR1503" s="16">
        <f t="shared" si="190"/>
        <v>290.07735486013917</v>
      </c>
      <c r="AS1503" s="17">
        <f t="shared" si="184"/>
        <v>1.9338490324009278E-2</v>
      </c>
      <c r="AT1503" s="20">
        <v>15000</v>
      </c>
      <c r="AU1503" s="20">
        <v>15380.263671875</v>
      </c>
      <c r="AV1503" s="20">
        <f t="shared" si="185"/>
        <v>380.263671875</v>
      </c>
      <c r="AW1503" s="21">
        <f t="shared" si="191"/>
        <v>2.5350911458333333E-2</v>
      </c>
    </row>
    <row r="1504" spans="1:49" x14ac:dyDescent="0.25">
      <c r="A1504" t="s">
        <v>38</v>
      </c>
      <c r="B1504" t="s">
        <v>68</v>
      </c>
      <c r="C1504">
        <v>262194</v>
      </c>
      <c r="D1504">
        <v>2004</v>
      </c>
      <c r="E1504" t="s">
        <v>40</v>
      </c>
      <c r="F1504" t="s">
        <v>201</v>
      </c>
      <c r="H1504" t="s">
        <v>376</v>
      </c>
      <c r="I1504">
        <v>4</v>
      </c>
      <c r="J1504" t="s">
        <v>61</v>
      </c>
      <c r="K1504">
        <v>4</v>
      </c>
      <c r="L1504" t="s">
        <v>44</v>
      </c>
      <c r="M1504">
        <v>1.8</v>
      </c>
      <c r="N1504" t="s">
        <v>45</v>
      </c>
      <c r="O1504" t="s">
        <v>46</v>
      </c>
      <c r="Q1504" t="s">
        <v>47</v>
      </c>
      <c r="R1504" t="s">
        <v>123</v>
      </c>
      <c r="S1504" t="s">
        <v>49</v>
      </c>
      <c r="U1504" t="s">
        <v>50</v>
      </c>
      <c r="V1504" t="s">
        <v>51</v>
      </c>
      <c r="W1504" t="s">
        <v>377</v>
      </c>
      <c r="X1504" t="s">
        <v>125</v>
      </c>
      <c r="Y1504" t="s">
        <v>78</v>
      </c>
      <c r="AA1504">
        <v>0</v>
      </c>
      <c r="AB1504" t="s">
        <v>79</v>
      </c>
      <c r="AC1504" t="s">
        <v>127</v>
      </c>
      <c r="AD1504">
        <v>36</v>
      </c>
      <c r="AE1504">
        <v>9</v>
      </c>
      <c r="AF1504">
        <v>3</v>
      </c>
      <c r="AG1504">
        <v>2025</v>
      </c>
      <c r="AH1504" s="2">
        <v>600</v>
      </c>
      <c r="AI1504" s="2">
        <v>951.56109619140625</v>
      </c>
      <c r="AJ1504" s="2">
        <f t="shared" si="186"/>
        <v>351.56109619140625</v>
      </c>
      <c r="AK1504" s="6">
        <f t="shared" si="187"/>
        <v>0.58593516031901038</v>
      </c>
      <c r="AL1504" s="12">
        <v>600</v>
      </c>
      <c r="AM1504" s="12">
        <v>847.25578009508718</v>
      </c>
      <c r="AN1504" s="12">
        <f t="shared" si="188"/>
        <v>247.25578009508718</v>
      </c>
      <c r="AO1504" s="13">
        <f t="shared" si="189"/>
        <v>0.41209296682514529</v>
      </c>
      <c r="AP1504" s="16">
        <v>600</v>
      </c>
      <c r="AQ1504" s="16">
        <v>745.69424655335581</v>
      </c>
      <c r="AR1504" s="16">
        <f t="shared" si="190"/>
        <v>145.69424655335581</v>
      </c>
      <c r="AS1504" s="17">
        <f t="shared" si="184"/>
        <v>0.24282374425559303</v>
      </c>
      <c r="AT1504" s="20">
        <v>600</v>
      </c>
      <c r="AU1504" s="20">
        <v>890.08978271484375</v>
      </c>
      <c r="AV1504" s="20">
        <f t="shared" si="185"/>
        <v>290.08978271484375</v>
      </c>
      <c r="AW1504" s="21">
        <f t="shared" si="191"/>
        <v>0.48348297119140626</v>
      </c>
    </row>
    <row r="1505" spans="1:49" x14ac:dyDescent="0.25">
      <c r="A1505" t="s">
        <v>114</v>
      </c>
      <c r="B1505" t="s">
        <v>596</v>
      </c>
      <c r="C1505">
        <v>2579</v>
      </c>
      <c r="D1505">
        <v>2024</v>
      </c>
      <c r="E1505" t="s">
        <v>403</v>
      </c>
      <c r="F1505" t="s">
        <v>1415</v>
      </c>
      <c r="G1505" t="s">
        <v>1416</v>
      </c>
      <c r="J1505" t="s">
        <v>122</v>
      </c>
      <c r="K1505">
        <v>4</v>
      </c>
      <c r="L1505" t="s">
        <v>44</v>
      </c>
      <c r="N1505" t="s">
        <v>44</v>
      </c>
      <c r="O1505" t="s">
        <v>46</v>
      </c>
      <c r="P1505">
        <v>4</v>
      </c>
      <c r="Q1505" t="s">
        <v>62</v>
      </c>
      <c r="R1505" t="s">
        <v>63</v>
      </c>
      <c r="S1505" t="s">
        <v>85</v>
      </c>
      <c r="U1505" t="s">
        <v>601</v>
      </c>
      <c r="W1505" t="s">
        <v>1417</v>
      </c>
      <c r="X1505" t="s">
        <v>94</v>
      </c>
      <c r="Y1505" t="s">
        <v>78</v>
      </c>
      <c r="AA1505">
        <v>1</v>
      </c>
      <c r="AB1505" t="s">
        <v>603</v>
      </c>
      <c r="AC1505" t="s">
        <v>67</v>
      </c>
      <c r="AD1505">
        <v>36</v>
      </c>
      <c r="AE1505">
        <v>9</v>
      </c>
      <c r="AF1505">
        <v>3</v>
      </c>
      <c r="AG1505">
        <v>2025</v>
      </c>
      <c r="AH1505" s="2">
        <v>34200</v>
      </c>
      <c r="AI1505" s="2">
        <v>42507.05078125</v>
      </c>
      <c r="AJ1505" s="2">
        <f t="shared" si="186"/>
        <v>8307.05078125</v>
      </c>
      <c r="AK1505" s="6">
        <f t="shared" si="187"/>
        <v>0.24289622167397662</v>
      </c>
      <c r="AL1505" s="12">
        <v>34200</v>
      </c>
      <c r="AM1505" s="12">
        <v>40240.709463919113</v>
      </c>
      <c r="AN1505" s="12">
        <f t="shared" si="188"/>
        <v>6040.7094639191127</v>
      </c>
      <c r="AO1505" s="13">
        <f t="shared" si="189"/>
        <v>0.1766289316935413</v>
      </c>
      <c r="AP1505" s="16">
        <v>34200</v>
      </c>
      <c r="AQ1505" s="16">
        <v>43384.123419665753</v>
      </c>
      <c r="AR1505" s="16">
        <f t="shared" si="190"/>
        <v>9184.1234196657533</v>
      </c>
      <c r="AS1505" s="17">
        <f t="shared" si="184"/>
        <v>0.26854162045806296</v>
      </c>
      <c r="AT1505" s="20">
        <v>34200</v>
      </c>
      <c r="AU1505" s="20">
        <v>42858.8359375</v>
      </c>
      <c r="AV1505" s="20">
        <f t="shared" si="185"/>
        <v>8658.8359375</v>
      </c>
      <c r="AW1505" s="21">
        <f t="shared" si="191"/>
        <v>0.25318233735380119</v>
      </c>
    </row>
    <row r="1506" spans="1:49" x14ac:dyDescent="0.25">
      <c r="A1506" t="s">
        <v>38</v>
      </c>
      <c r="B1506" t="s">
        <v>110</v>
      </c>
      <c r="C1506">
        <v>115970</v>
      </c>
      <c r="D1506">
        <v>2014</v>
      </c>
      <c r="E1506" t="s">
        <v>142</v>
      </c>
      <c r="F1506" t="s">
        <v>373</v>
      </c>
      <c r="G1506" t="s">
        <v>1418</v>
      </c>
      <c r="I1506">
        <v>6</v>
      </c>
      <c r="J1506" t="s">
        <v>61</v>
      </c>
      <c r="K1506">
        <v>4</v>
      </c>
      <c r="L1506" t="s">
        <v>44</v>
      </c>
      <c r="M1506">
        <v>3.6</v>
      </c>
      <c r="N1506" t="s">
        <v>91</v>
      </c>
      <c r="Q1506" t="s">
        <v>62</v>
      </c>
      <c r="R1506" t="s">
        <v>63</v>
      </c>
      <c r="S1506" t="s">
        <v>93</v>
      </c>
      <c r="U1506" t="s">
        <v>50</v>
      </c>
      <c r="X1506" t="s">
        <v>94</v>
      </c>
      <c r="Y1506" t="s">
        <v>78</v>
      </c>
      <c r="AA1506">
        <v>0</v>
      </c>
      <c r="AB1506" t="s">
        <v>79</v>
      </c>
      <c r="AC1506" t="s">
        <v>87</v>
      </c>
      <c r="AD1506">
        <v>36</v>
      </c>
      <c r="AE1506">
        <v>9</v>
      </c>
      <c r="AF1506">
        <v>3</v>
      </c>
      <c r="AG1506">
        <v>2025</v>
      </c>
      <c r="AH1506" s="2">
        <v>5000</v>
      </c>
      <c r="AI1506" s="2">
        <v>6865.83984375</v>
      </c>
      <c r="AJ1506" s="2">
        <f t="shared" si="186"/>
        <v>1865.83984375</v>
      </c>
      <c r="AK1506" s="6">
        <f t="shared" si="187"/>
        <v>0.37316796875000002</v>
      </c>
      <c r="AL1506" s="12">
        <v>5000</v>
      </c>
      <c r="AM1506" s="12">
        <v>5750.7344535775583</v>
      </c>
      <c r="AN1506" s="12">
        <f t="shared" si="188"/>
        <v>750.73445357755827</v>
      </c>
      <c r="AO1506" s="13">
        <f t="shared" si="189"/>
        <v>0.15014689071551166</v>
      </c>
      <c r="AP1506" s="16">
        <v>5000</v>
      </c>
      <c r="AQ1506" s="16">
        <v>7113.8423184222102</v>
      </c>
      <c r="AR1506" s="16">
        <f t="shared" si="190"/>
        <v>2113.8423184222102</v>
      </c>
      <c r="AS1506" s="17">
        <f t="shared" si="184"/>
        <v>0.42276846368444204</v>
      </c>
      <c r="AT1506" s="20">
        <v>5000</v>
      </c>
      <c r="AU1506" s="20">
        <v>6833.87158203125</v>
      </c>
      <c r="AV1506" s="20">
        <f t="shared" si="185"/>
        <v>1833.87158203125</v>
      </c>
      <c r="AW1506" s="21">
        <f t="shared" si="191"/>
        <v>0.36677431640625002</v>
      </c>
    </row>
    <row r="1507" spans="1:49" x14ac:dyDescent="0.25">
      <c r="A1507" t="s">
        <v>38</v>
      </c>
      <c r="B1507" t="s">
        <v>39</v>
      </c>
      <c r="C1507">
        <v>224848</v>
      </c>
      <c r="D1507">
        <v>2016</v>
      </c>
      <c r="E1507" t="s">
        <v>69</v>
      </c>
      <c r="F1507" t="s">
        <v>157</v>
      </c>
      <c r="G1507" t="s">
        <v>118</v>
      </c>
      <c r="I1507">
        <v>6</v>
      </c>
      <c r="J1507" t="s">
        <v>122</v>
      </c>
      <c r="K1507">
        <v>4</v>
      </c>
      <c r="L1507" t="s">
        <v>44</v>
      </c>
      <c r="M1507">
        <v>3.5</v>
      </c>
      <c r="N1507" t="s">
        <v>45</v>
      </c>
      <c r="O1507" t="s">
        <v>46</v>
      </c>
      <c r="P1507">
        <v>2</v>
      </c>
      <c r="Q1507" t="s">
        <v>62</v>
      </c>
      <c r="R1507" t="s">
        <v>63</v>
      </c>
      <c r="S1507" t="s">
        <v>101</v>
      </c>
      <c r="T1507">
        <v>290</v>
      </c>
      <c r="U1507" t="s">
        <v>50</v>
      </c>
      <c r="V1507" t="s">
        <v>76</v>
      </c>
      <c r="X1507" t="s">
        <v>94</v>
      </c>
      <c r="Y1507" t="s">
        <v>78</v>
      </c>
      <c r="AA1507">
        <v>0</v>
      </c>
      <c r="AB1507" t="s">
        <v>79</v>
      </c>
      <c r="AC1507" t="s">
        <v>87</v>
      </c>
      <c r="AD1507">
        <v>36</v>
      </c>
      <c r="AE1507">
        <v>9</v>
      </c>
      <c r="AF1507">
        <v>3</v>
      </c>
      <c r="AG1507">
        <v>2025</v>
      </c>
      <c r="AH1507" s="2">
        <v>4700</v>
      </c>
      <c r="AI1507" s="2">
        <v>3491.905517578125</v>
      </c>
      <c r="AJ1507" s="2">
        <f t="shared" si="186"/>
        <v>1208.094482421875</v>
      </c>
      <c r="AK1507" s="6">
        <f t="shared" si="187"/>
        <v>0.2570413792386968</v>
      </c>
      <c r="AL1507" s="12">
        <v>4700</v>
      </c>
      <c r="AM1507" s="12">
        <v>2759.1052626130581</v>
      </c>
      <c r="AN1507" s="12">
        <f t="shared" si="188"/>
        <v>1940.8947373869419</v>
      </c>
      <c r="AO1507" s="13">
        <f t="shared" si="189"/>
        <v>0.41295632710360464</v>
      </c>
      <c r="AP1507" s="16">
        <v>4700</v>
      </c>
      <c r="AQ1507" s="16">
        <v>2544.1617423278658</v>
      </c>
      <c r="AR1507" s="16">
        <f t="shared" si="190"/>
        <v>2155.8382576721342</v>
      </c>
      <c r="AS1507" s="17">
        <f t="shared" si="184"/>
        <v>0.45868899099407112</v>
      </c>
      <c r="AT1507" s="20">
        <v>4700</v>
      </c>
      <c r="AU1507" s="20">
        <v>3484.4453125</v>
      </c>
      <c r="AV1507" s="20">
        <f t="shared" si="185"/>
        <v>1215.5546875</v>
      </c>
      <c r="AW1507" s="21">
        <f t="shared" si="191"/>
        <v>0.25862865691489362</v>
      </c>
    </row>
    <row r="1508" spans="1:49" x14ac:dyDescent="0.25">
      <c r="A1508" t="s">
        <v>81</v>
      </c>
      <c r="B1508" t="s">
        <v>304</v>
      </c>
      <c r="C1508">
        <v>19</v>
      </c>
      <c r="D1508">
        <v>2025</v>
      </c>
      <c r="E1508" t="s">
        <v>69</v>
      </c>
      <c r="F1508" t="s">
        <v>310</v>
      </c>
      <c r="G1508" t="s">
        <v>238</v>
      </c>
      <c r="I1508">
        <v>8</v>
      </c>
      <c r="J1508" t="s">
        <v>61</v>
      </c>
      <c r="K1508">
        <v>2</v>
      </c>
      <c r="L1508" t="s">
        <v>44</v>
      </c>
      <c r="M1508">
        <v>5</v>
      </c>
      <c r="N1508" t="s">
        <v>73</v>
      </c>
      <c r="O1508" t="s">
        <v>46</v>
      </c>
      <c r="Q1508" t="s">
        <v>47</v>
      </c>
      <c r="R1508" t="s">
        <v>197</v>
      </c>
      <c r="U1508" t="s">
        <v>50</v>
      </c>
      <c r="V1508" t="s">
        <v>76</v>
      </c>
      <c r="W1508" t="s">
        <v>1419</v>
      </c>
      <c r="Y1508" t="s">
        <v>78</v>
      </c>
      <c r="AA1508">
        <v>0</v>
      </c>
      <c r="AB1508" t="s">
        <v>79</v>
      </c>
      <c r="AC1508" t="s">
        <v>197</v>
      </c>
      <c r="AD1508">
        <v>36</v>
      </c>
      <c r="AE1508">
        <v>9</v>
      </c>
      <c r="AF1508">
        <v>3</v>
      </c>
      <c r="AG1508">
        <v>2025</v>
      </c>
      <c r="AH1508" s="2">
        <v>49200</v>
      </c>
      <c r="AI1508" s="2">
        <v>73580.1640625</v>
      </c>
      <c r="AJ1508" s="2">
        <f t="shared" si="186"/>
        <v>24380.1640625</v>
      </c>
      <c r="AK1508" s="6">
        <f t="shared" si="187"/>
        <v>0.49553178988821139</v>
      </c>
      <c r="AL1508" s="12">
        <v>49200</v>
      </c>
      <c r="AM1508" s="12">
        <v>58019.559627697483</v>
      </c>
      <c r="AN1508" s="12">
        <f t="shared" si="188"/>
        <v>8819.5596276974829</v>
      </c>
      <c r="AO1508" s="13">
        <f t="shared" si="189"/>
        <v>0.17925934202637162</v>
      </c>
      <c r="AP1508" s="16">
        <v>49200</v>
      </c>
      <c r="AQ1508" s="16">
        <v>46864.270756063517</v>
      </c>
      <c r="AR1508" s="16">
        <f t="shared" si="190"/>
        <v>2335.7292439364828</v>
      </c>
      <c r="AS1508" s="17">
        <f t="shared" si="184"/>
        <v>4.747417162472526E-2</v>
      </c>
      <c r="AT1508" s="20">
        <v>49200</v>
      </c>
      <c r="AU1508" s="20">
        <v>75029.921875</v>
      </c>
      <c r="AV1508" s="20">
        <f t="shared" si="185"/>
        <v>25829.921875</v>
      </c>
      <c r="AW1508" s="21">
        <f t="shared" si="191"/>
        <v>0.52499841209349596</v>
      </c>
    </row>
    <row r="1509" spans="1:49" x14ac:dyDescent="0.25">
      <c r="A1509" t="s">
        <v>38</v>
      </c>
      <c r="B1509" t="s">
        <v>39</v>
      </c>
      <c r="C1509">
        <v>223973</v>
      </c>
      <c r="D1509">
        <v>2008</v>
      </c>
      <c r="E1509" t="s">
        <v>481</v>
      </c>
      <c r="F1509" t="s">
        <v>482</v>
      </c>
      <c r="H1509" t="s">
        <v>483</v>
      </c>
      <c r="I1509">
        <v>6</v>
      </c>
      <c r="J1509" t="s">
        <v>178</v>
      </c>
      <c r="K1509">
        <v>4</v>
      </c>
      <c r="L1509" t="s">
        <v>44</v>
      </c>
      <c r="M1509">
        <v>3.5</v>
      </c>
      <c r="N1509" t="s">
        <v>45</v>
      </c>
      <c r="O1509" t="s">
        <v>46</v>
      </c>
      <c r="Q1509" t="s">
        <v>47</v>
      </c>
      <c r="R1509" t="s">
        <v>123</v>
      </c>
      <c r="S1509" t="s">
        <v>101</v>
      </c>
      <c r="T1509">
        <v>263</v>
      </c>
      <c r="U1509" t="s">
        <v>50</v>
      </c>
      <c r="V1509" t="s">
        <v>76</v>
      </c>
      <c r="X1509" t="s">
        <v>125</v>
      </c>
      <c r="Y1509" t="s">
        <v>78</v>
      </c>
      <c r="AA1509">
        <v>0</v>
      </c>
      <c r="AB1509" t="s">
        <v>79</v>
      </c>
      <c r="AC1509" t="s">
        <v>127</v>
      </c>
      <c r="AD1509">
        <v>36</v>
      </c>
      <c r="AE1509">
        <v>9</v>
      </c>
      <c r="AF1509">
        <v>3</v>
      </c>
      <c r="AG1509">
        <v>2025</v>
      </c>
      <c r="AH1509" s="2">
        <v>1100</v>
      </c>
      <c r="AI1509" s="2">
        <v>679.94683837890625</v>
      </c>
      <c r="AJ1509" s="2">
        <f t="shared" si="186"/>
        <v>420.05316162109375</v>
      </c>
      <c r="AK1509" s="6">
        <f t="shared" si="187"/>
        <v>0.38186651056463067</v>
      </c>
      <c r="AL1509" s="12">
        <v>1100</v>
      </c>
      <c r="AM1509" s="12">
        <v>796.56655506740219</v>
      </c>
      <c r="AN1509" s="12">
        <f t="shared" si="188"/>
        <v>303.43344493259781</v>
      </c>
      <c r="AO1509" s="13">
        <f t="shared" si="189"/>
        <v>0.27584858630236164</v>
      </c>
      <c r="AP1509" s="16">
        <v>1100</v>
      </c>
      <c r="AQ1509" s="16">
        <v>733.57342618582379</v>
      </c>
      <c r="AR1509" s="16">
        <f t="shared" si="190"/>
        <v>366.42657381417621</v>
      </c>
      <c r="AS1509" s="17">
        <f t="shared" si="184"/>
        <v>0.33311506710379657</v>
      </c>
      <c r="AT1509" s="20">
        <v>1100</v>
      </c>
      <c r="AU1509" s="20">
        <v>692.68035888671875</v>
      </c>
      <c r="AV1509" s="20">
        <f t="shared" si="185"/>
        <v>407.31964111328125</v>
      </c>
      <c r="AW1509" s="21">
        <f t="shared" si="191"/>
        <v>0.37029058283025568</v>
      </c>
    </row>
    <row r="1510" spans="1:49" x14ac:dyDescent="0.25">
      <c r="A1510" t="s">
        <v>114</v>
      </c>
      <c r="B1510" t="s">
        <v>596</v>
      </c>
      <c r="C1510">
        <v>28684</v>
      </c>
      <c r="D1510">
        <v>2023</v>
      </c>
      <c r="E1510" t="s">
        <v>97</v>
      </c>
      <c r="F1510" t="s">
        <v>159</v>
      </c>
      <c r="G1510" t="s">
        <v>1420</v>
      </c>
      <c r="H1510" t="s">
        <v>89</v>
      </c>
      <c r="I1510">
        <v>4</v>
      </c>
      <c r="J1510" t="s">
        <v>135</v>
      </c>
      <c r="K1510">
        <v>4</v>
      </c>
      <c r="L1510" t="s">
        <v>44</v>
      </c>
      <c r="M1510">
        <v>2.7</v>
      </c>
      <c r="N1510" t="s">
        <v>91</v>
      </c>
      <c r="O1510" t="s">
        <v>46</v>
      </c>
      <c r="P1510">
        <v>4</v>
      </c>
      <c r="Q1510" t="s">
        <v>74</v>
      </c>
      <c r="R1510" t="s">
        <v>92</v>
      </c>
      <c r="S1510" t="s">
        <v>93</v>
      </c>
      <c r="U1510" t="s">
        <v>50</v>
      </c>
      <c r="V1510" t="s">
        <v>51</v>
      </c>
      <c r="W1510" t="s">
        <v>580</v>
      </c>
      <c r="X1510" t="s">
        <v>94</v>
      </c>
      <c r="Y1510" t="s">
        <v>126</v>
      </c>
      <c r="AA1510">
        <v>0</v>
      </c>
      <c r="AB1510" t="s">
        <v>79</v>
      </c>
      <c r="AC1510" t="s">
        <v>95</v>
      </c>
      <c r="AD1510">
        <v>36</v>
      </c>
      <c r="AE1510">
        <v>9</v>
      </c>
      <c r="AF1510">
        <v>3</v>
      </c>
      <c r="AG1510">
        <v>2025</v>
      </c>
      <c r="AH1510" s="2">
        <v>32200</v>
      </c>
      <c r="AI1510" s="2">
        <v>33596.43359375</v>
      </c>
      <c r="AJ1510" s="2">
        <f t="shared" si="186"/>
        <v>1396.43359375</v>
      </c>
      <c r="AK1510" s="6">
        <f t="shared" si="187"/>
        <v>4.3367502911490684E-2</v>
      </c>
      <c r="AL1510" s="12">
        <v>32200</v>
      </c>
      <c r="AM1510" s="12">
        <v>33446.271476099922</v>
      </c>
      <c r="AN1510" s="12">
        <f t="shared" si="188"/>
        <v>1246.2714760999224</v>
      </c>
      <c r="AO1510" s="13">
        <f t="shared" si="189"/>
        <v>3.8704083108693242E-2</v>
      </c>
      <c r="AP1510" s="16">
        <v>32200</v>
      </c>
      <c r="AQ1510" s="16">
        <v>33692.537392999518</v>
      </c>
      <c r="AR1510" s="16">
        <f t="shared" si="190"/>
        <v>1492.5373929995185</v>
      </c>
      <c r="AS1510" s="17">
        <f t="shared" si="184"/>
        <v>4.6352092950295604E-2</v>
      </c>
      <c r="AT1510" s="20">
        <v>32200</v>
      </c>
      <c r="AU1510" s="20">
        <v>33308.28125</v>
      </c>
      <c r="AV1510" s="20">
        <f t="shared" si="185"/>
        <v>1108.28125</v>
      </c>
      <c r="AW1510" s="21">
        <f t="shared" si="191"/>
        <v>3.4418672360248447E-2</v>
      </c>
    </row>
    <row r="1511" spans="1:49" x14ac:dyDescent="0.25">
      <c r="A1511" t="s">
        <v>128</v>
      </c>
      <c r="B1511" t="s">
        <v>210</v>
      </c>
      <c r="C1511">
        <v>125547</v>
      </c>
      <c r="D1511">
        <v>2008</v>
      </c>
      <c r="E1511" t="s">
        <v>166</v>
      </c>
      <c r="F1511" t="s">
        <v>167</v>
      </c>
      <c r="G1511" t="s">
        <v>1421</v>
      </c>
      <c r="I1511">
        <v>6</v>
      </c>
      <c r="J1511" t="s">
        <v>599</v>
      </c>
      <c r="K1511">
        <v>4</v>
      </c>
      <c r="L1511" t="s">
        <v>44</v>
      </c>
      <c r="M1511">
        <v>3.5</v>
      </c>
      <c r="N1511" t="s">
        <v>91</v>
      </c>
      <c r="O1511" t="s">
        <v>46</v>
      </c>
      <c r="Q1511" t="s">
        <v>62</v>
      </c>
      <c r="R1511" t="s">
        <v>63</v>
      </c>
      <c r="S1511" t="s">
        <v>93</v>
      </c>
      <c r="T1511">
        <v>244</v>
      </c>
      <c r="U1511" t="s">
        <v>50</v>
      </c>
      <c r="V1511" t="s">
        <v>76</v>
      </c>
      <c r="W1511" t="s">
        <v>1319</v>
      </c>
      <c r="X1511" t="s">
        <v>141</v>
      </c>
      <c r="Y1511" t="s">
        <v>78</v>
      </c>
      <c r="AA1511">
        <v>0</v>
      </c>
      <c r="AB1511" t="s">
        <v>79</v>
      </c>
      <c r="AC1511" t="s">
        <v>87</v>
      </c>
      <c r="AD1511">
        <v>36</v>
      </c>
      <c r="AE1511">
        <v>9</v>
      </c>
      <c r="AF1511">
        <v>3</v>
      </c>
      <c r="AG1511">
        <v>2025</v>
      </c>
      <c r="AH1511" s="2">
        <v>850</v>
      </c>
      <c r="AI1511" s="2">
        <v>2862.3779296875</v>
      </c>
      <c r="AJ1511" s="2">
        <f t="shared" si="186"/>
        <v>2012.3779296875</v>
      </c>
      <c r="AK1511" s="6">
        <f t="shared" si="187"/>
        <v>2.3675034466911766</v>
      </c>
      <c r="AL1511" s="12">
        <v>850</v>
      </c>
      <c r="AM1511" s="12">
        <v>3250.2849954075532</v>
      </c>
      <c r="AN1511" s="12">
        <f t="shared" si="188"/>
        <v>2400.2849954075532</v>
      </c>
      <c r="AO1511" s="13">
        <f t="shared" si="189"/>
        <v>2.8238647004794744</v>
      </c>
      <c r="AP1511" s="16">
        <v>850</v>
      </c>
      <c r="AQ1511" s="16">
        <v>2261.3003347149861</v>
      </c>
      <c r="AR1511" s="16">
        <f t="shared" si="190"/>
        <v>1411.3003347149861</v>
      </c>
      <c r="AS1511" s="17">
        <f t="shared" si="184"/>
        <v>1.6603533349588071</v>
      </c>
      <c r="AT1511" s="20">
        <v>850</v>
      </c>
      <c r="AU1511" s="20">
        <v>2898.392822265625</v>
      </c>
      <c r="AV1511" s="20">
        <f t="shared" si="185"/>
        <v>2048.392822265625</v>
      </c>
      <c r="AW1511" s="21">
        <f t="shared" si="191"/>
        <v>2.409873908547794</v>
      </c>
    </row>
    <row r="1512" spans="1:49" x14ac:dyDescent="0.25">
      <c r="A1512" t="s">
        <v>38</v>
      </c>
      <c r="B1512" t="s">
        <v>110</v>
      </c>
      <c r="C1512">
        <v>266780</v>
      </c>
      <c r="D1512">
        <v>2016</v>
      </c>
      <c r="E1512" t="s">
        <v>88</v>
      </c>
      <c r="F1512" t="s">
        <v>89</v>
      </c>
      <c r="G1512" t="s">
        <v>176</v>
      </c>
      <c r="H1512" t="s">
        <v>313</v>
      </c>
      <c r="I1512">
        <v>8</v>
      </c>
      <c r="J1512" t="s">
        <v>43</v>
      </c>
      <c r="K1512">
        <v>4</v>
      </c>
      <c r="L1512" t="s">
        <v>44</v>
      </c>
      <c r="M1512">
        <v>5.7</v>
      </c>
      <c r="N1512" t="s">
        <v>91</v>
      </c>
      <c r="Q1512" t="s">
        <v>74</v>
      </c>
      <c r="R1512" t="s">
        <v>92</v>
      </c>
      <c r="S1512" t="s">
        <v>93</v>
      </c>
      <c r="U1512" t="s">
        <v>50</v>
      </c>
      <c r="X1512" t="s">
        <v>94</v>
      </c>
      <c r="Y1512" t="s">
        <v>78</v>
      </c>
      <c r="AA1512">
        <v>0</v>
      </c>
      <c r="AB1512" t="s">
        <v>79</v>
      </c>
      <c r="AC1512" t="s">
        <v>95</v>
      </c>
      <c r="AD1512">
        <v>36</v>
      </c>
      <c r="AE1512">
        <v>9</v>
      </c>
      <c r="AF1512">
        <v>3</v>
      </c>
      <c r="AG1512">
        <v>2025</v>
      </c>
      <c r="AH1512" s="2">
        <v>3900</v>
      </c>
      <c r="AI1512" s="2">
        <v>5119.07373046875</v>
      </c>
      <c r="AJ1512" s="2">
        <f t="shared" si="186"/>
        <v>1219.07373046875</v>
      </c>
      <c r="AK1512" s="6">
        <f t="shared" si="187"/>
        <v>0.31258300781249998</v>
      </c>
      <c r="AL1512" s="12">
        <v>3900</v>
      </c>
      <c r="AM1512" s="12">
        <v>5215.211275083735</v>
      </c>
      <c r="AN1512" s="12">
        <f t="shared" si="188"/>
        <v>1315.211275083735</v>
      </c>
      <c r="AO1512" s="13">
        <f t="shared" si="189"/>
        <v>0.33723366027788076</v>
      </c>
      <c r="AP1512" s="16">
        <v>3900</v>
      </c>
      <c r="AQ1512" s="16">
        <v>5054.1439587556251</v>
      </c>
      <c r="AR1512" s="16">
        <f t="shared" si="190"/>
        <v>1154.1439587556251</v>
      </c>
      <c r="AS1512" s="17">
        <f t="shared" si="184"/>
        <v>0.29593434839887822</v>
      </c>
      <c r="AT1512" s="20">
        <v>3900</v>
      </c>
      <c r="AU1512" s="20">
        <v>5208.77734375</v>
      </c>
      <c r="AV1512" s="20">
        <f t="shared" si="185"/>
        <v>1308.77734375</v>
      </c>
      <c r="AW1512" s="21">
        <f t="shared" si="191"/>
        <v>0.33558393429487182</v>
      </c>
    </row>
    <row r="1513" spans="1:49" x14ac:dyDescent="0.25">
      <c r="A1513" t="s">
        <v>38</v>
      </c>
      <c r="B1513" t="s">
        <v>110</v>
      </c>
      <c r="C1513">
        <v>63712</v>
      </c>
      <c r="D1513">
        <v>2023</v>
      </c>
      <c r="E1513" t="s">
        <v>345</v>
      </c>
      <c r="F1513" t="s">
        <v>502</v>
      </c>
      <c r="G1513" t="s">
        <v>503</v>
      </c>
      <c r="I1513">
        <v>6</v>
      </c>
      <c r="J1513" t="s">
        <v>61</v>
      </c>
      <c r="K1513">
        <v>4</v>
      </c>
      <c r="L1513" t="s">
        <v>44</v>
      </c>
      <c r="M1513">
        <v>3</v>
      </c>
      <c r="N1513" t="s">
        <v>44</v>
      </c>
      <c r="Q1513" t="s">
        <v>62</v>
      </c>
      <c r="R1513" t="s">
        <v>63</v>
      </c>
      <c r="S1513" t="s">
        <v>85</v>
      </c>
      <c r="T1513">
        <v>335</v>
      </c>
      <c r="U1513" t="s">
        <v>50</v>
      </c>
      <c r="X1513" t="s">
        <v>94</v>
      </c>
      <c r="Y1513" t="s">
        <v>78</v>
      </c>
      <c r="AA1513">
        <v>0</v>
      </c>
      <c r="AB1513" t="s">
        <v>79</v>
      </c>
      <c r="AC1513" t="s">
        <v>87</v>
      </c>
      <c r="AD1513">
        <v>36</v>
      </c>
      <c r="AE1513">
        <v>9</v>
      </c>
      <c r="AF1513">
        <v>3</v>
      </c>
      <c r="AG1513">
        <v>2025</v>
      </c>
      <c r="AH1513" s="2">
        <v>32700</v>
      </c>
      <c r="AI1513" s="2">
        <v>36840.40234375</v>
      </c>
      <c r="AJ1513" s="2">
        <f t="shared" si="186"/>
        <v>4140.40234375</v>
      </c>
      <c r="AK1513" s="6">
        <f t="shared" si="187"/>
        <v>0.12661780867737002</v>
      </c>
      <c r="AL1513" s="12">
        <v>32700</v>
      </c>
      <c r="AM1513" s="12">
        <v>35400.955984939443</v>
      </c>
      <c r="AN1513" s="12">
        <f t="shared" si="188"/>
        <v>2700.9559849394427</v>
      </c>
      <c r="AO1513" s="13">
        <f t="shared" si="189"/>
        <v>8.259804235288816E-2</v>
      </c>
      <c r="AP1513" s="16">
        <v>32700</v>
      </c>
      <c r="AQ1513" s="16">
        <v>32893.883887835873</v>
      </c>
      <c r="AR1513" s="16">
        <f t="shared" si="190"/>
        <v>193.88388783587288</v>
      </c>
      <c r="AS1513" s="17">
        <f t="shared" si="184"/>
        <v>5.9291708818309747E-3</v>
      </c>
      <c r="AT1513" s="20">
        <v>32700</v>
      </c>
      <c r="AU1513" s="20">
        <v>36396.46875</v>
      </c>
      <c r="AV1513" s="20">
        <f t="shared" si="185"/>
        <v>3696.46875</v>
      </c>
      <c r="AW1513" s="21">
        <f t="shared" si="191"/>
        <v>0.11304185779816514</v>
      </c>
    </row>
    <row r="1514" spans="1:49" x14ac:dyDescent="0.25">
      <c r="A1514" t="s">
        <v>38</v>
      </c>
      <c r="B1514" t="s">
        <v>68</v>
      </c>
      <c r="C1514">
        <v>104054</v>
      </c>
      <c r="D1514">
        <v>2014</v>
      </c>
      <c r="E1514" t="s">
        <v>142</v>
      </c>
      <c r="F1514" t="s">
        <v>335</v>
      </c>
      <c r="G1514" t="s">
        <v>336</v>
      </c>
      <c r="I1514">
        <v>4</v>
      </c>
      <c r="J1514" t="s">
        <v>135</v>
      </c>
      <c r="K1514">
        <v>4</v>
      </c>
      <c r="L1514" t="s">
        <v>44</v>
      </c>
      <c r="M1514">
        <v>2.4</v>
      </c>
      <c r="N1514" t="s">
        <v>45</v>
      </c>
      <c r="O1514" t="s">
        <v>46</v>
      </c>
      <c r="P1514">
        <v>3</v>
      </c>
      <c r="Q1514" t="s">
        <v>62</v>
      </c>
      <c r="R1514" t="s">
        <v>63</v>
      </c>
      <c r="S1514" t="s">
        <v>101</v>
      </c>
      <c r="U1514" t="s">
        <v>50</v>
      </c>
      <c r="X1514" t="s">
        <v>65</v>
      </c>
      <c r="Y1514" t="s">
        <v>78</v>
      </c>
      <c r="AA1514">
        <v>0</v>
      </c>
      <c r="AB1514" t="s">
        <v>79</v>
      </c>
      <c r="AC1514" t="s">
        <v>87</v>
      </c>
      <c r="AD1514">
        <v>36</v>
      </c>
      <c r="AE1514">
        <v>9</v>
      </c>
      <c r="AF1514">
        <v>3</v>
      </c>
      <c r="AG1514">
        <v>2025</v>
      </c>
      <c r="AH1514" s="2">
        <v>3600</v>
      </c>
      <c r="AI1514" s="2">
        <v>3359.097412109375</v>
      </c>
      <c r="AJ1514" s="2">
        <f t="shared" si="186"/>
        <v>240.902587890625</v>
      </c>
      <c r="AK1514" s="6">
        <f t="shared" si="187"/>
        <v>6.6917385525173609E-2</v>
      </c>
      <c r="AL1514" s="12">
        <v>3600</v>
      </c>
      <c r="AM1514" s="12">
        <v>3659.138990458086</v>
      </c>
      <c r="AN1514" s="12">
        <f t="shared" si="188"/>
        <v>59.138990458086028</v>
      </c>
      <c r="AO1514" s="13">
        <f t="shared" si="189"/>
        <v>1.6427497349468342E-2</v>
      </c>
      <c r="AP1514" s="16">
        <v>3600</v>
      </c>
      <c r="AQ1514" s="16">
        <v>3048.399333240774</v>
      </c>
      <c r="AR1514" s="16">
        <f t="shared" si="190"/>
        <v>551.60066675922599</v>
      </c>
      <c r="AS1514" s="17">
        <f t="shared" si="184"/>
        <v>0.15322240743311832</v>
      </c>
      <c r="AT1514" s="20">
        <v>3600</v>
      </c>
      <c r="AU1514" s="20">
        <v>3408.686279296875</v>
      </c>
      <c r="AV1514" s="20">
        <f t="shared" si="185"/>
        <v>191.313720703125</v>
      </c>
      <c r="AW1514" s="21">
        <f t="shared" si="191"/>
        <v>5.3142700195312503E-2</v>
      </c>
    </row>
    <row r="1515" spans="1:49" x14ac:dyDescent="0.25">
      <c r="A1515" t="s">
        <v>128</v>
      </c>
      <c r="B1515" t="s">
        <v>271</v>
      </c>
      <c r="C1515">
        <v>278710</v>
      </c>
      <c r="D1515">
        <v>2017</v>
      </c>
      <c r="E1515" t="s">
        <v>69</v>
      </c>
      <c r="F1515" t="s">
        <v>231</v>
      </c>
      <c r="G1515" t="s">
        <v>386</v>
      </c>
      <c r="I1515">
        <v>6</v>
      </c>
      <c r="J1515" t="s">
        <v>106</v>
      </c>
      <c r="K1515">
        <v>4</v>
      </c>
      <c r="L1515" t="s">
        <v>44</v>
      </c>
      <c r="M1515">
        <v>3.5</v>
      </c>
      <c r="N1515" t="s">
        <v>91</v>
      </c>
      <c r="O1515" t="s">
        <v>46</v>
      </c>
      <c r="P1515">
        <v>2</v>
      </c>
      <c r="Q1515" t="s">
        <v>74</v>
      </c>
      <c r="R1515" t="s">
        <v>92</v>
      </c>
      <c r="S1515" t="s">
        <v>93</v>
      </c>
      <c r="T1515">
        <v>282</v>
      </c>
      <c r="U1515" t="s">
        <v>50</v>
      </c>
      <c r="V1515" t="s">
        <v>76</v>
      </c>
      <c r="W1515" t="s">
        <v>609</v>
      </c>
      <c r="X1515" t="s">
        <v>94</v>
      </c>
      <c r="Y1515" t="s">
        <v>78</v>
      </c>
      <c r="Z1515">
        <v>31195</v>
      </c>
      <c r="AA1515">
        <v>0</v>
      </c>
      <c r="AB1515" t="s">
        <v>79</v>
      </c>
      <c r="AC1515" t="s">
        <v>95</v>
      </c>
      <c r="AD1515">
        <v>36</v>
      </c>
      <c r="AE1515">
        <v>9</v>
      </c>
      <c r="AF1515">
        <v>3</v>
      </c>
      <c r="AG1515">
        <v>2025</v>
      </c>
      <c r="AH1515" s="2">
        <v>5000</v>
      </c>
      <c r="AI1515" s="2">
        <v>5182.75341796875</v>
      </c>
      <c r="AJ1515" s="2">
        <f t="shared" si="186"/>
        <v>182.75341796875</v>
      </c>
      <c r="AK1515" s="6">
        <f t="shared" si="187"/>
        <v>3.6550683593750001E-2</v>
      </c>
      <c r="AL1515" s="12">
        <v>5000</v>
      </c>
      <c r="AM1515" s="12">
        <v>4933.4260895018842</v>
      </c>
      <c r="AN1515" s="12">
        <f t="shared" si="188"/>
        <v>66.573910498115765</v>
      </c>
      <c r="AO1515" s="13">
        <f t="shared" si="189"/>
        <v>1.3314782099623152E-2</v>
      </c>
      <c r="AP1515" s="16">
        <v>5000</v>
      </c>
      <c r="AQ1515" s="16">
        <v>4313.8769590346374</v>
      </c>
      <c r="AR1515" s="16">
        <f t="shared" si="190"/>
        <v>686.12304096536263</v>
      </c>
      <c r="AS1515" s="17">
        <f t="shared" si="184"/>
        <v>0.13722460819307253</v>
      </c>
      <c r="AT1515" s="20">
        <v>5000</v>
      </c>
      <c r="AU1515" s="20">
        <v>5223.12109375</v>
      </c>
      <c r="AV1515" s="20">
        <f t="shared" si="185"/>
        <v>223.12109375</v>
      </c>
      <c r="AW1515" s="21">
        <f t="shared" si="191"/>
        <v>4.462421875E-2</v>
      </c>
    </row>
    <row r="1516" spans="1:49" x14ac:dyDescent="0.25">
      <c r="A1516" t="s">
        <v>38</v>
      </c>
      <c r="B1516" t="s">
        <v>39</v>
      </c>
      <c r="C1516">
        <v>198971</v>
      </c>
      <c r="D1516">
        <v>2004</v>
      </c>
      <c r="E1516" t="s">
        <v>116</v>
      </c>
      <c r="F1516" t="s">
        <v>697</v>
      </c>
      <c r="G1516" t="s">
        <v>883</v>
      </c>
      <c r="I1516">
        <v>6</v>
      </c>
      <c r="J1516" t="s">
        <v>72</v>
      </c>
      <c r="K1516">
        <v>4</v>
      </c>
      <c r="L1516" t="s">
        <v>44</v>
      </c>
      <c r="M1516">
        <v>5.9</v>
      </c>
      <c r="N1516" t="s">
        <v>73</v>
      </c>
      <c r="O1516" t="s">
        <v>46</v>
      </c>
      <c r="Q1516" t="s">
        <v>74</v>
      </c>
      <c r="R1516" t="s">
        <v>92</v>
      </c>
      <c r="S1516" t="s">
        <v>49</v>
      </c>
      <c r="U1516" t="s">
        <v>229</v>
      </c>
      <c r="V1516" t="s">
        <v>51</v>
      </c>
      <c r="X1516" t="s">
        <v>230</v>
      </c>
      <c r="Y1516" t="s">
        <v>126</v>
      </c>
      <c r="AA1516">
        <v>0</v>
      </c>
      <c r="AB1516" t="s">
        <v>79</v>
      </c>
      <c r="AC1516" t="s">
        <v>95</v>
      </c>
      <c r="AD1516">
        <v>36</v>
      </c>
      <c r="AE1516">
        <v>9</v>
      </c>
      <c r="AF1516">
        <v>3</v>
      </c>
      <c r="AG1516">
        <v>2025</v>
      </c>
      <c r="AH1516" s="2">
        <v>7700</v>
      </c>
      <c r="AI1516" s="2">
        <v>6695.59716796875</v>
      </c>
      <c r="AJ1516" s="2">
        <f t="shared" si="186"/>
        <v>1004.40283203125</v>
      </c>
      <c r="AK1516" s="6">
        <f t="shared" si="187"/>
        <v>0.13044192623782466</v>
      </c>
      <c r="AL1516" s="12">
        <v>7700</v>
      </c>
      <c r="AM1516" s="12">
        <v>4436.4449181173786</v>
      </c>
      <c r="AN1516" s="12">
        <f t="shared" si="188"/>
        <v>3263.5550818826214</v>
      </c>
      <c r="AO1516" s="13">
        <f t="shared" si="189"/>
        <v>0.42383832232241836</v>
      </c>
      <c r="AP1516" s="16">
        <v>7700</v>
      </c>
      <c r="AQ1516" s="16">
        <v>5232.5622877107471</v>
      </c>
      <c r="AR1516" s="16">
        <f t="shared" si="190"/>
        <v>2467.4377122892529</v>
      </c>
      <c r="AS1516" s="17">
        <f t="shared" si="184"/>
        <v>0.32044645614146139</v>
      </c>
      <c r="AT1516" s="20">
        <v>7700</v>
      </c>
      <c r="AU1516" s="20">
        <v>6465.9189453125</v>
      </c>
      <c r="AV1516" s="20">
        <f t="shared" si="185"/>
        <v>1234.0810546875</v>
      </c>
      <c r="AW1516" s="21">
        <f t="shared" si="191"/>
        <v>0.16027026684253246</v>
      </c>
    </row>
    <row r="1517" spans="1:49" x14ac:dyDescent="0.25">
      <c r="A1517" t="s">
        <v>38</v>
      </c>
      <c r="B1517" t="s">
        <v>39</v>
      </c>
      <c r="C1517">
        <v>172091</v>
      </c>
      <c r="D1517">
        <v>2015</v>
      </c>
      <c r="E1517" t="s">
        <v>146</v>
      </c>
      <c r="F1517" t="s">
        <v>565</v>
      </c>
      <c r="I1517">
        <v>8</v>
      </c>
      <c r="J1517" t="s">
        <v>106</v>
      </c>
      <c r="K1517">
        <v>4</v>
      </c>
      <c r="L1517" t="s">
        <v>44</v>
      </c>
      <c r="M1517">
        <v>5.6</v>
      </c>
      <c r="N1517" t="s">
        <v>73</v>
      </c>
      <c r="O1517" t="s">
        <v>46</v>
      </c>
      <c r="Q1517" t="s">
        <v>74</v>
      </c>
      <c r="R1517" t="s">
        <v>92</v>
      </c>
      <c r="S1517" t="s">
        <v>179</v>
      </c>
      <c r="U1517" t="s">
        <v>180</v>
      </c>
      <c r="X1517" t="s">
        <v>108</v>
      </c>
      <c r="Y1517" t="s">
        <v>78</v>
      </c>
      <c r="AA1517">
        <v>0</v>
      </c>
      <c r="AB1517" t="s">
        <v>79</v>
      </c>
      <c r="AC1517" t="s">
        <v>95</v>
      </c>
      <c r="AD1517">
        <v>36</v>
      </c>
      <c r="AE1517">
        <v>9</v>
      </c>
      <c r="AF1517">
        <v>3</v>
      </c>
      <c r="AG1517">
        <v>2025</v>
      </c>
      <c r="AH1517" s="2">
        <v>9500</v>
      </c>
      <c r="AI1517" s="2">
        <v>5787.384765625</v>
      </c>
      <c r="AJ1517" s="2">
        <f t="shared" si="186"/>
        <v>3712.615234375</v>
      </c>
      <c r="AK1517" s="6">
        <f t="shared" si="187"/>
        <v>0.39080160361842103</v>
      </c>
      <c r="AL1517" s="12">
        <v>9500</v>
      </c>
      <c r="AM1517" s="12">
        <v>6919.8106303702198</v>
      </c>
      <c r="AN1517" s="12">
        <f t="shared" si="188"/>
        <v>2580.1893696297802</v>
      </c>
      <c r="AO1517" s="13">
        <f t="shared" si="189"/>
        <v>0.27159888101366109</v>
      </c>
      <c r="AP1517" s="16">
        <v>9500</v>
      </c>
      <c r="AQ1517" s="16">
        <v>7317.7559462834242</v>
      </c>
      <c r="AR1517" s="16">
        <f t="shared" si="190"/>
        <v>2182.2440537165758</v>
      </c>
      <c r="AS1517" s="17">
        <f t="shared" si="184"/>
        <v>0.2297099003912185</v>
      </c>
      <c r="AT1517" s="20">
        <v>9500</v>
      </c>
      <c r="AU1517" s="20">
        <v>6028.75146484375</v>
      </c>
      <c r="AV1517" s="20">
        <f t="shared" si="185"/>
        <v>3471.24853515625</v>
      </c>
      <c r="AW1517" s="21">
        <f t="shared" si="191"/>
        <v>0.36539458264802632</v>
      </c>
    </row>
    <row r="1518" spans="1:49" x14ac:dyDescent="0.25">
      <c r="A1518" t="s">
        <v>38</v>
      </c>
      <c r="B1518" t="s">
        <v>110</v>
      </c>
      <c r="C1518">
        <v>81418</v>
      </c>
      <c r="D1518">
        <v>2013</v>
      </c>
      <c r="E1518" t="s">
        <v>146</v>
      </c>
      <c r="F1518" t="s">
        <v>153</v>
      </c>
      <c r="I1518">
        <v>6</v>
      </c>
      <c r="J1518" t="s">
        <v>122</v>
      </c>
      <c r="K1518">
        <v>4</v>
      </c>
      <c r="L1518" t="s">
        <v>44</v>
      </c>
      <c r="M1518">
        <v>3.5</v>
      </c>
      <c r="N1518" t="s">
        <v>45</v>
      </c>
      <c r="Q1518" t="s">
        <v>47</v>
      </c>
      <c r="R1518" t="s">
        <v>123</v>
      </c>
      <c r="S1518" t="s">
        <v>49</v>
      </c>
      <c r="U1518" t="s">
        <v>50</v>
      </c>
      <c r="X1518" t="s">
        <v>125</v>
      </c>
      <c r="Y1518" t="s">
        <v>78</v>
      </c>
      <c r="AA1518">
        <v>0</v>
      </c>
      <c r="AB1518" t="s">
        <v>79</v>
      </c>
      <c r="AC1518" t="s">
        <v>127</v>
      </c>
      <c r="AD1518">
        <v>36</v>
      </c>
      <c r="AE1518">
        <v>9</v>
      </c>
      <c r="AF1518">
        <v>3</v>
      </c>
      <c r="AG1518">
        <v>2025</v>
      </c>
      <c r="AH1518" s="2">
        <v>4600</v>
      </c>
      <c r="AI1518" s="2">
        <v>4176.12890625</v>
      </c>
      <c r="AJ1518" s="2">
        <f t="shared" si="186"/>
        <v>423.87109375</v>
      </c>
      <c r="AK1518" s="6">
        <f t="shared" si="187"/>
        <v>9.2145889945652176E-2</v>
      </c>
      <c r="AL1518" s="12">
        <v>4600</v>
      </c>
      <c r="AM1518" s="12">
        <v>3947.7444767565071</v>
      </c>
      <c r="AN1518" s="12">
        <f t="shared" si="188"/>
        <v>652.25552324349292</v>
      </c>
      <c r="AO1518" s="13">
        <f t="shared" si="189"/>
        <v>0.14179467896597672</v>
      </c>
      <c r="AP1518" s="16">
        <v>4600</v>
      </c>
      <c r="AQ1518" s="16">
        <v>3761.0145863431339</v>
      </c>
      <c r="AR1518" s="16">
        <f t="shared" si="190"/>
        <v>838.98541365686606</v>
      </c>
      <c r="AS1518" s="17">
        <f t="shared" si="184"/>
        <v>0.18238813340366652</v>
      </c>
      <c r="AT1518" s="20">
        <v>4600</v>
      </c>
      <c r="AU1518" s="20">
        <v>4220.9404296875</v>
      </c>
      <c r="AV1518" s="20">
        <f t="shared" si="185"/>
        <v>379.0595703125</v>
      </c>
      <c r="AW1518" s="21">
        <f t="shared" si="191"/>
        <v>8.2404254415760866E-2</v>
      </c>
    </row>
    <row r="1519" spans="1:49" x14ac:dyDescent="0.25">
      <c r="A1519" t="s">
        <v>38</v>
      </c>
      <c r="B1519" t="s">
        <v>110</v>
      </c>
      <c r="C1519">
        <v>153464</v>
      </c>
      <c r="D1519">
        <v>2013</v>
      </c>
      <c r="E1519" t="s">
        <v>174</v>
      </c>
      <c r="F1519" t="s">
        <v>175</v>
      </c>
      <c r="G1519" t="s">
        <v>1422</v>
      </c>
      <c r="H1519" t="s">
        <v>177</v>
      </c>
      <c r="I1519">
        <v>8</v>
      </c>
      <c r="J1519" t="s">
        <v>72</v>
      </c>
      <c r="K1519">
        <v>4</v>
      </c>
      <c r="L1519" t="s">
        <v>44</v>
      </c>
      <c r="M1519">
        <v>6.2</v>
      </c>
      <c r="N1519" t="s">
        <v>44</v>
      </c>
      <c r="Q1519" t="s">
        <v>62</v>
      </c>
      <c r="R1519" t="s">
        <v>63</v>
      </c>
      <c r="S1519" t="s">
        <v>93</v>
      </c>
      <c r="U1519" t="s">
        <v>50</v>
      </c>
      <c r="W1519" t="s">
        <v>1423</v>
      </c>
      <c r="X1519" t="s">
        <v>108</v>
      </c>
      <c r="Y1519" t="s">
        <v>78</v>
      </c>
      <c r="AA1519">
        <v>0</v>
      </c>
      <c r="AB1519" t="s">
        <v>79</v>
      </c>
      <c r="AC1519" t="s">
        <v>87</v>
      </c>
      <c r="AD1519">
        <v>36</v>
      </c>
      <c r="AE1519">
        <v>9</v>
      </c>
      <c r="AF1519">
        <v>3</v>
      </c>
      <c r="AG1519">
        <v>2025</v>
      </c>
      <c r="AH1519" s="2">
        <v>6750</v>
      </c>
      <c r="AI1519" s="2">
        <v>6008.10302734375</v>
      </c>
      <c r="AJ1519" s="2">
        <f t="shared" si="186"/>
        <v>741.89697265625</v>
      </c>
      <c r="AK1519" s="6">
        <f t="shared" si="187"/>
        <v>0.10991066261574074</v>
      </c>
      <c r="AL1519" s="12">
        <v>6750</v>
      </c>
      <c r="AM1519" s="12">
        <v>7270.5219969989921</v>
      </c>
      <c r="AN1519" s="12">
        <f t="shared" si="188"/>
        <v>520.52199699899211</v>
      </c>
      <c r="AO1519" s="13">
        <f t="shared" si="189"/>
        <v>7.711436992577661E-2</v>
      </c>
      <c r="AP1519" s="16">
        <v>6750</v>
      </c>
      <c r="AQ1519" s="16">
        <v>6084.7085659657041</v>
      </c>
      <c r="AR1519" s="16">
        <f t="shared" si="190"/>
        <v>665.29143403429589</v>
      </c>
      <c r="AS1519" s="17">
        <f t="shared" si="184"/>
        <v>9.8561693931006805E-2</v>
      </c>
      <c r="AT1519" s="20">
        <v>6750</v>
      </c>
      <c r="AU1519" s="20">
        <v>6154.61279296875</v>
      </c>
      <c r="AV1519" s="20">
        <f t="shared" si="185"/>
        <v>595.38720703125</v>
      </c>
      <c r="AW1519" s="21">
        <f t="shared" si="191"/>
        <v>8.8205512152777776E-2</v>
      </c>
    </row>
    <row r="1520" spans="1:49" x14ac:dyDescent="0.25">
      <c r="A1520" t="s">
        <v>38</v>
      </c>
      <c r="B1520" t="s">
        <v>96</v>
      </c>
      <c r="C1520">
        <v>127716</v>
      </c>
      <c r="D1520">
        <v>2016</v>
      </c>
      <c r="E1520" t="s">
        <v>341</v>
      </c>
      <c r="F1520" t="s">
        <v>592</v>
      </c>
      <c r="G1520" t="s">
        <v>1424</v>
      </c>
      <c r="I1520">
        <v>4</v>
      </c>
      <c r="J1520" t="s">
        <v>72</v>
      </c>
      <c r="K1520">
        <v>4</v>
      </c>
      <c r="L1520" t="s">
        <v>44</v>
      </c>
      <c r="M1520">
        <v>1.4</v>
      </c>
      <c r="N1520" t="s">
        <v>45</v>
      </c>
      <c r="O1520" t="s">
        <v>100</v>
      </c>
      <c r="P1520">
        <v>2</v>
      </c>
      <c r="Q1520" t="s">
        <v>62</v>
      </c>
      <c r="R1520" t="s">
        <v>63</v>
      </c>
      <c r="S1520" t="s">
        <v>101</v>
      </c>
      <c r="U1520" t="s">
        <v>50</v>
      </c>
      <c r="V1520" t="s">
        <v>51</v>
      </c>
      <c r="W1520" t="s">
        <v>1075</v>
      </c>
      <c r="X1520" t="s">
        <v>65</v>
      </c>
      <c r="Y1520" t="s">
        <v>66</v>
      </c>
      <c r="AA1520">
        <v>0</v>
      </c>
      <c r="AB1520" t="s">
        <v>79</v>
      </c>
      <c r="AC1520" t="s">
        <v>87</v>
      </c>
      <c r="AD1520">
        <v>36</v>
      </c>
      <c r="AE1520">
        <v>9</v>
      </c>
      <c r="AF1520">
        <v>3</v>
      </c>
      <c r="AG1520">
        <v>2025</v>
      </c>
      <c r="AH1520" s="2">
        <v>2000</v>
      </c>
      <c r="AI1520" s="2">
        <v>1906.908569335938</v>
      </c>
      <c r="AJ1520" s="2">
        <f t="shared" si="186"/>
        <v>93.091430664062045</v>
      </c>
      <c r="AK1520" s="6">
        <f t="shared" si="187"/>
        <v>4.6545715332031022E-2</v>
      </c>
      <c r="AL1520" s="12">
        <v>2000</v>
      </c>
      <c r="AM1520" s="12">
        <v>1822.9046090804361</v>
      </c>
      <c r="AN1520" s="12">
        <f t="shared" si="188"/>
        <v>177.0953909195639</v>
      </c>
      <c r="AO1520" s="13">
        <f t="shared" si="189"/>
        <v>8.8547695459781944E-2</v>
      </c>
      <c r="AP1520" s="16">
        <v>2000</v>
      </c>
      <c r="AQ1520" s="16">
        <v>1585.4926416963881</v>
      </c>
      <c r="AR1520" s="16">
        <f t="shared" si="190"/>
        <v>414.50735830361191</v>
      </c>
      <c r="AS1520" s="17">
        <f t="shared" si="184"/>
        <v>0.20725367915180595</v>
      </c>
      <c r="AT1520" s="20">
        <v>2000</v>
      </c>
      <c r="AU1520" s="20">
        <v>1903.748779296875</v>
      </c>
      <c r="AV1520" s="20">
        <f t="shared" si="185"/>
        <v>96.251220703125</v>
      </c>
      <c r="AW1520" s="21">
        <f t="shared" si="191"/>
        <v>4.8125610351562501E-2</v>
      </c>
    </row>
    <row r="1521" spans="1:49" x14ac:dyDescent="0.25">
      <c r="A1521" t="s">
        <v>114</v>
      </c>
      <c r="B1521" t="s">
        <v>340</v>
      </c>
      <c r="C1521">
        <v>84476</v>
      </c>
      <c r="D1521">
        <v>2019</v>
      </c>
      <c r="E1521" t="s">
        <v>88</v>
      </c>
      <c r="F1521" t="s">
        <v>89</v>
      </c>
      <c r="H1521" t="s">
        <v>686</v>
      </c>
      <c r="I1521">
        <v>6</v>
      </c>
      <c r="J1521" t="s">
        <v>106</v>
      </c>
      <c r="K1521">
        <v>4</v>
      </c>
      <c r="L1521" t="s">
        <v>44</v>
      </c>
      <c r="M1521">
        <v>3.6</v>
      </c>
      <c r="N1521" t="s">
        <v>91</v>
      </c>
      <c r="O1521" t="s">
        <v>46</v>
      </c>
      <c r="P1521">
        <v>1</v>
      </c>
      <c r="Q1521" t="s">
        <v>74</v>
      </c>
      <c r="R1521" t="s">
        <v>92</v>
      </c>
      <c r="S1521" t="s">
        <v>93</v>
      </c>
      <c r="T1521">
        <v>305</v>
      </c>
      <c r="U1521" t="s">
        <v>50</v>
      </c>
      <c r="V1521" t="s">
        <v>76</v>
      </c>
      <c r="X1521" t="s">
        <v>94</v>
      </c>
      <c r="Y1521" t="s">
        <v>78</v>
      </c>
      <c r="AA1521">
        <v>0</v>
      </c>
      <c r="AB1521" t="s">
        <v>79</v>
      </c>
      <c r="AC1521" t="s">
        <v>95</v>
      </c>
      <c r="AD1521">
        <v>36</v>
      </c>
      <c r="AE1521">
        <v>9</v>
      </c>
      <c r="AF1521">
        <v>3</v>
      </c>
      <c r="AG1521">
        <v>2025</v>
      </c>
      <c r="AH1521" s="2">
        <v>13800</v>
      </c>
      <c r="AI1521" s="2">
        <v>11718.8642578125</v>
      </c>
      <c r="AJ1521" s="2">
        <f t="shared" si="186"/>
        <v>2081.1357421875</v>
      </c>
      <c r="AK1521" s="6">
        <f t="shared" si="187"/>
        <v>0.15080693783967392</v>
      </c>
      <c r="AL1521" s="12">
        <v>13800</v>
      </c>
      <c r="AM1521" s="12">
        <v>11634.448939870481</v>
      </c>
      <c r="AN1521" s="12">
        <f t="shared" si="188"/>
        <v>2165.5510601295191</v>
      </c>
      <c r="AO1521" s="13">
        <f t="shared" si="189"/>
        <v>0.15692398986445791</v>
      </c>
      <c r="AP1521" s="16">
        <v>13800</v>
      </c>
      <c r="AQ1521" s="16">
        <v>11694.16668289556</v>
      </c>
      <c r="AR1521" s="16">
        <f t="shared" si="190"/>
        <v>2105.8333171044396</v>
      </c>
      <c r="AS1521" s="17">
        <f t="shared" si="184"/>
        <v>0.15259661718148113</v>
      </c>
      <c r="AT1521" s="20">
        <v>13800</v>
      </c>
      <c r="AU1521" s="20">
        <v>11833.052734375</v>
      </c>
      <c r="AV1521" s="20">
        <f t="shared" si="185"/>
        <v>1966.947265625</v>
      </c>
      <c r="AW1521" s="21">
        <f t="shared" si="191"/>
        <v>0.14253241055253624</v>
      </c>
    </row>
    <row r="1522" spans="1:49" x14ac:dyDescent="0.25">
      <c r="A1522" t="s">
        <v>128</v>
      </c>
      <c r="B1522" t="s">
        <v>129</v>
      </c>
      <c r="C1522">
        <v>177152</v>
      </c>
      <c r="D1522">
        <v>2013</v>
      </c>
      <c r="E1522" t="s">
        <v>166</v>
      </c>
      <c r="F1522" t="s">
        <v>223</v>
      </c>
      <c r="G1522" t="s">
        <v>1425</v>
      </c>
      <c r="I1522">
        <v>6</v>
      </c>
      <c r="J1522" t="s">
        <v>135</v>
      </c>
      <c r="K1522">
        <v>4</v>
      </c>
      <c r="L1522" t="s">
        <v>44</v>
      </c>
      <c r="M1522">
        <v>3.5</v>
      </c>
      <c r="N1522" t="s">
        <v>45</v>
      </c>
      <c r="O1522" t="s">
        <v>46</v>
      </c>
      <c r="P1522">
        <v>2</v>
      </c>
      <c r="Q1522" t="s">
        <v>62</v>
      </c>
      <c r="R1522" t="s">
        <v>225</v>
      </c>
      <c r="S1522" t="s">
        <v>101</v>
      </c>
      <c r="T1522">
        <v>248</v>
      </c>
      <c r="U1522" t="s">
        <v>50</v>
      </c>
      <c r="V1522" t="s">
        <v>76</v>
      </c>
      <c r="W1522" t="s">
        <v>226</v>
      </c>
      <c r="X1522" t="s">
        <v>94</v>
      </c>
      <c r="Y1522" t="s">
        <v>78</v>
      </c>
      <c r="AA1522">
        <v>0</v>
      </c>
      <c r="AB1522" t="s">
        <v>79</v>
      </c>
      <c r="AC1522" t="s">
        <v>225</v>
      </c>
      <c r="AD1522">
        <v>36</v>
      </c>
      <c r="AE1522">
        <v>9</v>
      </c>
      <c r="AF1522">
        <v>3</v>
      </c>
      <c r="AG1522">
        <v>2025</v>
      </c>
      <c r="AH1522" s="2">
        <v>3200</v>
      </c>
      <c r="AI1522" s="2">
        <v>2058.3193359375</v>
      </c>
      <c r="AJ1522" s="2">
        <f t="shared" si="186"/>
        <v>1141.6806640625</v>
      </c>
      <c r="AK1522" s="6">
        <f t="shared" si="187"/>
        <v>0.35677520751953123</v>
      </c>
      <c r="AL1522" s="12">
        <v>3200</v>
      </c>
      <c r="AM1522" s="12">
        <v>2487.1533982856922</v>
      </c>
      <c r="AN1522" s="12">
        <f t="shared" si="188"/>
        <v>712.84660171430778</v>
      </c>
      <c r="AO1522" s="13">
        <f t="shared" si="189"/>
        <v>0.22276456303572117</v>
      </c>
      <c r="AP1522" s="16">
        <v>3200</v>
      </c>
      <c r="AQ1522" s="16">
        <v>2428.2168725108559</v>
      </c>
      <c r="AR1522" s="16">
        <f t="shared" si="190"/>
        <v>771.78312748914414</v>
      </c>
      <c r="AS1522" s="17">
        <f t="shared" si="184"/>
        <v>0.24118222734035755</v>
      </c>
      <c r="AT1522" s="20">
        <v>3200</v>
      </c>
      <c r="AU1522" s="20">
        <v>2077.38232421875</v>
      </c>
      <c r="AV1522" s="20">
        <f t="shared" si="185"/>
        <v>1122.61767578125</v>
      </c>
      <c r="AW1522" s="21">
        <f t="shared" si="191"/>
        <v>0.35081802368164061</v>
      </c>
    </row>
    <row r="1523" spans="1:49" x14ac:dyDescent="0.25">
      <c r="A1523" t="s">
        <v>38</v>
      </c>
      <c r="B1523" t="s">
        <v>39</v>
      </c>
      <c r="C1523">
        <v>173115</v>
      </c>
      <c r="D1523">
        <v>2014</v>
      </c>
      <c r="E1523" t="s">
        <v>116</v>
      </c>
      <c r="F1523" t="s">
        <v>194</v>
      </c>
      <c r="G1523" t="s">
        <v>112</v>
      </c>
      <c r="I1523">
        <v>6</v>
      </c>
      <c r="J1523" t="s">
        <v>72</v>
      </c>
      <c r="K1523">
        <v>2</v>
      </c>
      <c r="L1523" t="s">
        <v>44</v>
      </c>
      <c r="M1523">
        <v>3.6</v>
      </c>
      <c r="N1523" t="s">
        <v>73</v>
      </c>
      <c r="O1523" t="s">
        <v>46</v>
      </c>
      <c r="Q1523" t="s">
        <v>47</v>
      </c>
      <c r="R1523" t="s">
        <v>197</v>
      </c>
      <c r="S1523" t="s">
        <v>179</v>
      </c>
      <c r="U1523" t="s">
        <v>50</v>
      </c>
      <c r="X1523" t="s">
        <v>125</v>
      </c>
      <c r="Y1523" t="s">
        <v>103</v>
      </c>
      <c r="AA1523">
        <v>0</v>
      </c>
      <c r="AB1523" t="s">
        <v>79</v>
      </c>
      <c r="AC1523" t="s">
        <v>197</v>
      </c>
      <c r="AD1523">
        <v>36</v>
      </c>
      <c r="AE1523">
        <v>9</v>
      </c>
      <c r="AF1523">
        <v>3</v>
      </c>
      <c r="AG1523">
        <v>2025</v>
      </c>
      <c r="AH1523" s="2">
        <v>3800</v>
      </c>
      <c r="AI1523" s="2">
        <v>3747.098388671875</v>
      </c>
      <c r="AJ1523" s="2">
        <f t="shared" si="186"/>
        <v>52.901611328125</v>
      </c>
      <c r="AK1523" s="6">
        <f t="shared" si="187"/>
        <v>1.3921476665296053E-2</v>
      </c>
      <c r="AL1523" s="12">
        <v>3800</v>
      </c>
      <c r="AM1523" s="12">
        <v>3885.293903948153</v>
      </c>
      <c r="AN1523" s="12">
        <f t="shared" si="188"/>
        <v>85.293903948153002</v>
      </c>
      <c r="AO1523" s="13">
        <f t="shared" si="189"/>
        <v>2.2445764196882368E-2</v>
      </c>
      <c r="AP1523" s="16">
        <v>3800</v>
      </c>
      <c r="AQ1523" s="16">
        <v>3998.4991937897748</v>
      </c>
      <c r="AR1523" s="16">
        <f t="shared" si="190"/>
        <v>198.49919378977484</v>
      </c>
      <c r="AS1523" s="17">
        <f t="shared" si="184"/>
        <v>5.2236629944677586E-2</v>
      </c>
      <c r="AT1523" s="20">
        <v>3800</v>
      </c>
      <c r="AU1523" s="20">
        <v>3786.281494140625</v>
      </c>
      <c r="AV1523" s="20">
        <f t="shared" si="185"/>
        <v>13.718505859375</v>
      </c>
      <c r="AW1523" s="21">
        <f t="shared" si="191"/>
        <v>3.6101331208881577E-3</v>
      </c>
    </row>
    <row r="1524" spans="1:49" x14ac:dyDescent="0.25">
      <c r="A1524" t="s">
        <v>128</v>
      </c>
      <c r="B1524" t="s">
        <v>309</v>
      </c>
      <c r="C1524">
        <v>185626</v>
      </c>
      <c r="D1524">
        <v>2008</v>
      </c>
      <c r="E1524" t="s">
        <v>97</v>
      </c>
      <c r="F1524" t="s">
        <v>171</v>
      </c>
      <c r="H1524" t="s">
        <v>89</v>
      </c>
      <c r="I1524">
        <v>6</v>
      </c>
      <c r="J1524" t="s">
        <v>72</v>
      </c>
      <c r="K1524">
        <v>3</v>
      </c>
      <c r="L1524" t="s">
        <v>44</v>
      </c>
      <c r="M1524">
        <v>4.3</v>
      </c>
      <c r="N1524" t="s">
        <v>73</v>
      </c>
      <c r="O1524" t="s">
        <v>46</v>
      </c>
      <c r="P1524">
        <v>1</v>
      </c>
      <c r="Q1524" t="s">
        <v>74</v>
      </c>
      <c r="R1524" t="s">
        <v>75</v>
      </c>
      <c r="S1524" t="s">
        <v>49</v>
      </c>
      <c r="U1524" t="s">
        <v>50</v>
      </c>
      <c r="V1524" t="s">
        <v>76</v>
      </c>
      <c r="W1524" t="s">
        <v>861</v>
      </c>
      <c r="X1524" t="s">
        <v>108</v>
      </c>
      <c r="Y1524" t="s">
        <v>78</v>
      </c>
      <c r="AA1524">
        <v>0</v>
      </c>
      <c r="AB1524" t="s">
        <v>79</v>
      </c>
      <c r="AC1524" t="s">
        <v>80</v>
      </c>
      <c r="AD1524">
        <v>36</v>
      </c>
      <c r="AE1524">
        <v>9</v>
      </c>
      <c r="AF1524">
        <v>3</v>
      </c>
      <c r="AG1524">
        <v>2025</v>
      </c>
      <c r="AH1524" s="2">
        <v>500</v>
      </c>
      <c r="AI1524" s="2">
        <v>1297.6162109375</v>
      </c>
      <c r="AJ1524" s="2">
        <f t="shared" si="186"/>
        <v>797.6162109375</v>
      </c>
      <c r="AK1524" s="6">
        <f t="shared" si="187"/>
        <v>1.595232421875</v>
      </c>
      <c r="AL1524" s="12">
        <v>500</v>
      </c>
      <c r="AM1524" s="12">
        <v>1501.7390956414149</v>
      </c>
      <c r="AN1524" s="12">
        <f t="shared" si="188"/>
        <v>1001.7390956414149</v>
      </c>
      <c r="AO1524" s="13">
        <f t="shared" si="189"/>
        <v>2.0034781912828299</v>
      </c>
      <c r="AP1524" s="16">
        <v>500</v>
      </c>
      <c r="AQ1524" s="16">
        <v>1510.438212615318</v>
      </c>
      <c r="AR1524" s="16">
        <f t="shared" si="190"/>
        <v>1010.438212615318</v>
      </c>
      <c r="AS1524" s="17">
        <f t="shared" si="184"/>
        <v>2.0208764252306359</v>
      </c>
      <c r="AT1524" s="20">
        <v>500</v>
      </c>
      <c r="AU1524" s="20">
        <v>1273.919799804688</v>
      </c>
      <c r="AV1524" s="20">
        <f t="shared" si="185"/>
        <v>773.91979980468795</v>
      </c>
      <c r="AW1524" s="21">
        <f t="shared" si="191"/>
        <v>1.5478395996093759</v>
      </c>
    </row>
    <row r="1525" spans="1:49" x14ac:dyDescent="0.25">
      <c r="A1525" t="s">
        <v>38</v>
      </c>
      <c r="B1525" t="s">
        <v>110</v>
      </c>
      <c r="C1525">
        <v>107452</v>
      </c>
      <c r="D1525">
        <v>2020</v>
      </c>
      <c r="E1525" t="s">
        <v>58</v>
      </c>
      <c r="F1525" t="s">
        <v>243</v>
      </c>
      <c r="G1525" t="s">
        <v>248</v>
      </c>
      <c r="I1525">
        <v>4</v>
      </c>
      <c r="J1525" t="s">
        <v>135</v>
      </c>
      <c r="K1525">
        <v>4</v>
      </c>
      <c r="L1525" t="s">
        <v>44</v>
      </c>
      <c r="M1525">
        <v>2</v>
      </c>
      <c r="N1525" t="s">
        <v>45</v>
      </c>
      <c r="O1525" t="s">
        <v>46</v>
      </c>
      <c r="P1525">
        <v>3</v>
      </c>
      <c r="Q1525" t="s">
        <v>47</v>
      </c>
      <c r="R1525" t="s">
        <v>123</v>
      </c>
      <c r="T1525">
        <v>147</v>
      </c>
      <c r="U1525" t="s">
        <v>50</v>
      </c>
      <c r="W1525" t="s">
        <v>463</v>
      </c>
      <c r="X1525" t="s">
        <v>125</v>
      </c>
      <c r="Y1525" t="s">
        <v>126</v>
      </c>
      <c r="AA1525">
        <v>0</v>
      </c>
      <c r="AB1525" t="s">
        <v>79</v>
      </c>
      <c r="AC1525" t="s">
        <v>127</v>
      </c>
      <c r="AD1525">
        <v>36</v>
      </c>
      <c r="AE1525">
        <v>9</v>
      </c>
      <c r="AF1525">
        <v>3</v>
      </c>
      <c r="AG1525">
        <v>2025</v>
      </c>
      <c r="AH1525" s="2">
        <v>8000</v>
      </c>
      <c r="AI1525" s="2">
        <v>5199.0830078125</v>
      </c>
      <c r="AJ1525" s="2">
        <f t="shared" si="186"/>
        <v>2800.9169921875</v>
      </c>
      <c r="AK1525" s="6">
        <f t="shared" si="187"/>
        <v>0.35011462402343752</v>
      </c>
      <c r="AL1525" s="12">
        <v>8000</v>
      </c>
      <c r="AM1525" s="12">
        <v>5622.9659912075231</v>
      </c>
      <c r="AN1525" s="12">
        <f t="shared" si="188"/>
        <v>2377.0340087924769</v>
      </c>
      <c r="AO1525" s="13">
        <f t="shared" si="189"/>
        <v>0.29712925109905963</v>
      </c>
      <c r="AP1525" s="16">
        <v>8000</v>
      </c>
      <c r="AQ1525" s="16">
        <v>4917.7750478970411</v>
      </c>
      <c r="AR1525" s="16">
        <f t="shared" si="190"/>
        <v>3082.2249521029589</v>
      </c>
      <c r="AS1525" s="17">
        <f t="shared" si="184"/>
        <v>0.38527811901286985</v>
      </c>
      <c r="AT1525" s="20">
        <v>8000</v>
      </c>
      <c r="AU1525" s="20">
        <v>5305.46484375</v>
      </c>
      <c r="AV1525" s="20">
        <f t="shared" si="185"/>
        <v>2694.53515625</v>
      </c>
      <c r="AW1525" s="21">
        <f t="shared" si="191"/>
        <v>0.33681689453125002</v>
      </c>
    </row>
    <row r="1526" spans="1:49" x14ac:dyDescent="0.25">
      <c r="A1526" t="s">
        <v>38</v>
      </c>
      <c r="B1526" t="s">
        <v>96</v>
      </c>
      <c r="C1526">
        <v>312129</v>
      </c>
      <c r="D1526">
        <v>2007</v>
      </c>
      <c r="E1526" t="s">
        <v>69</v>
      </c>
      <c r="F1526" t="s">
        <v>250</v>
      </c>
      <c r="H1526" t="s">
        <v>1426</v>
      </c>
      <c r="I1526">
        <v>4</v>
      </c>
      <c r="J1526" t="s">
        <v>135</v>
      </c>
      <c r="K1526">
        <v>4</v>
      </c>
      <c r="L1526" t="s">
        <v>44</v>
      </c>
      <c r="M1526">
        <v>2.2999999999999998</v>
      </c>
      <c r="N1526" t="s">
        <v>45</v>
      </c>
      <c r="O1526" t="s">
        <v>100</v>
      </c>
      <c r="Q1526" t="s">
        <v>62</v>
      </c>
      <c r="R1526" t="s">
        <v>63</v>
      </c>
      <c r="S1526" t="s">
        <v>49</v>
      </c>
      <c r="T1526">
        <v>133</v>
      </c>
      <c r="U1526" t="s">
        <v>50</v>
      </c>
      <c r="V1526" t="s">
        <v>51</v>
      </c>
      <c r="X1526" t="s">
        <v>65</v>
      </c>
      <c r="Y1526" t="s">
        <v>78</v>
      </c>
      <c r="AA1526">
        <v>1</v>
      </c>
      <c r="AB1526" t="s">
        <v>55</v>
      </c>
      <c r="AC1526" t="s">
        <v>67</v>
      </c>
      <c r="AD1526">
        <v>36</v>
      </c>
      <c r="AE1526">
        <v>9</v>
      </c>
      <c r="AF1526">
        <v>3</v>
      </c>
      <c r="AG1526">
        <v>2025</v>
      </c>
      <c r="AH1526" s="2">
        <v>200</v>
      </c>
      <c r="AI1526" s="2">
        <v>285.46603393554688</v>
      </c>
      <c r="AJ1526" s="2">
        <f t="shared" si="186"/>
        <v>85.466033935546875</v>
      </c>
      <c r="AK1526" s="6">
        <f t="shared" si="187"/>
        <v>0.42733016967773435</v>
      </c>
      <c r="AL1526" s="12">
        <v>200</v>
      </c>
      <c r="AM1526" s="12">
        <v>368.5471620482528</v>
      </c>
      <c r="AN1526" s="12">
        <f t="shared" si="188"/>
        <v>168.5471620482528</v>
      </c>
      <c r="AO1526" s="13">
        <f t="shared" si="189"/>
        <v>0.84273581024126398</v>
      </c>
      <c r="AP1526" s="16">
        <v>200</v>
      </c>
      <c r="AQ1526" s="16">
        <v>260.10303442819202</v>
      </c>
      <c r="AR1526" s="16">
        <f t="shared" si="190"/>
        <v>60.103034428192018</v>
      </c>
      <c r="AS1526" s="17">
        <f t="shared" si="184"/>
        <v>0.30051517214096007</v>
      </c>
      <c r="AT1526" s="20">
        <v>200</v>
      </c>
      <c r="AU1526" s="20">
        <v>460.00308227539063</v>
      </c>
      <c r="AV1526" s="20">
        <f t="shared" si="185"/>
        <v>260.00308227539063</v>
      </c>
      <c r="AW1526" s="21">
        <f t="shared" si="191"/>
        <v>1.3000154113769531</v>
      </c>
    </row>
    <row r="1527" spans="1:49" x14ac:dyDescent="0.25">
      <c r="A1527" t="s">
        <v>38</v>
      </c>
      <c r="B1527" t="s">
        <v>110</v>
      </c>
      <c r="C1527">
        <v>170136</v>
      </c>
      <c r="D1527">
        <v>2014</v>
      </c>
      <c r="E1527" t="s">
        <v>166</v>
      </c>
      <c r="F1527" t="s">
        <v>247</v>
      </c>
      <c r="G1527" t="s">
        <v>581</v>
      </c>
      <c r="I1527">
        <v>4</v>
      </c>
      <c r="J1527" t="s">
        <v>135</v>
      </c>
      <c r="K1527">
        <v>4</v>
      </c>
      <c r="L1527" t="s">
        <v>44</v>
      </c>
      <c r="M1527">
        <v>2.4</v>
      </c>
      <c r="N1527" t="s">
        <v>45</v>
      </c>
      <c r="Q1527" t="s">
        <v>62</v>
      </c>
      <c r="R1527" t="s">
        <v>63</v>
      </c>
      <c r="S1527" t="s">
        <v>49</v>
      </c>
      <c r="T1527">
        <v>185</v>
      </c>
      <c r="U1527" t="s">
        <v>50</v>
      </c>
      <c r="V1527" t="s">
        <v>51</v>
      </c>
      <c r="W1527" t="s">
        <v>812</v>
      </c>
      <c r="X1527" t="s">
        <v>65</v>
      </c>
      <c r="Y1527" t="s">
        <v>103</v>
      </c>
      <c r="AA1527">
        <v>0</v>
      </c>
      <c r="AB1527" t="s">
        <v>79</v>
      </c>
      <c r="AC1527" t="s">
        <v>87</v>
      </c>
      <c r="AD1527">
        <v>36</v>
      </c>
      <c r="AE1527">
        <v>9</v>
      </c>
      <c r="AF1527">
        <v>3</v>
      </c>
      <c r="AG1527">
        <v>2025</v>
      </c>
      <c r="AH1527" s="2">
        <v>4400</v>
      </c>
      <c r="AI1527" s="2">
        <v>6133.03564453125</v>
      </c>
      <c r="AJ1527" s="2">
        <f t="shared" si="186"/>
        <v>1733.03564453125</v>
      </c>
      <c r="AK1527" s="6">
        <f t="shared" si="187"/>
        <v>0.39387173739346593</v>
      </c>
      <c r="AL1527" s="12">
        <v>4400</v>
      </c>
      <c r="AM1527" s="12">
        <v>4063.6936753596719</v>
      </c>
      <c r="AN1527" s="12">
        <f t="shared" si="188"/>
        <v>336.30632464032806</v>
      </c>
      <c r="AO1527" s="13">
        <f t="shared" si="189"/>
        <v>7.6433255600074565E-2</v>
      </c>
      <c r="AP1527" s="16">
        <v>4400</v>
      </c>
      <c r="AQ1527" s="16">
        <v>3979.7314748917079</v>
      </c>
      <c r="AR1527" s="16">
        <f t="shared" si="190"/>
        <v>420.26852510829212</v>
      </c>
      <c r="AS1527" s="17">
        <f t="shared" si="184"/>
        <v>9.5515573888248204E-2</v>
      </c>
      <c r="AT1527" s="20">
        <v>4400</v>
      </c>
      <c r="AU1527" s="20">
        <v>5977.51025390625</v>
      </c>
      <c r="AV1527" s="20">
        <f t="shared" si="185"/>
        <v>1577.51025390625</v>
      </c>
      <c r="AW1527" s="21">
        <f t="shared" si="191"/>
        <v>0.35852505770596593</v>
      </c>
    </row>
    <row r="1528" spans="1:49" x14ac:dyDescent="0.25">
      <c r="A1528" t="s">
        <v>38</v>
      </c>
      <c r="B1528" t="s">
        <v>96</v>
      </c>
      <c r="C1528">
        <v>192910</v>
      </c>
      <c r="D1528">
        <v>2017</v>
      </c>
      <c r="E1528" t="s">
        <v>403</v>
      </c>
      <c r="F1528" t="s">
        <v>661</v>
      </c>
      <c r="G1528" t="s">
        <v>405</v>
      </c>
      <c r="I1528">
        <v>6</v>
      </c>
      <c r="J1528" t="s">
        <v>61</v>
      </c>
      <c r="K1528">
        <v>4</v>
      </c>
      <c r="L1528" t="s">
        <v>44</v>
      </c>
      <c r="M1528">
        <v>3.6</v>
      </c>
      <c r="N1528" t="s">
        <v>45</v>
      </c>
      <c r="O1528" t="s">
        <v>46</v>
      </c>
      <c r="Q1528" t="s">
        <v>62</v>
      </c>
      <c r="R1528" t="s">
        <v>63</v>
      </c>
      <c r="S1528" t="s">
        <v>101</v>
      </c>
      <c r="U1528" t="s">
        <v>50</v>
      </c>
      <c r="V1528" t="s">
        <v>76</v>
      </c>
      <c r="W1528" t="s">
        <v>833</v>
      </c>
      <c r="X1528" t="s">
        <v>94</v>
      </c>
      <c r="Y1528" t="s">
        <v>78</v>
      </c>
      <c r="Z1528">
        <v>45295</v>
      </c>
      <c r="AA1528">
        <v>0</v>
      </c>
      <c r="AB1528" t="s">
        <v>79</v>
      </c>
      <c r="AC1528" t="s">
        <v>87</v>
      </c>
      <c r="AD1528">
        <v>36</v>
      </c>
      <c r="AE1528">
        <v>9</v>
      </c>
      <c r="AF1528">
        <v>3</v>
      </c>
      <c r="AG1528">
        <v>2025</v>
      </c>
      <c r="AH1528" s="2">
        <v>6600</v>
      </c>
      <c r="AI1528" s="2">
        <v>3937.179443359375</v>
      </c>
      <c r="AJ1528" s="2">
        <f t="shared" si="186"/>
        <v>2662.820556640625</v>
      </c>
      <c r="AK1528" s="6">
        <f t="shared" si="187"/>
        <v>0.40345766009706441</v>
      </c>
      <c r="AL1528" s="12">
        <v>6600</v>
      </c>
      <c r="AM1528" s="12">
        <v>4152.6826403008727</v>
      </c>
      <c r="AN1528" s="12">
        <f t="shared" si="188"/>
        <v>2447.3173596991273</v>
      </c>
      <c r="AO1528" s="13">
        <f t="shared" si="189"/>
        <v>0.37080566056047382</v>
      </c>
      <c r="AP1528" s="16">
        <v>6600</v>
      </c>
      <c r="AQ1528" s="16">
        <v>4707.376044641177</v>
      </c>
      <c r="AR1528" s="16">
        <f t="shared" si="190"/>
        <v>1892.623955358823</v>
      </c>
      <c r="AS1528" s="17">
        <f t="shared" si="184"/>
        <v>0.28676120535739741</v>
      </c>
      <c r="AT1528" s="20">
        <v>6600</v>
      </c>
      <c r="AU1528" s="20">
        <v>3964.31005859375</v>
      </c>
      <c r="AV1528" s="20">
        <f t="shared" si="185"/>
        <v>2635.68994140625</v>
      </c>
      <c r="AW1528" s="21">
        <f t="shared" si="191"/>
        <v>0.39934696081912879</v>
      </c>
    </row>
    <row r="1529" spans="1:49" x14ac:dyDescent="0.25">
      <c r="A1529" t="s">
        <v>128</v>
      </c>
      <c r="B1529" t="s">
        <v>129</v>
      </c>
      <c r="C1529">
        <v>108481</v>
      </c>
      <c r="D1529">
        <v>2011</v>
      </c>
      <c r="E1529" t="s">
        <v>166</v>
      </c>
      <c r="F1529" t="s">
        <v>247</v>
      </c>
      <c r="G1529" t="s">
        <v>581</v>
      </c>
      <c r="I1529">
        <v>4</v>
      </c>
      <c r="J1529" t="s">
        <v>106</v>
      </c>
      <c r="K1529">
        <v>4</v>
      </c>
      <c r="L1529" t="s">
        <v>44</v>
      </c>
      <c r="M1529">
        <v>2.4</v>
      </c>
      <c r="N1529" t="s">
        <v>91</v>
      </c>
      <c r="O1529" t="s">
        <v>46</v>
      </c>
      <c r="Q1529" t="s">
        <v>62</v>
      </c>
      <c r="R1529" t="s">
        <v>63</v>
      </c>
      <c r="S1529" t="s">
        <v>93</v>
      </c>
      <c r="T1529">
        <v>180</v>
      </c>
      <c r="U1529" t="s">
        <v>50</v>
      </c>
      <c r="V1529" t="s">
        <v>51</v>
      </c>
      <c r="W1529" t="s">
        <v>582</v>
      </c>
      <c r="X1529" t="s">
        <v>65</v>
      </c>
      <c r="Y1529" t="s">
        <v>78</v>
      </c>
      <c r="AA1529">
        <v>0</v>
      </c>
      <c r="AB1529" t="s">
        <v>79</v>
      </c>
      <c r="AC1529" t="s">
        <v>87</v>
      </c>
      <c r="AD1529">
        <v>36</v>
      </c>
      <c r="AE1529">
        <v>9</v>
      </c>
      <c r="AF1529">
        <v>3</v>
      </c>
      <c r="AG1529">
        <v>2025</v>
      </c>
      <c r="AH1529" s="2">
        <v>8800</v>
      </c>
      <c r="AI1529" s="2">
        <v>6010.091796875</v>
      </c>
      <c r="AJ1529" s="2">
        <f t="shared" si="186"/>
        <v>2789.908203125</v>
      </c>
      <c r="AK1529" s="6">
        <f t="shared" si="187"/>
        <v>0.31703502308238635</v>
      </c>
      <c r="AL1529" s="12">
        <v>8800</v>
      </c>
      <c r="AM1529" s="12">
        <v>5979.9547319312278</v>
      </c>
      <c r="AN1529" s="12">
        <f t="shared" si="188"/>
        <v>2820.0452680687722</v>
      </c>
      <c r="AO1529" s="13">
        <f t="shared" si="189"/>
        <v>0.32045968955326959</v>
      </c>
      <c r="AP1529" s="16">
        <v>8800</v>
      </c>
      <c r="AQ1529" s="16">
        <v>4739.9934397399556</v>
      </c>
      <c r="AR1529" s="16">
        <f t="shared" si="190"/>
        <v>4060.0065602600444</v>
      </c>
      <c r="AS1529" s="17">
        <f t="shared" si="184"/>
        <v>0.46136438184773232</v>
      </c>
      <c r="AT1529" s="20">
        <v>8800</v>
      </c>
      <c r="AU1529" s="20">
        <v>6022.6533203125</v>
      </c>
      <c r="AV1529" s="20">
        <f t="shared" si="185"/>
        <v>2777.3466796875</v>
      </c>
      <c r="AW1529" s="21">
        <f t="shared" si="191"/>
        <v>0.31560757723721589</v>
      </c>
    </row>
    <row r="1530" spans="1:49" x14ac:dyDescent="0.25">
      <c r="A1530" t="s">
        <v>38</v>
      </c>
      <c r="B1530" t="s">
        <v>110</v>
      </c>
      <c r="C1530">
        <v>138955</v>
      </c>
      <c r="D1530">
        <v>2016</v>
      </c>
      <c r="E1530" t="s">
        <v>341</v>
      </c>
      <c r="F1530" t="s">
        <v>574</v>
      </c>
      <c r="G1530" t="s">
        <v>1063</v>
      </c>
      <c r="I1530">
        <v>6</v>
      </c>
      <c r="J1530" t="s">
        <v>72</v>
      </c>
      <c r="K1530">
        <v>4</v>
      </c>
      <c r="L1530" t="s">
        <v>44</v>
      </c>
      <c r="M1530">
        <v>3.6</v>
      </c>
      <c r="N1530" t="s">
        <v>45</v>
      </c>
      <c r="O1530" t="s">
        <v>46</v>
      </c>
      <c r="P1530">
        <v>3</v>
      </c>
      <c r="Q1530" t="s">
        <v>62</v>
      </c>
      <c r="R1530" t="s">
        <v>63</v>
      </c>
      <c r="S1530" t="s">
        <v>101</v>
      </c>
      <c r="U1530" t="s">
        <v>50</v>
      </c>
      <c r="V1530" t="s">
        <v>76</v>
      </c>
      <c r="W1530" t="s">
        <v>591</v>
      </c>
      <c r="X1530" t="s">
        <v>94</v>
      </c>
      <c r="Y1530" t="s">
        <v>78</v>
      </c>
      <c r="AA1530">
        <v>0</v>
      </c>
      <c r="AB1530" t="s">
        <v>79</v>
      </c>
      <c r="AC1530" t="s">
        <v>87</v>
      </c>
      <c r="AD1530">
        <v>36</v>
      </c>
      <c r="AE1530">
        <v>9</v>
      </c>
      <c r="AF1530">
        <v>3</v>
      </c>
      <c r="AG1530">
        <v>2025</v>
      </c>
      <c r="AH1530" s="2">
        <v>2800</v>
      </c>
      <c r="AI1530" s="2">
        <v>4114.90771484375</v>
      </c>
      <c r="AJ1530" s="2">
        <f t="shared" si="186"/>
        <v>1314.90771484375</v>
      </c>
      <c r="AK1530" s="6">
        <f t="shared" si="187"/>
        <v>0.46960989815848214</v>
      </c>
      <c r="AL1530" s="12">
        <v>2800</v>
      </c>
      <c r="AM1530" s="12">
        <v>4245.2939705077106</v>
      </c>
      <c r="AN1530" s="12">
        <f t="shared" si="188"/>
        <v>1445.2939705077106</v>
      </c>
      <c r="AO1530" s="13">
        <f t="shared" si="189"/>
        <v>0.51617641803846803</v>
      </c>
      <c r="AP1530" s="16">
        <v>2800</v>
      </c>
      <c r="AQ1530" s="16">
        <v>3724.6690587247672</v>
      </c>
      <c r="AR1530" s="16">
        <f t="shared" si="190"/>
        <v>924.66905872476718</v>
      </c>
      <c r="AS1530" s="17">
        <f t="shared" si="184"/>
        <v>0.33023894954455973</v>
      </c>
      <c r="AT1530" s="20">
        <v>2800</v>
      </c>
      <c r="AU1530" s="20">
        <v>4165.97119140625</v>
      </c>
      <c r="AV1530" s="20">
        <f t="shared" si="185"/>
        <v>1365.97119140625</v>
      </c>
      <c r="AW1530" s="21">
        <f t="shared" si="191"/>
        <v>0.48784685407366074</v>
      </c>
    </row>
    <row r="1531" spans="1:49" x14ac:dyDescent="0.25">
      <c r="A1531" t="s">
        <v>81</v>
      </c>
      <c r="B1531" t="s">
        <v>82</v>
      </c>
      <c r="C1531">
        <v>111565</v>
      </c>
      <c r="D1531">
        <v>2019</v>
      </c>
      <c r="E1531" t="s">
        <v>166</v>
      </c>
      <c r="F1531" t="s">
        <v>628</v>
      </c>
      <c r="G1531" t="s">
        <v>248</v>
      </c>
      <c r="I1531">
        <v>4</v>
      </c>
      <c r="J1531" t="s">
        <v>43</v>
      </c>
      <c r="K1531">
        <v>2</v>
      </c>
      <c r="L1531" t="s">
        <v>44</v>
      </c>
      <c r="M1531">
        <v>1.5</v>
      </c>
      <c r="N1531" t="s">
        <v>45</v>
      </c>
      <c r="O1531" t="s">
        <v>46</v>
      </c>
      <c r="Q1531" t="s">
        <v>47</v>
      </c>
      <c r="R1531" t="s">
        <v>197</v>
      </c>
      <c r="S1531" t="s">
        <v>49</v>
      </c>
      <c r="T1531">
        <v>174</v>
      </c>
      <c r="U1531" t="s">
        <v>50</v>
      </c>
      <c r="V1531" t="s">
        <v>51</v>
      </c>
      <c r="W1531" t="s">
        <v>875</v>
      </c>
      <c r="X1531" t="s">
        <v>53</v>
      </c>
      <c r="Y1531" t="s">
        <v>103</v>
      </c>
      <c r="Z1531">
        <v>23200</v>
      </c>
      <c r="AA1531">
        <v>0</v>
      </c>
      <c r="AB1531" t="s">
        <v>79</v>
      </c>
      <c r="AC1531" t="s">
        <v>197</v>
      </c>
      <c r="AD1531">
        <v>36</v>
      </c>
      <c r="AE1531">
        <v>9</v>
      </c>
      <c r="AF1531">
        <v>3</v>
      </c>
      <c r="AG1531">
        <v>2025</v>
      </c>
      <c r="AH1531" s="2">
        <v>7000</v>
      </c>
      <c r="AI1531" s="2">
        <v>10844.865234375</v>
      </c>
      <c r="AJ1531" s="2">
        <f t="shared" si="186"/>
        <v>3844.865234375</v>
      </c>
      <c r="AK1531" s="6">
        <f t="shared" si="187"/>
        <v>0.54926646205357144</v>
      </c>
      <c r="AL1531" s="12">
        <v>7000</v>
      </c>
      <c r="AM1531" s="12">
        <v>9703.3812837733458</v>
      </c>
      <c r="AN1531" s="12">
        <f t="shared" si="188"/>
        <v>2703.3812837733458</v>
      </c>
      <c r="AO1531" s="13">
        <f t="shared" si="189"/>
        <v>0.38619732625333514</v>
      </c>
      <c r="AP1531" s="16">
        <v>7000</v>
      </c>
      <c r="AQ1531" s="16">
        <v>7783.9673503592276</v>
      </c>
      <c r="AR1531" s="16">
        <f t="shared" si="190"/>
        <v>783.96735035922757</v>
      </c>
      <c r="AS1531" s="17">
        <f t="shared" si="184"/>
        <v>0.11199533576560394</v>
      </c>
      <c r="AT1531" s="20">
        <v>7000</v>
      </c>
      <c r="AU1531" s="20">
        <v>10708.37109375</v>
      </c>
      <c r="AV1531" s="20">
        <f t="shared" si="185"/>
        <v>3708.37109375</v>
      </c>
      <c r="AW1531" s="21">
        <f t="shared" si="191"/>
        <v>0.52976729910714282</v>
      </c>
    </row>
    <row r="1532" spans="1:49" x14ac:dyDescent="0.25">
      <c r="A1532" t="s">
        <v>38</v>
      </c>
      <c r="B1532" t="s">
        <v>68</v>
      </c>
      <c r="C1532">
        <v>102536</v>
      </c>
      <c r="D1532">
        <v>2018</v>
      </c>
      <c r="E1532" t="s">
        <v>69</v>
      </c>
      <c r="F1532" t="s">
        <v>250</v>
      </c>
      <c r="H1532" t="s">
        <v>224</v>
      </c>
      <c r="I1532">
        <v>4</v>
      </c>
      <c r="J1532" t="s">
        <v>72</v>
      </c>
      <c r="K1532">
        <v>4</v>
      </c>
      <c r="L1532" t="s">
        <v>44</v>
      </c>
      <c r="M1532">
        <v>1.5</v>
      </c>
      <c r="N1532" t="s">
        <v>45</v>
      </c>
      <c r="O1532" t="s">
        <v>46</v>
      </c>
      <c r="P1532">
        <v>4</v>
      </c>
      <c r="Q1532" t="s">
        <v>62</v>
      </c>
      <c r="R1532" t="s">
        <v>63</v>
      </c>
      <c r="S1532" t="s">
        <v>49</v>
      </c>
      <c r="T1532">
        <v>170</v>
      </c>
      <c r="U1532" t="s">
        <v>50</v>
      </c>
      <c r="V1532" t="s">
        <v>51</v>
      </c>
      <c r="W1532" t="s">
        <v>598</v>
      </c>
      <c r="X1532" t="s">
        <v>65</v>
      </c>
      <c r="Y1532" t="s">
        <v>78</v>
      </c>
      <c r="Z1532">
        <v>25700</v>
      </c>
      <c r="AA1532">
        <v>0</v>
      </c>
      <c r="AB1532" t="s">
        <v>79</v>
      </c>
      <c r="AC1532" t="s">
        <v>87</v>
      </c>
      <c r="AD1532">
        <v>36</v>
      </c>
      <c r="AE1532">
        <v>9</v>
      </c>
      <c r="AF1532">
        <v>3</v>
      </c>
      <c r="AG1532">
        <v>2025</v>
      </c>
      <c r="AH1532" s="2">
        <v>5750</v>
      </c>
      <c r="AI1532" s="2">
        <v>6615.6923828125</v>
      </c>
      <c r="AJ1532" s="2">
        <f t="shared" si="186"/>
        <v>865.6923828125</v>
      </c>
      <c r="AK1532" s="6">
        <f t="shared" si="187"/>
        <v>0.15055519701086956</v>
      </c>
      <c r="AL1532" s="12">
        <v>5750</v>
      </c>
      <c r="AM1532" s="12">
        <v>7231.0116880473443</v>
      </c>
      <c r="AN1532" s="12">
        <f t="shared" si="188"/>
        <v>1481.0116880473443</v>
      </c>
      <c r="AO1532" s="13">
        <f t="shared" si="189"/>
        <v>0.25756725009519033</v>
      </c>
      <c r="AP1532" s="16">
        <v>5750</v>
      </c>
      <c r="AQ1532" s="16">
        <v>5987.6971859557889</v>
      </c>
      <c r="AR1532" s="16">
        <f t="shared" si="190"/>
        <v>237.69718595578888</v>
      </c>
      <c r="AS1532" s="17">
        <f t="shared" si="184"/>
        <v>4.1338641035789374E-2</v>
      </c>
      <c r="AT1532" s="20">
        <v>5750</v>
      </c>
      <c r="AU1532" s="20">
        <v>6808.52392578125</v>
      </c>
      <c r="AV1532" s="20">
        <f t="shared" si="185"/>
        <v>1058.52392578125</v>
      </c>
      <c r="AW1532" s="21">
        <f t="shared" si="191"/>
        <v>0.18409111752717391</v>
      </c>
    </row>
    <row r="1533" spans="1:49" x14ac:dyDescent="0.25">
      <c r="A1533" t="s">
        <v>38</v>
      </c>
      <c r="B1533" t="s">
        <v>68</v>
      </c>
      <c r="C1533">
        <v>205121</v>
      </c>
      <c r="D1533">
        <v>2008</v>
      </c>
      <c r="E1533" t="s">
        <v>286</v>
      </c>
      <c r="F1533" t="s">
        <v>287</v>
      </c>
      <c r="G1533" t="s">
        <v>288</v>
      </c>
      <c r="H1533" t="s">
        <v>289</v>
      </c>
      <c r="I1533">
        <v>6</v>
      </c>
      <c r="J1533" t="s">
        <v>1311</v>
      </c>
      <c r="K1533">
        <v>4</v>
      </c>
      <c r="L1533" t="s">
        <v>44</v>
      </c>
      <c r="M1533">
        <v>3.5</v>
      </c>
      <c r="N1533" t="s">
        <v>45</v>
      </c>
      <c r="O1533" t="s">
        <v>46</v>
      </c>
      <c r="Q1533" t="s">
        <v>62</v>
      </c>
      <c r="R1533" t="s">
        <v>63</v>
      </c>
      <c r="S1533" t="s">
        <v>49</v>
      </c>
      <c r="T1533">
        <v>270</v>
      </c>
      <c r="U1533" t="s">
        <v>50</v>
      </c>
      <c r="V1533" t="s">
        <v>76</v>
      </c>
      <c r="W1533" t="s">
        <v>290</v>
      </c>
      <c r="X1533" t="s">
        <v>141</v>
      </c>
      <c r="Y1533" t="s">
        <v>54</v>
      </c>
      <c r="AA1533">
        <v>0</v>
      </c>
      <c r="AB1533" t="s">
        <v>79</v>
      </c>
      <c r="AC1533" t="s">
        <v>87</v>
      </c>
      <c r="AD1533">
        <v>36</v>
      </c>
      <c r="AE1533">
        <v>9</v>
      </c>
      <c r="AF1533">
        <v>3</v>
      </c>
      <c r="AG1533">
        <v>2025</v>
      </c>
      <c r="AH1533" s="2">
        <v>1500</v>
      </c>
      <c r="AI1533" s="2">
        <v>1944.682495117188</v>
      </c>
      <c r="AJ1533" s="2">
        <f t="shared" si="186"/>
        <v>444.68249511718795</v>
      </c>
      <c r="AK1533" s="6">
        <f t="shared" si="187"/>
        <v>0.29645499674479198</v>
      </c>
      <c r="AL1533" s="12">
        <v>1500</v>
      </c>
      <c r="AM1533" s="12">
        <v>2375.7319627311722</v>
      </c>
      <c r="AN1533" s="12">
        <f t="shared" si="188"/>
        <v>875.73196273117219</v>
      </c>
      <c r="AO1533" s="13">
        <f t="shared" si="189"/>
        <v>0.58382130848744818</v>
      </c>
      <c r="AP1533" s="16">
        <v>1500</v>
      </c>
      <c r="AQ1533" s="16">
        <v>2190.0306355518228</v>
      </c>
      <c r="AR1533" s="16">
        <f t="shared" si="190"/>
        <v>690.0306355518228</v>
      </c>
      <c r="AS1533" s="17">
        <f t="shared" si="184"/>
        <v>0.46002042370121521</v>
      </c>
      <c r="AT1533" s="20">
        <v>1500</v>
      </c>
      <c r="AU1533" s="20">
        <v>1979.956909179688</v>
      </c>
      <c r="AV1533" s="20">
        <f t="shared" si="185"/>
        <v>479.95690917968795</v>
      </c>
      <c r="AW1533" s="21">
        <f t="shared" si="191"/>
        <v>0.31997127278645865</v>
      </c>
    </row>
    <row r="1534" spans="1:49" x14ac:dyDescent="0.25">
      <c r="A1534" t="s">
        <v>38</v>
      </c>
      <c r="B1534" t="s">
        <v>39</v>
      </c>
      <c r="C1534">
        <v>181814</v>
      </c>
      <c r="D1534">
        <v>2013</v>
      </c>
      <c r="E1534" t="s">
        <v>69</v>
      </c>
      <c r="F1534" t="s">
        <v>475</v>
      </c>
      <c r="H1534" t="s">
        <v>259</v>
      </c>
      <c r="I1534">
        <v>8</v>
      </c>
      <c r="J1534" t="s">
        <v>106</v>
      </c>
      <c r="K1534">
        <v>4</v>
      </c>
      <c r="L1534" t="s">
        <v>44</v>
      </c>
      <c r="M1534">
        <v>6.7</v>
      </c>
      <c r="N1534" t="s">
        <v>91</v>
      </c>
      <c r="O1534" t="s">
        <v>46</v>
      </c>
      <c r="Q1534" t="s">
        <v>74</v>
      </c>
      <c r="R1534" t="s">
        <v>92</v>
      </c>
      <c r="S1534" t="s">
        <v>93</v>
      </c>
      <c r="T1534">
        <v>400</v>
      </c>
      <c r="U1534" t="s">
        <v>229</v>
      </c>
      <c r="V1534" t="s">
        <v>76</v>
      </c>
      <c r="X1534" t="s">
        <v>230</v>
      </c>
      <c r="Y1534" t="s">
        <v>78</v>
      </c>
      <c r="AA1534">
        <v>0</v>
      </c>
      <c r="AB1534" t="s">
        <v>79</v>
      </c>
      <c r="AC1534" t="s">
        <v>95</v>
      </c>
      <c r="AD1534">
        <v>36</v>
      </c>
      <c r="AE1534">
        <v>9</v>
      </c>
      <c r="AF1534">
        <v>3</v>
      </c>
      <c r="AG1534">
        <v>2025</v>
      </c>
      <c r="AH1534" s="2">
        <v>23300</v>
      </c>
      <c r="AI1534" s="2">
        <v>17225.8046875</v>
      </c>
      <c r="AJ1534" s="2">
        <f t="shared" si="186"/>
        <v>6074.1953125</v>
      </c>
      <c r="AK1534" s="6">
        <f t="shared" si="187"/>
        <v>0.26069507778969958</v>
      </c>
      <c r="AL1534" s="12">
        <v>23300</v>
      </c>
      <c r="AM1534" s="12">
        <v>10716.170905485409</v>
      </c>
      <c r="AN1534" s="12">
        <f t="shared" si="188"/>
        <v>12583.829094514591</v>
      </c>
      <c r="AO1534" s="13">
        <f t="shared" si="189"/>
        <v>0.54007850191049744</v>
      </c>
      <c r="AP1534" s="16">
        <v>23300</v>
      </c>
      <c r="AQ1534" s="16">
        <v>13469.9298906325</v>
      </c>
      <c r="AR1534" s="16">
        <f t="shared" si="190"/>
        <v>9830.0701093674998</v>
      </c>
      <c r="AS1534" s="17">
        <f t="shared" si="184"/>
        <v>0.421891421002897</v>
      </c>
      <c r="AT1534" s="20">
        <v>23300</v>
      </c>
      <c r="AU1534" s="20">
        <v>16176.052734375</v>
      </c>
      <c r="AV1534" s="20">
        <f t="shared" si="185"/>
        <v>7123.947265625</v>
      </c>
      <c r="AW1534" s="21">
        <f t="shared" si="191"/>
        <v>0.3057488096834764</v>
      </c>
    </row>
    <row r="1535" spans="1:49" x14ac:dyDescent="0.25">
      <c r="A1535" t="s">
        <v>38</v>
      </c>
      <c r="B1535" t="s">
        <v>39</v>
      </c>
      <c r="C1535">
        <v>80584</v>
      </c>
      <c r="D1535">
        <v>2021</v>
      </c>
      <c r="E1535" t="s">
        <v>345</v>
      </c>
      <c r="F1535" t="s">
        <v>1037</v>
      </c>
      <c r="G1535" t="s">
        <v>584</v>
      </c>
      <c r="I1535">
        <v>4</v>
      </c>
      <c r="J1535" t="s">
        <v>106</v>
      </c>
      <c r="K1535">
        <v>4</v>
      </c>
      <c r="L1535" t="s">
        <v>44</v>
      </c>
      <c r="M1535">
        <v>2</v>
      </c>
      <c r="N1535" t="s">
        <v>45</v>
      </c>
      <c r="O1535" t="s">
        <v>46</v>
      </c>
      <c r="Q1535" t="s">
        <v>62</v>
      </c>
      <c r="R1535" t="s">
        <v>63</v>
      </c>
      <c r="S1535" t="s">
        <v>101</v>
      </c>
      <c r="T1535">
        <v>228</v>
      </c>
      <c r="U1535" t="s">
        <v>50</v>
      </c>
      <c r="X1535" t="s">
        <v>65</v>
      </c>
      <c r="Y1535" t="s">
        <v>137</v>
      </c>
      <c r="Z1535">
        <v>35400</v>
      </c>
      <c r="AA1535">
        <v>0</v>
      </c>
      <c r="AB1535" t="s">
        <v>79</v>
      </c>
      <c r="AC1535" t="s">
        <v>87</v>
      </c>
      <c r="AD1535">
        <v>36</v>
      </c>
      <c r="AE1535">
        <v>9</v>
      </c>
      <c r="AF1535">
        <v>3</v>
      </c>
      <c r="AG1535">
        <v>2025</v>
      </c>
      <c r="AH1535" s="2">
        <v>14500</v>
      </c>
      <c r="AI1535" s="2">
        <v>16160.5712890625</v>
      </c>
      <c r="AJ1535" s="2">
        <f t="shared" si="186"/>
        <v>1660.5712890625</v>
      </c>
      <c r="AK1535" s="6">
        <f t="shared" si="187"/>
        <v>0.11452215786637931</v>
      </c>
      <c r="AL1535" s="12">
        <v>14500</v>
      </c>
      <c r="AM1535" s="12">
        <v>13396.48658184309</v>
      </c>
      <c r="AN1535" s="12">
        <f t="shared" si="188"/>
        <v>1103.5134181569101</v>
      </c>
      <c r="AO1535" s="13">
        <f t="shared" si="189"/>
        <v>7.6104373665993805E-2</v>
      </c>
      <c r="AP1535" s="16">
        <v>14500</v>
      </c>
      <c r="AQ1535" s="16">
        <v>11920.15935776414</v>
      </c>
      <c r="AR1535" s="16">
        <f t="shared" si="190"/>
        <v>2579.8406422358603</v>
      </c>
      <c r="AS1535" s="17">
        <f t="shared" si="184"/>
        <v>0.17792004429212829</v>
      </c>
      <c r="AT1535" s="20">
        <v>14500</v>
      </c>
      <c r="AU1535" s="20">
        <v>15600.5361328125</v>
      </c>
      <c r="AV1535" s="20">
        <f t="shared" si="185"/>
        <v>1100.5361328125</v>
      </c>
      <c r="AW1535" s="21">
        <f t="shared" si="191"/>
        <v>7.5899043642241384E-2</v>
      </c>
    </row>
    <row r="1536" spans="1:49" x14ac:dyDescent="0.25">
      <c r="A1536" t="s">
        <v>38</v>
      </c>
      <c r="B1536" t="s">
        <v>57</v>
      </c>
      <c r="C1536">
        <v>122420</v>
      </c>
      <c r="D1536">
        <v>2017</v>
      </c>
      <c r="E1536" t="s">
        <v>97</v>
      </c>
      <c r="F1536" t="s">
        <v>171</v>
      </c>
      <c r="H1536" t="s">
        <v>172</v>
      </c>
      <c r="I1536">
        <v>8</v>
      </c>
      <c r="J1536" t="s">
        <v>72</v>
      </c>
      <c r="K1536">
        <v>3</v>
      </c>
      <c r="L1536" t="s">
        <v>44</v>
      </c>
      <c r="M1536">
        <v>4.8</v>
      </c>
      <c r="N1536" t="s">
        <v>73</v>
      </c>
      <c r="O1536" t="s">
        <v>100</v>
      </c>
      <c r="P1536">
        <v>2</v>
      </c>
      <c r="Q1536" t="s">
        <v>74</v>
      </c>
      <c r="R1536" t="s">
        <v>75</v>
      </c>
      <c r="U1536" t="s">
        <v>50</v>
      </c>
      <c r="W1536" t="s">
        <v>1427</v>
      </c>
      <c r="X1536" t="s">
        <v>77</v>
      </c>
      <c r="Y1536" t="s">
        <v>78</v>
      </c>
      <c r="Z1536">
        <v>30745</v>
      </c>
      <c r="AA1536">
        <v>0</v>
      </c>
      <c r="AB1536" t="s">
        <v>79</v>
      </c>
      <c r="AC1536" t="s">
        <v>80</v>
      </c>
      <c r="AD1536">
        <v>36</v>
      </c>
      <c r="AE1536">
        <v>9</v>
      </c>
      <c r="AF1536">
        <v>3</v>
      </c>
      <c r="AG1536">
        <v>2025</v>
      </c>
      <c r="AH1536" s="2">
        <v>4500</v>
      </c>
      <c r="AI1536" s="2">
        <v>4927.32861328125</v>
      </c>
      <c r="AJ1536" s="2">
        <f t="shared" si="186"/>
        <v>427.32861328125</v>
      </c>
      <c r="AK1536" s="6">
        <f t="shared" si="187"/>
        <v>9.49619140625E-2</v>
      </c>
      <c r="AL1536" s="12">
        <v>4500</v>
      </c>
      <c r="AM1536" s="12">
        <v>5708.7362169891194</v>
      </c>
      <c r="AN1536" s="12">
        <f t="shared" si="188"/>
        <v>1208.7362169891194</v>
      </c>
      <c r="AO1536" s="13">
        <f t="shared" si="189"/>
        <v>0.26860804821980433</v>
      </c>
      <c r="AP1536" s="16">
        <v>4500</v>
      </c>
      <c r="AQ1536" s="16">
        <v>5111.8969263525232</v>
      </c>
      <c r="AR1536" s="16">
        <f t="shared" si="190"/>
        <v>611.89692635252322</v>
      </c>
      <c r="AS1536" s="17">
        <f t="shared" si="184"/>
        <v>0.13597709474500516</v>
      </c>
      <c r="AT1536" s="20">
        <v>4500</v>
      </c>
      <c r="AU1536" s="20">
        <v>5020.78955078125</v>
      </c>
      <c r="AV1536" s="20">
        <f t="shared" si="185"/>
        <v>520.78955078125</v>
      </c>
      <c r="AW1536" s="21">
        <f t="shared" si="191"/>
        <v>0.11573101128472223</v>
      </c>
    </row>
    <row r="1537" spans="1:49" x14ac:dyDescent="0.25">
      <c r="A1537" t="s">
        <v>38</v>
      </c>
      <c r="B1537" t="s">
        <v>110</v>
      </c>
      <c r="C1537">
        <v>192731</v>
      </c>
      <c r="D1537">
        <v>2013</v>
      </c>
      <c r="E1537" t="s">
        <v>162</v>
      </c>
      <c r="F1537" t="s">
        <v>211</v>
      </c>
      <c r="G1537" t="s">
        <v>212</v>
      </c>
      <c r="I1537">
        <v>4</v>
      </c>
      <c r="J1537" t="s">
        <v>106</v>
      </c>
      <c r="K1537">
        <v>4</v>
      </c>
      <c r="L1537" t="s">
        <v>44</v>
      </c>
      <c r="M1537">
        <v>1.8</v>
      </c>
      <c r="N1537" t="s">
        <v>45</v>
      </c>
      <c r="Q1537" t="s">
        <v>47</v>
      </c>
      <c r="R1537" t="s">
        <v>123</v>
      </c>
      <c r="U1537" t="s">
        <v>50</v>
      </c>
      <c r="X1537" t="s">
        <v>125</v>
      </c>
      <c r="Y1537" t="s">
        <v>78</v>
      </c>
      <c r="AA1537">
        <v>0</v>
      </c>
      <c r="AB1537" t="s">
        <v>79</v>
      </c>
      <c r="AC1537" t="s">
        <v>127</v>
      </c>
      <c r="AD1537">
        <v>36</v>
      </c>
      <c r="AE1537">
        <v>9</v>
      </c>
      <c r="AF1537">
        <v>3</v>
      </c>
      <c r="AG1537">
        <v>2025</v>
      </c>
      <c r="AH1537" s="2">
        <v>2200</v>
      </c>
      <c r="AI1537" s="2">
        <v>1272.982177734375</v>
      </c>
      <c r="AJ1537" s="2">
        <f t="shared" si="186"/>
        <v>927.017822265625</v>
      </c>
      <c r="AK1537" s="6">
        <f t="shared" si="187"/>
        <v>0.42137173739346589</v>
      </c>
      <c r="AL1537" s="12">
        <v>2200</v>
      </c>
      <c r="AM1537" s="12">
        <v>1273.102233370556</v>
      </c>
      <c r="AN1537" s="12">
        <f t="shared" si="188"/>
        <v>926.89776662944405</v>
      </c>
      <c r="AO1537" s="13">
        <f t="shared" si="189"/>
        <v>0.42131716664974728</v>
      </c>
      <c r="AP1537" s="16">
        <v>2200</v>
      </c>
      <c r="AQ1537" s="16">
        <v>1097.800518851077</v>
      </c>
      <c r="AR1537" s="16">
        <f t="shared" si="190"/>
        <v>1102.199481148923</v>
      </c>
      <c r="AS1537" s="17">
        <f t="shared" si="184"/>
        <v>0.50099976415860137</v>
      </c>
      <c r="AT1537" s="20">
        <v>2200</v>
      </c>
      <c r="AU1537" s="20">
        <v>1255.55712890625</v>
      </c>
      <c r="AV1537" s="20">
        <f t="shared" si="185"/>
        <v>944.44287109375</v>
      </c>
      <c r="AW1537" s="21">
        <f t="shared" si="191"/>
        <v>0.42929221413352275</v>
      </c>
    </row>
    <row r="1538" spans="1:49" x14ac:dyDescent="0.25">
      <c r="A1538" t="s">
        <v>38</v>
      </c>
      <c r="B1538" t="s">
        <v>39</v>
      </c>
      <c r="C1538">
        <v>171569</v>
      </c>
      <c r="D1538">
        <v>2013</v>
      </c>
      <c r="E1538" t="s">
        <v>399</v>
      </c>
      <c r="F1538" t="s">
        <v>768</v>
      </c>
      <c r="G1538" t="s">
        <v>769</v>
      </c>
      <c r="I1538">
        <v>4</v>
      </c>
      <c r="J1538" t="s">
        <v>106</v>
      </c>
      <c r="K1538">
        <v>4</v>
      </c>
      <c r="L1538" t="s">
        <v>44</v>
      </c>
      <c r="M1538">
        <v>2.5</v>
      </c>
      <c r="N1538" t="s">
        <v>44</v>
      </c>
      <c r="O1538" t="s">
        <v>46</v>
      </c>
      <c r="Q1538" t="s">
        <v>62</v>
      </c>
      <c r="R1538" t="s">
        <v>63</v>
      </c>
      <c r="S1538" t="s">
        <v>85</v>
      </c>
      <c r="U1538" t="s">
        <v>50</v>
      </c>
      <c r="V1538" t="s">
        <v>777</v>
      </c>
      <c r="W1538" t="s">
        <v>778</v>
      </c>
      <c r="X1538" t="s">
        <v>65</v>
      </c>
      <c r="Y1538" t="s">
        <v>78</v>
      </c>
      <c r="AA1538">
        <v>0</v>
      </c>
      <c r="AB1538" t="s">
        <v>79</v>
      </c>
      <c r="AC1538" t="s">
        <v>87</v>
      </c>
      <c r="AD1538">
        <v>36</v>
      </c>
      <c r="AE1538">
        <v>9</v>
      </c>
      <c r="AF1538">
        <v>3</v>
      </c>
      <c r="AG1538">
        <v>2025</v>
      </c>
      <c r="AH1538" s="2">
        <v>2000</v>
      </c>
      <c r="AI1538" s="2">
        <v>2142.62939453125</v>
      </c>
      <c r="AJ1538" s="2">
        <f t="shared" si="186"/>
        <v>142.62939453125</v>
      </c>
      <c r="AK1538" s="6">
        <f t="shared" si="187"/>
        <v>7.1314697265625004E-2</v>
      </c>
      <c r="AL1538" s="12">
        <v>2000</v>
      </c>
      <c r="AM1538" s="12">
        <v>2090.9371385688082</v>
      </c>
      <c r="AN1538" s="12">
        <f t="shared" si="188"/>
        <v>90.937138568808223</v>
      </c>
      <c r="AO1538" s="13">
        <f t="shared" si="189"/>
        <v>4.5468569284404112E-2</v>
      </c>
      <c r="AP1538" s="16">
        <v>2000</v>
      </c>
      <c r="AQ1538" s="16">
        <v>1962.922192891212</v>
      </c>
      <c r="AR1538" s="16">
        <f t="shared" si="190"/>
        <v>37.077807108787965</v>
      </c>
      <c r="AS1538" s="17">
        <f t="shared" si="184"/>
        <v>1.8538903554393981E-2</v>
      </c>
      <c r="AT1538" s="20">
        <v>2000</v>
      </c>
      <c r="AU1538" s="20">
        <v>2125.060302734375</v>
      </c>
      <c r="AV1538" s="20">
        <f t="shared" si="185"/>
        <v>125.060302734375</v>
      </c>
      <c r="AW1538" s="21">
        <f t="shared" si="191"/>
        <v>6.2530151367187495E-2</v>
      </c>
    </row>
    <row r="1539" spans="1:49" x14ac:dyDescent="0.25">
      <c r="A1539" t="s">
        <v>128</v>
      </c>
      <c r="B1539" t="s">
        <v>129</v>
      </c>
      <c r="C1539">
        <v>141713</v>
      </c>
      <c r="D1539">
        <v>2013</v>
      </c>
      <c r="E1539" t="s">
        <v>69</v>
      </c>
      <c r="F1539" t="s">
        <v>250</v>
      </c>
      <c r="H1539" t="s">
        <v>285</v>
      </c>
      <c r="I1539">
        <v>4</v>
      </c>
      <c r="J1539" t="s">
        <v>135</v>
      </c>
      <c r="K1539">
        <v>4</v>
      </c>
      <c r="L1539" t="s">
        <v>44</v>
      </c>
      <c r="M1539">
        <v>2</v>
      </c>
      <c r="N1539" t="s">
        <v>45</v>
      </c>
      <c r="Q1539" t="s">
        <v>62</v>
      </c>
      <c r="R1539" t="s">
        <v>63</v>
      </c>
      <c r="S1539" t="s">
        <v>49</v>
      </c>
      <c r="T1539">
        <v>240</v>
      </c>
      <c r="U1539" t="s">
        <v>50</v>
      </c>
      <c r="V1539" t="s">
        <v>51</v>
      </c>
      <c r="X1539" t="s">
        <v>65</v>
      </c>
      <c r="Y1539" t="s">
        <v>78</v>
      </c>
      <c r="AA1539">
        <v>0</v>
      </c>
      <c r="AB1539" t="s">
        <v>79</v>
      </c>
      <c r="AC1539" t="s">
        <v>87</v>
      </c>
      <c r="AD1539">
        <v>36</v>
      </c>
      <c r="AE1539">
        <v>9</v>
      </c>
      <c r="AF1539">
        <v>3</v>
      </c>
      <c r="AG1539">
        <v>2025</v>
      </c>
      <c r="AH1539" s="2">
        <v>1600</v>
      </c>
      <c r="AI1539" s="2">
        <v>2217.815185546875</v>
      </c>
      <c r="AJ1539" s="2">
        <f t="shared" si="186"/>
        <v>617.815185546875</v>
      </c>
      <c r="AK1539" s="6">
        <f t="shared" si="187"/>
        <v>0.38613449096679686</v>
      </c>
      <c r="AL1539" s="12">
        <v>1600</v>
      </c>
      <c r="AM1539" s="12">
        <v>2320.0009953009098</v>
      </c>
      <c r="AN1539" s="12">
        <f t="shared" si="188"/>
        <v>720.00099530090984</v>
      </c>
      <c r="AO1539" s="13">
        <f t="shared" si="189"/>
        <v>0.45000062206306862</v>
      </c>
      <c r="AP1539" s="16">
        <v>1600</v>
      </c>
      <c r="AQ1539" s="16">
        <v>2025.61815672835</v>
      </c>
      <c r="AR1539" s="16">
        <f t="shared" si="190"/>
        <v>425.61815672834996</v>
      </c>
      <c r="AS1539" s="17">
        <f t="shared" ref="AS1539:AS1602" si="192">ABS($AH1539-AQ1539)/$AH1539</f>
        <v>0.26601134795521875</v>
      </c>
      <c r="AT1539" s="20">
        <v>1600</v>
      </c>
      <c r="AU1539" s="20">
        <v>2230.213623046875</v>
      </c>
      <c r="AV1539" s="20">
        <f t="shared" ref="AV1539:AV1602" si="193">ABS(AT1539-AU1539)</f>
        <v>630.213623046875</v>
      </c>
      <c r="AW1539" s="21">
        <f t="shared" si="191"/>
        <v>0.39388351440429686</v>
      </c>
    </row>
    <row r="1540" spans="1:49" x14ac:dyDescent="0.25">
      <c r="A1540" t="s">
        <v>38</v>
      </c>
      <c r="B1540" t="s">
        <v>96</v>
      </c>
      <c r="C1540">
        <v>8553</v>
      </c>
      <c r="D1540">
        <v>2024</v>
      </c>
      <c r="E1540" t="s">
        <v>146</v>
      </c>
      <c r="F1540" t="s">
        <v>887</v>
      </c>
      <c r="G1540" t="s">
        <v>190</v>
      </c>
      <c r="I1540">
        <v>4</v>
      </c>
      <c r="J1540" t="s">
        <v>72</v>
      </c>
      <c r="K1540">
        <v>4</v>
      </c>
      <c r="L1540" t="s">
        <v>44</v>
      </c>
      <c r="M1540">
        <v>1.6</v>
      </c>
      <c r="N1540" t="s">
        <v>45</v>
      </c>
      <c r="O1540" t="s">
        <v>46</v>
      </c>
      <c r="P1540">
        <v>5</v>
      </c>
      <c r="Q1540" t="s">
        <v>47</v>
      </c>
      <c r="R1540" t="s">
        <v>48</v>
      </c>
      <c r="S1540" t="s">
        <v>49</v>
      </c>
      <c r="U1540" t="s">
        <v>50</v>
      </c>
      <c r="X1540" t="s">
        <v>53</v>
      </c>
      <c r="Y1540" t="s">
        <v>126</v>
      </c>
      <c r="AA1540">
        <v>0</v>
      </c>
      <c r="AB1540" t="s">
        <v>79</v>
      </c>
      <c r="AC1540" t="s">
        <v>359</v>
      </c>
      <c r="AD1540">
        <v>36</v>
      </c>
      <c r="AE1540">
        <v>9</v>
      </c>
      <c r="AF1540">
        <v>3</v>
      </c>
      <c r="AG1540">
        <v>2025</v>
      </c>
      <c r="AH1540" s="2">
        <v>17500</v>
      </c>
      <c r="AI1540" s="2">
        <v>18456.1640625</v>
      </c>
      <c r="AJ1540" s="2">
        <f t="shared" ref="AJ1540:AJ1603" si="194">ABS(AH1540-AI1540)</f>
        <v>956.1640625</v>
      </c>
      <c r="AK1540" s="6">
        <f t="shared" ref="AK1540:AK1603" si="195">ABS($AH1540-AI1540)/$AH1540</f>
        <v>5.4637946428571428E-2</v>
      </c>
      <c r="AL1540" s="12">
        <v>17500</v>
      </c>
      <c r="AM1540" s="12">
        <v>19648.91327581519</v>
      </c>
      <c r="AN1540" s="12">
        <f t="shared" ref="AN1540:AN1603" si="196">ABS(AL1540-AM1540)</f>
        <v>2148.91327581519</v>
      </c>
      <c r="AO1540" s="13">
        <f t="shared" ref="AO1540:AO1603" si="197">ABS($AH1540-AM1540)/$AH1540</f>
        <v>0.12279504433229657</v>
      </c>
      <c r="AP1540" s="16">
        <v>17500</v>
      </c>
      <c r="AQ1540" s="16">
        <v>19189.697903597469</v>
      </c>
      <c r="AR1540" s="16">
        <f t="shared" ref="AR1540:AR1603" si="198">ABS(AP1540-AQ1540)</f>
        <v>1689.6979035974691</v>
      </c>
      <c r="AS1540" s="17">
        <f t="shared" si="192"/>
        <v>9.6554165919855384E-2</v>
      </c>
      <c r="AT1540" s="20">
        <v>17500</v>
      </c>
      <c r="AU1540" s="20">
        <v>18462.5546875</v>
      </c>
      <c r="AV1540" s="20">
        <f t="shared" si="193"/>
        <v>962.5546875</v>
      </c>
      <c r="AW1540" s="21">
        <f t="shared" ref="AW1540:AW1603" si="199">ABS($AH1540-AU1540)/$AH1540</f>
        <v>5.5003125E-2</v>
      </c>
    </row>
    <row r="1541" spans="1:49" x14ac:dyDescent="0.25">
      <c r="A1541" t="s">
        <v>38</v>
      </c>
      <c r="B1541" t="s">
        <v>39</v>
      </c>
      <c r="C1541">
        <v>166936</v>
      </c>
      <c r="D1541">
        <v>2007</v>
      </c>
      <c r="E1541" t="s">
        <v>142</v>
      </c>
      <c r="F1541" t="s">
        <v>633</v>
      </c>
      <c r="G1541" t="s">
        <v>1428</v>
      </c>
      <c r="H1541" t="s">
        <v>715</v>
      </c>
      <c r="I1541">
        <v>6</v>
      </c>
      <c r="J1541" t="s">
        <v>122</v>
      </c>
      <c r="K1541">
        <v>4</v>
      </c>
      <c r="L1541" t="s">
        <v>44</v>
      </c>
      <c r="M1541">
        <v>3.8</v>
      </c>
      <c r="N1541" t="s">
        <v>91</v>
      </c>
      <c r="O1541" t="s">
        <v>789</v>
      </c>
      <c r="Q1541" t="s">
        <v>62</v>
      </c>
      <c r="R1541" t="s">
        <v>63</v>
      </c>
      <c r="S1541" t="s">
        <v>93</v>
      </c>
      <c r="U1541" t="s">
        <v>50</v>
      </c>
      <c r="V1541" t="s">
        <v>76</v>
      </c>
      <c r="X1541" t="s">
        <v>141</v>
      </c>
      <c r="Y1541" t="s">
        <v>78</v>
      </c>
      <c r="AA1541">
        <v>0</v>
      </c>
      <c r="AB1541" t="s">
        <v>79</v>
      </c>
      <c r="AC1541" t="s">
        <v>87</v>
      </c>
      <c r="AD1541">
        <v>36</v>
      </c>
      <c r="AE1541">
        <v>9</v>
      </c>
      <c r="AF1541">
        <v>3</v>
      </c>
      <c r="AG1541">
        <v>2025</v>
      </c>
      <c r="AH1541" s="2">
        <v>3100</v>
      </c>
      <c r="AI1541" s="2">
        <v>2161.413818359375</v>
      </c>
      <c r="AJ1541" s="2">
        <f t="shared" si="194"/>
        <v>938.586181640625</v>
      </c>
      <c r="AK1541" s="6">
        <f t="shared" si="195"/>
        <v>0.30276973601310486</v>
      </c>
      <c r="AL1541" s="12">
        <v>3100</v>
      </c>
      <c r="AM1541" s="12">
        <v>1985.276430293417</v>
      </c>
      <c r="AN1541" s="12">
        <f t="shared" si="196"/>
        <v>1114.723569706583</v>
      </c>
      <c r="AO1541" s="13">
        <f t="shared" si="197"/>
        <v>0.35958824829244612</v>
      </c>
      <c r="AP1541" s="16">
        <v>3100</v>
      </c>
      <c r="AQ1541" s="16">
        <v>1830.4671848970249</v>
      </c>
      <c r="AR1541" s="16">
        <f t="shared" si="198"/>
        <v>1269.5328151029751</v>
      </c>
      <c r="AS1541" s="17">
        <f t="shared" si="192"/>
        <v>0.4095267145493468</v>
      </c>
      <c r="AT1541" s="20">
        <v>3100</v>
      </c>
      <c r="AU1541" s="20">
        <v>2169.261474609375</v>
      </c>
      <c r="AV1541" s="20">
        <f t="shared" si="193"/>
        <v>930.738525390625</v>
      </c>
      <c r="AW1541" s="21">
        <f t="shared" si="199"/>
        <v>0.3002382339969758</v>
      </c>
    </row>
    <row r="1542" spans="1:49" x14ac:dyDescent="0.25">
      <c r="A1542" t="s">
        <v>38</v>
      </c>
      <c r="B1542" t="s">
        <v>39</v>
      </c>
      <c r="C1542">
        <v>157169</v>
      </c>
      <c r="D1542">
        <v>2013</v>
      </c>
      <c r="E1542" t="s">
        <v>146</v>
      </c>
      <c r="F1542" t="s">
        <v>1076</v>
      </c>
      <c r="I1542">
        <v>6</v>
      </c>
      <c r="J1542" t="s">
        <v>122</v>
      </c>
      <c r="K1542">
        <v>4</v>
      </c>
      <c r="L1542" t="s">
        <v>44</v>
      </c>
      <c r="M1542">
        <v>4</v>
      </c>
      <c r="N1542" t="s">
        <v>73</v>
      </c>
      <c r="O1542" t="s">
        <v>46</v>
      </c>
      <c r="Q1542" t="s">
        <v>74</v>
      </c>
      <c r="R1542" t="s">
        <v>92</v>
      </c>
      <c r="S1542" t="s">
        <v>49</v>
      </c>
      <c r="U1542" t="s">
        <v>50</v>
      </c>
      <c r="X1542" t="s">
        <v>141</v>
      </c>
      <c r="Y1542" t="s">
        <v>78</v>
      </c>
      <c r="AA1542">
        <v>0</v>
      </c>
      <c r="AB1542" t="s">
        <v>79</v>
      </c>
      <c r="AC1542" t="s">
        <v>95</v>
      </c>
      <c r="AD1542">
        <v>36</v>
      </c>
      <c r="AE1542">
        <v>9</v>
      </c>
      <c r="AF1542">
        <v>3</v>
      </c>
      <c r="AG1542">
        <v>2025</v>
      </c>
      <c r="AH1542" s="2">
        <v>5000</v>
      </c>
      <c r="AI1542" s="2">
        <v>5999.42724609375</v>
      </c>
      <c r="AJ1542" s="2">
        <f t="shared" si="194"/>
        <v>999.42724609375</v>
      </c>
      <c r="AK1542" s="6">
        <f t="shared" si="195"/>
        <v>0.19988544921875001</v>
      </c>
      <c r="AL1542" s="12">
        <v>5000</v>
      </c>
      <c r="AM1542" s="12">
        <v>5111.6203343915686</v>
      </c>
      <c r="AN1542" s="12">
        <f t="shared" si="196"/>
        <v>111.62033439156858</v>
      </c>
      <c r="AO1542" s="13">
        <f t="shared" si="197"/>
        <v>2.2324066878313717E-2</v>
      </c>
      <c r="AP1542" s="16">
        <v>5000</v>
      </c>
      <c r="AQ1542" s="16">
        <v>5414.6397626600819</v>
      </c>
      <c r="AR1542" s="16">
        <f t="shared" si="198"/>
        <v>414.63976266008194</v>
      </c>
      <c r="AS1542" s="17">
        <f t="shared" si="192"/>
        <v>8.2927952532016388E-2</v>
      </c>
      <c r="AT1542" s="20">
        <v>5000</v>
      </c>
      <c r="AU1542" s="20">
        <v>5955.50830078125</v>
      </c>
      <c r="AV1542" s="20">
        <f t="shared" si="193"/>
        <v>955.50830078125</v>
      </c>
      <c r="AW1542" s="21">
        <f t="shared" si="199"/>
        <v>0.19110166015624999</v>
      </c>
    </row>
    <row r="1543" spans="1:49" x14ac:dyDescent="0.25">
      <c r="A1543" t="s">
        <v>114</v>
      </c>
      <c r="B1543" t="s">
        <v>115</v>
      </c>
      <c r="C1543">
        <v>205806</v>
      </c>
      <c r="D1543">
        <v>2016</v>
      </c>
      <c r="E1543" t="s">
        <v>142</v>
      </c>
      <c r="F1543" t="s">
        <v>649</v>
      </c>
      <c r="G1543" t="s">
        <v>457</v>
      </c>
      <c r="H1543" t="s">
        <v>650</v>
      </c>
      <c r="I1543">
        <v>4</v>
      </c>
      <c r="J1543" t="s">
        <v>135</v>
      </c>
      <c r="K1543">
        <v>4</v>
      </c>
      <c r="L1543" t="s">
        <v>358</v>
      </c>
      <c r="M1543">
        <v>2.4</v>
      </c>
      <c r="N1543" t="s">
        <v>91</v>
      </c>
      <c r="O1543" t="s">
        <v>46</v>
      </c>
      <c r="Q1543" t="s">
        <v>62</v>
      </c>
      <c r="R1543" t="s">
        <v>63</v>
      </c>
      <c r="S1543" t="s">
        <v>93</v>
      </c>
      <c r="U1543" t="s">
        <v>50</v>
      </c>
      <c r="X1543" t="s">
        <v>65</v>
      </c>
      <c r="Y1543" t="s">
        <v>78</v>
      </c>
      <c r="AA1543">
        <v>0</v>
      </c>
      <c r="AB1543" t="s">
        <v>79</v>
      </c>
      <c r="AC1543" t="s">
        <v>87</v>
      </c>
      <c r="AD1543">
        <v>36</v>
      </c>
      <c r="AE1543">
        <v>9</v>
      </c>
      <c r="AF1543">
        <v>3</v>
      </c>
      <c r="AG1543">
        <v>2025</v>
      </c>
      <c r="AH1543" s="2">
        <v>1700</v>
      </c>
      <c r="AI1543" s="2">
        <v>1728.88232421875</v>
      </c>
      <c r="AJ1543" s="2">
        <f t="shared" si="194"/>
        <v>28.88232421875</v>
      </c>
      <c r="AK1543" s="6">
        <f t="shared" si="195"/>
        <v>1.6989602481617648E-2</v>
      </c>
      <c r="AL1543" s="12">
        <v>1700</v>
      </c>
      <c r="AM1543" s="12">
        <v>1834.072168437116</v>
      </c>
      <c r="AN1543" s="12">
        <f t="shared" si="196"/>
        <v>134.07216843711603</v>
      </c>
      <c r="AO1543" s="13">
        <f t="shared" si="197"/>
        <v>7.8865981433597673E-2</v>
      </c>
      <c r="AP1543" s="16">
        <v>1700</v>
      </c>
      <c r="AQ1543" s="16">
        <v>1023.163775968466</v>
      </c>
      <c r="AR1543" s="16">
        <f t="shared" si="198"/>
        <v>676.83622403153402</v>
      </c>
      <c r="AS1543" s="17">
        <f t="shared" si="192"/>
        <v>0.39813895531266708</v>
      </c>
      <c r="AT1543" s="20">
        <v>1700</v>
      </c>
      <c r="AU1543" s="20">
        <v>1728.509521484375</v>
      </c>
      <c r="AV1543" s="20">
        <f t="shared" si="193"/>
        <v>28.509521484375</v>
      </c>
      <c r="AW1543" s="21">
        <f t="shared" si="199"/>
        <v>1.6770306755514705E-2</v>
      </c>
    </row>
    <row r="1544" spans="1:49" x14ac:dyDescent="0.25">
      <c r="A1544" t="s">
        <v>38</v>
      </c>
      <c r="B1544" t="s">
        <v>110</v>
      </c>
      <c r="C1544">
        <v>104792</v>
      </c>
      <c r="D1544">
        <v>2019</v>
      </c>
      <c r="E1544" t="s">
        <v>69</v>
      </c>
      <c r="F1544" t="s">
        <v>231</v>
      </c>
      <c r="I1544">
        <v>8</v>
      </c>
      <c r="J1544" t="s">
        <v>106</v>
      </c>
      <c r="K1544">
        <v>4</v>
      </c>
      <c r="L1544" t="s">
        <v>44</v>
      </c>
      <c r="M1544">
        <v>5</v>
      </c>
      <c r="N1544" t="s">
        <v>91</v>
      </c>
      <c r="Q1544" t="s">
        <v>74</v>
      </c>
      <c r="R1544" t="s">
        <v>92</v>
      </c>
      <c r="S1544" t="s">
        <v>93</v>
      </c>
      <c r="T1544">
        <v>395</v>
      </c>
      <c r="U1544" t="s">
        <v>50</v>
      </c>
      <c r="V1544" t="s">
        <v>76</v>
      </c>
      <c r="W1544" t="s">
        <v>652</v>
      </c>
      <c r="X1544" t="s">
        <v>94</v>
      </c>
      <c r="Y1544" t="s">
        <v>78</v>
      </c>
      <c r="AA1544">
        <v>0</v>
      </c>
      <c r="AB1544" t="s">
        <v>79</v>
      </c>
      <c r="AC1544" t="s">
        <v>95</v>
      </c>
      <c r="AD1544">
        <v>36</v>
      </c>
      <c r="AE1544">
        <v>9</v>
      </c>
      <c r="AF1544">
        <v>3</v>
      </c>
      <c r="AG1544">
        <v>2025</v>
      </c>
      <c r="AH1544" s="2">
        <v>18000</v>
      </c>
      <c r="AI1544" s="2">
        <v>19826.478515625</v>
      </c>
      <c r="AJ1544" s="2">
        <f t="shared" si="194"/>
        <v>1826.478515625</v>
      </c>
      <c r="AK1544" s="6">
        <f t="shared" si="195"/>
        <v>0.10147102864583334</v>
      </c>
      <c r="AL1544" s="12">
        <v>18000</v>
      </c>
      <c r="AM1544" s="12">
        <v>20344.932054666941</v>
      </c>
      <c r="AN1544" s="12">
        <f t="shared" si="196"/>
        <v>2344.9320546669405</v>
      </c>
      <c r="AO1544" s="13">
        <f t="shared" si="197"/>
        <v>0.13027400303705225</v>
      </c>
      <c r="AP1544" s="16">
        <v>18000</v>
      </c>
      <c r="AQ1544" s="16">
        <v>17031.717027991359</v>
      </c>
      <c r="AR1544" s="16">
        <f t="shared" si="198"/>
        <v>968.28297200864108</v>
      </c>
      <c r="AS1544" s="17">
        <f t="shared" si="192"/>
        <v>5.3793498444924502E-2</v>
      </c>
      <c r="AT1544" s="20">
        <v>18000</v>
      </c>
      <c r="AU1544" s="20">
        <v>19721.095703125</v>
      </c>
      <c r="AV1544" s="20">
        <f t="shared" si="193"/>
        <v>1721.095703125</v>
      </c>
      <c r="AW1544" s="21">
        <f t="shared" si="199"/>
        <v>9.5616427951388888E-2</v>
      </c>
    </row>
    <row r="1545" spans="1:49" x14ac:dyDescent="0.25">
      <c r="A1545" t="s">
        <v>38</v>
      </c>
      <c r="B1545" t="s">
        <v>57</v>
      </c>
      <c r="C1545">
        <v>156592</v>
      </c>
      <c r="D1545">
        <v>2016</v>
      </c>
      <c r="E1545" t="s">
        <v>142</v>
      </c>
      <c r="F1545" t="s">
        <v>143</v>
      </c>
      <c r="G1545" t="s">
        <v>144</v>
      </c>
      <c r="H1545" t="s">
        <v>145</v>
      </c>
      <c r="I1545">
        <v>6</v>
      </c>
      <c r="J1545" t="s">
        <v>135</v>
      </c>
      <c r="K1545">
        <v>4</v>
      </c>
      <c r="L1545" t="s">
        <v>44</v>
      </c>
      <c r="M1545">
        <v>3.2</v>
      </c>
      <c r="N1545" t="s">
        <v>91</v>
      </c>
      <c r="O1545" t="s">
        <v>46</v>
      </c>
      <c r="P1545">
        <v>4</v>
      </c>
      <c r="Q1545" t="s">
        <v>62</v>
      </c>
      <c r="R1545" t="s">
        <v>63</v>
      </c>
      <c r="S1545" t="s">
        <v>93</v>
      </c>
      <c r="U1545" t="s">
        <v>50</v>
      </c>
      <c r="X1545" t="s">
        <v>141</v>
      </c>
      <c r="Y1545" t="s">
        <v>78</v>
      </c>
      <c r="AA1545">
        <v>0</v>
      </c>
      <c r="AB1545" t="s">
        <v>79</v>
      </c>
      <c r="AC1545" t="s">
        <v>87</v>
      </c>
      <c r="AD1545">
        <v>36</v>
      </c>
      <c r="AE1545">
        <v>9</v>
      </c>
      <c r="AF1545">
        <v>3</v>
      </c>
      <c r="AG1545">
        <v>2025</v>
      </c>
      <c r="AH1545" s="2">
        <v>5300</v>
      </c>
      <c r="AI1545" s="2">
        <v>4833.79931640625</v>
      </c>
      <c r="AJ1545" s="2">
        <f t="shared" si="194"/>
        <v>466.20068359375</v>
      </c>
      <c r="AK1545" s="6">
        <f t="shared" si="195"/>
        <v>8.7962393130896224E-2</v>
      </c>
      <c r="AL1545" s="12">
        <v>5300</v>
      </c>
      <c r="AM1545" s="12">
        <v>5837.5165035771442</v>
      </c>
      <c r="AN1545" s="12">
        <f t="shared" si="196"/>
        <v>537.51650357714425</v>
      </c>
      <c r="AO1545" s="13">
        <f t="shared" si="197"/>
        <v>0.10141820822210269</v>
      </c>
      <c r="AP1545" s="16">
        <v>5300</v>
      </c>
      <c r="AQ1545" s="16">
        <v>4980.5504488688712</v>
      </c>
      <c r="AR1545" s="16">
        <f t="shared" si="198"/>
        <v>319.44955113112883</v>
      </c>
      <c r="AS1545" s="17">
        <f t="shared" si="192"/>
        <v>6.0273500213420532E-2</v>
      </c>
      <c r="AT1545" s="20">
        <v>5300</v>
      </c>
      <c r="AU1545" s="20">
        <v>4903.341796875</v>
      </c>
      <c r="AV1545" s="20">
        <f t="shared" si="193"/>
        <v>396.658203125</v>
      </c>
      <c r="AW1545" s="21">
        <f t="shared" si="199"/>
        <v>7.4841170400943402E-2</v>
      </c>
    </row>
    <row r="1546" spans="1:49" x14ac:dyDescent="0.25">
      <c r="A1546" t="s">
        <v>128</v>
      </c>
      <c r="B1546" t="s">
        <v>484</v>
      </c>
      <c r="C1546">
        <v>100082</v>
      </c>
      <c r="D1546">
        <v>2019</v>
      </c>
      <c r="E1546" t="s">
        <v>88</v>
      </c>
      <c r="F1546" t="s">
        <v>89</v>
      </c>
      <c r="G1546" t="s">
        <v>442</v>
      </c>
      <c r="H1546" t="s">
        <v>176</v>
      </c>
      <c r="I1546">
        <v>8</v>
      </c>
      <c r="J1546" t="s">
        <v>61</v>
      </c>
      <c r="K1546">
        <v>4</v>
      </c>
      <c r="L1546" t="s">
        <v>44</v>
      </c>
      <c r="M1546">
        <v>5.7</v>
      </c>
      <c r="N1546" t="s">
        <v>73</v>
      </c>
      <c r="O1546" t="s">
        <v>46</v>
      </c>
      <c r="P1546">
        <v>4</v>
      </c>
      <c r="Q1546" t="s">
        <v>74</v>
      </c>
      <c r="R1546" t="s">
        <v>92</v>
      </c>
      <c r="S1546" t="s">
        <v>49</v>
      </c>
      <c r="T1546">
        <v>395</v>
      </c>
      <c r="U1546" t="s">
        <v>50</v>
      </c>
      <c r="V1546" t="s">
        <v>76</v>
      </c>
      <c r="X1546" t="s">
        <v>94</v>
      </c>
      <c r="Y1546" t="s">
        <v>78</v>
      </c>
      <c r="AA1546">
        <v>0</v>
      </c>
      <c r="AB1546" t="s">
        <v>79</v>
      </c>
      <c r="AC1546" t="s">
        <v>95</v>
      </c>
      <c r="AD1546">
        <v>36</v>
      </c>
      <c r="AE1546">
        <v>9</v>
      </c>
      <c r="AF1546">
        <v>3</v>
      </c>
      <c r="AG1546">
        <v>2025</v>
      </c>
      <c r="AH1546" s="2">
        <v>13400</v>
      </c>
      <c r="AI1546" s="2">
        <v>15416.9345703125</v>
      </c>
      <c r="AJ1546" s="2">
        <f t="shared" si="194"/>
        <v>2016.9345703125</v>
      </c>
      <c r="AK1546" s="6">
        <f t="shared" si="195"/>
        <v>0.15051750524720151</v>
      </c>
      <c r="AL1546" s="12">
        <v>13400</v>
      </c>
      <c r="AM1546" s="12">
        <v>16543.75632726762</v>
      </c>
      <c r="AN1546" s="12">
        <f t="shared" si="196"/>
        <v>3143.7563272676198</v>
      </c>
      <c r="AO1546" s="13">
        <f t="shared" si="197"/>
        <v>0.23460868113937461</v>
      </c>
      <c r="AP1546" s="16">
        <v>13400</v>
      </c>
      <c r="AQ1546" s="16">
        <v>17310.206575037231</v>
      </c>
      <c r="AR1546" s="16">
        <f t="shared" si="198"/>
        <v>3910.2065750372312</v>
      </c>
      <c r="AS1546" s="17">
        <f t="shared" si="192"/>
        <v>0.29180646082367395</v>
      </c>
      <c r="AT1546" s="20">
        <v>13400</v>
      </c>
      <c r="AU1546" s="20">
        <v>15619.96484375</v>
      </c>
      <c r="AV1546" s="20">
        <f t="shared" si="193"/>
        <v>2219.96484375</v>
      </c>
      <c r="AW1546" s="21">
        <f t="shared" si="199"/>
        <v>0.1656690181902985</v>
      </c>
    </row>
    <row r="1547" spans="1:49" x14ac:dyDescent="0.25">
      <c r="A1547" t="s">
        <v>38</v>
      </c>
      <c r="B1547" t="s">
        <v>110</v>
      </c>
      <c r="C1547">
        <v>107973</v>
      </c>
      <c r="D1547">
        <v>2006</v>
      </c>
      <c r="E1547" t="s">
        <v>213</v>
      </c>
      <c r="F1547" t="s">
        <v>1429</v>
      </c>
      <c r="I1547">
        <v>8</v>
      </c>
      <c r="J1547" t="s">
        <v>61</v>
      </c>
      <c r="K1547">
        <v>4</v>
      </c>
      <c r="L1547" t="s">
        <v>44</v>
      </c>
      <c r="M1547">
        <v>4.5</v>
      </c>
      <c r="N1547" t="s">
        <v>73</v>
      </c>
      <c r="Q1547" t="s">
        <v>47</v>
      </c>
      <c r="R1547" t="s">
        <v>123</v>
      </c>
      <c r="S1547" t="s">
        <v>49</v>
      </c>
      <c r="U1547" t="s">
        <v>50</v>
      </c>
      <c r="V1547" t="s">
        <v>76</v>
      </c>
      <c r="W1547" t="s">
        <v>1430</v>
      </c>
      <c r="X1547" t="s">
        <v>125</v>
      </c>
      <c r="Y1547" t="s">
        <v>54</v>
      </c>
      <c r="AA1547">
        <v>0</v>
      </c>
      <c r="AB1547" t="s">
        <v>79</v>
      </c>
      <c r="AC1547" t="s">
        <v>127</v>
      </c>
      <c r="AD1547">
        <v>36</v>
      </c>
      <c r="AE1547">
        <v>9</v>
      </c>
      <c r="AF1547">
        <v>3</v>
      </c>
      <c r="AG1547">
        <v>2025</v>
      </c>
      <c r="AH1547" s="2">
        <v>2900</v>
      </c>
      <c r="AI1547" s="2">
        <v>2304.04736328125</v>
      </c>
      <c r="AJ1547" s="2">
        <f t="shared" si="194"/>
        <v>595.95263671875</v>
      </c>
      <c r="AK1547" s="6">
        <f t="shared" si="195"/>
        <v>0.20550090921336206</v>
      </c>
      <c r="AL1547" s="12">
        <v>2900</v>
      </c>
      <c r="AM1547" s="12">
        <v>2672.843290902134</v>
      </c>
      <c r="AN1547" s="12">
        <f t="shared" si="196"/>
        <v>227.15670909786604</v>
      </c>
      <c r="AO1547" s="13">
        <f t="shared" si="197"/>
        <v>7.8329899688919319E-2</v>
      </c>
      <c r="AP1547" s="16">
        <v>2900</v>
      </c>
      <c r="AQ1547" s="16">
        <v>2339.6404945631639</v>
      </c>
      <c r="AR1547" s="16">
        <f t="shared" si="198"/>
        <v>560.35950543683612</v>
      </c>
      <c r="AS1547" s="17">
        <f t="shared" si="192"/>
        <v>0.19322741566787452</v>
      </c>
      <c r="AT1547" s="20">
        <v>2900</v>
      </c>
      <c r="AU1547" s="20">
        <v>2357.763916015625</v>
      </c>
      <c r="AV1547" s="20">
        <f t="shared" si="193"/>
        <v>542.236083984375</v>
      </c>
      <c r="AW1547" s="21">
        <f t="shared" si="199"/>
        <v>0.18697795999461206</v>
      </c>
    </row>
    <row r="1548" spans="1:49" x14ac:dyDescent="0.25">
      <c r="A1548" t="s">
        <v>38</v>
      </c>
      <c r="B1548" t="s">
        <v>96</v>
      </c>
      <c r="C1548">
        <v>174584</v>
      </c>
      <c r="D1548">
        <v>2014</v>
      </c>
      <c r="E1548" t="s">
        <v>69</v>
      </c>
      <c r="F1548" t="s">
        <v>394</v>
      </c>
      <c r="H1548" t="s">
        <v>224</v>
      </c>
      <c r="I1548">
        <v>4</v>
      </c>
      <c r="J1548" t="s">
        <v>72</v>
      </c>
      <c r="K1548">
        <v>4</v>
      </c>
      <c r="L1548" t="s">
        <v>44</v>
      </c>
      <c r="M1548">
        <v>2.5</v>
      </c>
      <c r="N1548" t="s">
        <v>45</v>
      </c>
      <c r="O1548" t="s">
        <v>46</v>
      </c>
      <c r="P1548">
        <v>2</v>
      </c>
      <c r="Q1548" t="s">
        <v>47</v>
      </c>
      <c r="R1548" t="s">
        <v>123</v>
      </c>
      <c r="S1548" t="s">
        <v>101</v>
      </c>
      <c r="T1548">
        <v>175</v>
      </c>
      <c r="U1548" t="s">
        <v>50</v>
      </c>
      <c r="V1548" t="s">
        <v>51</v>
      </c>
      <c r="X1548" t="s">
        <v>125</v>
      </c>
      <c r="Y1548" t="s">
        <v>78</v>
      </c>
      <c r="AA1548">
        <v>0</v>
      </c>
      <c r="AB1548" t="s">
        <v>79</v>
      </c>
      <c r="AC1548" t="s">
        <v>127</v>
      </c>
      <c r="AD1548">
        <v>36</v>
      </c>
      <c r="AE1548">
        <v>9</v>
      </c>
      <c r="AF1548">
        <v>3</v>
      </c>
      <c r="AG1548">
        <v>2025</v>
      </c>
      <c r="AH1548" s="2">
        <v>1400</v>
      </c>
      <c r="AI1548" s="2">
        <v>1508.207153320312</v>
      </c>
      <c r="AJ1548" s="2">
        <f t="shared" si="194"/>
        <v>108.20715332031205</v>
      </c>
      <c r="AK1548" s="6">
        <f t="shared" si="195"/>
        <v>7.7290823800222883E-2</v>
      </c>
      <c r="AL1548" s="12">
        <v>1400</v>
      </c>
      <c r="AM1548" s="12">
        <v>1460.884510730953</v>
      </c>
      <c r="AN1548" s="12">
        <f t="shared" si="196"/>
        <v>60.884510730953025</v>
      </c>
      <c r="AO1548" s="13">
        <f t="shared" si="197"/>
        <v>4.348893623639502E-2</v>
      </c>
      <c r="AP1548" s="16">
        <v>1400</v>
      </c>
      <c r="AQ1548" s="16">
        <v>1290.144563201934</v>
      </c>
      <c r="AR1548" s="16">
        <f t="shared" si="198"/>
        <v>109.85543679806597</v>
      </c>
      <c r="AS1548" s="17">
        <f t="shared" si="192"/>
        <v>7.8468169141475697E-2</v>
      </c>
      <c r="AT1548" s="20">
        <v>1400</v>
      </c>
      <c r="AU1548" s="20">
        <v>1475.305541992188</v>
      </c>
      <c r="AV1548" s="20">
        <f t="shared" si="193"/>
        <v>75.305541992187955</v>
      </c>
      <c r="AW1548" s="21">
        <f t="shared" si="199"/>
        <v>5.3789672851562824E-2</v>
      </c>
    </row>
    <row r="1549" spans="1:49" x14ac:dyDescent="0.25">
      <c r="A1549" t="s">
        <v>38</v>
      </c>
      <c r="B1549" t="s">
        <v>110</v>
      </c>
      <c r="C1549">
        <v>191141</v>
      </c>
      <c r="D1549">
        <v>2014</v>
      </c>
      <c r="E1549" t="s">
        <v>69</v>
      </c>
      <c r="F1549" t="s">
        <v>231</v>
      </c>
      <c r="I1549">
        <v>8</v>
      </c>
      <c r="J1549" t="s">
        <v>72</v>
      </c>
      <c r="K1549">
        <v>4</v>
      </c>
      <c r="L1549" t="s">
        <v>44</v>
      </c>
      <c r="M1549">
        <v>5</v>
      </c>
      <c r="N1549" t="s">
        <v>91</v>
      </c>
      <c r="Q1549" t="s">
        <v>74</v>
      </c>
      <c r="R1549" t="s">
        <v>92</v>
      </c>
      <c r="S1549" t="s">
        <v>93</v>
      </c>
      <c r="T1549">
        <v>360</v>
      </c>
      <c r="U1549" t="s">
        <v>50</v>
      </c>
      <c r="V1549" t="s">
        <v>76</v>
      </c>
      <c r="X1549" t="s">
        <v>108</v>
      </c>
      <c r="Y1549" t="s">
        <v>78</v>
      </c>
      <c r="AA1549">
        <v>0</v>
      </c>
      <c r="AB1549" t="s">
        <v>79</v>
      </c>
      <c r="AC1549" t="s">
        <v>95</v>
      </c>
      <c r="AD1549">
        <v>36</v>
      </c>
      <c r="AE1549">
        <v>9</v>
      </c>
      <c r="AF1549">
        <v>3</v>
      </c>
      <c r="AG1549">
        <v>2025</v>
      </c>
      <c r="AH1549" s="2">
        <v>5000</v>
      </c>
      <c r="AI1549" s="2">
        <v>6406.84814453125</v>
      </c>
      <c r="AJ1549" s="2">
        <f t="shared" si="194"/>
        <v>1406.84814453125</v>
      </c>
      <c r="AK1549" s="6">
        <f t="shared" si="195"/>
        <v>0.28136962890625</v>
      </c>
      <c r="AL1549" s="12">
        <v>5000</v>
      </c>
      <c r="AM1549" s="12">
        <v>6487.6755408637373</v>
      </c>
      <c r="AN1549" s="12">
        <f t="shared" si="196"/>
        <v>1487.6755408637373</v>
      </c>
      <c r="AO1549" s="13">
        <f t="shared" si="197"/>
        <v>0.29753510817274748</v>
      </c>
      <c r="AP1549" s="16">
        <v>5000</v>
      </c>
      <c r="AQ1549" s="16">
        <v>5379.8846039048949</v>
      </c>
      <c r="AR1549" s="16">
        <f t="shared" si="198"/>
        <v>379.8846039048949</v>
      </c>
      <c r="AS1549" s="17">
        <f t="shared" si="192"/>
        <v>7.5976920780978979E-2</v>
      </c>
      <c r="AT1549" s="20">
        <v>5000</v>
      </c>
      <c r="AU1549" s="20">
        <v>6478.86474609375</v>
      </c>
      <c r="AV1549" s="20">
        <f t="shared" si="193"/>
        <v>1478.86474609375</v>
      </c>
      <c r="AW1549" s="21">
        <f t="shared" si="199"/>
        <v>0.29577294921875003</v>
      </c>
    </row>
    <row r="1550" spans="1:49" x14ac:dyDescent="0.25">
      <c r="A1550" t="s">
        <v>38</v>
      </c>
      <c r="B1550" t="s">
        <v>68</v>
      </c>
      <c r="C1550">
        <v>104853</v>
      </c>
      <c r="D1550">
        <v>2023</v>
      </c>
      <c r="E1550" t="s">
        <v>97</v>
      </c>
      <c r="F1550" t="s">
        <v>470</v>
      </c>
      <c r="G1550" t="s">
        <v>513</v>
      </c>
      <c r="I1550">
        <v>4</v>
      </c>
      <c r="J1550" t="s">
        <v>135</v>
      </c>
      <c r="K1550">
        <v>4</v>
      </c>
      <c r="L1550" t="s">
        <v>44</v>
      </c>
      <c r="M1550">
        <v>1.5</v>
      </c>
      <c r="N1550" t="s">
        <v>45</v>
      </c>
      <c r="O1550" t="s">
        <v>46</v>
      </c>
      <c r="P1550">
        <v>4</v>
      </c>
      <c r="Q1550" t="s">
        <v>47</v>
      </c>
      <c r="R1550" t="s">
        <v>123</v>
      </c>
      <c r="U1550" t="s">
        <v>50</v>
      </c>
      <c r="V1550" t="s">
        <v>51</v>
      </c>
      <c r="W1550" t="s">
        <v>751</v>
      </c>
      <c r="X1550" t="s">
        <v>125</v>
      </c>
      <c r="Y1550" t="s">
        <v>78</v>
      </c>
      <c r="AA1550">
        <v>0</v>
      </c>
      <c r="AB1550" t="s">
        <v>79</v>
      </c>
      <c r="AC1550" t="s">
        <v>127</v>
      </c>
      <c r="AD1550">
        <v>36</v>
      </c>
      <c r="AE1550">
        <v>9</v>
      </c>
      <c r="AF1550">
        <v>3</v>
      </c>
      <c r="AG1550">
        <v>2025</v>
      </c>
      <c r="AH1550" s="2">
        <v>10500</v>
      </c>
      <c r="AI1550" s="2">
        <v>13891.6328125</v>
      </c>
      <c r="AJ1550" s="2">
        <f t="shared" si="194"/>
        <v>3391.6328125</v>
      </c>
      <c r="AK1550" s="6">
        <f t="shared" si="195"/>
        <v>0.32301264880952379</v>
      </c>
      <c r="AL1550" s="12">
        <v>10500</v>
      </c>
      <c r="AM1550" s="12">
        <v>14444.6373832027</v>
      </c>
      <c r="AN1550" s="12">
        <f t="shared" si="196"/>
        <v>3944.6373832027002</v>
      </c>
      <c r="AO1550" s="13">
        <f t="shared" si="197"/>
        <v>0.37567975078120952</v>
      </c>
      <c r="AP1550" s="16">
        <v>10500</v>
      </c>
      <c r="AQ1550" s="16">
        <v>12206.4898325104</v>
      </c>
      <c r="AR1550" s="16">
        <f t="shared" si="198"/>
        <v>1706.4898325104004</v>
      </c>
      <c r="AS1550" s="17">
        <f t="shared" si="192"/>
        <v>0.1625228411914667</v>
      </c>
      <c r="AT1550" s="20">
        <v>10500</v>
      </c>
      <c r="AU1550" s="20">
        <v>14042.18359375</v>
      </c>
      <c r="AV1550" s="20">
        <f t="shared" si="193"/>
        <v>3542.18359375</v>
      </c>
      <c r="AW1550" s="21">
        <f t="shared" si="199"/>
        <v>0.33735081845238096</v>
      </c>
    </row>
    <row r="1551" spans="1:49" x14ac:dyDescent="0.25">
      <c r="A1551" t="s">
        <v>38</v>
      </c>
      <c r="B1551" t="s">
        <v>96</v>
      </c>
      <c r="C1551">
        <v>97380</v>
      </c>
      <c r="D1551">
        <v>2019</v>
      </c>
      <c r="E1551" t="s">
        <v>116</v>
      </c>
      <c r="F1551" t="s">
        <v>251</v>
      </c>
      <c r="H1551" t="s">
        <v>252</v>
      </c>
      <c r="I1551">
        <v>4</v>
      </c>
      <c r="J1551" t="s">
        <v>43</v>
      </c>
      <c r="K1551">
        <v>4</v>
      </c>
      <c r="L1551" t="s">
        <v>44</v>
      </c>
      <c r="M1551">
        <v>2.4</v>
      </c>
      <c r="N1551" t="s">
        <v>45</v>
      </c>
      <c r="O1551" t="s">
        <v>46</v>
      </c>
      <c r="P1551">
        <v>3</v>
      </c>
      <c r="Q1551" t="s">
        <v>62</v>
      </c>
      <c r="R1551" t="s">
        <v>63</v>
      </c>
      <c r="S1551" t="s">
        <v>101</v>
      </c>
      <c r="T1551">
        <v>173</v>
      </c>
      <c r="U1551" t="s">
        <v>50</v>
      </c>
      <c r="V1551" t="s">
        <v>51</v>
      </c>
      <c r="X1551" t="s">
        <v>141</v>
      </c>
      <c r="Y1551" t="s">
        <v>126</v>
      </c>
      <c r="AA1551">
        <v>0</v>
      </c>
      <c r="AB1551" t="s">
        <v>79</v>
      </c>
      <c r="AC1551" t="s">
        <v>87</v>
      </c>
      <c r="AD1551">
        <v>36</v>
      </c>
      <c r="AE1551">
        <v>9</v>
      </c>
      <c r="AF1551">
        <v>3</v>
      </c>
      <c r="AG1551">
        <v>2025</v>
      </c>
      <c r="AH1551" s="2">
        <v>6600</v>
      </c>
      <c r="AI1551" s="2">
        <v>6991.80029296875</v>
      </c>
      <c r="AJ1551" s="2">
        <f t="shared" si="194"/>
        <v>391.80029296875</v>
      </c>
      <c r="AK1551" s="6">
        <f t="shared" si="195"/>
        <v>5.936368075284091E-2</v>
      </c>
      <c r="AL1551" s="12">
        <v>6600</v>
      </c>
      <c r="AM1551" s="12">
        <v>7523.1046128025919</v>
      </c>
      <c r="AN1551" s="12">
        <f t="shared" si="196"/>
        <v>923.10461280259187</v>
      </c>
      <c r="AO1551" s="13">
        <f t="shared" si="197"/>
        <v>0.13986433527311998</v>
      </c>
      <c r="AP1551" s="16">
        <v>6600</v>
      </c>
      <c r="AQ1551" s="16">
        <v>5741.0886634522813</v>
      </c>
      <c r="AR1551" s="16">
        <f t="shared" si="198"/>
        <v>858.91133654771875</v>
      </c>
      <c r="AS1551" s="17">
        <f t="shared" si="192"/>
        <v>0.1301380812951089</v>
      </c>
      <c r="AT1551" s="20">
        <v>6600</v>
      </c>
      <c r="AU1551" s="20">
        <v>7122.7265625</v>
      </c>
      <c r="AV1551" s="20">
        <f t="shared" si="193"/>
        <v>522.7265625</v>
      </c>
      <c r="AW1551" s="21">
        <f t="shared" si="199"/>
        <v>7.9200994318181825E-2</v>
      </c>
    </row>
    <row r="1552" spans="1:49" x14ac:dyDescent="0.25">
      <c r="A1552" t="s">
        <v>128</v>
      </c>
      <c r="B1552" t="s">
        <v>129</v>
      </c>
      <c r="C1552">
        <v>229016</v>
      </c>
      <c r="D1552">
        <v>2015</v>
      </c>
      <c r="E1552" t="s">
        <v>40</v>
      </c>
      <c r="F1552" t="s">
        <v>215</v>
      </c>
      <c r="G1552" t="s">
        <v>1431</v>
      </c>
      <c r="H1552" t="s">
        <v>1432</v>
      </c>
      <c r="I1552">
        <v>8</v>
      </c>
      <c r="J1552" t="s">
        <v>43</v>
      </c>
      <c r="K1552">
        <v>4</v>
      </c>
      <c r="L1552" t="s">
        <v>44</v>
      </c>
      <c r="M1552">
        <v>4.5999999999999996</v>
      </c>
      <c r="N1552" t="s">
        <v>73</v>
      </c>
      <c r="O1552" t="s">
        <v>46</v>
      </c>
      <c r="Q1552" t="s">
        <v>74</v>
      </c>
      <c r="R1552" t="s">
        <v>92</v>
      </c>
      <c r="S1552" t="s">
        <v>49</v>
      </c>
      <c r="T1552">
        <v>310</v>
      </c>
      <c r="U1552" t="s">
        <v>50</v>
      </c>
      <c r="V1552" t="s">
        <v>76</v>
      </c>
      <c r="W1552" t="s">
        <v>218</v>
      </c>
      <c r="X1552" t="s">
        <v>219</v>
      </c>
      <c r="Y1552" t="s">
        <v>78</v>
      </c>
      <c r="AA1552">
        <v>0</v>
      </c>
      <c r="AB1552" t="s">
        <v>79</v>
      </c>
      <c r="AC1552" t="s">
        <v>95</v>
      </c>
      <c r="AD1552">
        <v>36</v>
      </c>
      <c r="AE1552">
        <v>9</v>
      </c>
      <c r="AF1552">
        <v>3</v>
      </c>
      <c r="AG1552">
        <v>2025</v>
      </c>
      <c r="AH1552" s="2">
        <v>7200</v>
      </c>
      <c r="AI1552" s="2">
        <v>5861.40576171875</v>
      </c>
      <c r="AJ1552" s="2">
        <f t="shared" si="194"/>
        <v>1338.59423828125</v>
      </c>
      <c r="AK1552" s="6">
        <f t="shared" si="195"/>
        <v>0.18591586642795138</v>
      </c>
      <c r="AL1552" s="12">
        <v>7200</v>
      </c>
      <c r="AM1552" s="12">
        <v>7740.2620141216112</v>
      </c>
      <c r="AN1552" s="12">
        <f t="shared" si="196"/>
        <v>540.26201412161117</v>
      </c>
      <c r="AO1552" s="13">
        <f t="shared" si="197"/>
        <v>7.5036390850223775E-2</v>
      </c>
      <c r="AP1552" s="16">
        <v>7200</v>
      </c>
      <c r="AQ1552" s="16">
        <v>6709.9681286443574</v>
      </c>
      <c r="AR1552" s="16">
        <f t="shared" si="198"/>
        <v>490.03187135564258</v>
      </c>
      <c r="AS1552" s="17">
        <f t="shared" si="192"/>
        <v>6.8059982132728139E-2</v>
      </c>
      <c r="AT1552" s="20">
        <v>7200</v>
      </c>
      <c r="AU1552" s="20">
        <v>6136.23046875</v>
      </c>
      <c r="AV1552" s="20">
        <f t="shared" si="193"/>
        <v>1063.76953125</v>
      </c>
      <c r="AW1552" s="21">
        <f t="shared" si="199"/>
        <v>0.14774576822916666</v>
      </c>
    </row>
    <row r="1553" spans="1:49" x14ac:dyDescent="0.25">
      <c r="A1553" t="s">
        <v>128</v>
      </c>
      <c r="B1553" t="s">
        <v>210</v>
      </c>
      <c r="C1553">
        <v>131051</v>
      </c>
      <c r="D1553">
        <v>2016</v>
      </c>
      <c r="E1553" t="s">
        <v>40</v>
      </c>
      <c r="F1553" t="s">
        <v>201</v>
      </c>
      <c r="G1553" t="s">
        <v>202</v>
      </c>
      <c r="H1553" t="s">
        <v>203</v>
      </c>
      <c r="I1553">
        <v>4</v>
      </c>
      <c r="J1553" t="s">
        <v>122</v>
      </c>
      <c r="K1553">
        <v>4</v>
      </c>
      <c r="L1553" t="s">
        <v>44</v>
      </c>
      <c r="M1553">
        <v>1.8</v>
      </c>
      <c r="N1553" t="s">
        <v>45</v>
      </c>
      <c r="O1553" t="s">
        <v>46</v>
      </c>
      <c r="Q1553" t="s">
        <v>47</v>
      </c>
      <c r="R1553" t="s">
        <v>123</v>
      </c>
      <c r="S1553" t="s">
        <v>49</v>
      </c>
      <c r="T1553">
        <v>132</v>
      </c>
      <c r="U1553" t="s">
        <v>50</v>
      </c>
      <c r="V1553" t="s">
        <v>51</v>
      </c>
      <c r="W1553" t="s">
        <v>204</v>
      </c>
      <c r="X1553" t="s">
        <v>125</v>
      </c>
      <c r="Y1553" t="s">
        <v>78</v>
      </c>
      <c r="AA1553">
        <v>0</v>
      </c>
      <c r="AB1553" t="s">
        <v>79</v>
      </c>
      <c r="AC1553" t="s">
        <v>127</v>
      </c>
      <c r="AD1553">
        <v>36</v>
      </c>
      <c r="AE1553">
        <v>9</v>
      </c>
      <c r="AF1553">
        <v>3</v>
      </c>
      <c r="AG1553">
        <v>2025</v>
      </c>
      <c r="AH1553" s="2">
        <v>4000</v>
      </c>
      <c r="AI1553" s="2">
        <v>4182.07666015625</v>
      </c>
      <c r="AJ1553" s="2">
        <f t="shared" si="194"/>
        <v>182.07666015625</v>
      </c>
      <c r="AK1553" s="6">
        <f t="shared" si="195"/>
        <v>4.5519165039062497E-2</v>
      </c>
      <c r="AL1553" s="12">
        <v>4000</v>
      </c>
      <c r="AM1553" s="12">
        <v>4831.9635287847486</v>
      </c>
      <c r="AN1553" s="12">
        <f t="shared" si="196"/>
        <v>831.96352878474863</v>
      </c>
      <c r="AO1553" s="13">
        <f t="shared" si="197"/>
        <v>0.20799088219618717</v>
      </c>
      <c r="AP1553" s="16">
        <v>4000</v>
      </c>
      <c r="AQ1553" s="16">
        <v>4654.2346012602184</v>
      </c>
      <c r="AR1553" s="16">
        <f t="shared" si="198"/>
        <v>654.23460126021837</v>
      </c>
      <c r="AS1553" s="17">
        <f t="shared" si="192"/>
        <v>0.16355865031505459</v>
      </c>
      <c r="AT1553" s="20">
        <v>4000</v>
      </c>
      <c r="AU1553" s="20">
        <v>4263.64892578125</v>
      </c>
      <c r="AV1553" s="20">
        <f t="shared" si="193"/>
        <v>263.64892578125</v>
      </c>
      <c r="AW1553" s="21">
        <f t="shared" si="199"/>
        <v>6.5912231445312497E-2</v>
      </c>
    </row>
    <row r="1554" spans="1:49" x14ac:dyDescent="0.25">
      <c r="A1554" t="s">
        <v>81</v>
      </c>
      <c r="B1554" t="s">
        <v>186</v>
      </c>
      <c r="C1554">
        <v>20766</v>
      </c>
      <c r="D1554">
        <v>2021</v>
      </c>
      <c r="E1554" t="s">
        <v>174</v>
      </c>
      <c r="F1554" t="s">
        <v>645</v>
      </c>
      <c r="H1554" t="s">
        <v>548</v>
      </c>
      <c r="I1554">
        <v>6</v>
      </c>
      <c r="J1554" t="s">
        <v>61</v>
      </c>
      <c r="K1554">
        <v>4</v>
      </c>
      <c r="L1554" t="s">
        <v>44</v>
      </c>
      <c r="M1554">
        <v>3.6</v>
      </c>
      <c r="N1554" t="s">
        <v>45</v>
      </c>
      <c r="O1554" t="s">
        <v>46</v>
      </c>
      <c r="Q1554" t="s">
        <v>62</v>
      </c>
      <c r="R1554" t="s">
        <v>63</v>
      </c>
      <c r="S1554" t="s">
        <v>101</v>
      </c>
      <c r="U1554" t="s">
        <v>50</v>
      </c>
      <c r="V1554" t="s">
        <v>76</v>
      </c>
      <c r="W1554" t="s">
        <v>1433</v>
      </c>
      <c r="X1554" t="s">
        <v>94</v>
      </c>
      <c r="Y1554" t="s">
        <v>78</v>
      </c>
      <c r="AA1554">
        <v>0</v>
      </c>
      <c r="AB1554" t="s">
        <v>79</v>
      </c>
      <c r="AC1554" t="s">
        <v>87</v>
      </c>
      <c r="AD1554">
        <v>36</v>
      </c>
      <c r="AE1554">
        <v>9</v>
      </c>
      <c r="AF1554">
        <v>3</v>
      </c>
      <c r="AG1554">
        <v>2025</v>
      </c>
      <c r="AH1554" s="2">
        <v>31400</v>
      </c>
      <c r="AI1554" s="2">
        <v>34714.078125</v>
      </c>
      <c r="AJ1554" s="2">
        <f t="shared" si="194"/>
        <v>3314.078125</v>
      </c>
      <c r="AK1554" s="6">
        <f t="shared" si="195"/>
        <v>0.10554388933121019</v>
      </c>
      <c r="AL1554" s="12">
        <v>31400</v>
      </c>
      <c r="AM1554" s="12">
        <v>27530.67327293229</v>
      </c>
      <c r="AN1554" s="12">
        <f t="shared" si="196"/>
        <v>3869.3267270677097</v>
      </c>
      <c r="AO1554" s="13">
        <f t="shared" si="197"/>
        <v>0.12322696583018183</v>
      </c>
      <c r="AP1554" s="16">
        <v>31400</v>
      </c>
      <c r="AQ1554" s="16">
        <v>24556.953348251849</v>
      </c>
      <c r="AR1554" s="16">
        <f t="shared" si="198"/>
        <v>6843.0466517481509</v>
      </c>
      <c r="AS1554" s="17">
        <f t="shared" si="192"/>
        <v>0.21793142203019589</v>
      </c>
      <c r="AT1554" s="20">
        <v>31400</v>
      </c>
      <c r="AU1554" s="20">
        <v>33595.47265625</v>
      </c>
      <c r="AV1554" s="20">
        <f t="shared" si="193"/>
        <v>2195.47265625</v>
      </c>
      <c r="AW1554" s="21">
        <f t="shared" si="199"/>
        <v>6.9919511345541405E-2</v>
      </c>
    </row>
    <row r="1555" spans="1:49" x14ac:dyDescent="0.25">
      <c r="A1555" t="s">
        <v>38</v>
      </c>
      <c r="B1555" t="s">
        <v>96</v>
      </c>
      <c r="C1555">
        <v>87882</v>
      </c>
      <c r="D1555">
        <v>2016</v>
      </c>
      <c r="E1555" t="s">
        <v>557</v>
      </c>
      <c r="F1555" t="s">
        <v>558</v>
      </c>
      <c r="G1555" t="s">
        <v>118</v>
      </c>
      <c r="H1555" t="s">
        <v>761</v>
      </c>
      <c r="I1555">
        <v>6</v>
      </c>
      <c r="J1555" t="s">
        <v>61</v>
      </c>
      <c r="K1555">
        <v>4</v>
      </c>
      <c r="L1555" t="s">
        <v>44</v>
      </c>
      <c r="M1555">
        <v>3.6</v>
      </c>
      <c r="N1555" t="s">
        <v>45</v>
      </c>
      <c r="O1555" t="s">
        <v>100</v>
      </c>
      <c r="P1555">
        <v>3</v>
      </c>
      <c r="Q1555" t="s">
        <v>47</v>
      </c>
      <c r="R1555" t="s">
        <v>123</v>
      </c>
      <c r="S1555" t="s">
        <v>101</v>
      </c>
      <c r="U1555" t="s">
        <v>50</v>
      </c>
      <c r="V1555" t="s">
        <v>76</v>
      </c>
      <c r="X1555" t="s">
        <v>125</v>
      </c>
      <c r="Y1555" t="s">
        <v>78</v>
      </c>
      <c r="AA1555">
        <v>0</v>
      </c>
      <c r="AB1555" t="s">
        <v>79</v>
      </c>
      <c r="AC1555" t="s">
        <v>127</v>
      </c>
      <c r="AD1555">
        <v>36</v>
      </c>
      <c r="AE1555">
        <v>9</v>
      </c>
      <c r="AF1555">
        <v>3</v>
      </c>
      <c r="AG1555">
        <v>2025</v>
      </c>
      <c r="AH1555" s="2">
        <v>1400</v>
      </c>
      <c r="AI1555" s="2">
        <v>3338.18017578125</v>
      </c>
      <c r="AJ1555" s="2">
        <f t="shared" si="194"/>
        <v>1938.18017578125</v>
      </c>
      <c r="AK1555" s="6">
        <f t="shared" si="195"/>
        <v>1.3844144112723213</v>
      </c>
      <c r="AL1555" s="12">
        <v>1400</v>
      </c>
      <c r="AM1555" s="12">
        <v>3581.1953910271409</v>
      </c>
      <c r="AN1555" s="12">
        <f t="shared" si="196"/>
        <v>2181.1953910271409</v>
      </c>
      <c r="AO1555" s="13">
        <f t="shared" si="197"/>
        <v>1.5579967078765291</v>
      </c>
      <c r="AP1555" s="16">
        <v>1400</v>
      </c>
      <c r="AQ1555" s="16">
        <v>2593.0957224585259</v>
      </c>
      <c r="AR1555" s="16">
        <f t="shared" si="198"/>
        <v>1193.0957224585259</v>
      </c>
      <c r="AS1555" s="17">
        <f t="shared" si="192"/>
        <v>0.85221123032751844</v>
      </c>
      <c r="AT1555" s="20">
        <v>1400</v>
      </c>
      <c r="AU1555" s="20">
        <v>3408.686279296875</v>
      </c>
      <c r="AV1555" s="20">
        <f t="shared" si="193"/>
        <v>2008.686279296875</v>
      </c>
      <c r="AW1555" s="21">
        <f t="shared" si="199"/>
        <v>1.4347759137834821</v>
      </c>
    </row>
    <row r="1556" spans="1:49" x14ac:dyDescent="0.25">
      <c r="A1556" t="s">
        <v>81</v>
      </c>
      <c r="B1556" t="s">
        <v>927</v>
      </c>
      <c r="C1556">
        <v>87463</v>
      </c>
      <c r="D1556">
        <v>2017</v>
      </c>
      <c r="E1556" t="s">
        <v>69</v>
      </c>
      <c r="F1556" t="s">
        <v>250</v>
      </c>
      <c r="H1556" t="s">
        <v>224</v>
      </c>
      <c r="I1556">
        <v>4</v>
      </c>
      <c r="J1556" t="s">
        <v>72</v>
      </c>
      <c r="K1556">
        <v>4</v>
      </c>
      <c r="L1556" t="s">
        <v>44</v>
      </c>
      <c r="M1556">
        <v>1.5</v>
      </c>
      <c r="N1556" t="s">
        <v>45</v>
      </c>
      <c r="O1556" t="s">
        <v>46</v>
      </c>
      <c r="P1556">
        <v>2</v>
      </c>
      <c r="Q1556" t="s">
        <v>62</v>
      </c>
      <c r="R1556" t="s">
        <v>63</v>
      </c>
      <c r="S1556" t="s">
        <v>49</v>
      </c>
      <c r="T1556">
        <v>170</v>
      </c>
      <c r="U1556" t="s">
        <v>50</v>
      </c>
      <c r="V1556" t="s">
        <v>51</v>
      </c>
      <c r="W1556" t="s">
        <v>928</v>
      </c>
      <c r="X1556" t="s">
        <v>65</v>
      </c>
      <c r="Y1556" t="s">
        <v>78</v>
      </c>
      <c r="Z1556">
        <v>25250</v>
      </c>
      <c r="AA1556">
        <v>0</v>
      </c>
      <c r="AB1556" t="s">
        <v>79</v>
      </c>
      <c r="AC1556" t="s">
        <v>87</v>
      </c>
      <c r="AD1556">
        <v>36</v>
      </c>
      <c r="AE1556">
        <v>9</v>
      </c>
      <c r="AF1556">
        <v>3</v>
      </c>
      <c r="AG1556">
        <v>2025</v>
      </c>
      <c r="AH1556" s="2">
        <v>5400</v>
      </c>
      <c r="AI1556" s="2">
        <v>3882.525634765625</v>
      </c>
      <c r="AJ1556" s="2">
        <f t="shared" si="194"/>
        <v>1517.474365234375</v>
      </c>
      <c r="AK1556" s="6">
        <f t="shared" si="195"/>
        <v>0.28101377133969907</v>
      </c>
      <c r="AL1556" s="12">
        <v>5400</v>
      </c>
      <c r="AM1556" s="12">
        <v>4794.3254597338819</v>
      </c>
      <c r="AN1556" s="12">
        <f t="shared" si="196"/>
        <v>605.67454026611813</v>
      </c>
      <c r="AO1556" s="13">
        <f t="shared" si="197"/>
        <v>0.11216195190113298</v>
      </c>
      <c r="AP1556" s="16">
        <v>5400</v>
      </c>
      <c r="AQ1556" s="16">
        <v>4141.5572765820907</v>
      </c>
      <c r="AR1556" s="16">
        <f t="shared" si="198"/>
        <v>1258.4427234179093</v>
      </c>
      <c r="AS1556" s="17">
        <f t="shared" si="192"/>
        <v>0.2330449487810943</v>
      </c>
      <c r="AT1556" s="20">
        <v>5400</v>
      </c>
      <c r="AU1556" s="20">
        <v>3953.89794921875</v>
      </c>
      <c r="AV1556" s="20">
        <f t="shared" si="193"/>
        <v>1446.10205078125</v>
      </c>
      <c r="AW1556" s="21">
        <f t="shared" si="199"/>
        <v>0.26779667607060187</v>
      </c>
    </row>
    <row r="1557" spans="1:49" x14ac:dyDescent="0.25">
      <c r="A1557" t="s">
        <v>38</v>
      </c>
      <c r="B1557" t="s">
        <v>39</v>
      </c>
      <c r="C1557">
        <v>102805</v>
      </c>
      <c r="D1557">
        <v>2021</v>
      </c>
      <c r="E1557" t="s">
        <v>119</v>
      </c>
      <c r="F1557" t="s">
        <v>543</v>
      </c>
      <c r="G1557" t="s">
        <v>1434</v>
      </c>
      <c r="I1557">
        <v>4</v>
      </c>
      <c r="J1557" t="s">
        <v>43</v>
      </c>
      <c r="K1557">
        <v>4</v>
      </c>
      <c r="L1557" t="s">
        <v>44</v>
      </c>
      <c r="M1557">
        <v>2</v>
      </c>
      <c r="N1557" t="s">
        <v>45</v>
      </c>
      <c r="O1557" t="s">
        <v>46</v>
      </c>
      <c r="Q1557" t="s">
        <v>47</v>
      </c>
      <c r="R1557" t="s">
        <v>123</v>
      </c>
      <c r="S1557" t="s">
        <v>101</v>
      </c>
      <c r="T1557">
        <v>174</v>
      </c>
      <c r="U1557" t="s">
        <v>50</v>
      </c>
      <c r="X1557" t="s">
        <v>125</v>
      </c>
      <c r="Y1557" t="s">
        <v>78</v>
      </c>
      <c r="AA1557">
        <v>0</v>
      </c>
      <c r="AB1557" t="s">
        <v>79</v>
      </c>
      <c r="AC1557" t="s">
        <v>127</v>
      </c>
      <c r="AD1557">
        <v>36</v>
      </c>
      <c r="AE1557">
        <v>9</v>
      </c>
      <c r="AF1557">
        <v>3</v>
      </c>
      <c r="AG1557">
        <v>2025</v>
      </c>
      <c r="AH1557" s="2">
        <v>13500</v>
      </c>
      <c r="AI1557" s="2">
        <v>7992.6025390625</v>
      </c>
      <c r="AJ1557" s="2">
        <f t="shared" si="194"/>
        <v>5507.3974609375</v>
      </c>
      <c r="AK1557" s="6">
        <f t="shared" si="195"/>
        <v>0.40795536747685185</v>
      </c>
      <c r="AL1557" s="12">
        <v>13500</v>
      </c>
      <c r="AM1557" s="12">
        <v>7853.2942754123578</v>
      </c>
      <c r="AN1557" s="12">
        <f t="shared" si="196"/>
        <v>5646.7057245876422</v>
      </c>
      <c r="AO1557" s="13">
        <f t="shared" si="197"/>
        <v>0.41827449811760314</v>
      </c>
      <c r="AP1557" s="16">
        <v>13500</v>
      </c>
      <c r="AQ1557" s="16">
        <v>7731.7263667555644</v>
      </c>
      <c r="AR1557" s="16">
        <f t="shared" si="198"/>
        <v>5768.2736332444356</v>
      </c>
      <c r="AS1557" s="17">
        <f t="shared" si="192"/>
        <v>0.42727952838847671</v>
      </c>
      <c r="AT1557" s="20">
        <v>13500</v>
      </c>
      <c r="AU1557" s="20">
        <v>8111.71044921875</v>
      </c>
      <c r="AV1557" s="20">
        <f t="shared" si="193"/>
        <v>5388.28955078125</v>
      </c>
      <c r="AW1557" s="21">
        <f t="shared" si="199"/>
        <v>0.39913255931712965</v>
      </c>
    </row>
    <row r="1558" spans="1:49" x14ac:dyDescent="0.25">
      <c r="A1558" t="s">
        <v>38</v>
      </c>
      <c r="B1558" t="s">
        <v>110</v>
      </c>
      <c r="C1558">
        <v>121431</v>
      </c>
      <c r="D1558">
        <v>2018</v>
      </c>
      <c r="E1558" t="s">
        <v>69</v>
      </c>
      <c r="F1558" t="s">
        <v>250</v>
      </c>
      <c r="H1558" t="s">
        <v>224</v>
      </c>
      <c r="I1558">
        <v>4</v>
      </c>
      <c r="J1558" t="s">
        <v>61</v>
      </c>
      <c r="K1558">
        <v>4</v>
      </c>
      <c r="L1558" t="s">
        <v>44</v>
      </c>
      <c r="M1558">
        <v>1.5</v>
      </c>
      <c r="N1558" t="s">
        <v>45</v>
      </c>
      <c r="Q1558" t="s">
        <v>62</v>
      </c>
      <c r="R1558" t="s">
        <v>63</v>
      </c>
      <c r="S1558" t="s">
        <v>49</v>
      </c>
      <c r="T1558">
        <v>170</v>
      </c>
      <c r="U1558" t="s">
        <v>50</v>
      </c>
      <c r="V1558" t="s">
        <v>51</v>
      </c>
      <c r="W1558" t="s">
        <v>598</v>
      </c>
      <c r="X1558" t="s">
        <v>65</v>
      </c>
      <c r="Y1558" t="s">
        <v>78</v>
      </c>
      <c r="Z1558">
        <v>25700</v>
      </c>
      <c r="AA1558">
        <v>0</v>
      </c>
      <c r="AB1558" t="s">
        <v>79</v>
      </c>
      <c r="AC1558" t="s">
        <v>87</v>
      </c>
      <c r="AD1558">
        <v>36</v>
      </c>
      <c r="AE1558">
        <v>9</v>
      </c>
      <c r="AF1558">
        <v>3</v>
      </c>
      <c r="AG1558">
        <v>2025</v>
      </c>
      <c r="AH1558" s="2">
        <v>3800</v>
      </c>
      <c r="AI1558" s="2">
        <v>3402.724609375</v>
      </c>
      <c r="AJ1558" s="2">
        <f t="shared" si="194"/>
        <v>397.275390625</v>
      </c>
      <c r="AK1558" s="6">
        <f t="shared" si="195"/>
        <v>0.10454615542763158</v>
      </c>
      <c r="AL1558" s="12">
        <v>3800</v>
      </c>
      <c r="AM1558" s="12">
        <v>4567.97298482727</v>
      </c>
      <c r="AN1558" s="12">
        <f t="shared" si="196"/>
        <v>767.97298482727001</v>
      </c>
      <c r="AO1558" s="13">
        <f t="shared" si="197"/>
        <v>0.20209815390191316</v>
      </c>
      <c r="AP1558" s="16">
        <v>3800</v>
      </c>
      <c r="AQ1558" s="16">
        <v>3398.9641588112031</v>
      </c>
      <c r="AR1558" s="16">
        <f t="shared" si="198"/>
        <v>401.03584118879689</v>
      </c>
      <c r="AS1558" s="17">
        <f t="shared" si="192"/>
        <v>0.10553574768126234</v>
      </c>
      <c r="AT1558" s="20">
        <v>3800</v>
      </c>
      <c r="AU1558" s="20">
        <v>3510.69677734375</v>
      </c>
      <c r="AV1558" s="20">
        <f t="shared" si="193"/>
        <v>289.30322265625</v>
      </c>
      <c r="AW1558" s="21">
        <f t="shared" si="199"/>
        <v>7.6132427014802634E-2</v>
      </c>
    </row>
    <row r="1559" spans="1:49" x14ac:dyDescent="0.25">
      <c r="A1559" t="s">
        <v>38</v>
      </c>
      <c r="B1559" t="s">
        <v>96</v>
      </c>
      <c r="C1559">
        <v>128286</v>
      </c>
      <c r="D1559">
        <v>2015</v>
      </c>
      <c r="E1559" t="s">
        <v>97</v>
      </c>
      <c r="F1559" t="s">
        <v>379</v>
      </c>
      <c r="G1559" t="s">
        <v>380</v>
      </c>
      <c r="I1559">
        <v>4</v>
      </c>
      <c r="J1559" t="s">
        <v>122</v>
      </c>
      <c r="K1559">
        <v>4</v>
      </c>
      <c r="L1559" t="s">
        <v>44</v>
      </c>
      <c r="M1559">
        <v>1.4</v>
      </c>
      <c r="N1559" t="s">
        <v>45</v>
      </c>
      <c r="O1559" t="s">
        <v>190</v>
      </c>
      <c r="P1559">
        <v>2</v>
      </c>
      <c r="Q1559" t="s">
        <v>47</v>
      </c>
      <c r="R1559" t="s">
        <v>123</v>
      </c>
      <c r="U1559" t="s">
        <v>50</v>
      </c>
      <c r="V1559" t="s">
        <v>51</v>
      </c>
      <c r="W1559" t="s">
        <v>381</v>
      </c>
      <c r="X1559" t="s">
        <v>125</v>
      </c>
      <c r="Y1559" t="s">
        <v>78</v>
      </c>
      <c r="AA1559">
        <v>0</v>
      </c>
      <c r="AB1559" t="s">
        <v>79</v>
      </c>
      <c r="AC1559" t="s">
        <v>127</v>
      </c>
      <c r="AD1559">
        <v>36</v>
      </c>
      <c r="AE1559">
        <v>9</v>
      </c>
      <c r="AF1559">
        <v>3</v>
      </c>
      <c r="AG1559">
        <v>2025</v>
      </c>
      <c r="AH1559" s="2">
        <v>700</v>
      </c>
      <c r="AI1559" s="2">
        <v>1265.1962890625</v>
      </c>
      <c r="AJ1559" s="2">
        <f t="shared" si="194"/>
        <v>565.1962890625</v>
      </c>
      <c r="AK1559" s="6">
        <f t="shared" si="195"/>
        <v>0.80742327008928572</v>
      </c>
      <c r="AL1559" s="12">
        <v>700</v>
      </c>
      <c r="AM1559" s="12">
        <v>1268.051155037311</v>
      </c>
      <c r="AN1559" s="12">
        <f t="shared" si="196"/>
        <v>568.05115503731099</v>
      </c>
      <c r="AO1559" s="13">
        <f t="shared" si="197"/>
        <v>0.81150165005330144</v>
      </c>
      <c r="AP1559" s="16">
        <v>700</v>
      </c>
      <c r="AQ1559" s="16">
        <v>929.53834541199603</v>
      </c>
      <c r="AR1559" s="16">
        <f t="shared" si="198"/>
        <v>229.53834541199603</v>
      </c>
      <c r="AS1559" s="17">
        <f t="shared" si="192"/>
        <v>0.3279119220171372</v>
      </c>
      <c r="AT1559" s="20">
        <v>700</v>
      </c>
      <c r="AU1559" s="20">
        <v>1255.55712890625</v>
      </c>
      <c r="AV1559" s="20">
        <f t="shared" si="193"/>
        <v>555.55712890625</v>
      </c>
      <c r="AW1559" s="21">
        <f t="shared" si="199"/>
        <v>0.79365304129464287</v>
      </c>
    </row>
    <row r="1560" spans="1:49" x14ac:dyDescent="0.25">
      <c r="A1560" t="s">
        <v>38</v>
      </c>
      <c r="B1560" t="s">
        <v>39</v>
      </c>
      <c r="C1560">
        <v>162925</v>
      </c>
      <c r="D1560">
        <v>2019</v>
      </c>
      <c r="E1560" t="s">
        <v>142</v>
      </c>
      <c r="F1560" t="s">
        <v>143</v>
      </c>
      <c r="H1560" t="s">
        <v>938</v>
      </c>
      <c r="I1560">
        <v>4</v>
      </c>
      <c r="J1560" t="s">
        <v>106</v>
      </c>
      <c r="K1560">
        <v>4</v>
      </c>
      <c r="L1560" t="s">
        <v>44</v>
      </c>
      <c r="M1560">
        <v>2.4</v>
      </c>
      <c r="N1560" t="s">
        <v>91</v>
      </c>
      <c r="O1560" t="s">
        <v>789</v>
      </c>
      <c r="Q1560" t="s">
        <v>62</v>
      </c>
      <c r="R1560" t="s">
        <v>63</v>
      </c>
      <c r="S1560" t="s">
        <v>93</v>
      </c>
      <c r="T1560">
        <v>184</v>
      </c>
      <c r="U1560" t="s">
        <v>50</v>
      </c>
      <c r="V1560" t="s">
        <v>51</v>
      </c>
      <c r="X1560" t="s">
        <v>141</v>
      </c>
      <c r="Y1560" t="s">
        <v>78</v>
      </c>
      <c r="Z1560">
        <v>27395</v>
      </c>
      <c r="AA1560">
        <v>0</v>
      </c>
      <c r="AB1560" t="s">
        <v>79</v>
      </c>
      <c r="AC1560" t="s">
        <v>87</v>
      </c>
      <c r="AD1560">
        <v>36</v>
      </c>
      <c r="AE1560">
        <v>9</v>
      </c>
      <c r="AF1560">
        <v>3</v>
      </c>
      <c r="AG1560">
        <v>2025</v>
      </c>
      <c r="AH1560" s="2">
        <v>1900</v>
      </c>
      <c r="AI1560" s="2">
        <v>2759.908447265625</v>
      </c>
      <c r="AJ1560" s="2">
        <f t="shared" si="194"/>
        <v>859.908447265625</v>
      </c>
      <c r="AK1560" s="6">
        <f t="shared" si="195"/>
        <v>0.45258339329769737</v>
      </c>
      <c r="AL1560" s="12">
        <v>1900</v>
      </c>
      <c r="AM1560" s="12">
        <v>2980.6135728669469</v>
      </c>
      <c r="AN1560" s="12">
        <f t="shared" si="196"/>
        <v>1080.6135728669469</v>
      </c>
      <c r="AO1560" s="13">
        <f t="shared" si="197"/>
        <v>0.56874398571944573</v>
      </c>
      <c r="AP1560" s="16">
        <v>1900</v>
      </c>
      <c r="AQ1560" s="16">
        <v>2541.6773522469489</v>
      </c>
      <c r="AR1560" s="16">
        <f t="shared" si="198"/>
        <v>641.67735224694889</v>
      </c>
      <c r="AS1560" s="17">
        <f t="shared" si="192"/>
        <v>0.33772492223523626</v>
      </c>
      <c r="AT1560" s="20">
        <v>1900</v>
      </c>
      <c r="AU1560" s="20">
        <v>2779.89111328125</v>
      </c>
      <c r="AV1560" s="20">
        <f t="shared" si="193"/>
        <v>879.89111328125</v>
      </c>
      <c r="AW1560" s="21">
        <f t="shared" si="199"/>
        <v>0.46310058593749998</v>
      </c>
    </row>
    <row r="1561" spans="1:49" x14ac:dyDescent="0.25">
      <c r="A1561" t="s">
        <v>38</v>
      </c>
      <c r="B1561" t="s">
        <v>68</v>
      </c>
      <c r="C1561">
        <v>85938</v>
      </c>
      <c r="D1561">
        <v>2017</v>
      </c>
      <c r="E1561" t="s">
        <v>146</v>
      </c>
      <c r="F1561" t="s">
        <v>302</v>
      </c>
      <c r="I1561">
        <v>6</v>
      </c>
      <c r="J1561" t="s">
        <v>106</v>
      </c>
      <c r="K1561">
        <v>4</v>
      </c>
      <c r="L1561" t="s">
        <v>44</v>
      </c>
      <c r="M1561">
        <v>3.5</v>
      </c>
      <c r="N1561" t="s">
        <v>45</v>
      </c>
      <c r="O1561" t="s">
        <v>46</v>
      </c>
      <c r="P1561">
        <v>3</v>
      </c>
      <c r="Q1561" t="s">
        <v>62</v>
      </c>
      <c r="R1561" t="s">
        <v>63</v>
      </c>
      <c r="S1561" t="s">
        <v>49</v>
      </c>
      <c r="U1561" t="s">
        <v>50</v>
      </c>
      <c r="V1561" t="s">
        <v>76</v>
      </c>
      <c r="X1561" t="s">
        <v>141</v>
      </c>
      <c r="Y1561" t="s">
        <v>78</v>
      </c>
      <c r="AA1561">
        <v>0</v>
      </c>
      <c r="AB1561" t="s">
        <v>79</v>
      </c>
      <c r="AC1561" t="s">
        <v>109</v>
      </c>
      <c r="AD1561">
        <v>36</v>
      </c>
      <c r="AE1561">
        <v>9</v>
      </c>
      <c r="AF1561">
        <v>3</v>
      </c>
      <c r="AG1561">
        <v>2025</v>
      </c>
      <c r="AH1561" s="2">
        <v>7800</v>
      </c>
      <c r="AI1561" s="2">
        <v>6429.75048828125</v>
      </c>
      <c r="AJ1561" s="2">
        <f t="shared" si="194"/>
        <v>1370.24951171875</v>
      </c>
      <c r="AK1561" s="6">
        <f t="shared" si="195"/>
        <v>0.17567301432291665</v>
      </c>
      <c r="AL1561" s="12">
        <v>7800</v>
      </c>
      <c r="AM1561" s="12">
        <v>7355.7810248009764</v>
      </c>
      <c r="AN1561" s="12">
        <f t="shared" si="196"/>
        <v>444.21897519902359</v>
      </c>
      <c r="AO1561" s="13">
        <f t="shared" si="197"/>
        <v>5.6951150666541488E-2</v>
      </c>
      <c r="AP1561" s="16">
        <v>7800</v>
      </c>
      <c r="AQ1561" s="16">
        <v>6585.7735451510971</v>
      </c>
      <c r="AR1561" s="16">
        <f t="shared" si="198"/>
        <v>1214.2264548489029</v>
      </c>
      <c r="AS1561" s="17">
        <f t="shared" si="192"/>
        <v>0.15567005831396191</v>
      </c>
      <c r="AT1561" s="20">
        <v>7800</v>
      </c>
      <c r="AU1561" s="20">
        <v>6546.14990234375</v>
      </c>
      <c r="AV1561" s="20">
        <f t="shared" si="193"/>
        <v>1253.85009765625</v>
      </c>
      <c r="AW1561" s="21">
        <f t="shared" si="199"/>
        <v>0.16075001252003204</v>
      </c>
    </row>
    <row r="1562" spans="1:49" x14ac:dyDescent="0.25">
      <c r="A1562" t="s">
        <v>128</v>
      </c>
      <c r="B1562" t="s">
        <v>309</v>
      </c>
      <c r="C1562">
        <v>113227</v>
      </c>
      <c r="D1562">
        <v>2021</v>
      </c>
      <c r="E1562" t="s">
        <v>40</v>
      </c>
      <c r="F1562" t="s">
        <v>297</v>
      </c>
      <c r="G1562" t="s">
        <v>572</v>
      </c>
      <c r="H1562" t="s">
        <v>448</v>
      </c>
      <c r="I1562">
        <v>4</v>
      </c>
      <c r="J1562" t="s">
        <v>72</v>
      </c>
      <c r="K1562">
        <v>4</v>
      </c>
      <c r="L1562" t="s">
        <v>44</v>
      </c>
      <c r="M1562">
        <v>2.5</v>
      </c>
      <c r="N1562" t="s">
        <v>45</v>
      </c>
      <c r="O1562" t="s">
        <v>46</v>
      </c>
      <c r="P1562">
        <v>2</v>
      </c>
      <c r="Q1562" t="s">
        <v>47</v>
      </c>
      <c r="R1562" t="s">
        <v>123</v>
      </c>
      <c r="S1562" t="s">
        <v>49</v>
      </c>
      <c r="T1562">
        <v>203</v>
      </c>
      <c r="U1562" t="s">
        <v>50</v>
      </c>
      <c r="V1562" t="s">
        <v>51</v>
      </c>
      <c r="W1562" t="s">
        <v>449</v>
      </c>
      <c r="X1562" t="s">
        <v>125</v>
      </c>
      <c r="Y1562" t="s">
        <v>78</v>
      </c>
      <c r="Z1562">
        <v>25045</v>
      </c>
      <c r="AA1562">
        <v>0</v>
      </c>
      <c r="AB1562" t="s">
        <v>79</v>
      </c>
      <c r="AC1562" t="s">
        <v>127</v>
      </c>
      <c r="AD1562">
        <v>36</v>
      </c>
      <c r="AE1562">
        <v>9</v>
      </c>
      <c r="AF1562">
        <v>3</v>
      </c>
      <c r="AG1562">
        <v>2025</v>
      </c>
      <c r="AH1562" s="2">
        <v>12800</v>
      </c>
      <c r="AI1562" s="2">
        <v>8211.6474609375</v>
      </c>
      <c r="AJ1562" s="2">
        <f t="shared" si="194"/>
        <v>4588.3525390625</v>
      </c>
      <c r="AK1562" s="6">
        <f t="shared" si="195"/>
        <v>0.35846504211425784</v>
      </c>
      <c r="AL1562" s="12">
        <v>12800</v>
      </c>
      <c r="AM1562" s="12">
        <v>9980.9034198063655</v>
      </c>
      <c r="AN1562" s="12">
        <f t="shared" si="196"/>
        <v>2819.0965801936345</v>
      </c>
      <c r="AO1562" s="13">
        <f t="shared" si="197"/>
        <v>0.22024192032762768</v>
      </c>
      <c r="AP1562" s="16">
        <v>12800</v>
      </c>
      <c r="AQ1562" s="16">
        <v>9278.0606042667478</v>
      </c>
      <c r="AR1562" s="16">
        <f t="shared" si="198"/>
        <v>3521.9393957332522</v>
      </c>
      <c r="AS1562" s="17">
        <f t="shared" si="192"/>
        <v>0.27515151529166032</v>
      </c>
      <c r="AT1562" s="20">
        <v>12800</v>
      </c>
      <c r="AU1562" s="20">
        <v>8591.1337890625</v>
      </c>
      <c r="AV1562" s="20">
        <f t="shared" si="193"/>
        <v>4208.8662109375</v>
      </c>
      <c r="AW1562" s="21">
        <f t="shared" si="199"/>
        <v>0.32881767272949219</v>
      </c>
    </row>
    <row r="1563" spans="1:49" x14ac:dyDescent="0.25">
      <c r="A1563" t="s">
        <v>38</v>
      </c>
      <c r="B1563" t="s">
        <v>96</v>
      </c>
      <c r="C1563">
        <v>94341</v>
      </c>
      <c r="D1563">
        <v>2020</v>
      </c>
      <c r="E1563" t="s">
        <v>213</v>
      </c>
      <c r="F1563" t="s">
        <v>527</v>
      </c>
      <c r="I1563">
        <v>6</v>
      </c>
      <c r="J1563" t="s">
        <v>61</v>
      </c>
      <c r="K1563">
        <v>4</v>
      </c>
      <c r="L1563" t="s">
        <v>44</v>
      </c>
      <c r="M1563">
        <v>3</v>
      </c>
      <c r="N1563" t="s">
        <v>73</v>
      </c>
      <c r="O1563" t="s">
        <v>46</v>
      </c>
      <c r="P1563">
        <v>4</v>
      </c>
      <c r="Q1563" t="s">
        <v>47</v>
      </c>
      <c r="R1563" t="s">
        <v>123</v>
      </c>
      <c r="S1563" t="s">
        <v>49</v>
      </c>
      <c r="U1563" t="s">
        <v>50</v>
      </c>
      <c r="X1563" t="s">
        <v>125</v>
      </c>
      <c r="Y1563" t="s">
        <v>54</v>
      </c>
      <c r="Z1563">
        <v>36400</v>
      </c>
      <c r="AA1563">
        <v>0</v>
      </c>
      <c r="AB1563" t="s">
        <v>79</v>
      </c>
      <c r="AC1563" t="s">
        <v>127</v>
      </c>
      <c r="AD1563">
        <v>36</v>
      </c>
      <c r="AE1563">
        <v>9</v>
      </c>
      <c r="AF1563">
        <v>3</v>
      </c>
      <c r="AG1563">
        <v>2025</v>
      </c>
      <c r="AH1563" s="2">
        <v>11750</v>
      </c>
      <c r="AI1563" s="2">
        <v>13153.5859375</v>
      </c>
      <c r="AJ1563" s="2">
        <f t="shared" si="194"/>
        <v>1403.5859375</v>
      </c>
      <c r="AK1563" s="6">
        <f t="shared" si="195"/>
        <v>0.11945412234042553</v>
      </c>
      <c r="AL1563" s="12">
        <v>11750</v>
      </c>
      <c r="AM1563" s="12">
        <v>15033.176845532191</v>
      </c>
      <c r="AN1563" s="12">
        <f t="shared" si="196"/>
        <v>3283.1768455321908</v>
      </c>
      <c r="AO1563" s="13">
        <f t="shared" si="197"/>
        <v>0.27941930600273962</v>
      </c>
      <c r="AP1563" s="16">
        <v>11750</v>
      </c>
      <c r="AQ1563" s="16">
        <v>12776.689621585319</v>
      </c>
      <c r="AR1563" s="16">
        <f t="shared" si="198"/>
        <v>1026.6896215853194</v>
      </c>
      <c r="AS1563" s="17">
        <f t="shared" si="192"/>
        <v>8.7377840134920795E-2</v>
      </c>
      <c r="AT1563" s="20">
        <v>11750</v>
      </c>
      <c r="AU1563" s="20">
        <v>13486.7578125</v>
      </c>
      <c r="AV1563" s="20">
        <f t="shared" si="193"/>
        <v>1736.7578125</v>
      </c>
      <c r="AW1563" s="21">
        <f t="shared" si="199"/>
        <v>0.14780917553191489</v>
      </c>
    </row>
    <row r="1564" spans="1:49" x14ac:dyDescent="0.25">
      <c r="A1564" t="s">
        <v>38</v>
      </c>
      <c r="B1564" t="s">
        <v>96</v>
      </c>
      <c r="C1564">
        <v>218722</v>
      </c>
      <c r="D1564">
        <v>2019</v>
      </c>
      <c r="E1564" t="s">
        <v>88</v>
      </c>
      <c r="F1564" t="s">
        <v>312</v>
      </c>
      <c r="H1564" t="s">
        <v>1052</v>
      </c>
      <c r="I1564">
        <v>6</v>
      </c>
      <c r="J1564" t="s">
        <v>72</v>
      </c>
      <c r="K1564">
        <v>4</v>
      </c>
      <c r="L1564" t="s">
        <v>44</v>
      </c>
      <c r="M1564">
        <v>6.7</v>
      </c>
      <c r="N1564" t="s">
        <v>91</v>
      </c>
      <c r="O1564" t="s">
        <v>46</v>
      </c>
      <c r="Q1564" t="s">
        <v>74</v>
      </c>
      <c r="R1564" t="s">
        <v>92</v>
      </c>
      <c r="S1564" t="s">
        <v>93</v>
      </c>
      <c r="T1564">
        <v>370</v>
      </c>
      <c r="U1564" t="s">
        <v>229</v>
      </c>
      <c r="V1564" t="s">
        <v>51</v>
      </c>
      <c r="X1564" t="s">
        <v>230</v>
      </c>
      <c r="Y1564" t="s">
        <v>126</v>
      </c>
      <c r="AA1564">
        <v>0</v>
      </c>
      <c r="AB1564" t="s">
        <v>79</v>
      </c>
      <c r="AC1564" t="s">
        <v>95</v>
      </c>
      <c r="AD1564">
        <v>36</v>
      </c>
      <c r="AE1564">
        <v>9</v>
      </c>
      <c r="AF1564">
        <v>3</v>
      </c>
      <c r="AG1564">
        <v>2025</v>
      </c>
      <c r="AH1564" s="2">
        <v>21000</v>
      </c>
      <c r="AI1564" s="2">
        <v>16796.39453125</v>
      </c>
      <c r="AJ1564" s="2">
        <f t="shared" si="194"/>
        <v>4203.60546875</v>
      </c>
      <c r="AK1564" s="6">
        <f t="shared" si="195"/>
        <v>0.20017168898809523</v>
      </c>
      <c r="AL1564" s="12">
        <v>21000</v>
      </c>
      <c r="AM1564" s="12">
        <v>16916.717093049519</v>
      </c>
      <c r="AN1564" s="12">
        <f t="shared" si="196"/>
        <v>4083.2829069504805</v>
      </c>
      <c r="AO1564" s="13">
        <f t="shared" si="197"/>
        <v>0.19444204318811811</v>
      </c>
      <c r="AP1564" s="16">
        <v>21000</v>
      </c>
      <c r="AQ1564" s="16">
        <v>16249.550082092081</v>
      </c>
      <c r="AR1564" s="16">
        <f t="shared" si="198"/>
        <v>4750.4499179079194</v>
      </c>
      <c r="AS1564" s="17">
        <f t="shared" si="192"/>
        <v>0.22621190085275805</v>
      </c>
      <c r="AT1564" s="20">
        <v>21000</v>
      </c>
      <c r="AU1564" s="20">
        <v>16688.8359375</v>
      </c>
      <c r="AV1564" s="20">
        <f t="shared" si="193"/>
        <v>4311.1640625</v>
      </c>
      <c r="AW1564" s="21">
        <f t="shared" si="199"/>
        <v>0.20529352678571428</v>
      </c>
    </row>
    <row r="1565" spans="1:49" x14ac:dyDescent="0.25">
      <c r="A1565" t="s">
        <v>38</v>
      </c>
      <c r="B1565" t="s">
        <v>68</v>
      </c>
      <c r="C1565">
        <v>108936</v>
      </c>
      <c r="D1565">
        <v>2011</v>
      </c>
      <c r="E1565" t="s">
        <v>345</v>
      </c>
      <c r="F1565" t="s">
        <v>1435</v>
      </c>
      <c r="H1565" t="s">
        <v>710</v>
      </c>
      <c r="I1565">
        <v>8</v>
      </c>
      <c r="J1565" t="s">
        <v>43</v>
      </c>
      <c r="K1565">
        <v>4</v>
      </c>
      <c r="L1565" t="s">
        <v>44</v>
      </c>
      <c r="M1565">
        <v>4.4000000000000004</v>
      </c>
      <c r="N1565" t="s">
        <v>73</v>
      </c>
      <c r="O1565" t="s">
        <v>46</v>
      </c>
      <c r="P1565">
        <v>4</v>
      </c>
      <c r="Q1565" t="s">
        <v>47</v>
      </c>
      <c r="R1565" t="s">
        <v>123</v>
      </c>
      <c r="T1565">
        <v>400</v>
      </c>
      <c r="U1565" t="s">
        <v>50</v>
      </c>
      <c r="X1565" t="s">
        <v>125</v>
      </c>
      <c r="Y1565" t="s">
        <v>137</v>
      </c>
      <c r="AA1565">
        <v>0</v>
      </c>
      <c r="AB1565" t="s">
        <v>79</v>
      </c>
      <c r="AC1565" t="s">
        <v>127</v>
      </c>
      <c r="AD1565">
        <v>36</v>
      </c>
      <c r="AE1565">
        <v>9</v>
      </c>
      <c r="AF1565">
        <v>3</v>
      </c>
      <c r="AG1565">
        <v>2025</v>
      </c>
      <c r="AH1565" s="2">
        <v>2250</v>
      </c>
      <c r="AI1565" s="2">
        <v>4486.4951171875</v>
      </c>
      <c r="AJ1565" s="2">
        <f t="shared" si="194"/>
        <v>2236.4951171875</v>
      </c>
      <c r="AK1565" s="6">
        <f t="shared" si="195"/>
        <v>0.99399782986111107</v>
      </c>
      <c r="AL1565" s="12">
        <v>2250</v>
      </c>
      <c r="AM1565" s="12">
        <v>5513.2969333702649</v>
      </c>
      <c r="AN1565" s="12">
        <f t="shared" si="196"/>
        <v>3263.2969333702649</v>
      </c>
      <c r="AO1565" s="13">
        <f t="shared" si="197"/>
        <v>1.4503541926090067</v>
      </c>
      <c r="AP1565" s="16">
        <v>2250</v>
      </c>
      <c r="AQ1565" s="16">
        <v>3940.0417721697659</v>
      </c>
      <c r="AR1565" s="16">
        <f t="shared" si="198"/>
        <v>1690.0417721697659</v>
      </c>
      <c r="AS1565" s="17">
        <f t="shared" si="192"/>
        <v>0.75112967651989593</v>
      </c>
      <c r="AT1565" s="20">
        <v>2250</v>
      </c>
      <c r="AU1565" s="20">
        <v>4637.1064453125</v>
      </c>
      <c r="AV1565" s="20">
        <f t="shared" si="193"/>
        <v>2387.1064453125</v>
      </c>
      <c r="AW1565" s="21">
        <f t="shared" si="199"/>
        <v>1.0609361979166667</v>
      </c>
    </row>
    <row r="1566" spans="1:49" x14ac:dyDescent="0.25">
      <c r="A1566" t="s">
        <v>38</v>
      </c>
      <c r="B1566" t="s">
        <v>39</v>
      </c>
      <c r="C1566">
        <v>138612</v>
      </c>
      <c r="D1566">
        <v>2010</v>
      </c>
      <c r="E1566" t="s">
        <v>40</v>
      </c>
      <c r="F1566" t="s">
        <v>550</v>
      </c>
      <c r="G1566" t="s">
        <v>985</v>
      </c>
      <c r="H1566" t="s">
        <v>551</v>
      </c>
      <c r="I1566">
        <v>6</v>
      </c>
      <c r="J1566" t="s">
        <v>72</v>
      </c>
      <c r="K1566">
        <v>4</v>
      </c>
      <c r="L1566" t="s">
        <v>44</v>
      </c>
      <c r="M1566">
        <v>3.5</v>
      </c>
      <c r="N1566" t="s">
        <v>45</v>
      </c>
      <c r="O1566" t="s">
        <v>46</v>
      </c>
      <c r="Q1566" t="s">
        <v>62</v>
      </c>
      <c r="R1566" t="s">
        <v>63</v>
      </c>
      <c r="S1566" t="s">
        <v>49</v>
      </c>
      <c r="T1566">
        <v>209</v>
      </c>
      <c r="U1566" t="s">
        <v>50</v>
      </c>
      <c r="V1566" t="s">
        <v>76</v>
      </c>
      <c r="W1566" t="s">
        <v>290</v>
      </c>
      <c r="X1566" t="s">
        <v>141</v>
      </c>
      <c r="Y1566" t="s">
        <v>78</v>
      </c>
      <c r="AA1566">
        <v>0</v>
      </c>
      <c r="AB1566" t="s">
        <v>79</v>
      </c>
      <c r="AC1566" t="s">
        <v>87</v>
      </c>
      <c r="AD1566">
        <v>36</v>
      </c>
      <c r="AE1566">
        <v>9</v>
      </c>
      <c r="AF1566">
        <v>3</v>
      </c>
      <c r="AG1566">
        <v>2025</v>
      </c>
      <c r="AH1566" s="2">
        <v>8250</v>
      </c>
      <c r="AI1566" s="2">
        <v>4766.765625</v>
      </c>
      <c r="AJ1566" s="2">
        <f t="shared" si="194"/>
        <v>3483.234375</v>
      </c>
      <c r="AK1566" s="6">
        <f t="shared" si="195"/>
        <v>0.42221022727272728</v>
      </c>
      <c r="AL1566" s="12">
        <v>8250</v>
      </c>
      <c r="AM1566" s="12">
        <v>3654.8106183193172</v>
      </c>
      <c r="AN1566" s="12">
        <f t="shared" si="196"/>
        <v>4595.1893816806823</v>
      </c>
      <c r="AO1566" s="13">
        <f t="shared" si="197"/>
        <v>0.55699265232493123</v>
      </c>
      <c r="AP1566" s="16">
        <v>8250</v>
      </c>
      <c r="AQ1566" s="16">
        <v>3859.9578937106512</v>
      </c>
      <c r="AR1566" s="16">
        <f t="shared" si="198"/>
        <v>4390.0421062893492</v>
      </c>
      <c r="AS1566" s="17">
        <f t="shared" si="192"/>
        <v>0.5321263159138605</v>
      </c>
      <c r="AT1566" s="20">
        <v>8250</v>
      </c>
      <c r="AU1566" s="20">
        <v>4712.1318359375</v>
      </c>
      <c r="AV1566" s="20">
        <f t="shared" si="193"/>
        <v>3537.8681640625</v>
      </c>
      <c r="AW1566" s="21">
        <f t="shared" si="199"/>
        <v>0.42883250473484846</v>
      </c>
    </row>
    <row r="1567" spans="1:49" x14ac:dyDescent="0.25">
      <c r="A1567" t="s">
        <v>128</v>
      </c>
      <c r="B1567" t="s">
        <v>210</v>
      </c>
      <c r="C1567">
        <v>106390</v>
      </c>
      <c r="D1567">
        <v>2017</v>
      </c>
      <c r="E1567" t="s">
        <v>40</v>
      </c>
      <c r="F1567" t="s">
        <v>297</v>
      </c>
      <c r="G1567" t="s">
        <v>727</v>
      </c>
      <c r="H1567" t="s">
        <v>298</v>
      </c>
      <c r="I1567">
        <v>4</v>
      </c>
      <c r="J1567" t="s">
        <v>61</v>
      </c>
      <c r="K1567">
        <v>4</v>
      </c>
      <c r="L1567" t="s">
        <v>44</v>
      </c>
      <c r="M1567">
        <v>2.5</v>
      </c>
      <c r="N1567" t="s">
        <v>45</v>
      </c>
      <c r="O1567" t="s">
        <v>46</v>
      </c>
      <c r="Q1567" t="s">
        <v>47</v>
      </c>
      <c r="R1567" t="s">
        <v>123</v>
      </c>
      <c r="S1567" t="s">
        <v>49</v>
      </c>
      <c r="T1567">
        <v>178</v>
      </c>
      <c r="U1567" t="s">
        <v>50</v>
      </c>
      <c r="V1567" t="s">
        <v>51</v>
      </c>
      <c r="W1567" t="s">
        <v>236</v>
      </c>
      <c r="X1567" t="s">
        <v>125</v>
      </c>
      <c r="Y1567" t="s">
        <v>78</v>
      </c>
      <c r="Z1567">
        <v>23070</v>
      </c>
      <c r="AA1567">
        <v>0</v>
      </c>
      <c r="AB1567" t="s">
        <v>79</v>
      </c>
      <c r="AC1567" t="s">
        <v>127</v>
      </c>
      <c r="AD1567">
        <v>36</v>
      </c>
      <c r="AE1567">
        <v>9</v>
      </c>
      <c r="AF1567">
        <v>3</v>
      </c>
      <c r="AG1567">
        <v>2025</v>
      </c>
      <c r="AH1567" s="2">
        <v>5600</v>
      </c>
      <c r="AI1567" s="2">
        <v>5725.384765625</v>
      </c>
      <c r="AJ1567" s="2">
        <f t="shared" si="194"/>
        <v>125.384765625</v>
      </c>
      <c r="AK1567" s="6">
        <f t="shared" si="195"/>
        <v>2.2390136718749998E-2</v>
      </c>
      <c r="AL1567" s="12">
        <v>5600</v>
      </c>
      <c r="AM1567" s="12">
        <v>7395.0087131671798</v>
      </c>
      <c r="AN1567" s="12">
        <f t="shared" si="196"/>
        <v>1795.0087131671798</v>
      </c>
      <c r="AO1567" s="13">
        <f t="shared" si="197"/>
        <v>0.32053727020842498</v>
      </c>
      <c r="AP1567" s="16">
        <v>5600</v>
      </c>
      <c r="AQ1567" s="16">
        <v>7095.1740933115934</v>
      </c>
      <c r="AR1567" s="16">
        <f t="shared" si="198"/>
        <v>1495.1740933115934</v>
      </c>
      <c r="AS1567" s="17">
        <f t="shared" si="192"/>
        <v>0.2669953738056417</v>
      </c>
      <c r="AT1567" s="20">
        <v>5600</v>
      </c>
      <c r="AU1567" s="20">
        <v>5928.98828125</v>
      </c>
      <c r="AV1567" s="20">
        <f t="shared" si="193"/>
        <v>328.98828125</v>
      </c>
      <c r="AW1567" s="21">
        <f t="shared" si="199"/>
        <v>5.8747907366071425E-2</v>
      </c>
    </row>
    <row r="1568" spans="1:49" x14ac:dyDescent="0.25">
      <c r="A1568" t="s">
        <v>128</v>
      </c>
      <c r="B1568" t="s">
        <v>129</v>
      </c>
      <c r="C1568">
        <v>168567</v>
      </c>
      <c r="D1568">
        <v>2013</v>
      </c>
      <c r="E1568" t="s">
        <v>162</v>
      </c>
      <c r="F1568" t="s">
        <v>163</v>
      </c>
      <c r="G1568" t="s">
        <v>1304</v>
      </c>
      <c r="I1568">
        <v>4</v>
      </c>
      <c r="J1568" t="s">
        <v>61</v>
      </c>
      <c r="K1568">
        <v>4</v>
      </c>
      <c r="L1568" t="s">
        <v>44</v>
      </c>
      <c r="M1568">
        <v>2.4</v>
      </c>
      <c r="N1568" t="s">
        <v>45</v>
      </c>
      <c r="Q1568" t="s">
        <v>47</v>
      </c>
      <c r="R1568" t="s">
        <v>123</v>
      </c>
      <c r="U1568" t="s">
        <v>50</v>
      </c>
      <c r="W1568" t="s">
        <v>193</v>
      </c>
      <c r="X1568" t="s">
        <v>125</v>
      </c>
      <c r="Y1568" t="s">
        <v>78</v>
      </c>
      <c r="AA1568">
        <v>0</v>
      </c>
      <c r="AB1568" t="s">
        <v>79</v>
      </c>
      <c r="AC1568" t="s">
        <v>127</v>
      </c>
      <c r="AD1568">
        <v>36</v>
      </c>
      <c r="AE1568">
        <v>9</v>
      </c>
      <c r="AF1568">
        <v>3</v>
      </c>
      <c r="AG1568">
        <v>2025</v>
      </c>
      <c r="AH1568" s="2">
        <v>1200</v>
      </c>
      <c r="AI1568" s="2">
        <v>1505.576293945312</v>
      </c>
      <c r="AJ1568" s="2">
        <f t="shared" si="194"/>
        <v>305.57629394531205</v>
      </c>
      <c r="AK1568" s="6">
        <f t="shared" si="195"/>
        <v>0.25464691162109337</v>
      </c>
      <c r="AL1568" s="12">
        <v>1200</v>
      </c>
      <c r="AM1568" s="12">
        <v>1662.001211488511</v>
      </c>
      <c r="AN1568" s="12">
        <f t="shared" si="196"/>
        <v>462.00121148851099</v>
      </c>
      <c r="AO1568" s="13">
        <f t="shared" si="197"/>
        <v>0.38500100957375916</v>
      </c>
      <c r="AP1568" s="16">
        <v>1200</v>
      </c>
      <c r="AQ1568" s="16">
        <v>1491.3367757204751</v>
      </c>
      <c r="AR1568" s="16">
        <f t="shared" si="198"/>
        <v>291.33677572047509</v>
      </c>
      <c r="AS1568" s="17">
        <f t="shared" si="192"/>
        <v>0.24278064643372924</v>
      </c>
      <c r="AT1568" s="20">
        <v>1200</v>
      </c>
      <c r="AU1568" s="20">
        <v>1495.840698242188</v>
      </c>
      <c r="AV1568" s="20">
        <f t="shared" si="193"/>
        <v>295.84069824218795</v>
      </c>
      <c r="AW1568" s="21">
        <f t="shared" si="199"/>
        <v>0.2465339152018233</v>
      </c>
    </row>
    <row r="1569" spans="1:49" x14ac:dyDescent="0.25">
      <c r="A1569" t="s">
        <v>38</v>
      </c>
      <c r="B1569" t="s">
        <v>96</v>
      </c>
      <c r="C1569">
        <v>112801</v>
      </c>
      <c r="D1569">
        <v>2018</v>
      </c>
      <c r="E1569" t="s">
        <v>557</v>
      </c>
      <c r="F1569" t="s">
        <v>940</v>
      </c>
      <c r="G1569" t="s">
        <v>118</v>
      </c>
      <c r="I1569">
        <v>6</v>
      </c>
      <c r="J1569" t="s">
        <v>135</v>
      </c>
      <c r="K1569">
        <v>4</v>
      </c>
      <c r="L1569" t="s">
        <v>44</v>
      </c>
      <c r="M1569">
        <v>3.6</v>
      </c>
      <c r="N1569" t="s">
        <v>45</v>
      </c>
      <c r="O1569" t="s">
        <v>46</v>
      </c>
      <c r="P1569">
        <v>4</v>
      </c>
      <c r="Q1569" t="s">
        <v>62</v>
      </c>
      <c r="R1569" t="s">
        <v>225</v>
      </c>
      <c r="S1569" t="s">
        <v>101</v>
      </c>
      <c r="T1569">
        <v>260</v>
      </c>
      <c r="U1569" t="s">
        <v>601</v>
      </c>
      <c r="V1569" t="s">
        <v>76</v>
      </c>
      <c r="X1569" t="s">
        <v>94</v>
      </c>
      <c r="Y1569" t="s">
        <v>103</v>
      </c>
      <c r="AA1569">
        <v>1</v>
      </c>
      <c r="AB1569" t="s">
        <v>603</v>
      </c>
      <c r="AC1569" t="s">
        <v>1328</v>
      </c>
      <c r="AD1569">
        <v>36</v>
      </c>
      <c r="AE1569">
        <v>9</v>
      </c>
      <c r="AF1569">
        <v>3</v>
      </c>
      <c r="AG1569">
        <v>2025</v>
      </c>
      <c r="AH1569" s="2">
        <v>4000</v>
      </c>
      <c r="AI1569" s="2">
        <v>10327.9345703125</v>
      </c>
      <c r="AJ1569" s="2">
        <f t="shared" si="194"/>
        <v>6327.9345703125</v>
      </c>
      <c r="AK1569" s="6">
        <f t="shared" si="195"/>
        <v>1.5819836425781251</v>
      </c>
      <c r="AL1569" s="12">
        <v>4000</v>
      </c>
      <c r="AM1569" s="12">
        <v>10591.0639451386</v>
      </c>
      <c r="AN1569" s="12">
        <f t="shared" si="196"/>
        <v>6591.0639451385996</v>
      </c>
      <c r="AO1569" s="13">
        <f t="shared" si="197"/>
        <v>1.6477659862846499</v>
      </c>
      <c r="AP1569" s="16">
        <v>4000</v>
      </c>
      <c r="AQ1569" s="16">
        <v>10190.808848012361</v>
      </c>
      <c r="AR1569" s="16">
        <f t="shared" si="198"/>
        <v>6190.8088480123606</v>
      </c>
      <c r="AS1569" s="17">
        <f t="shared" si="192"/>
        <v>1.5477022120030901</v>
      </c>
      <c r="AT1569" s="20">
        <v>4000</v>
      </c>
      <c r="AU1569" s="20">
        <v>10488.9501953125</v>
      </c>
      <c r="AV1569" s="20">
        <f t="shared" si="193"/>
        <v>6488.9501953125</v>
      </c>
      <c r="AW1569" s="21">
        <f t="shared" si="199"/>
        <v>1.6222375488281251</v>
      </c>
    </row>
    <row r="1570" spans="1:49" x14ac:dyDescent="0.25">
      <c r="A1570" t="s">
        <v>38</v>
      </c>
      <c r="B1570" t="s">
        <v>110</v>
      </c>
      <c r="C1570">
        <v>159853</v>
      </c>
      <c r="D1570">
        <v>2016</v>
      </c>
      <c r="E1570" t="s">
        <v>58</v>
      </c>
      <c r="F1570" t="s">
        <v>111</v>
      </c>
      <c r="G1570" t="s">
        <v>1127</v>
      </c>
      <c r="I1570">
        <v>4</v>
      </c>
      <c r="J1570" t="s">
        <v>135</v>
      </c>
      <c r="K1570">
        <v>4</v>
      </c>
      <c r="L1570" t="s">
        <v>44</v>
      </c>
      <c r="M1570">
        <v>1.6</v>
      </c>
      <c r="N1570" t="s">
        <v>45</v>
      </c>
      <c r="O1570" t="s">
        <v>46</v>
      </c>
      <c r="P1570">
        <v>2</v>
      </c>
      <c r="Q1570" t="s">
        <v>62</v>
      </c>
      <c r="R1570" t="s">
        <v>63</v>
      </c>
      <c r="U1570" t="s">
        <v>50</v>
      </c>
      <c r="W1570" t="s">
        <v>802</v>
      </c>
      <c r="X1570" t="s">
        <v>53</v>
      </c>
      <c r="Y1570" t="s">
        <v>66</v>
      </c>
      <c r="AA1570">
        <v>0</v>
      </c>
      <c r="AB1570" t="s">
        <v>79</v>
      </c>
      <c r="AC1570" t="s">
        <v>87</v>
      </c>
      <c r="AD1570">
        <v>36</v>
      </c>
      <c r="AE1570">
        <v>9</v>
      </c>
      <c r="AF1570">
        <v>3</v>
      </c>
      <c r="AG1570">
        <v>2025</v>
      </c>
      <c r="AH1570" s="2">
        <v>2800</v>
      </c>
      <c r="AI1570" s="2">
        <v>1493.020385742188</v>
      </c>
      <c r="AJ1570" s="2">
        <f t="shared" si="194"/>
        <v>1306.979614257812</v>
      </c>
      <c r="AK1570" s="6">
        <f t="shared" si="195"/>
        <v>0.4667784336635043</v>
      </c>
      <c r="AL1570" s="12">
        <v>2800</v>
      </c>
      <c r="AM1570" s="12">
        <v>1773.448258907127</v>
      </c>
      <c r="AN1570" s="12">
        <f t="shared" si="196"/>
        <v>1026.551741092873</v>
      </c>
      <c r="AO1570" s="13">
        <f t="shared" si="197"/>
        <v>0.36662562181888325</v>
      </c>
      <c r="AP1570" s="16">
        <v>2800</v>
      </c>
      <c r="AQ1570" s="16">
        <v>1281.729048732831</v>
      </c>
      <c r="AR1570" s="16">
        <f t="shared" si="198"/>
        <v>1518.270951267169</v>
      </c>
      <c r="AS1570" s="17">
        <f t="shared" si="192"/>
        <v>0.54223962545256033</v>
      </c>
      <c r="AT1570" s="20">
        <v>2800</v>
      </c>
      <c r="AU1570" s="20">
        <v>1498.891479492188</v>
      </c>
      <c r="AV1570" s="20">
        <f t="shared" si="193"/>
        <v>1301.108520507812</v>
      </c>
      <c r="AW1570" s="21">
        <f t="shared" si="199"/>
        <v>0.46468161446707573</v>
      </c>
    </row>
    <row r="1571" spans="1:49" x14ac:dyDescent="0.25">
      <c r="A1571" t="s">
        <v>38</v>
      </c>
      <c r="B1571" t="s">
        <v>96</v>
      </c>
      <c r="C1571">
        <v>104599</v>
      </c>
      <c r="D1571">
        <v>2010</v>
      </c>
      <c r="E1571" t="s">
        <v>162</v>
      </c>
      <c r="F1571" t="s">
        <v>1436</v>
      </c>
      <c r="G1571" t="s">
        <v>292</v>
      </c>
      <c r="I1571">
        <v>6</v>
      </c>
      <c r="J1571" t="s">
        <v>122</v>
      </c>
      <c r="K1571">
        <v>2</v>
      </c>
      <c r="L1571" t="s">
        <v>44</v>
      </c>
      <c r="M1571">
        <v>3.8</v>
      </c>
      <c r="N1571" t="s">
        <v>73</v>
      </c>
      <c r="O1571" t="s">
        <v>46</v>
      </c>
      <c r="Q1571" t="s">
        <v>47</v>
      </c>
      <c r="R1571" t="s">
        <v>197</v>
      </c>
      <c r="U1571" t="s">
        <v>50</v>
      </c>
      <c r="X1571" t="s">
        <v>125</v>
      </c>
      <c r="Y1571" t="s">
        <v>66</v>
      </c>
      <c r="AA1571">
        <v>0</v>
      </c>
      <c r="AB1571" t="s">
        <v>79</v>
      </c>
      <c r="AC1571" t="s">
        <v>197</v>
      </c>
      <c r="AD1571">
        <v>36</v>
      </c>
      <c r="AE1571">
        <v>9</v>
      </c>
      <c r="AF1571">
        <v>3</v>
      </c>
      <c r="AG1571">
        <v>2025</v>
      </c>
      <c r="AH1571" s="2">
        <v>4200</v>
      </c>
      <c r="AI1571" s="2">
        <v>3612.049560546875</v>
      </c>
      <c r="AJ1571" s="2">
        <f t="shared" si="194"/>
        <v>587.950439453125</v>
      </c>
      <c r="AK1571" s="6">
        <f t="shared" si="195"/>
        <v>0.13998819986979166</v>
      </c>
      <c r="AL1571" s="12">
        <v>4200</v>
      </c>
      <c r="AM1571" s="12">
        <v>3452.4556089734679</v>
      </c>
      <c r="AN1571" s="12">
        <f t="shared" si="196"/>
        <v>747.54439102653214</v>
      </c>
      <c r="AO1571" s="13">
        <f t="shared" si="197"/>
        <v>0.17798675976822192</v>
      </c>
      <c r="AP1571" s="16">
        <v>4200</v>
      </c>
      <c r="AQ1571" s="16">
        <v>3014.0960410253638</v>
      </c>
      <c r="AR1571" s="16">
        <f t="shared" si="198"/>
        <v>1185.9039589746362</v>
      </c>
      <c r="AS1571" s="17">
        <f t="shared" si="192"/>
        <v>0.28235808547015151</v>
      </c>
      <c r="AT1571" s="20">
        <v>4200</v>
      </c>
      <c r="AU1571" s="20">
        <v>3602.56591796875</v>
      </c>
      <c r="AV1571" s="20">
        <f t="shared" si="193"/>
        <v>597.43408203125</v>
      </c>
      <c r="AW1571" s="21">
        <f t="shared" si="199"/>
        <v>0.14224621000744048</v>
      </c>
    </row>
    <row r="1572" spans="1:49" x14ac:dyDescent="0.25">
      <c r="A1572" t="s">
        <v>128</v>
      </c>
      <c r="B1572" t="s">
        <v>210</v>
      </c>
      <c r="C1572">
        <v>148029</v>
      </c>
      <c r="D1572">
        <v>2015</v>
      </c>
      <c r="E1572" t="s">
        <v>162</v>
      </c>
      <c r="F1572" t="s">
        <v>163</v>
      </c>
      <c r="G1572" t="s">
        <v>1100</v>
      </c>
      <c r="I1572">
        <v>4</v>
      </c>
      <c r="J1572" t="s">
        <v>43</v>
      </c>
      <c r="K1572">
        <v>4</v>
      </c>
      <c r="L1572" t="s">
        <v>44</v>
      </c>
      <c r="M1572">
        <v>2.4</v>
      </c>
      <c r="N1572" t="s">
        <v>45</v>
      </c>
      <c r="O1572" t="s">
        <v>46</v>
      </c>
      <c r="Q1572" t="s">
        <v>47</v>
      </c>
      <c r="R1572" t="s">
        <v>123</v>
      </c>
      <c r="U1572" t="s">
        <v>50</v>
      </c>
      <c r="W1572" t="s">
        <v>165</v>
      </c>
      <c r="X1572" t="s">
        <v>125</v>
      </c>
      <c r="Y1572" t="s">
        <v>78</v>
      </c>
      <c r="AA1572">
        <v>0</v>
      </c>
      <c r="AB1572" t="s">
        <v>79</v>
      </c>
      <c r="AC1572" t="s">
        <v>127</v>
      </c>
      <c r="AD1572">
        <v>36</v>
      </c>
      <c r="AE1572">
        <v>9</v>
      </c>
      <c r="AF1572">
        <v>3</v>
      </c>
      <c r="AG1572">
        <v>2025</v>
      </c>
      <c r="AH1572" s="2">
        <v>1800</v>
      </c>
      <c r="AI1572" s="2">
        <v>2636.989501953125</v>
      </c>
      <c r="AJ1572" s="2">
        <f t="shared" si="194"/>
        <v>836.989501953125</v>
      </c>
      <c r="AK1572" s="6">
        <f t="shared" si="195"/>
        <v>0.46499416775173613</v>
      </c>
      <c r="AL1572" s="12">
        <v>1800</v>
      </c>
      <c r="AM1572" s="12">
        <v>2696.5817187997409</v>
      </c>
      <c r="AN1572" s="12">
        <f t="shared" si="196"/>
        <v>896.58171879974088</v>
      </c>
      <c r="AO1572" s="13">
        <f t="shared" si="197"/>
        <v>0.49810095488874495</v>
      </c>
      <c r="AP1572" s="16">
        <v>1800</v>
      </c>
      <c r="AQ1572" s="16">
        <v>2206.448996843902</v>
      </c>
      <c r="AR1572" s="16">
        <f t="shared" si="198"/>
        <v>406.44899684390202</v>
      </c>
      <c r="AS1572" s="17">
        <f t="shared" si="192"/>
        <v>0.22580499824661224</v>
      </c>
      <c r="AT1572" s="20">
        <v>1800</v>
      </c>
      <c r="AU1572" s="20">
        <v>2650.208984375</v>
      </c>
      <c r="AV1572" s="20">
        <f t="shared" si="193"/>
        <v>850.208984375</v>
      </c>
      <c r="AW1572" s="21">
        <f t="shared" si="199"/>
        <v>0.47233832465277775</v>
      </c>
    </row>
    <row r="1573" spans="1:49" x14ac:dyDescent="0.25">
      <c r="A1573" t="s">
        <v>38</v>
      </c>
      <c r="B1573" t="s">
        <v>96</v>
      </c>
      <c r="C1573">
        <v>38442</v>
      </c>
      <c r="D1573">
        <v>2022</v>
      </c>
      <c r="E1573" t="s">
        <v>162</v>
      </c>
      <c r="F1573" t="s">
        <v>736</v>
      </c>
      <c r="G1573" t="s">
        <v>1437</v>
      </c>
      <c r="I1573">
        <v>4</v>
      </c>
      <c r="J1573" t="s">
        <v>61</v>
      </c>
      <c r="K1573">
        <v>4</v>
      </c>
      <c r="L1573" t="s">
        <v>44</v>
      </c>
      <c r="M1573">
        <v>2</v>
      </c>
      <c r="N1573" t="s">
        <v>45</v>
      </c>
      <c r="O1573" t="s">
        <v>46</v>
      </c>
      <c r="P1573">
        <v>5</v>
      </c>
      <c r="Q1573" t="s">
        <v>62</v>
      </c>
      <c r="R1573" t="s">
        <v>63</v>
      </c>
      <c r="S1573" t="s">
        <v>49</v>
      </c>
      <c r="T1573">
        <v>147</v>
      </c>
      <c r="U1573" t="s">
        <v>50</v>
      </c>
      <c r="W1573" t="s">
        <v>1438</v>
      </c>
      <c r="X1573" t="s">
        <v>53</v>
      </c>
      <c r="Y1573" t="s">
        <v>66</v>
      </c>
      <c r="AA1573">
        <v>0</v>
      </c>
      <c r="AB1573" t="s">
        <v>79</v>
      </c>
      <c r="AC1573" t="s">
        <v>87</v>
      </c>
      <c r="AD1573">
        <v>36</v>
      </c>
      <c r="AE1573">
        <v>9</v>
      </c>
      <c r="AF1573">
        <v>3</v>
      </c>
      <c r="AG1573">
        <v>2025</v>
      </c>
      <c r="AH1573" s="2">
        <v>15500</v>
      </c>
      <c r="AI1573" s="2">
        <v>16590.427734375</v>
      </c>
      <c r="AJ1573" s="2">
        <f t="shared" si="194"/>
        <v>1090.427734375</v>
      </c>
      <c r="AK1573" s="6">
        <f t="shared" si="195"/>
        <v>7.0350176411290322E-2</v>
      </c>
      <c r="AL1573" s="12">
        <v>15500</v>
      </c>
      <c r="AM1573" s="12">
        <v>17834.582495270239</v>
      </c>
      <c r="AN1573" s="12">
        <f t="shared" si="196"/>
        <v>2334.5824952702387</v>
      </c>
      <c r="AO1573" s="13">
        <f t="shared" si="197"/>
        <v>0.15061822550130571</v>
      </c>
      <c r="AP1573" s="16">
        <v>15500</v>
      </c>
      <c r="AQ1573" s="16">
        <v>17969.12657912221</v>
      </c>
      <c r="AR1573" s="16">
        <f t="shared" si="198"/>
        <v>2469.1265791222104</v>
      </c>
      <c r="AS1573" s="17">
        <f t="shared" si="192"/>
        <v>0.15929848897562648</v>
      </c>
      <c r="AT1573" s="20">
        <v>15500</v>
      </c>
      <c r="AU1573" s="20">
        <v>16786.75390625</v>
      </c>
      <c r="AV1573" s="20">
        <f t="shared" si="193"/>
        <v>1286.75390625</v>
      </c>
      <c r="AW1573" s="21">
        <f t="shared" si="199"/>
        <v>8.30163810483871E-2</v>
      </c>
    </row>
    <row r="1574" spans="1:49" x14ac:dyDescent="0.25">
      <c r="A1574" t="s">
        <v>128</v>
      </c>
      <c r="B1574" t="s">
        <v>129</v>
      </c>
      <c r="C1574">
        <v>124866</v>
      </c>
      <c r="D1574">
        <v>2014</v>
      </c>
      <c r="E1574" t="s">
        <v>69</v>
      </c>
      <c r="F1574" t="s">
        <v>607</v>
      </c>
      <c r="G1574" t="s">
        <v>285</v>
      </c>
      <c r="I1574">
        <v>6</v>
      </c>
      <c r="J1574" t="s">
        <v>241</v>
      </c>
      <c r="K1574">
        <v>4</v>
      </c>
      <c r="L1574" t="s">
        <v>44</v>
      </c>
      <c r="M1574">
        <v>3.5</v>
      </c>
      <c r="N1574" t="s">
        <v>45</v>
      </c>
      <c r="Q1574" t="s">
        <v>47</v>
      </c>
      <c r="R1574" t="s">
        <v>123</v>
      </c>
      <c r="S1574" t="s">
        <v>101</v>
      </c>
      <c r="T1574">
        <v>288</v>
      </c>
      <c r="U1574" t="s">
        <v>50</v>
      </c>
      <c r="V1574" t="s">
        <v>76</v>
      </c>
      <c r="X1574" t="s">
        <v>125</v>
      </c>
      <c r="Y1574" t="s">
        <v>78</v>
      </c>
      <c r="AA1574">
        <v>0</v>
      </c>
      <c r="AB1574" t="s">
        <v>79</v>
      </c>
      <c r="AC1574" t="s">
        <v>127</v>
      </c>
      <c r="AD1574">
        <v>36</v>
      </c>
      <c r="AE1574">
        <v>9</v>
      </c>
      <c r="AF1574">
        <v>3</v>
      </c>
      <c r="AG1574">
        <v>2025</v>
      </c>
      <c r="AH1574" s="2">
        <v>6600</v>
      </c>
      <c r="AI1574" s="2">
        <v>4200.1591796875</v>
      </c>
      <c r="AJ1574" s="2">
        <f t="shared" si="194"/>
        <v>2399.8408203125</v>
      </c>
      <c r="AK1574" s="6">
        <f t="shared" si="195"/>
        <v>0.36361224550189392</v>
      </c>
      <c r="AL1574" s="12">
        <v>6600</v>
      </c>
      <c r="AM1574" s="12">
        <v>3887.4041032807231</v>
      </c>
      <c r="AN1574" s="12">
        <f t="shared" si="196"/>
        <v>2712.5958967192769</v>
      </c>
      <c r="AO1574" s="13">
        <f t="shared" si="197"/>
        <v>0.41099937829079952</v>
      </c>
      <c r="AP1574" s="16">
        <v>6600</v>
      </c>
      <c r="AQ1574" s="16">
        <v>2890.724916931184</v>
      </c>
      <c r="AR1574" s="16">
        <f t="shared" si="198"/>
        <v>3709.275083068816</v>
      </c>
      <c r="AS1574" s="17">
        <f t="shared" si="192"/>
        <v>0.56201137622254793</v>
      </c>
      <c r="AT1574" s="20">
        <v>6600</v>
      </c>
      <c r="AU1574" s="20">
        <v>4252.560546875</v>
      </c>
      <c r="AV1574" s="20">
        <f t="shared" si="193"/>
        <v>2347.439453125</v>
      </c>
      <c r="AW1574" s="21">
        <f t="shared" si="199"/>
        <v>0.35567264441287877</v>
      </c>
    </row>
    <row r="1575" spans="1:49" x14ac:dyDescent="0.25">
      <c r="A1575" t="s">
        <v>81</v>
      </c>
      <c r="B1575" t="s">
        <v>82</v>
      </c>
      <c r="C1575">
        <v>195163</v>
      </c>
      <c r="D1575">
        <v>2018</v>
      </c>
      <c r="E1575" t="s">
        <v>40</v>
      </c>
      <c r="F1575" t="s">
        <v>297</v>
      </c>
      <c r="G1575" t="s">
        <v>727</v>
      </c>
      <c r="H1575" t="s">
        <v>1439</v>
      </c>
      <c r="I1575">
        <v>4</v>
      </c>
      <c r="J1575" t="s">
        <v>61</v>
      </c>
      <c r="K1575">
        <v>4</v>
      </c>
      <c r="L1575" t="s">
        <v>44</v>
      </c>
      <c r="M1575">
        <v>2.5</v>
      </c>
      <c r="N1575" t="s">
        <v>45</v>
      </c>
      <c r="O1575" t="s">
        <v>46</v>
      </c>
      <c r="Q1575" t="s">
        <v>47</v>
      </c>
      <c r="R1575" t="s">
        <v>123</v>
      </c>
      <c r="S1575" t="s">
        <v>49</v>
      </c>
      <c r="T1575">
        <v>202</v>
      </c>
      <c r="U1575" t="s">
        <v>50</v>
      </c>
      <c r="V1575" t="s">
        <v>51</v>
      </c>
      <c r="W1575" t="s">
        <v>449</v>
      </c>
      <c r="X1575" t="s">
        <v>125</v>
      </c>
      <c r="Y1575" t="s">
        <v>54</v>
      </c>
      <c r="AA1575">
        <v>0</v>
      </c>
      <c r="AB1575" t="s">
        <v>79</v>
      </c>
      <c r="AC1575" t="s">
        <v>127</v>
      </c>
      <c r="AD1575">
        <v>36</v>
      </c>
      <c r="AE1575">
        <v>9</v>
      </c>
      <c r="AF1575">
        <v>3</v>
      </c>
      <c r="AG1575">
        <v>2025</v>
      </c>
      <c r="AH1575" s="2">
        <v>6900</v>
      </c>
      <c r="AI1575" s="2">
        <v>4195.46630859375</v>
      </c>
      <c r="AJ1575" s="2">
        <f t="shared" si="194"/>
        <v>2704.53369140625</v>
      </c>
      <c r="AK1575" s="6">
        <f t="shared" si="195"/>
        <v>0.39196140455163042</v>
      </c>
      <c r="AL1575" s="12">
        <v>6900</v>
      </c>
      <c r="AM1575" s="12">
        <v>3820.901730085423</v>
      </c>
      <c r="AN1575" s="12">
        <f t="shared" si="196"/>
        <v>3079.098269914577</v>
      </c>
      <c r="AO1575" s="13">
        <f t="shared" si="197"/>
        <v>0.44624612607457637</v>
      </c>
      <c r="AP1575" s="16">
        <v>6900</v>
      </c>
      <c r="AQ1575" s="16">
        <v>3801.2165238663229</v>
      </c>
      <c r="AR1575" s="16">
        <f t="shared" si="198"/>
        <v>3098.7834761336771</v>
      </c>
      <c r="AS1575" s="17">
        <f t="shared" si="192"/>
        <v>0.44909905451212712</v>
      </c>
      <c r="AT1575" s="20">
        <v>6900</v>
      </c>
      <c r="AU1575" s="20">
        <v>4249.37744140625</v>
      </c>
      <c r="AV1575" s="20">
        <f t="shared" si="193"/>
        <v>2650.62255859375</v>
      </c>
      <c r="AW1575" s="21">
        <f t="shared" si="199"/>
        <v>0.3841481968976449</v>
      </c>
    </row>
    <row r="1576" spans="1:49" x14ac:dyDescent="0.25">
      <c r="A1576" t="s">
        <v>128</v>
      </c>
      <c r="B1576" t="s">
        <v>309</v>
      </c>
      <c r="C1576">
        <v>85066</v>
      </c>
      <c r="D1576">
        <v>2019</v>
      </c>
      <c r="E1576" t="s">
        <v>97</v>
      </c>
      <c r="F1576" t="s">
        <v>171</v>
      </c>
      <c r="H1576" t="s">
        <v>172</v>
      </c>
      <c r="I1576">
        <v>6</v>
      </c>
      <c r="J1576" t="s">
        <v>72</v>
      </c>
      <c r="K1576">
        <v>3</v>
      </c>
      <c r="L1576" t="s">
        <v>44</v>
      </c>
      <c r="M1576">
        <v>4.3</v>
      </c>
      <c r="N1576" t="s">
        <v>73</v>
      </c>
      <c r="Q1576" t="s">
        <v>74</v>
      </c>
      <c r="R1576" t="s">
        <v>75</v>
      </c>
      <c r="U1576" t="s">
        <v>50</v>
      </c>
      <c r="V1576" t="s">
        <v>76</v>
      </c>
      <c r="W1576" t="s">
        <v>1440</v>
      </c>
      <c r="X1576" t="s">
        <v>77</v>
      </c>
      <c r="Y1576" t="s">
        <v>78</v>
      </c>
      <c r="Z1576">
        <v>33095</v>
      </c>
      <c r="AA1576">
        <v>0</v>
      </c>
      <c r="AB1576" t="s">
        <v>79</v>
      </c>
      <c r="AC1576" t="s">
        <v>80</v>
      </c>
      <c r="AD1576">
        <v>36</v>
      </c>
      <c r="AE1576">
        <v>9</v>
      </c>
      <c r="AF1576">
        <v>3</v>
      </c>
      <c r="AG1576">
        <v>2025</v>
      </c>
      <c r="AH1576" s="2">
        <v>12000</v>
      </c>
      <c r="AI1576" s="2">
        <v>15122.9501953125</v>
      </c>
      <c r="AJ1576" s="2">
        <f t="shared" si="194"/>
        <v>3122.9501953125</v>
      </c>
      <c r="AK1576" s="6">
        <f t="shared" si="195"/>
        <v>0.26024584960937502</v>
      </c>
      <c r="AL1576" s="12">
        <v>12000</v>
      </c>
      <c r="AM1576" s="12">
        <v>16569.658838225401</v>
      </c>
      <c r="AN1576" s="12">
        <f t="shared" si="196"/>
        <v>4569.6588382254013</v>
      </c>
      <c r="AO1576" s="13">
        <f t="shared" si="197"/>
        <v>0.38080490318545013</v>
      </c>
      <c r="AP1576" s="16">
        <v>12000</v>
      </c>
      <c r="AQ1576" s="16">
        <v>14439.51282869362</v>
      </c>
      <c r="AR1576" s="16">
        <f t="shared" si="198"/>
        <v>2439.5128286936197</v>
      </c>
      <c r="AS1576" s="17">
        <f t="shared" si="192"/>
        <v>0.20329273572446829</v>
      </c>
      <c r="AT1576" s="20">
        <v>12000</v>
      </c>
      <c r="AU1576" s="20">
        <v>15435.2958984375</v>
      </c>
      <c r="AV1576" s="20">
        <f t="shared" si="193"/>
        <v>3435.2958984375</v>
      </c>
      <c r="AW1576" s="21">
        <f t="shared" si="199"/>
        <v>0.28627465820312498</v>
      </c>
    </row>
    <row r="1577" spans="1:49" x14ac:dyDescent="0.25">
      <c r="A1577" t="s">
        <v>128</v>
      </c>
      <c r="B1577" t="s">
        <v>210</v>
      </c>
      <c r="C1577">
        <v>13725</v>
      </c>
      <c r="D1577">
        <v>2020</v>
      </c>
      <c r="E1577" t="s">
        <v>69</v>
      </c>
      <c r="F1577" t="s">
        <v>1141</v>
      </c>
      <c r="H1577" t="s">
        <v>1171</v>
      </c>
      <c r="I1577">
        <v>4</v>
      </c>
      <c r="J1577" t="s">
        <v>61</v>
      </c>
      <c r="K1577">
        <v>5</v>
      </c>
      <c r="L1577" t="s">
        <v>44</v>
      </c>
      <c r="M1577">
        <v>2</v>
      </c>
      <c r="N1577" t="s">
        <v>45</v>
      </c>
      <c r="O1577" t="s">
        <v>46</v>
      </c>
      <c r="Q1577" t="s">
        <v>74</v>
      </c>
      <c r="R1577" t="s">
        <v>80</v>
      </c>
      <c r="S1577" t="s">
        <v>101</v>
      </c>
      <c r="T1577">
        <v>162</v>
      </c>
      <c r="U1577" t="s">
        <v>50</v>
      </c>
      <c r="V1577" t="s">
        <v>51</v>
      </c>
      <c r="X1577" t="s">
        <v>141</v>
      </c>
      <c r="Y1577" t="s">
        <v>1142</v>
      </c>
      <c r="AA1577">
        <v>0</v>
      </c>
      <c r="AB1577" t="s">
        <v>79</v>
      </c>
      <c r="AC1577" t="s">
        <v>80</v>
      </c>
      <c r="AD1577">
        <v>36</v>
      </c>
      <c r="AE1577">
        <v>9</v>
      </c>
      <c r="AF1577">
        <v>3</v>
      </c>
      <c r="AG1577">
        <v>2025</v>
      </c>
      <c r="AH1577" s="2">
        <v>24000</v>
      </c>
      <c r="AI1577" s="2">
        <v>18070.021484375</v>
      </c>
      <c r="AJ1577" s="2">
        <f t="shared" si="194"/>
        <v>5929.978515625</v>
      </c>
      <c r="AK1577" s="6">
        <f t="shared" si="195"/>
        <v>0.24708243815104167</v>
      </c>
      <c r="AL1577" s="12">
        <v>24000</v>
      </c>
      <c r="AM1577" s="12">
        <v>18574.921571422208</v>
      </c>
      <c r="AN1577" s="12">
        <f t="shared" si="196"/>
        <v>5425.0784285777918</v>
      </c>
      <c r="AO1577" s="13">
        <f t="shared" si="197"/>
        <v>0.22604493452407465</v>
      </c>
      <c r="AP1577" s="16">
        <v>24000</v>
      </c>
      <c r="AQ1577" s="16">
        <v>19223.558448555901</v>
      </c>
      <c r="AR1577" s="16">
        <f t="shared" si="198"/>
        <v>4776.4415514440989</v>
      </c>
      <c r="AS1577" s="17">
        <f t="shared" si="192"/>
        <v>0.19901839797683746</v>
      </c>
      <c r="AT1577" s="20">
        <v>24000</v>
      </c>
      <c r="AU1577" s="20">
        <v>17970.4609375</v>
      </c>
      <c r="AV1577" s="20">
        <f t="shared" si="193"/>
        <v>6029.5390625</v>
      </c>
      <c r="AW1577" s="21">
        <f t="shared" si="199"/>
        <v>0.25123079427083334</v>
      </c>
    </row>
    <row r="1578" spans="1:49" x14ac:dyDescent="0.25">
      <c r="A1578" t="s">
        <v>128</v>
      </c>
      <c r="B1578" t="s">
        <v>129</v>
      </c>
      <c r="C1578">
        <v>118784</v>
      </c>
      <c r="D1578">
        <v>2014</v>
      </c>
      <c r="E1578" t="s">
        <v>142</v>
      </c>
      <c r="F1578" t="s">
        <v>335</v>
      </c>
      <c r="G1578" t="s">
        <v>457</v>
      </c>
      <c r="I1578">
        <v>4</v>
      </c>
      <c r="J1578" t="s">
        <v>122</v>
      </c>
      <c r="K1578">
        <v>4</v>
      </c>
      <c r="L1578" t="s">
        <v>44</v>
      </c>
      <c r="M1578">
        <v>2</v>
      </c>
      <c r="N1578" t="s">
        <v>45</v>
      </c>
      <c r="Q1578" t="s">
        <v>62</v>
      </c>
      <c r="R1578" t="s">
        <v>63</v>
      </c>
      <c r="S1578" t="s">
        <v>101</v>
      </c>
      <c r="U1578" t="s">
        <v>50</v>
      </c>
      <c r="X1578" t="s">
        <v>65</v>
      </c>
      <c r="Y1578" t="s">
        <v>78</v>
      </c>
      <c r="AA1578">
        <v>0</v>
      </c>
      <c r="AB1578" t="s">
        <v>79</v>
      </c>
      <c r="AC1578" t="s">
        <v>87</v>
      </c>
      <c r="AD1578">
        <v>36</v>
      </c>
      <c r="AE1578">
        <v>9</v>
      </c>
      <c r="AF1578">
        <v>3</v>
      </c>
      <c r="AG1578">
        <v>2025</v>
      </c>
      <c r="AH1578" s="2">
        <v>400</v>
      </c>
      <c r="AI1578" s="2">
        <v>2749.561767578125</v>
      </c>
      <c r="AJ1578" s="2">
        <f t="shared" si="194"/>
        <v>2349.561767578125</v>
      </c>
      <c r="AK1578" s="6">
        <f t="shared" si="195"/>
        <v>5.8739044189453127</v>
      </c>
      <c r="AL1578" s="12">
        <v>400</v>
      </c>
      <c r="AM1578" s="12">
        <v>2940.7366629294329</v>
      </c>
      <c r="AN1578" s="12">
        <f t="shared" si="196"/>
        <v>2540.7366629294329</v>
      </c>
      <c r="AO1578" s="13">
        <f t="shared" si="197"/>
        <v>6.3518416573235825</v>
      </c>
      <c r="AP1578" s="16">
        <v>400</v>
      </c>
      <c r="AQ1578" s="16">
        <v>2424.008797412168</v>
      </c>
      <c r="AR1578" s="16">
        <f t="shared" si="198"/>
        <v>2024.008797412168</v>
      </c>
      <c r="AS1578" s="17">
        <f t="shared" si="192"/>
        <v>5.0600219935304196</v>
      </c>
      <c r="AT1578" s="20">
        <v>400</v>
      </c>
      <c r="AU1578" s="20">
        <v>2779.89111328125</v>
      </c>
      <c r="AV1578" s="20">
        <f t="shared" si="193"/>
        <v>2379.89111328125</v>
      </c>
      <c r="AW1578" s="21">
        <f t="shared" si="199"/>
        <v>5.9497277832031248</v>
      </c>
    </row>
    <row r="1579" spans="1:49" x14ac:dyDescent="0.25">
      <c r="A1579" t="s">
        <v>38</v>
      </c>
      <c r="B1579" t="s">
        <v>39</v>
      </c>
      <c r="C1579">
        <v>126718</v>
      </c>
      <c r="D1579">
        <v>2018</v>
      </c>
      <c r="E1579" t="s">
        <v>166</v>
      </c>
      <c r="F1579" t="s">
        <v>562</v>
      </c>
      <c r="G1579" t="s">
        <v>457</v>
      </c>
      <c r="I1579">
        <v>4</v>
      </c>
      <c r="J1579" t="s">
        <v>72</v>
      </c>
      <c r="K1579">
        <v>4</v>
      </c>
      <c r="L1579" t="s">
        <v>44</v>
      </c>
      <c r="M1579">
        <v>1.5</v>
      </c>
      <c r="N1579" t="s">
        <v>45</v>
      </c>
      <c r="O1579" t="s">
        <v>46</v>
      </c>
      <c r="Q1579" t="s">
        <v>47</v>
      </c>
      <c r="R1579" t="s">
        <v>123</v>
      </c>
      <c r="S1579" t="s">
        <v>49</v>
      </c>
      <c r="T1579">
        <v>192</v>
      </c>
      <c r="U1579" t="s">
        <v>50</v>
      </c>
      <c r="V1579" t="s">
        <v>51</v>
      </c>
      <c r="W1579" t="s">
        <v>249</v>
      </c>
      <c r="X1579" t="s">
        <v>65</v>
      </c>
      <c r="Y1579" t="s">
        <v>78</v>
      </c>
      <c r="Z1579">
        <v>25780</v>
      </c>
      <c r="AA1579">
        <v>0</v>
      </c>
      <c r="AB1579" t="s">
        <v>79</v>
      </c>
      <c r="AC1579" t="s">
        <v>127</v>
      </c>
      <c r="AD1579">
        <v>36</v>
      </c>
      <c r="AE1579">
        <v>9</v>
      </c>
      <c r="AF1579">
        <v>3</v>
      </c>
      <c r="AG1579">
        <v>2025</v>
      </c>
      <c r="AH1579" s="2">
        <v>12300</v>
      </c>
      <c r="AI1579" s="2">
        <v>12529.22265625</v>
      </c>
      <c r="AJ1579" s="2">
        <f t="shared" si="194"/>
        <v>229.22265625</v>
      </c>
      <c r="AK1579" s="6">
        <f t="shared" si="195"/>
        <v>1.8635988313008129E-2</v>
      </c>
      <c r="AL1579" s="12">
        <v>12300</v>
      </c>
      <c r="AM1579" s="12">
        <v>9523.0707142235715</v>
      </c>
      <c r="AN1579" s="12">
        <f t="shared" si="196"/>
        <v>2776.9292857764285</v>
      </c>
      <c r="AO1579" s="13">
        <f t="shared" si="197"/>
        <v>0.22576660859970962</v>
      </c>
      <c r="AP1579" s="16">
        <v>12300</v>
      </c>
      <c r="AQ1579" s="16">
        <v>8955.6875816464471</v>
      </c>
      <c r="AR1579" s="16">
        <f t="shared" si="198"/>
        <v>3344.3124183535529</v>
      </c>
      <c r="AS1579" s="17">
        <f t="shared" si="192"/>
        <v>0.2718953185653295</v>
      </c>
      <c r="AT1579" s="20">
        <v>12300</v>
      </c>
      <c r="AU1579" s="20">
        <v>11997.8115234375</v>
      </c>
      <c r="AV1579" s="20">
        <f t="shared" si="193"/>
        <v>302.1884765625</v>
      </c>
      <c r="AW1579" s="21">
        <f t="shared" si="199"/>
        <v>2.4568168826219511E-2</v>
      </c>
    </row>
    <row r="1580" spans="1:49" x14ac:dyDescent="0.25">
      <c r="A1580" t="s">
        <v>38</v>
      </c>
      <c r="B1580" t="s">
        <v>96</v>
      </c>
      <c r="C1580">
        <v>172941</v>
      </c>
      <c r="D1580">
        <v>2015</v>
      </c>
      <c r="E1580" t="s">
        <v>97</v>
      </c>
      <c r="F1580" t="s">
        <v>419</v>
      </c>
      <c r="G1580" t="s">
        <v>155</v>
      </c>
      <c r="H1580" t="s">
        <v>177</v>
      </c>
      <c r="I1580">
        <v>8</v>
      </c>
      <c r="J1580" t="s">
        <v>72</v>
      </c>
      <c r="K1580">
        <v>4</v>
      </c>
      <c r="L1580" t="s">
        <v>44</v>
      </c>
      <c r="M1580">
        <v>5.3</v>
      </c>
      <c r="N1580" t="s">
        <v>91</v>
      </c>
      <c r="O1580" t="s">
        <v>46</v>
      </c>
      <c r="Q1580" t="s">
        <v>62</v>
      </c>
      <c r="R1580" t="s">
        <v>63</v>
      </c>
      <c r="S1580" t="s">
        <v>93</v>
      </c>
      <c r="U1580" t="s">
        <v>50</v>
      </c>
      <c r="W1580" t="s">
        <v>473</v>
      </c>
      <c r="X1580" t="s">
        <v>108</v>
      </c>
      <c r="Y1580" t="s">
        <v>78</v>
      </c>
      <c r="AA1580">
        <v>0</v>
      </c>
      <c r="AB1580" t="s">
        <v>79</v>
      </c>
      <c r="AC1580" t="s">
        <v>87</v>
      </c>
      <c r="AD1580">
        <v>36</v>
      </c>
      <c r="AE1580">
        <v>9</v>
      </c>
      <c r="AF1580">
        <v>3</v>
      </c>
      <c r="AG1580">
        <v>2025</v>
      </c>
      <c r="AH1580" s="2">
        <v>9000</v>
      </c>
      <c r="AI1580" s="2">
        <v>9591.38671875</v>
      </c>
      <c r="AJ1580" s="2">
        <f t="shared" si="194"/>
        <v>591.38671875</v>
      </c>
      <c r="AK1580" s="6">
        <f t="shared" si="195"/>
        <v>6.5709635416666662E-2</v>
      </c>
      <c r="AL1580" s="12">
        <v>9000</v>
      </c>
      <c r="AM1580" s="12">
        <v>10332.2078670349</v>
      </c>
      <c r="AN1580" s="12">
        <f t="shared" si="196"/>
        <v>1332.2078670349001</v>
      </c>
      <c r="AO1580" s="13">
        <f t="shared" si="197"/>
        <v>0.14802309633721111</v>
      </c>
      <c r="AP1580" s="16">
        <v>9000</v>
      </c>
      <c r="AQ1580" s="16">
        <v>9776.1982436166145</v>
      </c>
      <c r="AR1580" s="16">
        <f t="shared" si="198"/>
        <v>776.19824361661449</v>
      </c>
      <c r="AS1580" s="17">
        <f t="shared" si="192"/>
        <v>8.6244249290734945E-2</v>
      </c>
      <c r="AT1580" s="20">
        <v>9000</v>
      </c>
      <c r="AU1580" s="20">
        <v>9853.66015625</v>
      </c>
      <c r="AV1580" s="20">
        <f t="shared" si="193"/>
        <v>853.66015625</v>
      </c>
      <c r="AW1580" s="21">
        <f t="shared" si="199"/>
        <v>9.4851128472222226E-2</v>
      </c>
    </row>
    <row r="1581" spans="1:49" x14ac:dyDescent="0.25">
      <c r="A1581" t="s">
        <v>81</v>
      </c>
      <c r="B1581" t="s">
        <v>82</v>
      </c>
      <c r="C1581">
        <v>220411</v>
      </c>
      <c r="D1581">
        <v>2011</v>
      </c>
      <c r="E1581" t="s">
        <v>40</v>
      </c>
      <c r="F1581" t="s">
        <v>643</v>
      </c>
      <c r="H1581" t="s">
        <v>644</v>
      </c>
      <c r="I1581">
        <v>6</v>
      </c>
      <c r="J1581" t="s">
        <v>61</v>
      </c>
      <c r="K1581">
        <v>4</v>
      </c>
      <c r="L1581" t="s">
        <v>44</v>
      </c>
      <c r="M1581">
        <v>3.5</v>
      </c>
      <c r="N1581" t="s">
        <v>45</v>
      </c>
      <c r="O1581" t="s">
        <v>46</v>
      </c>
      <c r="Q1581" t="s">
        <v>62</v>
      </c>
      <c r="R1581" t="s">
        <v>225</v>
      </c>
      <c r="S1581" t="s">
        <v>49</v>
      </c>
      <c r="T1581">
        <v>265</v>
      </c>
      <c r="U1581" t="s">
        <v>50</v>
      </c>
      <c r="V1581" t="s">
        <v>76</v>
      </c>
      <c r="W1581" t="s">
        <v>290</v>
      </c>
      <c r="X1581" t="s">
        <v>141</v>
      </c>
      <c r="Y1581" t="s">
        <v>78</v>
      </c>
      <c r="AA1581">
        <v>0</v>
      </c>
      <c r="AB1581" t="s">
        <v>79</v>
      </c>
      <c r="AC1581" t="s">
        <v>225</v>
      </c>
      <c r="AD1581">
        <v>36</v>
      </c>
      <c r="AE1581">
        <v>9</v>
      </c>
      <c r="AF1581">
        <v>3</v>
      </c>
      <c r="AG1581">
        <v>2025</v>
      </c>
      <c r="AH1581" s="2">
        <v>2800</v>
      </c>
      <c r="AI1581" s="2">
        <v>1584.773071289062</v>
      </c>
      <c r="AJ1581" s="2">
        <f t="shared" si="194"/>
        <v>1215.226928710938</v>
      </c>
      <c r="AK1581" s="6">
        <f t="shared" si="195"/>
        <v>0.43400961739676358</v>
      </c>
      <c r="AL1581" s="12">
        <v>2800</v>
      </c>
      <c r="AM1581" s="12">
        <v>2000.303481425568</v>
      </c>
      <c r="AN1581" s="12">
        <f t="shared" si="196"/>
        <v>799.69651857443205</v>
      </c>
      <c r="AO1581" s="13">
        <f t="shared" si="197"/>
        <v>0.28560589949086856</v>
      </c>
      <c r="AP1581" s="16">
        <v>2800</v>
      </c>
      <c r="AQ1581" s="16">
        <v>1570.722855348916</v>
      </c>
      <c r="AR1581" s="16">
        <f t="shared" si="198"/>
        <v>1229.277144651084</v>
      </c>
      <c r="AS1581" s="17">
        <f t="shared" si="192"/>
        <v>0.43902755166110141</v>
      </c>
      <c r="AT1581" s="20">
        <v>2800</v>
      </c>
      <c r="AU1581" s="20">
        <v>1594.291381835938</v>
      </c>
      <c r="AV1581" s="20">
        <f t="shared" si="193"/>
        <v>1205.708618164062</v>
      </c>
      <c r="AW1581" s="21">
        <f t="shared" si="199"/>
        <v>0.4306102207728793</v>
      </c>
    </row>
    <row r="1582" spans="1:49" x14ac:dyDescent="0.25">
      <c r="A1582" t="s">
        <v>38</v>
      </c>
      <c r="B1582" t="s">
        <v>96</v>
      </c>
      <c r="C1582">
        <v>18967</v>
      </c>
      <c r="D1582">
        <v>2024</v>
      </c>
      <c r="E1582" t="s">
        <v>97</v>
      </c>
      <c r="F1582" t="s">
        <v>159</v>
      </c>
      <c r="G1582" t="s">
        <v>155</v>
      </c>
      <c r="H1582" t="s">
        <v>89</v>
      </c>
      <c r="I1582">
        <v>8</v>
      </c>
      <c r="J1582" t="s">
        <v>72</v>
      </c>
      <c r="K1582">
        <v>4</v>
      </c>
      <c r="L1582" t="s">
        <v>44</v>
      </c>
      <c r="M1582">
        <v>5.3</v>
      </c>
      <c r="N1582" t="s">
        <v>91</v>
      </c>
      <c r="O1582" t="s">
        <v>46</v>
      </c>
      <c r="P1582">
        <v>5</v>
      </c>
      <c r="Q1582" t="s">
        <v>74</v>
      </c>
      <c r="R1582" t="s">
        <v>92</v>
      </c>
      <c r="S1582" t="s">
        <v>93</v>
      </c>
      <c r="U1582" t="s">
        <v>50</v>
      </c>
      <c r="W1582" t="s">
        <v>161</v>
      </c>
      <c r="X1582" t="s">
        <v>108</v>
      </c>
      <c r="Y1582" t="s">
        <v>103</v>
      </c>
      <c r="AA1582">
        <v>0</v>
      </c>
      <c r="AB1582" t="s">
        <v>79</v>
      </c>
      <c r="AC1582" t="s">
        <v>95</v>
      </c>
      <c r="AD1582">
        <v>36</v>
      </c>
      <c r="AE1582">
        <v>9</v>
      </c>
      <c r="AF1582">
        <v>3</v>
      </c>
      <c r="AG1582">
        <v>2025</v>
      </c>
      <c r="AH1582" s="2">
        <v>38800</v>
      </c>
      <c r="AI1582" s="2">
        <v>60597.5234375</v>
      </c>
      <c r="AJ1582" s="2">
        <f t="shared" si="194"/>
        <v>21797.5234375</v>
      </c>
      <c r="AK1582" s="6">
        <f t="shared" si="195"/>
        <v>0.56179184117268044</v>
      </c>
      <c r="AL1582" s="12">
        <v>38800</v>
      </c>
      <c r="AM1582" s="12">
        <v>49242.177027961246</v>
      </c>
      <c r="AN1582" s="12">
        <f t="shared" si="196"/>
        <v>10442.177027961246</v>
      </c>
      <c r="AO1582" s="13">
        <f t="shared" si="197"/>
        <v>0.26912827391652699</v>
      </c>
      <c r="AP1582" s="16">
        <v>38800</v>
      </c>
      <c r="AQ1582" s="16">
        <v>42563.367843855987</v>
      </c>
      <c r="AR1582" s="16">
        <f t="shared" si="198"/>
        <v>3763.3678438559873</v>
      </c>
      <c r="AS1582" s="17">
        <f t="shared" si="192"/>
        <v>9.6994016594226476E-2</v>
      </c>
      <c r="AT1582" s="20">
        <v>38800</v>
      </c>
      <c r="AU1582" s="20">
        <v>60478.53515625</v>
      </c>
      <c r="AV1582" s="20">
        <f t="shared" si="193"/>
        <v>21678.53515625</v>
      </c>
      <c r="AW1582" s="21">
        <f t="shared" si="199"/>
        <v>0.55872513289304127</v>
      </c>
    </row>
    <row r="1583" spans="1:49" x14ac:dyDescent="0.25">
      <c r="A1583" t="s">
        <v>114</v>
      </c>
      <c r="B1583" t="s">
        <v>340</v>
      </c>
      <c r="C1583">
        <v>82538</v>
      </c>
      <c r="D1583">
        <v>2001</v>
      </c>
      <c r="E1583" t="s">
        <v>146</v>
      </c>
      <c r="F1583" t="s">
        <v>1076</v>
      </c>
      <c r="I1583">
        <v>6</v>
      </c>
      <c r="J1583" t="s">
        <v>277</v>
      </c>
      <c r="K1583">
        <v>4</v>
      </c>
      <c r="L1583" t="s">
        <v>44</v>
      </c>
      <c r="M1583">
        <v>3.3</v>
      </c>
      <c r="N1583" t="s">
        <v>91</v>
      </c>
      <c r="O1583" t="s">
        <v>46</v>
      </c>
      <c r="P1583">
        <v>3</v>
      </c>
      <c r="Q1583" t="s">
        <v>74</v>
      </c>
      <c r="R1583" t="s">
        <v>92</v>
      </c>
      <c r="S1583" t="s">
        <v>93</v>
      </c>
      <c r="U1583" t="s">
        <v>50</v>
      </c>
      <c r="V1583" t="s">
        <v>76</v>
      </c>
      <c r="X1583" t="s">
        <v>141</v>
      </c>
      <c r="Y1583" t="s">
        <v>78</v>
      </c>
      <c r="AA1583">
        <v>0</v>
      </c>
      <c r="AB1583" t="s">
        <v>79</v>
      </c>
      <c r="AC1583" t="s">
        <v>95</v>
      </c>
      <c r="AD1583">
        <v>36</v>
      </c>
      <c r="AE1583">
        <v>9</v>
      </c>
      <c r="AF1583">
        <v>3</v>
      </c>
      <c r="AG1583">
        <v>2025</v>
      </c>
      <c r="AH1583" s="2">
        <v>3800</v>
      </c>
      <c r="AI1583" s="2">
        <v>2160.50439453125</v>
      </c>
      <c r="AJ1583" s="2">
        <f t="shared" si="194"/>
        <v>1639.49560546875</v>
      </c>
      <c r="AK1583" s="6">
        <f t="shared" si="195"/>
        <v>0.43144621196546051</v>
      </c>
      <c r="AL1583" s="12">
        <v>3800</v>
      </c>
      <c r="AM1583" s="12">
        <v>2145.9340434037172</v>
      </c>
      <c r="AN1583" s="12">
        <f t="shared" si="196"/>
        <v>1654.0659565962828</v>
      </c>
      <c r="AO1583" s="13">
        <f t="shared" si="197"/>
        <v>0.43528051489375863</v>
      </c>
      <c r="AP1583" s="16">
        <v>3800</v>
      </c>
      <c r="AQ1583" s="16">
        <v>2278.1093086858459</v>
      </c>
      <c r="AR1583" s="16">
        <f t="shared" si="198"/>
        <v>1521.8906913141541</v>
      </c>
      <c r="AS1583" s="17">
        <f t="shared" si="192"/>
        <v>0.40049755034583001</v>
      </c>
      <c r="AT1583" s="20">
        <v>3800</v>
      </c>
      <c r="AU1583" s="20">
        <v>2169.261474609375</v>
      </c>
      <c r="AV1583" s="20">
        <f t="shared" si="193"/>
        <v>1630.738525390625</v>
      </c>
      <c r="AW1583" s="21">
        <f t="shared" si="199"/>
        <v>0.42914171720805921</v>
      </c>
    </row>
    <row r="1584" spans="1:49" x14ac:dyDescent="0.25">
      <c r="A1584" t="s">
        <v>128</v>
      </c>
      <c r="B1584" t="s">
        <v>129</v>
      </c>
      <c r="C1584">
        <v>169423</v>
      </c>
      <c r="D1584">
        <v>2008</v>
      </c>
      <c r="E1584" t="s">
        <v>286</v>
      </c>
      <c r="F1584" t="s">
        <v>1122</v>
      </c>
      <c r="G1584" t="s">
        <v>71</v>
      </c>
      <c r="H1584" t="s">
        <v>1441</v>
      </c>
      <c r="I1584">
        <v>6</v>
      </c>
      <c r="J1584" t="s">
        <v>72</v>
      </c>
      <c r="K1584">
        <v>4</v>
      </c>
      <c r="L1584" t="s">
        <v>44</v>
      </c>
      <c r="M1584">
        <v>2.5</v>
      </c>
      <c r="N1584" t="s">
        <v>73</v>
      </c>
      <c r="Q1584" t="s">
        <v>47</v>
      </c>
      <c r="R1584" t="s">
        <v>123</v>
      </c>
      <c r="S1584" t="s">
        <v>49</v>
      </c>
      <c r="T1584">
        <v>236</v>
      </c>
      <c r="U1584" t="s">
        <v>50</v>
      </c>
      <c r="V1584" t="s">
        <v>76</v>
      </c>
      <c r="W1584" t="s">
        <v>1124</v>
      </c>
      <c r="X1584" t="s">
        <v>125</v>
      </c>
      <c r="Y1584" t="s">
        <v>54</v>
      </c>
      <c r="AA1584">
        <v>0</v>
      </c>
      <c r="AB1584" t="s">
        <v>79</v>
      </c>
      <c r="AC1584" t="s">
        <v>127</v>
      </c>
      <c r="AD1584">
        <v>36</v>
      </c>
      <c r="AE1584">
        <v>9</v>
      </c>
      <c r="AF1584">
        <v>3</v>
      </c>
      <c r="AG1584">
        <v>2025</v>
      </c>
      <c r="AH1584" s="2">
        <v>600</v>
      </c>
      <c r="AI1584" s="2">
        <v>2069.96484375</v>
      </c>
      <c r="AJ1584" s="2">
        <f t="shared" si="194"/>
        <v>1469.96484375</v>
      </c>
      <c r="AK1584" s="6">
        <f t="shared" si="195"/>
        <v>2.4499414062499998</v>
      </c>
      <c r="AL1584" s="12">
        <v>600</v>
      </c>
      <c r="AM1584" s="12">
        <v>2525.838121184639</v>
      </c>
      <c r="AN1584" s="12">
        <f t="shared" si="196"/>
        <v>1925.838121184639</v>
      </c>
      <c r="AO1584" s="13">
        <f t="shared" si="197"/>
        <v>3.2097302019743985</v>
      </c>
      <c r="AP1584" s="16">
        <v>600</v>
      </c>
      <c r="AQ1584" s="16">
        <v>2132.725273152359</v>
      </c>
      <c r="AR1584" s="16">
        <f t="shared" si="198"/>
        <v>1532.725273152359</v>
      </c>
      <c r="AS1584" s="17">
        <f t="shared" si="192"/>
        <v>2.5545421219205982</v>
      </c>
      <c r="AT1584" s="20">
        <v>600</v>
      </c>
      <c r="AU1584" s="20">
        <v>2077.38232421875</v>
      </c>
      <c r="AV1584" s="20">
        <f t="shared" si="193"/>
        <v>1477.38232421875</v>
      </c>
      <c r="AW1584" s="21">
        <f t="shared" si="199"/>
        <v>2.4623038736979166</v>
      </c>
    </row>
    <row r="1585" spans="1:49" x14ac:dyDescent="0.25">
      <c r="A1585" t="s">
        <v>128</v>
      </c>
      <c r="B1585" t="s">
        <v>210</v>
      </c>
      <c r="C1585">
        <v>217235</v>
      </c>
      <c r="D1585">
        <v>2006</v>
      </c>
      <c r="E1585" t="s">
        <v>263</v>
      </c>
      <c r="F1585" t="s">
        <v>694</v>
      </c>
      <c r="H1585" t="s">
        <v>240</v>
      </c>
      <c r="I1585">
        <v>6</v>
      </c>
      <c r="J1585" t="s">
        <v>135</v>
      </c>
      <c r="K1585">
        <v>4</v>
      </c>
      <c r="L1585" t="s">
        <v>44</v>
      </c>
      <c r="M1585">
        <v>3</v>
      </c>
      <c r="N1585" t="s">
        <v>45</v>
      </c>
      <c r="O1585" t="s">
        <v>46</v>
      </c>
      <c r="Q1585" t="s">
        <v>62</v>
      </c>
      <c r="R1585" t="s">
        <v>63</v>
      </c>
      <c r="S1585" t="s">
        <v>49</v>
      </c>
      <c r="T1585">
        <v>200</v>
      </c>
      <c r="U1585" t="s">
        <v>50</v>
      </c>
      <c r="V1585" t="s">
        <v>76</v>
      </c>
      <c r="X1585" t="s">
        <v>65</v>
      </c>
      <c r="Y1585" t="s">
        <v>78</v>
      </c>
      <c r="AA1585">
        <v>0</v>
      </c>
      <c r="AB1585" t="s">
        <v>79</v>
      </c>
      <c r="AC1585" t="s">
        <v>87</v>
      </c>
      <c r="AD1585">
        <v>36</v>
      </c>
      <c r="AE1585">
        <v>9</v>
      </c>
      <c r="AF1585">
        <v>3</v>
      </c>
      <c r="AG1585">
        <v>2025</v>
      </c>
      <c r="AH1585" s="2">
        <v>400</v>
      </c>
      <c r="AI1585" s="2">
        <v>640.767578125</v>
      </c>
      <c r="AJ1585" s="2">
        <f t="shared" si="194"/>
        <v>240.767578125</v>
      </c>
      <c r="AK1585" s="6">
        <f t="shared" si="195"/>
        <v>0.60191894531250001</v>
      </c>
      <c r="AL1585" s="12">
        <v>400</v>
      </c>
      <c r="AM1585" s="12">
        <v>723.95237657515963</v>
      </c>
      <c r="AN1585" s="12">
        <f t="shared" si="196"/>
        <v>323.95237657515963</v>
      </c>
      <c r="AO1585" s="13">
        <f t="shared" si="197"/>
        <v>0.80988094143789913</v>
      </c>
      <c r="AP1585" s="16">
        <v>400</v>
      </c>
      <c r="AQ1585" s="16">
        <v>673.61908280639477</v>
      </c>
      <c r="AR1585" s="16">
        <f t="shared" si="198"/>
        <v>273.61908280639477</v>
      </c>
      <c r="AS1585" s="17">
        <f t="shared" si="192"/>
        <v>0.68404770701598694</v>
      </c>
      <c r="AT1585" s="20">
        <v>400</v>
      </c>
      <c r="AU1585" s="20">
        <v>616.9681396484375</v>
      </c>
      <c r="AV1585" s="20">
        <f t="shared" si="193"/>
        <v>216.9681396484375</v>
      </c>
      <c r="AW1585" s="21">
        <f t="shared" si="199"/>
        <v>0.54242034912109371</v>
      </c>
    </row>
    <row r="1586" spans="1:49" x14ac:dyDescent="0.25">
      <c r="A1586" t="s">
        <v>38</v>
      </c>
      <c r="B1586" t="s">
        <v>68</v>
      </c>
      <c r="C1586">
        <v>172423</v>
      </c>
      <c r="D1586">
        <v>2016</v>
      </c>
      <c r="E1586" t="s">
        <v>40</v>
      </c>
      <c r="F1586" t="s">
        <v>215</v>
      </c>
      <c r="G1586" t="s">
        <v>150</v>
      </c>
      <c r="H1586" t="s">
        <v>1432</v>
      </c>
      <c r="I1586">
        <v>8</v>
      </c>
      <c r="J1586" t="s">
        <v>135</v>
      </c>
      <c r="K1586">
        <v>4</v>
      </c>
      <c r="L1586" t="s">
        <v>44</v>
      </c>
      <c r="M1586">
        <v>5.7</v>
      </c>
      <c r="N1586" t="s">
        <v>73</v>
      </c>
      <c r="O1586" t="s">
        <v>46</v>
      </c>
      <c r="P1586">
        <v>4</v>
      </c>
      <c r="Q1586" t="s">
        <v>74</v>
      </c>
      <c r="R1586" t="s">
        <v>92</v>
      </c>
      <c r="S1586" t="s">
        <v>49</v>
      </c>
      <c r="T1586">
        <v>381</v>
      </c>
      <c r="U1586" t="s">
        <v>50</v>
      </c>
      <c r="V1586" t="s">
        <v>76</v>
      </c>
      <c r="W1586" t="s">
        <v>713</v>
      </c>
      <c r="X1586" t="s">
        <v>94</v>
      </c>
      <c r="Y1586" t="s">
        <v>78</v>
      </c>
      <c r="AA1586">
        <v>0</v>
      </c>
      <c r="AB1586" t="s">
        <v>79</v>
      </c>
      <c r="AC1586" t="s">
        <v>95</v>
      </c>
      <c r="AD1586">
        <v>36</v>
      </c>
      <c r="AE1586">
        <v>9</v>
      </c>
      <c r="AF1586">
        <v>3</v>
      </c>
      <c r="AG1586">
        <v>2025</v>
      </c>
      <c r="AH1586" s="2">
        <v>12500</v>
      </c>
      <c r="AI1586" s="2">
        <v>10820.0078125</v>
      </c>
      <c r="AJ1586" s="2">
        <f t="shared" si="194"/>
        <v>1679.9921875</v>
      </c>
      <c r="AK1586" s="6">
        <f t="shared" si="195"/>
        <v>0.13439937499999999</v>
      </c>
      <c r="AL1586" s="12">
        <v>12500</v>
      </c>
      <c r="AM1586" s="12">
        <v>12546.42134369859</v>
      </c>
      <c r="AN1586" s="12">
        <f t="shared" si="196"/>
        <v>46.421343698590135</v>
      </c>
      <c r="AO1586" s="13">
        <f t="shared" si="197"/>
        <v>3.7137074958872108E-3</v>
      </c>
      <c r="AP1586" s="16">
        <v>12500</v>
      </c>
      <c r="AQ1586" s="16">
        <v>9765.9161648931604</v>
      </c>
      <c r="AR1586" s="16">
        <f t="shared" si="198"/>
        <v>2734.0838351068396</v>
      </c>
      <c r="AS1586" s="17">
        <f t="shared" si="192"/>
        <v>0.21872670680854717</v>
      </c>
      <c r="AT1586" s="20">
        <v>12500</v>
      </c>
      <c r="AU1586" s="20">
        <v>11321.4228515625</v>
      </c>
      <c r="AV1586" s="20">
        <f t="shared" si="193"/>
        <v>1178.5771484375</v>
      </c>
      <c r="AW1586" s="21">
        <f t="shared" si="199"/>
        <v>9.4286171875000005E-2</v>
      </c>
    </row>
    <row r="1587" spans="1:49" x14ac:dyDescent="0.25">
      <c r="A1587" t="s">
        <v>38</v>
      </c>
      <c r="B1587" t="s">
        <v>57</v>
      </c>
      <c r="C1587">
        <v>200075</v>
      </c>
      <c r="D1587">
        <v>2005</v>
      </c>
      <c r="E1587" t="s">
        <v>40</v>
      </c>
      <c r="F1587" t="s">
        <v>643</v>
      </c>
      <c r="G1587" t="s">
        <v>572</v>
      </c>
      <c r="H1587" t="s">
        <v>1118</v>
      </c>
      <c r="I1587">
        <v>6</v>
      </c>
      <c r="J1587" t="s">
        <v>206</v>
      </c>
      <c r="K1587">
        <v>4</v>
      </c>
      <c r="L1587" t="s">
        <v>44</v>
      </c>
      <c r="M1587">
        <v>3.3</v>
      </c>
      <c r="N1587" t="s">
        <v>45</v>
      </c>
      <c r="O1587" t="s">
        <v>46</v>
      </c>
      <c r="P1587">
        <v>3</v>
      </c>
      <c r="Q1587" t="s">
        <v>62</v>
      </c>
      <c r="R1587" t="s">
        <v>225</v>
      </c>
      <c r="S1587" t="s">
        <v>49</v>
      </c>
      <c r="T1587">
        <v>215</v>
      </c>
      <c r="U1587" t="s">
        <v>50</v>
      </c>
      <c r="V1587" t="s">
        <v>76</v>
      </c>
      <c r="W1587" t="s">
        <v>1119</v>
      </c>
      <c r="X1587" t="s">
        <v>141</v>
      </c>
      <c r="Y1587" t="s">
        <v>78</v>
      </c>
      <c r="AA1587">
        <v>0</v>
      </c>
      <c r="AB1587" t="s">
        <v>79</v>
      </c>
      <c r="AC1587" t="s">
        <v>225</v>
      </c>
      <c r="AD1587">
        <v>36</v>
      </c>
      <c r="AE1587">
        <v>9</v>
      </c>
      <c r="AF1587">
        <v>3</v>
      </c>
      <c r="AG1587">
        <v>2025</v>
      </c>
      <c r="AH1587" s="2">
        <v>1800</v>
      </c>
      <c r="AI1587" s="2">
        <v>1399.713623046875</v>
      </c>
      <c r="AJ1587" s="2">
        <f t="shared" si="194"/>
        <v>400.286376953125</v>
      </c>
      <c r="AK1587" s="6">
        <f t="shared" si="195"/>
        <v>0.2223813205295139</v>
      </c>
      <c r="AL1587" s="12">
        <v>1800</v>
      </c>
      <c r="AM1587" s="12">
        <v>1117.4023328160961</v>
      </c>
      <c r="AN1587" s="12">
        <f t="shared" si="196"/>
        <v>682.59766718390392</v>
      </c>
      <c r="AO1587" s="13">
        <f t="shared" si="197"/>
        <v>0.37922092621327996</v>
      </c>
      <c r="AP1587" s="16">
        <v>1800</v>
      </c>
      <c r="AQ1587" s="16">
        <v>1050.8293616737139</v>
      </c>
      <c r="AR1587" s="16">
        <f t="shared" si="198"/>
        <v>749.17063832628605</v>
      </c>
      <c r="AS1587" s="17">
        <f t="shared" si="192"/>
        <v>0.41620591018127001</v>
      </c>
      <c r="AT1587" s="20">
        <v>1800</v>
      </c>
      <c r="AU1587" s="20">
        <v>1266.75732421875</v>
      </c>
      <c r="AV1587" s="20">
        <f t="shared" si="193"/>
        <v>533.24267578125</v>
      </c>
      <c r="AW1587" s="21">
        <f t="shared" si="199"/>
        <v>0.29624593098958335</v>
      </c>
    </row>
    <row r="1588" spans="1:49" x14ac:dyDescent="0.25">
      <c r="A1588" t="s">
        <v>38</v>
      </c>
      <c r="B1588" t="s">
        <v>110</v>
      </c>
      <c r="C1588">
        <v>92763</v>
      </c>
      <c r="D1588">
        <v>2022</v>
      </c>
      <c r="E1588" t="s">
        <v>557</v>
      </c>
      <c r="F1588" t="s">
        <v>940</v>
      </c>
      <c r="G1588" t="s">
        <v>1135</v>
      </c>
      <c r="I1588">
        <v>6</v>
      </c>
      <c r="J1588" t="s">
        <v>135</v>
      </c>
      <c r="K1588">
        <v>4</v>
      </c>
      <c r="L1588" t="s">
        <v>44</v>
      </c>
      <c r="M1588">
        <v>3.6</v>
      </c>
      <c r="N1588" t="s">
        <v>45</v>
      </c>
      <c r="O1588" t="s">
        <v>46</v>
      </c>
      <c r="P1588">
        <v>4</v>
      </c>
      <c r="Q1588" t="s">
        <v>62</v>
      </c>
      <c r="R1588" t="s">
        <v>225</v>
      </c>
      <c r="S1588" t="s">
        <v>101</v>
      </c>
      <c r="T1588">
        <v>287</v>
      </c>
      <c r="U1588" t="s">
        <v>50</v>
      </c>
      <c r="V1588" t="s">
        <v>76</v>
      </c>
      <c r="X1588" t="s">
        <v>94</v>
      </c>
      <c r="Y1588" t="s">
        <v>103</v>
      </c>
      <c r="AA1588">
        <v>0</v>
      </c>
      <c r="AB1588" t="s">
        <v>79</v>
      </c>
      <c r="AC1588" t="s">
        <v>225</v>
      </c>
      <c r="AD1588">
        <v>36</v>
      </c>
      <c r="AE1588">
        <v>9</v>
      </c>
      <c r="AF1588">
        <v>3</v>
      </c>
      <c r="AG1588">
        <v>2025</v>
      </c>
      <c r="AH1588" s="2">
        <v>12750</v>
      </c>
      <c r="AI1588" s="2">
        <v>16501.111328125</v>
      </c>
      <c r="AJ1588" s="2">
        <f t="shared" si="194"/>
        <v>3751.111328125</v>
      </c>
      <c r="AK1588" s="6">
        <f t="shared" si="195"/>
        <v>0.2942048100490196</v>
      </c>
      <c r="AL1588" s="12">
        <v>12750</v>
      </c>
      <c r="AM1588" s="12">
        <v>18132.34239970833</v>
      </c>
      <c r="AN1588" s="12">
        <f t="shared" si="196"/>
        <v>5382.34239970833</v>
      </c>
      <c r="AO1588" s="13">
        <f t="shared" si="197"/>
        <v>0.42214450193790826</v>
      </c>
      <c r="AP1588" s="16">
        <v>12750</v>
      </c>
      <c r="AQ1588" s="16">
        <v>16166.469109103709</v>
      </c>
      <c r="AR1588" s="16">
        <f t="shared" si="198"/>
        <v>3416.4691091037093</v>
      </c>
      <c r="AS1588" s="17">
        <f t="shared" si="192"/>
        <v>0.26795836149833013</v>
      </c>
      <c r="AT1588" s="20">
        <v>12750</v>
      </c>
      <c r="AU1588" s="20">
        <v>16817.10546875</v>
      </c>
      <c r="AV1588" s="20">
        <f t="shared" si="193"/>
        <v>4067.10546875</v>
      </c>
      <c r="AW1588" s="21">
        <f t="shared" si="199"/>
        <v>0.31898866421568628</v>
      </c>
    </row>
    <row r="1589" spans="1:49" x14ac:dyDescent="0.25">
      <c r="A1589" t="s">
        <v>38</v>
      </c>
      <c r="B1589" t="s">
        <v>68</v>
      </c>
      <c r="C1589">
        <v>71069</v>
      </c>
      <c r="D1589">
        <v>2022</v>
      </c>
      <c r="E1589" t="s">
        <v>166</v>
      </c>
      <c r="F1589" t="s">
        <v>628</v>
      </c>
      <c r="G1589" t="s">
        <v>248</v>
      </c>
      <c r="I1589">
        <v>4</v>
      </c>
      <c r="J1589" t="s">
        <v>122</v>
      </c>
      <c r="K1589">
        <v>4</v>
      </c>
      <c r="L1589" t="s">
        <v>44</v>
      </c>
      <c r="M1589">
        <v>1.5</v>
      </c>
      <c r="N1589" t="s">
        <v>45</v>
      </c>
      <c r="O1589" t="s">
        <v>46</v>
      </c>
      <c r="P1589">
        <v>4</v>
      </c>
      <c r="Q1589" t="s">
        <v>47</v>
      </c>
      <c r="R1589" t="s">
        <v>123</v>
      </c>
      <c r="S1589" t="s">
        <v>49</v>
      </c>
      <c r="T1589">
        <v>180</v>
      </c>
      <c r="U1589" t="s">
        <v>50</v>
      </c>
      <c r="V1589" t="s">
        <v>51</v>
      </c>
      <c r="W1589" t="s">
        <v>1366</v>
      </c>
      <c r="X1589" t="s">
        <v>65</v>
      </c>
      <c r="Y1589" t="s">
        <v>103</v>
      </c>
      <c r="AA1589">
        <v>0</v>
      </c>
      <c r="AB1589" t="s">
        <v>79</v>
      </c>
      <c r="AC1589" t="s">
        <v>127</v>
      </c>
      <c r="AD1589">
        <v>36</v>
      </c>
      <c r="AE1589">
        <v>9</v>
      </c>
      <c r="AF1589">
        <v>3</v>
      </c>
      <c r="AG1589">
        <v>2025</v>
      </c>
      <c r="AH1589" s="2">
        <v>19500</v>
      </c>
      <c r="AI1589" s="2">
        <v>20023.994140625</v>
      </c>
      <c r="AJ1589" s="2">
        <f t="shared" si="194"/>
        <v>523.994140625</v>
      </c>
      <c r="AK1589" s="6">
        <f t="shared" si="195"/>
        <v>2.6871494391025642E-2</v>
      </c>
      <c r="AL1589" s="12">
        <v>19500</v>
      </c>
      <c r="AM1589" s="12">
        <v>23757.416084151952</v>
      </c>
      <c r="AN1589" s="12">
        <f t="shared" si="196"/>
        <v>4257.4160841519515</v>
      </c>
      <c r="AO1589" s="13">
        <f t="shared" si="197"/>
        <v>0.21832902995651032</v>
      </c>
      <c r="AP1589" s="16">
        <v>19500</v>
      </c>
      <c r="AQ1589" s="16">
        <v>17841.587939591998</v>
      </c>
      <c r="AR1589" s="16">
        <f t="shared" si="198"/>
        <v>1658.4120604080017</v>
      </c>
      <c r="AS1589" s="17">
        <f t="shared" si="192"/>
        <v>8.5046772328615475E-2</v>
      </c>
      <c r="AT1589" s="20">
        <v>19500</v>
      </c>
      <c r="AU1589" s="20">
        <v>20359.603515625</v>
      </c>
      <c r="AV1589" s="20">
        <f t="shared" si="193"/>
        <v>859.603515625</v>
      </c>
      <c r="AW1589" s="21">
        <f t="shared" si="199"/>
        <v>4.4082231570512817E-2</v>
      </c>
    </row>
    <row r="1590" spans="1:49" x14ac:dyDescent="0.25">
      <c r="A1590" t="s">
        <v>114</v>
      </c>
      <c r="B1590" t="s">
        <v>340</v>
      </c>
      <c r="C1590">
        <v>134989</v>
      </c>
      <c r="D1590">
        <v>2004</v>
      </c>
      <c r="E1590" t="s">
        <v>40</v>
      </c>
      <c r="F1590" t="s">
        <v>1442</v>
      </c>
      <c r="H1590" t="s">
        <v>1443</v>
      </c>
      <c r="I1590">
        <v>4</v>
      </c>
      <c r="J1590" t="s">
        <v>43</v>
      </c>
      <c r="K1590">
        <v>4</v>
      </c>
      <c r="L1590" t="s">
        <v>44</v>
      </c>
      <c r="M1590">
        <v>1.8</v>
      </c>
      <c r="N1590" t="s">
        <v>44</v>
      </c>
      <c r="O1590" t="s">
        <v>46</v>
      </c>
      <c r="P1590">
        <v>3</v>
      </c>
      <c r="Q1590" t="s">
        <v>47</v>
      </c>
      <c r="R1590" t="s">
        <v>48</v>
      </c>
      <c r="S1590" t="s">
        <v>93</v>
      </c>
      <c r="U1590" t="s">
        <v>50</v>
      </c>
      <c r="V1590" t="s">
        <v>51</v>
      </c>
      <c r="W1590" t="s">
        <v>1385</v>
      </c>
      <c r="X1590" t="s">
        <v>125</v>
      </c>
      <c r="Y1590" t="s">
        <v>103</v>
      </c>
      <c r="AA1590">
        <v>0</v>
      </c>
      <c r="AB1590" t="s">
        <v>79</v>
      </c>
      <c r="AC1590" t="s">
        <v>359</v>
      </c>
      <c r="AD1590">
        <v>36</v>
      </c>
      <c r="AE1590">
        <v>9</v>
      </c>
      <c r="AF1590">
        <v>3</v>
      </c>
      <c r="AG1590">
        <v>2025</v>
      </c>
      <c r="AH1590" s="2">
        <v>1800</v>
      </c>
      <c r="AI1590" s="2">
        <v>1447.816040039062</v>
      </c>
      <c r="AJ1590" s="2">
        <f t="shared" si="194"/>
        <v>352.18395996093795</v>
      </c>
      <c r="AK1590" s="6">
        <f t="shared" si="195"/>
        <v>0.19565775553385442</v>
      </c>
      <c r="AL1590" s="12">
        <v>1800</v>
      </c>
      <c r="AM1590" s="12">
        <v>1511.8303835189911</v>
      </c>
      <c r="AN1590" s="12">
        <f t="shared" si="196"/>
        <v>288.16961648100892</v>
      </c>
      <c r="AO1590" s="13">
        <f t="shared" si="197"/>
        <v>0.16009423137833828</v>
      </c>
      <c r="AP1590" s="16">
        <v>1800</v>
      </c>
      <c r="AQ1590" s="16">
        <v>1021.689173330289</v>
      </c>
      <c r="AR1590" s="16">
        <f t="shared" si="198"/>
        <v>778.31082666971099</v>
      </c>
      <c r="AS1590" s="17">
        <f t="shared" si="192"/>
        <v>0.43239490370539502</v>
      </c>
      <c r="AT1590" s="20">
        <v>1800</v>
      </c>
      <c r="AU1590" s="20">
        <v>1440.486083984375</v>
      </c>
      <c r="AV1590" s="20">
        <f t="shared" si="193"/>
        <v>359.513916015625</v>
      </c>
      <c r="AW1590" s="21">
        <f t="shared" si="199"/>
        <v>0.19972995334201388</v>
      </c>
    </row>
    <row r="1591" spans="1:49" x14ac:dyDescent="0.25">
      <c r="A1591" t="s">
        <v>38</v>
      </c>
      <c r="B1591" t="s">
        <v>68</v>
      </c>
      <c r="C1591">
        <v>107072</v>
      </c>
      <c r="D1591">
        <v>2016</v>
      </c>
      <c r="E1591" t="s">
        <v>166</v>
      </c>
      <c r="F1591" t="s">
        <v>167</v>
      </c>
      <c r="G1591" t="s">
        <v>881</v>
      </c>
      <c r="I1591">
        <v>6</v>
      </c>
      <c r="J1591" t="s">
        <v>72</v>
      </c>
      <c r="K1591">
        <v>4</v>
      </c>
      <c r="L1591" t="s">
        <v>44</v>
      </c>
      <c r="M1591">
        <v>3.5</v>
      </c>
      <c r="N1591" t="s">
        <v>45</v>
      </c>
      <c r="O1591" t="s">
        <v>46</v>
      </c>
      <c r="P1591">
        <v>3</v>
      </c>
      <c r="Q1591" t="s">
        <v>62</v>
      </c>
      <c r="R1591" t="s">
        <v>63</v>
      </c>
      <c r="S1591" t="s">
        <v>49</v>
      </c>
      <c r="T1591">
        <v>280</v>
      </c>
      <c r="U1591" t="s">
        <v>50</v>
      </c>
      <c r="V1591" t="s">
        <v>76</v>
      </c>
      <c r="W1591" t="s">
        <v>412</v>
      </c>
      <c r="X1591" t="s">
        <v>141</v>
      </c>
      <c r="Y1591" t="s">
        <v>78</v>
      </c>
      <c r="AA1591">
        <v>0</v>
      </c>
      <c r="AB1591" t="s">
        <v>79</v>
      </c>
      <c r="AC1591" t="s">
        <v>87</v>
      </c>
      <c r="AD1591">
        <v>36</v>
      </c>
      <c r="AE1591">
        <v>9</v>
      </c>
      <c r="AF1591">
        <v>3</v>
      </c>
      <c r="AG1591">
        <v>2025</v>
      </c>
      <c r="AH1591" s="2">
        <v>12000</v>
      </c>
      <c r="AI1591" s="2">
        <v>10007.6640625</v>
      </c>
      <c r="AJ1591" s="2">
        <f t="shared" si="194"/>
        <v>1992.3359375</v>
      </c>
      <c r="AK1591" s="6">
        <f t="shared" si="195"/>
        <v>0.16602799479166666</v>
      </c>
      <c r="AL1591" s="12">
        <v>12000</v>
      </c>
      <c r="AM1591" s="12">
        <v>10954.172160115761</v>
      </c>
      <c r="AN1591" s="12">
        <f t="shared" si="196"/>
        <v>1045.8278398842394</v>
      </c>
      <c r="AO1591" s="13">
        <f t="shared" si="197"/>
        <v>8.7152319990353291E-2</v>
      </c>
      <c r="AP1591" s="16">
        <v>12000</v>
      </c>
      <c r="AQ1591" s="16">
        <v>8758.4950106091237</v>
      </c>
      <c r="AR1591" s="16">
        <f t="shared" si="198"/>
        <v>3241.5049893908763</v>
      </c>
      <c r="AS1591" s="17">
        <f t="shared" si="192"/>
        <v>0.27012541578257304</v>
      </c>
      <c r="AT1591" s="20">
        <v>12000</v>
      </c>
      <c r="AU1591" s="20">
        <v>10414.2275390625</v>
      </c>
      <c r="AV1591" s="20">
        <f t="shared" si="193"/>
        <v>1585.7724609375</v>
      </c>
      <c r="AW1591" s="21">
        <f t="shared" si="199"/>
        <v>0.13214770507812501</v>
      </c>
    </row>
    <row r="1592" spans="1:49" x14ac:dyDescent="0.25">
      <c r="A1592" t="s">
        <v>38</v>
      </c>
      <c r="B1592" t="s">
        <v>96</v>
      </c>
      <c r="C1592">
        <v>59730</v>
      </c>
      <c r="D1592">
        <v>2020</v>
      </c>
      <c r="E1592" t="s">
        <v>97</v>
      </c>
      <c r="F1592" t="s">
        <v>159</v>
      </c>
      <c r="G1592" t="s">
        <v>1444</v>
      </c>
      <c r="H1592" t="s">
        <v>89</v>
      </c>
      <c r="I1592">
        <v>6</v>
      </c>
      <c r="J1592" t="s">
        <v>106</v>
      </c>
      <c r="K1592">
        <v>4</v>
      </c>
      <c r="L1592" t="s">
        <v>44</v>
      </c>
      <c r="M1592">
        <v>4.3</v>
      </c>
      <c r="N1592" t="s">
        <v>91</v>
      </c>
      <c r="O1592" t="s">
        <v>46</v>
      </c>
      <c r="P1592">
        <v>4</v>
      </c>
      <c r="Q1592" t="s">
        <v>74</v>
      </c>
      <c r="R1592" t="s">
        <v>92</v>
      </c>
      <c r="S1592" t="s">
        <v>93</v>
      </c>
      <c r="U1592" t="s">
        <v>50</v>
      </c>
      <c r="V1592" t="s">
        <v>76</v>
      </c>
      <c r="W1592" t="s">
        <v>1445</v>
      </c>
      <c r="X1592" t="s">
        <v>94</v>
      </c>
      <c r="Y1592" t="s">
        <v>78</v>
      </c>
      <c r="AA1592">
        <v>0</v>
      </c>
      <c r="AB1592" t="s">
        <v>79</v>
      </c>
      <c r="AC1592" t="s">
        <v>95</v>
      </c>
      <c r="AD1592">
        <v>36</v>
      </c>
      <c r="AE1592">
        <v>9</v>
      </c>
      <c r="AF1592">
        <v>3</v>
      </c>
      <c r="AG1592">
        <v>2025</v>
      </c>
      <c r="AH1592" s="2">
        <v>29000</v>
      </c>
      <c r="AI1592" s="2">
        <v>23426.806640625</v>
      </c>
      <c r="AJ1592" s="2">
        <f t="shared" si="194"/>
        <v>5573.193359375</v>
      </c>
      <c r="AK1592" s="6">
        <f t="shared" si="195"/>
        <v>0.19217908135775863</v>
      </c>
      <c r="AL1592" s="12">
        <v>29000</v>
      </c>
      <c r="AM1592" s="12">
        <v>26113.770681586851</v>
      </c>
      <c r="AN1592" s="12">
        <f t="shared" si="196"/>
        <v>2886.2293184131486</v>
      </c>
      <c r="AO1592" s="13">
        <f t="shared" si="197"/>
        <v>9.9525148910798222E-2</v>
      </c>
      <c r="AP1592" s="16">
        <v>29000</v>
      </c>
      <c r="AQ1592" s="16">
        <v>29920.600765347292</v>
      </c>
      <c r="AR1592" s="16">
        <f t="shared" si="198"/>
        <v>920.6007653472916</v>
      </c>
      <c r="AS1592" s="17">
        <f t="shared" si="192"/>
        <v>3.1744853977492812E-2</v>
      </c>
      <c r="AT1592" s="20">
        <v>29000</v>
      </c>
      <c r="AU1592" s="20">
        <v>23877.125</v>
      </c>
      <c r="AV1592" s="20">
        <f t="shared" si="193"/>
        <v>5122.875</v>
      </c>
      <c r="AW1592" s="21">
        <f t="shared" si="199"/>
        <v>0.17665086206896552</v>
      </c>
    </row>
    <row r="1593" spans="1:49" x14ac:dyDescent="0.25">
      <c r="A1593" t="s">
        <v>38</v>
      </c>
      <c r="B1593" t="s">
        <v>110</v>
      </c>
      <c r="C1593">
        <v>86925</v>
      </c>
      <c r="D1593">
        <v>2015</v>
      </c>
      <c r="E1593" t="s">
        <v>97</v>
      </c>
      <c r="F1593" t="s">
        <v>363</v>
      </c>
      <c r="G1593" t="s">
        <v>199</v>
      </c>
      <c r="I1593">
        <v>4</v>
      </c>
      <c r="J1593" t="s">
        <v>106</v>
      </c>
      <c r="K1593">
        <v>4</v>
      </c>
      <c r="L1593" t="s">
        <v>44</v>
      </c>
      <c r="M1593">
        <v>1.4</v>
      </c>
      <c r="N1593" t="s">
        <v>45</v>
      </c>
      <c r="O1593" t="s">
        <v>46</v>
      </c>
      <c r="P1593">
        <v>2</v>
      </c>
      <c r="Q1593" t="s">
        <v>62</v>
      </c>
      <c r="R1593" t="s">
        <v>63</v>
      </c>
      <c r="S1593" t="s">
        <v>101</v>
      </c>
      <c r="U1593" t="s">
        <v>50</v>
      </c>
      <c r="V1593" t="s">
        <v>51</v>
      </c>
      <c r="W1593" t="s">
        <v>381</v>
      </c>
      <c r="X1593" t="s">
        <v>65</v>
      </c>
      <c r="Y1593" t="s">
        <v>66</v>
      </c>
      <c r="AA1593">
        <v>0</v>
      </c>
      <c r="AB1593" t="s">
        <v>79</v>
      </c>
      <c r="AC1593" t="s">
        <v>87</v>
      </c>
      <c r="AD1593">
        <v>36</v>
      </c>
      <c r="AE1593">
        <v>9</v>
      </c>
      <c r="AF1593">
        <v>3</v>
      </c>
      <c r="AG1593">
        <v>2025</v>
      </c>
      <c r="AH1593" s="2">
        <v>2400</v>
      </c>
      <c r="AI1593" s="2">
        <v>2825.909912109375</v>
      </c>
      <c r="AJ1593" s="2">
        <f t="shared" si="194"/>
        <v>425.909912109375</v>
      </c>
      <c r="AK1593" s="6">
        <f t="shared" si="195"/>
        <v>0.17746246337890625</v>
      </c>
      <c r="AL1593" s="12">
        <v>2400</v>
      </c>
      <c r="AM1593" s="12">
        <v>3252.780601637558</v>
      </c>
      <c r="AN1593" s="12">
        <f t="shared" si="196"/>
        <v>852.78060163755799</v>
      </c>
      <c r="AO1593" s="13">
        <f t="shared" si="197"/>
        <v>0.35532525068231585</v>
      </c>
      <c r="AP1593" s="16">
        <v>2400</v>
      </c>
      <c r="AQ1593" s="16">
        <v>3046.5057791618551</v>
      </c>
      <c r="AR1593" s="16">
        <f t="shared" si="198"/>
        <v>646.50577916185512</v>
      </c>
      <c r="AS1593" s="17">
        <f t="shared" si="192"/>
        <v>0.26937740798410631</v>
      </c>
      <c r="AT1593" s="20">
        <v>2400</v>
      </c>
      <c r="AU1593" s="20">
        <v>2875.769287109375</v>
      </c>
      <c r="AV1593" s="20">
        <f t="shared" si="193"/>
        <v>475.769287109375</v>
      </c>
      <c r="AW1593" s="21">
        <f t="shared" si="199"/>
        <v>0.19823720296223959</v>
      </c>
    </row>
    <row r="1594" spans="1:49" x14ac:dyDescent="0.25">
      <c r="A1594" t="s">
        <v>128</v>
      </c>
      <c r="B1594" t="s">
        <v>129</v>
      </c>
      <c r="C1594">
        <v>72737</v>
      </c>
      <c r="D1594">
        <v>2021</v>
      </c>
      <c r="E1594" t="s">
        <v>40</v>
      </c>
      <c r="F1594" t="s">
        <v>233</v>
      </c>
      <c r="G1594" t="s">
        <v>1299</v>
      </c>
      <c r="H1594" t="s">
        <v>1446</v>
      </c>
      <c r="I1594">
        <v>4</v>
      </c>
      <c r="J1594" t="s">
        <v>135</v>
      </c>
      <c r="K1594">
        <v>4</v>
      </c>
      <c r="L1594" t="s">
        <v>44</v>
      </c>
      <c r="M1594">
        <v>2.5</v>
      </c>
      <c r="N1594" t="s">
        <v>45</v>
      </c>
      <c r="O1594" t="s">
        <v>46</v>
      </c>
      <c r="P1594">
        <v>2</v>
      </c>
      <c r="Q1594" t="s">
        <v>62</v>
      </c>
      <c r="R1594" t="s">
        <v>63</v>
      </c>
      <c r="S1594" t="s">
        <v>49</v>
      </c>
      <c r="T1594">
        <v>203</v>
      </c>
      <c r="U1594" t="s">
        <v>50</v>
      </c>
      <c r="V1594" t="s">
        <v>51</v>
      </c>
      <c r="W1594" t="s">
        <v>449</v>
      </c>
      <c r="X1594" t="s">
        <v>65</v>
      </c>
      <c r="Y1594" t="s">
        <v>103</v>
      </c>
      <c r="Z1594">
        <v>27545</v>
      </c>
      <c r="AA1594">
        <v>0</v>
      </c>
      <c r="AB1594" t="s">
        <v>79</v>
      </c>
      <c r="AC1594" t="s">
        <v>87</v>
      </c>
      <c r="AD1594">
        <v>36</v>
      </c>
      <c r="AE1594">
        <v>9</v>
      </c>
      <c r="AF1594">
        <v>3</v>
      </c>
      <c r="AG1594">
        <v>2025</v>
      </c>
      <c r="AH1594" s="2">
        <v>17200</v>
      </c>
      <c r="AI1594" s="2">
        <v>10222.8173828125</v>
      </c>
      <c r="AJ1594" s="2">
        <f t="shared" si="194"/>
        <v>6977.1826171875</v>
      </c>
      <c r="AK1594" s="6">
        <f t="shared" si="195"/>
        <v>0.40565015216206396</v>
      </c>
      <c r="AL1594" s="12">
        <v>17200</v>
      </c>
      <c r="AM1594" s="12">
        <v>12164.6500292528</v>
      </c>
      <c r="AN1594" s="12">
        <f t="shared" si="196"/>
        <v>5035.3499707472001</v>
      </c>
      <c r="AO1594" s="13">
        <f t="shared" si="197"/>
        <v>0.29275290527600001</v>
      </c>
      <c r="AP1594" s="16">
        <v>17200</v>
      </c>
      <c r="AQ1594" s="16">
        <v>11526.339170475499</v>
      </c>
      <c r="AR1594" s="16">
        <f t="shared" si="198"/>
        <v>5673.6608295245005</v>
      </c>
      <c r="AS1594" s="17">
        <f t="shared" si="192"/>
        <v>0.32986400171654073</v>
      </c>
      <c r="AT1594" s="20">
        <v>17200</v>
      </c>
      <c r="AU1594" s="20">
        <v>10701.38671875</v>
      </c>
      <c r="AV1594" s="20">
        <f t="shared" si="193"/>
        <v>6498.61328125</v>
      </c>
      <c r="AW1594" s="21">
        <f t="shared" si="199"/>
        <v>0.37782635356104649</v>
      </c>
    </row>
    <row r="1595" spans="1:49" x14ac:dyDescent="0.25">
      <c r="A1595" t="s">
        <v>38</v>
      </c>
      <c r="B1595" t="s">
        <v>68</v>
      </c>
      <c r="C1595">
        <v>20142</v>
      </c>
      <c r="D1595">
        <v>2024</v>
      </c>
      <c r="E1595" t="s">
        <v>69</v>
      </c>
      <c r="F1595" t="s">
        <v>70</v>
      </c>
      <c r="G1595" t="s">
        <v>1447</v>
      </c>
      <c r="H1595" t="s">
        <v>71</v>
      </c>
      <c r="I1595">
        <v>6</v>
      </c>
      <c r="J1595" t="s">
        <v>72</v>
      </c>
      <c r="K1595">
        <v>3</v>
      </c>
      <c r="L1595" t="s">
        <v>44</v>
      </c>
      <c r="M1595">
        <v>3.5</v>
      </c>
      <c r="N1595" t="s">
        <v>73</v>
      </c>
      <c r="O1595" t="s">
        <v>46</v>
      </c>
      <c r="P1595">
        <v>2</v>
      </c>
      <c r="Q1595" t="s">
        <v>74</v>
      </c>
      <c r="R1595" t="s">
        <v>75</v>
      </c>
      <c r="S1595" t="s">
        <v>179</v>
      </c>
      <c r="U1595" t="s">
        <v>50</v>
      </c>
      <c r="V1595" t="s">
        <v>76</v>
      </c>
      <c r="W1595" t="s">
        <v>640</v>
      </c>
      <c r="X1595" t="s">
        <v>230</v>
      </c>
      <c r="Y1595" t="s">
        <v>78</v>
      </c>
      <c r="AA1595">
        <v>0</v>
      </c>
      <c r="AB1595" t="s">
        <v>79</v>
      </c>
      <c r="AC1595" t="s">
        <v>80</v>
      </c>
      <c r="AD1595">
        <v>36</v>
      </c>
      <c r="AE1595">
        <v>9</v>
      </c>
      <c r="AF1595">
        <v>3</v>
      </c>
      <c r="AG1595">
        <v>2025</v>
      </c>
      <c r="AH1595" s="2">
        <v>28000</v>
      </c>
      <c r="AI1595" s="2">
        <v>27285.921875</v>
      </c>
      <c r="AJ1595" s="2">
        <f t="shared" si="194"/>
        <v>714.078125</v>
      </c>
      <c r="AK1595" s="6">
        <f t="shared" si="195"/>
        <v>2.5502790178571429E-2</v>
      </c>
      <c r="AL1595" s="12">
        <v>28000</v>
      </c>
      <c r="AM1595" s="12">
        <v>27353.789709918739</v>
      </c>
      <c r="AN1595" s="12">
        <f t="shared" si="196"/>
        <v>646.21029008126061</v>
      </c>
      <c r="AO1595" s="13">
        <f t="shared" si="197"/>
        <v>2.3078938931473593E-2</v>
      </c>
      <c r="AP1595" s="16">
        <v>28000</v>
      </c>
      <c r="AQ1595" s="16">
        <v>27611.012314985732</v>
      </c>
      <c r="AR1595" s="16">
        <f t="shared" si="198"/>
        <v>388.98768501426821</v>
      </c>
      <c r="AS1595" s="17">
        <f t="shared" si="192"/>
        <v>1.389241732193815E-2</v>
      </c>
      <c r="AT1595" s="20">
        <v>28000</v>
      </c>
      <c r="AU1595" s="20">
        <v>26827.162109375</v>
      </c>
      <c r="AV1595" s="20">
        <f t="shared" si="193"/>
        <v>1172.837890625</v>
      </c>
      <c r="AW1595" s="21">
        <f t="shared" si="199"/>
        <v>4.1887067522321429E-2</v>
      </c>
    </row>
    <row r="1596" spans="1:49" x14ac:dyDescent="0.25">
      <c r="A1596" t="s">
        <v>38</v>
      </c>
      <c r="B1596" t="s">
        <v>68</v>
      </c>
      <c r="C1596">
        <v>129348</v>
      </c>
      <c r="D1596">
        <v>2017</v>
      </c>
      <c r="E1596" t="s">
        <v>174</v>
      </c>
      <c r="F1596" t="s">
        <v>314</v>
      </c>
      <c r="G1596" t="s">
        <v>176</v>
      </c>
      <c r="H1596" t="s">
        <v>89</v>
      </c>
      <c r="I1596">
        <v>8</v>
      </c>
      <c r="J1596" t="s">
        <v>122</v>
      </c>
      <c r="K1596">
        <v>4</v>
      </c>
      <c r="L1596" t="s">
        <v>44</v>
      </c>
      <c r="M1596">
        <v>5.3</v>
      </c>
      <c r="N1596" t="s">
        <v>91</v>
      </c>
      <c r="O1596" t="s">
        <v>46</v>
      </c>
      <c r="P1596">
        <v>3</v>
      </c>
      <c r="Q1596" t="s">
        <v>74</v>
      </c>
      <c r="R1596" t="s">
        <v>92</v>
      </c>
      <c r="S1596" t="s">
        <v>93</v>
      </c>
      <c r="U1596" t="s">
        <v>50</v>
      </c>
      <c r="W1596" t="s">
        <v>459</v>
      </c>
      <c r="X1596" t="s">
        <v>108</v>
      </c>
      <c r="Y1596" t="s">
        <v>126</v>
      </c>
      <c r="Z1596">
        <v>44890</v>
      </c>
      <c r="AA1596">
        <v>0</v>
      </c>
      <c r="AB1596" t="s">
        <v>79</v>
      </c>
      <c r="AC1596" t="s">
        <v>95</v>
      </c>
      <c r="AD1596">
        <v>36</v>
      </c>
      <c r="AE1596">
        <v>9</v>
      </c>
      <c r="AF1596">
        <v>3</v>
      </c>
      <c r="AG1596">
        <v>2025</v>
      </c>
      <c r="AH1596" s="2">
        <v>17400</v>
      </c>
      <c r="AI1596" s="2">
        <v>17827.13671875</v>
      </c>
      <c r="AJ1596" s="2">
        <f t="shared" si="194"/>
        <v>427.13671875</v>
      </c>
      <c r="AK1596" s="6">
        <f t="shared" si="195"/>
        <v>2.454808728448276E-2</v>
      </c>
      <c r="AL1596" s="12">
        <v>17400</v>
      </c>
      <c r="AM1596" s="12">
        <v>16593.615681749281</v>
      </c>
      <c r="AN1596" s="12">
        <f t="shared" si="196"/>
        <v>806.38431825071893</v>
      </c>
      <c r="AO1596" s="13">
        <f t="shared" si="197"/>
        <v>4.6343926336248217E-2</v>
      </c>
      <c r="AP1596" s="16">
        <v>17400</v>
      </c>
      <c r="AQ1596" s="16">
        <v>17310.06570695544</v>
      </c>
      <c r="AR1596" s="16">
        <f t="shared" si="198"/>
        <v>89.934293044560036</v>
      </c>
      <c r="AS1596" s="17">
        <f t="shared" si="192"/>
        <v>5.1686375312965539E-3</v>
      </c>
      <c r="AT1596" s="20">
        <v>17400</v>
      </c>
      <c r="AU1596" s="20">
        <v>17327.271484375</v>
      </c>
      <c r="AV1596" s="20">
        <f t="shared" si="193"/>
        <v>72.728515625</v>
      </c>
      <c r="AW1596" s="21">
        <f t="shared" si="199"/>
        <v>4.179799748563218E-3</v>
      </c>
    </row>
    <row r="1597" spans="1:49" x14ac:dyDescent="0.25">
      <c r="A1597" t="s">
        <v>38</v>
      </c>
      <c r="B1597" t="s">
        <v>96</v>
      </c>
      <c r="C1597">
        <v>82060</v>
      </c>
      <c r="D1597">
        <v>2017</v>
      </c>
      <c r="E1597" t="s">
        <v>305</v>
      </c>
      <c r="F1597" t="s">
        <v>1448</v>
      </c>
      <c r="H1597" t="s">
        <v>1269</v>
      </c>
      <c r="I1597">
        <v>6</v>
      </c>
      <c r="J1597" t="s">
        <v>72</v>
      </c>
      <c r="K1597">
        <v>4</v>
      </c>
      <c r="L1597" t="s">
        <v>44</v>
      </c>
      <c r="M1597">
        <v>2.7</v>
      </c>
      <c r="N1597" t="s">
        <v>45</v>
      </c>
      <c r="O1597" t="s">
        <v>46</v>
      </c>
      <c r="P1597">
        <v>3</v>
      </c>
      <c r="Q1597" t="s">
        <v>47</v>
      </c>
      <c r="R1597" t="s">
        <v>123</v>
      </c>
      <c r="S1597" t="s">
        <v>101</v>
      </c>
      <c r="T1597">
        <v>335</v>
      </c>
      <c r="U1597" t="s">
        <v>50</v>
      </c>
      <c r="V1597" t="s">
        <v>76</v>
      </c>
      <c r="W1597" t="s">
        <v>1449</v>
      </c>
      <c r="X1597" t="s">
        <v>125</v>
      </c>
      <c r="Y1597" t="s">
        <v>78</v>
      </c>
      <c r="Z1597">
        <v>47675</v>
      </c>
      <c r="AA1597">
        <v>0</v>
      </c>
      <c r="AB1597" t="s">
        <v>79</v>
      </c>
      <c r="AC1597" t="s">
        <v>127</v>
      </c>
      <c r="AD1597">
        <v>36</v>
      </c>
      <c r="AE1597">
        <v>9</v>
      </c>
      <c r="AF1597">
        <v>3</v>
      </c>
      <c r="AG1597">
        <v>2025</v>
      </c>
      <c r="AH1597" s="2">
        <v>8500</v>
      </c>
      <c r="AI1597" s="2">
        <v>10947.4892578125</v>
      </c>
      <c r="AJ1597" s="2">
        <f t="shared" si="194"/>
        <v>2447.4892578125</v>
      </c>
      <c r="AK1597" s="6">
        <f t="shared" si="195"/>
        <v>0.28793991268382352</v>
      </c>
      <c r="AL1597" s="12">
        <v>8500</v>
      </c>
      <c r="AM1597" s="12">
        <v>11135.689041752101</v>
      </c>
      <c r="AN1597" s="12">
        <f t="shared" si="196"/>
        <v>2635.6890417521008</v>
      </c>
      <c r="AO1597" s="13">
        <f t="shared" si="197"/>
        <v>0.31008106373554128</v>
      </c>
      <c r="AP1597" s="16">
        <v>8500</v>
      </c>
      <c r="AQ1597" s="16">
        <v>9884.3070482720141</v>
      </c>
      <c r="AR1597" s="16">
        <f t="shared" si="198"/>
        <v>1384.3070482720141</v>
      </c>
      <c r="AS1597" s="17">
        <f t="shared" si="192"/>
        <v>0.162859652737884</v>
      </c>
      <c r="AT1597" s="20">
        <v>8500</v>
      </c>
      <c r="AU1597" s="20">
        <v>11005.90625</v>
      </c>
      <c r="AV1597" s="20">
        <f t="shared" si="193"/>
        <v>2505.90625</v>
      </c>
      <c r="AW1597" s="21">
        <f t="shared" si="199"/>
        <v>0.29481249999999998</v>
      </c>
    </row>
    <row r="1598" spans="1:49" x14ac:dyDescent="0.25">
      <c r="A1598" t="s">
        <v>38</v>
      </c>
      <c r="B1598" t="s">
        <v>110</v>
      </c>
      <c r="C1598">
        <v>96844</v>
      </c>
      <c r="D1598">
        <v>2014</v>
      </c>
      <c r="E1598" t="s">
        <v>132</v>
      </c>
      <c r="F1598" t="s">
        <v>1230</v>
      </c>
      <c r="G1598" t="s">
        <v>1021</v>
      </c>
      <c r="H1598" t="s">
        <v>1231</v>
      </c>
      <c r="I1598">
        <v>6</v>
      </c>
      <c r="J1598" t="s">
        <v>61</v>
      </c>
      <c r="K1598">
        <v>4</v>
      </c>
      <c r="L1598" t="s">
        <v>44</v>
      </c>
      <c r="M1598">
        <v>3.5</v>
      </c>
      <c r="N1598" t="s">
        <v>44</v>
      </c>
      <c r="Q1598" t="s">
        <v>62</v>
      </c>
      <c r="R1598" t="s">
        <v>63</v>
      </c>
      <c r="S1598" t="s">
        <v>85</v>
      </c>
      <c r="U1598" t="s">
        <v>50</v>
      </c>
      <c r="V1598" t="s">
        <v>76</v>
      </c>
      <c r="X1598" t="s">
        <v>94</v>
      </c>
      <c r="Y1598" t="s">
        <v>78</v>
      </c>
      <c r="AA1598">
        <v>0</v>
      </c>
      <c r="AB1598" t="s">
        <v>79</v>
      </c>
      <c r="AC1598" t="s">
        <v>87</v>
      </c>
      <c r="AD1598">
        <v>36</v>
      </c>
      <c r="AE1598">
        <v>9</v>
      </c>
      <c r="AF1598">
        <v>3</v>
      </c>
      <c r="AG1598">
        <v>2025</v>
      </c>
      <c r="AH1598" s="2">
        <v>7500</v>
      </c>
      <c r="AI1598" s="2">
        <v>8117.1904296875</v>
      </c>
      <c r="AJ1598" s="2">
        <f t="shared" si="194"/>
        <v>617.1904296875</v>
      </c>
      <c r="AK1598" s="6">
        <f t="shared" si="195"/>
        <v>8.2292057291666665E-2</v>
      </c>
      <c r="AL1598" s="12">
        <v>7500</v>
      </c>
      <c r="AM1598" s="12">
        <v>7098.9051183538622</v>
      </c>
      <c r="AN1598" s="12">
        <f t="shared" si="196"/>
        <v>401.09488164613776</v>
      </c>
      <c r="AO1598" s="13">
        <f t="shared" si="197"/>
        <v>5.3479317552818366E-2</v>
      </c>
      <c r="AP1598" s="16">
        <v>7500</v>
      </c>
      <c r="AQ1598" s="16">
        <v>7686.3687114960794</v>
      </c>
      <c r="AR1598" s="16">
        <f t="shared" si="198"/>
        <v>186.36871149607941</v>
      </c>
      <c r="AS1598" s="17">
        <f t="shared" si="192"/>
        <v>2.4849161532810589E-2</v>
      </c>
      <c r="AT1598" s="20">
        <v>7500</v>
      </c>
      <c r="AU1598" s="20">
        <v>7992.06103515625</v>
      </c>
      <c r="AV1598" s="20">
        <f t="shared" si="193"/>
        <v>492.06103515625</v>
      </c>
      <c r="AW1598" s="21">
        <f t="shared" si="199"/>
        <v>6.5608138020833331E-2</v>
      </c>
    </row>
    <row r="1599" spans="1:49" x14ac:dyDescent="0.25">
      <c r="A1599" t="s">
        <v>38</v>
      </c>
      <c r="B1599" t="s">
        <v>1018</v>
      </c>
      <c r="C1599">
        <v>30704</v>
      </c>
      <c r="D1599">
        <v>2024</v>
      </c>
      <c r="E1599" t="s">
        <v>97</v>
      </c>
      <c r="F1599" t="s">
        <v>98</v>
      </c>
      <c r="G1599" t="s">
        <v>513</v>
      </c>
      <c r="I1599">
        <v>4</v>
      </c>
      <c r="K1599">
        <v>4</v>
      </c>
      <c r="L1599" t="s">
        <v>371</v>
      </c>
      <c r="M1599">
        <v>1.5</v>
      </c>
      <c r="N1599" t="s">
        <v>45</v>
      </c>
      <c r="O1599" t="s">
        <v>46</v>
      </c>
      <c r="Q1599" t="s">
        <v>62</v>
      </c>
      <c r="R1599" t="s">
        <v>63</v>
      </c>
      <c r="S1599" t="s">
        <v>101</v>
      </c>
      <c r="U1599" t="s">
        <v>50</v>
      </c>
      <c r="V1599" t="s">
        <v>51</v>
      </c>
      <c r="W1599" t="s">
        <v>283</v>
      </c>
      <c r="X1599" t="s">
        <v>65</v>
      </c>
      <c r="Y1599" t="s">
        <v>126</v>
      </c>
      <c r="AA1599">
        <v>0</v>
      </c>
      <c r="AB1599" t="s">
        <v>79</v>
      </c>
      <c r="AC1599" t="s">
        <v>87</v>
      </c>
      <c r="AD1599">
        <v>36</v>
      </c>
      <c r="AE1599">
        <v>9</v>
      </c>
      <c r="AF1599">
        <v>3</v>
      </c>
      <c r="AG1599">
        <v>2025</v>
      </c>
      <c r="AH1599" s="2">
        <v>22400</v>
      </c>
      <c r="AI1599" s="2">
        <v>20981.431640625</v>
      </c>
      <c r="AJ1599" s="2">
        <f t="shared" si="194"/>
        <v>1418.568359375</v>
      </c>
      <c r="AK1599" s="6">
        <f t="shared" si="195"/>
        <v>6.3328944614955363E-2</v>
      </c>
      <c r="AL1599" s="12">
        <v>22400</v>
      </c>
      <c r="AM1599" s="12">
        <v>23794.854718521521</v>
      </c>
      <c r="AN1599" s="12">
        <f t="shared" si="196"/>
        <v>1394.8547185215211</v>
      </c>
      <c r="AO1599" s="13">
        <f t="shared" si="197"/>
        <v>6.2270299933996479E-2</v>
      </c>
      <c r="AP1599" s="16">
        <v>22400</v>
      </c>
      <c r="AQ1599" s="16">
        <v>19034.610729731059</v>
      </c>
      <c r="AR1599" s="16">
        <f t="shared" si="198"/>
        <v>3365.3892702689409</v>
      </c>
      <c r="AS1599" s="17">
        <f t="shared" si="192"/>
        <v>0.15024059242272059</v>
      </c>
      <c r="AT1599" s="20">
        <v>22400</v>
      </c>
      <c r="AU1599" s="20">
        <v>21160.927734375</v>
      </c>
      <c r="AV1599" s="20">
        <f t="shared" si="193"/>
        <v>1239.072265625</v>
      </c>
      <c r="AW1599" s="21">
        <f t="shared" si="199"/>
        <v>5.5315726143973211E-2</v>
      </c>
    </row>
    <row r="1600" spans="1:49" x14ac:dyDescent="0.25">
      <c r="A1600" t="s">
        <v>38</v>
      </c>
      <c r="B1600" t="s">
        <v>96</v>
      </c>
      <c r="C1600">
        <v>165400</v>
      </c>
      <c r="D1600">
        <v>2006</v>
      </c>
      <c r="E1600" t="s">
        <v>213</v>
      </c>
      <c r="F1600" t="s">
        <v>344</v>
      </c>
      <c r="I1600">
        <v>6</v>
      </c>
      <c r="J1600" t="s">
        <v>61</v>
      </c>
      <c r="K1600">
        <v>4</v>
      </c>
      <c r="L1600" t="s">
        <v>44</v>
      </c>
      <c r="M1600">
        <v>3.5</v>
      </c>
      <c r="N1600" t="s">
        <v>73</v>
      </c>
      <c r="O1600" t="s">
        <v>46</v>
      </c>
      <c r="Q1600" t="s">
        <v>62</v>
      </c>
      <c r="R1600" t="s">
        <v>63</v>
      </c>
      <c r="S1600" t="s">
        <v>49</v>
      </c>
      <c r="U1600" t="s">
        <v>50</v>
      </c>
      <c r="X1600" t="s">
        <v>141</v>
      </c>
      <c r="Y1600" t="s">
        <v>54</v>
      </c>
      <c r="AA1600">
        <v>0</v>
      </c>
      <c r="AB1600" t="s">
        <v>79</v>
      </c>
      <c r="AC1600" t="s">
        <v>87</v>
      </c>
      <c r="AD1600">
        <v>36</v>
      </c>
      <c r="AE1600">
        <v>9</v>
      </c>
      <c r="AF1600">
        <v>3</v>
      </c>
      <c r="AG1600">
        <v>2025</v>
      </c>
      <c r="AH1600" s="2">
        <v>1400</v>
      </c>
      <c r="AI1600" s="2">
        <v>1438.536743164062</v>
      </c>
      <c r="AJ1600" s="2">
        <f t="shared" si="194"/>
        <v>38.536743164062045</v>
      </c>
      <c r="AK1600" s="6">
        <f t="shared" si="195"/>
        <v>2.7526245117187174E-2</v>
      </c>
      <c r="AL1600" s="12">
        <v>1400</v>
      </c>
      <c r="AM1600" s="12">
        <v>1415.3284427598901</v>
      </c>
      <c r="AN1600" s="12">
        <f t="shared" si="196"/>
        <v>15.328442759890095</v>
      </c>
      <c r="AO1600" s="13">
        <f t="shared" si="197"/>
        <v>1.0948887685635782E-2</v>
      </c>
      <c r="AP1600" s="16">
        <v>1400</v>
      </c>
      <c r="AQ1600" s="16">
        <v>1559.9004602880409</v>
      </c>
      <c r="AR1600" s="16">
        <f t="shared" si="198"/>
        <v>159.9004602880409</v>
      </c>
      <c r="AS1600" s="17">
        <f t="shared" si="192"/>
        <v>0.11421461449145778</v>
      </c>
      <c r="AT1600" s="20">
        <v>1400</v>
      </c>
      <c r="AU1600" s="20">
        <v>1405.118774414062</v>
      </c>
      <c r="AV1600" s="20">
        <f t="shared" si="193"/>
        <v>5.1187744140620453</v>
      </c>
      <c r="AW1600" s="21">
        <f t="shared" si="199"/>
        <v>3.6562674386157465E-3</v>
      </c>
    </row>
    <row r="1601" spans="1:49" x14ac:dyDescent="0.25">
      <c r="A1601" t="s">
        <v>38</v>
      </c>
      <c r="B1601" t="s">
        <v>68</v>
      </c>
      <c r="C1601">
        <v>46050</v>
      </c>
      <c r="D1601">
        <v>2024</v>
      </c>
      <c r="E1601" t="s">
        <v>116</v>
      </c>
      <c r="F1601" t="s">
        <v>117</v>
      </c>
      <c r="H1601" t="s">
        <v>195</v>
      </c>
      <c r="I1601">
        <v>8</v>
      </c>
      <c r="J1601" t="s">
        <v>61</v>
      </c>
      <c r="K1601">
        <v>4</v>
      </c>
      <c r="L1601" t="s">
        <v>44</v>
      </c>
      <c r="M1601">
        <v>5.7</v>
      </c>
      <c r="N1601" t="s">
        <v>73</v>
      </c>
      <c r="O1601" t="s">
        <v>46</v>
      </c>
      <c r="P1601">
        <v>4</v>
      </c>
      <c r="Q1601" t="s">
        <v>62</v>
      </c>
      <c r="R1601" t="s">
        <v>63</v>
      </c>
      <c r="S1601" t="s">
        <v>49</v>
      </c>
      <c r="T1601">
        <v>357</v>
      </c>
      <c r="U1601" t="s">
        <v>50</v>
      </c>
      <c r="V1601" t="s">
        <v>76</v>
      </c>
      <c r="X1601" t="s">
        <v>108</v>
      </c>
      <c r="Y1601" t="s">
        <v>78</v>
      </c>
      <c r="AA1601">
        <v>0</v>
      </c>
      <c r="AB1601" t="s">
        <v>79</v>
      </c>
      <c r="AC1601" t="s">
        <v>87</v>
      </c>
      <c r="AD1601">
        <v>36</v>
      </c>
      <c r="AE1601">
        <v>9</v>
      </c>
      <c r="AF1601">
        <v>3</v>
      </c>
      <c r="AG1601">
        <v>2025</v>
      </c>
      <c r="AH1601" s="2">
        <v>31000</v>
      </c>
      <c r="AI1601" s="2">
        <v>35972.046875</v>
      </c>
      <c r="AJ1601" s="2">
        <f t="shared" si="194"/>
        <v>4972.046875</v>
      </c>
      <c r="AK1601" s="6">
        <f t="shared" si="195"/>
        <v>0.16038860887096773</v>
      </c>
      <c r="AL1601" s="12">
        <v>31000</v>
      </c>
      <c r="AM1601" s="12">
        <v>40726.503815655371</v>
      </c>
      <c r="AN1601" s="12">
        <f t="shared" si="196"/>
        <v>9726.503815655371</v>
      </c>
      <c r="AO1601" s="13">
        <f t="shared" si="197"/>
        <v>0.31375818760178614</v>
      </c>
      <c r="AP1601" s="16">
        <v>31000</v>
      </c>
      <c r="AQ1601" s="16">
        <v>35663.056350031256</v>
      </c>
      <c r="AR1601" s="16">
        <f t="shared" si="198"/>
        <v>4663.0563500312564</v>
      </c>
      <c r="AS1601" s="17">
        <f t="shared" si="192"/>
        <v>0.15042117258165344</v>
      </c>
      <c r="AT1601" s="20">
        <v>31000</v>
      </c>
      <c r="AU1601" s="20">
        <v>35932.51171875</v>
      </c>
      <c r="AV1601" s="20">
        <f t="shared" si="193"/>
        <v>4932.51171875</v>
      </c>
      <c r="AW1601" s="21">
        <f t="shared" si="199"/>
        <v>0.15911328124999999</v>
      </c>
    </row>
    <row r="1602" spans="1:49" x14ac:dyDescent="0.25">
      <c r="A1602" t="s">
        <v>81</v>
      </c>
      <c r="B1602" t="s">
        <v>82</v>
      </c>
      <c r="C1602">
        <v>62590</v>
      </c>
      <c r="D1602">
        <v>2010</v>
      </c>
      <c r="E1602" t="s">
        <v>146</v>
      </c>
      <c r="F1602" t="s">
        <v>153</v>
      </c>
      <c r="I1602">
        <v>6</v>
      </c>
      <c r="J1602" t="s">
        <v>43</v>
      </c>
      <c r="K1602">
        <v>4</v>
      </c>
      <c r="L1602" t="s">
        <v>44</v>
      </c>
      <c r="M1602">
        <v>3.5</v>
      </c>
      <c r="N1602" t="s">
        <v>45</v>
      </c>
      <c r="O1602" t="s">
        <v>46</v>
      </c>
      <c r="Q1602" t="s">
        <v>47</v>
      </c>
      <c r="R1602" t="s">
        <v>123</v>
      </c>
      <c r="S1602" t="s">
        <v>49</v>
      </c>
      <c r="U1602" t="s">
        <v>50</v>
      </c>
      <c r="X1602" t="s">
        <v>125</v>
      </c>
      <c r="Y1602" t="s">
        <v>78</v>
      </c>
      <c r="AA1602">
        <v>0</v>
      </c>
      <c r="AB1602" t="s">
        <v>79</v>
      </c>
      <c r="AC1602" t="s">
        <v>127</v>
      </c>
      <c r="AD1602">
        <v>36</v>
      </c>
      <c r="AE1602">
        <v>9</v>
      </c>
      <c r="AF1602">
        <v>3</v>
      </c>
      <c r="AG1602">
        <v>2025</v>
      </c>
      <c r="AH1602" s="2">
        <v>3400</v>
      </c>
      <c r="AI1602" s="2">
        <v>3054.365234375</v>
      </c>
      <c r="AJ1602" s="2">
        <f t="shared" si="194"/>
        <v>345.634765625</v>
      </c>
      <c r="AK1602" s="6">
        <f t="shared" si="195"/>
        <v>0.10165728400735294</v>
      </c>
      <c r="AL1602" s="12">
        <v>3400</v>
      </c>
      <c r="AM1602" s="12">
        <v>3117.6448641838888</v>
      </c>
      <c r="AN1602" s="12">
        <f t="shared" si="196"/>
        <v>282.35513581611121</v>
      </c>
      <c r="AO1602" s="13">
        <f t="shared" si="197"/>
        <v>8.3045628181209183E-2</v>
      </c>
      <c r="AP1602" s="16">
        <v>3400</v>
      </c>
      <c r="AQ1602" s="16">
        <v>2841.557535249668</v>
      </c>
      <c r="AR1602" s="16">
        <f t="shared" si="198"/>
        <v>558.44246475033196</v>
      </c>
      <c r="AS1602" s="17">
        <f t="shared" si="192"/>
        <v>0.16424778375009763</v>
      </c>
      <c r="AT1602" s="20">
        <v>3400</v>
      </c>
      <c r="AU1602" s="20">
        <v>3101.263916015625</v>
      </c>
      <c r="AV1602" s="20">
        <f t="shared" si="193"/>
        <v>298.736083984375</v>
      </c>
      <c r="AW1602" s="21">
        <f t="shared" si="199"/>
        <v>8.7863554113051467E-2</v>
      </c>
    </row>
    <row r="1603" spans="1:49" x14ac:dyDescent="0.25">
      <c r="A1603" t="s">
        <v>38</v>
      </c>
      <c r="B1603" t="s">
        <v>39</v>
      </c>
      <c r="C1603">
        <v>88504</v>
      </c>
      <c r="D1603">
        <v>2019</v>
      </c>
      <c r="E1603" t="s">
        <v>97</v>
      </c>
      <c r="F1603" t="s">
        <v>363</v>
      </c>
      <c r="G1603" t="s">
        <v>199</v>
      </c>
      <c r="I1603">
        <v>4</v>
      </c>
      <c r="J1603" t="s">
        <v>106</v>
      </c>
      <c r="K1603">
        <v>4</v>
      </c>
      <c r="L1603" t="s">
        <v>44</v>
      </c>
      <c r="M1603">
        <v>1.4</v>
      </c>
      <c r="N1603" t="s">
        <v>45</v>
      </c>
      <c r="O1603" t="s">
        <v>46</v>
      </c>
      <c r="P1603">
        <v>2</v>
      </c>
      <c r="Q1603" t="s">
        <v>62</v>
      </c>
      <c r="R1603" t="s">
        <v>63</v>
      </c>
      <c r="S1603" t="s">
        <v>101</v>
      </c>
      <c r="U1603" t="s">
        <v>50</v>
      </c>
      <c r="W1603" t="s">
        <v>365</v>
      </c>
      <c r="X1603" t="s">
        <v>65</v>
      </c>
      <c r="Y1603" t="s">
        <v>126</v>
      </c>
      <c r="Z1603">
        <v>22295</v>
      </c>
      <c r="AA1603">
        <v>0</v>
      </c>
      <c r="AB1603" t="s">
        <v>79</v>
      </c>
      <c r="AC1603" t="s">
        <v>87</v>
      </c>
      <c r="AD1603">
        <v>36</v>
      </c>
      <c r="AE1603">
        <v>9</v>
      </c>
      <c r="AF1603">
        <v>3</v>
      </c>
      <c r="AG1603">
        <v>2025</v>
      </c>
      <c r="AH1603" s="2">
        <v>4900</v>
      </c>
      <c r="AI1603" s="2">
        <v>4809.27685546875</v>
      </c>
      <c r="AJ1603" s="2">
        <f t="shared" si="194"/>
        <v>90.72314453125</v>
      </c>
      <c r="AK1603" s="6">
        <f t="shared" si="195"/>
        <v>1.8514927455357141E-2</v>
      </c>
      <c r="AL1603" s="12">
        <v>4900</v>
      </c>
      <c r="AM1603" s="12">
        <v>5773.3645517326149</v>
      </c>
      <c r="AN1603" s="12">
        <f t="shared" si="196"/>
        <v>873.36455173261493</v>
      </c>
      <c r="AO1603" s="13">
        <f t="shared" si="197"/>
        <v>0.178237663618901</v>
      </c>
      <c r="AP1603" s="16">
        <v>4900</v>
      </c>
      <c r="AQ1603" s="16">
        <v>4475.4037348237644</v>
      </c>
      <c r="AR1603" s="16">
        <f t="shared" si="198"/>
        <v>424.59626517623565</v>
      </c>
      <c r="AS1603" s="17">
        <f t="shared" ref="AS1603:AS1666" si="200">ABS($AH1603-AQ1603)/$AH1603</f>
        <v>8.6652299015558293E-2</v>
      </c>
      <c r="AT1603" s="20">
        <v>4900</v>
      </c>
      <c r="AU1603" s="20">
        <v>4903.341796875</v>
      </c>
      <c r="AV1603" s="20">
        <f t="shared" ref="AV1603:AV1666" si="201">ABS(AT1603-AU1603)</f>
        <v>3.341796875</v>
      </c>
      <c r="AW1603" s="21">
        <f t="shared" si="199"/>
        <v>6.8199936224489801E-4</v>
      </c>
    </row>
    <row r="1604" spans="1:49" x14ac:dyDescent="0.25">
      <c r="A1604" t="s">
        <v>38</v>
      </c>
      <c r="B1604" t="s">
        <v>110</v>
      </c>
      <c r="C1604">
        <v>90017</v>
      </c>
      <c r="D1604">
        <v>2018</v>
      </c>
      <c r="E1604" t="s">
        <v>345</v>
      </c>
      <c r="F1604" t="s">
        <v>1037</v>
      </c>
      <c r="G1604" t="s">
        <v>1450</v>
      </c>
      <c r="I1604">
        <v>4</v>
      </c>
      <c r="J1604" t="s">
        <v>61</v>
      </c>
      <c r="K1604">
        <v>4</v>
      </c>
      <c r="L1604" t="s">
        <v>44</v>
      </c>
      <c r="M1604">
        <v>2</v>
      </c>
      <c r="N1604" t="s">
        <v>44</v>
      </c>
      <c r="Q1604" t="s">
        <v>62</v>
      </c>
      <c r="R1604" t="s">
        <v>63</v>
      </c>
      <c r="S1604" t="s">
        <v>85</v>
      </c>
      <c r="T1604">
        <v>228</v>
      </c>
      <c r="U1604" t="s">
        <v>50</v>
      </c>
      <c r="X1604" t="s">
        <v>65</v>
      </c>
      <c r="Y1604" t="s">
        <v>137</v>
      </c>
      <c r="Z1604">
        <v>35900</v>
      </c>
      <c r="AA1604">
        <v>0</v>
      </c>
      <c r="AB1604" t="s">
        <v>79</v>
      </c>
      <c r="AC1604" t="s">
        <v>87</v>
      </c>
      <c r="AD1604">
        <v>36</v>
      </c>
      <c r="AE1604">
        <v>9</v>
      </c>
      <c r="AF1604">
        <v>3</v>
      </c>
      <c r="AG1604">
        <v>2025</v>
      </c>
      <c r="AH1604" s="2">
        <v>9400</v>
      </c>
      <c r="AI1604" s="2">
        <v>10376.2451171875</v>
      </c>
      <c r="AJ1604" s="2">
        <f t="shared" ref="AJ1604:AJ1667" si="202">ABS(AH1604-AI1604)</f>
        <v>976.2451171875</v>
      </c>
      <c r="AK1604" s="6">
        <f t="shared" ref="AK1604:AK1667" si="203">ABS($AH1604-AI1604)/$AH1604</f>
        <v>0.10385586353058511</v>
      </c>
      <c r="AL1604" s="12">
        <v>9400</v>
      </c>
      <c r="AM1604" s="12">
        <v>9503.9079523056153</v>
      </c>
      <c r="AN1604" s="12">
        <f t="shared" ref="AN1604:AN1667" si="204">ABS(AL1604-AM1604)</f>
        <v>103.90795230561525</v>
      </c>
      <c r="AO1604" s="13">
        <f t="shared" ref="AO1604:AO1667" si="205">ABS($AH1604-AM1604)/$AH1604</f>
        <v>1.1054037479320772E-2</v>
      </c>
      <c r="AP1604" s="16">
        <v>9400</v>
      </c>
      <c r="AQ1604" s="16">
        <v>8362.2800240098022</v>
      </c>
      <c r="AR1604" s="16">
        <f t="shared" ref="AR1604:AR1667" si="206">ABS(AP1604-AQ1604)</f>
        <v>1037.7199759901978</v>
      </c>
      <c r="AS1604" s="17">
        <f t="shared" si="200"/>
        <v>0.11039574212661679</v>
      </c>
      <c r="AT1604" s="20">
        <v>9400</v>
      </c>
      <c r="AU1604" s="20">
        <v>10339.21875</v>
      </c>
      <c r="AV1604" s="20">
        <f t="shared" si="201"/>
        <v>939.21875</v>
      </c>
      <c r="AW1604" s="21">
        <f t="shared" ref="AW1604:AW1667" si="207">ABS($AH1604-AU1604)/$AH1604</f>
        <v>9.9916888297872347E-2</v>
      </c>
    </row>
    <row r="1605" spans="1:49" x14ac:dyDescent="0.25">
      <c r="A1605" t="s">
        <v>128</v>
      </c>
      <c r="B1605" t="s">
        <v>1248</v>
      </c>
      <c r="C1605">
        <v>11965</v>
      </c>
      <c r="D1605">
        <v>2025</v>
      </c>
      <c r="E1605" t="s">
        <v>40</v>
      </c>
      <c r="F1605" t="s">
        <v>149</v>
      </c>
      <c r="H1605" t="s">
        <v>1451</v>
      </c>
      <c r="I1605">
        <v>4</v>
      </c>
      <c r="J1605" t="s">
        <v>122</v>
      </c>
      <c r="K1605">
        <v>4</v>
      </c>
      <c r="L1605" t="s">
        <v>44</v>
      </c>
      <c r="M1605">
        <v>2.4</v>
      </c>
      <c r="N1605" t="s">
        <v>73</v>
      </c>
      <c r="Q1605" t="s">
        <v>74</v>
      </c>
      <c r="R1605" t="s">
        <v>92</v>
      </c>
      <c r="S1605" t="s">
        <v>49</v>
      </c>
      <c r="T1605">
        <v>278</v>
      </c>
      <c r="U1605" t="s">
        <v>50</v>
      </c>
      <c r="V1605" t="s">
        <v>51</v>
      </c>
      <c r="W1605" t="s">
        <v>617</v>
      </c>
      <c r="X1605" t="s">
        <v>141</v>
      </c>
      <c r="Y1605" t="s">
        <v>126</v>
      </c>
      <c r="AA1605">
        <v>0</v>
      </c>
      <c r="AB1605" t="s">
        <v>79</v>
      </c>
      <c r="AC1605" t="s">
        <v>95</v>
      </c>
      <c r="AD1605">
        <v>36</v>
      </c>
      <c r="AE1605">
        <v>9</v>
      </c>
      <c r="AF1605">
        <v>3</v>
      </c>
      <c r="AG1605">
        <v>2025</v>
      </c>
      <c r="AH1605" s="2">
        <v>34500</v>
      </c>
      <c r="AI1605" s="2">
        <v>33163.36328125</v>
      </c>
      <c r="AJ1605" s="2">
        <f t="shared" si="202"/>
        <v>1336.63671875</v>
      </c>
      <c r="AK1605" s="6">
        <f t="shared" si="203"/>
        <v>3.8743093297101447E-2</v>
      </c>
      <c r="AL1605" s="12">
        <v>34500</v>
      </c>
      <c r="AM1605" s="12">
        <v>29407.50731451</v>
      </c>
      <c r="AN1605" s="12">
        <f t="shared" si="204"/>
        <v>5092.4926854900004</v>
      </c>
      <c r="AO1605" s="13">
        <f t="shared" si="205"/>
        <v>0.14760848363739132</v>
      </c>
      <c r="AP1605" s="16">
        <v>34500</v>
      </c>
      <c r="AQ1605" s="16">
        <v>34357.118897896798</v>
      </c>
      <c r="AR1605" s="16">
        <f t="shared" si="206"/>
        <v>142.88110210320156</v>
      </c>
      <c r="AS1605" s="17">
        <f t="shared" si="200"/>
        <v>4.1414812203826538E-3</v>
      </c>
      <c r="AT1605" s="20">
        <v>34500</v>
      </c>
      <c r="AU1605" s="20">
        <v>33001.3515625</v>
      </c>
      <c r="AV1605" s="20">
        <f t="shared" si="201"/>
        <v>1498.6484375</v>
      </c>
      <c r="AW1605" s="21">
        <f t="shared" si="207"/>
        <v>4.3439085144927538E-2</v>
      </c>
    </row>
    <row r="1606" spans="1:49" x14ac:dyDescent="0.25">
      <c r="A1606" t="s">
        <v>38</v>
      </c>
      <c r="B1606" t="s">
        <v>96</v>
      </c>
      <c r="C1606">
        <v>39987</v>
      </c>
      <c r="D1606">
        <v>2024</v>
      </c>
      <c r="E1606" t="s">
        <v>97</v>
      </c>
      <c r="F1606" t="s">
        <v>470</v>
      </c>
      <c r="G1606" t="s">
        <v>1452</v>
      </c>
      <c r="I1606">
        <v>4</v>
      </c>
      <c r="J1606" t="s">
        <v>72</v>
      </c>
      <c r="K1606">
        <v>4</v>
      </c>
      <c r="L1606" t="s">
        <v>44</v>
      </c>
      <c r="M1606">
        <v>1.5</v>
      </c>
      <c r="N1606" t="s">
        <v>45</v>
      </c>
      <c r="O1606" t="s">
        <v>46</v>
      </c>
      <c r="P1606">
        <v>4</v>
      </c>
      <c r="Q1606" t="s">
        <v>47</v>
      </c>
      <c r="R1606" t="s">
        <v>123</v>
      </c>
      <c r="U1606" t="s">
        <v>50</v>
      </c>
      <c r="V1606" t="s">
        <v>51</v>
      </c>
      <c r="W1606" t="s">
        <v>751</v>
      </c>
      <c r="X1606" t="s">
        <v>53</v>
      </c>
      <c r="Y1606" t="s">
        <v>78</v>
      </c>
      <c r="AA1606">
        <v>0</v>
      </c>
      <c r="AB1606" t="s">
        <v>79</v>
      </c>
      <c r="AC1606" t="s">
        <v>127</v>
      </c>
      <c r="AD1606">
        <v>36</v>
      </c>
      <c r="AE1606">
        <v>9</v>
      </c>
      <c r="AF1606">
        <v>3</v>
      </c>
      <c r="AG1606">
        <v>2025</v>
      </c>
      <c r="AH1606" s="2">
        <v>19500</v>
      </c>
      <c r="AI1606" s="2">
        <v>18319.376953125</v>
      </c>
      <c r="AJ1606" s="2">
        <f t="shared" si="202"/>
        <v>1180.623046875</v>
      </c>
      <c r="AK1606" s="6">
        <f t="shared" si="203"/>
        <v>6.0544771634615385E-2</v>
      </c>
      <c r="AL1606" s="12">
        <v>19500</v>
      </c>
      <c r="AM1606" s="12">
        <v>23164.357289736741</v>
      </c>
      <c r="AN1606" s="12">
        <f t="shared" si="204"/>
        <v>3664.3572897367412</v>
      </c>
      <c r="AO1606" s="13">
        <f t="shared" si="205"/>
        <v>0.18791575844803801</v>
      </c>
      <c r="AP1606" s="16">
        <v>19500</v>
      </c>
      <c r="AQ1606" s="16">
        <v>18786.39494396255</v>
      </c>
      <c r="AR1606" s="16">
        <f t="shared" si="206"/>
        <v>713.60505603744969</v>
      </c>
      <c r="AS1606" s="17">
        <f t="shared" si="200"/>
        <v>3.6595131078843574E-2</v>
      </c>
      <c r="AT1606" s="20">
        <v>19500</v>
      </c>
      <c r="AU1606" s="20">
        <v>18806.095703125</v>
      </c>
      <c r="AV1606" s="20">
        <f t="shared" si="201"/>
        <v>693.904296875</v>
      </c>
      <c r="AW1606" s="21">
        <f t="shared" si="207"/>
        <v>3.5584835737179486E-2</v>
      </c>
    </row>
    <row r="1607" spans="1:49" x14ac:dyDescent="0.25">
      <c r="A1607" t="s">
        <v>38</v>
      </c>
      <c r="B1607" t="s">
        <v>96</v>
      </c>
      <c r="C1607">
        <v>76689</v>
      </c>
      <c r="D1607">
        <v>2019</v>
      </c>
      <c r="E1607" t="s">
        <v>166</v>
      </c>
      <c r="F1607" t="s">
        <v>247</v>
      </c>
      <c r="G1607" t="s">
        <v>248</v>
      </c>
      <c r="I1607">
        <v>4</v>
      </c>
      <c r="J1607" t="s">
        <v>61</v>
      </c>
      <c r="K1607">
        <v>4</v>
      </c>
      <c r="L1607" t="s">
        <v>44</v>
      </c>
      <c r="M1607">
        <v>1.5</v>
      </c>
      <c r="N1607" t="s">
        <v>45</v>
      </c>
      <c r="O1607" t="s">
        <v>46</v>
      </c>
      <c r="P1607">
        <v>3</v>
      </c>
      <c r="Q1607" t="s">
        <v>62</v>
      </c>
      <c r="R1607" t="s">
        <v>63</v>
      </c>
      <c r="S1607" t="s">
        <v>49</v>
      </c>
      <c r="T1607">
        <v>190</v>
      </c>
      <c r="U1607" t="s">
        <v>50</v>
      </c>
      <c r="V1607" t="s">
        <v>51</v>
      </c>
      <c r="W1607" t="s">
        <v>249</v>
      </c>
      <c r="X1607" t="s">
        <v>65</v>
      </c>
      <c r="Y1607" t="s">
        <v>78</v>
      </c>
      <c r="Z1607">
        <v>27250</v>
      </c>
      <c r="AA1607">
        <v>0</v>
      </c>
      <c r="AB1607" t="s">
        <v>79</v>
      </c>
      <c r="AC1607" t="s">
        <v>87</v>
      </c>
      <c r="AD1607">
        <v>36</v>
      </c>
      <c r="AE1607">
        <v>9</v>
      </c>
      <c r="AF1607">
        <v>3</v>
      </c>
      <c r="AG1607">
        <v>2025</v>
      </c>
      <c r="AH1607" s="2">
        <v>15200</v>
      </c>
      <c r="AI1607" s="2">
        <v>17019.294921875</v>
      </c>
      <c r="AJ1607" s="2">
        <f t="shared" si="202"/>
        <v>1819.294921875</v>
      </c>
      <c r="AK1607" s="6">
        <f t="shared" si="203"/>
        <v>0.11969045538651316</v>
      </c>
      <c r="AL1607" s="12">
        <v>15200</v>
      </c>
      <c r="AM1607" s="12">
        <v>13895.563880870561</v>
      </c>
      <c r="AN1607" s="12">
        <f t="shared" si="204"/>
        <v>1304.4361191294392</v>
      </c>
      <c r="AO1607" s="13">
        <f t="shared" si="205"/>
        <v>8.5818165732199955E-2</v>
      </c>
      <c r="AP1607" s="16">
        <v>15200</v>
      </c>
      <c r="AQ1607" s="16">
        <v>13052.394047695019</v>
      </c>
      <c r="AR1607" s="16">
        <f t="shared" si="206"/>
        <v>2147.6059523049807</v>
      </c>
      <c r="AS1607" s="17">
        <f t="shared" si="200"/>
        <v>0.1412898652832224</v>
      </c>
      <c r="AT1607" s="20">
        <v>15200</v>
      </c>
      <c r="AU1607" s="20">
        <v>16468.58203125</v>
      </c>
      <c r="AV1607" s="20">
        <f t="shared" si="201"/>
        <v>1268.58203125</v>
      </c>
      <c r="AW1607" s="21">
        <f t="shared" si="207"/>
        <v>8.345934416118421E-2</v>
      </c>
    </row>
    <row r="1608" spans="1:49" x14ac:dyDescent="0.25">
      <c r="A1608" t="s">
        <v>81</v>
      </c>
      <c r="B1608" t="s">
        <v>501</v>
      </c>
      <c r="C1608">
        <v>27007</v>
      </c>
      <c r="D1608">
        <v>2024</v>
      </c>
      <c r="E1608" t="s">
        <v>166</v>
      </c>
      <c r="F1608" t="s">
        <v>628</v>
      </c>
      <c r="G1608" t="s">
        <v>457</v>
      </c>
      <c r="I1608">
        <v>4</v>
      </c>
      <c r="J1608" t="s">
        <v>122</v>
      </c>
      <c r="K1608">
        <v>4</v>
      </c>
      <c r="L1608" t="s">
        <v>44</v>
      </c>
      <c r="M1608">
        <v>2</v>
      </c>
      <c r="N1608" t="s">
        <v>45</v>
      </c>
      <c r="Q1608" t="s">
        <v>47</v>
      </c>
      <c r="R1608" t="s">
        <v>123</v>
      </c>
      <c r="S1608" t="s">
        <v>49</v>
      </c>
      <c r="T1608">
        <v>158</v>
      </c>
      <c r="U1608" t="s">
        <v>50</v>
      </c>
      <c r="V1608" t="s">
        <v>51</v>
      </c>
      <c r="W1608" t="s">
        <v>795</v>
      </c>
      <c r="X1608" t="s">
        <v>53</v>
      </c>
      <c r="Y1608" t="s">
        <v>103</v>
      </c>
      <c r="AA1608">
        <v>0</v>
      </c>
      <c r="AB1608" t="s">
        <v>79</v>
      </c>
      <c r="AC1608" t="s">
        <v>127</v>
      </c>
      <c r="AD1608">
        <v>36</v>
      </c>
      <c r="AE1608">
        <v>9</v>
      </c>
      <c r="AF1608">
        <v>3</v>
      </c>
      <c r="AG1608">
        <v>2025</v>
      </c>
      <c r="AH1608" s="2">
        <v>23000</v>
      </c>
      <c r="AI1608" s="2">
        <v>21899.6640625</v>
      </c>
      <c r="AJ1608" s="2">
        <f t="shared" si="202"/>
        <v>1100.3359375</v>
      </c>
      <c r="AK1608" s="6">
        <f t="shared" si="203"/>
        <v>4.784069293478261E-2</v>
      </c>
      <c r="AL1608" s="12">
        <v>23000</v>
      </c>
      <c r="AM1608" s="12">
        <v>20663.97805890171</v>
      </c>
      <c r="AN1608" s="12">
        <f t="shared" si="204"/>
        <v>2336.02194109829</v>
      </c>
      <c r="AO1608" s="13">
        <f t="shared" si="205"/>
        <v>0.10156617135209957</v>
      </c>
      <c r="AP1608" s="16">
        <v>23000</v>
      </c>
      <c r="AQ1608" s="16">
        <v>20033.251172663418</v>
      </c>
      <c r="AR1608" s="16">
        <f t="shared" si="206"/>
        <v>2966.7488273365816</v>
      </c>
      <c r="AS1608" s="17">
        <f t="shared" si="200"/>
        <v>0.12898907944941659</v>
      </c>
      <c r="AT1608" s="20">
        <v>23000</v>
      </c>
      <c r="AU1608" s="20">
        <v>21328.04296875</v>
      </c>
      <c r="AV1608" s="20">
        <f t="shared" si="201"/>
        <v>1671.95703125</v>
      </c>
      <c r="AW1608" s="21">
        <f t="shared" si="207"/>
        <v>7.2693783967391304E-2</v>
      </c>
    </row>
    <row r="1609" spans="1:49" x14ac:dyDescent="0.25">
      <c r="A1609" t="s">
        <v>128</v>
      </c>
      <c r="B1609" t="s">
        <v>210</v>
      </c>
      <c r="C1609">
        <v>170376</v>
      </c>
      <c r="D1609">
        <v>2003</v>
      </c>
      <c r="E1609" t="s">
        <v>40</v>
      </c>
      <c r="F1609" t="s">
        <v>201</v>
      </c>
      <c r="H1609" t="s">
        <v>376</v>
      </c>
      <c r="I1609">
        <v>4</v>
      </c>
      <c r="J1609" t="s">
        <v>72</v>
      </c>
      <c r="K1609">
        <v>4</v>
      </c>
      <c r="L1609" t="s">
        <v>44</v>
      </c>
      <c r="M1609">
        <v>1.8</v>
      </c>
      <c r="N1609" t="s">
        <v>45</v>
      </c>
      <c r="O1609" t="s">
        <v>46</v>
      </c>
      <c r="Q1609" t="s">
        <v>47</v>
      </c>
      <c r="R1609" t="s">
        <v>123</v>
      </c>
      <c r="S1609" t="s">
        <v>49</v>
      </c>
      <c r="T1609">
        <v>130</v>
      </c>
      <c r="U1609" t="s">
        <v>50</v>
      </c>
      <c r="V1609" t="s">
        <v>51</v>
      </c>
      <c r="W1609" t="s">
        <v>377</v>
      </c>
      <c r="X1609" t="s">
        <v>125</v>
      </c>
      <c r="Y1609" t="s">
        <v>103</v>
      </c>
      <c r="AA1609">
        <v>0</v>
      </c>
      <c r="AB1609" t="s">
        <v>79</v>
      </c>
      <c r="AC1609" t="s">
        <v>127</v>
      </c>
      <c r="AD1609">
        <v>36</v>
      </c>
      <c r="AE1609">
        <v>9</v>
      </c>
      <c r="AF1609">
        <v>3</v>
      </c>
      <c r="AG1609">
        <v>2025</v>
      </c>
      <c r="AH1609" s="2">
        <v>1500</v>
      </c>
      <c r="AI1609" s="2">
        <v>1205.771728515625</v>
      </c>
      <c r="AJ1609" s="2">
        <f t="shared" si="202"/>
        <v>294.228271484375</v>
      </c>
      <c r="AK1609" s="6">
        <f t="shared" si="203"/>
        <v>0.19615218098958334</v>
      </c>
      <c r="AL1609" s="12">
        <v>1500</v>
      </c>
      <c r="AM1609" s="12">
        <v>1141.3562180453789</v>
      </c>
      <c r="AN1609" s="12">
        <f t="shared" si="204"/>
        <v>358.64378195462109</v>
      </c>
      <c r="AO1609" s="13">
        <f t="shared" si="205"/>
        <v>0.23909585463641406</v>
      </c>
      <c r="AP1609" s="16">
        <v>1500</v>
      </c>
      <c r="AQ1609" s="16">
        <v>936.14167678411786</v>
      </c>
      <c r="AR1609" s="16">
        <f t="shared" si="206"/>
        <v>563.85832321588214</v>
      </c>
      <c r="AS1609" s="17">
        <f t="shared" si="200"/>
        <v>0.37590554881058807</v>
      </c>
      <c r="AT1609" s="20">
        <v>1500</v>
      </c>
      <c r="AU1609" s="20">
        <v>1181.659545898438</v>
      </c>
      <c r="AV1609" s="20">
        <f t="shared" si="201"/>
        <v>318.34045410156205</v>
      </c>
      <c r="AW1609" s="21">
        <f t="shared" si="207"/>
        <v>0.21222696940104135</v>
      </c>
    </row>
    <row r="1610" spans="1:49" x14ac:dyDescent="0.25">
      <c r="A1610" t="s">
        <v>38</v>
      </c>
      <c r="B1610" t="s">
        <v>110</v>
      </c>
      <c r="C1610">
        <v>147104</v>
      </c>
      <c r="D1610">
        <v>2018</v>
      </c>
      <c r="E1610" t="s">
        <v>58</v>
      </c>
      <c r="F1610" t="s">
        <v>243</v>
      </c>
      <c r="G1610" t="s">
        <v>734</v>
      </c>
      <c r="I1610">
        <v>4</v>
      </c>
      <c r="J1610" t="s">
        <v>122</v>
      </c>
      <c r="K1610">
        <v>4</v>
      </c>
      <c r="L1610" t="s">
        <v>44</v>
      </c>
      <c r="M1610">
        <v>2</v>
      </c>
      <c r="N1610" t="s">
        <v>45</v>
      </c>
      <c r="O1610" t="s">
        <v>190</v>
      </c>
      <c r="Q1610" t="s">
        <v>47</v>
      </c>
      <c r="R1610" t="s">
        <v>123</v>
      </c>
      <c r="S1610" t="s">
        <v>101</v>
      </c>
      <c r="T1610">
        <v>147</v>
      </c>
      <c r="U1610" t="s">
        <v>50</v>
      </c>
      <c r="W1610" t="s">
        <v>463</v>
      </c>
      <c r="X1610" t="s">
        <v>125</v>
      </c>
      <c r="Y1610" t="s">
        <v>126</v>
      </c>
      <c r="Z1610">
        <v>16800</v>
      </c>
      <c r="AA1610">
        <v>0</v>
      </c>
      <c r="AB1610" t="s">
        <v>79</v>
      </c>
      <c r="AC1610" t="s">
        <v>127</v>
      </c>
      <c r="AD1610">
        <v>36</v>
      </c>
      <c r="AE1610">
        <v>9</v>
      </c>
      <c r="AF1610">
        <v>3</v>
      </c>
      <c r="AG1610">
        <v>2025</v>
      </c>
      <c r="AH1610" s="2">
        <v>700</v>
      </c>
      <c r="AI1610" s="2">
        <v>1533.168579101562</v>
      </c>
      <c r="AJ1610" s="2">
        <f t="shared" si="202"/>
        <v>833.16857910156205</v>
      </c>
      <c r="AK1610" s="6">
        <f t="shared" si="203"/>
        <v>1.1902408272879457</v>
      </c>
      <c r="AL1610" s="12">
        <v>700</v>
      </c>
      <c r="AM1610" s="12">
        <v>1379.376917158502</v>
      </c>
      <c r="AN1610" s="12">
        <f t="shared" si="204"/>
        <v>679.37691715850201</v>
      </c>
      <c r="AO1610" s="13">
        <f t="shared" si="205"/>
        <v>0.97053845308357434</v>
      </c>
      <c r="AP1610" s="16">
        <v>700</v>
      </c>
      <c r="AQ1610" s="16">
        <v>1315.081921922618</v>
      </c>
      <c r="AR1610" s="16">
        <f t="shared" si="206"/>
        <v>615.08192192261799</v>
      </c>
      <c r="AS1610" s="17">
        <f t="shared" si="200"/>
        <v>0.87868845988945432</v>
      </c>
      <c r="AT1610" s="20">
        <v>700</v>
      </c>
      <c r="AU1610" s="20">
        <v>1507.041137695312</v>
      </c>
      <c r="AV1610" s="20">
        <f t="shared" si="201"/>
        <v>807.04113769531205</v>
      </c>
      <c r="AW1610" s="21">
        <f t="shared" si="207"/>
        <v>1.1529159109933029</v>
      </c>
    </row>
    <row r="1611" spans="1:49" x14ac:dyDescent="0.25">
      <c r="A1611" t="s">
        <v>38</v>
      </c>
      <c r="B1611" t="s">
        <v>39</v>
      </c>
      <c r="C1611">
        <v>71360</v>
      </c>
      <c r="D1611">
        <v>2020</v>
      </c>
      <c r="E1611" t="s">
        <v>399</v>
      </c>
      <c r="F1611" t="s">
        <v>1274</v>
      </c>
      <c r="G1611" t="s">
        <v>1453</v>
      </c>
      <c r="I1611">
        <v>4</v>
      </c>
      <c r="J1611" t="s">
        <v>106</v>
      </c>
      <c r="K1611">
        <v>4</v>
      </c>
      <c r="L1611" t="s">
        <v>402</v>
      </c>
      <c r="M1611">
        <v>2.5</v>
      </c>
      <c r="N1611" t="s">
        <v>44</v>
      </c>
      <c r="O1611" t="s">
        <v>46</v>
      </c>
      <c r="Q1611" t="s">
        <v>47</v>
      </c>
      <c r="R1611" t="s">
        <v>123</v>
      </c>
      <c r="S1611" t="s">
        <v>85</v>
      </c>
      <c r="T1611">
        <v>310</v>
      </c>
      <c r="U1611" t="s">
        <v>50</v>
      </c>
      <c r="X1611" t="s">
        <v>125</v>
      </c>
      <c r="Y1611" t="s">
        <v>54</v>
      </c>
      <c r="AA1611">
        <v>0</v>
      </c>
      <c r="AB1611" t="s">
        <v>79</v>
      </c>
      <c r="AC1611" t="s">
        <v>127</v>
      </c>
      <c r="AD1611">
        <v>36</v>
      </c>
      <c r="AE1611">
        <v>9</v>
      </c>
      <c r="AF1611">
        <v>3</v>
      </c>
      <c r="AG1611">
        <v>2025</v>
      </c>
      <c r="AH1611" s="2">
        <v>23250</v>
      </c>
      <c r="AI1611" s="2">
        <v>17595.134765625</v>
      </c>
      <c r="AJ1611" s="2">
        <f t="shared" si="202"/>
        <v>5654.865234375</v>
      </c>
      <c r="AK1611" s="6">
        <f t="shared" si="203"/>
        <v>0.24322001008064517</v>
      </c>
      <c r="AL1611" s="12">
        <v>23250</v>
      </c>
      <c r="AM1611" s="12">
        <v>15759.610689157431</v>
      </c>
      <c r="AN1611" s="12">
        <f t="shared" si="204"/>
        <v>7490.3893108425691</v>
      </c>
      <c r="AO1611" s="13">
        <f t="shared" si="205"/>
        <v>0.32216728218677715</v>
      </c>
      <c r="AP1611" s="16">
        <v>23250</v>
      </c>
      <c r="AQ1611" s="16">
        <v>19915.46880470352</v>
      </c>
      <c r="AR1611" s="16">
        <f t="shared" si="206"/>
        <v>3334.5311952964803</v>
      </c>
      <c r="AS1611" s="17">
        <f t="shared" si="200"/>
        <v>0.14342069657189163</v>
      </c>
      <c r="AT1611" s="20">
        <v>23250</v>
      </c>
      <c r="AU1611" s="20">
        <v>17078.888671875</v>
      </c>
      <c r="AV1611" s="20">
        <f t="shared" si="201"/>
        <v>6171.111328125</v>
      </c>
      <c r="AW1611" s="21">
        <f t="shared" si="207"/>
        <v>0.26542414314516127</v>
      </c>
    </row>
    <row r="1612" spans="1:49" x14ac:dyDescent="0.25">
      <c r="A1612" t="s">
        <v>114</v>
      </c>
      <c r="B1612" t="s">
        <v>340</v>
      </c>
      <c r="C1612">
        <v>141570</v>
      </c>
      <c r="D1612">
        <v>2014</v>
      </c>
      <c r="E1612" t="s">
        <v>69</v>
      </c>
      <c r="F1612" t="s">
        <v>250</v>
      </c>
      <c r="H1612" t="s">
        <v>190</v>
      </c>
      <c r="I1612">
        <v>4</v>
      </c>
      <c r="J1612" t="s">
        <v>253</v>
      </c>
      <c r="K1612">
        <v>4</v>
      </c>
      <c r="L1612" t="s">
        <v>44</v>
      </c>
      <c r="M1612">
        <v>2.5</v>
      </c>
      <c r="N1612" t="s">
        <v>45</v>
      </c>
      <c r="O1612" t="s">
        <v>46</v>
      </c>
      <c r="P1612">
        <v>3</v>
      </c>
      <c r="Q1612" t="s">
        <v>62</v>
      </c>
      <c r="R1612" t="s">
        <v>63</v>
      </c>
      <c r="S1612" t="s">
        <v>49</v>
      </c>
      <c r="T1612">
        <v>168</v>
      </c>
      <c r="U1612" t="s">
        <v>50</v>
      </c>
      <c r="V1612" t="s">
        <v>51</v>
      </c>
      <c r="X1612" t="s">
        <v>65</v>
      </c>
      <c r="Y1612" t="s">
        <v>78</v>
      </c>
      <c r="AA1612">
        <v>0</v>
      </c>
      <c r="AB1612" t="s">
        <v>79</v>
      </c>
      <c r="AC1612" t="s">
        <v>87</v>
      </c>
      <c r="AD1612">
        <v>36</v>
      </c>
      <c r="AE1612">
        <v>9</v>
      </c>
      <c r="AF1612">
        <v>3</v>
      </c>
      <c r="AG1612">
        <v>2025</v>
      </c>
      <c r="AH1612" s="2">
        <v>900</v>
      </c>
      <c r="AI1612" s="2">
        <v>2064.66357421875</v>
      </c>
      <c r="AJ1612" s="2">
        <f t="shared" si="202"/>
        <v>1164.66357421875</v>
      </c>
      <c r="AK1612" s="6">
        <f t="shared" si="203"/>
        <v>1.2940706380208333</v>
      </c>
      <c r="AL1612" s="12">
        <v>900</v>
      </c>
      <c r="AM1612" s="12">
        <v>2132.156872908723</v>
      </c>
      <c r="AN1612" s="12">
        <f t="shared" si="204"/>
        <v>1232.156872908723</v>
      </c>
      <c r="AO1612" s="13">
        <f t="shared" si="205"/>
        <v>1.3690631921208034</v>
      </c>
      <c r="AP1612" s="16">
        <v>900</v>
      </c>
      <c r="AQ1612" s="16">
        <v>1770.1298061957841</v>
      </c>
      <c r="AR1612" s="16">
        <f t="shared" si="206"/>
        <v>870.12980619578411</v>
      </c>
      <c r="AS1612" s="17">
        <f t="shared" si="200"/>
        <v>0.96681089577309343</v>
      </c>
      <c r="AT1612" s="20">
        <v>900</v>
      </c>
      <c r="AU1612" s="20">
        <v>2062.33544921875</v>
      </c>
      <c r="AV1612" s="20">
        <f t="shared" si="201"/>
        <v>1162.33544921875</v>
      </c>
      <c r="AW1612" s="21">
        <f t="shared" si="207"/>
        <v>1.2914838324652778</v>
      </c>
    </row>
    <row r="1613" spans="1:49" x14ac:dyDescent="0.25">
      <c r="A1613" t="s">
        <v>81</v>
      </c>
      <c r="B1613" t="s">
        <v>82</v>
      </c>
      <c r="C1613">
        <v>127035</v>
      </c>
      <c r="D1613">
        <v>2010</v>
      </c>
      <c r="E1613" t="s">
        <v>166</v>
      </c>
      <c r="F1613" t="s">
        <v>247</v>
      </c>
      <c r="G1613" t="s">
        <v>240</v>
      </c>
      <c r="I1613">
        <v>4</v>
      </c>
      <c r="J1613" t="s">
        <v>61</v>
      </c>
      <c r="K1613">
        <v>4</v>
      </c>
      <c r="L1613" t="s">
        <v>44</v>
      </c>
      <c r="M1613">
        <v>2.4</v>
      </c>
      <c r="N1613" t="s">
        <v>91</v>
      </c>
      <c r="O1613" t="s">
        <v>46</v>
      </c>
      <c r="Q1613" t="s">
        <v>62</v>
      </c>
      <c r="R1613" t="s">
        <v>63</v>
      </c>
      <c r="S1613" t="s">
        <v>93</v>
      </c>
      <c r="T1613">
        <v>180</v>
      </c>
      <c r="U1613" t="s">
        <v>50</v>
      </c>
      <c r="V1613" t="s">
        <v>51</v>
      </c>
      <c r="W1613" t="s">
        <v>582</v>
      </c>
      <c r="X1613" t="s">
        <v>65</v>
      </c>
      <c r="Y1613" t="s">
        <v>78</v>
      </c>
      <c r="AA1613">
        <v>0</v>
      </c>
      <c r="AB1613" t="s">
        <v>79</v>
      </c>
      <c r="AC1613" t="s">
        <v>87</v>
      </c>
      <c r="AD1613">
        <v>36</v>
      </c>
      <c r="AE1613">
        <v>9</v>
      </c>
      <c r="AF1613">
        <v>3</v>
      </c>
      <c r="AG1613">
        <v>2025</v>
      </c>
      <c r="AH1613" s="2">
        <v>3500</v>
      </c>
      <c r="AI1613" s="2">
        <v>3146.531494140625</v>
      </c>
      <c r="AJ1613" s="2">
        <f t="shared" si="202"/>
        <v>353.468505859375</v>
      </c>
      <c r="AK1613" s="6">
        <f t="shared" si="203"/>
        <v>0.10099100167410714</v>
      </c>
      <c r="AL1613" s="12">
        <v>3500</v>
      </c>
      <c r="AM1613" s="12">
        <v>3502.7019948474108</v>
      </c>
      <c r="AN1613" s="12">
        <f t="shared" si="204"/>
        <v>2.7019948474107878</v>
      </c>
      <c r="AO1613" s="13">
        <f t="shared" si="205"/>
        <v>7.7199852783165369E-4</v>
      </c>
      <c r="AP1613" s="16">
        <v>3500</v>
      </c>
      <c r="AQ1613" s="16">
        <v>2738.76689405355</v>
      </c>
      <c r="AR1613" s="16">
        <f t="shared" si="206"/>
        <v>761.23310594645</v>
      </c>
      <c r="AS1613" s="17">
        <f t="shared" si="200"/>
        <v>0.21749517312755715</v>
      </c>
      <c r="AT1613" s="20">
        <v>3500</v>
      </c>
      <c r="AU1613" s="20">
        <v>3176.295166015625</v>
      </c>
      <c r="AV1613" s="20">
        <f t="shared" si="201"/>
        <v>323.704833984375</v>
      </c>
      <c r="AW1613" s="21">
        <f t="shared" si="207"/>
        <v>9.2487095424107144E-2</v>
      </c>
    </row>
    <row r="1614" spans="1:49" x14ac:dyDescent="0.25">
      <c r="A1614" t="s">
        <v>38</v>
      </c>
      <c r="B1614" t="s">
        <v>1018</v>
      </c>
      <c r="C1614">
        <v>19568</v>
      </c>
      <c r="D1614">
        <v>2024</v>
      </c>
      <c r="E1614" t="s">
        <v>97</v>
      </c>
      <c r="F1614" t="s">
        <v>159</v>
      </c>
      <c r="G1614" t="s">
        <v>160</v>
      </c>
      <c r="H1614" t="s">
        <v>89</v>
      </c>
      <c r="I1614">
        <v>8</v>
      </c>
      <c r="J1614" t="s">
        <v>72</v>
      </c>
      <c r="K1614">
        <v>2</v>
      </c>
      <c r="L1614" t="s">
        <v>44</v>
      </c>
      <c r="M1614">
        <v>5.3</v>
      </c>
      <c r="N1614" t="s">
        <v>73</v>
      </c>
      <c r="O1614" t="s">
        <v>46</v>
      </c>
      <c r="P1614">
        <v>4</v>
      </c>
      <c r="Q1614" t="s">
        <v>74</v>
      </c>
      <c r="R1614" t="s">
        <v>92</v>
      </c>
      <c r="S1614" t="s">
        <v>49</v>
      </c>
      <c r="U1614" t="s">
        <v>50</v>
      </c>
      <c r="W1614" t="s">
        <v>161</v>
      </c>
      <c r="X1614" t="s">
        <v>94</v>
      </c>
      <c r="Y1614" t="s">
        <v>126</v>
      </c>
      <c r="AA1614">
        <v>0</v>
      </c>
      <c r="AB1614" t="s">
        <v>79</v>
      </c>
      <c r="AC1614" t="s">
        <v>95</v>
      </c>
      <c r="AD1614">
        <v>36</v>
      </c>
      <c r="AE1614">
        <v>9</v>
      </c>
      <c r="AF1614">
        <v>3</v>
      </c>
      <c r="AG1614">
        <v>2025</v>
      </c>
      <c r="AH1614" s="2">
        <v>24000</v>
      </c>
      <c r="AI1614" s="2">
        <v>27659.3046875</v>
      </c>
      <c r="AJ1614" s="2">
        <f t="shared" si="202"/>
        <v>3659.3046875</v>
      </c>
      <c r="AK1614" s="6">
        <f t="shared" si="203"/>
        <v>0.15247102864583334</v>
      </c>
      <c r="AL1614" s="12">
        <v>24000</v>
      </c>
      <c r="AM1614" s="12">
        <v>35527.377820401882</v>
      </c>
      <c r="AN1614" s="12">
        <f t="shared" si="204"/>
        <v>11527.377820401882</v>
      </c>
      <c r="AO1614" s="13">
        <f t="shared" si="205"/>
        <v>0.48030740918341175</v>
      </c>
      <c r="AP1614" s="16">
        <v>24000</v>
      </c>
      <c r="AQ1614" s="16">
        <v>28066.85785584318</v>
      </c>
      <c r="AR1614" s="16">
        <f t="shared" si="206"/>
        <v>4066.85785584318</v>
      </c>
      <c r="AS1614" s="17">
        <f t="shared" si="200"/>
        <v>0.1694524106601325</v>
      </c>
      <c r="AT1614" s="20">
        <v>24000</v>
      </c>
      <c r="AU1614" s="20">
        <v>28581.244140625</v>
      </c>
      <c r="AV1614" s="20">
        <f t="shared" si="201"/>
        <v>4581.244140625</v>
      </c>
      <c r="AW1614" s="21">
        <f t="shared" si="207"/>
        <v>0.19088517252604167</v>
      </c>
    </row>
    <row r="1615" spans="1:49" x14ac:dyDescent="0.25">
      <c r="A1615" t="s">
        <v>38</v>
      </c>
      <c r="B1615" t="s">
        <v>39</v>
      </c>
      <c r="C1615">
        <v>221748</v>
      </c>
      <c r="D1615">
        <v>2015</v>
      </c>
      <c r="E1615" t="s">
        <v>97</v>
      </c>
      <c r="F1615" t="s">
        <v>159</v>
      </c>
      <c r="G1615" t="s">
        <v>380</v>
      </c>
      <c r="H1615" t="s">
        <v>89</v>
      </c>
      <c r="I1615">
        <v>8</v>
      </c>
      <c r="J1615" t="s">
        <v>135</v>
      </c>
      <c r="K1615">
        <v>4</v>
      </c>
      <c r="L1615" t="s">
        <v>44</v>
      </c>
      <c r="M1615">
        <v>5.3</v>
      </c>
      <c r="N1615" t="s">
        <v>91</v>
      </c>
      <c r="O1615" t="s">
        <v>46</v>
      </c>
      <c r="Q1615" t="s">
        <v>74</v>
      </c>
      <c r="R1615" t="s">
        <v>92</v>
      </c>
      <c r="S1615" t="s">
        <v>93</v>
      </c>
      <c r="U1615" t="s">
        <v>50</v>
      </c>
      <c r="W1615" t="s">
        <v>473</v>
      </c>
      <c r="X1615" t="s">
        <v>108</v>
      </c>
      <c r="Y1615" t="s">
        <v>126</v>
      </c>
      <c r="AA1615">
        <v>0</v>
      </c>
      <c r="AB1615" t="s">
        <v>79</v>
      </c>
      <c r="AC1615" t="s">
        <v>95</v>
      </c>
      <c r="AD1615">
        <v>36</v>
      </c>
      <c r="AE1615">
        <v>9</v>
      </c>
      <c r="AF1615">
        <v>3</v>
      </c>
      <c r="AG1615">
        <v>2025</v>
      </c>
      <c r="AH1615" s="2">
        <v>5000</v>
      </c>
      <c r="AI1615" s="2">
        <v>7851.5126953125</v>
      </c>
      <c r="AJ1615" s="2">
        <f t="shared" si="202"/>
        <v>2851.5126953125</v>
      </c>
      <c r="AK1615" s="6">
        <f t="shared" si="203"/>
        <v>0.57030253906249995</v>
      </c>
      <c r="AL1615" s="12">
        <v>5000</v>
      </c>
      <c r="AM1615" s="12">
        <v>8739.7561163134742</v>
      </c>
      <c r="AN1615" s="12">
        <f t="shared" si="204"/>
        <v>3739.7561163134742</v>
      </c>
      <c r="AO1615" s="13">
        <f t="shared" si="205"/>
        <v>0.74795122326269481</v>
      </c>
      <c r="AP1615" s="16">
        <v>5000</v>
      </c>
      <c r="AQ1615" s="16">
        <v>8452.6528831467658</v>
      </c>
      <c r="AR1615" s="16">
        <f t="shared" si="206"/>
        <v>3452.6528831467658</v>
      </c>
      <c r="AS1615" s="17">
        <f t="shared" si="200"/>
        <v>0.69053057662935313</v>
      </c>
      <c r="AT1615" s="20">
        <v>5000</v>
      </c>
      <c r="AU1615" s="20">
        <v>8061.91455078125</v>
      </c>
      <c r="AV1615" s="20">
        <f t="shared" si="201"/>
        <v>3061.91455078125</v>
      </c>
      <c r="AW1615" s="21">
        <f t="shared" si="207"/>
        <v>0.61238291015625002</v>
      </c>
    </row>
    <row r="1616" spans="1:49" x14ac:dyDescent="0.25">
      <c r="A1616" t="s">
        <v>81</v>
      </c>
      <c r="B1616" t="s">
        <v>1049</v>
      </c>
      <c r="C1616">
        <v>83398</v>
      </c>
      <c r="D1616">
        <v>2021</v>
      </c>
      <c r="E1616" t="s">
        <v>146</v>
      </c>
      <c r="F1616" t="s">
        <v>565</v>
      </c>
      <c r="G1616" t="s">
        <v>262</v>
      </c>
      <c r="I1616">
        <v>8</v>
      </c>
      <c r="J1616" t="s">
        <v>61</v>
      </c>
      <c r="K1616">
        <v>4</v>
      </c>
      <c r="L1616" t="s">
        <v>44</v>
      </c>
      <c r="M1616">
        <v>5.6</v>
      </c>
      <c r="N1616" t="s">
        <v>91</v>
      </c>
      <c r="Q1616" t="s">
        <v>74</v>
      </c>
      <c r="R1616" t="s">
        <v>92</v>
      </c>
      <c r="S1616" t="s">
        <v>93</v>
      </c>
      <c r="U1616" t="s">
        <v>50</v>
      </c>
      <c r="X1616" t="s">
        <v>108</v>
      </c>
      <c r="Y1616" t="s">
        <v>78</v>
      </c>
      <c r="AA1616">
        <v>0</v>
      </c>
      <c r="AB1616" t="s">
        <v>79</v>
      </c>
      <c r="AC1616" t="s">
        <v>95</v>
      </c>
      <c r="AD1616">
        <v>36</v>
      </c>
      <c r="AE1616">
        <v>9</v>
      </c>
      <c r="AF1616">
        <v>3</v>
      </c>
      <c r="AG1616">
        <v>2025</v>
      </c>
      <c r="AH1616" s="2">
        <v>28800</v>
      </c>
      <c r="AI1616" s="2">
        <v>23884.52734375</v>
      </c>
      <c r="AJ1616" s="2">
        <f t="shared" si="202"/>
        <v>4915.47265625</v>
      </c>
      <c r="AK1616" s="6">
        <f t="shared" si="203"/>
        <v>0.17067613389756944</v>
      </c>
      <c r="AL1616" s="12">
        <v>28800</v>
      </c>
      <c r="AM1616" s="12">
        <v>25169.438632509122</v>
      </c>
      <c r="AN1616" s="12">
        <f t="shared" si="204"/>
        <v>3630.5613674908782</v>
      </c>
      <c r="AO1616" s="13">
        <f t="shared" si="205"/>
        <v>0.12606115859343328</v>
      </c>
      <c r="AP1616" s="16">
        <v>28800</v>
      </c>
      <c r="AQ1616" s="16">
        <v>28216.45211328764</v>
      </c>
      <c r="AR1616" s="16">
        <f t="shared" si="206"/>
        <v>583.5478867123602</v>
      </c>
      <c r="AS1616" s="17">
        <f t="shared" si="200"/>
        <v>2.026207939973473E-2</v>
      </c>
      <c r="AT1616" s="20">
        <v>28800</v>
      </c>
      <c r="AU1616" s="20">
        <v>23933.7109375</v>
      </c>
      <c r="AV1616" s="20">
        <f t="shared" si="201"/>
        <v>4866.2890625</v>
      </c>
      <c r="AW1616" s="21">
        <f t="shared" si="207"/>
        <v>0.16896837022569444</v>
      </c>
    </row>
    <row r="1617" spans="1:49" x14ac:dyDescent="0.25">
      <c r="A1617" t="s">
        <v>38</v>
      </c>
      <c r="B1617" t="s">
        <v>39</v>
      </c>
      <c r="C1617">
        <v>201372</v>
      </c>
      <c r="D1617">
        <v>2010</v>
      </c>
      <c r="E1617" t="s">
        <v>40</v>
      </c>
      <c r="F1617" t="s">
        <v>201</v>
      </c>
      <c r="H1617" t="s">
        <v>496</v>
      </c>
      <c r="I1617">
        <v>4</v>
      </c>
      <c r="J1617" t="s">
        <v>122</v>
      </c>
      <c r="K1617">
        <v>4</v>
      </c>
      <c r="L1617" t="s">
        <v>44</v>
      </c>
      <c r="M1617">
        <v>1.8</v>
      </c>
      <c r="N1617" t="s">
        <v>45</v>
      </c>
      <c r="O1617" t="s">
        <v>46</v>
      </c>
      <c r="Q1617" t="s">
        <v>47</v>
      </c>
      <c r="R1617" t="s">
        <v>123</v>
      </c>
      <c r="S1617" t="s">
        <v>49</v>
      </c>
      <c r="T1617">
        <v>132</v>
      </c>
      <c r="U1617" t="s">
        <v>50</v>
      </c>
      <c r="V1617" t="s">
        <v>51</v>
      </c>
      <c r="W1617" t="s">
        <v>204</v>
      </c>
      <c r="X1617" t="s">
        <v>125</v>
      </c>
      <c r="Y1617" t="s">
        <v>103</v>
      </c>
      <c r="AA1617">
        <v>0</v>
      </c>
      <c r="AB1617" t="s">
        <v>79</v>
      </c>
      <c r="AC1617" t="s">
        <v>127</v>
      </c>
      <c r="AD1617">
        <v>36</v>
      </c>
      <c r="AE1617">
        <v>9</v>
      </c>
      <c r="AF1617">
        <v>3</v>
      </c>
      <c r="AG1617">
        <v>2025</v>
      </c>
      <c r="AH1617" s="2">
        <v>3250</v>
      </c>
      <c r="AI1617" s="2">
        <v>1856.541259765625</v>
      </c>
      <c r="AJ1617" s="2">
        <f t="shared" si="202"/>
        <v>1393.458740234375</v>
      </c>
      <c r="AK1617" s="6">
        <f t="shared" si="203"/>
        <v>0.42875653545673076</v>
      </c>
      <c r="AL1617" s="12">
        <v>3250</v>
      </c>
      <c r="AM1617" s="12">
        <v>1730.20418036103</v>
      </c>
      <c r="AN1617" s="12">
        <f t="shared" si="204"/>
        <v>1519.79581963897</v>
      </c>
      <c r="AO1617" s="13">
        <f t="shared" si="205"/>
        <v>0.4676294829658369</v>
      </c>
      <c r="AP1617" s="16">
        <v>3250</v>
      </c>
      <c r="AQ1617" s="16">
        <v>1534.3843551629279</v>
      </c>
      <c r="AR1617" s="16">
        <f t="shared" si="206"/>
        <v>1715.6156448370721</v>
      </c>
      <c r="AS1617" s="17">
        <f t="shared" si="200"/>
        <v>0.52788173687294526</v>
      </c>
      <c r="AT1617" s="20">
        <v>3250</v>
      </c>
      <c r="AU1617" s="20">
        <v>1850.934204101562</v>
      </c>
      <c r="AV1617" s="20">
        <f t="shared" si="201"/>
        <v>1399.065795898438</v>
      </c>
      <c r="AW1617" s="21">
        <f t="shared" si="207"/>
        <v>0.43048178335336551</v>
      </c>
    </row>
    <row r="1618" spans="1:49" x14ac:dyDescent="0.25">
      <c r="A1618" t="s">
        <v>38</v>
      </c>
      <c r="B1618" t="s">
        <v>39</v>
      </c>
      <c r="C1618">
        <v>183005</v>
      </c>
      <c r="D1618">
        <v>2015</v>
      </c>
      <c r="E1618" t="s">
        <v>97</v>
      </c>
      <c r="F1618" t="s">
        <v>159</v>
      </c>
      <c r="G1618" t="s">
        <v>1208</v>
      </c>
      <c r="H1618" t="s">
        <v>89</v>
      </c>
      <c r="I1618">
        <v>8</v>
      </c>
      <c r="J1618" t="s">
        <v>61</v>
      </c>
      <c r="K1618">
        <v>4</v>
      </c>
      <c r="L1618" t="s">
        <v>44</v>
      </c>
      <c r="M1618">
        <v>5.3</v>
      </c>
      <c r="N1618" t="s">
        <v>91</v>
      </c>
      <c r="O1618" t="s">
        <v>46</v>
      </c>
      <c r="P1618">
        <v>2</v>
      </c>
      <c r="Q1618" t="s">
        <v>74</v>
      </c>
      <c r="R1618" t="s">
        <v>92</v>
      </c>
      <c r="S1618" t="s">
        <v>93</v>
      </c>
      <c r="U1618" t="s">
        <v>50</v>
      </c>
      <c r="W1618" t="s">
        <v>473</v>
      </c>
      <c r="X1618" t="s">
        <v>108</v>
      </c>
      <c r="Y1618" t="s">
        <v>78</v>
      </c>
      <c r="AA1618">
        <v>0</v>
      </c>
      <c r="AB1618" t="s">
        <v>79</v>
      </c>
      <c r="AC1618" t="s">
        <v>95</v>
      </c>
      <c r="AD1618">
        <v>36</v>
      </c>
      <c r="AE1618">
        <v>9</v>
      </c>
      <c r="AF1618">
        <v>3</v>
      </c>
      <c r="AG1618">
        <v>2025</v>
      </c>
      <c r="AH1618" s="2">
        <v>5500</v>
      </c>
      <c r="AI1618" s="2">
        <v>5790.02392578125</v>
      </c>
      <c r="AJ1618" s="2">
        <f t="shared" si="202"/>
        <v>290.02392578125</v>
      </c>
      <c r="AK1618" s="6">
        <f t="shared" si="203"/>
        <v>5.2731622869318179E-2</v>
      </c>
      <c r="AL1618" s="12">
        <v>5500</v>
      </c>
      <c r="AM1618" s="12">
        <v>6519.3819566959246</v>
      </c>
      <c r="AN1618" s="12">
        <f t="shared" si="204"/>
        <v>1019.3819566959246</v>
      </c>
      <c r="AO1618" s="13">
        <f t="shared" si="205"/>
        <v>0.18534217394471356</v>
      </c>
      <c r="AP1618" s="16">
        <v>5500</v>
      </c>
      <c r="AQ1618" s="16">
        <v>6285.44862475849</v>
      </c>
      <c r="AR1618" s="16">
        <f t="shared" si="206"/>
        <v>785.44862475849004</v>
      </c>
      <c r="AS1618" s="17">
        <f t="shared" si="200"/>
        <v>0.14280884086518</v>
      </c>
      <c r="AT1618" s="20">
        <v>5500</v>
      </c>
      <c r="AU1618" s="20">
        <v>5946.38671875</v>
      </c>
      <c r="AV1618" s="20">
        <f t="shared" si="201"/>
        <v>446.38671875</v>
      </c>
      <c r="AW1618" s="21">
        <f t="shared" si="207"/>
        <v>8.1161221590909091E-2</v>
      </c>
    </row>
    <row r="1619" spans="1:49" x14ac:dyDescent="0.25">
      <c r="A1619" t="s">
        <v>38</v>
      </c>
      <c r="B1619" t="s">
        <v>68</v>
      </c>
      <c r="C1619">
        <v>84040</v>
      </c>
      <c r="D1619">
        <v>2018</v>
      </c>
      <c r="E1619" t="s">
        <v>146</v>
      </c>
      <c r="F1619" t="s">
        <v>302</v>
      </c>
      <c r="I1619">
        <v>6</v>
      </c>
      <c r="J1619" t="s">
        <v>135</v>
      </c>
      <c r="K1619">
        <v>4</v>
      </c>
      <c r="L1619" t="s">
        <v>44</v>
      </c>
      <c r="M1619">
        <v>3.5</v>
      </c>
      <c r="N1619" t="s">
        <v>45</v>
      </c>
      <c r="O1619" t="s">
        <v>46</v>
      </c>
      <c r="P1619">
        <v>4</v>
      </c>
      <c r="Q1619" t="s">
        <v>62</v>
      </c>
      <c r="R1619" t="s">
        <v>148</v>
      </c>
      <c r="S1619" t="s">
        <v>49</v>
      </c>
      <c r="U1619" t="s">
        <v>50</v>
      </c>
      <c r="V1619" t="s">
        <v>76</v>
      </c>
      <c r="X1619" t="s">
        <v>141</v>
      </c>
      <c r="Y1619" t="s">
        <v>78</v>
      </c>
      <c r="Z1619">
        <v>31040</v>
      </c>
      <c r="AA1619">
        <v>0</v>
      </c>
      <c r="AB1619" t="s">
        <v>79</v>
      </c>
      <c r="AC1619" t="s">
        <v>109</v>
      </c>
      <c r="AD1619">
        <v>36</v>
      </c>
      <c r="AE1619">
        <v>9</v>
      </c>
      <c r="AF1619">
        <v>3</v>
      </c>
      <c r="AG1619">
        <v>2025</v>
      </c>
      <c r="AH1619" s="2">
        <v>7800</v>
      </c>
      <c r="AI1619" s="2">
        <v>9096.8310546875</v>
      </c>
      <c r="AJ1619" s="2">
        <f t="shared" si="202"/>
        <v>1296.8310546875</v>
      </c>
      <c r="AK1619" s="6">
        <f t="shared" si="203"/>
        <v>0.16626039162660255</v>
      </c>
      <c r="AL1619" s="12">
        <v>7800</v>
      </c>
      <c r="AM1619" s="12">
        <v>10138.40072883738</v>
      </c>
      <c r="AN1619" s="12">
        <f t="shared" si="204"/>
        <v>2338.4007288373796</v>
      </c>
      <c r="AO1619" s="13">
        <f t="shared" si="205"/>
        <v>0.29979496523556148</v>
      </c>
      <c r="AP1619" s="16">
        <v>7800</v>
      </c>
      <c r="AQ1619" s="16">
        <v>8927.413834975272</v>
      </c>
      <c r="AR1619" s="16">
        <f t="shared" si="206"/>
        <v>1127.413834975272</v>
      </c>
      <c r="AS1619" s="17">
        <f t="shared" si="200"/>
        <v>0.14454023525324</v>
      </c>
      <c r="AT1619" s="20">
        <v>7800</v>
      </c>
      <c r="AU1619" s="20">
        <v>9401.6650390625</v>
      </c>
      <c r="AV1619" s="20">
        <f t="shared" si="201"/>
        <v>1601.6650390625</v>
      </c>
      <c r="AW1619" s="21">
        <f t="shared" si="207"/>
        <v>0.20534167167467948</v>
      </c>
    </row>
    <row r="1620" spans="1:49" x14ac:dyDescent="0.25">
      <c r="A1620" t="s">
        <v>81</v>
      </c>
      <c r="B1620" t="s">
        <v>246</v>
      </c>
      <c r="C1620">
        <v>10565</v>
      </c>
      <c r="D1620">
        <v>2024</v>
      </c>
      <c r="E1620" t="s">
        <v>142</v>
      </c>
      <c r="F1620" t="s">
        <v>633</v>
      </c>
      <c r="H1620" t="s">
        <v>457</v>
      </c>
      <c r="I1620">
        <v>6</v>
      </c>
      <c r="J1620" t="s">
        <v>61</v>
      </c>
      <c r="K1620">
        <v>2</v>
      </c>
      <c r="L1620" t="s">
        <v>402</v>
      </c>
      <c r="M1620">
        <v>3.6</v>
      </c>
      <c r="N1620" t="s">
        <v>91</v>
      </c>
      <c r="O1620" t="s">
        <v>46</v>
      </c>
      <c r="P1620">
        <v>5</v>
      </c>
      <c r="Q1620" t="s">
        <v>62</v>
      </c>
      <c r="R1620" t="s">
        <v>63</v>
      </c>
      <c r="S1620" t="s">
        <v>93</v>
      </c>
      <c r="T1620">
        <v>285</v>
      </c>
      <c r="U1620" t="s">
        <v>50</v>
      </c>
      <c r="V1620" t="s">
        <v>76</v>
      </c>
      <c r="X1620" t="s">
        <v>141</v>
      </c>
      <c r="Y1620" t="s">
        <v>78</v>
      </c>
      <c r="AA1620">
        <v>0</v>
      </c>
      <c r="AB1620" t="s">
        <v>79</v>
      </c>
      <c r="AC1620" t="s">
        <v>87</v>
      </c>
      <c r="AD1620">
        <v>36</v>
      </c>
      <c r="AE1620">
        <v>9</v>
      </c>
      <c r="AF1620">
        <v>3</v>
      </c>
      <c r="AG1620">
        <v>2025</v>
      </c>
      <c r="AH1620" s="2">
        <v>32000</v>
      </c>
      <c r="AI1620" s="2">
        <v>39260.02734375</v>
      </c>
      <c r="AJ1620" s="2">
        <f t="shared" si="202"/>
        <v>7260.02734375</v>
      </c>
      <c r="AK1620" s="6">
        <f t="shared" si="203"/>
        <v>0.2268758544921875</v>
      </c>
      <c r="AL1620" s="12">
        <v>32000</v>
      </c>
      <c r="AM1620" s="12">
        <v>37368.323886305297</v>
      </c>
      <c r="AN1620" s="12">
        <f t="shared" si="204"/>
        <v>5368.3238863052975</v>
      </c>
      <c r="AO1620" s="13">
        <f t="shared" si="205"/>
        <v>0.16776012144704056</v>
      </c>
      <c r="AP1620" s="16">
        <v>32000</v>
      </c>
      <c r="AQ1620" s="16">
        <v>32630.159118634168</v>
      </c>
      <c r="AR1620" s="16">
        <f t="shared" si="206"/>
        <v>630.15911863416841</v>
      </c>
      <c r="AS1620" s="17">
        <f t="shared" si="200"/>
        <v>1.9692472457317763E-2</v>
      </c>
      <c r="AT1620" s="20">
        <v>32000</v>
      </c>
      <c r="AU1620" s="20">
        <v>39045.2890625</v>
      </c>
      <c r="AV1620" s="20">
        <f t="shared" si="201"/>
        <v>7045.2890625</v>
      </c>
      <c r="AW1620" s="21">
        <f t="shared" si="207"/>
        <v>0.22016528320312501</v>
      </c>
    </row>
    <row r="1621" spans="1:49" x14ac:dyDescent="0.25">
      <c r="A1621" t="s">
        <v>114</v>
      </c>
      <c r="B1621" t="s">
        <v>340</v>
      </c>
      <c r="C1621">
        <v>206935</v>
      </c>
      <c r="D1621">
        <v>2010</v>
      </c>
      <c r="E1621" t="s">
        <v>69</v>
      </c>
      <c r="F1621" t="s">
        <v>250</v>
      </c>
      <c r="H1621" t="s">
        <v>118</v>
      </c>
      <c r="I1621">
        <v>6</v>
      </c>
      <c r="J1621" t="s">
        <v>135</v>
      </c>
      <c r="K1621">
        <v>4</v>
      </c>
      <c r="L1621" t="s">
        <v>44</v>
      </c>
      <c r="M1621">
        <v>3</v>
      </c>
      <c r="N1621" t="s">
        <v>91</v>
      </c>
      <c r="O1621" t="s">
        <v>46</v>
      </c>
      <c r="P1621">
        <v>3</v>
      </c>
      <c r="Q1621" t="s">
        <v>62</v>
      </c>
      <c r="R1621" t="s">
        <v>63</v>
      </c>
      <c r="T1621">
        <v>240</v>
      </c>
      <c r="U1621" t="s">
        <v>50</v>
      </c>
      <c r="V1621" t="s">
        <v>76</v>
      </c>
      <c r="W1621" t="s">
        <v>625</v>
      </c>
      <c r="X1621" t="s">
        <v>65</v>
      </c>
      <c r="Y1621" t="s">
        <v>78</v>
      </c>
      <c r="AA1621">
        <v>0</v>
      </c>
      <c r="AB1621" t="s">
        <v>79</v>
      </c>
      <c r="AC1621" t="s">
        <v>87</v>
      </c>
      <c r="AD1621">
        <v>36</v>
      </c>
      <c r="AE1621">
        <v>9</v>
      </c>
      <c r="AF1621">
        <v>3</v>
      </c>
      <c r="AG1621">
        <v>2025</v>
      </c>
      <c r="AH1621" s="2">
        <v>1400</v>
      </c>
      <c r="AI1621" s="2">
        <v>903.7491455078125</v>
      </c>
      <c r="AJ1621" s="2">
        <f t="shared" si="202"/>
        <v>496.2508544921875</v>
      </c>
      <c r="AK1621" s="6">
        <f t="shared" si="203"/>
        <v>0.35446489606584819</v>
      </c>
      <c r="AL1621" s="12">
        <v>1400</v>
      </c>
      <c r="AM1621" s="12">
        <v>1134.848482053741</v>
      </c>
      <c r="AN1621" s="12">
        <f t="shared" si="204"/>
        <v>265.15151794625899</v>
      </c>
      <c r="AO1621" s="13">
        <f t="shared" si="205"/>
        <v>0.18939394139018501</v>
      </c>
      <c r="AP1621" s="16">
        <v>1400</v>
      </c>
      <c r="AQ1621" s="16">
        <v>808.32476240276037</v>
      </c>
      <c r="AR1621" s="16">
        <f t="shared" si="206"/>
        <v>591.67523759723963</v>
      </c>
      <c r="AS1621" s="17">
        <f t="shared" si="200"/>
        <v>0.42262516971231401</v>
      </c>
      <c r="AT1621" s="20">
        <v>1400</v>
      </c>
      <c r="AU1621" s="20">
        <v>930.0880126953125</v>
      </c>
      <c r="AV1621" s="20">
        <f t="shared" si="201"/>
        <v>469.9119873046875</v>
      </c>
      <c r="AW1621" s="21">
        <f t="shared" si="207"/>
        <v>0.3356514195033482</v>
      </c>
    </row>
    <row r="1622" spans="1:49" x14ac:dyDescent="0.25">
      <c r="A1622" t="s">
        <v>38</v>
      </c>
      <c r="B1622" t="s">
        <v>1018</v>
      </c>
      <c r="C1622">
        <v>65105</v>
      </c>
      <c r="D1622">
        <v>2023</v>
      </c>
      <c r="E1622" t="s">
        <v>97</v>
      </c>
      <c r="F1622" t="s">
        <v>159</v>
      </c>
      <c r="G1622" t="s">
        <v>160</v>
      </c>
      <c r="H1622" t="s">
        <v>89</v>
      </c>
      <c r="I1622">
        <v>8</v>
      </c>
      <c r="J1622" t="s">
        <v>72</v>
      </c>
      <c r="K1622">
        <v>4</v>
      </c>
      <c r="L1622" t="s">
        <v>44</v>
      </c>
      <c r="M1622">
        <v>5.3</v>
      </c>
      <c r="N1622" t="s">
        <v>91</v>
      </c>
      <c r="O1622" t="s">
        <v>46</v>
      </c>
      <c r="P1622">
        <v>4</v>
      </c>
      <c r="Q1622" t="s">
        <v>74</v>
      </c>
      <c r="R1622" t="s">
        <v>92</v>
      </c>
      <c r="S1622" t="s">
        <v>93</v>
      </c>
      <c r="U1622" t="s">
        <v>50</v>
      </c>
      <c r="W1622" t="s">
        <v>161</v>
      </c>
      <c r="X1622" t="s">
        <v>94</v>
      </c>
      <c r="Y1622" t="s">
        <v>78</v>
      </c>
      <c r="AA1622">
        <v>0</v>
      </c>
      <c r="AB1622" t="s">
        <v>79</v>
      </c>
      <c r="AC1622" t="s">
        <v>95</v>
      </c>
      <c r="AD1622">
        <v>36</v>
      </c>
      <c r="AE1622">
        <v>9</v>
      </c>
      <c r="AF1622">
        <v>3</v>
      </c>
      <c r="AG1622">
        <v>2025</v>
      </c>
      <c r="AH1622" s="2">
        <v>25750</v>
      </c>
      <c r="AI1622" s="2">
        <v>28143.484375</v>
      </c>
      <c r="AJ1622" s="2">
        <f t="shared" si="202"/>
        <v>2393.484375</v>
      </c>
      <c r="AK1622" s="6">
        <f t="shared" si="203"/>
        <v>9.2950849514563103E-2</v>
      </c>
      <c r="AL1622" s="12">
        <v>25750</v>
      </c>
      <c r="AM1622" s="12">
        <v>33216.321523983577</v>
      </c>
      <c r="AN1622" s="12">
        <f t="shared" si="204"/>
        <v>7466.3215239835772</v>
      </c>
      <c r="AO1622" s="13">
        <f t="shared" si="205"/>
        <v>0.28995423394110981</v>
      </c>
      <c r="AP1622" s="16">
        <v>25750</v>
      </c>
      <c r="AQ1622" s="16">
        <v>29292.387000708499</v>
      </c>
      <c r="AR1622" s="16">
        <f t="shared" si="206"/>
        <v>3542.3870007084988</v>
      </c>
      <c r="AS1622" s="17">
        <f t="shared" si="200"/>
        <v>0.13756842721198054</v>
      </c>
      <c r="AT1622" s="20">
        <v>25750</v>
      </c>
      <c r="AU1622" s="20">
        <v>28625.626953125</v>
      </c>
      <c r="AV1622" s="20">
        <f t="shared" si="201"/>
        <v>2875.626953125</v>
      </c>
      <c r="AW1622" s="21">
        <f t="shared" si="207"/>
        <v>0.11167483313106796</v>
      </c>
    </row>
    <row r="1623" spans="1:49" x14ac:dyDescent="0.25">
      <c r="A1623" t="s">
        <v>38</v>
      </c>
      <c r="B1623" t="s">
        <v>110</v>
      </c>
      <c r="C1623">
        <v>212887</v>
      </c>
      <c r="D1623">
        <v>2008</v>
      </c>
      <c r="E1623" t="s">
        <v>166</v>
      </c>
      <c r="F1623" t="s">
        <v>1221</v>
      </c>
      <c r="I1623">
        <v>4</v>
      </c>
      <c r="J1623" t="s">
        <v>43</v>
      </c>
      <c r="K1623">
        <v>4</v>
      </c>
      <c r="L1623" t="s">
        <v>44</v>
      </c>
      <c r="M1623">
        <v>1.5</v>
      </c>
      <c r="N1623" t="s">
        <v>45</v>
      </c>
      <c r="Q1623" t="s">
        <v>47</v>
      </c>
      <c r="R1623" t="s">
        <v>48</v>
      </c>
      <c r="T1623">
        <v>109</v>
      </c>
      <c r="U1623" t="s">
        <v>50</v>
      </c>
      <c r="V1623" t="s">
        <v>51</v>
      </c>
      <c r="W1623" t="s">
        <v>1222</v>
      </c>
      <c r="X1623" t="s">
        <v>53</v>
      </c>
      <c r="Y1623" t="s">
        <v>54</v>
      </c>
      <c r="AA1623">
        <v>0</v>
      </c>
      <c r="AB1623" t="s">
        <v>79</v>
      </c>
      <c r="AC1623" t="s">
        <v>359</v>
      </c>
      <c r="AD1623">
        <v>36</v>
      </c>
      <c r="AE1623">
        <v>9</v>
      </c>
      <c r="AF1623">
        <v>3</v>
      </c>
      <c r="AG1623">
        <v>2025</v>
      </c>
      <c r="AH1623" s="2">
        <v>1400</v>
      </c>
      <c r="AI1623" s="2">
        <v>1134.041870117188</v>
      </c>
      <c r="AJ1623" s="2">
        <f t="shared" si="202"/>
        <v>265.95812988281205</v>
      </c>
      <c r="AK1623" s="6">
        <f t="shared" si="203"/>
        <v>0.18997009277343718</v>
      </c>
      <c r="AL1623" s="12">
        <v>1400</v>
      </c>
      <c r="AM1623" s="12">
        <v>1390.4318390026319</v>
      </c>
      <c r="AN1623" s="12">
        <f t="shared" si="204"/>
        <v>9.5681609973680679</v>
      </c>
      <c r="AO1623" s="13">
        <f t="shared" si="205"/>
        <v>6.8344007124057629E-3</v>
      </c>
      <c r="AP1623" s="16">
        <v>1400</v>
      </c>
      <c r="AQ1623" s="16">
        <v>940.26360253629969</v>
      </c>
      <c r="AR1623" s="16">
        <f t="shared" si="206"/>
        <v>459.73639746370031</v>
      </c>
      <c r="AS1623" s="17">
        <f t="shared" si="200"/>
        <v>0.3283831410455002</v>
      </c>
      <c r="AT1623" s="20">
        <v>1400</v>
      </c>
      <c r="AU1623" s="20">
        <v>1125.732055664062</v>
      </c>
      <c r="AV1623" s="20">
        <f t="shared" si="201"/>
        <v>274.26794433593795</v>
      </c>
      <c r="AW1623" s="21">
        <f t="shared" si="207"/>
        <v>0.19590567452566995</v>
      </c>
    </row>
    <row r="1624" spans="1:49" x14ac:dyDescent="0.25">
      <c r="A1624" t="s">
        <v>38</v>
      </c>
      <c r="B1624" t="s">
        <v>96</v>
      </c>
      <c r="C1624">
        <v>38818</v>
      </c>
      <c r="D1624">
        <v>2024</v>
      </c>
      <c r="E1624" t="s">
        <v>69</v>
      </c>
      <c r="F1624" t="s">
        <v>873</v>
      </c>
      <c r="G1624" t="s">
        <v>447</v>
      </c>
      <c r="I1624">
        <v>4</v>
      </c>
      <c r="J1624" t="s">
        <v>122</v>
      </c>
      <c r="K1624">
        <v>4</v>
      </c>
      <c r="L1624" t="s">
        <v>44</v>
      </c>
      <c r="M1624">
        <v>2</v>
      </c>
      <c r="N1624" t="s">
        <v>44</v>
      </c>
      <c r="O1624" t="s">
        <v>46</v>
      </c>
      <c r="P1624">
        <v>5</v>
      </c>
      <c r="Q1624" t="s">
        <v>62</v>
      </c>
      <c r="R1624" t="s">
        <v>63</v>
      </c>
      <c r="S1624" t="s">
        <v>85</v>
      </c>
      <c r="U1624" t="s">
        <v>50</v>
      </c>
      <c r="V1624" t="s">
        <v>51</v>
      </c>
      <c r="W1624" t="s">
        <v>308</v>
      </c>
      <c r="X1624" t="s">
        <v>141</v>
      </c>
      <c r="Y1624" t="s">
        <v>103</v>
      </c>
      <c r="AA1624">
        <v>0</v>
      </c>
      <c r="AB1624" t="s">
        <v>79</v>
      </c>
      <c r="AC1624" t="s">
        <v>87</v>
      </c>
      <c r="AD1624">
        <v>36</v>
      </c>
      <c r="AE1624">
        <v>9</v>
      </c>
      <c r="AF1624">
        <v>3</v>
      </c>
      <c r="AG1624">
        <v>2025</v>
      </c>
      <c r="AH1624" s="2">
        <v>24250</v>
      </c>
      <c r="AI1624" s="2">
        <v>25226.87890625</v>
      </c>
      <c r="AJ1624" s="2">
        <f t="shared" si="202"/>
        <v>976.87890625</v>
      </c>
      <c r="AK1624" s="6">
        <f t="shared" si="203"/>
        <v>4.0283666237113401E-2</v>
      </c>
      <c r="AL1624" s="12">
        <v>24250</v>
      </c>
      <c r="AM1624" s="12">
        <v>27221.95016762158</v>
      </c>
      <c r="AN1624" s="12">
        <f t="shared" si="204"/>
        <v>2971.9501676215805</v>
      </c>
      <c r="AO1624" s="13">
        <f t="shared" si="205"/>
        <v>0.12255464608748785</v>
      </c>
      <c r="AP1624" s="16">
        <v>24250</v>
      </c>
      <c r="AQ1624" s="16">
        <v>22976.51542883501</v>
      </c>
      <c r="AR1624" s="16">
        <f t="shared" si="206"/>
        <v>1273.4845711649905</v>
      </c>
      <c r="AS1624" s="17">
        <f t="shared" si="200"/>
        <v>5.2514827676906822E-2</v>
      </c>
      <c r="AT1624" s="20">
        <v>24250</v>
      </c>
      <c r="AU1624" s="20">
        <v>25397.3828125</v>
      </c>
      <c r="AV1624" s="20">
        <f t="shared" si="201"/>
        <v>1147.3828125</v>
      </c>
      <c r="AW1624" s="21">
        <f t="shared" si="207"/>
        <v>4.7314755154639176E-2</v>
      </c>
    </row>
    <row r="1625" spans="1:49" x14ac:dyDescent="0.25">
      <c r="A1625" t="s">
        <v>38</v>
      </c>
      <c r="B1625" t="s">
        <v>39</v>
      </c>
      <c r="C1625">
        <v>135063</v>
      </c>
      <c r="D1625">
        <v>2018</v>
      </c>
      <c r="E1625" t="s">
        <v>119</v>
      </c>
      <c r="F1625" t="s">
        <v>958</v>
      </c>
      <c r="G1625" t="s">
        <v>1454</v>
      </c>
      <c r="I1625">
        <v>4</v>
      </c>
      <c r="J1625" t="s">
        <v>135</v>
      </c>
      <c r="K1625">
        <v>4</v>
      </c>
      <c r="L1625" t="s">
        <v>44</v>
      </c>
      <c r="M1625">
        <v>2</v>
      </c>
      <c r="N1625" t="s">
        <v>45</v>
      </c>
      <c r="O1625" t="s">
        <v>46</v>
      </c>
      <c r="Q1625" t="s">
        <v>62</v>
      </c>
      <c r="R1625" t="s">
        <v>63</v>
      </c>
      <c r="S1625" t="s">
        <v>101</v>
      </c>
      <c r="T1625">
        <v>184</v>
      </c>
      <c r="U1625" t="s">
        <v>50</v>
      </c>
      <c r="X1625" t="s">
        <v>141</v>
      </c>
      <c r="Y1625" t="s">
        <v>126</v>
      </c>
      <c r="Z1625">
        <v>26750</v>
      </c>
      <c r="AA1625">
        <v>0</v>
      </c>
      <c r="AB1625" t="s">
        <v>79</v>
      </c>
      <c r="AC1625" t="s">
        <v>109</v>
      </c>
      <c r="AD1625">
        <v>36</v>
      </c>
      <c r="AE1625">
        <v>9</v>
      </c>
      <c r="AF1625">
        <v>3</v>
      </c>
      <c r="AG1625">
        <v>2025</v>
      </c>
      <c r="AH1625" s="2">
        <v>6900</v>
      </c>
      <c r="AI1625" s="2">
        <v>4992.45556640625</v>
      </c>
      <c r="AJ1625" s="2">
        <f t="shared" si="202"/>
        <v>1907.54443359375</v>
      </c>
      <c r="AK1625" s="6">
        <f t="shared" si="203"/>
        <v>0.27645571501358696</v>
      </c>
      <c r="AL1625" s="12">
        <v>6900</v>
      </c>
      <c r="AM1625" s="12">
        <v>4219.0108028037585</v>
      </c>
      <c r="AN1625" s="12">
        <f t="shared" si="204"/>
        <v>2680.9891971962415</v>
      </c>
      <c r="AO1625" s="13">
        <f t="shared" si="205"/>
        <v>0.38854915901394804</v>
      </c>
      <c r="AP1625" s="16">
        <v>6900</v>
      </c>
      <c r="AQ1625" s="16">
        <v>4814.4499777172396</v>
      </c>
      <c r="AR1625" s="16">
        <f t="shared" si="206"/>
        <v>2085.5500222827604</v>
      </c>
      <c r="AS1625" s="17">
        <f t="shared" si="200"/>
        <v>0.30225362641779135</v>
      </c>
      <c r="AT1625" s="20">
        <v>6900</v>
      </c>
      <c r="AU1625" s="20">
        <v>5021.6611328125</v>
      </c>
      <c r="AV1625" s="20">
        <f t="shared" si="201"/>
        <v>1878.3388671875</v>
      </c>
      <c r="AW1625" s="21">
        <f t="shared" si="207"/>
        <v>0.27222302423007244</v>
      </c>
    </row>
    <row r="1626" spans="1:49" x14ac:dyDescent="0.25">
      <c r="A1626" t="s">
        <v>114</v>
      </c>
      <c r="B1626" t="s">
        <v>340</v>
      </c>
      <c r="C1626">
        <v>99815</v>
      </c>
      <c r="D1626">
        <v>2021</v>
      </c>
      <c r="E1626" t="s">
        <v>146</v>
      </c>
      <c r="F1626" t="s">
        <v>147</v>
      </c>
      <c r="G1626" t="s">
        <v>280</v>
      </c>
      <c r="I1626">
        <v>4</v>
      </c>
      <c r="J1626" t="s">
        <v>72</v>
      </c>
      <c r="K1626">
        <v>4</v>
      </c>
      <c r="L1626" t="s">
        <v>44</v>
      </c>
      <c r="M1626">
        <v>2.5</v>
      </c>
      <c r="N1626" t="s">
        <v>44</v>
      </c>
      <c r="O1626" t="s">
        <v>46</v>
      </c>
      <c r="P1626">
        <v>2</v>
      </c>
      <c r="Q1626" t="s">
        <v>62</v>
      </c>
      <c r="R1626" t="s">
        <v>63</v>
      </c>
      <c r="S1626" t="s">
        <v>93</v>
      </c>
      <c r="U1626" t="s">
        <v>50</v>
      </c>
      <c r="X1626" t="s">
        <v>65</v>
      </c>
      <c r="Y1626" t="s">
        <v>78</v>
      </c>
      <c r="AA1626">
        <v>0</v>
      </c>
      <c r="AB1626" t="s">
        <v>79</v>
      </c>
      <c r="AC1626" t="s">
        <v>87</v>
      </c>
      <c r="AD1626">
        <v>36</v>
      </c>
      <c r="AE1626">
        <v>9</v>
      </c>
      <c r="AF1626">
        <v>3</v>
      </c>
      <c r="AG1626">
        <v>2025</v>
      </c>
      <c r="AH1626" s="2">
        <v>8800</v>
      </c>
      <c r="AI1626" s="2">
        <v>9718.0556640625</v>
      </c>
      <c r="AJ1626" s="2">
        <f t="shared" si="202"/>
        <v>918.0556640625</v>
      </c>
      <c r="AK1626" s="6">
        <f t="shared" si="203"/>
        <v>0.10432450727982955</v>
      </c>
      <c r="AL1626" s="12">
        <v>8800</v>
      </c>
      <c r="AM1626" s="12">
        <v>9316.5758432721559</v>
      </c>
      <c r="AN1626" s="12">
        <f t="shared" si="204"/>
        <v>516.57584327215591</v>
      </c>
      <c r="AO1626" s="13">
        <f t="shared" si="205"/>
        <v>5.8701800371835901E-2</v>
      </c>
      <c r="AP1626" s="16">
        <v>8800</v>
      </c>
      <c r="AQ1626" s="16">
        <v>9640.6523733819613</v>
      </c>
      <c r="AR1626" s="16">
        <f t="shared" si="206"/>
        <v>840.6523733819613</v>
      </c>
      <c r="AS1626" s="17">
        <f t="shared" si="200"/>
        <v>9.5528678793404695E-2</v>
      </c>
      <c r="AT1626" s="20">
        <v>8800</v>
      </c>
      <c r="AU1626" s="20">
        <v>9710.087890625</v>
      </c>
      <c r="AV1626" s="20">
        <f t="shared" si="201"/>
        <v>910.087890625</v>
      </c>
      <c r="AW1626" s="21">
        <f t="shared" si="207"/>
        <v>0.10341907848011364</v>
      </c>
    </row>
    <row r="1627" spans="1:49" x14ac:dyDescent="0.25">
      <c r="A1627" t="s">
        <v>38</v>
      </c>
      <c r="B1627" t="s">
        <v>110</v>
      </c>
      <c r="C1627">
        <v>210007</v>
      </c>
      <c r="D1627">
        <v>2018</v>
      </c>
      <c r="E1627" t="s">
        <v>69</v>
      </c>
      <c r="F1627" t="s">
        <v>284</v>
      </c>
      <c r="G1627" t="s">
        <v>285</v>
      </c>
      <c r="I1627">
        <v>6</v>
      </c>
      <c r="J1627" t="s">
        <v>72</v>
      </c>
      <c r="K1627">
        <v>4</v>
      </c>
      <c r="L1627" t="s">
        <v>44</v>
      </c>
      <c r="M1627">
        <v>3.5</v>
      </c>
      <c r="N1627" t="s">
        <v>45</v>
      </c>
      <c r="O1627" t="s">
        <v>789</v>
      </c>
      <c r="Q1627" t="s">
        <v>62</v>
      </c>
      <c r="R1627" t="s">
        <v>63</v>
      </c>
      <c r="S1627" t="s">
        <v>101</v>
      </c>
      <c r="T1627">
        <v>287</v>
      </c>
      <c r="U1627" t="s">
        <v>50</v>
      </c>
      <c r="V1627" t="s">
        <v>76</v>
      </c>
      <c r="X1627" t="s">
        <v>141</v>
      </c>
      <c r="Y1627" t="s">
        <v>103</v>
      </c>
      <c r="Z1627">
        <v>32995</v>
      </c>
      <c r="AA1627">
        <v>0</v>
      </c>
      <c r="AB1627" t="s">
        <v>79</v>
      </c>
      <c r="AC1627" t="s">
        <v>109</v>
      </c>
      <c r="AD1627">
        <v>36</v>
      </c>
      <c r="AE1627">
        <v>9</v>
      </c>
      <c r="AF1627">
        <v>3</v>
      </c>
      <c r="AG1627">
        <v>2025</v>
      </c>
      <c r="AH1627" s="2">
        <v>1800</v>
      </c>
      <c r="AI1627" s="2">
        <v>1816.328125</v>
      </c>
      <c r="AJ1627" s="2">
        <f t="shared" si="202"/>
        <v>16.328125</v>
      </c>
      <c r="AK1627" s="6">
        <f t="shared" si="203"/>
        <v>9.0711805555555563E-3</v>
      </c>
      <c r="AL1627" s="12">
        <v>1800</v>
      </c>
      <c r="AM1627" s="12">
        <v>2009.62725864765</v>
      </c>
      <c r="AN1627" s="12">
        <f t="shared" si="204"/>
        <v>209.62725864765002</v>
      </c>
      <c r="AO1627" s="13">
        <f t="shared" si="205"/>
        <v>0.11645958813758335</v>
      </c>
      <c r="AP1627" s="16">
        <v>1800</v>
      </c>
      <c r="AQ1627" s="16">
        <v>1383.463349246168</v>
      </c>
      <c r="AR1627" s="16">
        <f t="shared" si="206"/>
        <v>416.53665075383196</v>
      </c>
      <c r="AS1627" s="17">
        <f t="shared" si="200"/>
        <v>0.23140925041879554</v>
      </c>
      <c r="AT1627" s="20">
        <v>1800</v>
      </c>
      <c r="AU1627" s="20">
        <v>1849.65234375</v>
      </c>
      <c r="AV1627" s="20">
        <f t="shared" si="201"/>
        <v>49.65234375</v>
      </c>
      <c r="AW1627" s="21">
        <f t="shared" si="207"/>
        <v>2.7584635416666666E-2</v>
      </c>
    </row>
    <row r="1628" spans="1:49" x14ac:dyDescent="0.25">
      <c r="A1628" t="s">
        <v>38</v>
      </c>
      <c r="B1628" t="s">
        <v>110</v>
      </c>
      <c r="C1628">
        <v>204002</v>
      </c>
      <c r="D1628">
        <v>2007</v>
      </c>
      <c r="E1628" t="s">
        <v>166</v>
      </c>
      <c r="F1628" t="s">
        <v>247</v>
      </c>
      <c r="G1628" t="s">
        <v>240</v>
      </c>
      <c r="I1628">
        <v>4</v>
      </c>
      <c r="J1628" t="s">
        <v>43</v>
      </c>
      <c r="K1628">
        <v>4</v>
      </c>
      <c r="L1628" t="s">
        <v>44</v>
      </c>
      <c r="M1628">
        <v>2.4</v>
      </c>
      <c r="N1628" t="s">
        <v>45</v>
      </c>
      <c r="Q1628" t="s">
        <v>62</v>
      </c>
      <c r="R1628" t="s">
        <v>63</v>
      </c>
      <c r="S1628" t="s">
        <v>49</v>
      </c>
      <c r="T1628">
        <v>166</v>
      </c>
      <c r="U1628" t="s">
        <v>50</v>
      </c>
      <c r="V1628" t="s">
        <v>51</v>
      </c>
      <c r="W1628" t="s">
        <v>1008</v>
      </c>
      <c r="X1628" t="s">
        <v>65</v>
      </c>
      <c r="Y1628" t="s">
        <v>54</v>
      </c>
      <c r="AA1628">
        <v>0</v>
      </c>
      <c r="AB1628" t="s">
        <v>79</v>
      </c>
      <c r="AC1628" t="s">
        <v>87</v>
      </c>
      <c r="AD1628">
        <v>36</v>
      </c>
      <c r="AE1628">
        <v>9</v>
      </c>
      <c r="AF1628">
        <v>3</v>
      </c>
      <c r="AG1628">
        <v>2025</v>
      </c>
      <c r="AH1628" s="2">
        <v>3000</v>
      </c>
      <c r="AI1628" s="2">
        <v>1375.9501953125</v>
      </c>
      <c r="AJ1628" s="2">
        <f t="shared" si="202"/>
        <v>1624.0498046875</v>
      </c>
      <c r="AK1628" s="6">
        <f t="shared" si="203"/>
        <v>0.54134993489583338</v>
      </c>
      <c r="AL1628" s="12">
        <v>3000</v>
      </c>
      <c r="AM1628" s="12">
        <v>1785.9871958217229</v>
      </c>
      <c r="AN1628" s="12">
        <f t="shared" si="204"/>
        <v>1214.0128041782771</v>
      </c>
      <c r="AO1628" s="13">
        <f t="shared" si="205"/>
        <v>0.40467093472609234</v>
      </c>
      <c r="AP1628" s="16">
        <v>3000</v>
      </c>
      <c r="AQ1628" s="16">
        <v>1396.898597143271</v>
      </c>
      <c r="AR1628" s="16">
        <f t="shared" si="206"/>
        <v>1603.101402856729</v>
      </c>
      <c r="AS1628" s="17">
        <f t="shared" si="200"/>
        <v>0.53436713428557636</v>
      </c>
      <c r="AT1628" s="20">
        <v>3000</v>
      </c>
      <c r="AU1628" s="20">
        <v>1398.106201171875</v>
      </c>
      <c r="AV1628" s="20">
        <f t="shared" si="201"/>
        <v>1601.893798828125</v>
      </c>
      <c r="AW1628" s="21">
        <f t="shared" si="207"/>
        <v>0.53396459960937503</v>
      </c>
    </row>
    <row r="1629" spans="1:49" x14ac:dyDescent="0.25">
      <c r="A1629" t="s">
        <v>38</v>
      </c>
      <c r="B1629" t="s">
        <v>39</v>
      </c>
      <c r="C1629">
        <v>153074</v>
      </c>
      <c r="D1629">
        <v>2007</v>
      </c>
      <c r="E1629" t="s">
        <v>142</v>
      </c>
      <c r="F1629" t="s">
        <v>633</v>
      </c>
      <c r="G1629" t="s">
        <v>1428</v>
      </c>
      <c r="H1629" t="s">
        <v>715</v>
      </c>
      <c r="I1629">
        <v>6</v>
      </c>
      <c r="J1629" t="s">
        <v>135</v>
      </c>
      <c r="K1629">
        <v>4</v>
      </c>
      <c r="L1629" t="s">
        <v>44</v>
      </c>
      <c r="M1629">
        <v>3.8</v>
      </c>
      <c r="N1629" t="s">
        <v>91</v>
      </c>
      <c r="Q1629" t="s">
        <v>62</v>
      </c>
      <c r="R1629" t="s">
        <v>63</v>
      </c>
      <c r="S1629" t="s">
        <v>93</v>
      </c>
      <c r="U1629" t="s">
        <v>50</v>
      </c>
      <c r="V1629" t="s">
        <v>76</v>
      </c>
      <c r="X1629" t="s">
        <v>141</v>
      </c>
      <c r="Y1629" t="s">
        <v>78</v>
      </c>
      <c r="AA1629">
        <v>0</v>
      </c>
      <c r="AB1629" t="s">
        <v>79</v>
      </c>
      <c r="AC1629" t="s">
        <v>87</v>
      </c>
      <c r="AD1629">
        <v>36</v>
      </c>
      <c r="AE1629">
        <v>9</v>
      </c>
      <c r="AF1629">
        <v>3</v>
      </c>
      <c r="AG1629">
        <v>2025</v>
      </c>
      <c r="AH1629" s="2">
        <v>5750</v>
      </c>
      <c r="AI1629" s="2">
        <v>4860.42138671875</v>
      </c>
      <c r="AJ1629" s="2">
        <f t="shared" si="202"/>
        <v>889.57861328125</v>
      </c>
      <c r="AK1629" s="6">
        <f t="shared" si="203"/>
        <v>0.15470932404891305</v>
      </c>
      <c r="AL1629" s="12">
        <v>5750</v>
      </c>
      <c r="AM1629" s="12">
        <v>4132.4121781969116</v>
      </c>
      <c r="AN1629" s="12">
        <f t="shared" si="204"/>
        <v>1617.5878218030884</v>
      </c>
      <c r="AO1629" s="13">
        <f t="shared" si="205"/>
        <v>0.2813196211831458</v>
      </c>
      <c r="AP1629" s="16">
        <v>5750</v>
      </c>
      <c r="AQ1629" s="16">
        <v>4304.4949713013666</v>
      </c>
      <c r="AR1629" s="16">
        <f t="shared" si="206"/>
        <v>1445.5050286986334</v>
      </c>
      <c r="AS1629" s="17">
        <f t="shared" si="200"/>
        <v>0.25139217890411014</v>
      </c>
      <c r="AT1629" s="20">
        <v>5750</v>
      </c>
      <c r="AU1629" s="20">
        <v>4851.26904296875</v>
      </c>
      <c r="AV1629" s="20">
        <f t="shared" si="201"/>
        <v>898.73095703125</v>
      </c>
      <c r="AW1629" s="21">
        <f t="shared" si="207"/>
        <v>0.1563010360054348</v>
      </c>
    </row>
    <row r="1630" spans="1:49" x14ac:dyDescent="0.25">
      <c r="A1630" t="s">
        <v>38</v>
      </c>
      <c r="B1630" t="s">
        <v>96</v>
      </c>
      <c r="C1630">
        <v>169253</v>
      </c>
      <c r="D1630">
        <v>2017</v>
      </c>
      <c r="E1630" t="s">
        <v>305</v>
      </c>
      <c r="F1630" t="s">
        <v>733</v>
      </c>
      <c r="H1630" t="s">
        <v>364</v>
      </c>
      <c r="I1630">
        <v>4</v>
      </c>
      <c r="J1630" t="s">
        <v>178</v>
      </c>
      <c r="K1630">
        <v>4</v>
      </c>
      <c r="L1630" t="s">
        <v>44</v>
      </c>
      <c r="M1630">
        <v>2</v>
      </c>
      <c r="N1630" t="s">
        <v>45</v>
      </c>
      <c r="O1630" t="s">
        <v>100</v>
      </c>
      <c r="P1630">
        <v>1</v>
      </c>
      <c r="Q1630" t="s">
        <v>62</v>
      </c>
      <c r="R1630" t="s">
        <v>63</v>
      </c>
      <c r="S1630" t="s">
        <v>49</v>
      </c>
      <c r="T1630">
        <v>237</v>
      </c>
      <c r="U1630" t="s">
        <v>50</v>
      </c>
      <c r="V1630" t="s">
        <v>51</v>
      </c>
      <c r="W1630" t="s">
        <v>1270</v>
      </c>
      <c r="X1630" t="s">
        <v>65</v>
      </c>
      <c r="Y1630" t="s">
        <v>78</v>
      </c>
      <c r="Z1630">
        <v>32880</v>
      </c>
      <c r="AA1630">
        <v>0</v>
      </c>
      <c r="AB1630" t="s">
        <v>79</v>
      </c>
      <c r="AC1630" t="s">
        <v>87</v>
      </c>
      <c r="AD1630">
        <v>36</v>
      </c>
      <c r="AE1630">
        <v>9</v>
      </c>
      <c r="AF1630">
        <v>3</v>
      </c>
      <c r="AG1630">
        <v>2025</v>
      </c>
      <c r="AH1630" s="2">
        <v>2400</v>
      </c>
      <c r="AI1630" s="2">
        <v>1355.204467773438</v>
      </c>
      <c r="AJ1630" s="2">
        <f t="shared" si="202"/>
        <v>1044.795532226562</v>
      </c>
      <c r="AK1630" s="6">
        <f t="shared" si="203"/>
        <v>0.43533147176106751</v>
      </c>
      <c r="AL1630" s="12">
        <v>2400</v>
      </c>
      <c r="AM1630" s="12">
        <v>1462.045659519943</v>
      </c>
      <c r="AN1630" s="12">
        <f t="shared" si="204"/>
        <v>937.954340480057</v>
      </c>
      <c r="AO1630" s="13">
        <f t="shared" si="205"/>
        <v>0.39081430853335708</v>
      </c>
      <c r="AP1630" s="16">
        <v>2400</v>
      </c>
      <c r="AQ1630" s="16">
        <v>1699.61073018958</v>
      </c>
      <c r="AR1630" s="16">
        <f t="shared" si="206"/>
        <v>700.38926981042005</v>
      </c>
      <c r="AS1630" s="17">
        <f t="shared" si="200"/>
        <v>0.29182886242100836</v>
      </c>
      <c r="AT1630" s="20">
        <v>2400</v>
      </c>
      <c r="AU1630" s="20">
        <v>1342.913940429688</v>
      </c>
      <c r="AV1630" s="20">
        <f t="shared" si="201"/>
        <v>1057.086059570312</v>
      </c>
      <c r="AW1630" s="21">
        <f t="shared" si="207"/>
        <v>0.44045252482096336</v>
      </c>
    </row>
    <row r="1631" spans="1:49" x14ac:dyDescent="0.25">
      <c r="A1631" t="s">
        <v>38</v>
      </c>
      <c r="B1631" t="s">
        <v>96</v>
      </c>
      <c r="C1631">
        <v>160241</v>
      </c>
      <c r="D1631">
        <v>2017</v>
      </c>
      <c r="E1631" t="s">
        <v>557</v>
      </c>
      <c r="F1631" t="s">
        <v>940</v>
      </c>
      <c r="G1631" t="s">
        <v>1135</v>
      </c>
      <c r="I1631">
        <v>6</v>
      </c>
      <c r="J1631" t="s">
        <v>122</v>
      </c>
      <c r="K1631">
        <v>4</v>
      </c>
      <c r="L1631" t="s">
        <v>44</v>
      </c>
      <c r="M1631">
        <v>3.6</v>
      </c>
      <c r="N1631" t="s">
        <v>45</v>
      </c>
      <c r="O1631" t="s">
        <v>789</v>
      </c>
      <c r="Q1631" t="s">
        <v>62</v>
      </c>
      <c r="R1631" t="s">
        <v>225</v>
      </c>
      <c r="S1631" t="s">
        <v>101</v>
      </c>
      <c r="T1631">
        <v>287</v>
      </c>
      <c r="U1631" t="s">
        <v>50</v>
      </c>
      <c r="V1631" t="s">
        <v>76</v>
      </c>
      <c r="X1631" t="s">
        <v>94</v>
      </c>
      <c r="Y1631" t="s">
        <v>103</v>
      </c>
      <c r="Z1631">
        <v>34995</v>
      </c>
      <c r="AA1631">
        <v>0</v>
      </c>
      <c r="AB1631" t="s">
        <v>79</v>
      </c>
      <c r="AC1631" t="s">
        <v>225</v>
      </c>
      <c r="AD1631">
        <v>36</v>
      </c>
      <c r="AE1631">
        <v>9</v>
      </c>
      <c r="AF1631">
        <v>3</v>
      </c>
      <c r="AG1631">
        <v>2025</v>
      </c>
      <c r="AH1631" s="2">
        <v>1500</v>
      </c>
      <c r="AI1631" s="2">
        <v>2341.47900390625</v>
      </c>
      <c r="AJ1631" s="2">
        <f t="shared" si="202"/>
        <v>841.47900390625</v>
      </c>
      <c r="AK1631" s="6">
        <f t="shared" si="203"/>
        <v>0.56098600260416664</v>
      </c>
      <c r="AL1631" s="12">
        <v>1500</v>
      </c>
      <c r="AM1631" s="12">
        <v>2565.358816528309</v>
      </c>
      <c r="AN1631" s="12">
        <f t="shared" si="204"/>
        <v>1065.358816528309</v>
      </c>
      <c r="AO1631" s="13">
        <f t="shared" si="205"/>
        <v>0.71023921101887266</v>
      </c>
      <c r="AP1631" s="16">
        <v>1500</v>
      </c>
      <c r="AQ1631" s="16">
        <v>2527.2214391335751</v>
      </c>
      <c r="AR1631" s="16">
        <f t="shared" si="206"/>
        <v>1027.2214391335751</v>
      </c>
      <c r="AS1631" s="17">
        <f t="shared" si="200"/>
        <v>0.6848142927557167</v>
      </c>
      <c r="AT1631" s="20">
        <v>1500</v>
      </c>
      <c r="AU1631" s="20">
        <v>2370.853759765625</v>
      </c>
      <c r="AV1631" s="20">
        <f t="shared" si="201"/>
        <v>870.853759765625</v>
      </c>
      <c r="AW1631" s="21">
        <f t="shared" si="207"/>
        <v>0.58056917317708334</v>
      </c>
    </row>
    <row r="1632" spans="1:49" x14ac:dyDescent="0.25">
      <c r="A1632" t="s">
        <v>38</v>
      </c>
      <c r="B1632" t="s">
        <v>96</v>
      </c>
      <c r="C1632">
        <v>109847</v>
      </c>
      <c r="D1632">
        <v>2021</v>
      </c>
      <c r="E1632" t="s">
        <v>146</v>
      </c>
      <c r="F1632" t="s">
        <v>451</v>
      </c>
      <c r="G1632" t="s">
        <v>280</v>
      </c>
      <c r="I1632">
        <v>4</v>
      </c>
      <c r="J1632" t="s">
        <v>61</v>
      </c>
      <c r="K1632">
        <v>4</v>
      </c>
      <c r="L1632" t="s">
        <v>44</v>
      </c>
      <c r="M1632">
        <v>1.6</v>
      </c>
      <c r="N1632" t="s">
        <v>45</v>
      </c>
      <c r="O1632" t="s">
        <v>46</v>
      </c>
      <c r="P1632">
        <v>3</v>
      </c>
      <c r="Q1632" t="s">
        <v>47</v>
      </c>
      <c r="R1632" t="s">
        <v>123</v>
      </c>
      <c r="S1632" t="s">
        <v>49</v>
      </c>
      <c r="U1632" t="s">
        <v>50</v>
      </c>
      <c r="X1632" t="s">
        <v>125</v>
      </c>
      <c r="Y1632" t="s">
        <v>126</v>
      </c>
      <c r="AA1632">
        <v>0</v>
      </c>
      <c r="AB1632" t="s">
        <v>79</v>
      </c>
      <c r="AC1632" t="s">
        <v>127</v>
      </c>
      <c r="AD1632">
        <v>36</v>
      </c>
      <c r="AE1632">
        <v>9</v>
      </c>
      <c r="AF1632">
        <v>3</v>
      </c>
      <c r="AG1632">
        <v>2025</v>
      </c>
      <c r="AH1632" s="2">
        <v>4200</v>
      </c>
      <c r="AI1632" s="2">
        <v>4737.47412109375</v>
      </c>
      <c r="AJ1632" s="2">
        <f t="shared" si="202"/>
        <v>537.47412109375</v>
      </c>
      <c r="AK1632" s="6">
        <f t="shared" si="203"/>
        <v>0.12797002883184525</v>
      </c>
      <c r="AL1632" s="12">
        <v>4200</v>
      </c>
      <c r="AM1632" s="12">
        <v>6403.2604366193918</v>
      </c>
      <c r="AN1632" s="12">
        <f t="shared" si="204"/>
        <v>2203.2604366193918</v>
      </c>
      <c r="AO1632" s="13">
        <f t="shared" si="205"/>
        <v>0.52458581824271233</v>
      </c>
      <c r="AP1632" s="16">
        <v>4200</v>
      </c>
      <c r="AQ1632" s="16">
        <v>5821.4532968592903</v>
      </c>
      <c r="AR1632" s="16">
        <f t="shared" si="206"/>
        <v>1621.4532968592903</v>
      </c>
      <c r="AS1632" s="17">
        <f t="shared" si="200"/>
        <v>0.38606030877602149</v>
      </c>
      <c r="AT1632" s="20">
        <v>4200</v>
      </c>
      <c r="AU1632" s="20">
        <v>4890.70654296875</v>
      </c>
      <c r="AV1632" s="20">
        <f t="shared" si="201"/>
        <v>690.70654296875</v>
      </c>
      <c r="AW1632" s="21">
        <f t="shared" si="207"/>
        <v>0.16445393880208334</v>
      </c>
    </row>
    <row r="1633" spans="1:49" x14ac:dyDescent="0.25">
      <c r="A1633" t="s">
        <v>38</v>
      </c>
      <c r="B1633" t="s">
        <v>96</v>
      </c>
      <c r="C1633">
        <v>112840</v>
      </c>
      <c r="D1633">
        <v>2018</v>
      </c>
      <c r="E1633" t="s">
        <v>40</v>
      </c>
      <c r="F1633" t="s">
        <v>524</v>
      </c>
      <c r="G1633" t="s">
        <v>1455</v>
      </c>
      <c r="H1633" t="s">
        <v>825</v>
      </c>
      <c r="I1633">
        <v>6</v>
      </c>
      <c r="J1633" t="s">
        <v>72</v>
      </c>
      <c r="K1633">
        <v>4</v>
      </c>
      <c r="L1633" t="s">
        <v>44</v>
      </c>
      <c r="M1633">
        <v>3.5</v>
      </c>
      <c r="N1633" t="s">
        <v>45</v>
      </c>
      <c r="O1633" t="s">
        <v>46</v>
      </c>
      <c r="P1633">
        <v>2</v>
      </c>
      <c r="Q1633" t="s">
        <v>47</v>
      </c>
      <c r="R1633" t="s">
        <v>123</v>
      </c>
      <c r="S1633" t="s">
        <v>49</v>
      </c>
      <c r="T1633">
        <v>268</v>
      </c>
      <c r="U1633" t="s">
        <v>50</v>
      </c>
      <c r="V1633" t="s">
        <v>76</v>
      </c>
      <c r="W1633" t="s">
        <v>290</v>
      </c>
      <c r="X1633" t="s">
        <v>125</v>
      </c>
      <c r="Y1633" t="s">
        <v>78</v>
      </c>
      <c r="Z1633">
        <v>33500</v>
      </c>
      <c r="AA1633">
        <v>0</v>
      </c>
      <c r="AB1633" t="s">
        <v>79</v>
      </c>
      <c r="AC1633" t="s">
        <v>127</v>
      </c>
      <c r="AD1633">
        <v>36</v>
      </c>
      <c r="AE1633">
        <v>9</v>
      </c>
      <c r="AF1633">
        <v>3</v>
      </c>
      <c r="AG1633">
        <v>2025</v>
      </c>
      <c r="AH1633" s="2">
        <v>11500</v>
      </c>
      <c r="AI1633" s="2">
        <v>7103.966796875</v>
      </c>
      <c r="AJ1633" s="2">
        <f t="shared" si="202"/>
        <v>4396.033203125</v>
      </c>
      <c r="AK1633" s="6">
        <f t="shared" si="203"/>
        <v>0.38226375679347824</v>
      </c>
      <c r="AL1633" s="12">
        <v>11500</v>
      </c>
      <c r="AM1633" s="12">
        <v>9017.1494130104093</v>
      </c>
      <c r="AN1633" s="12">
        <f t="shared" si="204"/>
        <v>2482.8505869895907</v>
      </c>
      <c r="AO1633" s="13">
        <f t="shared" si="205"/>
        <v>0.21590005104257312</v>
      </c>
      <c r="AP1633" s="16">
        <v>11500</v>
      </c>
      <c r="AQ1633" s="16">
        <v>6956.4730997860161</v>
      </c>
      <c r="AR1633" s="16">
        <f t="shared" si="206"/>
        <v>4543.5269002139839</v>
      </c>
      <c r="AS1633" s="17">
        <f t="shared" si="200"/>
        <v>0.39508929567078122</v>
      </c>
      <c r="AT1633" s="20">
        <v>11500</v>
      </c>
      <c r="AU1633" s="20">
        <v>7493.384765625</v>
      </c>
      <c r="AV1633" s="20">
        <f t="shared" si="201"/>
        <v>4006.615234375</v>
      </c>
      <c r="AW1633" s="21">
        <f t="shared" si="207"/>
        <v>0.34840132472826085</v>
      </c>
    </row>
    <row r="1634" spans="1:49" x14ac:dyDescent="0.25">
      <c r="A1634" t="s">
        <v>38</v>
      </c>
      <c r="B1634" t="s">
        <v>110</v>
      </c>
      <c r="C1634">
        <v>78512</v>
      </c>
      <c r="D1634">
        <v>2021</v>
      </c>
      <c r="E1634" t="s">
        <v>263</v>
      </c>
      <c r="F1634" t="s">
        <v>264</v>
      </c>
      <c r="G1634" t="s">
        <v>168</v>
      </c>
      <c r="I1634">
        <v>4</v>
      </c>
      <c r="J1634" t="s">
        <v>43</v>
      </c>
      <c r="K1634">
        <v>4</v>
      </c>
      <c r="L1634" t="s">
        <v>44</v>
      </c>
      <c r="M1634">
        <v>2.5</v>
      </c>
      <c r="N1634" t="s">
        <v>45</v>
      </c>
      <c r="O1634" t="s">
        <v>46</v>
      </c>
      <c r="P1634">
        <v>3</v>
      </c>
      <c r="Q1634" t="s">
        <v>62</v>
      </c>
      <c r="R1634" t="s">
        <v>63</v>
      </c>
      <c r="S1634" t="s">
        <v>49</v>
      </c>
      <c r="T1634">
        <v>187</v>
      </c>
      <c r="U1634" t="s">
        <v>50</v>
      </c>
      <c r="V1634" t="s">
        <v>51</v>
      </c>
      <c r="W1634" t="s">
        <v>1456</v>
      </c>
      <c r="X1634" t="s">
        <v>65</v>
      </c>
      <c r="Y1634" t="s">
        <v>54</v>
      </c>
      <c r="AA1634">
        <v>0</v>
      </c>
      <c r="AB1634" t="s">
        <v>79</v>
      </c>
      <c r="AC1634" t="s">
        <v>87</v>
      </c>
      <c r="AD1634">
        <v>36</v>
      </c>
      <c r="AE1634">
        <v>9</v>
      </c>
      <c r="AF1634">
        <v>3</v>
      </c>
      <c r="AG1634">
        <v>2025</v>
      </c>
      <c r="AH1634" s="2">
        <v>13000</v>
      </c>
      <c r="AI1634" s="2">
        <v>13874.4462890625</v>
      </c>
      <c r="AJ1634" s="2">
        <f t="shared" si="202"/>
        <v>874.4462890625</v>
      </c>
      <c r="AK1634" s="6">
        <f t="shared" si="203"/>
        <v>6.7265099158653849E-2</v>
      </c>
      <c r="AL1634" s="12">
        <v>13000</v>
      </c>
      <c r="AM1634" s="12">
        <v>12991.228464139869</v>
      </c>
      <c r="AN1634" s="12">
        <f t="shared" si="204"/>
        <v>8.7715358601308253</v>
      </c>
      <c r="AO1634" s="13">
        <f t="shared" si="205"/>
        <v>6.7473352770237123E-4</v>
      </c>
      <c r="AP1634" s="16">
        <v>13000</v>
      </c>
      <c r="AQ1634" s="16">
        <v>11153.21117736232</v>
      </c>
      <c r="AR1634" s="16">
        <f t="shared" si="206"/>
        <v>1846.7888226376799</v>
      </c>
      <c r="AS1634" s="17">
        <f t="shared" si="200"/>
        <v>0.14206067866443692</v>
      </c>
      <c r="AT1634" s="20">
        <v>13000</v>
      </c>
      <c r="AU1634" s="20">
        <v>13737.1669921875</v>
      </c>
      <c r="AV1634" s="20">
        <f t="shared" si="201"/>
        <v>737.1669921875</v>
      </c>
      <c r="AW1634" s="21">
        <f t="shared" si="207"/>
        <v>5.6705153245192305E-2</v>
      </c>
    </row>
    <row r="1635" spans="1:49" x14ac:dyDescent="0.25">
      <c r="A1635" t="s">
        <v>38</v>
      </c>
      <c r="B1635" t="s">
        <v>39</v>
      </c>
      <c r="C1635">
        <v>242366</v>
      </c>
      <c r="D1635">
        <v>2005</v>
      </c>
      <c r="E1635" t="s">
        <v>174</v>
      </c>
      <c r="F1635" t="s">
        <v>314</v>
      </c>
      <c r="H1635" t="s">
        <v>781</v>
      </c>
      <c r="I1635">
        <v>8</v>
      </c>
      <c r="J1635" t="s">
        <v>72</v>
      </c>
      <c r="K1635">
        <v>4</v>
      </c>
      <c r="L1635" t="s">
        <v>44</v>
      </c>
      <c r="M1635">
        <v>5.3</v>
      </c>
      <c r="N1635" t="s">
        <v>73</v>
      </c>
      <c r="O1635" t="s">
        <v>46</v>
      </c>
      <c r="Q1635" t="s">
        <v>74</v>
      </c>
      <c r="R1635" t="s">
        <v>92</v>
      </c>
      <c r="S1635" t="s">
        <v>49</v>
      </c>
      <c r="V1635" t="s">
        <v>76</v>
      </c>
      <c r="W1635" t="s">
        <v>762</v>
      </c>
      <c r="X1635" t="s">
        <v>94</v>
      </c>
      <c r="Y1635" t="s">
        <v>103</v>
      </c>
      <c r="AA1635">
        <v>0</v>
      </c>
      <c r="AB1635" t="s">
        <v>79</v>
      </c>
      <c r="AC1635" t="s">
        <v>95</v>
      </c>
      <c r="AD1635">
        <v>36</v>
      </c>
      <c r="AE1635">
        <v>9</v>
      </c>
      <c r="AF1635">
        <v>3</v>
      </c>
      <c r="AG1635">
        <v>2025</v>
      </c>
      <c r="AH1635" s="2">
        <v>2900</v>
      </c>
      <c r="AI1635" s="2">
        <v>2349.302001953125</v>
      </c>
      <c r="AJ1635" s="2">
        <f t="shared" si="202"/>
        <v>550.697998046875</v>
      </c>
      <c r="AK1635" s="6">
        <f t="shared" si="203"/>
        <v>0.18989586139547412</v>
      </c>
      <c r="AL1635" s="12">
        <v>2900</v>
      </c>
      <c r="AM1635" s="12">
        <v>2382.13599202147</v>
      </c>
      <c r="AN1635" s="12">
        <f t="shared" si="204"/>
        <v>517.86400797853003</v>
      </c>
      <c r="AO1635" s="13">
        <f t="shared" si="205"/>
        <v>0.17857379585466551</v>
      </c>
      <c r="AP1635" s="16">
        <v>2900</v>
      </c>
      <c r="AQ1635" s="16">
        <v>2361.5441007332879</v>
      </c>
      <c r="AR1635" s="16">
        <f t="shared" si="206"/>
        <v>538.45589926671209</v>
      </c>
      <c r="AS1635" s="17">
        <f t="shared" si="200"/>
        <v>0.18567444802300417</v>
      </c>
      <c r="AT1635" s="20">
        <v>2900</v>
      </c>
      <c r="AU1635" s="20">
        <v>2373.1826171875</v>
      </c>
      <c r="AV1635" s="20">
        <f t="shared" si="201"/>
        <v>526.8173828125</v>
      </c>
      <c r="AW1635" s="21">
        <f t="shared" si="207"/>
        <v>0.18166116648706895</v>
      </c>
    </row>
    <row r="1636" spans="1:49" x14ac:dyDescent="0.25">
      <c r="A1636" t="s">
        <v>38</v>
      </c>
      <c r="B1636" t="s">
        <v>96</v>
      </c>
      <c r="C1636">
        <v>20653</v>
      </c>
      <c r="D1636">
        <v>2024</v>
      </c>
      <c r="E1636" t="s">
        <v>69</v>
      </c>
      <c r="F1636" t="s">
        <v>873</v>
      </c>
      <c r="G1636" t="s">
        <v>285</v>
      </c>
      <c r="I1636">
        <v>4</v>
      </c>
      <c r="J1636" t="s">
        <v>122</v>
      </c>
      <c r="K1636">
        <v>4</v>
      </c>
      <c r="L1636" t="s">
        <v>44</v>
      </c>
      <c r="M1636">
        <v>2</v>
      </c>
      <c r="N1636" t="s">
        <v>44</v>
      </c>
      <c r="O1636" t="s">
        <v>46</v>
      </c>
      <c r="P1636">
        <v>4</v>
      </c>
      <c r="Q1636" t="s">
        <v>62</v>
      </c>
      <c r="R1636" t="s">
        <v>63</v>
      </c>
      <c r="S1636" t="s">
        <v>85</v>
      </c>
      <c r="U1636" t="s">
        <v>50</v>
      </c>
      <c r="V1636" t="s">
        <v>51</v>
      </c>
      <c r="W1636" t="s">
        <v>308</v>
      </c>
      <c r="X1636" t="s">
        <v>141</v>
      </c>
      <c r="Y1636" t="s">
        <v>103</v>
      </c>
      <c r="AA1636">
        <v>0</v>
      </c>
      <c r="AB1636" t="s">
        <v>79</v>
      </c>
      <c r="AC1636" t="s">
        <v>87</v>
      </c>
      <c r="AD1636">
        <v>36</v>
      </c>
      <c r="AE1636">
        <v>9</v>
      </c>
      <c r="AF1636">
        <v>3</v>
      </c>
      <c r="AG1636">
        <v>2025</v>
      </c>
      <c r="AH1636" s="2">
        <v>23500</v>
      </c>
      <c r="AI1636" s="2">
        <v>24536.0078125</v>
      </c>
      <c r="AJ1636" s="2">
        <f t="shared" si="202"/>
        <v>1036.0078125</v>
      </c>
      <c r="AK1636" s="6">
        <f t="shared" si="203"/>
        <v>4.4085438829787237E-2</v>
      </c>
      <c r="AL1636" s="12">
        <v>23500</v>
      </c>
      <c r="AM1636" s="12">
        <v>27368.62923538408</v>
      </c>
      <c r="AN1636" s="12">
        <f t="shared" si="204"/>
        <v>3868.6292353840799</v>
      </c>
      <c r="AO1636" s="13">
        <f t="shared" si="205"/>
        <v>0.1646225206546417</v>
      </c>
      <c r="AP1636" s="16">
        <v>23500</v>
      </c>
      <c r="AQ1636" s="16">
        <v>22301.14272293738</v>
      </c>
      <c r="AR1636" s="16">
        <f t="shared" si="206"/>
        <v>1198.8572770626197</v>
      </c>
      <c r="AS1636" s="17">
        <f t="shared" si="200"/>
        <v>5.1015203279260415E-2</v>
      </c>
      <c r="AT1636" s="20">
        <v>23500</v>
      </c>
      <c r="AU1636" s="20">
        <v>25000.541015625</v>
      </c>
      <c r="AV1636" s="20">
        <f t="shared" si="201"/>
        <v>1500.541015625</v>
      </c>
      <c r="AW1636" s="21">
        <f t="shared" si="207"/>
        <v>6.3852809175531919E-2</v>
      </c>
    </row>
    <row r="1637" spans="1:49" x14ac:dyDescent="0.25">
      <c r="A1637" t="s">
        <v>128</v>
      </c>
      <c r="B1637" t="s">
        <v>129</v>
      </c>
      <c r="C1637">
        <v>80768</v>
      </c>
      <c r="D1637">
        <v>2015</v>
      </c>
      <c r="E1637" t="s">
        <v>58</v>
      </c>
      <c r="F1637" t="s">
        <v>111</v>
      </c>
      <c r="G1637" t="s">
        <v>894</v>
      </c>
      <c r="I1637">
        <v>4</v>
      </c>
      <c r="J1637" t="s">
        <v>135</v>
      </c>
      <c r="K1637">
        <v>4</v>
      </c>
      <c r="L1637" t="s">
        <v>44</v>
      </c>
      <c r="M1637">
        <v>1.6</v>
      </c>
      <c r="N1637" t="s">
        <v>45</v>
      </c>
      <c r="Q1637" t="s">
        <v>62</v>
      </c>
      <c r="R1637" t="s">
        <v>63</v>
      </c>
      <c r="U1637" t="s">
        <v>50</v>
      </c>
      <c r="W1637" t="s">
        <v>207</v>
      </c>
      <c r="X1637" t="s">
        <v>53</v>
      </c>
      <c r="Y1637" t="s">
        <v>66</v>
      </c>
      <c r="AA1637">
        <v>0</v>
      </c>
      <c r="AB1637" t="s">
        <v>79</v>
      </c>
      <c r="AC1637" t="s">
        <v>87</v>
      </c>
      <c r="AD1637">
        <v>36</v>
      </c>
      <c r="AE1637">
        <v>9</v>
      </c>
      <c r="AF1637">
        <v>3</v>
      </c>
      <c r="AG1637">
        <v>2025</v>
      </c>
      <c r="AH1637" s="2">
        <v>6500</v>
      </c>
      <c r="AI1637" s="2">
        <v>3871.065185546875</v>
      </c>
      <c r="AJ1637" s="2">
        <f t="shared" si="202"/>
        <v>2628.934814453125</v>
      </c>
      <c r="AK1637" s="6">
        <f t="shared" si="203"/>
        <v>0.40445150991586537</v>
      </c>
      <c r="AL1637" s="12">
        <v>6500</v>
      </c>
      <c r="AM1637" s="12">
        <v>4609.2825963099194</v>
      </c>
      <c r="AN1637" s="12">
        <f t="shared" si="204"/>
        <v>1890.7174036900806</v>
      </c>
      <c r="AO1637" s="13">
        <f t="shared" si="205"/>
        <v>0.29087960056770468</v>
      </c>
      <c r="AP1637" s="16">
        <v>6500</v>
      </c>
      <c r="AQ1637" s="16">
        <v>3401.562310586517</v>
      </c>
      <c r="AR1637" s="16">
        <f t="shared" si="206"/>
        <v>3098.437689413483</v>
      </c>
      <c r="AS1637" s="17">
        <f t="shared" si="200"/>
        <v>0.47668272144822815</v>
      </c>
      <c r="AT1637" s="20">
        <v>6500</v>
      </c>
      <c r="AU1637" s="20">
        <v>3904.904296875</v>
      </c>
      <c r="AV1637" s="20">
        <f t="shared" si="201"/>
        <v>2595.095703125</v>
      </c>
      <c r="AW1637" s="21">
        <f t="shared" si="207"/>
        <v>0.39924549278846155</v>
      </c>
    </row>
    <row r="1638" spans="1:49" x14ac:dyDescent="0.25">
      <c r="A1638" t="s">
        <v>38</v>
      </c>
      <c r="B1638" t="s">
        <v>110</v>
      </c>
      <c r="C1638">
        <v>137876</v>
      </c>
      <c r="D1638">
        <v>2016</v>
      </c>
      <c r="E1638" t="s">
        <v>142</v>
      </c>
      <c r="F1638" t="s">
        <v>633</v>
      </c>
      <c r="G1638" t="s">
        <v>457</v>
      </c>
      <c r="H1638" t="s">
        <v>635</v>
      </c>
      <c r="I1638">
        <v>6</v>
      </c>
      <c r="J1638" t="s">
        <v>43</v>
      </c>
      <c r="K1638">
        <v>4</v>
      </c>
      <c r="L1638" t="s">
        <v>44</v>
      </c>
      <c r="M1638">
        <v>3.6</v>
      </c>
      <c r="N1638" t="s">
        <v>91</v>
      </c>
      <c r="O1638" t="s">
        <v>46</v>
      </c>
      <c r="P1638">
        <v>3</v>
      </c>
      <c r="Q1638" t="s">
        <v>62</v>
      </c>
      <c r="R1638" t="s">
        <v>63</v>
      </c>
      <c r="S1638" t="s">
        <v>93</v>
      </c>
      <c r="U1638" t="s">
        <v>50</v>
      </c>
      <c r="X1638" t="s">
        <v>141</v>
      </c>
      <c r="Y1638" t="s">
        <v>78</v>
      </c>
      <c r="AA1638">
        <v>0</v>
      </c>
      <c r="AB1638" t="s">
        <v>79</v>
      </c>
      <c r="AC1638" t="s">
        <v>87</v>
      </c>
      <c r="AD1638">
        <v>36</v>
      </c>
      <c r="AE1638">
        <v>9</v>
      </c>
      <c r="AF1638">
        <v>3</v>
      </c>
      <c r="AG1638">
        <v>2025</v>
      </c>
      <c r="AH1638" s="2">
        <v>11000</v>
      </c>
      <c r="AI1638" s="2">
        <v>8954.970703125</v>
      </c>
      <c r="AJ1638" s="2">
        <f t="shared" si="202"/>
        <v>2045.029296875</v>
      </c>
      <c r="AK1638" s="6">
        <f t="shared" si="203"/>
        <v>0.18591175426136364</v>
      </c>
      <c r="AL1638" s="12">
        <v>11000</v>
      </c>
      <c r="AM1638" s="12">
        <v>9139.3576757312512</v>
      </c>
      <c r="AN1638" s="12">
        <f t="shared" si="204"/>
        <v>1860.6423242687488</v>
      </c>
      <c r="AO1638" s="13">
        <f t="shared" si="205"/>
        <v>0.16914930220624988</v>
      </c>
      <c r="AP1638" s="16">
        <v>11000</v>
      </c>
      <c r="AQ1638" s="16">
        <v>8057.0347342475197</v>
      </c>
      <c r="AR1638" s="16">
        <f t="shared" si="206"/>
        <v>2942.9652657524803</v>
      </c>
      <c r="AS1638" s="17">
        <f t="shared" si="200"/>
        <v>0.26754229688658909</v>
      </c>
      <c r="AT1638" s="20">
        <v>11000</v>
      </c>
      <c r="AU1638" s="20">
        <v>9111.8447265625</v>
      </c>
      <c r="AV1638" s="20">
        <f t="shared" si="201"/>
        <v>1888.1552734375</v>
      </c>
      <c r="AW1638" s="21">
        <f t="shared" si="207"/>
        <v>0.17165047940340908</v>
      </c>
    </row>
    <row r="1639" spans="1:49" x14ac:dyDescent="0.25">
      <c r="A1639" t="s">
        <v>38</v>
      </c>
      <c r="B1639" t="s">
        <v>96</v>
      </c>
      <c r="C1639">
        <v>27938</v>
      </c>
      <c r="D1639">
        <v>2025</v>
      </c>
      <c r="E1639" t="s">
        <v>263</v>
      </c>
      <c r="F1639" t="s">
        <v>611</v>
      </c>
      <c r="G1639" t="s">
        <v>1457</v>
      </c>
      <c r="I1639">
        <v>4</v>
      </c>
      <c r="J1639" t="s">
        <v>106</v>
      </c>
      <c r="K1639">
        <v>4</v>
      </c>
      <c r="L1639" t="s">
        <v>44</v>
      </c>
      <c r="M1639">
        <v>2.5</v>
      </c>
      <c r="N1639" t="s">
        <v>45</v>
      </c>
      <c r="O1639" t="s">
        <v>46</v>
      </c>
      <c r="P1639">
        <v>3</v>
      </c>
      <c r="Q1639" t="s">
        <v>47</v>
      </c>
      <c r="R1639" t="s">
        <v>123</v>
      </c>
      <c r="S1639" t="s">
        <v>49</v>
      </c>
      <c r="T1639">
        <v>191</v>
      </c>
      <c r="U1639" t="s">
        <v>50</v>
      </c>
      <c r="V1639" t="s">
        <v>51</v>
      </c>
      <c r="W1639" t="s">
        <v>1390</v>
      </c>
      <c r="X1639" t="s">
        <v>65</v>
      </c>
      <c r="Y1639" t="s">
        <v>126</v>
      </c>
      <c r="AA1639">
        <v>0</v>
      </c>
      <c r="AB1639" t="s">
        <v>79</v>
      </c>
      <c r="AC1639" t="s">
        <v>127</v>
      </c>
      <c r="AD1639">
        <v>36</v>
      </c>
      <c r="AE1639">
        <v>9</v>
      </c>
      <c r="AF1639">
        <v>3</v>
      </c>
      <c r="AG1639">
        <v>2025</v>
      </c>
      <c r="AH1639" s="2">
        <v>17000</v>
      </c>
      <c r="AI1639" s="2">
        <v>22210.7578125</v>
      </c>
      <c r="AJ1639" s="2">
        <f t="shared" si="202"/>
        <v>5210.7578125</v>
      </c>
      <c r="AK1639" s="6">
        <f t="shared" si="203"/>
        <v>0.30651516544117646</v>
      </c>
      <c r="AL1639" s="12">
        <v>17000</v>
      </c>
      <c r="AM1639" s="12">
        <v>22621.43981262805</v>
      </c>
      <c r="AN1639" s="12">
        <f t="shared" si="204"/>
        <v>5621.4398126280503</v>
      </c>
      <c r="AO1639" s="13">
        <f t="shared" si="205"/>
        <v>0.3306729301545912</v>
      </c>
      <c r="AP1639" s="16">
        <v>17000</v>
      </c>
      <c r="AQ1639" s="16">
        <v>19598.385193220682</v>
      </c>
      <c r="AR1639" s="16">
        <f t="shared" si="206"/>
        <v>2598.3851932206817</v>
      </c>
      <c r="AS1639" s="17">
        <f t="shared" si="200"/>
        <v>0.15284618783651069</v>
      </c>
      <c r="AT1639" s="20">
        <v>17000</v>
      </c>
      <c r="AU1639" s="20">
        <v>22108.365234375</v>
      </c>
      <c r="AV1639" s="20">
        <f t="shared" si="201"/>
        <v>5108.365234375</v>
      </c>
      <c r="AW1639" s="21">
        <f t="shared" si="207"/>
        <v>0.30049207261029409</v>
      </c>
    </row>
    <row r="1640" spans="1:49" x14ac:dyDescent="0.25">
      <c r="A1640" t="s">
        <v>38</v>
      </c>
      <c r="B1640" t="s">
        <v>110</v>
      </c>
      <c r="C1640">
        <v>125096</v>
      </c>
      <c r="D1640">
        <v>2016</v>
      </c>
      <c r="E1640" t="s">
        <v>142</v>
      </c>
      <c r="F1640" t="s">
        <v>373</v>
      </c>
      <c r="G1640" t="s">
        <v>118</v>
      </c>
      <c r="H1640" t="s">
        <v>375</v>
      </c>
      <c r="I1640">
        <v>6</v>
      </c>
      <c r="J1640" t="s">
        <v>72</v>
      </c>
      <c r="K1640">
        <v>4</v>
      </c>
      <c r="L1640" t="s">
        <v>44</v>
      </c>
      <c r="M1640">
        <v>3.6</v>
      </c>
      <c r="N1640" t="s">
        <v>73</v>
      </c>
      <c r="O1640" t="s">
        <v>100</v>
      </c>
      <c r="Q1640" t="s">
        <v>62</v>
      </c>
      <c r="R1640" t="s">
        <v>63</v>
      </c>
      <c r="S1640" t="s">
        <v>49</v>
      </c>
      <c r="U1640" t="s">
        <v>50</v>
      </c>
      <c r="X1640" t="s">
        <v>94</v>
      </c>
      <c r="Y1640" t="s">
        <v>78</v>
      </c>
      <c r="AA1640">
        <v>0</v>
      </c>
      <c r="AB1640" t="s">
        <v>79</v>
      </c>
      <c r="AC1640" t="s">
        <v>87</v>
      </c>
      <c r="AD1640">
        <v>36</v>
      </c>
      <c r="AE1640">
        <v>9</v>
      </c>
      <c r="AF1640">
        <v>3</v>
      </c>
      <c r="AG1640">
        <v>2025</v>
      </c>
      <c r="AH1640" s="2">
        <v>5000</v>
      </c>
      <c r="AI1640" s="2">
        <v>4199.0615234375</v>
      </c>
      <c r="AJ1640" s="2">
        <f t="shared" si="202"/>
        <v>800.9384765625</v>
      </c>
      <c r="AK1640" s="6">
        <f t="shared" si="203"/>
        <v>0.16018769531249999</v>
      </c>
      <c r="AL1640" s="12">
        <v>5000</v>
      </c>
      <c r="AM1640" s="12">
        <v>3151.5696593719672</v>
      </c>
      <c r="AN1640" s="12">
        <f t="shared" si="204"/>
        <v>1848.4303406280328</v>
      </c>
      <c r="AO1640" s="13">
        <f t="shared" si="205"/>
        <v>0.36968606812560656</v>
      </c>
      <c r="AP1640" s="16">
        <v>5000</v>
      </c>
      <c r="AQ1640" s="16">
        <v>3084.9970680605879</v>
      </c>
      <c r="AR1640" s="16">
        <f t="shared" si="206"/>
        <v>1915.0029319394121</v>
      </c>
      <c r="AS1640" s="17">
        <f t="shared" si="200"/>
        <v>0.38300058638788242</v>
      </c>
      <c r="AT1640" s="20">
        <v>5000</v>
      </c>
      <c r="AU1640" s="20">
        <v>4135.84716796875</v>
      </c>
      <c r="AV1640" s="20">
        <f t="shared" si="201"/>
        <v>864.15283203125</v>
      </c>
      <c r="AW1640" s="21">
        <f t="shared" si="207"/>
        <v>0.17283056640625</v>
      </c>
    </row>
    <row r="1641" spans="1:49" x14ac:dyDescent="0.25">
      <c r="A1641" t="s">
        <v>38</v>
      </c>
      <c r="B1641" t="s">
        <v>68</v>
      </c>
      <c r="C1641">
        <v>105428</v>
      </c>
      <c r="D1641">
        <v>2020</v>
      </c>
      <c r="E1641" t="s">
        <v>162</v>
      </c>
      <c r="F1641" t="s">
        <v>666</v>
      </c>
      <c r="G1641" t="s">
        <v>118</v>
      </c>
      <c r="I1641">
        <v>6</v>
      </c>
      <c r="J1641" t="s">
        <v>72</v>
      </c>
      <c r="K1641">
        <v>4</v>
      </c>
      <c r="L1641" t="s">
        <v>44</v>
      </c>
      <c r="M1641">
        <v>3.8</v>
      </c>
      <c r="N1641" t="s">
        <v>44</v>
      </c>
      <c r="O1641" t="s">
        <v>46</v>
      </c>
      <c r="Q1641" t="s">
        <v>62</v>
      </c>
      <c r="R1641" t="s">
        <v>63</v>
      </c>
      <c r="S1641" t="s">
        <v>93</v>
      </c>
      <c r="U1641" t="s">
        <v>50</v>
      </c>
      <c r="W1641" t="s">
        <v>667</v>
      </c>
      <c r="X1641" t="s">
        <v>141</v>
      </c>
      <c r="Y1641" t="s">
        <v>66</v>
      </c>
      <c r="Z1641">
        <v>44700</v>
      </c>
      <c r="AA1641">
        <v>0</v>
      </c>
      <c r="AB1641" t="s">
        <v>79</v>
      </c>
      <c r="AC1641" t="s">
        <v>109</v>
      </c>
      <c r="AD1641">
        <v>36</v>
      </c>
      <c r="AE1641">
        <v>9</v>
      </c>
      <c r="AF1641">
        <v>3</v>
      </c>
      <c r="AG1641">
        <v>2025</v>
      </c>
      <c r="AH1641" s="2">
        <v>18500</v>
      </c>
      <c r="AI1641" s="2">
        <v>17616.0546875</v>
      </c>
      <c r="AJ1641" s="2">
        <f t="shared" si="202"/>
        <v>883.9453125</v>
      </c>
      <c r="AK1641" s="6">
        <f t="shared" si="203"/>
        <v>4.77808277027027E-2</v>
      </c>
      <c r="AL1641" s="12">
        <v>18500</v>
      </c>
      <c r="AM1641" s="12">
        <v>15236.41955398662</v>
      </c>
      <c r="AN1641" s="12">
        <f t="shared" si="204"/>
        <v>3263.5804460133804</v>
      </c>
      <c r="AO1641" s="13">
        <f t="shared" si="205"/>
        <v>0.17640975383856111</v>
      </c>
      <c r="AP1641" s="16">
        <v>18500</v>
      </c>
      <c r="AQ1641" s="16">
        <v>16743.534504073559</v>
      </c>
      <c r="AR1641" s="16">
        <f t="shared" si="206"/>
        <v>1756.4654959264408</v>
      </c>
      <c r="AS1641" s="17">
        <f t="shared" si="200"/>
        <v>9.4944080860888694E-2</v>
      </c>
      <c r="AT1641" s="20">
        <v>18500</v>
      </c>
      <c r="AU1641" s="20">
        <v>17073.513671875</v>
      </c>
      <c r="AV1641" s="20">
        <f t="shared" si="201"/>
        <v>1426.486328125</v>
      </c>
      <c r="AW1641" s="21">
        <f t="shared" si="207"/>
        <v>7.7107369087837843E-2</v>
      </c>
    </row>
    <row r="1642" spans="1:49" x14ac:dyDescent="0.25">
      <c r="A1642" t="s">
        <v>38</v>
      </c>
      <c r="B1642" t="s">
        <v>96</v>
      </c>
      <c r="C1642">
        <v>117303</v>
      </c>
      <c r="D1642">
        <v>2019</v>
      </c>
      <c r="E1642" t="s">
        <v>557</v>
      </c>
      <c r="F1642" t="s">
        <v>1113</v>
      </c>
      <c r="G1642" t="s">
        <v>240</v>
      </c>
      <c r="H1642" t="s">
        <v>1458</v>
      </c>
      <c r="I1642">
        <v>6</v>
      </c>
      <c r="J1642" t="s">
        <v>43</v>
      </c>
      <c r="K1642">
        <v>4</v>
      </c>
      <c r="L1642" t="s">
        <v>44</v>
      </c>
      <c r="M1642">
        <v>3.6</v>
      </c>
      <c r="N1642" t="s">
        <v>73</v>
      </c>
      <c r="O1642" t="s">
        <v>46</v>
      </c>
      <c r="Q1642" t="s">
        <v>47</v>
      </c>
      <c r="R1642" t="s">
        <v>123</v>
      </c>
      <c r="S1642" t="s">
        <v>179</v>
      </c>
      <c r="T1642">
        <v>292</v>
      </c>
      <c r="U1642" t="s">
        <v>50</v>
      </c>
      <c r="V1642" t="s">
        <v>76</v>
      </c>
      <c r="X1642" t="s">
        <v>125</v>
      </c>
      <c r="Y1642" t="s">
        <v>103</v>
      </c>
      <c r="Z1642">
        <v>29220</v>
      </c>
      <c r="AA1642">
        <v>0</v>
      </c>
      <c r="AB1642" t="s">
        <v>79</v>
      </c>
      <c r="AC1642" t="s">
        <v>127</v>
      </c>
      <c r="AD1642">
        <v>36</v>
      </c>
      <c r="AE1642">
        <v>9</v>
      </c>
      <c r="AF1642">
        <v>3</v>
      </c>
      <c r="AG1642">
        <v>2025</v>
      </c>
      <c r="AH1642" s="2">
        <v>10500</v>
      </c>
      <c r="AI1642" s="2">
        <v>9379.5595703125</v>
      </c>
      <c r="AJ1642" s="2">
        <f t="shared" si="202"/>
        <v>1120.4404296875</v>
      </c>
      <c r="AK1642" s="6">
        <f t="shared" si="203"/>
        <v>0.10670861235119047</v>
      </c>
      <c r="AL1642" s="12">
        <v>10500</v>
      </c>
      <c r="AM1642" s="12">
        <v>10358.133902793379</v>
      </c>
      <c r="AN1642" s="12">
        <f t="shared" si="204"/>
        <v>141.86609720662091</v>
      </c>
      <c r="AO1642" s="13">
        <f t="shared" si="205"/>
        <v>1.3511056876821038E-2</v>
      </c>
      <c r="AP1642" s="16">
        <v>10500</v>
      </c>
      <c r="AQ1642" s="16">
        <v>8874.1383774323713</v>
      </c>
      <c r="AR1642" s="16">
        <f t="shared" si="206"/>
        <v>1625.8616225676287</v>
      </c>
      <c r="AS1642" s="17">
        <f t="shared" si="200"/>
        <v>0.15484396405405987</v>
      </c>
      <c r="AT1642" s="20">
        <v>10500</v>
      </c>
      <c r="AU1642" s="20">
        <v>9703.931640625</v>
      </c>
      <c r="AV1642" s="20">
        <f t="shared" si="201"/>
        <v>796.068359375</v>
      </c>
      <c r="AW1642" s="21">
        <f t="shared" si="207"/>
        <v>7.5816034226190473E-2</v>
      </c>
    </row>
    <row r="1643" spans="1:49" x14ac:dyDescent="0.25">
      <c r="A1643" t="s">
        <v>38</v>
      </c>
      <c r="B1643" t="s">
        <v>68</v>
      </c>
      <c r="C1643">
        <v>41918</v>
      </c>
      <c r="D1643">
        <v>2024</v>
      </c>
      <c r="E1643" t="s">
        <v>341</v>
      </c>
      <c r="F1643" t="s">
        <v>574</v>
      </c>
      <c r="G1643" t="s">
        <v>541</v>
      </c>
      <c r="I1643">
        <v>6</v>
      </c>
      <c r="J1643" t="s">
        <v>61</v>
      </c>
      <c r="K1643">
        <v>4</v>
      </c>
      <c r="L1643" t="s">
        <v>44</v>
      </c>
      <c r="M1643">
        <v>3.6</v>
      </c>
      <c r="N1643" t="s">
        <v>44</v>
      </c>
      <c r="O1643" t="s">
        <v>46</v>
      </c>
      <c r="P1643">
        <v>4</v>
      </c>
      <c r="Q1643" t="s">
        <v>62</v>
      </c>
      <c r="R1643" t="s">
        <v>63</v>
      </c>
      <c r="S1643" t="s">
        <v>85</v>
      </c>
      <c r="U1643" t="s">
        <v>50</v>
      </c>
      <c r="V1643" t="s">
        <v>76</v>
      </c>
      <c r="W1643" t="s">
        <v>372</v>
      </c>
      <c r="X1643" t="s">
        <v>94</v>
      </c>
      <c r="Y1643" t="s">
        <v>78</v>
      </c>
      <c r="AA1643">
        <v>0</v>
      </c>
      <c r="AB1643" t="s">
        <v>79</v>
      </c>
      <c r="AC1643" t="s">
        <v>87</v>
      </c>
      <c r="AD1643">
        <v>36</v>
      </c>
      <c r="AE1643">
        <v>9</v>
      </c>
      <c r="AF1643">
        <v>3</v>
      </c>
      <c r="AG1643">
        <v>2025</v>
      </c>
      <c r="AH1643" s="2">
        <v>28000</v>
      </c>
      <c r="AI1643" s="2">
        <v>29965.591796875</v>
      </c>
      <c r="AJ1643" s="2">
        <f t="shared" si="202"/>
        <v>1965.591796875</v>
      </c>
      <c r="AK1643" s="6">
        <f t="shared" si="203"/>
        <v>7.0199707031250003E-2</v>
      </c>
      <c r="AL1643" s="12">
        <v>28000</v>
      </c>
      <c r="AM1643" s="12">
        <v>34114.621035747972</v>
      </c>
      <c r="AN1643" s="12">
        <f t="shared" si="204"/>
        <v>6114.6210357479722</v>
      </c>
      <c r="AO1643" s="13">
        <f t="shared" si="205"/>
        <v>0.21837932270528473</v>
      </c>
      <c r="AP1643" s="16">
        <v>28000</v>
      </c>
      <c r="AQ1643" s="16">
        <v>28858.64702366864</v>
      </c>
      <c r="AR1643" s="16">
        <f t="shared" si="206"/>
        <v>858.64702366864003</v>
      </c>
      <c r="AS1643" s="17">
        <f t="shared" si="200"/>
        <v>3.0665965131022859E-2</v>
      </c>
      <c r="AT1643" s="20">
        <v>28000</v>
      </c>
      <c r="AU1643" s="20">
        <v>30108.537109375</v>
      </c>
      <c r="AV1643" s="20">
        <f t="shared" si="201"/>
        <v>2108.537109375</v>
      </c>
      <c r="AW1643" s="21">
        <f t="shared" si="207"/>
        <v>7.5304896763392859E-2</v>
      </c>
    </row>
    <row r="1644" spans="1:49" x14ac:dyDescent="0.25">
      <c r="A1644" t="s">
        <v>38</v>
      </c>
      <c r="B1644" t="s">
        <v>96</v>
      </c>
      <c r="C1644">
        <v>86340</v>
      </c>
      <c r="D1644">
        <v>2018</v>
      </c>
      <c r="E1644" t="s">
        <v>58</v>
      </c>
      <c r="F1644" t="s">
        <v>220</v>
      </c>
      <c r="G1644" t="s">
        <v>418</v>
      </c>
      <c r="I1644">
        <v>6</v>
      </c>
      <c r="J1644" t="s">
        <v>106</v>
      </c>
      <c r="K1644">
        <v>4</v>
      </c>
      <c r="L1644" t="s">
        <v>44</v>
      </c>
      <c r="M1644">
        <v>3.3</v>
      </c>
      <c r="N1644" t="s">
        <v>45</v>
      </c>
      <c r="O1644" t="s">
        <v>46</v>
      </c>
      <c r="P1644">
        <v>4</v>
      </c>
      <c r="Q1644" t="s">
        <v>62</v>
      </c>
      <c r="R1644" t="s">
        <v>63</v>
      </c>
      <c r="S1644" t="s">
        <v>49</v>
      </c>
      <c r="T1644">
        <v>290</v>
      </c>
      <c r="U1644" t="s">
        <v>50</v>
      </c>
      <c r="W1644" t="s">
        <v>384</v>
      </c>
      <c r="X1644" t="s">
        <v>141</v>
      </c>
      <c r="Y1644" t="s">
        <v>78</v>
      </c>
      <c r="AA1644">
        <v>0</v>
      </c>
      <c r="AB1644" t="s">
        <v>79</v>
      </c>
      <c r="AC1644" t="s">
        <v>87</v>
      </c>
      <c r="AD1644">
        <v>36</v>
      </c>
      <c r="AE1644">
        <v>9</v>
      </c>
      <c r="AF1644">
        <v>3</v>
      </c>
      <c r="AG1644">
        <v>2025</v>
      </c>
      <c r="AH1644" s="2">
        <v>8250</v>
      </c>
      <c r="AI1644" s="2">
        <v>9593.125</v>
      </c>
      <c r="AJ1644" s="2">
        <f t="shared" si="202"/>
        <v>1343.125</v>
      </c>
      <c r="AK1644" s="6">
        <f t="shared" si="203"/>
        <v>0.16280303030303031</v>
      </c>
      <c r="AL1644" s="12">
        <v>8250</v>
      </c>
      <c r="AM1644" s="12">
        <v>12831.371072057</v>
      </c>
      <c r="AN1644" s="12">
        <f t="shared" si="204"/>
        <v>4581.3710720569998</v>
      </c>
      <c r="AO1644" s="13">
        <f t="shared" si="205"/>
        <v>0.55531770570387873</v>
      </c>
      <c r="AP1644" s="16">
        <v>8250</v>
      </c>
      <c r="AQ1644" s="16">
        <v>9641.8927117727799</v>
      </c>
      <c r="AR1644" s="16">
        <f t="shared" si="206"/>
        <v>1391.8927117727799</v>
      </c>
      <c r="AS1644" s="17">
        <f t="shared" si="200"/>
        <v>0.16871426809367029</v>
      </c>
      <c r="AT1644" s="20">
        <v>8250</v>
      </c>
      <c r="AU1644" s="20">
        <v>10170.951171875</v>
      </c>
      <c r="AV1644" s="20">
        <f t="shared" si="201"/>
        <v>1920.951171875</v>
      </c>
      <c r="AW1644" s="21">
        <f t="shared" si="207"/>
        <v>0.23284256628787878</v>
      </c>
    </row>
    <row r="1645" spans="1:49" x14ac:dyDescent="0.25">
      <c r="A1645" t="s">
        <v>38</v>
      </c>
      <c r="B1645" t="s">
        <v>39</v>
      </c>
      <c r="C1645">
        <v>267356</v>
      </c>
      <c r="D1645">
        <v>2014</v>
      </c>
      <c r="E1645" t="s">
        <v>557</v>
      </c>
      <c r="F1645" t="s">
        <v>870</v>
      </c>
      <c r="G1645" t="s">
        <v>168</v>
      </c>
      <c r="I1645">
        <v>6</v>
      </c>
      <c r="J1645" t="s">
        <v>61</v>
      </c>
      <c r="K1645">
        <v>4</v>
      </c>
      <c r="L1645" t="s">
        <v>44</v>
      </c>
      <c r="M1645">
        <v>3.6</v>
      </c>
      <c r="N1645" t="s">
        <v>45</v>
      </c>
      <c r="O1645" t="s">
        <v>46</v>
      </c>
      <c r="Q1645" t="s">
        <v>62</v>
      </c>
      <c r="R1645" t="s">
        <v>225</v>
      </c>
      <c r="S1645" t="s">
        <v>101</v>
      </c>
      <c r="U1645" t="s">
        <v>50</v>
      </c>
      <c r="X1645" t="s">
        <v>94</v>
      </c>
      <c r="Y1645" t="s">
        <v>103</v>
      </c>
      <c r="AA1645">
        <v>0</v>
      </c>
      <c r="AB1645" t="s">
        <v>79</v>
      </c>
      <c r="AC1645" t="s">
        <v>225</v>
      </c>
      <c r="AD1645">
        <v>36</v>
      </c>
      <c r="AE1645">
        <v>9</v>
      </c>
      <c r="AF1645">
        <v>3</v>
      </c>
      <c r="AG1645">
        <v>2025</v>
      </c>
      <c r="AH1645" s="2">
        <v>1100</v>
      </c>
      <c r="AI1645" s="2">
        <v>1234.836059570312</v>
      </c>
      <c r="AJ1645" s="2">
        <f t="shared" si="202"/>
        <v>134.83605957031205</v>
      </c>
      <c r="AK1645" s="6">
        <f t="shared" si="203"/>
        <v>0.12257823597301094</v>
      </c>
      <c r="AL1645" s="12">
        <v>1100</v>
      </c>
      <c r="AM1645" s="12">
        <v>1560.3630573240559</v>
      </c>
      <c r="AN1645" s="12">
        <f t="shared" si="204"/>
        <v>460.36305732405594</v>
      </c>
      <c r="AO1645" s="13">
        <f t="shared" si="205"/>
        <v>0.4185118702945963</v>
      </c>
      <c r="AP1645" s="16">
        <v>1100</v>
      </c>
      <c r="AQ1645" s="16">
        <v>1136.4168666006581</v>
      </c>
      <c r="AR1645" s="16">
        <f t="shared" si="206"/>
        <v>36.416866600658068</v>
      </c>
      <c r="AS1645" s="17">
        <f t="shared" si="200"/>
        <v>3.3106242364234609E-2</v>
      </c>
      <c r="AT1645" s="20">
        <v>1100</v>
      </c>
      <c r="AU1645" s="20">
        <v>1234.309936523438</v>
      </c>
      <c r="AV1645" s="20">
        <f t="shared" si="201"/>
        <v>134.30993652343795</v>
      </c>
      <c r="AW1645" s="21">
        <f t="shared" si="207"/>
        <v>0.12209994229403451</v>
      </c>
    </row>
    <row r="1646" spans="1:49" x14ac:dyDescent="0.25">
      <c r="A1646" t="s">
        <v>38</v>
      </c>
      <c r="B1646" t="s">
        <v>96</v>
      </c>
      <c r="C1646">
        <v>223098</v>
      </c>
      <c r="D1646">
        <v>2015</v>
      </c>
      <c r="E1646" t="s">
        <v>97</v>
      </c>
      <c r="F1646" t="s">
        <v>159</v>
      </c>
      <c r="G1646" t="s">
        <v>155</v>
      </c>
      <c r="H1646" t="s">
        <v>89</v>
      </c>
      <c r="I1646">
        <v>8</v>
      </c>
      <c r="J1646" t="s">
        <v>135</v>
      </c>
      <c r="K1646">
        <v>4</v>
      </c>
      <c r="L1646" t="s">
        <v>44</v>
      </c>
      <c r="M1646">
        <v>5.3</v>
      </c>
      <c r="N1646" t="s">
        <v>73</v>
      </c>
      <c r="O1646" t="s">
        <v>46</v>
      </c>
      <c r="P1646">
        <v>1</v>
      </c>
      <c r="Q1646" t="s">
        <v>74</v>
      </c>
      <c r="R1646" t="s">
        <v>92</v>
      </c>
      <c r="S1646" t="s">
        <v>179</v>
      </c>
      <c r="U1646" t="s">
        <v>50</v>
      </c>
      <c r="W1646" t="s">
        <v>473</v>
      </c>
      <c r="X1646" t="s">
        <v>94</v>
      </c>
      <c r="Y1646" t="s">
        <v>126</v>
      </c>
      <c r="AA1646">
        <v>0</v>
      </c>
      <c r="AB1646" t="s">
        <v>79</v>
      </c>
      <c r="AC1646" t="s">
        <v>95</v>
      </c>
      <c r="AD1646">
        <v>36</v>
      </c>
      <c r="AE1646">
        <v>9</v>
      </c>
      <c r="AF1646">
        <v>3</v>
      </c>
      <c r="AG1646">
        <v>2025</v>
      </c>
      <c r="AH1646" s="2">
        <v>6000</v>
      </c>
      <c r="AI1646" s="2">
        <v>4942.3349609375</v>
      </c>
      <c r="AJ1646" s="2">
        <f t="shared" si="202"/>
        <v>1057.6650390625</v>
      </c>
      <c r="AK1646" s="6">
        <f t="shared" si="203"/>
        <v>0.17627750651041665</v>
      </c>
      <c r="AL1646" s="12">
        <v>6000</v>
      </c>
      <c r="AM1646" s="12">
        <v>5093.313720786552</v>
      </c>
      <c r="AN1646" s="12">
        <f t="shared" si="204"/>
        <v>906.68627921344796</v>
      </c>
      <c r="AO1646" s="13">
        <f t="shared" si="205"/>
        <v>0.15111437986890799</v>
      </c>
      <c r="AP1646" s="16">
        <v>6000</v>
      </c>
      <c r="AQ1646" s="16">
        <v>4721.1653688563711</v>
      </c>
      <c r="AR1646" s="16">
        <f t="shared" si="206"/>
        <v>1278.8346311436289</v>
      </c>
      <c r="AS1646" s="17">
        <f t="shared" si="200"/>
        <v>0.21313910519060483</v>
      </c>
      <c r="AT1646" s="20">
        <v>6000</v>
      </c>
      <c r="AU1646" s="20">
        <v>4980.08447265625</v>
      </c>
      <c r="AV1646" s="20">
        <f t="shared" si="201"/>
        <v>1019.91552734375</v>
      </c>
      <c r="AW1646" s="21">
        <f t="shared" si="207"/>
        <v>0.16998592122395834</v>
      </c>
    </row>
    <row r="1647" spans="1:49" x14ac:dyDescent="0.25">
      <c r="A1647" t="s">
        <v>114</v>
      </c>
      <c r="B1647" t="s">
        <v>115</v>
      </c>
      <c r="C1647">
        <v>259341</v>
      </c>
      <c r="D1647">
        <v>2008</v>
      </c>
      <c r="E1647" t="s">
        <v>166</v>
      </c>
      <c r="F1647" t="s">
        <v>167</v>
      </c>
      <c r="G1647" t="s">
        <v>581</v>
      </c>
      <c r="I1647">
        <v>6</v>
      </c>
      <c r="J1647" t="s">
        <v>599</v>
      </c>
      <c r="K1647">
        <v>4</v>
      </c>
      <c r="L1647" t="s">
        <v>44</v>
      </c>
      <c r="M1647">
        <v>3.5</v>
      </c>
      <c r="N1647" t="s">
        <v>91</v>
      </c>
      <c r="O1647" t="s">
        <v>46</v>
      </c>
      <c r="Q1647" t="s">
        <v>62</v>
      </c>
      <c r="R1647" t="s">
        <v>63</v>
      </c>
      <c r="S1647" t="s">
        <v>93</v>
      </c>
      <c r="T1647">
        <v>244</v>
      </c>
      <c r="U1647" t="s">
        <v>50</v>
      </c>
      <c r="V1647" t="s">
        <v>76</v>
      </c>
      <c r="W1647" t="s">
        <v>1319</v>
      </c>
      <c r="X1647" t="s">
        <v>141</v>
      </c>
      <c r="Y1647" t="s">
        <v>78</v>
      </c>
      <c r="AA1647">
        <v>0</v>
      </c>
      <c r="AB1647" t="s">
        <v>79</v>
      </c>
      <c r="AC1647" t="s">
        <v>87</v>
      </c>
      <c r="AD1647">
        <v>36</v>
      </c>
      <c r="AE1647">
        <v>9</v>
      </c>
      <c r="AF1647">
        <v>3</v>
      </c>
      <c r="AG1647">
        <v>2025</v>
      </c>
      <c r="AH1647" s="2">
        <v>450</v>
      </c>
      <c r="AI1647" s="2">
        <v>1189.375</v>
      </c>
      <c r="AJ1647" s="2">
        <f t="shared" si="202"/>
        <v>739.375</v>
      </c>
      <c r="AK1647" s="6">
        <f t="shared" si="203"/>
        <v>1.6430555555555555</v>
      </c>
      <c r="AL1647" s="12">
        <v>450</v>
      </c>
      <c r="AM1647" s="12">
        <v>1310.4790053166889</v>
      </c>
      <c r="AN1647" s="12">
        <f t="shared" si="204"/>
        <v>860.47900531668893</v>
      </c>
      <c r="AO1647" s="13">
        <f t="shared" si="205"/>
        <v>1.9121755673704199</v>
      </c>
      <c r="AP1647" s="16">
        <v>450</v>
      </c>
      <c r="AQ1647" s="16">
        <v>762.42948832314949</v>
      </c>
      <c r="AR1647" s="16">
        <f t="shared" si="206"/>
        <v>312.42948832314949</v>
      </c>
      <c r="AS1647" s="17">
        <f t="shared" si="200"/>
        <v>0.69428775182922109</v>
      </c>
      <c r="AT1647" s="20">
        <v>450</v>
      </c>
      <c r="AU1647" s="20">
        <v>1163.657836914062</v>
      </c>
      <c r="AV1647" s="20">
        <f t="shared" si="201"/>
        <v>713.65783691406205</v>
      </c>
      <c r="AW1647" s="21">
        <f t="shared" si="207"/>
        <v>1.5859063042534711</v>
      </c>
    </row>
    <row r="1648" spans="1:49" x14ac:dyDescent="0.25">
      <c r="A1648" t="s">
        <v>38</v>
      </c>
      <c r="B1648" t="s">
        <v>96</v>
      </c>
      <c r="C1648">
        <v>142049</v>
      </c>
      <c r="D1648">
        <v>2017</v>
      </c>
      <c r="E1648" t="s">
        <v>69</v>
      </c>
      <c r="F1648" t="s">
        <v>310</v>
      </c>
      <c r="H1648" t="s">
        <v>952</v>
      </c>
      <c r="I1648">
        <v>4</v>
      </c>
      <c r="J1648" t="s">
        <v>72</v>
      </c>
      <c r="K1648">
        <v>2</v>
      </c>
      <c r="L1648" t="s">
        <v>44</v>
      </c>
      <c r="M1648">
        <v>2.2999999999999998</v>
      </c>
      <c r="N1648" t="s">
        <v>73</v>
      </c>
      <c r="O1648" t="s">
        <v>46</v>
      </c>
      <c r="P1648">
        <v>2</v>
      </c>
      <c r="Q1648" t="s">
        <v>47</v>
      </c>
      <c r="R1648" t="s">
        <v>197</v>
      </c>
      <c r="T1648">
        <v>310</v>
      </c>
      <c r="U1648" t="s">
        <v>50</v>
      </c>
      <c r="V1648" t="s">
        <v>51</v>
      </c>
      <c r="W1648" t="s">
        <v>1158</v>
      </c>
      <c r="X1648" t="s">
        <v>125</v>
      </c>
      <c r="Y1648" t="s">
        <v>78</v>
      </c>
      <c r="Z1648">
        <v>30195</v>
      </c>
      <c r="AA1648">
        <v>0</v>
      </c>
      <c r="AB1648" t="s">
        <v>79</v>
      </c>
      <c r="AC1648" t="s">
        <v>197</v>
      </c>
      <c r="AD1648">
        <v>36</v>
      </c>
      <c r="AE1648">
        <v>9</v>
      </c>
      <c r="AF1648">
        <v>3</v>
      </c>
      <c r="AG1648">
        <v>2025</v>
      </c>
      <c r="AH1648" s="2">
        <v>6200</v>
      </c>
      <c r="AI1648" s="2">
        <v>5515.52978515625</v>
      </c>
      <c r="AJ1648" s="2">
        <f t="shared" si="202"/>
        <v>684.47021484375</v>
      </c>
      <c r="AK1648" s="6">
        <f t="shared" si="203"/>
        <v>0.11039842174899193</v>
      </c>
      <c r="AL1648" s="12">
        <v>6200</v>
      </c>
      <c r="AM1648" s="12">
        <v>5059.8582610425847</v>
      </c>
      <c r="AN1648" s="12">
        <f t="shared" si="204"/>
        <v>1140.1417389574153</v>
      </c>
      <c r="AO1648" s="13">
        <f t="shared" si="205"/>
        <v>0.18389382886409925</v>
      </c>
      <c r="AP1648" s="16">
        <v>6200</v>
      </c>
      <c r="AQ1648" s="16">
        <v>4988.4522432351496</v>
      </c>
      <c r="AR1648" s="16">
        <f t="shared" si="206"/>
        <v>1211.5477567648504</v>
      </c>
      <c r="AS1648" s="17">
        <f t="shared" si="200"/>
        <v>0.19541092851045974</v>
      </c>
      <c r="AT1648" s="20">
        <v>6200</v>
      </c>
      <c r="AU1648" s="20">
        <v>5483.5361328125</v>
      </c>
      <c r="AV1648" s="20">
        <f t="shared" si="201"/>
        <v>716.4638671875</v>
      </c>
      <c r="AW1648" s="21">
        <f t="shared" si="207"/>
        <v>0.11555868825604838</v>
      </c>
    </row>
    <row r="1649" spans="1:49" x14ac:dyDescent="0.25">
      <c r="A1649" t="s">
        <v>81</v>
      </c>
      <c r="B1649" t="s">
        <v>82</v>
      </c>
      <c r="C1649">
        <v>87452</v>
      </c>
      <c r="D1649">
        <v>2019</v>
      </c>
      <c r="E1649" t="s">
        <v>166</v>
      </c>
      <c r="F1649" t="s">
        <v>562</v>
      </c>
      <c r="G1649" t="s">
        <v>457</v>
      </c>
      <c r="I1649">
        <v>4</v>
      </c>
      <c r="J1649" t="s">
        <v>61</v>
      </c>
      <c r="K1649">
        <v>4</v>
      </c>
      <c r="L1649" t="s">
        <v>44</v>
      </c>
      <c r="M1649">
        <v>2</v>
      </c>
      <c r="N1649" t="s">
        <v>45</v>
      </c>
      <c r="O1649" t="s">
        <v>46</v>
      </c>
      <c r="Q1649" t="s">
        <v>47</v>
      </c>
      <c r="R1649" t="s">
        <v>123</v>
      </c>
      <c r="S1649" t="s">
        <v>49</v>
      </c>
      <c r="T1649">
        <v>252</v>
      </c>
      <c r="U1649" t="s">
        <v>50</v>
      </c>
      <c r="V1649" t="s">
        <v>51</v>
      </c>
      <c r="W1649" t="s">
        <v>705</v>
      </c>
      <c r="X1649" t="s">
        <v>65</v>
      </c>
      <c r="Y1649" t="s">
        <v>78</v>
      </c>
      <c r="Z1649">
        <v>26180</v>
      </c>
      <c r="AA1649">
        <v>0</v>
      </c>
      <c r="AB1649" t="s">
        <v>79</v>
      </c>
      <c r="AC1649" t="s">
        <v>127</v>
      </c>
      <c r="AD1649">
        <v>36</v>
      </c>
      <c r="AE1649">
        <v>9</v>
      </c>
      <c r="AF1649">
        <v>3</v>
      </c>
      <c r="AG1649">
        <v>2025</v>
      </c>
      <c r="AH1649" s="2">
        <v>16100</v>
      </c>
      <c r="AI1649" s="2">
        <v>15281.6259765625</v>
      </c>
      <c r="AJ1649" s="2">
        <f t="shared" si="202"/>
        <v>818.3740234375</v>
      </c>
      <c r="AK1649" s="6">
        <f t="shared" si="203"/>
        <v>5.0830684685559006E-2</v>
      </c>
      <c r="AL1649" s="12">
        <v>16100</v>
      </c>
      <c r="AM1649" s="12">
        <v>12406.883722159389</v>
      </c>
      <c r="AN1649" s="12">
        <f t="shared" si="204"/>
        <v>3693.1162778406106</v>
      </c>
      <c r="AO1649" s="13">
        <f t="shared" si="205"/>
        <v>0.22938610421370251</v>
      </c>
      <c r="AP1649" s="16">
        <v>16100</v>
      </c>
      <c r="AQ1649" s="16">
        <v>11014.033636531291</v>
      </c>
      <c r="AR1649" s="16">
        <f t="shared" si="206"/>
        <v>5085.9663634687095</v>
      </c>
      <c r="AS1649" s="17">
        <f t="shared" si="200"/>
        <v>0.31589853189246642</v>
      </c>
      <c r="AT1649" s="20">
        <v>16100</v>
      </c>
      <c r="AU1649" s="20">
        <v>14721.6611328125</v>
      </c>
      <c r="AV1649" s="20">
        <f t="shared" si="201"/>
        <v>1378.3388671875</v>
      </c>
      <c r="AW1649" s="21">
        <f t="shared" si="207"/>
        <v>8.5611109763198759E-2</v>
      </c>
    </row>
    <row r="1650" spans="1:49" x14ac:dyDescent="0.25">
      <c r="A1650" t="s">
        <v>38</v>
      </c>
      <c r="B1650" t="s">
        <v>1459</v>
      </c>
      <c r="C1650">
        <v>36266</v>
      </c>
      <c r="D1650">
        <v>2021</v>
      </c>
      <c r="E1650" t="s">
        <v>263</v>
      </c>
      <c r="F1650" t="s">
        <v>563</v>
      </c>
      <c r="G1650" t="s">
        <v>457</v>
      </c>
      <c r="I1650">
        <v>4</v>
      </c>
      <c r="J1650" t="s">
        <v>135</v>
      </c>
      <c r="K1650">
        <v>4</v>
      </c>
      <c r="L1650" t="s">
        <v>44</v>
      </c>
      <c r="M1650">
        <v>2.5</v>
      </c>
      <c r="N1650" t="s">
        <v>45</v>
      </c>
      <c r="O1650" t="s">
        <v>46</v>
      </c>
      <c r="Q1650" t="s">
        <v>47</v>
      </c>
      <c r="R1650" t="s">
        <v>123</v>
      </c>
      <c r="S1650" t="s">
        <v>49</v>
      </c>
      <c r="T1650">
        <v>187</v>
      </c>
      <c r="U1650" t="s">
        <v>50</v>
      </c>
      <c r="V1650" t="s">
        <v>51</v>
      </c>
      <c r="W1650" t="s">
        <v>1460</v>
      </c>
      <c r="X1650" t="s">
        <v>125</v>
      </c>
      <c r="Y1650" t="s">
        <v>54</v>
      </c>
      <c r="AA1650">
        <v>0</v>
      </c>
      <c r="AB1650" t="s">
        <v>79</v>
      </c>
      <c r="AC1650" t="s">
        <v>127</v>
      </c>
      <c r="AD1650">
        <v>36</v>
      </c>
      <c r="AE1650">
        <v>9</v>
      </c>
      <c r="AF1650">
        <v>3</v>
      </c>
      <c r="AG1650">
        <v>2025</v>
      </c>
      <c r="AH1650" s="2">
        <v>17300</v>
      </c>
      <c r="AI1650" s="2">
        <v>19114.474609375</v>
      </c>
      <c r="AJ1650" s="2">
        <f t="shared" si="202"/>
        <v>1814.474609375</v>
      </c>
      <c r="AK1650" s="6">
        <f t="shared" si="203"/>
        <v>0.10488292539739884</v>
      </c>
      <c r="AL1650" s="12">
        <v>17300</v>
      </c>
      <c r="AM1650" s="12">
        <v>15616.797926709451</v>
      </c>
      <c r="AN1650" s="12">
        <f t="shared" si="204"/>
        <v>1683.2020732905494</v>
      </c>
      <c r="AO1650" s="13">
        <f t="shared" si="205"/>
        <v>9.7294917531245625E-2</v>
      </c>
      <c r="AP1650" s="16">
        <v>17300</v>
      </c>
      <c r="AQ1650" s="16">
        <v>16503.355446743171</v>
      </c>
      <c r="AR1650" s="16">
        <f t="shared" si="206"/>
        <v>796.64455325682866</v>
      </c>
      <c r="AS1650" s="17">
        <f t="shared" si="200"/>
        <v>4.6048818107331135E-2</v>
      </c>
      <c r="AT1650" s="20">
        <v>17300</v>
      </c>
      <c r="AU1650" s="20">
        <v>18231.216796875</v>
      </c>
      <c r="AV1650" s="20">
        <f t="shared" si="201"/>
        <v>931.216796875</v>
      </c>
      <c r="AW1650" s="21">
        <f t="shared" si="207"/>
        <v>5.382756051300578E-2</v>
      </c>
    </row>
    <row r="1651" spans="1:49" x14ac:dyDescent="0.25">
      <c r="A1651" t="s">
        <v>128</v>
      </c>
      <c r="B1651" t="s">
        <v>129</v>
      </c>
      <c r="C1651">
        <v>151156</v>
      </c>
      <c r="D1651">
        <v>2015</v>
      </c>
      <c r="E1651" t="s">
        <v>97</v>
      </c>
      <c r="F1651" t="s">
        <v>244</v>
      </c>
      <c r="G1651" t="s">
        <v>380</v>
      </c>
      <c r="H1651" t="s">
        <v>177</v>
      </c>
      <c r="I1651">
        <v>8</v>
      </c>
      <c r="J1651" t="s">
        <v>61</v>
      </c>
      <c r="K1651">
        <v>4</v>
      </c>
      <c r="L1651" t="s">
        <v>44</v>
      </c>
      <c r="M1651">
        <v>5.3</v>
      </c>
      <c r="N1651" t="s">
        <v>73</v>
      </c>
      <c r="Q1651" t="s">
        <v>62</v>
      </c>
      <c r="R1651" t="s">
        <v>63</v>
      </c>
      <c r="S1651" t="s">
        <v>179</v>
      </c>
      <c r="U1651" t="s">
        <v>50</v>
      </c>
      <c r="W1651" t="s">
        <v>473</v>
      </c>
      <c r="X1651" t="s">
        <v>108</v>
      </c>
      <c r="Y1651" t="s">
        <v>78</v>
      </c>
      <c r="AA1651">
        <v>0</v>
      </c>
      <c r="AB1651" t="s">
        <v>79</v>
      </c>
      <c r="AC1651" t="s">
        <v>87</v>
      </c>
      <c r="AD1651">
        <v>36</v>
      </c>
      <c r="AE1651">
        <v>9</v>
      </c>
      <c r="AF1651">
        <v>3</v>
      </c>
      <c r="AG1651">
        <v>2025</v>
      </c>
      <c r="AH1651" s="2">
        <v>7400</v>
      </c>
      <c r="AI1651" s="2">
        <v>8229.830078125</v>
      </c>
      <c r="AJ1651" s="2">
        <f t="shared" si="202"/>
        <v>829.830078125</v>
      </c>
      <c r="AK1651" s="6">
        <f t="shared" si="203"/>
        <v>0.11213919974662162</v>
      </c>
      <c r="AL1651" s="12">
        <v>7400</v>
      </c>
      <c r="AM1651" s="12">
        <v>10407.080575760951</v>
      </c>
      <c r="AN1651" s="12">
        <f t="shared" si="204"/>
        <v>3007.0805757609505</v>
      </c>
      <c r="AO1651" s="13">
        <f t="shared" si="205"/>
        <v>0.40636223996769599</v>
      </c>
      <c r="AP1651" s="16">
        <v>7400</v>
      </c>
      <c r="AQ1651" s="16">
        <v>8870.5367577540037</v>
      </c>
      <c r="AR1651" s="16">
        <f t="shared" si="206"/>
        <v>1470.5367577540037</v>
      </c>
      <c r="AS1651" s="17">
        <f t="shared" si="200"/>
        <v>0.19872118348027076</v>
      </c>
      <c r="AT1651" s="20">
        <v>7400</v>
      </c>
      <c r="AU1651" s="20">
        <v>8737.6669921875</v>
      </c>
      <c r="AV1651" s="20">
        <f t="shared" si="201"/>
        <v>1337.6669921875</v>
      </c>
      <c r="AW1651" s="21">
        <f t="shared" si="207"/>
        <v>0.18076580975506756</v>
      </c>
    </row>
    <row r="1652" spans="1:49" x14ac:dyDescent="0.25">
      <c r="A1652" t="s">
        <v>38</v>
      </c>
      <c r="B1652" t="s">
        <v>68</v>
      </c>
      <c r="C1652">
        <v>29724</v>
      </c>
      <c r="D1652">
        <v>2022</v>
      </c>
      <c r="E1652" t="s">
        <v>116</v>
      </c>
      <c r="F1652" t="s">
        <v>237</v>
      </c>
      <c r="H1652" t="s">
        <v>396</v>
      </c>
      <c r="I1652">
        <v>6</v>
      </c>
      <c r="J1652" t="s">
        <v>122</v>
      </c>
      <c r="K1652">
        <v>4</v>
      </c>
      <c r="L1652" t="s">
        <v>44</v>
      </c>
      <c r="M1652">
        <v>3.6</v>
      </c>
      <c r="N1652" t="s">
        <v>73</v>
      </c>
      <c r="O1652" t="s">
        <v>46</v>
      </c>
      <c r="Q1652" t="s">
        <v>47</v>
      </c>
      <c r="R1652" t="s">
        <v>123</v>
      </c>
      <c r="S1652" t="s">
        <v>179</v>
      </c>
      <c r="T1652">
        <v>292</v>
      </c>
      <c r="U1652" t="s">
        <v>50</v>
      </c>
      <c r="V1652" t="s">
        <v>76</v>
      </c>
      <c r="X1652" t="s">
        <v>125</v>
      </c>
      <c r="Y1652" t="s">
        <v>103</v>
      </c>
      <c r="AA1652">
        <v>0</v>
      </c>
      <c r="AB1652" t="s">
        <v>79</v>
      </c>
      <c r="AC1652" t="s">
        <v>127</v>
      </c>
      <c r="AD1652">
        <v>36</v>
      </c>
      <c r="AE1652">
        <v>9</v>
      </c>
      <c r="AF1652">
        <v>3</v>
      </c>
      <c r="AG1652">
        <v>2025</v>
      </c>
      <c r="AH1652" s="2">
        <v>21000</v>
      </c>
      <c r="AI1652" s="2">
        <v>22371.1796875</v>
      </c>
      <c r="AJ1652" s="2">
        <f t="shared" si="202"/>
        <v>1371.1796875</v>
      </c>
      <c r="AK1652" s="6">
        <f t="shared" si="203"/>
        <v>6.5294270833333334E-2</v>
      </c>
      <c r="AL1652" s="12">
        <v>21000</v>
      </c>
      <c r="AM1652" s="12">
        <v>25853.92086674229</v>
      </c>
      <c r="AN1652" s="12">
        <f t="shared" si="204"/>
        <v>4853.9208667422899</v>
      </c>
      <c r="AO1652" s="13">
        <f t="shared" si="205"/>
        <v>0.23113908889248999</v>
      </c>
      <c r="AP1652" s="16">
        <v>21000</v>
      </c>
      <c r="AQ1652" s="16">
        <v>23705.490064575912</v>
      </c>
      <c r="AR1652" s="16">
        <f t="shared" si="206"/>
        <v>2705.4900645759117</v>
      </c>
      <c r="AS1652" s="17">
        <f t="shared" si="200"/>
        <v>0.12883286021790055</v>
      </c>
      <c r="AT1652" s="20">
        <v>21000</v>
      </c>
      <c r="AU1652" s="20">
        <v>22876.09375</v>
      </c>
      <c r="AV1652" s="20">
        <f t="shared" si="201"/>
        <v>1876.09375</v>
      </c>
      <c r="AW1652" s="21">
        <f t="shared" si="207"/>
        <v>8.9337797619047615E-2</v>
      </c>
    </row>
    <row r="1653" spans="1:49" x14ac:dyDescent="0.25">
      <c r="A1653" t="s">
        <v>38</v>
      </c>
      <c r="B1653" t="s">
        <v>110</v>
      </c>
      <c r="C1653">
        <v>189037</v>
      </c>
      <c r="D1653">
        <v>2014</v>
      </c>
      <c r="E1653" t="s">
        <v>97</v>
      </c>
      <c r="F1653" t="s">
        <v>379</v>
      </c>
      <c r="G1653" t="s">
        <v>130</v>
      </c>
      <c r="I1653">
        <v>4</v>
      </c>
      <c r="J1653" t="s">
        <v>72</v>
      </c>
      <c r="K1653">
        <v>4</v>
      </c>
      <c r="L1653" t="s">
        <v>44</v>
      </c>
      <c r="M1653">
        <v>1.4</v>
      </c>
      <c r="N1653" t="s">
        <v>45</v>
      </c>
      <c r="Q1653" t="s">
        <v>47</v>
      </c>
      <c r="R1653" t="s">
        <v>123</v>
      </c>
      <c r="U1653" t="s">
        <v>50</v>
      </c>
      <c r="V1653" t="s">
        <v>51</v>
      </c>
      <c r="W1653" t="s">
        <v>381</v>
      </c>
      <c r="X1653" t="s">
        <v>125</v>
      </c>
      <c r="Y1653" t="s">
        <v>78</v>
      </c>
      <c r="AA1653">
        <v>0</v>
      </c>
      <c r="AB1653" t="s">
        <v>79</v>
      </c>
      <c r="AC1653" t="s">
        <v>127</v>
      </c>
      <c r="AD1653">
        <v>36</v>
      </c>
      <c r="AE1653">
        <v>9</v>
      </c>
      <c r="AF1653">
        <v>3</v>
      </c>
      <c r="AG1653">
        <v>2025</v>
      </c>
      <c r="AH1653" s="2">
        <v>800</v>
      </c>
      <c r="AI1653" s="2">
        <v>1149.14599609375</v>
      </c>
      <c r="AJ1653" s="2">
        <f t="shared" si="202"/>
        <v>349.14599609375</v>
      </c>
      <c r="AK1653" s="6">
        <f t="shared" si="203"/>
        <v>0.43643249511718751</v>
      </c>
      <c r="AL1653" s="12">
        <v>800</v>
      </c>
      <c r="AM1653" s="12">
        <v>1372.5907877209229</v>
      </c>
      <c r="AN1653" s="12">
        <f t="shared" si="204"/>
        <v>572.59078772092289</v>
      </c>
      <c r="AO1653" s="13">
        <f t="shared" si="205"/>
        <v>0.71573848465115364</v>
      </c>
      <c r="AP1653" s="16">
        <v>800</v>
      </c>
      <c r="AQ1653" s="16">
        <v>1033.0058685422271</v>
      </c>
      <c r="AR1653" s="16">
        <f t="shared" si="206"/>
        <v>233.00586854222706</v>
      </c>
      <c r="AS1653" s="17">
        <f t="shared" si="200"/>
        <v>0.29125733567778384</v>
      </c>
      <c r="AT1653" s="20">
        <v>800</v>
      </c>
      <c r="AU1653" s="20">
        <v>1125.732055664062</v>
      </c>
      <c r="AV1653" s="20">
        <f t="shared" si="201"/>
        <v>325.73205566406205</v>
      </c>
      <c r="AW1653" s="21">
        <f t="shared" si="207"/>
        <v>0.40716506958007753</v>
      </c>
    </row>
    <row r="1654" spans="1:49" x14ac:dyDescent="0.25">
      <c r="A1654" t="s">
        <v>128</v>
      </c>
      <c r="B1654" t="s">
        <v>129</v>
      </c>
      <c r="C1654">
        <v>90931</v>
      </c>
      <c r="D1654">
        <v>2016</v>
      </c>
      <c r="E1654" t="s">
        <v>83</v>
      </c>
      <c r="F1654" t="s">
        <v>1081</v>
      </c>
      <c r="G1654" t="s">
        <v>1461</v>
      </c>
      <c r="I1654">
        <v>4</v>
      </c>
      <c r="J1654" t="s">
        <v>135</v>
      </c>
      <c r="K1654">
        <v>4</v>
      </c>
      <c r="L1654" t="s">
        <v>44</v>
      </c>
      <c r="M1654">
        <v>2.4</v>
      </c>
      <c r="N1654" t="s">
        <v>45</v>
      </c>
      <c r="Q1654" t="s">
        <v>47</v>
      </c>
      <c r="R1654" t="s">
        <v>123</v>
      </c>
      <c r="S1654" t="s">
        <v>49</v>
      </c>
      <c r="T1654">
        <v>201</v>
      </c>
      <c r="U1654" t="s">
        <v>50</v>
      </c>
      <c r="V1654" t="s">
        <v>51</v>
      </c>
      <c r="W1654" t="s">
        <v>1462</v>
      </c>
      <c r="X1654" t="s">
        <v>65</v>
      </c>
      <c r="Y1654" t="s">
        <v>78</v>
      </c>
      <c r="AA1654">
        <v>0</v>
      </c>
      <c r="AB1654" t="s">
        <v>79</v>
      </c>
      <c r="AC1654" t="s">
        <v>127</v>
      </c>
      <c r="AD1654">
        <v>36</v>
      </c>
      <c r="AE1654">
        <v>9</v>
      </c>
      <c r="AF1654">
        <v>3</v>
      </c>
      <c r="AG1654">
        <v>2025</v>
      </c>
      <c r="AH1654" s="2">
        <v>8800</v>
      </c>
      <c r="AI1654" s="2">
        <v>6832.15087890625</v>
      </c>
      <c r="AJ1654" s="2">
        <f t="shared" si="202"/>
        <v>1967.84912109375</v>
      </c>
      <c r="AK1654" s="6">
        <f t="shared" si="203"/>
        <v>0.22361921830610795</v>
      </c>
      <c r="AL1654" s="12">
        <v>8800</v>
      </c>
      <c r="AM1654" s="12">
        <v>7697.2285850685939</v>
      </c>
      <c r="AN1654" s="12">
        <f t="shared" si="204"/>
        <v>1102.7714149314061</v>
      </c>
      <c r="AO1654" s="13">
        <f t="shared" si="205"/>
        <v>0.1253149335149325</v>
      </c>
      <c r="AP1654" s="16">
        <v>8800</v>
      </c>
      <c r="AQ1654" s="16">
        <v>8972.3335631746777</v>
      </c>
      <c r="AR1654" s="16">
        <f t="shared" si="206"/>
        <v>172.33356317467769</v>
      </c>
      <c r="AS1654" s="17">
        <f t="shared" si="200"/>
        <v>1.958335945166792E-2</v>
      </c>
      <c r="AT1654" s="20">
        <v>8800</v>
      </c>
      <c r="AU1654" s="20">
        <v>6978.35546875</v>
      </c>
      <c r="AV1654" s="20">
        <f t="shared" si="201"/>
        <v>1821.64453125</v>
      </c>
      <c r="AW1654" s="21">
        <f t="shared" si="207"/>
        <v>0.20700506036931818</v>
      </c>
    </row>
    <row r="1655" spans="1:49" x14ac:dyDescent="0.25">
      <c r="A1655" t="s">
        <v>38</v>
      </c>
      <c r="B1655" t="s">
        <v>68</v>
      </c>
      <c r="C1655">
        <v>192324</v>
      </c>
      <c r="D1655">
        <v>2008</v>
      </c>
      <c r="E1655" t="s">
        <v>97</v>
      </c>
      <c r="F1655" t="s">
        <v>419</v>
      </c>
      <c r="G1655" t="s">
        <v>199</v>
      </c>
      <c r="H1655" t="s">
        <v>177</v>
      </c>
      <c r="I1655">
        <v>8</v>
      </c>
      <c r="J1655" t="s">
        <v>122</v>
      </c>
      <c r="K1655">
        <v>4</v>
      </c>
      <c r="L1655" t="s">
        <v>44</v>
      </c>
      <c r="M1655">
        <v>6</v>
      </c>
      <c r="N1655" t="s">
        <v>73</v>
      </c>
      <c r="O1655" t="s">
        <v>46</v>
      </c>
      <c r="Q1655" t="s">
        <v>62</v>
      </c>
      <c r="R1655" t="s">
        <v>63</v>
      </c>
      <c r="S1655" t="s">
        <v>49</v>
      </c>
      <c r="U1655" t="s">
        <v>50</v>
      </c>
      <c r="V1655" t="s">
        <v>76</v>
      </c>
      <c r="W1655" t="s">
        <v>1463</v>
      </c>
      <c r="X1655" t="s">
        <v>108</v>
      </c>
      <c r="Y1655" t="s">
        <v>78</v>
      </c>
      <c r="AA1655">
        <v>1</v>
      </c>
      <c r="AB1655" t="s">
        <v>55</v>
      </c>
      <c r="AC1655" t="s">
        <v>67</v>
      </c>
      <c r="AD1655">
        <v>36</v>
      </c>
      <c r="AE1655">
        <v>9</v>
      </c>
      <c r="AF1655">
        <v>3</v>
      </c>
      <c r="AG1655">
        <v>2025</v>
      </c>
      <c r="AH1655" s="2">
        <v>1800</v>
      </c>
      <c r="AI1655" s="2">
        <v>2077.761962890625</v>
      </c>
      <c r="AJ1655" s="2">
        <f t="shared" si="202"/>
        <v>277.761962890625</v>
      </c>
      <c r="AK1655" s="6">
        <f t="shared" si="203"/>
        <v>0.15431220160590278</v>
      </c>
      <c r="AL1655" s="12">
        <v>1800</v>
      </c>
      <c r="AM1655" s="12">
        <v>2884.6306637900939</v>
      </c>
      <c r="AN1655" s="12">
        <f t="shared" si="204"/>
        <v>1084.6306637900939</v>
      </c>
      <c r="AO1655" s="13">
        <f t="shared" si="205"/>
        <v>0.60257259099449656</v>
      </c>
      <c r="AP1655" s="16">
        <v>1800</v>
      </c>
      <c r="AQ1655" s="16">
        <v>2055.973632024265</v>
      </c>
      <c r="AR1655" s="16">
        <f t="shared" si="206"/>
        <v>255.97363202426504</v>
      </c>
      <c r="AS1655" s="17">
        <f t="shared" si="200"/>
        <v>0.14220757334681391</v>
      </c>
      <c r="AT1655" s="20">
        <v>1800</v>
      </c>
      <c r="AU1655" s="20">
        <v>2154.627197265625</v>
      </c>
      <c r="AV1655" s="20">
        <f t="shared" si="201"/>
        <v>354.627197265625</v>
      </c>
      <c r="AW1655" s="21">
        <f t="shared" si="207"/>
        <v>0.19701510959201388</v>
      </c>
    </row>
    <row r="1656" spans="1:49" x14ac:dyDescent="0.25">
      <c r="A1656" t="s">
        <v>114</v>
      </c>
      <c r="B1656" t="s">
        <v>115</v>
      </c>
      <c r="C1656">
        <v>170711</v>
      </c>
      <c r="D1656">
        <v>2012</v>
      </c>
      <c r="E1656" t="s">
        <v>146</v>
      </c>
      <c r="F1656" t="s">
        <v>1464</v>
      </c>
      <c r="I1656">
        <v>6</v>
      </c>
      <c r="J1656" t="s">
        <v>135</v>
      </c>
      <c r="K1656">
        <v>4</v>
      </c>
      <c r="L1656" t="s">
        <v>44</v>
      </c>
      <c r="M1656">
        <v>3.5</v>
      </c>
      <c r="N1656" t="s">
        <v>45</v>
      </c>
      <c r="O1656" t="s">
        <v>46</v>
      </c>
      <c r="P1656">
        <v>2</v>
      </c>
      <c r="Q1656" t="s">
        <v>62</v>
      </c>
      <c r="R1656" t="s">
        <v>225</v>
      </c>
      <c r="S1656" t="s">
        <v>49</v>
      </c>
      <c r="U1656" t="s">
        <v>50</v>
      </c>
      <c r="X1656" t="s">
        <v>141</v>
      </c>
      <c r="Y1656" t="s">
        <v>54</v>
      </c>
      <c r="AA1656">
        <v>0</v>
      </c>
      <c r="AB1656" t="s">
        <v>79</v>
      </c>
      <c r="AC1656" t="s">
        <v>225</v>
      </c>
      <c r="AD1656">
        <v>36</v>
      </c>
      <c r="AE1656">
        <v>9</v>
      </c>
      <c r="AF1656">
        <v>3</v>
      </c>
      <c r="AG1656">
        <v>2025</v>
      </c>
      <c r="AH1656" s="2">
        <v>600</v>
      </c>
      <c r="AI1656" s="2">
        <v>966.18255615234375</v>
      </c>
      <c r="AJ1656" s="2">
        <f t="shared" si="202"/>
        <v>366.18255615234375</v>
      </c>
      <c r="AK1656" s="6">
        <f t="shared" si="203"/>
        <v>0.61030426025390627</v>
      </c>
      <c r="AL1656" s="12">
        <v>600</v>
      </c>
      <c r="AM1656" s="12">
        <v>1219.91780234304</v>
      </c>
      <c r="AN1656" s="12">
        <f t="shared" si="204"/>
        <v>619.91780234303997</v>
      </c>
      <c r="AO1656" s="13">
        <f t="shared" si="205"/>
        <v>1.0331963372383999</v>
      </c>
      <c r="AP1656" s="16">
        <v>600</v>
      </c>
      <c r="AQ1656" s="16">
        <v>888.6547449898319</v>
      </c>
      <c r="AR1656" s="16">
        <f t="shared" si="206"/>
        <v>288.6547449898319</v>
      </c>
      <c r="AS1656" s="17">
        <f t="shared" si="200"/>
        <v>0.48109124164971984</v>
      </c>
      <c r="AT1656" s="20">
        <v>600</v>
      </c>
      <c r="AU1656" s="20">
        <v>964.4090576171875</v>
      </c>
      <c r="AV1656" s="20">
        <f t="shared" si="201"/>
        <v>364.4090576171875</v>
      </c>
      <c r="AW1656" s="21">
        <f t="shared" si="207"/>
        <v>0.60734842936197919</v>
      </c>
    </row>
    <row r="1657" spans="1:49" x14ac:dyDescent="0.25">
      <c r="A1657" t="s">
        <v>38</v>
      </c>
      <c r="B1657" t="s">
        <v>96</v>
      </c>
      <c r="C1657">
        <v>80022</v>
      </c>
      <c r="D1657">
        <v>2020</v>
      </c>
      <c r="E1657" t="s">
        <v>69</v>
      </c>
      <c r="F1657" t="s">
        <v>416</v>
      </c>
      <c r="H1657" t="s">
        <v>105</v>
      </c>
      <c r="I1657">
        <v>6</v>
      </c>
      <c r="J1657" t="s">
        <v>61</v>
      </c>
      <c r="K1657">
        <v>4</v>
      </c>
      <c r="L1657" t="s">
        <v>44</v>
      </c>
      <c r="M1657">
        <v>3.5</v>
      </c>
      <c r="N1657" t="s">
        <v>73</v>
      </c>
      <c r="O1657" t="s">
        <v>46</v>
      </c>
      <c r="Q1657" t="s">
        <v>62</v>
      </c>
      <c r="R1657" t="s">
        <v>63</v>
      </c>
      <c r="S1657" t="s">
        <v>49</v>
      </c>
      <c r="T1657">
        <v>310</v>
      </c>
      <c r="U1657" t="s">
        <v>50</v>
      </c>
      <c r="V1657" t="s">
        <v>76</v>
      </c>
      <c r="W1657" t="s">
        <v>107</v>
      </c>
      <c r="X1657" t="s">
        <v>108</v>
      </c>
      <c r="Y1657" t="s">
        <v>78</v>
      </c>
      <c r="AA1657">
        <v>0</v>
      </c>
      <c r="AB1657" t="s">
        <v>79</v>
      </c>
      <c r="AC1657" t="s">
        <v>109</v>
      </c>
      <c r="AD1657">
        <v>36</v>
      </c>
      <c r="AE1657">
        <v>9</v>
      </c>
      <c r="AF1657">
        <v>3</v>
      </c>
      <c r="AG1657">
        <v>2025</v>
      </c>
      <c r="AH1657" s="2">
        <v>22000</v>
      </c>
      <c r="AI1657" s="2">
        <v>22813.0625</v>
      </c>
      <c r="AJ1657" s="2">
        <f t="shared" si="202"/>
        <v>813.0625</v>
      </c>
      <c r="AK1657" s="6">
        <f t="shared" si="203"/>
        <v>3.6957386363636366E-2</v>
      </c>
      <c r="AL1657" s="12">
        <v>22000</v>
      </c>
      <c r="AM1657" s="12">
        <v>24845.488745474671</v>
      </c>
      <c r="AN1657" s="12">
        <f t="shared" si="204"/>
        <v>2845.4887454746713</v>
      </c>
      <c r="AO1657" s="13">
        <f t="shared" si="205"/>
        <v>0.12934039752157597</v>
      </c>
      <c r="AP1657" s="16">
        <v>22000</v>
      </c>
      <c r="AQ1657" s="16">
        <v>24273.615310343968</v>
      </c>
      <c r="AR1657" s="16">
        <f t="shared" si="206"/>
        <v>2273.6153103439683</v>
      </c>
      <c r="AS1657" s="17">
        <f t="shared" si="200"/>
        <v>0.10334615047018038</v>
      </c>
      <c r="AT1657" s="20">
        <v>22000</v>
      </c>
      <c r="AU1657" s="20">
        <v>23011.498046875</v>
      </c>
      <c r="AV1657" s="20">
        <f t="shared" si="201"/>
        <v>1011.498046875</v>
      </c>
      <c r="AW1657" s="21">
        <f t="shared" si="207"/>
        <v>4.5977183948863638E-2</v>
      </c>
    </row>
    <row r="1658" spans="1:49" x14ac:dyDescent="0.25">
      <c r="A1658" t="s">
        <v>38</v>
      </c>
      <c r="B1658" t="s">
        <v>370</v>
      </c>
      <c r="C1658">
        <v>21556</v>
      </c>
      <c r="D1658">
        <v>2023</v>
      </c>
      <c r="E1658" t="s">
        <v>97</v>
      </c>
      <c r="F1658" t="s">
        <v>171</v>
      </c>
      <c r="H1658" t="s">
        <v>172</v>
      </c>
      <c r="I1658">
        <v>6</v>
      </c>
      <c r="J1658" t="s">
        <v>72</v>
      </c>
      <c r="K1658">
        <v>3</v>
      </c>
      <c r="L1658" t="s">
        <v>44</v>
      </c>
      <c r="M1658">
        <v>4.3</v>
      </c>
      <c r="N1658" t="s">
        <v>73</v>
      </c>
      <c r="O1658" t="s">
        <v>46</v>
      </c>
      <c r="P1658">
        <v>3</v>
      </c>
      <c r="Q1658" t="s">
        <v>74</v>
      </c>
      <c r="R1658" t="s">
        <v>75</v>
      </c>
      <c r="U1658" t="s">
        <v>50</v>
      </c>
      <c r="V1658" t="s">
        <v>76</v>
      </c>
      <c r="W1658" t="s">
        <v>173</v>
      </c>
      <c r="X1658" t="s">
        <v>77</v>
      </c>
      <c r="Y1658" t="s">
        <v>78</v>
      </c>
      <c r="AA1658">
        <v>0</v>
      </c>
      <c r="AB1658" t="s">
        <v>79</v>
      </c>
      <c r="AC1658" t="s">
        <v>80</v>
      </c>
      <c r="AD1658">
        <v>36</v>
      </c>
      <c r="AE1658">
        <v>9</v>
      </c>
      <c r="AF1658">
        <v>3</v>
      </c>
      <c r="AG1658">
        <v>2025</v>
      </c>
      <c r="AH1658" s="2">
        <v>24400</v>
      </c>
      <c r="AI1658" s="2">
        <v>23804.18359375</v>
      </c>
      <c r="AJ1658" s="2">
        <f t="shared" si="202"/>
        <v>595.81640625</v>
      </c>
      <c r="AK1658" s="6">
        <f t="shared" si="203"/>
        <v>2.4418705174180329E-2</v>
      </c>
      <c r="AL1658" s="12">
        <v>24400</v>
      </c>
      <c r="AM1658" s="12">
        <v>29257.132095473378</v>
      </c>
      <c r="AN1658" s="12">
        <f t="shared" si="204"/>
        <v>4857.1320954733783</v>
      </c>
      <c r="AO1658" s="13">
        <f t="shared" si="205"/>
        <v>0.19906279079808928</v>
      </c>
      <c r="AP1658" s="16">
        <v>24400</v>
      </c>
      <c r="AQ1658" s="16">
        <v>24778.994613559509</v>
      </c>
      <c r="AR1658" s="16">
        <f t="shared" si="206"/>
        <v>378.99461355950916</v>
      </c>
      <c r="AS1658" s="17">
        <f t="shared" si="200"/>
        <v>1.5532566129488081E-2</v>
      </c>
      <c r="AT1658" s="20">
        <v>24400</v>
      </c>
      <c r="AU1658" s="20">
        <v>24577.462890625</v>
      </c>
      <c r="AV1658" s="20">
        <f t="shared" si="201"/>
        <v>177.462890625</v>
      </c>
      <c r="AW1658" s="21">
        <f t="shared" si="207"/>
        <v>7.2730692879098358E-3</v>
      </c>
    </row>
    <row r="1659" spans="1:49" x14ac:dyDescent="0.25">
      <c r="A1659" t="s">
        <v>38</v>
      </c>
      <c r="B1659" t="s">
        <v>39</v>
      </c>
      <c r="C1659">
        <v>81138</v>
      </c>
      <c r="D1659">
        <v>2018</v>
      </c>
      <c r="E1659" t="s">
        <v>146</v>
      </c>
      <c r="F1659" t="s">
        <v>147</v>
      </c>
      <c r="I1659">
        <v>4</v>
      </c>
      <c r="J1659" t="s">
        <v>61</v>
      </c>
      <c r="K1659">
        <v>4</v>
      </c>
      <c r="L1659" t="s">
        <v>44</v>
      </c>
      <c r="M1659">
        <v>2.5</v>
      </c>
      <c r="N1659" t="s">
        <v>44</v>
      </c>
      <c r="O1659" t="s">
        <v>46</v>
      </c>
      <c r="Q1659" t="s">
        <v>62</v>
      </c>
      <c r="R1659" t="s">
        <v>148</v>
      </c>
      <c r="S1659" t="s">
        <v>93</v>
      </c>
      <c r="T1659">
        <v>170</v>
      </c>
      <c r="U1659" t="s">
        <v>50</v>
      </c>
      <c r="X1659" t="s">
        <v>65</v>
      </c>
      <c r="Y1659" t="s">
        <v>66</v>
      </c>
      <c r="Z1659">
        <v>24800</v>
      </c>
      <c r="AA1659">
        <v>0</v>
      </c>
      <c r="AB1659" t="s">
        <v>79</v>
      </c>
      <c r="AC1659" t="s">
        <v>87</v>
      </c>
      <c r="AD1659">
        <v>36</v>
      </c>
      <c r="AE1659">
        <v>9</v>
      </c>
      <c r="AF1659">
        <v>3</v>
      </c>
      <c r="AG1659">
        <v>2025</v>
      </c>
      <c r="AH1659" s="2">
        <v>9250</v>
      </c>
      <c r="AI1659" s="2">
        <v>8355.6689453125</v>
      </c>
      <c r="AJ1659" s="2">
        <f t="shared" si="202"/>
        <v>894.3310546875</v>
      </c>
      <c r="AK1659" s="6">
        <f t="shared" si="203"/>
        <v>9.66844383445946E-2</v>
      </c>
      <c r="AL1659" s="12">
        <v>9250</v>
      </c>
      <c r="AM1659" s="12">
        <v>8023.8223371317417</v>
      </c>
      <c r="AN1659" s="12">
        <f t="shared" si="204"/>
        <v>1226.1776628682583</v>
      </c>
      <c r="AO1659" s="13">
        <f t="shared" si="205"/>
        <v>0.13255974733710901</v>
      </c>
      <c r="AP1659" s="16">
        <v>9250</v>
      </c>
      <c r="AQ1659" s="16">
        <v>8868.9365577079243</v>
      </c>
      <c r="AR1659" s="16">
        <f t="shared" si="206"/>
        <v>381.06344229207571</v>
      </c>
      <c r="AS1659" s="17">
        <f t="shared" si="200"/>
        <v>4.1196047815359536E-2</v>
      </c>
      <c r="AT1659" s="20">
        <v>9250</v>
      </c>
      <c r="AU1659" s="20">
        <v>8260.7763671875</v>
      </c>
      <c r="AV1659" s="20">
        <f t="shared" si="201"/>
        <v>989.2236328125</v>
      </c>
      <c r="AW1659" s="21">
        <f t="shared" si="207"/>
        <v>0.10694309543918919</v>
      </c>
    </row>
    <row r="1660" spans="1:49" x14ac:dyDescent="0.25">
      <c r="A1660" t="s">
        <v>38</v>
      </c>
      <c r="B1660" t="s">
        <v>68</v>
      </c>
      <c r="C1660">
        <v>129114</v>
      </c>
      <c r="D1660">
        <v>2018</v>
      </c>
      <c r="E1660" t="s">
        <v>146</v>
      </c>
      <c r="F1660" t="s">
        <v>441</v>
      </c>
      <c r="I1660">
        <v>8</v>
      </c>
      <c r="J1660" t="s">
        <v>72</v>
      </c>
      <c r="K1660">
        <v>4</v>
      </c>
      <c r="L1660" t="s">
        <v>44</v>
      </c>
      <c r="M1660">
        <v>5.6</v>
      </c>
      <c r="N1660" t="s">
        <v>73</v>
      </c>
      <c r="O1660" t="s">
        <v>46</v>
      </c>
      <c r="P1660">
        <v>4</v>
      </c>
      <c r="Q1660" t="s">
        <v>62</v>
      </c>
      <c r="R1660" t="s">
        <v>63</v>
      </c>
      <c r="S1660" t="s">
        <v>49</v>
      </c>
      <c r="T1660">
        <v>390</v>
      </c>
      <c r="U1660" t="s">
        <v>50</v>
      </c>
      <c r="V1660" t="s">
        <v>76</v>
      </c>
      <c r="X1660" t="s">
        <v>108</v>
      </c>
      <c r="Y1660" t="s">
        <v>54</v>
      </c>
      <c r="Z1660">
        <v>46090</v>
      </c>
      <c r="AA1660">
        <v>0</v>
      </c>
      <c r="AB1660" t="s">
        <v>79</v>
      </c>
      <c r="AC1660" t="s">
        <v>109</v>
      </c>
      <c r="AD1660">
        <v>36</v>
      </c>
      <c r="AE1660">
        <v>9</v>
      </c>
      <c r="AF1660">
        <v>3</v>
      </c>
      <c r="AG1660">
        <v>2025</v>
      </c>
      <c r="AH1660" s="2">
        <v>11250</v>
      </c>
      <c r="AI1660" s="2">
        <v>11694.4677734375</v>
      </c>
      <c r="AJ1660" s="2">
        <f t="shared" si="202"/>
        <v>444.4677734375</v>
      </c>
      <c r="AK1660" s="6">
        <f t="shared" si="203"/>
        <v>3.9508246527777777E-2</v>
      </c>
      <c r="AL1660" s="12">
        <v>11250</v>
      </c>
      <c r="AM1660" s="12">
        <v>12374.039349158111</v>
      </c>
      <c r="AN1660" s="12">
        <f t="shared" si="204"/>
        <v>1124.0393491581108</v>
      </c>
      <c r="AO1660" s="13">
        <f t="shared" si="205"/>
        <v>9.9914608814054298E-2</v>
      </c>
      <c r="AP1660" s="16">
        <v>11250</v>
      </c>
      <c r="AQ1660" s="16">
        <v>10677.515492444079</v>
      </c>
      <c r="AR1660" s="16">
        <f t="shared" si="206"/>
        <v>572.48450755592057</v>
      </c>
      <c r="AS1660" s="17">
        <f t="shared" si="200"/>
        <v>5.0887511782748494E-2</v>
      </c>
      <c r="AT1660" s="20">
        <v>11250</v>
      </c>
      <c r="AU1660" s="20">
        <v>12021.361328125</v>
      </c>
      <c r="AV1660" s="20">
        <f t="shared" si="201"/>
        <v>771.361328125</v>
      </c>
      <c r="AW1660" s="21">
        <f t="shared" si="207"/>
        <v>6.8565451388888893E-2</v>
      </c>
    </row>
    <row r="1661" spans="1:49" x14ac:dyDescent="0.25">
      <c r="A1661" t="s">
        <v>38</v>
      </c>
      <c r="B1661" t="s">
        <v>96</v>
      </c>
      <c r="C1661">
        <v>109296</v>
      </c>
      <c r="D1661">
        <v>2013</v>
      </c>
      <c r="E1661" t="s">
        <v>345</v>
      </c>
      <c r="F1661" t="s">
        <v>585</v>
      </c>
      <c r="G1661" t="s">
        <v>1465</v>
      </c>
      <c r="H1661" t="s">
        <v>587</v>
      </c>
      <c r="I1661">
        <v>4</v>
      </c>
      <c r="J1661" t="s">
        <v>277</v>
      </c>
      <c r="K1661">
        <v>4</v>
      </c>
      <c r="L1661" t="s">
        <v>44</v>
      </c>
      <c r="M1661">
        <v>2</v>
      </c>
      <c r="N1661" t="s">
        <v>73</v>
      </c>
      <c r="O1661" t="s">
        <v>46</v>
      </c>
      <c r="P1661">
        <v>4</v>
      </c>
      <c r="Q1661" t="s">
        <v>47</v>
      </c>
      <c r="R1661" t="s">
        <v>123</v>
      </c>
      <c r="T1661">
        <v>241</v>
      </c>
      <c r="U1661" t="s">
        <v>50</v>
      </c>
      <c r="X1661" t="s">
        <v>125</v>
      </c>
      <c r="Y1661" t="s">
        <v>588</v>
      </c>
      <c r="AA1661">
        <v>0</v>
      </c>
      <c r="AB1661" t="s">
        <v>79</v>
      </c>
      <c r="AC1661" t="s">
        <v>127</v>
      </c>
      <c r="AD1661">
        <v>36</v>
      </c>
      <c r="AE1661">
        <v>9</v>
      </c>
      <c r="AF1661">
        <v>3</v>
      </c>
      <c r="AG1661">
        <v>2025</v>
      </c>
      <c r="AH1661" s="2">
        <v>3400</v>
      </c>
      <c r="AI1661" s="2">
        <v>4161.03466796875</v>
      </c>
      <c r="AJ1661" s="2">
        <f t="shared" si="202"/>
        <v>761.03466796875</v>
      </c>
      <c r="AK1661" s="6">
        <f t="shared" si="203"/>
        <v>0.22383372587316178</v>
      </c>
      <c r="AL1661" s="12">
        <v>3400</v>
      </c>
      <c r="AM1661" s="12">
        <v>4812.4347356081798</v>
      </c>
      <c r="AN1661" s="12">
        <f t="shared" si="204"/>
        <v>1412.4347356081798</v>
      </c>
      <c r="AO1661" s="13">
        <f t="shared" si="205"/>
        <v>0.41542198106122935</v>
      </c>
      <c r="AP1661" s="16">
        <v>3400</v>
      </c>
      <c r="AQ1661" s="16">
        <v>3968.2940064528561</v>
      </c>
      <c r="AR1661" s="16">
        <f t="shared" si="206"/>
        <v>568.29400645285614</v>
      </c>
      <c r="AS1661" s="17">
        <f t="shared" si="200"/>
        <v>0.16714529601554592</v>
      </c>
      <c r="AT1661" s="20">
        <v>3400</v>
      </c>
      <c r="AU1661" s="20">
        <v>4263.64892578125</v>
      </c>
      <c r="AV1661" s="20">
        <f t="shared" si="201"/>
        <v>863.64892578125</v>
      </c>
      <c r="AW1661" s="21">
        <f t="shared" si="207"/>
        <v>0.25401438993566178</v>
      </c>
    </row>
    <row r="1662" spans="1:49" x14ac:dyDescent="0.25">
      <c r="A1662" t="s">
        <v>81</v>
      </c>
      <c r="B1662" t="s">
        <v>82</v>
      </c>
      <c r="C1662">
        <v>151214</v>
      </c>
      <c r="D1662">
        <v>2011</v>
      </c>
      <c r="E1662" t="s">
        <v>166</v>
      </c>
      <c r="F1662" t="s">
        <v>223</v>
      </c>
      <c r="G1662" t="s">
        <v>1466</v>
      </c>
      <c r="I1662">
        <v>6</v>
      </c>
      <c r="J1662" t="s">
        <v>72</v>
      </c>
      <c r="K1662">
        <v>4</v>
      </c>
      <c r="L1662" t="s">
        <v>44</v>
      </c>
      <c r="M1662">
        <v>3.5</v>
      </c>
      <c r="N1662" t="s">
        <v>45</v>
      </c>
      <c r="O1662" t="s">
        <v>46</v>
      </c>
      <c r="Q1662" t="s">
        <v>62</v>
      </c>
      <c r="R1662" t="s">
        <v>225</v>
      </c>
      <c r="T1662">
        <v>248</v>
      </c>
      <c r="U1662" t="s">
        <v>50</v>
      </c>
      <c r="V1662" t="s">
        <v>76</v>
      </c>
      <c r="W1662" t="s">
        <v>226</v>
      </c>
      <c r="X1662" t="s">
        <v>94</v>
      </c>
      <c r="Y1662" t="s">
        <v>78</v>
      </c>
      <c r="AA1662">
        <v>0</v>
      </c>
      <c r="AB1662" t="s">
        <v>79</v>
      </c>
      <c r="AC1662" t="s">
        <v>225</v>
      </c>
      <c r="AD1662">
        <v>36</v>
      </c>
      <c r="AE1662">
        <v>9</v>
      </c>
      <c r="AF1662">
        <v>3</v>
      </c>
      <c r="AG1662">
        <v>2025</v>
      </c>
      <c r="AH1662" s="2">
        <v>3100</v>
      </c>
      <c r="AI1662" s="2">
        <v>2895.539306640625</v>
      </c>
      <c r="AJ1662" s="2">
        <f t="shared" si="202"/>
        <v>204.460693359375</v>
      </c>
      <c r="AK1662" s="6">
        <f t="shared" si="203"/>
        <v>6.595506237399193E-2</v>
      </c>
      <c r="AL1662" s="12">
        <v>3100</v>
      </c>
      <c r="AM1662" s="12">
        <v>2852.8714406348631</v>
      </c>
      <c r="AN1662" s="12">
        <f t="shared" si="204"/>
        <v>247.12855936513688</v>
      </c>
      <c r="AO1662" s="13">
        <f t="shared" si="205"/>
        <v>7.9718890117786087E-2</v>
      </c>
      <c r="AP1662" s="16">
        <v>3100</v>
      </c>
      <c r="AQ1662" s="16">
        <v>2378.108433426909</v>
      </c>
      <c r="AR1662" s="16">
        <f t="shared" si="206"/>
        <v>721.89156657309104</v>
      </c>
      <c r="AS1662" s="17">
        <f t="shared" si="200"/>
        <v>0.23286824728164227</v>
      </c>
      <c r="AT1662" s="20">
        <v>3100</v>
      </c>
      <c r="AU1662" s="20">
        <v>2888.6513671875</v>
      </c>
      <c r="AV1662" s="20">
        <f t="shared" si="201"/>
        <v>211.3486328125</v>
      </c>
      <c r="AW1662" s="21">
        <f t="shared" si="207"/>
        <v>6.8176978326612903E-2</v>
      </c>
    </row>
    <row r="1663" spans="1:49" x14ac:dyDescent="0.25">
      <c r="A1663" t="s">
        <v>81</v>
      </c>
      <c r="B1663" t="s">
        <v>304</v>
      </c>
      <c r="C1663">
        <v>47260</v>
      </c>
      <c r="D1663">
        <v>2022</v>
      </c>
      <c r="E1663" t="s">
        <v>83</v>
      </c>
      <c r="F1663" t="s">
        <v>187</v>
      </c>
      <c r="G1663" t="s">
        <v>1467</v>
      </c>
      <c r="I1663">
        <v>6</v>
      </c>
      <c r="J1663" t="s">
        <v>43</v>
      </c>
      <c r="K1663">
        <v>4</v>
      </c>
      <c r="L1663" t="s">
        <v>44</v>
      </c>
      <c r="M1663">
        <v>3.5</v>
      </c>
      <c r="N1663" t="s">
        <v>44</v>
      </c>
      <c r="O1663" t="s">
        <v>46</v>
      </c>
      <c r="Q1663" t="s">
        <v>62</v>
      </c>
      <c r="R1663" t="s">
        <v>63</v>
      </c>
      <c r="S1663" t="s">
        <v>93</v>
      </c>
      <c r="T1663">
        <v>290</v>
      </c>
      <c r="U1663" t="s">
        <v>50</v>
      </c>
      <c r="V1663" t="s">
        <v>76</v>
      </c>
      <c r="W1663" t="s">
        <v>189</v>
      </c>
      <c r="X1663" t="s">
        <v>141</v>
      </c>
      <c r="Y1663" t="s">
        <v>78</v>
      </c>
      <c r="AA1663">
        <v>0</v>
      </c>
      <c r="AB1663" t="s">
        <v>79</v>
      </c>
      <c r="AC1663" t="s">
        <v>109</v>
      </c>
      <c r="AD1663">
        <v>36</v>
      </c>
      <c r="AE1663">
        <v>9</v>
      </c>
      <c r="AF1663">
        <v>3</v>
      </c>
      <c r="AG1663">
        <v>2025</v>
      </c>
      <c r="AH1663" s="2">
        <v>39500</v>
      </c>
      <c r="AI1663" s="2">
        <v>34724.96875</v>
      </c>
      <c r="AJ1663" s="2">
        <f t="shared" si="202"/>
        <v>4775.03125</v>
      </c>
      <c r="AK1663" s="6">
        <f t="shared" si="203"/>
        <v>0.12088686708860759</v>
      </c>
      <c r="AL1663" s="12">
        <v>39500</v>
      </c>
      <c r="AM1663" s="12">
        <v>33103.069806959204</v>
      </c>
      <c r="AN1663" s="12">
        <f t="shared" si="204"/>
        <v>6396.9301930407964</v>
      </c>
      <c r="AO1663" s="13">
        <f t="shared" si="205"/>
        <v>0.16194759982381762</v>
      </c>
      <c r="AP1663" s="16">
        <v>39500</v>
      </c>
      <c r="AQ1663" s="16">
        <v>35576.754519364338</v>
      </c>
      <c r="AR1663" s="16">
        <f t="shared" si="206"/>
        <v>3923.2454806356618</v>
      </c>
      <c r="AS1663" s="17">
        <f t="shared" si="200"/>
        <v>9.9322670395839543E-2</v>
      </c>
      <c r="AT1663" s="20">
        <v>39500</v>
      </c>
      <c r="AU1663" s="20">
        <v>34165.66796875</v>
      </c>
      <c r="AV1663" s="20">
        <f t="shared" si="201"/>
        <v>5334.33203125</v>
      </c>
      <c r="AW1663" s="21">
        <f t="shared" si="207"/>
        <v>0.13504638053797469</v>
      </c>
    </row>
    <row r="1664" spans="1:49" x14ac:dyDescent="0.25">
      <c r="A1664" t="s">
        <v>128</v>
      </c>
      <c r="B1664" t="s">
        <v>129</v>
      </c>
      <c r="C1664">
        <v>170790</v>
      </c>
      <c r="D1664">
        <v>2012</v>
      </c>
      <c r="E1664" t="s">
        <v>97</v>
      </c>
      <c r="F1664" t="s">
        <v>379</v>
      </c>
      <c r="G1664" t="s">
        <v>1468</v>
      </c>
      <c r="I1664">
        <v>4</v>
      </c>
      <c r="J1664" t="s">
        <v>43</v>
      </c>
      <c r="K1664">
        <v>4</v>
      </c>
      <c r="L1664" t="s">
        <v>44</v>
      </c>
      <c r="M1664">
        <v>1.8</v>
      </c>
      <c r="N1664" t="s">
        <v>45</v>
      </c>
      <c r="Q1664" t="s">
        <v>47</v>
      </c>
      <c r="R1664" t="s">
        <v>123</v>
      </c>
      <c r="U1664" t="s">
        <v>50</v>
      </c>
      <c r="W1664" t="s">
        <v>1129</v>
      </c>
      <c r="X1664" t="s">
        <v>125</v>
      </c>
      <c r="Y1664" t="s">
        <v>78</v>
      </c>
      <c r="AA1664">
        <v>0</v>
      </c>
      <c r="AB1664" t="s">
        <v>79</v>
      </c>
      <c r="AC1664" t="s">
        <v>127</v>
      </c>
      <c r="AD1664">
        <v>36</v>
      </c>
      <c r="AE1664">
        <v>9</v>
      </c>
      <c r="AF1664">
        <v>3</v>
      </c>
      <c r="AG1664">
        <v>2025</v>
      </c>
      <c r="AH1664" s="2">
        <v>500</v>
      </c>
      <c r="AI1664" s="2">
        <v>1058.715698242188</v>
      </c>
      <c r="AJ1664" s="2">
        <f t="shared" si="202"/>
        <v>558.71569824218795</v>
      </c>
      <c r="AK1664" s="6">
        <f t="shared" si="203"/>
        <v>1.1174313964843758</v>
      </c>
      <c r="AL1664" s="12">
        <v>500</v>
      </c>
      <c r="AM1664" s="12">
        <v>1308.5172462815101</v>
      </c>
      <c r="AN1664" s="12">
        <f t="shared" si="204"/>
        <v>808.5172462815101</v>
      </c>
      <c r="AO1664" s="13">
        <f t="shared" si="205"/>
        <v>1.6170344925630202</v>
      </c>
      <c r="AP1664" s="16">
        <v>500</v>
      </c>
      <c r="AQ1664" s="16">
        <v>987.30478798619436</v>
      </c>
      <c r="AR1664" s="16">
        <f t="shared" si="206"/>
        <v>487.30478798619436</v>
      </c>
      <c r="AS1664" s="17">
        <f t="shared" si="200"/>
        <v>0.97460957597238873</v>
      </c>
      <c r="AT1664" s="20">
        <v>500</v>
      </c>
      <c r="AU1664" s="20">
        <v>1048.521362304688</v>
      </c>
      <c r="AV1664" s="20">
        <f t="shared" si="201"/>
        <v>548.52136230468795</v>
      </c>
      <c r="AW1664" s="21">
        <f t="shared" si="207"/>
        <v>1.0970427246093759</v>
      </c>
    </row>
    <row r="1665" spans="1:49" x14ac:dyDescent="0.25">
      <c r="A1665" t="s">
        <v>38</v>
      </c>
      <c r="B1665" t="s">
        <v>474</v>
      </c>
      <c r="C1665">
        <v>165380</v>
      </c>
      <c r="D1665">
        <v>2015</v>
      </c>
      <c r="E1665" t="s">
        <v>69</v>
      </c>
      <c r="F1665" t="s">
        <v>258</v>
      </c>
      <c r="H1665" t="s">
        <v>259</v>
      </c>
      <c r="I1665">
        <v>8</v>
      </c>
      <c r="J1665" t="s">
        <v>72</v>
      </c>
      <c r="K1665">
        <v>4</v>
      </c>
      <c r="L1665" t="s">
        <v>44</v>
      </c>
      <c r="M1665">
        <v>6.2</v>
      </c>
      <c r="N1665" t="s">
        <v>73</v>
      </c>
      <c r="O1665" t="s">
        <v>46</v>
      </c>
      <c r="P1665">
        <v>1</v>
      </c>
      <c r="Q1665" t="s">
        <v>477</v>
      </c>
      <c r="R1665" t="s">
        <v>1331</v>
      </c>
      <c r="S1665" t="s">
        <v>49</v>
      </c>
      <c r="T1665">
        <v>383</v>
      </c>
      <c r="U1665" t="s">
        <v>50</v>
      </c>
      <c r="V1665" t="s">
        <v>76</v>
      </c>
      <c r="X1665" t="s">
        <v>260</v>
      </c>
      <c r="Y1665" t="s">
        <v>78</v>
      </c>
      <c r="AA1665">
        <v>0</v>
      </c>
      <c r="AB1665" t="s">
        <v>79</v>
      </c>
      <c r="AC1665" t="s">
        <v>886</v>
      </c>
      <c r="AD1665">
        <v>36</v>
      </c>
      <c r="AE1665">
        <v>9</v>
      </c>
      <c r="AF1665">
        <v>3</v>
      </c>
      <c r="AG1665">
        <v>2025</v>
      </c>
      <c r="AH1665" s="2">
        <v>4900</v>
      </c>
      <c r="AI1665" s="2">
        <v>4572.0888671875</v>
      </c>
      <c r="AJ1665" s="2">
        <f t="shared" si="202"/>
        <v>327.9111328125</v>
      </c>
      <c r="AK1665" s="6">
        <f t="shared" si="203"/>
        <v>6.6920639349489802E-2</v>
      </c>
      <c r="AL1665" s="12">
        <v>4900</v>
      </c>
      <c r="AM1665" s="12">
        <v>4370.9228826673734</v>
      </c>
      <c r="AN1665" s="12">
        <f t="shared" si="204"/>
        <v>529.07711733262659</v>
      </c>
      <c r="AO1665" s="13">
        <f t="shared" si="205"/>
        <v>0.10797492190461767</v>
      </c>
      <c r="AP1665" s="16">
        <v>4900</v>
      </c>
      <c r="AQ1665" s="16">
        <v>5037.3188077607274</v>
      </c>
      <c r="AR1665" s="16">
        <f t="shared" si="206"/>
        <v>137.3188077607274</v>
      </c>
      <c r="AS1665" s="17">
        <f t="shared" si="200"/>
        <v>2.80242464817811E-2</v>
      </c>
      <c r="AT1665" s="20">
        <v>4900</v>
      </c>
      <c r="AU1665" s="20">
        <v>4616.619140625</v>
      </c>
      <c r="AV1665" s="20">
        <f t="shared" si="201"/>
        <v>283.380859375</v>
      </c>
      <c r="AW1665" s="21">
        <f t="shared" si="207"/>
        <v>5.7832828443877549E-2</v>
      </c>
    </row>
    <row r="1666" spans="1:49" x14ac:dyDescent="0.25">
      <c r="A1666" t="s">
        <v>38</v>
      </c>
      <c r="B1666" t="s">
        <v>39</v>
      </c>
      <c r="C1666">
        <v>141525</v>
      </c>
      <c r="D1666">
        <v>2013</v>
      </c>
      <c r="E1666" t="s">
        <v>166</v>
      </c>
      <c r="F1666" t="s">
        <v>628</v>
      </c>
      <c r="G1666" t="s">
        <v>240</v>
      </c>
      <c r="I1666">
        <v>4</v>
      </c>
      <c r="J1666" t="s">
        <v>106</v>
      </c>
      <c r="K1666">
        <v>4</v>
      </c>
      <c r="L1666" t="s">
        <v>44</v>
      </c>
      <c r="M1666">
        <v>1.8</v>
      </c>
      <c r="N1666" t="s">
        <v>45</v>
      </c>
      <c r="O1666" t="s">
        <v>46</v>
      </c>
      <c r="Q1666" t="s">
        <v>47</v>
      </c>
      <c r="R1666" t="s">
        <v>123</v>
      </c>
      <c r="T1666">
        <v>140</v>
      </c>
      <c r="U1666" t="s">
        <v>50</v>
      </c>
      <c r="V1666" t="s">
        <v>51</v>
      </c>
      <c r="W1666" t="s">
        <v>629</v>
      </c>
      <c r="X1666" t="s">
        <v>53</v>
      </c>
      <c r="Y1666" t="s">
        <v>78</v>
      </c>
      <c r="AA1666">
        <v>0</v>
      </c>
      <c r="AB1666" t="s">
        <v>79</v>
      </c>
      <c r="AC1666" t="s">
        <v>127</v>
      </c>
      <c r="AD1666">
        <v>36</v>
      </c>
      <c r="AE1666">
        <v>9</v>
      </c>
      <c r="AF1666">
        <v>3</v>
      </c>
      <c r="AG1666">
        <v>2025</v>
      </c>
      <c r="AH1666" s="2">
        <v>5750</v>
      </c>
      <c r="AI1666" s="2">
        <v>4260.1123046875</v>
      </c>
      <c r="AJ1666" s="2">
        <f t="shared" si="202"/>
        <v>1489.8876953125</v>
      </c>
      <c r="AK1666" s="6">
        <f t="shared" si="203"/>
        <v>0.25911090353260868</v>
      </c>
      <c r="AL1666" s="12">
        <v>5750</v>
      </c>
      <c r="AM1666" s="12">
        <v>4007.4740525796851</v>
      </c>
      <c r="AN1666" s="12">
        <f t="shared" si="204"/>
        <v>1742.5259474203149</v>
      </c>
      <c r="AO1666" s="13">
        <f t="shared" si="205"/>
        <v>0.30304799085570694</v>
      </c>
      <c r="AP1666" s="16">
        <v>5750</v>
      </c>
      <c r="AQ1666" s="16">
        <v>3455.4047396506362</v>
      </c>
      <c r="AR1666" s="16">
        <f t="shared" si="206"/>
        <v>2294.5952603493638</v>
      </c>
      <c r="AS1666" s="17">
        <f t="shared" si="200"/>
        <v>0.3990600452781502</v>
      </c>
      <c r="AT1666" s="20">
        <v>5750</v>
      </c>
      <c r="AU1666" s="20">
        <v>4336.23095703125</v>
      </c>
      <c r="AV1666" s="20">
        <f t="shared" si="201"/>
        <v>1413.76904296875</v>
      </c>
      <c r="AW1666" s="21">
        <f t="shared" si="207"/>
        <v>0.24587287703804347</v>
      </c>
    </row>
    <row r="1667" spans="1:49" x14ac:dyDescent="0.25">
      <c r="A1667" t="s">
        <v>128</v>
      </c>
      <c r="B1667" t="s">
        <v>1469</v>
      </c>
      <c r="C1667">
        <v>78628</v>
      </c>
      <c r="D1667">
        <v>2017</v>
      </c>
      <c r="E1667" t="s">
        <v>40</v>
      </c>
      <c r="F1667" t="s">
        <v>569</v>
      </c>
      <c r="G1667" t="s">
        <v>1470</v>
      </c>
      <c r="H1667" t="s">
        <v>1471</v>
      </c>
      <c r="I1667">
        <v>8</v>
      </c>
      <c r="J1667" t="s">
        <v>217</v>
      </c>
      <c r="K1667">
        <v>4</v>
      </c>
      <c r="L1667" t="s">
        <v>44</v>
      </c>
      <c r="M1667">
        <v>5.7</v>
      </c>
      <c r="N1667" t="s">
        <v>73</v>
      </c>
      <c r="O1667" t="s">
        <v>46</v>
      </c>
      <c r="P1667">
        <v>4</v>
      </c>
      <c r="Q1667" t="s">
        <v>62</v>
      </c>
      <c r="R1667" t="s">
        <v>63</v>
      </c>
      <c r="S1667" t="s">
        <v>49</v>
      </c>
      <c r="T1667">
        <v>381</v>
      </c>
      <c r="U1667" t="s">
        <v>50</v>
      </c>
      <c r="V1667" t="s">
        <v>76</v>
      </c>
      <c r="W1667" t="s">
        <v>763</v>
      </c>
      <c r="X1667" t="s">
        <v>108</v>
      </c>
      <c r="Y1667" t="s">
        <v>78</v>
      </c>
      <c r="Z1667">
        <v>54350</v>
      </c>
      <c r="AA1667">
        <v>0</v>
      </c>
      <c r="AB1667" t="s">
        <v>79</v>
      </c>
      <c r="AC1667" t="s">
        <v>109</v>
      </c>
      <c r="AD1667">
        <v>36</v>
      </c>
      <c r="AE1667">
        <v>9</v>
      </c>
      <c r="AF1667">
        <v>3</v>
      </c>
      <c r="AG1667">
        <v>2025</v>
      </c>
      <c r="AH1667" s="2">
        <v>22540</v>
      </c>
      <c r="AI1667" s="2">
        <v>24502.265625</v>
      </c>
      <c r="AJ1667" s="2">
        <f t="shared" si="202"/>
        <v>1962.265625</v>
      </c>
      <c r="AK1667" s="6">
        <f t="shared" si="203"/>
        <v>8.7057037488908612E-2</v>
      </c>
      <c r="AL1667" s="12">
        <v>22540</v>
      </c>
      <c r="AM1667" s="12">
        <v>24285.101218461379</v>
      </c>
      <c r="AN1667" s="12">
        <f t="shared" si="204"/>
        <v>1745.1012184613792</v>
      </c>
      <c r="AO1667" s="13">
        <f t="shared" si="205"/>
        <v>7.7422414306183643E-2</v>
      </c>
      <c r="AP1667" s="16">
        <v>22540</v>
      </c>
      <c r="AQ1667" s="16">
        <v>22549.648763084271</v>
      </c>
      <c r="AR1667" s="16">
        <f t="shared" si="206"/>
        <v>9.6487630842711951</v>
      </c>
      <c r="AS1667" s="17">
        <f t="shared" ref="AS1667:AS1730" si="208">ABS($AH1667-AQ1667)/$AH1667</f>
        <v>4.2807289637405478E-4</v>
      </c>
      <c r="AT1667" s="20">
        <v>22540</v>
      </c>
      <c r="AU1667" s="20">
        <v>24383.771484375</v>
      </c>
      <c r="AV1667" s="20">
        <f t="shared" ref="AV1667:AV1730" si="209">ABS(AT1667-AU1667)</f>
        <v>1843.771484375</v>
      </c>
      <c r="AW1667" s="21">
        <f t="shared" si="207"/>
        <v>8.1799977124001777E-2</v>
      </c>
    </row>
    <row r="1668" spans="1:49" x14ac:dyDescent="0.25">
      <c r="A1668" t="s">
        <v>38</v>
      </c>
      <c r="B1668" t="s">
        <v>39</v>
      </c>
      <c r="C1668">
        <v>124521</v>
      </c>
      <c r="D1668">
        <v>2019</v>
      </c>
      <c r="E1668" t="s">
        <v>40</v>
      </c>
      <c r="F1668" t="s">
        <v>201</v>
      </c>
      <c r="G1668" t="s">
        <v>1106</v>
      </c>
      <c r="H1668" t="s">
        <v>203</v>
      </c>
      <c r="I1668">
        <v>4</v>
      </c>
      <c r="J1668" t="s">
        <v>72</v>
      </c>
      <c r="K1668">
        <v>4</v>
      </c>
      <c r="L1668" t="s">
        <v>44</v>
      </c>
      <c r="M1668">
        <v>1.8</v>
      </c>
      <c r="N1668" t="s">
        <v>45</v>
      </c>
      <c r="Q1668" t="s">
        <v>47</v>
      </c>
      <c r="R1668" t="s">
        <v>123</v>
      </c>
      <c r="S1668" t="s">
        <v>49</v>
      </c>
      <c r="T1668">
        <v>132</v>
      </c>
      <c r="U1668" t="s">
        <v>50</v>
      </c>
      <c r="V1668" t="s">
        <v>51</v>
      </c>
      <c r="W1668" t="s">
        <v>204</v>
      </c>
      <c r="X1668" t="s">
        <v>125</v>
      </c>
      <c r="Y1668" t="s">
        <v>78</v>
      </c>
      <c r="AA1668">
        <v>0</v>
      </c>
      <c r="AB1668" t="s">
        <v>79</v>
      </c>
      <c r="AC1668" t="s">
        <v>127</v>
      </c>
      <c r="AD1668">
        <v>36</v>
      </c>
      <c r="AE1668">
        <v>9</v>
      </c>
      <c r="AF1668">
        <v>3</v>
      </c>
      <c r="AG1668">
        <v>2025</v>
      </c>
      <c r="AH1668" s="2">
        <v>8000</v>
      </c>
      <c r="AI1668" s="2">
        <v>6701.046875</v>
      </c>
      <c r="AJ1668" s="2">
        <f t="shared" ref="AJ1668:AJ1731" si="210">ABS(AH1668-AI1668)</f>
        <v>1298.953125</v>
      </c>
      <c r="AK1668" s="6">
        <f t="shared" ref="AK1668:AK1731" si="211">ABS($AH1668-AI1668)/$AH1668</f>
        <v>0.16236914062499999</v>
      </c>
      <c r="AL1668" s="12">
        <v>8000</v>
      </c>
      <c r="AM1668" s="12">
        <v>6816.7075673935633</v>
      </c>
      <c r="AN1668" s="12">
        <f t="shared" ref="AN1668:AN1731" si="212">ABS(AL1668-AM1668)</f>
        <v>1183.2924326064367</v>
      </c>
      <c r="AO1668" s="13">
        <f t="shared" ref="AO1668:AO1731" si="213">ABS($AH1668-AM1668)/$AH1668</f>
        <v>0.14791155407580459</v>
      </c>
      <c r="AP1668" s="16">
        <v>8000</v>
      </c>
      <c r="AQ1668" s="16">
        <v>6327.0363748792524</v>
      </c>
      <c r="AR1668" s="16">
        <f t="shared" ref="AR1668:AR1731" si="214">ABS(AP1668-AQ1668)</f>
        <v>1672.9636251207476</v>
      </c>
      <c r="AS1668" s="17">
        <f t="shared" si="208"/>
        <v>0.20912045314009345</v>
      </c>
      <c r="AT1668" s="20">
        <v>8000</v>
      </c>
      <c r="AU1668" s="20">
        <v>6818.20654296875</v>
      </c>
      <c r="AV1668" s="20">
        <f t="shared" si="209"/>
        <v>1181.79345703125</v>
      </c>
      <c r="AW1668" s="21">
        <f t="shared" ref="AW1668:AW1731" si="215">ABS($AH1668-AU1668)/$AH1668</f>
        <v>0.14772418212890626</v>
      </c>
    </row>
    <row r="1669" spans="1:49" x14ac:dyDescent="0.25">
      <c r="A1669" t="s">
        <v>38</v>
      </c>
      <c r="B1669" t="s">
        <v>110</v>
      </c>
      <c r="C1669">
        <v>139580</v>
      </c>
      <c r="D1669">
        <v>2018</v>
      </c>
      <c r="E1669" t="s">
        <v>97</v>
      </c>
      <c r="F1669" t="s">
        <v>470</v>
      </c>
      <c r="G1669" t="s">
        <v>471</v>
      </c>
      <c r="I1669">
        <v>4</v>
      </c>
      <c r="J1669" t="s">
        <v>106</v>
      </c>
      <c r="K1669">
        <v>4</v>
      </c>
      <c r="L1669" t="s">
        <v>44</v>
      </c>
      <c r="M1669">
        <v>1.5</v>
      </c>
      <c r="N1669" t="s">
        <v>45</v>
      </c>
      <c r="O1669" t="s">
        <v>190</v>
      </c>
      <c r="Q1669" t="s">
        <v>47</v>
      </c>
      <c r="R1669" t="s">
        <v>123</v>
      </c>
      <c r="S1669" t="s">
        <v>101</v>
      </c>
      <c r="U1669" t="s">
        <v>50</v>
      </c>
      <c r="V1669" t="s">
        <v>51</v>
      </c>
      <c r="W1669" t="s">
        <v>687</v>
      </c>
      <c r="X1669" t="s">
        <v>125</v>
      </c>
      <c r="Y1669" t="s">
        <v>78</v>
      </c>
      <c r="Z1669">
        <v>23320</v>
      </c>
      <c r="AA1669">
        <v>0</v>
      </c>
      <c r="AB1669" t="s">
        <v>79</v>
      </c>
      <c r="AC1669" t="s">
        <v>127</v>
      </c>
      <c r="AD1669">
        <v>36</v>
      </c>
      <c r="AE1669">
        <v>9</v>
      </c>
      <c r="AF1669">
        <v>3</v>
      </c>
      <c r="AG1669">
        <v>2025</v>
      </c>
      <c r="AH1669" s="2">
        <v>1600</v>
      </c>
      <c r="AI1669" s="2">
        <v>2291.4560546875</v>
      </c>
      <c r="AJ1669" s="2">
        <f t="shared" si="210"/>
        <v>691.4560546875</v>
      </c>
      <c r="AK1669" s="6">
        <f t="shared" si="211"/>
        <v>0.43216003417968751</v>
      </c>
      <c r="AL1669" s="12">
        <v>1600</v>
      </c>
      <c r="AM1669" s="12">
        <v>1848.62215357077</v>
      </c>
      <c r="AN1669" s="12">
        <f t="shared" si="212"/>
        <v>248.62215357077002</v>
      </c>
      <c r="AO1669" s="13">
        <f t="shared" si="213"/>
        <v>0.15538884598173128</v>
      </c>
      <c r="AP1669" s="16">
        <v>1600</v>
      </c>
      <c r="AQ1669" s="16">
        <v>1852.0936385880771</v>
      </c>
      <c r="AR1669" s="16">
        <f t="shared" si="214"/>
        <v>252.09363858807706</v>
      </c>
      <c r="AS1669" s="17">
        <f t="shared" si="208"/>
        <v>0.15755852411754817</v>
      </c>
      <c r="AT1669" s="20">
        <v>1600</v>
      </c>
      <c r="AU1669" s="20">
        <v>2282.70263671875</v>
      </c>
      <c r="AV1669" s="20">
        <f t="shared" si="209"/>
        <v>682.70263671875</v>
      </c>
      <c r="AW1669" s="21">
        <f t="shared" si="215"/>
        <v>0.42668914794921875</v>
      </c>
    </row>
    <row r="1670" spans="1:49" x14ac:dyDescent="0.25">
      <c r="A1670" t="s">
        <v>38</v>
      </c>
      <c r="B1670" t="s">
        <v>110</v>
      </c>
      <c r="C1670">
        <v>195820</v>
      </c>
      <c r="D1670">
        <v>2014</v>
      </c>
      <c r="E1670" t="s">
        <v>97</v>
      </c>
      <c r="F1670" t="s">
        <v>159</v>
      </c>
      <c r="G1670" t="s">
        <v>155</v>
      </c>
      <c r="H1670" t="s">
        <v>89</v>
      </c>
      <c r="I1670">
        <v>8</v>
      </c>
      <c r="J1670" t="s">
        <v>72</v>
      </c>
      <c r="K1670">
        <v>4</v>
      </c>
      <c r="L1670" t="s">
        <v>44</v>
      </c>
      <c r="M1670">
        <v>5.3</v>
      </c>
      <c r="N1670" t="s">
        <v>73</v>
      </c>
      <c r="O1670" t="s">
        <v>46</v>
      </c>
      <c r="P1670">
        <v>2</v>
      </c>
      <c r="Q1670" t="s">
        <v>74</v>
      </c>
      <c r="R1670" t="s">
        <v>92</v>
      </c>
      <c r="S1670" t="s">
        <v>49</v>
      </c>
      <c r="U1670" t="s">
        <v>50</v>
      </c>
      <c r="W1670" t="s">
        <v>712</v>
      </c>
      <c r="X1670" t="s">
        <v>94</v>
      </c>
      <c r="Y1670" t="s">
        <v>78</v>
      </c>
      <c r="AA1670">
        <v>0</v>
      </c>
      <c r="AB1670" t="s">
        <v>79</v>
      </c>
      <c r="AC1670" t="s">
        <v>95</v>
      </c>
      <c r="AD1670">
        <v>36</v>
      </c>
      <c r="AE1670">
        <v>9</v>
      </c>
      <c r="AF1670">
        <v>3</v>
      </c>
      <c r="AG1670">
        <v>2025</v>
      </c>
      <c r="AH1670" s="2">
        <v>6200</v>
      </c>
      <c r="AI1670" s="2">
        <v>4634.18359375</v>
      </c>
      <c r="AJ1670" s="2">
        <f t="shared" si="210"/>
        <v>1565.81640625</v>
      </c>
      <c r="AK1670" s="6">
        <f t="shared" si="211"/>
        <v>0.25255103326612904</v>
      </c>
      <c r="AL1670" s="12">
        <v>6200</v>
      </c>
      <c r="AM1670" s="12">
        <v>4091.3448117351882</v>
      </c>
      <c r="AN1670" s="12">
        <f t="shared" si="212"/>
        <v>2108.6551882648118</v>
      </c>
      <c r="AO1670" s="13">
        <f t="shared" si="213"/>
        <v>0.34010567552658255</v>
      </c>
      <c r="AP1670" s="16">
        <v>6200</v>
      </c>
      <c r="AQ1670" s="16">
        <v>3938.709410436883</v>
      </c>
      <c r="AR1670" s="16">
        <f t="shared" si="214"/>
        <v>2261.290589563117</v>
      </c>
      <c r="AS1670" s="17">
        <f t="shared" si="208"/>
        <v>0.36472428863921241</v>
      </c>
      <c r="AT1670" s="20">
        <v>6200</v>
      </c>
      <c r="AU1670" s="20">
        <v>4626.73193359375</v>
      </c>
      <c r="AV1670" s="20">
        <f t="shared" si="209"/>
        <v>1573.26806640625</v>
      </c>
      <c r="AW1670" s="21">
        <f t="shared" si="215"/>
        <v>0.25375291393649191</v>
      </c>
    </row>
    <row r="1671" spans="1:49" x14ac:dyDescent="0.25">
      <c r="A1671" t="s">
        <v>38</v>
      </c>
      <c r="B1671" t="s">
        <v>110</v>
      </c>
      <c r="C1671">
        <v>151894</v>
      </c>
      <c r="D1671">
        <v>2010</v>
      </c>
      <c r="E1671" t="s">
        <v>97</v>
      </c>
      <c r="F1671" t="s">
        <v>1472</v>
      </c>
      <c r="G1671" t="s">
        <v>155</v>
      </c>
      <c r="I1671">
        <v>4</v>
      </c>
      <c r="J1671" t="s">
        <v>61</v>
      </c>
      <c r="K1671">
        <v>4</v>
      </c>
      <c r="L1671" t="s">
        <v>44</v>
      </c>
      <c r="M1671">
        <v>2.2000000000000002</v>
      </c>
      <c r="N1671" t="s">
        <v>45</v>
      </c>
      <c r="Q1671" t="s">
        <v>62</v>
      </c>
      <c r="R1671" t="s">
        <v>63</v>
      </c>
      <c r="U1671" t="s">
        <v>180</v>
      </c>
      <c r="W1671" t="s">
        <v>1473</v>
      </c>
      <c r="X1671" t="s">
        <v>65</v>
      </c>
      <c r="Y1671" t="s">
        <v>126</v>
      </c>
      <c r="AA1671">
        <v>0</v>
      </c>
      <c r="AB1671" t="s">
        <v>79</v>
      </c>
      <c r="AC1671" t="s">
        <v>87</v>
      </c>
      <c r="AD1671">
        <v>36</v>
      </c>
      <c r="AE1671">
        <v>9</v>
      </c>
      <c r="AF1671">
        <v>3</v>
      </c>
      <c r="AG1671">
        <v>2025</v>
      </c>
      <c r="AH1671" s="2">
        <v>1500</v>
      </c>
      <c r="AI1671" s="2">
        <v>1095.619018554688</v>
      </c>
      <c r="AJ1671" s="2">
        <f t="shared" si="210"/>
        <v>404.38098144531205</v>
      </c>
      <c r="AK1671" s="6">
        <f t="shared" si="211"/>
        <v>0.26958732096354138</v>
      </c>
      <c r="AL1671" s="12">
        <v>1500</v>
      </c>
      <c r="AM1671" s="12">
        <v>1330.072701181283</v>
      </c>
      <c r="AN1671" s="12">
        <f t="shared" si="212"/>
        <v>169.92729881871696</v>
      </c>
      <c r="AO1671" s="13">
        <f t="shared" si="213"/>
        <v>0.11328486587914464</v>
      </c>
      <c r="AP1671" s="16">
        <v>1500</v>
      </c>
      <c r="AQ1671" s="16">
        <v>947.64360041121722</v>
      </c>
      <c r="AR1671" s="16">
        <f t="shared" si="214"/>
        <v>552.35639958878278</v>
      </c>
      <c r="AS1671" s="17">
        <f t="shared" si="208"/>
        <v>0.36823759972585518</v>
      </c>
      <c r="AT1671" s="20">
        <v>1500</v>
      </c>
      <c r="AU1671" s="20">
        <v>1088.790771484375</v>
      </c>
      <c r="AV1671" s="20">
        <f t="shared" si="209"/>
        <v>411.209228515625</v>
      </c>
      <c r="AW1671" s="21">
        <f t="shared" si="215"/>
        <v>0.27413948567708335</v>
      </c>
    </row>
    <row r="1672" spans="1:49" x14ac:dyDescent="0.25">
      <c r="A1672" t="s">
        <v>38</v>
      </c>
      <c r="B1672" t="s">
        <v>39</v>
      </c>
      <c r="C1672">
        <v>101716</v>
      </c>
      <c r="D1672">
        <v>2018</v>
      </c>
      <c r="E1672" t="s">
        <v>142</v>
      </c>
      <c r="F1672" t="s">
        <v>630</v>
      </c>
      <c r="G1672" t="s">
        <v>118</v>
      </c>
      <c r="I1672">
        <v>4</v>
      </c>
      <c r="J1672" t="s">
        <v>43</v>
      </c>
      <c r="K1672">
        <v>4</v>
      </c>
      <c r="L1672" t="s">
        <v>44</v>
      </c>
      <c r="M1672">
        <v>2.4</v>
      </c>
      <c r="N1672" t="s">
        <v>91</v>
      </c>
      <c r="O1672" t="s">
        <v>46</v>
      </c>
      <c r="P1672">
        <v>3</v>
      </c>
      <c r="Q1672" t="s">
        <v>62</v>
      </c>
      <c r="R1672" t="s">
        <v>63</v>
      </c>
      <c r="S1672" t="s">
        <v>85</v>
      </c>
      <c r="T1672">
        <v>180</v>
      </c>
      <c r="U1672" t="s">
        <v>50</v>
      </c>
      <c r="X1672" t="s">
        <v>65</v>
      </c>
      <c r="Y1672" t="s">
        <v>632</v>
      </c>
      <c r="Z1672">
        <v>27295</v>
      </c>
      <c r="AA1672">
        <v>0</v>
      </c>
      <c r="AB1672" t="s">
        <v>79</v>
      </c>
      <c r="AC1672" t="s">
        <v>87</v>
      </c>
      <c r="AD1672">
        <v>36</v>
      </c>
      <c r="AE1672">
        <v>9</v>
      </c>
      <c r="AF1672">
        <v>3</v>
      </c>
      <c r="AG1672">
        <v>2025</v>
      </c>
      <c r="AH1672" s="2">
        <v>6500</v>
      </c>
      <c r="AI1672" s="2">
        <v>8260.4453125</v>
      </c>
      <c r="AJ1672" s="2">
        <f t="shared" si="210"/>
        <v>1760.4453125</v>
      </c>
      <c r="AK1672" s="6">
        <f t="shared" si="211"/>
        <v>0.27083774038461539</v>
      </c>
      <c r="AL1672" s="12">
        <v>6500</v>
      </c>
      <c r="AM1672" s="12">
        <v>7825.7728874089353</v>
      </c>
      <c r="AN1672" s="12">
        <f t="shared" si="212"/>
        <v>1325.7728874089353</v>
      </c>
      <c r="AO1672" s="13">
        <f t="shared" si="213"/>
        <v>0.20396505960137465</v>
      </c>
      <c r="AP1672" s="16">
        <v>6500</v>
      </c>
      <c r="AQ1672" s="16">
        <v>6162.6661267988893</v>
      </c>
      <c r="AR1672" s="16">
        <f t="shared" si="214"/>
        <v>337.33387320111069</v>
      </c>
      <c r="AS1672" s="17">
        <f t="shared" si="208"/>
        <v>5.1897518954017029E-2</v>
      </c>
      <c r="AT1672" s="20">
        <v>6500</v>
      </c>
      <c r="AU1672" s="20">
        <v>8260.7763671875</v>
      </c>
      <c r="AV1672" s="20">
        <f t="shared" si="209"/>
        <v>1760.7763671875</v>
      </c>
      <c r="AW1672" s="21">
        <f t="shared" si="215"/>
        <v>0.27088867187499999</v>
      </c>
    </row>
    <row r="1673" spans="1:49" x14ac:dyDescent="0.25">
      <c r="A1673" t="s">
        <v>128</v>
      </c>
      <c r="B1673" t="s">
        <v>309</v>
      </c>
      <c r="C1673">
        <v>132445</v>
      </c>
      <c r="D1673">
        <v>2018</v>
      </c>
      <c r="E1673" t="s">
        <v>388</v>
      </c>
      <c r="F1673" t="s">
        <v>668</v>
      </c>
      <c r="H1673" t="s">
        <v>669</v>
      </c>
      <c r="I1673">
        <v>3</v>
      </c>
      <c r="J1673" t="s">
        <v>43</v>
      </c>
      <c r="K1673">
        <v>4</v>
      </c>
      <c r="L1673" t="s">
        <v>44</v>
      </c>
      <c r="M1673">
        <v>1.2</v>
      </c>
      <c r="N1673" t="s">
        <v>45</v>
      </c>
      <c r="O1673" t="s">
        <v>46</v>
      </c>
      <c r="P1673">
        <v>1</v>
      </c>
      <c r="Q1673" t="s">
        <v>47</v>
      </c>
      <c r="R1673" t="s">
        <v>123</v>
      </c>
      <c r="U1673" t="s">
        <v>50</v>
      </c>
      <c r="V1673" t="s">
        <v>51</v>
      </c>
      <c r="X1673" t="s">
        <v>125</v>
      </c>
      <c r="Y1673" t="s">
        <v>439</v>
      </c>
      <c r="Z1673">
        <v>14395</v>
      </c>
      <c r="AA1673">
        <v>0</v>
      </c>
      <c r="AB1673" t="s">
        <v>79</v>
      </c>
      <c r="AC1673" t="s">
        <v>127</v>
      </c>
      <c r="AD1673">
        <v>36</v>
      </c>
      <c r="AE1673">
        <v>9</v>
      </c>
      <c r="AF1673">
        <v>3</v>
      </c>
      <c r="AG1673">
        <v>2025</v>
      </c>
      <c r="AH1673" s="2">
        <v>1500</v>
      </c>
      <c r="AI1673" s="2">
        <v>1181.373657226562</v>
      </c>
      <c r="AJ1673" s="2">
        <f t="shared" si="210"/>
        <v>318.62634277343795</v>
      </c>
      <c r="AK1673" s="6">
        <f t="shared" si="211"/>
        <v>0.21241756184895863</v>
      </c>
      <c r="AL1673" s="12">
        <v>1500</v>
      </c>
      <c r="AM1673" s="12">
        <v>1571.30788625078</v>
      </c>
      <c r="AN1673" s="12">
        <f t="shared" si="212"/>
        <v>71.30788625078003</v>
      </c>
      <c r="AO1673" s="13">
        <f t="shared" si="213"/>
        <v>4.7538590833853353E-2</v>
      </c>
      <c r="AP1673" s="16">
        <v>1500</v>
      </c>
      <c r="AQ1673" s="16">
        <v>1262.6503934905311</v>
      </c>
      <c r="AR1673" s="16">
        <f t="shared" si="214"/>
        <v>237.34960650946891</v>
      </c>
      <c r="AS1673" s="17">
        <f t="shared" si="208"/>
        <v>0.15823307100631262</v>
      </c>
      <c r="AT1673" s="20">
        <v>1500</v>
      </c>
      <c r="AU1673" s="20">
        <v>1183.245239257812</v>
      </c>
      <c r="AV1673" s="20">
        <f t="shared" si="209"/>
        <v>316.75476074218795</v>
      </c>
      <c r="AW1673" s="21">
        <f t="shared" si="215"/>
        <v>0.21116984049479198</v>
      </c>
    </row>
    <row r="1674" spans="1:49" x14ac:dyDescent="0.25">
      <c r="A1674" t="s">
        <v>81</v>
      </c>
      <c r="B1674" t="s">
        <v>82</v>
      </c>
      <c r="C1674">
        <v>120473</v>
      </c>
      <c r="D1674">
        <v>2012</v>
      </c>
      <c r="E1674" t="s">
        <v>142</v>
      </c>
      <c r="F1674" t="s">
        <v>1321</v>
      </c>
      <c r="G1674" t="s">
        <v>457</v>
      </c>
      <c r="I1674">
        <v>6</v>
      </c>
      <c r="J1674" t="s">
        <v>72</v>
      </c>
      <c r="K1674">
        <v>4</v>
      </c>
      <c r="L1674" t="s">
        <v>44</v>
      </c>
      <c r="M1674">
        <v>3.7</v>
      </c>
      <c r="N1674" t="s">
        <v>91</v>
      </c>
      <c r="O1674" t="s">
        <v>46</v>
      </c>
      <c r="Q1674" t="s">
        <v>62</v>
      </c>
      <c r="R1674" t="s">
        <v>63</v>
      </c>
      <c r="S1674" t="s">
        <v>93</v>
      </c>
      <c r="U1674" t="s">
        <v>50</v>
      </c>
      <c r="X1674" t="s">
        <v>141</v>
      </c>
      <c r="Y1674" t="s">
        <v>78</v>
      </c>
      <c r="AA1674">
        <v>0</v>
      </c>
      <c r="AB1674" t="s">
        <v>79</v>
      </c>
      <c r="AC1674" t="s">
        <v>87</v>
      </c>
      <c r="AD1674">
        <v>36</v>
      </c>
      <c r="AE1674">
        <v>9</v>
      </c>
      <c r="AF1674">
        <v>3</v>
      </c>
      <c r="AG1674">
        <v>2025</v>
      </c>
      <c r="AH1674" s="2">
        <v>3000</v>
      </c>
      <c r="AI1674" s="2">
        <v>2614.56787109375</v>
      </c>
      <c r="AJ1674" s="2">
        <f t="shared" si="210"/>
        <v>385.43212890625</v>
      </c>
      <c r="AK1674" s="6">
        <f t="shared" si="211"/>
        <v>0.12847737630208333</v>
      </c>
      <c r="AL1674" s="12">
        <v>3000</v>
      </c>
      <c r="AM1674" s="12">
        <v>2934.5300340478921</v>
      </c>
      <c r="AN1674" s="12">
        <f t="shared" si="212"/>
        <v>65.469965952107941</v>
      </c>
      <c r="AO1674" s="13">
        <f t="shared" si="213"/>
        <v>2.1823321984035981E-2</v>
      </c>
      <c r="AP1674" s="16">
        <v>3000</v>
      </c>
      <c r="AQ1674" s="16">
        <v>1912.090177761489</v>
      </c>
      <c r="AR1674" s="16">
        <f t="shared" si="214"/>
        <v>1087.909822238511</v>
      </c>
      <c r="AS1674" s="17">
        <f t="shared" si="208"/>
        <v>0.36263660741283699</v>
      </c>
      <c r="AT1674" s="20">
        <v>3000</v>
      </c>
      <c r="AU1674" s="20">
        <v>2616.557861328125</v>
      </c>
      <c r="AV1674" s="20">
        <f t="shared" si="209"/>
        <v>383.442138671875</v>
      </c>
      <c r="AW1674" s="21">
        <f t="shared" si="215"/>
        <v>0.12781404622395834</v>
      </c>
    </row>
    <row r="1675" spans="1:49" x14ac:dyDescent="0.25">
      <c r="A1675" t="s">
        <v>128</v>
      </c>
      <c r="B1675" t="s">
        <v>129</v>
      </c>
      <c r="C1675">
        <v>146116</v>
      </c>
      <c r="D1675">
        <v>2010</v>
      </c>
      <c r="E1675" t="s">
        <v>142</v>
      </c>
      <c r="F1675" t="s">
        <v>1321</v>
      </c>
      <c r="G1675" t="s">
        <v>457</v>
      </c>
      <c r="H1675" t="s">
        <v>1322</v>
      </c>
      <c r="I1675">
        <v>6</v>
      </c>
      <c r="J1675" t="s">
        <v>277</v>
      </c>
      <c r="K1675">
        <v>4</v>
      </c>
      <c r="L1675" t="s">
        <v>44</v>
      </c>
      <c r="M1675">
        <v>3.7</v>
      </c>
      <c r="N1675" t="s">
        <v>73</v>
      </c>
      <c r="O1675" t="s">
        <v>46</v>
      </c>
      <c r="Q1675" t="s">
        <v>62</v>
      </c>
      <c r="R1675" t="s">
        <v>63</v>
      </c>
      <c r="S1675" t="s">
        <v>49</v>
      </c>
      <c r="U1675" t="s">
        <v>50</v>
      </c>
      <c r="X1675" t="s">
        <v>141</v>
      </c>
      <c r="Y1675" t="s">
        <v>78</v>
      </c>
      <c r="AA1675">
        <v>0</v>
      </c>
      <c r="AB1675" t="s">
        <v>79</v>
      </c>
      <c r="AC1675" t="s">
        <v>87</v>
      </c>
      <c r="AD1675">
        <v>36</v>
      </c>
      <c r="AE1675">
        <v>9</v>
      </c>
      <c r="AF1675">
        <v>3</v>
      </c>
      <c r="AG1675">
        <v>2025</v>
      </c>
      <c r="AH1675" s="2">
        <v>1600</v>
      </c>
      <c r="AI1675" s="2">
        <v>1641.412719726562</v>
      </c>
      <c r="AJ1675" s="2">
        <f t="shared" si="210"/>
        <v>41.412719726562045</v>
      </c>
      <c r="AK1675" s="6">
        <f t="shared" si="211"/>
        <v>2.588294982910128E-2</v>
      </c>
      <c r="AL1675" s="12">
        <v>1600</v>
      </c>
      <c r="AM1675" s="12">
        <v>1905.9488181339671</v>
      </c>
      <c r="AN1675" s="12">
        <f t="shared" si="212"/>
        <v>305.94881813396705</v>
      </c>
      <c r="AO1675" s="13">
        <f t="shared" si="213"/>
        <v>0.1912180113337294</v>
      </c>
      <c r="AP1675" s="16">
        <v>1600</v>
      </c>
      <c r="AQ1675" s="16">
        <v>1341.326555434754</v>
      </c>
      <c r="AR1675" s="16">
        <f t="shared" si="214"/>
        <v>258.67344456524597</v>
      </c>
      <c r="AS1675" s="17">
        <f t="shared" si="208"/>
        <v>0.16167090285327873</v>
      </c>
      <c r="AT1675" s="20">
        <v>1600</v>
      </c>
      <c r="AU1675" s="20">
        <v>1638.917846679688</v>
      </c>
      <c r="AV1675" s="20">
        <f t="shared" si="209"/>
        <v>38.917846679687955</v>
      </c>
      <c r="AW1675" s="21">
        <f t="shared" si="215"/>
        <v>2.4323654174804973E-2</v>
      </c>
    </row>
    <row r="1676" spans="1:49" x14ac:dyDescent="0.25">
      <c r="A1676" t="s">
        <v>38</v>
      </c>
      <c r="B1676" t="s">
        <v>110</v>
      </c>
      <c r="C1676">
        <v>74228</v>
      </c>
      <c r="D1676">
        <v>2022</v>
      </c>
      <c r="E1676" t="s">
        <v>174</v>
      </c>
      <c r="F1676" t="s">
        <v>175</v>
      </c>
      <c r="H1676" t="s">
        <v>548</v>
      </c>
      <c r="I1676">
        <v>8</v>
      </c>
      <c r="J1676" t="s">
        <v>61</v>
      </c>
      <c r="K1676">
        <v>4</v>
      </c>
      <c r="L1676" t="s">
        <v>44</v>
      </c>
      <c r="M1676">
        <v>6.2</v>
      </c>
      <c r="N1676" t="s">
        <v>91</v>
      </c>
      <c r="Q1676" t="s">
        <v>62</v>
      </c>
      <c r="R1676" t="s">
        <v>63</v>
      </c>
      <c r="S1676" t="s">
        <v>93</v>
      </c>
      <c r="U1676" t="s">
        <v>50</v>
      </c>
      <c r="V1676" t="s">
        <v>76</v>
      </c>
      <c r="W1676" t="s">
        <v>1236</v>
      </c>
      <c r="X1676" t="s">
        <v>108</v>
      </c>
      <c r="Y1676" t="s">
        <v>78</v>
      </c>
      <c r="AA1676">
        <v>0</v>
      </c>
      <c r="AB1676" t="s">
        <v>79</v>
      </c>
      <c r="AC1676" t="s">
        <v>87</v>
      </c>
      <c r="AD1676">
        <v>36</v>
      </c>
      <c r="AE1676">
        <v>9</v>
      </c>
      <c r="AF1676">
        <v>3</v>
      </c>
      <c r="AG1676">
        <v>2025</v>
      </c>
      <c r="AH1676" s="2">
        <v>46000</v>
      </c>
      <c r="AI1676" s="2">
        <v>54578.8046875</v>
      </c>
      <c r="AJ1676" s="2">
        <f t="shared" si="210"/>
        <v>8578.8046875</v>
      </c>
      <c r="AK1676" s="6">
        <f t="shared" si="211"/>
        <v>0.18649575407608696</v>
      </c>
      <c r="AL1676" s="12">
        <v>46000</v>
      </c>
      <c r="AM1676" s="12">
        <v>48281.617025975211</v>
      </c>
      <c r="AN1676" s="12">
        <f t="shared" si="212"/>
        <v>2281.6170259752107</v>
      </c>
      <c r="AO1676" s="13">
        <f t="shared" si="213"/>
        <v>4.9600370129895884E-2</v>
      </c>
      <c r="AP1676" s="16">
        <v>46000</v>
      </c>
      <c r="AQ1676" s="16">
        <v>40517.0043470768</v>
      </c>
      <c r="AR1676" s="16">
        <f t="shared" si="214"/>
        <v>5482.9956529232004</v>
      </c>
      <c r="AS1676" s="17">
        <f t="shared" si="208"/>
        <v>0.11919555767224349</v>
      </c>
      <c r="AT1676" s="20">
        <v>46000</v>
      </c>
      <c r="AU1676" s="20">
        <v>52919.2890625</v>
      </c>
      <c r="AV1676" s="20">
        <f t="shared" si="209"/>
        <v>6919.2890625</v>
      </c>
      <c r="AW1676" s="21">
        <f t="shared" si="215"/>
        <v>0.15041932744565217</v>
      </c>
    </row>
    <row r="1677" spans="1:49" x14ac:dyDescent="0.25">
      <c r="A1677" t="s">
        <v>38</v>
      </c>
      <c r="B1677" t="s">
        <v>39</v>
      </c>
      <c r="C1677">
        <v>147875</v>
      </c>
      <c r="D1677">
        <v>2016</v>
      </c>
      <c r="E1677" t="s">
        <v>58</v>
      </c>
      <c r="F1677" t="s">
        <v>239</v>
      </c>
      <c r="G1677" t="s">
        <v>1474</v>
      </c>
      <c r="I1677">
        <v>4</v>
      </c>
      <c r="J1677" t="s">
        <v>72</v>
      </c>
      <c r="K1677">
        <v>4</v>
      </c>
      <c r="L1677" t="s">
        <v>44</v>
      </c>
      <c r="M1677">
        <v>2.4</v>
      </c>
      <c r="N1677" t="s">
        <v>45</v>
      </c>
      <c r="O1677" t="s">
        <v>46</v>
      </c>
      <c r="Q1677" t="s">
        <v>62</v>
      </c>
      <c r="R1677" t="s">
        <v>63</v>
      </c>
      <c r="U1677" t="s">
        <v>50</v>
      </c>
      <c r="W1677" t="s">
        <v>595</v>
      </c>
      <c r="X1677" t="s">
        <v>65</v>
      </c>
      <c r="Y1677" t="s">
        <v>66</v>
      </c>
      <c r="AA1677">
        <v>0</v>
      </c>
      <c r="AB1677" t="s">
        <v>79</v>
      </c>
      <c r="AC1677" t="s">
        <v>87</v>
      </c>
      <c r="AD1677">
        <v>36</v>
      </c>
      <c r="AE1677">
        <v>9</v>
      </c>
      <c r="AF1677">
        <v>3</v>
      </c>
      <c r="AG1677">
        <v>2025</v>
      </c>
      <c r="AH1677" s="2">
        <v>3000</v>
      </c>
      <c r="AI1677" s="2">
        <v>3078.29345703125</v>
      </c>
      <c r="AJ1677" s="2">
        <f t="shared" si="210"/>
        <v>78.29345703125</v>
      </c>
      <c r="AK1677" s="6">
        <f t="shared" si="211"/>
        <v>2.6097819010416665E-2</v>
      </c>
      <c r="AL1677" s="12">
        <v>3000</v>
      </c>
      <c r="AM1677" s="12">
        <v>3117.8425689928522</v>
      </c>
      <c r="AN1677" s="12">
        <f t="shared" si="212"/>
        <v>117.84256899285219</v>
      </c>
      <c r="AO1677" s="13">
        <f t="shared" si="213"/>
        <v>3.9280856330950728E-2</v>
      </c>
      <c r="AP1677" s="16">
        <v>3000</v>
      </c>
      <c r="AQ1677" s="16">
        <v>2852.6945785248549</v>
      </c>
      <c r="AR1677" s="16">
        <f t="shared" si="214"/>
        <v>147.30542147514507</v>
      </c>
      <c r="AS1677" s="17">
        <f t="shared" si="208"/>
        <v>4.9101807158381687E-2</v>
      </c>
      <c r="AT1677" s="20">
        <v>3000</v>
      </c>
      <c r="AU1677" s="20">
        <v>3131.8095703125</v>
      </c>
      <c r="AV1677" s="20">
        <f t="shared" si="209"/>
        <v>131.8095703125</v>
      </c>
      <c r="AW1677" s="21">
        <f t="shared" si="215"/>
        <v>4.39365234375E-2</v>
      </c>
    </row>
    <row r="1678" spans="1:49" x14ac:dyDescent="0.25">
      <c r="A1678" t="s">
        <v>38</v>
      </c>
      <c r="B1678" t="s">
        <v>39</v>
      </c>
      <c r="C1678">
        <v>236083</v>
      </c>
      <c r="D1678">
        <v>2011</v>
      </c>
      <c r="E1678" t="s">
        <v>69</v>
      </c>
      <c r="F1678" t="s">
        <v>258</v>
      </c>
      <c r="H1678" t="s">
        <v>259</v>
      </c>
      <c r="I1678">
        <v>8</v>
      </c>
      <c r="J1678" t="s">
        <v>122</v>
      </c>
      <c r="K1678">
        <v>4</v>
      </c>
      <c r="L1678" t="s">
        <v>44</v>
      </c>
      <c r="M1678">
        <v>6.7</v>
      </c>
      <c r="N1678" t="s">
        <v>91</v>
      </c>
      <c r="O1678" t="s">
        <v>190</v>
      </c>
      <c r="Q1678" t="s">
        <v>74</v>
      </c>
      <c r="R1678" t="s">
        <v>92</v>
      </c>
      <c r="S1678" t="s">
        <v>93</v>
      </c>
      <c r="T1678">
        <v>400</v>
      </c>
      <c r="U1678" t="s">
        <v>229</v>
      </c>
      <c r="V1678" t="s">
        <v>76</v>
      </c>
      <c r="X1678" t="s">
        <v>260</v>
      </c>
      <c r="Y1678" t="s">
        <v>78</v>
      </c>
      <c r="AA1678">
        <v>0</v>
      </c>
      <c r="AB1678" t="s">
        <v>79</v>
      </c>
      <c r="AC1678" t="s">
        <v>261</v>
      </c>
      <c r="AD1678">
        <v>36</v>
      </c>
      <c r="AE1678">
        <v>9</v>
      </c>
      <c r="AF1678">
        <v>3</v>
      </c>
      <c r="AG1678">
        <v>2025</v>
      </c>
      <c r="AH1678" s="2">
        <v>1200</v>
      </c>
      <c r="AI1678" s="2">
        <v>4786.06982421875</v>
      </c>
      <c r="AJ1678" s="2">
        <f t="shared" si="210"/>
        <v>3586.06982421875</v>
      </c>
      <c r="AK1678" s="6">
        <f t="shared" si="211"/>
        <v>2.9883915201822915</v>
      </c>
      <c r="AL1678" s="12">
        <v>1200</v>
      </c>
      <c r="AM1678" s="12">
        <v>3094.679316279161</v>
      </c>
      <c r="AN1678" s="12">
        <f t="shared" si="212"/>
        <v>1894.679316279161</v>
      </c>
      <c r="AO1678" s="13">
        <f t="shared" si="213"/>
        <v>1.5788994302326342</v>
      </c>
      <c r="AP1678" s="16">
        <v>1200</v>
      </c>
      <c r="AQ1678" s="16">
        <v>3511.7759609199011</v>
      </c>
      <c r="AR1678" s="16">
        <f t="shared" si="214"/>
        <v>2311.7759609199011</v>
      </c>
      <c r="AS1678" s="17">
        <f t="shared" si="208"/>
        <v>1.9264799674332509</v>
      </c>
      <c r="AT1678" s="20">
        <v>1200</v>
      </c>
      <c r="AU1678" s="20">
        <v>4635.341796875</v>
      </c>
      <c r="AV1678" s="20">
        <f t="shared" si="209"/>
        <v>3435.341796875</v>
      </c>
      <c r="AW1678" s="21">
        <f t="shared" si="215"/>
        <v>2.8627848307291668</v>
      </c>
    </row>
    <row r="1679" spans="1:49" x14ac:dyDescent="0.25">
      <c r="A1679" t="s">
        <v>38</v>
      </c>
      <c r="B1679" t="s">
        <v>96</v>
      </c>
      <c r="C1679">
        <v>26107</v>
      </c>
      <c r="D1679">
        <v>2024</v>
      </c>
      <c r="E1679" t="s">
        <v>97</v>
      </c>
      <c r="F1679" t="s">
        <v>470</v>
      </c>
      <c r="G1679" t="s">
        <v>513</v>
      </c>
      <c r="I1679">
        <v>4</v>
      </c>
      <c r="J1679" t="s">
        <v>72</v>
      </c>
      <c r="K1679">
        <v>4</v>
      </c>
      <c r="L1679" t="s">
        <v>44</v>
      </c>
      <c r="M1679">
        <v>1.5</v>
      </c>
      <c r="N1679" t="s">
        <v>45</v>
      </c>
      <c r="O1679" t="s">
        <v>46</v>
      </c>
      <c r="P1679">
        <v>5</v>
      </c>
      <c r="Q1679" t="s">
        <v>47</v>
      </c>
      <c r="R1679" t="s">
        <v>123</v>
      </c>
      <c r="U1679" t="s">
        <v>50</v>
      </c>
      <c r="V1679" t="s">
        <v>51</v>
      </c>
      <c r="W1679" t="s">
        <v>751</v>
      </c>
      <c r="X1679" t="s">
        <v>53</v>
      </c>
      <c r="Y1679" t="s">
        <v>78</v>
      </c>
      <c r="AA1679">
        <v>0</v>
      </c>
      <c r="AB1679" t="s">
        <v>79</v>
      </c>
      <c r="AC1679" t="s">
        <v>127</v>
      </c>
      <c r="AD1679">
        <v>36</v>
      </c>
      <c r="AE1679">
        <v>9</v>
      </c>
      <c r="AF1679">
        <v>3</v>
      </c>
      <c r="AG1679">
        <v>2025</v>
      </c>
      <c r="AH1679" s="2">
        <v>16800</v>
      </c>
      <c r="AI1679" s="2">
        <v>20685.208984375</v>
      </c>
      <c r="AJ1679" s="2">
        <f t="shared" si="210"/>
        <v>3885.208984375</v>
      </c>
      <c r="AK1679" s="6">
        <f t="shared" si="211"/>
        <v>0.23126243954613096</v>
      </c>
      <c r="AL1679" s="12">
        <v>16800</v>
      </c>
      <c r="AM1679" s="12">
        <v>24216.062999215981</v>
      </c>
      <c r="AN1679" s="12">
        <f t="shared" si="212"/>
        <v>7416.0629992159811</v>
      </c>
      <c r="AO1679" s="13">
        <f t="shared" si="213"/>
        <v>0.44143232138190364</v>
      </c>
      <c r="AP1679" s="16">
        <v>16800</v>
      </c>
      <c r="AQ1679" s="16">
        <v>18970.546037368051</v>
      </c>
      <c r="AR1679" s="16">
        <f t="shared" si="214"/>
        <v>2170.5460373680507</v>
      </c>
      <c r="AS1679" s="17">
        <f t="shared" si="208"/>
        <v>0.1291991688909554</v>
      </c>
      <c r="AT1679" s="20">
        <v>16800</v>
      </c>
      <c r="AU1679" s="20">
        <v>21023.7578125</v>
      </c>
      <c r="AV1679" s="20">
        <f t="shared" si="209"/>
        <v>4223.7578125</v>
      </c>
      <c r="AW1679" s="21">
        <f t="shared" si="215"/>
        <v>0.25141415550595236</v>
      </c>
    </row>
    <row r="1680" spans="1:49" x14ac:dyDescent="0.25">
      <c r="A1680" t="s">
        <v>128</v>
      </c>
      <c r="B1680" t="s">
        <v>210</v>
      </c>
      <c r="C1680">
        <v>24012</v>
      </c>
      <c r="D1680">
        <v>2023</v>
      </c>
      <c r="E1680" t="s">
        <v>40</v>
      </c>
      <c r="F1680" t="s">
        <v>233</v>
      </c>
      <c r="G1680" t="s">
        <v>572</v>
      </c>
      <c r="H1680" t="s">
        <v>1475</v>
      </c>
      <c r="I1680">
        <v>4</v>
      </c>
      <c r="J1680" t="s">
        <v>106</v>
      </c>
      <c r="K1680">
        <v>4</v>
      </c>
      <c r="L1680" t="s">
        <v>44</v>
      </c>
      <c r="M1680">
        <v>2.5</v>
      </c>
      <c r="N1680" t="s">
        <v>45</v>
      </c>
      <c r="O1680" t="s">
        <v>46</v>
      </c>
      <c r="Q1680" t="s">
        <v>62</v>
      </c>
      <c r="R1680" t="s">
        <v>63</v>
      </c>
      <c r="S1680" t="s">
        <v>49</v>
      </c>
      <c r="T1680">
        <v>203</v>
      </c>
      <c r="U1680" t="s">
        <v>50</v>
      </c>
      <c r="V1680" t="s">
        <v>51</v>
      </c>
      <c r="W1680" t="s">
        <v>449</v>
      </c>
      <c r="X1680" t="s">
        <v>65</v>
      </c>
      <c r="Y1680" t="s">
        <v>103</v>
      </c>
      <c r="AA1680">
        <v>0</v>
      </c>
      <c r="AB1680" t="s">
        <v>79</v>
      </c>
      <c r="AC1680" t="s">
        <v>87</v>
      </c>
      <c r="AD1680">
        <v>36</v>
      </c>
      <c r="AE1680">
        <v>9</v>
      </c>
      <c r="AF1680">
        <v>3</v>
      </c>
      <c r="AG1680">
        <v>2025</v>
      </c>
      <c r="AH1680" s="2">
        <v>24300</v>
      </c>
      <c r="AI1680" s="2">
        <v>21298.42578125</v>
      </c>
      <c r="AJ1680" s="2">
        <f t="shared" si="210"/>
        <v>3001.57421875</v>
      </c>
      <c r="AK1680" s="6">
        <f t="shared" si="211"/>
        <v>0.12352157278806584</v>
      </c>
      <c r="AL1680" s="12">
        <v>24300</v>
      </c>
      <c r="AM1680" s="12">
        <v>22892.014067138691</v>
      </c>
      <c r="AN1680" s="12">
        <f t="shared" si="212"/>
        <v>1407.9859328613093</v>
      </c>
      <c r="AO1680" s="13">
        <f t="shared" si="213"/>
        <v>5.7941807936679392E-2</v>
      </c>
      <c r="AP1680" s="16">
        <v>24300</v>
      </c>
      <c r="AQ1680" s="16">
        <v>22776.31600605166</v>
      </c>
      <c r="AR1680" s="16">
        <f t="shared" si="214"/>
        <v>1523.6839939483398</v>
      </c>
      <c r="AS1680" s="17">
        <f t="shared" si="208"/>
        <v>6.2703045018450199E-2</v>
      </c>
      <c r="AT1680" s="20">
        <v>24300</v>
      </c>
      <c r="AU1680" s="20">
        <v>21412.501953125</v>
      </c>
      <c r="AV1680" s="20">
        <f t="shared" si="209"/>
        <v>2887.498046875</v>
      </c>
      <c r="AW1680" s="21">
        <f t="shared" si="215"/>
        <v>0.11882708011831276</v>
      </c>
    </row>
    <row r="1681" spans="1:49" x14ac:dyDescent="0.25">
      <c r="A1681" t="s">
        <v>38</v>
      </c>
      <c r="B1681" t="s">
        <v>110</v>
      </c>
      <c r="C1681">
        <v>113328</v>
      </c>
      <c r="D1681">
        <v>2019</v>
      </c>
      <c r="E1681" t="s">
        <v>88</v>
      </c>
      <c r="F1681" t="s">
        <v>89</v>
      </c>
      <c r="H1681" t="s">
        <v>686</v>
      </c>
      <c r="I1681">
        <v>8</v>
      </c>
      <c r="J1681" t="s">
        <v>61</v>
      </c>
      <c r="K1681">
        <v>4</v>
      </c>
      <c r="L1681" t="s">
        <v>44</v>
      </c>
      <c r="M1681">
        <v>5.7</v>
      </c>
      <c r="N1681" t="s">
        <v>73</v>
      </c>
      <c r="Q1681" t="s">
        <v>74</v>
      </c>
      <c r="R1681" t="s">
        <v>92</v>
      </c>
      <c r="S1681" t="s">
        <v>49</v>
      </c>
      <c r="T1681">
        <v>395</v>
      </c>
      <c r="U1681" t="s">
        <v>50</v>
      </c>
      <c r="V1681" t="s">
        <v>76</v>
      </c>
      <c r="X1681" t="s">
        <v>94</v>
      </c>
      <c r="Y1681" t="s">
        <v>78</v>
      </c>
      <c r="AA1681">
        <v>0</v>
      </c>
      <c r="AB1681" t="s">
        <v>79</v>
      </c>
      <c r="AC1681" t="s">
        <v>95</v>
      </c>
      <c r="AD1681">
        <v>36</v>
      </c>
      <c r="AE1681">
        <v>9</v>
      </c>
      <c r="AF1681">
        <v>3</v>
      </c>
      <c r="AG1681">
        <v>2025</v>
      </c>
      <c r="AH1681" s="2">
        <v>16000</v>
      </c>
      <c r="AI1681" s="2">
        <v>14508.13671875</v>
      </c>
      <c r="AJ1681" s="2">
        <f t="shared" si="210"/>
        <v>1491.86328125</v>
      </c>
      <c r="AK1681" s="6">
        <f t="shared" si="211"/>
        <v>9.3241455078124993E-2</v>
      </c>
      <c r="AL1681" s="12">
        <v>16000</v>
      </c>
      <c r="AM1681" s="12">
        <v>14513.249529642881</v>
      </c>
      <c r="AN1681" s="12">
        <f t="shared" si="212"/>
        <v>1486.7504703571194</v>
      </c>
      <c r="AO1681" s="13">
        <f t="shared" si="213"/>
        <v>9.2921904397319968E-2</v>
      </c>
      <c r="AP1681" s="16">
        <v>16000</v>
      </c>
      <c r="AQ1681" s="16">
        <v>15048.800350336</v>
      </c>
      <c r="AR1681" s="16">
        <f t="shared" si="214"/>
        <v>951.19964966400039</v>
      </c>
      <c r="AS1681" s="17">
        <f t="shared" si="208"/>
        <v>5.9449978104000024E-2</v>
      </c>
      <c r="AT1681" s="20">
        <v>16000</v>
      </c>
      <c r="AU1681" s="20">
        <v>14313.931640625</v>
      </c>
      <c r="AV1681" s="20">
        <f t="shared" si="209"/>
        <v>1686.068359375</v>
      </c>
      <c r="AW1681" s="21">
        <f t="shared" si="215"/>
        <v>0.10537927246093751</v>
      </c>
    </row>
    <row r="1682" spans="1:49" x14ac:dyDescent="0.25">
      <c r="A1682" t="s">
        <v>128</v>
      </c>
      <c r="B1682" t="s">
        <v>129</v>
      </c>
      <c r="C1682">
        <v>170585</v>
      </c>
      <c r="D1682">
        <v>2013</v>
      </c>
      <c r="E1682" t="s">
        <v>142</v>
      </c>
      <c r="F1682" t="s">
        <v>335</v>
      </c>
      <c r="G1682" t="s">
        <v>457</v>
      </c>
      <c r="I1682">
        <v>4</v>
      </c>
      <c r="J1682" t="s">
        <v>43</v>
      </c>
      <c r="K1682">
        <v>4</v>
      </c>
      <c r="L1682" t="s">
        <v>44</v>
      </c>
      <c r="M1682">
        <v>2</v>
      </c>
      <c r="N1682" t="s">
        <v>45</v>
      </c>
      <c r="Q1682" t="s">
        <v>62</v>
      </c>
      <c r="R1682" t="s">
        <v>63</v>
      </c>
      <c r="S1682" t="s">
        <v>101</v>
      </c>
      <c r="U1682" t="s">
        <v>50</v>
      </c>
      <c r="X1682" t="s">
        <v>65</v>
      </c>
      <c r="Y1682" t="s">
        <v>78</v>
      </c>
      <c r="AA1682">
        <v>0</v>
      </c>
      <c r="AB1682" t="s">
        <v>79</v>
      </c>
      <c r="AC1682" t="s">
        <v>87</v>
      </c>
      <c r="AD1682">
        <v>36</v>
      </c>
      <c r="AE1682">
        <v>9</v>
      </c>
      <c r="AF1682">
        <v>3</v>
      </c>
      <c r="AG1682">
        <v>2025</v>
      </c>
      <c r="AH1682" s="2">
        <v>900</v>
      </c>
      <c r="AI1682" s="2">
        <v>1226.362426757812</v>
      </c>
      <c r="AJ1682" s="2">
        <f t="shared" si="210"/>
        <v>326.36242675781205</v>
      </c>
      <c r="AK1682" s="6">
        <f t="shared" si="211"/>
        <v>0.36262491861979118</v>
      </c>
      <c r="AL1682" s="12">
        <v>900</v>
      </c>
      <c r="AM1682" s="12">
        <v>1491.1190857134859</v>
      </c>
      <c r="AN1682" s="12">
        <f t="shared" si="212"/>
        <v>591.1190857134859</v>
      </c>
      <c r="AO1682" s="13">
        <f t="shared" si="213"/>
        <v>0.6567989841260955</v>
      </c>
      <c r="AP1682" s="16">
        <v>900</v>
      </c>
      <c r="AQ1682" s="16">
        <v>1290.590059925207</v>
      </c>
      <c r="AR1682" s="16">
        <f t="shared" si="214"/>
        <v>390.59005992520702</v>
      </c>
      <c r="AS1682" s="17">
        <f t="shared" si="208"/>
        <v>0.43398895547245225</v>
      </c>
      <c r="AT1682" s="20">
        <v>900</v>
      </c>
      <c r="AU1682" s="20">
        <v>1212.611694335938</v>
      </c>
      <c r="AV1682" s="20">
        <f t="shared" si="209"/>
        <v>312.61169433593795</v>
      </c>
      <c r="AW1682" s="21">
        <f t="shared" si="215"/>
        <v>0.34734632703993107</v>
      </c>
    </row>
    <row r="1683" spans="1:49" x14ac:dyDescent="0.25">
      <c r="A1683" t="s">
        <v>128</v>
      </c>
      <c r="B1683" t="s">
        <v>819</v>
      </c>
      <c r="C1683">
        <v>80176</v>
      </c>
      <c r="D1683">
        <v>2022</v>
      </c>
      <c r="E1683" t="s">
        <v>162</v>
      </c>
      <c r="F1683" t="s">
        <v>1284</v>
      </c>
      <c r="G1683" t="s">
        <v>1476</v>
      </c>
      <c r="I1683">
        <v>4</v>
      </c>
      <c r="J1683" t="s">
        <v>135</v>
      </c>
      <c r="K1683">
        <v>4</v>
      </c>
      <c r="L1683" t="s">
        <v>44</v>
      </c>
      <c r="M1683">
        <v>1.6</v>
      </c>
      <c r="N1683" t="s">
        <v>45</v>
      </c>
      <c r="Q1683" t="s">
        <v>47</v>
      </c>
      <c r="R1683" t="s">
        <v>757</v>
      </c>
      <c r="S1683" t="s">
        <v>101</v>
      </c>
      <c r="U1683" t="s">
        <v>50</v>
      </c>
      <c r="W1683" t="s">
        <v>1286</v>
      </c>
      <c r="X1683" t="s">
        <v>125</v>
      </c>
      <c r="Y1683" t="s">
        <v>66</v>
      </c>
      <c r="AA1683">
        <v>0</v>
      </c>
      <c r="AB1683" t="s">
        <v>79</v>
      </c>
      <c r="AC1683" t="s">
        <v>757</v>
      </c>
      <c r="AD1683">
        <v>36</v>
      </c>
      <c r="AE1683">
        <v>9</v>
      </c>
      <c r="AF1683">
        <v>3</v>
      </c>
      <c r="AG1683">
        <v>2025</v>
      </c>
      <c r="AH1683" s="2">
        <v>10800</v>
      </c>
      <c r="AI1683" s="2">
        <v>14202.3828125</v>
      </c>
      <c r="AJ1683" s="2">
        <f t="shared" si="210"/>
        <v>3402.3828125</v>
      </c>
      <c r="AK1683" s="6">
        <f t="shared" si="211"/>
        <v>0.31503544560185187</v>
      </c>
      <c r="AL1683" s="12">
        <v>10800</v>
      </c>
      <c r="AM1683" s="12">
        <v>10848.662130149991</v>
      </c>
      <c r="AN1683" s="12">
        <f t="shared" si="212"/>
        <v>48.662130149990844</v>
      </c>
      <c r="AO1683" s="13">
        <f t="shared" si="213"/>
        <v>4.5057527916658189E-3</v>
      </c>
      <c r="AP1683" s="16">
        <v>10800</v>
      </c>
      <c r="AQ1683" s="16">
        <v>12463.55049842394</v>
      </c>
      <c r="AR1683" s="16">
        <f t="shared" si="214"/>
        <v>1663.5504984239396</v>
      </c>
      <c r="AS1683" s="17">
        <f t="shared" si="208"/>
        <v>0.15403245355777218</v>
      </c>
      <c r="AT1683" s="20">
        <v>10800</v>
      </c>
      <c r="AU1683" s="20">
        <v>13643.10546875</v>
      </c>
      <c r="AV1683" s="20">
        <f t="shared" si="209"/>
        <v>2843.10546875</v>
      </c>
      <c r="AW1683" s="21">
        <f t="shared" si="215"/>
        <v>0.26325050636574077</v>
      </c>
    </row>
    <row r="1684" spans="1:49" x14ac:dyDescent="0.25">
      <c r="A1684" t="s">
        <v>38</v>
      </c>
      <c r="B1684" t="s">
        <v>68</v>
      </c>
      <c r="C1684">
        <v>91505</v>
      </c>
      <c r="D1684">
        <v>2012</v>
      </c>
      <c r="E1684" t="s">
        <v>166</v>
      </c>
      <c r="F1684" t="s">
        <v>223</v>
      </c>
      <c r="G1684" t="s">
        <v>240</v>
      </c>
      <c r="I1684">
        <v>6</v>
      </c>
      <c r="J1684" t="s">
        <v>135</v>
      </c>
      <c r="K1684">
        <v>4</v>
      </c>
      <c r="L1684" t="s">
        <v>44</v>
      </c>
      <c r="M1684">
        <v>3.5</v>
      </c>
      <c r="N1684" t="s">
        <v>45</v>
      </c>
      <c r="O1684" t="s">
        <v>46</v>
      </c>
      <c r="P1684">
        <v>4</v>
      </c>
      <c r="Q1684" t="s">
        <v>62</v>
      </c>
      <c r="R1684" t="s">
        <v>225</v>
      </c>
      <c r="T1684">
        <v>248</v>
      </c>
      <c r="U1684" t="s">
        <v>50</v>
      </c>
      <c r="V1684" t="s">
        <v>76</v>
      </c>
      <c r="W1684" t="s">
        <v>226</v>
      </c>
      <c r="X1684" t="s">
        <v>94</v>
      </c>
      <c r="Y1684" t="s">
        <v>78</v>
      </c>
      <c r="AA1684">
        <v>0</v>
      </c>
      <c r="AB1684" t="s">
        <v>79</v>
      </c>
      <c r="AC1684" t="s">
        <v>225</v>
      </c>
      <c r="AD1684">
        <v>36</v>
      </c>
      <c r="AE1684">
        <v>9</v>
      </c>
      <c r="AF1684">
        <v>3</v>
      </c>
      <c r="AG1684">
        <v>2025</v>
      </c>
      <c r="AH1684" s="2">
        <v>7250</v>
      </c>
      <c r="AI1684" s="2">
        <v>7785.50146484375</v>
      </c>
      <c r="AJ1684" s="2">
        <f t="shared" si="210"/>
        <v>535.50146484375</v>
      </c>
      <c r="AK1684" s="6">
        <f t="shared" si="211"/>
        <v>7.3862271012931038E-2</v>
      </c>
      <c r="AL1684" s="12">
        <v>7250</v>
      </c>
      <c r="AM1684" s="12">
        <v>7862.1999990427812</v>
      </c>
      <c r="AN1684" s="12">
        <f t="shared" si="212"/>
        <v>612.1999990427812</v>
      </c>
      <c r="AO1684" s="13">
        <f t="shared" si="213"/>
        <v>8.4441379178314652E-2</v>
      </c>
      <c r="AP1684" s="16">
        <v>7250</v>
      </c>
      <c r="AQ1684" s="16">
        <v>6835.65838073742</v>
      </c>
      <c r="AR1684" s="16">
        <f t="shared" si="214"/>
        <v>414.34161926258002</v>
      </c>
      <c r="AS1684" s="17">
        <f t="shared" si="208"/>
        <v>5.7150568174148972E-2</v>
      </c>
      <c r="AT1684" s="20">
        <v>7250</v>
      </c>
      <c r="AU1684" s="20">
        <v>7909.47119140625</v>
      </c>
      <c r="AV1684" s="20">
        <f t="shared" si="209"/>
        <v>659.47119140625</v>
      </c>
      <c r="AW1684" s="21">
        <f t="shared" si="215"/>
        <v>9.0961543642241377E-2</v>
      </c>
    </row>
    <row r="1685" spans="1:49" x14ac:dyDescent="0.25">
      <c r="A1685" t="s">
        <v>38</v>
      </c>
      <c r="B1685" t="s">
        <v>96</v>
      </c>
      <c r="C1685">
        <v>34923</v>
      </c>
      <c r="D1685">
        <v>2021</v>
      </c>
      <c r="E1685" t="s">
        <v>69</v>
      </c>
      <c r="F1685" t="s">
        <v>1341</v>
      </c>
      <c r="G1685" t="s">
        <v>1330</v>
      </c>
      <c r="I1685">
        <v>8</v>
      </c>
      <c r="J1685" t="s">
        <v>72</v>
      </c>
      <c r="K1685">
        <v>2</v>
      </c>
      <c r="L1685" t="s">
        <v>44</v>
      </c>
      <c r="M1685">
        <v>6.7</v>
      </c>
      <c r="N1685" t="s">
        <v>73</v>
      </c>
      <c r="O1685" t="s">
        <v>46</v>
      </c>
      <c r="Q1685" t="s">
        <v>477</v>
      </c>
      <c r="R1685" t="s">
        <v>995</v>
      </c>
      <c r="S1685" t="s">
        <v>49</v>
      </c>
      <c r="T1685">
        <v>440</v>
      </c>
      <c r="U1685" t="s">
        <v>229</v>
      </c>
      <c r="V1685" t="s">
        <v>76</v>
      </c>
      <c r="X1685" t="s">
        <v>1332</v>
      </c>
      <c r="Y1685" t="s">
        <v>78</v>
      </c>
      <c r="AA1685">
        <v>0</v>
      </c>
      <c r="AB1685" t="s">
        <v>79</v>
      </c>
      <c r="AC1685" t="s">
        <v>1333</v>
      </c>
      <c r="AD1685">
        <v>36</v>
      </c>
      <c r="AE1685">
        <v>9</v>
      </c>
      <c r="AF1685">
        <v>3</v>
      </c>
      <c r="AG1685">
        <v>2025</v>
      </c>
      <c r="AH1685" s="2">
        <v>39000</v>
      </c>
      <c r="AI1685" s="2">
        <v>50490.30859375</v>
      </c>
      <c r="AJ1685" s="2">
        <f t="shared" si="210"/>
        <v>11490.30859375</v>
      </c>
      <c r="AK1685" s="6">
        <f t="shared" si="211"/>
        <v>0.29462329727564102</v>
      </c>
      <c r="AL1685" s="12">
        <v>39000</v>
      </c>
      <c r="AM1685" s="12">
        <v>52730.788073980868</v>
      </c>
      <c r="AN1685" s="12">
        <f t="shared" si="212"/>
        <v>13730.788073980868</v>
      </c>
      <c r="AO1685" s="13">
        <f t="shared" si="213"/>
        <v>0.35207148907643249</v>
      </c>
      <c r="AP1685" s="16">
        <v>39000</v>
      </c>
      <c r="AQ1685" s="16">
        <v>48136.487108996247</v>
      </c>
      <c r="AR1685" s="16">
        <f t="shared" si="214"/>
        <v>9136.4871089962471</v>
      </c>
      <c r="AS1685" s="17">
        <f t="shared" si="208"/>
        <v>0.23426890023067301</v>
      </c>
      <c r="AT1685" s="20">
        <v>39000</v>
      </c>
      <c r="AU1685" s="20">
        <v>49120.28515625</v>
      </c>
      <c r="AV1685" s="20">
        <f t="shared" si="209"/>
        <v>10120.28515625</v>
      </c>
      <c r="AW1685" s="21">
        <f t="shared" si="215"/>
        <v>0.25949449118589746</v>
      </c>
    </row>
    <row r="1686" spans="1:49" x14ac:dyDescent="0.25">
      <c r="A1686" t="s">
        <v>38</v>
      </c>
      <c r="B1686" t="s">
        <v>110</v>
      </c>
      <c r="C1686">
        <v>71480</v>
      </c>
      <c r="D1686">
        <v>2021</v>
      </c>
      <c r="E1686" t="s">
        <v>263</v>
      </c>
      <c r="F1686" t="s">
        <v>741</v>
      </c>
      <c r="G1686" t="s">
        <v>741</v>
      </c>
      <c r="I1686">
        <v>4</v>
      </c>
      <c r="J1686" t="s">
        <v>61</v>
      </c>
      <c r="K1686">
        <v>4</v>
      </c>
      <c r="L1686" t="s">
        <v>44</v>
      </c>
      <c r="M1686">
        <v>2.5</v>
      </c>
      <c r="N1686" t="s">
        <v>45</v>
      </c>
      <c r="O1686" t="s">
        <v>46</v>
      </c>
      <c r="P1686">
        <v>3</v>
      </c>
      <c r="Q1686" t="s">
        <v>62</v>
      </c>
      <c r="R1686" t="s">
        <v>63</v>
      </c>
      <c r="S1686" t="s">
        <v>49</v>
      </c>
      <c r="T1686">
        <v>186</v>
      </c>
      <c r="U1686" t="s">
        <v>50</v>
      </c>
      <c r="V1686" t="s">
        <v>51</v>
      </c>
      <c r="W1686" t="s">
        <v>266</v>
      </c>
      <c r="X1686" t="s">
        <v>65</v>
      </c>
      <c r="Y1686" t="s">
        <v>126</v>
      </c>
      <c r="AA1686">
        <v>0</v>
      </c>
      <c r="AB1686" t="s">
        <v>79</v>
      </c>
      <c r="AC1686" t="s">
        <v>87</v>
      </c>
      <c r="AD1686">
        <v>36</v>
      </c>
      <c r="AE1686">
        <v>9</v>
      </c>
      <c r="AF1686">
        <v>3</v>
      </c>
      <c r="AG1686">
        <v>2025</v>
      </c>
      <c r="AH1686" s="2">
        <v>11000</v>
      </c>
      <c r="AI1686" s="2">
        <v>13394.6025390625</v>
      </c>
      <c r="AJ1686" s="2">
        <f t="shared" si="210"/>
        <v>2394.6025390625</v>
      </c>
      <c r="AK1686" s="6">
        <f t="shared" si="211"/>
        <v>0.21769113991477274</v>
      </c>
      <c r="AL1686" s="12">
        <v>11000</v>
      </c>
      <c r="AM1686" s="12">
        <v>13316.87339724624</v>
      </c>
      <c r="AN1686" s="12">
        <f t="shared" si="212"/>
        <v>2316.8733972462396</v>
      </c>
      <c r="AO1686" s="13">
        <f t="shared" si="213"/>
        <v>0.21062485429511268</v>
      </c>
      <c r="AP1686" s="16">
        <v>11000</v>
      </c>
      <c r="AQ1686" s="16">
        <v>12010.88292437472</v>
      </c>
      <c r="AR1686" s="16">
        <f t="shared" si="214"/>
        <v>1010.8829243747205</v>
      </c>
      <c r="AS1686" s="17">
        <f t="shared" si="208"/>
        <v>9.1898447670429137E-2</v>
      </c>
      <c r="AT1686" s="20">
        <v>11000</v>
      </c>
      <c r="AU1686" s="20">
        <v>13406.3095703125</v>
      </c>
      <c r="AV1686" s="20">
        <f t="shared" si="209"/>
        <v>2406.3095703125</v>
      </c>
      <c r="AW1686" s="21">
        <f t="shared" si="215"/>
        <v>0.21875541548295455</v>
      </c>
    </row>
    <row r="1687" spans="1:49" x14ac:dyDescent="0.25">
      <c r="A1687" t="s">
        <v>38</v>
      </c>
      <c r="B1687" t="s">
        <v>110</v>
      </c>
      <c r="C1687">
        <v>43104</v>
      </c>
      <c r="D1687">
        <v>2023</v>
      </c>
      <c r="E1687" t="s">
        <v>40</v>
      </c>
      <c r="F1687" t="s">
        <v>233</v>
      </c>
      <c r="G1687" t="s">
        <v>1299</v>
      </c>
      <c r="H1687" t="s">
        <v>1475</v>
      </c>
      <c r="I1687">
        <v>4</v>
      </c>
      <c r="J1687" t="s">
        <v>61</v>
      </c>
      <c r="K1687">
        <v>4</v>
      </c>
      <c r="L1687" t="s">
        <v>44</v>
      </c>
      <c r="M1687">
        <v>2.5</v>
      </c>
      <c r="N1687" t="s">
        <v>45</v>
      </c>
      <c r="Q1687" t="s">
        <v>62</v>
      </c>
      <c r="R1687" t="s">
        <v>63</v>
      </c>
      <c r="S1687" t="s">
        <v>49</v>
      </c>
      <c r="T1687">
        <v>203</v>
      </c>
      <c r="U1687" t="s">
        <v>50</v>
      </c>
      <c r="V1687" t="s">
        <v>51</v>
      </c>
      <c r="W1687" t="s">
        <v>449</v>
      </c>
      <c r="X1687" t="s">
        <v>65</v>
      </c>
      <c r="Y1687" t="s">
        <v>103</v>
      </c>
      <c r="AA1687">
        <v>0</v>
      </c>
      <c r="AB1687" t="s">
        <v>79</v>
      </c>
      <c r="AC1687" t="s">
        <v>87</v>
      </c>
      <c r="AD1687">
        <v>36</v>
      </c>
      <c r="AE1687">
        <v>9</v>
      </c>
      <c r="AF1687">
        <v>3</v>
      </c>
      <c r="AG1687">
        <v>2025</v>
      </c>
      <c r="AH1687" s="2">
        <v>25200</v>
      </c>
      <c r="AI1687" s="2">
        <v>21229.353515625</v>
      </c>
      <c r="AJ1687" s="2">
        <f t="shared" si="210"/>
        <v>3970.646484375</v>
      </c>
      <c r="AK1687" s="6">
        <f t="shared" si="211"/>
        <v>0.15756533668154762</v>
      </c>
      <c r="AL1687" s="12">
        <v>25200</v>
      </c>
      <c r="AM1687" s="12">
        <v>20920.734353174201</v>
      </c>
      <c r="AN1687" s="12">
        <f t="shared" si="212"/>
        <v>4279.2656468257992</v>
      </c>
      <c r="AO1687" s="13">
        <f t="shared" si="213"/>
        <v>0.16981212884229363</v>
      </c>
      <c r="AP1687" s="16">
        <v>25200</v>
      </c>
      <c r="AQ1687" s="16">
        <v>18944.236611462671</v>
      </c>
      <c r="AR1687" s="16">
        <f t="shared" si="214"/>
        <v>6255.7633885373289</v>
      </c>
      <c r="AS1687" s="17">
        <f t="shared" si="208"/>
        <v>0.24824457891021146</v>
      </c>
      <c r="AT1687" s="20">
        <v>25200</v>
      </c>
      <c r="AU1687" s="20">
        <v>20861.751953125</v>
      </c>
      <c r="AV1687" s="20">
        <f t="shared" si="209"/>
        <v>4338.248046875</v>
      </c>
      <c r="AW1687" s="21">
        <f t="shared" si="215"/>
        <v>0.17215270027281745</v>
      </c>
    </row>
    <row r="1688" spans="1:49" x14ac:dyDescent="0.25">
      <c r="A1688" t="s">
        <v>38</v>
      </c>
      <c r="B1688" t="s">
        <v>39</v>
      </c>
      <c r="C1688">
        <v>187569</v>
      </c>
      <c r="D1688">
        <v>2015</v>
      </c>
      <c r="E1688" t="s">
        <v>97</v>
      </c>
      <c r="F1688" t="s">
        <v>159</v>
      </c>
      <c r="G1688" t="s">
        <v>155</v>
      </c>
      <c r="H1688" t="s">
        <v>89</v>
      </c>
      <c r="I1688">
        <v>6</v>
      </c>
      <c r="J1688" t="s">
        <v>72</v>
      </c>
      <c r="K1688">
        <v>4</v>
      </c>
      <c r="L1688" t="s">
        <v>44</v>
      </c>
      <c r="M1688">
        <v>4.3</v>
      </c>
      <c r="N1688" t="s">
        <v>73</v>
      </c>
      <c r="O1688" t="s">
        <v>46</v>
      </c>
      <c r="Q1688" t="s">
        <v>74</v>
      </c>
      <c r="R1688" t="s">
        <v>92</v>
      </c>
      <c r="S1688" t="s">
        <v>179</v>
      </c>
      <c r="U1688" t="s">
        <v>50</v>
      </c>
      <c r="V1688" t="s">
        <v>76</v>
      </c>
      <c r="W1688" t="s">
        <v>783</v>
      </c>
      <c r="X1688" t="s">
        <v>94</v>
      </c>
      <c r="Y1688" t="s">
        <v>78</v>
      </c>
      <c r="AA1688">
        <v>0</v>
      </c>
      <c r="AB1688" t="s">
        <v>79</v>
      </c>
      <c r="AC1688" t="s">
        <v>95</v>
      </c>
      <c r="AD1688">
        <v>36</v>
      </c>
      <c r="AE1688">
        <v>9</v>
      </c>
      <c r="AF1688">
        <v>3</v>
      </c>
      <c r="AG1688">
        <v>2025</v>
      </c>
      <c r="AH1688" s="2">
        <v>6000</v>
      </c>
      <c r="AI1688" s="2">
        <v>6425.7470703125</v>
      </c>
      <c r="AJ1688" s="2">
        <f t="shared" si="210"/>
        <v>425.7470703125</v>
      </c>
      <c r="AK1688" s="6">
        <f t="shared" si="211"/>
        <v>7.0957845052083329E-2</v>
      </c>
      <c r="AL1688" s="12">
        <v>6000</v>
      </c>
      <c r="AM1688" s="12">
        <v>5887.6262410711943</v>
      </c>
      <c r="AN1688" s="12">
        <f t="shared" si="212"/>
        <v>112.37375892880573</v>
      </c>
      <c r="AO1688" s="13">
        <f t="shared" si="213"/>
        <v>1.8728959821467623E-2</v>
      </c>
      <c r="AP1688" s="16">
        <v>6000</v>
      </c>
      <c r="AQ1688" s="16">
        <v>5666.5851703104636</v>
      </c>
      <c r="AR1688" s="16">
        <f t="shared" si="214"/>
        <v>333.41482968953642</v>
      </c>
      <c r="AS1688" s="17">
        <f t="shared" si="208"/>
        <v>5.5569138281589402E-2</v>
      </c>
      <c r="AT1688" s="20">
        <v>6000</v>
      </c>
      <c r="AU1688" s="20">
        <v>6370.17138671875</v>
      </c>
      <c r="AV1688" s="20">
        <f t="shared" si="209"/>
        <v>370.17138671875</v>
      </c>
      <c r="AW1688" s="21">
        <f t="shared" si="215"/>
        <v>6.1695231119791666E-2</v>
      </c>
    </row>
    <row r="1689" spans="1:49" x14ac:dyDescent="0.25">
      <c r="A1689" t="s">
        <v>128</v>
      </c>
      <c r="B1689" t="s">
        <v>129</v>
      </c>
      <c r="C1689">
        <v>182158</v>
      </c>
      <c r="D1689">
        <v>2012</v>
      </c>
      <c r="E1689" t="s">
        <v>116</v>
      </c>
      <c r="F1689" t="s">
        <v>117</v>
      </c>
      <c r="G1689" t="s">
        <v>1477</v>
      </c>
      <c r="I1689">
        <v>6</v>
      </c>
      <c r="J1689" t="s">
        <v>61</v>
      </c>
      <c r="K1689">
        <v>4</v>
      </c>
      <c r="L1689" t="s">
        <v>44</v>
      </c>
      <c r="M1689">
        <v>3.6</v>
      </c>
      <c r="N1689" t="s">
        <v>73</v>
      </c>
      <c r="Q1689" t="s">
        <v>62</v>
      </c>
      <c r="R1689" t="s">
        <v>63</v>
      </c>
      <c r="S1689" t="s">
        <v>49</v>
      </c>
      <c r="T1689">
        <v>295</v>
      </c>
      <c r="U1689" t="s">
        <v>50</v>
      </c>
      <c r="V1689" t="s">
        <v>76</v>
      </c>
      <c r="X1689" t="s">
        <v>94</v>
      </c>
      <c r="Y1689" t="s">
        <v>78</v>
      </c>
      <c r="AA1689">
        <v>0</v>
      </c>
      <c r="AB1689" t="s">
        <v>79</v>
      </c>
      <c r="AC1689" t="s">
        <v>87</v>
      </c>
      <c r="AD1689">
        <v>36</v>
      </c>
      <c r="AE1689">
        <v>9</v>
      </c>
      <c r="AF1689">
        <v>3</v>
      </c>
      <c r="AG1689">
        <v>2025</v>
      </c>
      <c r="AH1689" s="2">
        <v>1500</v>
      </c>
      <c r="AI1689" s="2">
        <v>1969.475219726562</v>
      </c>
      <c r="AJ1689" s="2">
        <f t="shared" si="210"/>
        <v>469.47521972656205</v>
      </c>
      <c r="AK1689" s="6">
        <f t="shared" si="211"/>
        <v>0.31298347981770802</v>
      </c>
      <c r="AL1689" s="12">
        <v>1500</v>
      </c>
      <c r="AM1689" s="12">
        <v>2365.844817653096</v>
      </c>
      <c r="AN1689" s="12">
        <f t="shared" si="212"/>
        <v>865.84481765309602</v>
      </c>
      <c r="AO1689" s="13">
        <f t="shared" si="213"/>
        <v>0.5772298784353973</v>
      </c>
      <c r="AP1689" s="16">
        <v>1500</v>
      </c>
      <c r="AQ1689" s="16">
        <v>2242.3552614493169</v>
      </c>
      <c r="AR1689" s="16">
        <f t="shared" si="214"/>
        <v>742.35526144931691</v>
      </c>
      <c r="AS1689" s="17">
        <f t="shared" si="208"/>
        <v>0.49490350763287794</v>
      </c>
      <c r="AT1689" s="20">
        <v>1500</v>
      </c>
      <c r="AU1689" s="20">
        <v>1979.956909179688</v>
      </c>
      <c r="AV1689" s="20">
        <f t="shared" si="209"/>
        <v>479.95690917968795</v>
      </c>
      <c r="AW1689" s="21">
        <f t="shared" si="215"/>
        <v>0.31997127278645865</v>
      </c>
    </row>
    <row r="1690" spans="1:49" x14ac:dyDescent="0.25">
      <c r="A1690" t="s">
        <v>38</v>
      </c>
      <c r="B1690" t="s">
        <v>68</v>
      </c>
      <c r="C1690">
        <v>132374</v>
      </c>
      <c r="D1690">
        <v>2016</v>
      </c>
      <c r="E1690" t="s">
        <v>166</v>
      </c>
      <c r="F1690" t="s">
        <v>628</v>
      </c>
      <c r="G1690" t="s">
        <v>168</v>
      </c>
      <c r="I1690">
        <v>4</v>
      </c>
      <c r="J1690" t="s">
        <v>72</v>
      </c>
      <c r="K1690">
        <v>4</v>
      </c>
      <c r="L1690" t="s">
        <v>44</v>
      </c>
      <c r="M1690">
        <v>1.5</v>
      </c>
      <c r="N1690" t="s">
        <v>45</v>
      </c>
      <c r="O1690" t="s">
        <v>46</v>
      </c>
      <c r="P1690">
        <v>3</v>
      </c>
      <c r="Q1690" t="s">
        <v>47</v>
      </c>
      <c r="R1690" t="s">
        <v>123</v>
      </c>
      <c r="S1690" t="s">
        <v>49</v>
      </c>
      <c r="T1690">
        <v>174</v>
      </c>
      <c r="U1690" t="s">
        <v>50</v>
      </c>
      <c r="V1690" t="s">
        <v>51</v>
      </c>
      <c r="W1690" t="s">
        <v>875</v>
      </c>
      <c r="X1690" t="s">
        <v>53</v>
      </c>
      <c r="Y1690" t="s">
        <v>78</v>
      </c>
      <c r="AA1690">
        <v>0</v>
      </c>
      <c r="AB1690" t="s">
        <v>79</v>
      </c>
      <c r="AC1690" t="s">
        <v>127</v>
      </c>
      <c r="AD1690">
        <v>36</v>
      </c>
      <c r="AE1690">
        <v>9</v>
      </c>
      <c r="AF1690">
        <v>3</v>
      </c>
      <c r="AG1690">
        <v>2025</v>
      </c>
      <c r="AH1690" s="2">
        <v>8800</v>
      </c>
      <c r="AI1690" s="2">
        <v>9284.041015625</v>
      </c>
      <c r="AJ1690" s="2">
        <f t="shared" si="210"/>
        <v>484.041015625</v>
      </c>
      <c r="AK1690" s="6">
        <f t="shared" si="211"/>
        <v>5.5004660866477276E-2</v>
      </c>
      <c r="AL1690" s="12">
        <v>8800</v>
      </c>
      <c r="AM1690" s="12">
        <v>6625.2304080947797</v>
      </c>
      <c r="AN1690" s="12">
        <f t="shared" si="212"/>
        <v>2174.7695919052203</v>
      </c>
      <c r="AO1690" s="13">
        <f t="shared" si="213"/>
        <v>0.24713290817104777</v>
      </c>
      <c r="AP1690" s="16">
        <v>8800</v>
      </c>
      <c r="AQ1690" s="16">
        <v>6285.4181694603431</v>
      </c>
      <c r="AR1690" s="16">
        <f t="shared" si="214"/>
        <v>2514.5818305396569</v>
      </c>
      <c r="AS1690" s="17">
        <f t="shared" si="208"/>
        <v>0.28574793528859738</v>
      </c>
      <c r="AT1690" s="20">
        <v>8800</v>
      </c>
      <c r="AU1690" s="20">
        <v>8973.0537109375</v>
      </c>
      <c r="AV1690" s="20">
        <f t="shared" si="209"/>
        <v>173.0537109375</v>
      </c>
      <c r="AW1690" s="21">
        <f t="shared" si="215"/>
        <v>1.9665194424715909E-2</v>
      </c>
    </row>
    <row r="1691" spans="1:49" x14ac:dyDescent="0.25">
      <c r="A1691" t="s">
        <v>38</v>
      </c>
      <c r="B1691" t="s">
        <v>68</v>
      </c>
      <c r="C1691">
        <v>67984</v>
      </c>
      <c r="D1691">
        <v>2020</v>
      </c>
      <c r="E1691" t="s">
        <v>97</v>
      </c>
      <c r="F1691" t="s">
        <v>470</v>
      </c>
      <c r="G1691" t="s">
        <v>471</v>
      </c>
      <c r="I1691">
        <v>4</v>
      </c>
      <c r="J1691" t="s">
        <v>135</v>
      </c>
      <c r="K1691">
        <v>4</v>
      </c>
      <c r="L1691" t="s">
        <v>44</v>
      </c>
      <c r="M1691">
        <v>1.5</v>
      </c>
      <c r="N1691" t="s">
        <v>45</v>
      </c>
      <c r="O1691" t="s">
        <v>46</v>
      </c>
      <c r="Q1691" t="s">
        <v>47</v>
      </c>
      <c r="R1691" t="s">
        <v>123</v>
      </c>
      <c r="S1691" t="s">
        <v>101</v>
      </c>
      <c r="U1691" t="s">
        <v>50</v>
      </c>
      <c r="V1691" t="s">
        <v>51</v>
      </c>
      <c r="W1691" t="s">
        <v>687</v>
      </c>
      <c r="X1691" t="s">
        <v>125</v>
      </c>
      <c r="Y1691" t="s">
        <v>78</v>
      </c>
      <c r="AA1691">
        <v>0</v>
      </c>
      <c r="AB1691" t="s">
        <v>79</v>
      </c>
      <c r="AC1691" t="s">
        <v>127</v>
      </c>
      <c r="AD1691">
        <v>36</v>
      </c>
      <c r="AE1691">
        <v>9</v>
      </c>
      <c r="AF1691">
        <v>3</v>
      </c>
      <c r="AG1691">
        <v>2025</v>
      </c>
      <c r="AH1691" s="2">
        <v>12500</v>
      </c>
      <c r="AI1691" s="2">
        <v>12419.8486328125</v>
      </c>
      <c r="AJ1691" s="2">
        <f t="shared" si="210"/>
        <v>80.1513671875</v>
      </c>
      <c r="AK1691" s="6">
        <f t="shared" si="211"/>
        <v>6.4121093749999998E-3</v>
      </c>
      <c r="AL1691" s="12">
        <v>12500</v>
      </c>
      <c r="AM1691" s="12">
        <v>12449.745548852319</v>
      </c>
      <c r="AN1691" s="12">
        <f t="shared" si="212"/>
        <v>50.254451147680811</v>
      </c>
      <c r="AO1691" s="13">
        <f t="shared" si="213"/>
        <v>4.020356091814465E-3</v>
      </c>
      <c r="AP1691" s="16">
        <v>12500</v>
      </c>
      <c r="AQ1691" s="16">
        <v>10884.98308823867</v>
      </c>
      <c r="AR1691" s="16">
        <f t="shared" si="214"/>
        <v>1615.0169117613295</v>
      </c>
      <c r="AS1691" s="17">
        <f t="shared" si="208"/>
        <v>0.12920135294090637</v>
      </c>
      <c r="AT1691" s="20">
        <v>12500</v>
      </c>
      <c r="AU1691" s="20">
        <v>12453.9501953125</v>
      </c>
      <c r="AV1691" s="20">
        <f t="shared" si="209"/>
        <v>46.0498046875</v>
      </c>
      <c r="AW1691" s="21">
        <f t="shared" si="215"/>
        <v>3.6839843750000002E-3</v>
      </c>
    </row>
    <row r="1692" spans="1:49" x14ac:dyDescent="0.25">
      <c r="A1692" t="s">
        <v>38</v>
      </c>
      <c r="B1692" t="s">
        <v>96</v>
      </c>
      <c r="C1692">
        <v>108711</v>
      </c>
      <c r="D1692">
        <v>2020</v>
      </c>
      <c r="E1692" t="s">
        <v>116</v>
      </c>
      <c r="F1692" t="s">
        <v>251</v>
      </c>
      <c r="H1692" t="s">
        <v>224</v>
      </c>
      <c r="I1692">
        <v>4</v>
      </c>
      <c r="J1692" t="s">
        <v>72</v>
      </c>
      <c r="K1692">
        <v>4</v>
      </c>
      <c r="L1692" t="s">
        <v>44</v>
      </c>
      <c r="M1692">
        <v>2.4</v>
      </c>
      <c r="N1692" t="s">
        <v>45</v>
      </c>
      <c r="O1692" t="s">
        <v>46</v>
      </c>
      <c r="P1692">
        <v>2</v>
      </c>
      <c r="Q1692" t="s">
        <v>62</v>
      </c>
      <c r="R1692" t="s">
        <v>63</v>
      </c>
      <c r="S1692" t="s">
        <v>101</v>
      </c>
      <c r="T1692">
        <v>173</v>
      </c>
      <c r="U1692" t="s">
        <v>50</v>
      </c>
      <c r="V1692" t="s">
        <v>51</v>
      </c>
      <c r="X1692" t="s">
        <v>141</v>
      </c>
      <c r="Y1692" t="s">
        <v>126</v>
      </c>
      <c r="Z1692">
        <v>23245</v>
      </c>
      <c r="AA1692">
        <v>0</v>
      </c>
      <c r="AB1692" t="s">
        <v>79</v>
      </c>
      <c r="AC1692" t="s">
        <v>109</v>
      </c>
      <c r="AD1692">
        <v>36</v>
      </c>
      <c r="AE1692">
        <v>9</v>
      </c>
      <c r="AF1692">
        <v>3</v>
      </c>
      <c r="AG1692">
        <v>2025</v>
      </c>
      <c r="AH1692" s="2">
        <v>3000</v>
      </c>
      <c r="AI1692" s="2">
        <v>5274.548828125</v>
      </c>
      <c r="AJ1692" s="2">
        <f t="shared" si="210"/>
        <v>2274.548828125</v>
      </c>
      <c r="AK1692" s="6">
        <f t="shared" si="211"/>
        <v>0.75818294270833331</v>
      </c>
      <c r="AL1692" s="12">
        <v>3000</v>
      </c>
      <c r="AM1692" s="12">
        <v>5582.7095526736039</v>
      </c>
      <c r="AN1692" s="12">
        <f t="shared" si="212"/>
        <v>2582.7095526736039</v>
      </c>
      <c r="AO1692" s="13">
        <f t="shared" si="213"/>
        <v>0.8609031842245346</v>
      </c>
      <c r="AP1692" s="16">
        <v>3000</v>
      </c>
      <c r="AQ1692" s="16">
        <v>4990.5136895071764</v>
      </c>
      <c r="AR1692" s="16">
        <f t="shared" si="214"/>
        <v>1990.5136895071764</v>
      </c>
      <c r="AS1692" s="17">
        <f t="shared" si="208"/>
        <v>0.66350456316905881</v>
      </c>
      <c r="AT1692" s="20">
        <v>3000</v>
      </c>
      <c r="AU1692" s="20">
        <v>5381.45263671875</v>
      </c>
      <c r="AV1692" s="20">
        <f t="shared" si="209"/>
        <v>2381.45263671875</v>
      </c>
      <c r="AW1692" s="21">
        <f t="shared" si="215"/>
        <v>0.79381754557291662</v>
      </c>
    </row>
    <row r="1693" spans="1:49" x14ac:dyDescent="0.25">
      <c r="A1693" t="s">
        <v>38</v>
      </c>
      <c r="B1693" t="s">
        <v>68</v>
      </c>
      <c r="C1693">
        <v>97226</v>
      </c>
      <c r="D1693">
        <v>2021</v>
      </c>
      <c r="E1693" t="s">
        <v>69</v>
      </c>
      <c r="F1693" t="s">
        <v>231</v>
      </c>
      <c r="H1693" t="s">
        <v>832</v>
      </c>
      <c r="I1693">
        <v>6</v>
      </c>
      <c r="J1693" t="s">
        <v>122</v>
      </c>
      <c r="K1693">
        <v>4</v>
      </c>
      <c r="L1693" t="s">
        <v>44</v>
      </c>
      <c r="M1693">
        <v>3.5</v>
      </c>
      <c r="N1693" t="s">
        <v>91</v>
      </c>
      <c r="O1693" t="s">
        <v>46</v>
      </c>
      <c r="P1693">
        <v>5</v>
      </c>
      <c r="Q1693" t="s">
        <v>74</v>
      </c>
      <c r="R1693" t="s">
        <v>92</v>
      </c>
      <c r="S1693" t="s">
        <v>93</v>
      </c>
      <c r="U1693" t="s">
        <v>50</v>
      </c>
      <c r="V1693" t="s">
        <v>76</v>
      </c>
      <c r="W1693" t="s">
        <v>1426</v>
      </c>
      <c r="X1693" t="s">
        <v>108</v>
      </c>
      <c r="Y1693" t="s">
        <v>78</v>
      </c>
      <c r="AA1693">
        <v>1</v>
      </c>
      <c r="AB1693" t="s">
        <v>55</v>
      </c>
      <c r="AC1693" t="s">
        <v>1408</v>
      </c>
      <c r="AD1693">
        <v>36</v>
      </c>
      <c r="AE1693">
        <v>9</v>
      </c>
      <c r="AF1693">
        <v>3</v>
      </c>
      <c r="AG1693">
        <v>2025</v>
      </c>
      <c r="AH1693" s="2">
        <v>31500</v>
      </c>
      <c r="AI1693" s="2">
        <v>26852.888671875</v>
      </c>
      <c r="AJ1693" s="2">
        <f t="shared" si="210"/>
        <v>4647.111328125</v>
      </c>
      <c r="AK1693" s="6">
        <f t="shared" si="211"/>
        <v>0.14752734375000001</v>
      </c>
      <c r="AL1693" s="12">
        <v>31500</v>
      </c>
      <c r="AM1693" s="12">
        <v>29739.208081940349</v>
      </c>
      <c r="AN1693" s="12">
        <f t="shared" si="212"/>
        <v>1760.7919180596509</v>
      </c>
      <c r="AO1693" s="13">
        <f t="shared" si="213"/>
        <v>5.5898156128877809E-2</v>
      </c>
      <c r="AP1693" s="16">
        <v>31500</v>
      </c>
      <c r="AQ1693" s="16">
        <v>31620.570162903099</v>
      </c>
      <c r="AR1693" s="16">
        <f t="shared" si="214"/>
        <v>120.57016290309912</v>
      </c>
      <c r="AS1693" s="17">
        <f t="shared" si="208"/>
        <v>3.8276242191460038E-3</v>
      </c>
      <c r="AT1693" s="20">
        <v>31500</v>
      </c>
      <c r="AU1693" s="20">
        <v>27096.046875</v>
      </c>
      <c r="AV1693" s="20">
        <f t="shared" si="209"/>
        <v>4403.953125</v>
      </c>
      <c r="AW1693" s="21">
        <f t="shared" si="215"/>
        <v>0.13980803571428571</v>
      </c>
    </row>
    <row r="1694" spans="1:49" x14ac:dyDescent="0.25">
      <c r="A1694" t="s">
        <v>128</v>
      </c>
      <c r="B1694" t="s">
        <v>129</v>
      </c>
      <c r="C1694">
        <v>203931</v>
      </c>
      <c r="D1694">
        <v>2012</v>
      </c>
      <c r="E1694" t="s">
        <v>166</v>
      </c>
      <c r="F1694" t="s">
        <v>247</v>
      </c>
      <c r="G1694" t="s">
        <v>240</v>
      </c>
      <c r="I1694">
        <v>4</v>
      </c>
      <c r="J1694" t="s">
        <v>61</v>
      </c>
      <c r="K1694">
        <v>4</v>
      </c>
      <c r="L1694" t="s">
        <v>44</v>
      </c>
      <c r="M1694">
        <v>2.4</v>
      </c>
      <c r="N1694" t="s">
        <v>45</v>
      </c>
      <c r="O1694" t="s">
        <v>46</v>
      </c>
      <c r="Q1694" t="s">
        <v>62</v>
      </c>
      <c r="R1694" t="s">
        <v>63</v>
      </c>
      <c r="S1694" t="s">
        <v>49</v>
      </c>
      <c r="T1694">
        <v>185</v>
      </c>
      <c r="U1694" t="s">
        <v>50</v>
      </c>
      <c r="V1694" t="s">
        <v>51</v>
      </c>
      <c r="W1694" t="s">
        <v>812</v>
      </c>
      <c r="X1694" t="s">
        <v>65</v>
      </c>
      <c r="Y1694" t="s">
        <v>78</v>
      </c>
      <c r="AA1694">
        <v>0</v>
      </c>
      <c r="AB1694" t="s">
        <v>79</v>
      </c>
      <c r="AC1694" t="s">
        <v>87</v>
      </c>
      <c r="AD1694">
        <v>36</v>
      </c>
      <c r="AE1694">
        <v>9</v>
      </c>
      <c r="AF1694">
        <v>3</v>
      </c>
      <c r="AG1694">
        <v>2025</v>
      </c>
      <c r="AH1694" s="2">
        <v>3200</v>
      </c>
      <c r="AI1694" s="2">
        <v>2828.5166015625</v>
      </c>
      <c r="AJ1694" s="2">
        <f t="shared" si="210"/>
        <v>371.4833984375</v>
      </c>
      <c r="AK1694" s="6">
        <f t="shared" si="211"/>
        <v>0.11608856201171874</v>
      </c>
      <c r="AL1694" s="12">
        <v>3200</v>
      </c>
      <c r="AM1694" s="12">
        <v>2513.259950815303</v>
      </c>
      <c r="AN1694" s="12">
        <f t="shared" si="212"/>
        <v>686.740049184697</v>
      </c>
      <c r="AO1694" s="13">
        <f t="shared" si="213"/>
        <v>0.21460626537021782</v>
      </c>
      <c r="AP1694" s="16">
        <v>3200</v>
      </c>
      <c r="AQ1694" s="16">
        <v>2400.5474097676561</v>
      </c>
      <c r="AR1694" s="16">
        <f t="shared" si="214"/>
        <v>799.45259023234394</v>
      </c>
      <c r="AS1694" s="17">
        <f t="shared" si="208"/>
        <v>0.24982893444760748</v>
      </c>
      <c r="AT1694" s="20">
        <v>3200</v>
      </c>
      <c r="AU1694" s="20">
        <v>2849.7978515625</v>
      </c>
      <c r="AV1694" s="20">
        <f t="shared" si="209"/>
        <v>350.2021484375</v>
      </c>
      <c r="AW1694" s="21">
        <f t="shared" si="215"/>
        <v>0.10943817138671875</v>
      </c>
    </row>
    <row r="1695" spans="1:49" x14ac:dyDescent="0.25">
      <c r="A1695" t="s">
        <v>38</v>
      </c>
      <c r="B1695" t="s">
        <v>68</v>
      </c>
      <c r="C1695">
        <v>39948</v>
      </c>
      <c r="D1695">
        <v>2023</v>
      </c>
      <c r="E1695" t="s">
        <v>146</v>
      </c>
      <c r="F1695" t="s">
        <v>334</v>
      </c>
      <c r="G1695" t="s">
        <v>495</v>
      </c>
      <c r="I1695">
        <v>4</v>
      </c>
      <c r="J1695" t="s">
        <v>106</v>
      </c>
      <c r="K1695">
        <v>4</v>
      </c>
      <c r="L1695" t="s">
        <v>44</v>
      </c>
      <c r="M1695">
        <v>2.5</v>
      </c>
      <c r="N1695" t="s">
        <v>45</v>
      </c>
      <c r="O1695" t="s">
        <v>46</v>
      </c>
      <c r="P1695">
        <v>4</v>
      </c>
      <c r="Q1695" t="s">
        <v>47</v>
      </c>
      <c r="R1695" t="s">
        <v>123</v>
      </c>
      <c r="S1695" t="s">
        <v>49</v>
      </c>
      <c r="U1695" t="s">
        <v>50</v>
      </c>
      <c r="V1695" t="s">
        <v>51</v>
      </c>
      <c r="X1695" t="s">
        <v>65</v>
      </c>
      <c r="Y1695" t="s">
        <v>78</v>
      </c>
      <c r="AA1695">
        <v>0</v>
      </c>
      <c r="AB1695" t="s">
        <v>79</v>
      </c>
      <c r="AC1695" t="s">
        <v>127</v>
      </c>
      <c r="AD1695">
        <v>36</v>
      </c>
      <c r="AE1695">
        <v>9</v>
      </c>
      <c r="AF1695">
        <v>3</v>
      </c>
      <c r="AG1695">
        <v>2025</v>
      </c>
      <c r="AH1695" s="2">
        <v>20750</v>
      </c>
      <c r="AI1695" s="2">
        <v>17987.298828125</v>
      </c>
      <c r="AJ1695" s="2">
        <f t="shared" si="210"/>
        <v>2762.701171875</v>
      </c>
      <c r="AK1695" s="6">
        <f t="shared" si="211"/>
        <v>0.13314222515060242</v>
      </c>
      <c r="AL1695" s="12">
        <v>20750</v>
      </c>
      <c r="AM1695" s="12">
        <v>19822.975299355781</v>
      </c>
      <c r="AN1695" s="12">
        <f t="shared" si="212"/>
        <v>927.02470064421868</v>
      </c>
      <c r="AO1695" s="13">
        <f t="shared" si="213"/>
        <v>4.4675889187673193E-2</v>
      </c>
      <c r="AP1695" s="16">
        <v>20750</v>
      </c>
      <c r="AQ1695" s="16">
        <v>18626.261035683521</v>
      </c>
      <c r="AR1695" s="16">
        <f t="shared" si="214"/>
        <v>2123.7389643164788</v>
      </c>
      <c r="AS1695" s="17">
        <f t="shared" si="208"/>
        <v>0.10234886575019175</v>
      </c>
      <c r="AT1695" s="20">
        <v>20750</v>
      </c>
      <c r="AU1695" s="20">
        <v>18094.90625</v>
      </c>
      <c r="AV1695" s="20">
        <f t="shared" si="209"/>
        <v>2655.09375</v>
      </c>
      <c r="AW1695" s="21">
        <f t="shared" si="215"/>
        <v>0.12795632530120482</v>
      </c>
    </row>
    <row r="1696" spans="1:49" x14ac:dyDescent="0.25">
      <c r="A1696" t="s">
        <v>38</v>
      </c>
      <c r="B1696" t="s">
        <v>96</v>
      </c>
      <c r="C1696">
        <v>47945</v>
      </c>
      <c r="D1696">
        <v>2019</v>
      </c>
      <c r="E1696" t="s">
        <v>69</v>
      </c>
      <c r="F1696" t="s">
        <v>227</v>
      </c>
      <c r="H1696" t="s">
        <v>228</v>
      </c>
      <c r="I1696">
        <v>8</v>
      </c>
      <c r="J1696" t="s">
        <v>72</v>
      </c>
      <c r="K1696">
        <v>2</v>
      </c>
      <c r="L1696" t="s">
        <v>44</v>
      </c>
      <c r="M1696">
        <v>6.2</v>
      </c>
      <c r="N1696" t="s">
        <v>73</v>
      </c>
      <c r="O1696" t="s">
        <v>46</v>
      </c>
      <c r="Q1696" t="s">
        <v>477</v>
      </c>
      <c r="R1696" t="s">
        <v>884</v>
      </c>
      <c r="T1696">
        <v>331</v>
      </c>
      <c r="U1696" t="s">
        <v>50</v>
      </c>
      <c r="V1696" t="s">
        <v>76</v>
      </c>
      <c r="X1696" t="s">
        <v>260</v>
      </c>
      <c r="Y1696" t="s">
        <v>78</v>
      </c>
      <c r="AA1696">
        <v>0</v>
      </c>
      <c r="AB1696" t="s">
        <v>79</v>
      </c>
      <c r="AC1696" t="s">
        <v>886</v>
      </c>
      <c r="AD1696">
        <v>36</v>
      </c>
      <c r="AE1696">
        <v>9</v>
      </c>
      <c r="AF1696">
        <v>3</v>
      </c>
      <c r="AG1696">
        <v>2025</v>
      </c>
      <c r="AH1696" s="2">
        <v>23000</v>
      </c>
      <c r="AI1696" s="2">
        <v>21043.455078125</v>
      </c>
      <c r="AJ1696" s="2">
        <f t="shared" si="210"/>
        <v>1956.544921875</v>
      </c>
      <c r="AK1696" s="6">
        <f t="shared" si="211"/>
        <v>8.5067170516304344E-2</v>
      </c>
      <c r="AL1696" s="12">
        <v>23000</v>
      </c>
      <c r="AM1696" s="12">
        <v>29504.852823954541</v>
      </c>
      <c r="AN1696" s="12">
        <f t="shared" si="212"/>
        <v>6504.8528239545412</v>
      </c>
      <c r="AO1696" s="13">
        <f t="shared" si="213"/>
        <v>0.28281968799802354</v>
      </c>
      <c r="AP1696" s="16">
        <v>23000</v>
      </c>
      <c r="AQ1696" s="16">
        <v>19436.709985944301</v>
      </c>
      <c r="AR1696" s="16">
        <f t="shared" si="214"/>
        <v>3563.2900140556994</v>
      </c>
      <c r="AS1696" s="17">
        <f t="shared" si="208"/>
        <v>0.1549256527850304</v>
      </c>
      <c r="AT1696" s="20">
        <v>23000</v>
      </c>
      <c r="AU1696" s="20">
        <v>22339.072265625</v>
      </c>
      <c r="AV1696" s="20">
        <f t="shared" si="209"/>
        <v>660.927734375</v>
      </c>
      <c r="AW1696" s="21">
        <f t="shared" si="215"/>
        <v>2.8735988451086956E-2</v>
      </c>
    </row>
    <row r="1697" spans="1:49" x14ac:dyDescent="0.25">
      <c r="A1697" t="s">
        <v>38</v>
      </c>
      <c r="B1697" t="s">
        <v>110</v>
      </c>
      <c r="C1697">
        <v>89329</v>
      </c>
      <c r="D1697">
        <v>2010</v>
      </c>
      <c r="E1697" t="s">
        <v>119</v>
      </c>
      <c r="F1697" t="s">
        <v>543</v>
      </c>
      <c r="G1697" t="s">
        <v>1478</v>
      </c>
      <c r="I1697">
        <v>4</v>
      </c>
      <c r="J1697" t="s">
        <v>72</v>
      </c>
      <c r="K1697">
        <v>4</v>
      </c>
      <c r="L1697" t="s">
        <v>44</v>
      </c>
      <c r="M1697">
        <v>2</v>
      </c>
      <c r="N1697" t="s">
        <v>45</v>
      </c>
      <c r="Q1697" t="s">
        <v>47</v>
      </c>
      <c r="R1697" t="s">
        <v>757</v>
      </c>
      <c r="T1697">
        <v>200</v>
      </c>
      <c r="U1697" t="s">
        <v>50</v>
      </c>
      <c r="X1697" t="s">
        <v>125</v>
      </c>
      <c r="Y1697" t="s">
        <v>137</v>
      </c>
      <c r="AA1697">
        <v>0</v>
      </c>
      <c r="AB1697" t="s">
        <v>79</v>
      </c>
      <c r="AC1697" t="s">
        <v>757</v>
      </c>
      <c r="AD1697">
        <v>36</v>
      </c>
      <c r="AE1697">
        <v>9</v>
      </c>
      <c r="AF1697">
        <v>3</v>
      </c>
      <c r="AG1697">
        <v>2025</v>
      </c>
      <c r="AH1697" s="2">
        <v>1800</v>
      </c>
      <c r="AI1697" s="2">
        <v>2244.432373046875</v>
      </c>
      <c r="AJ1697" s="2">
        <f t="shared" si="210"/>
        <v>444.432373046875</v>
      </c>
      <c r="AK1697" s="6">
        <f t="shared" si="211"/>
        <v>0.24690687391493055</v>
      </c>
      <c r="AL1697" s="12">
        <v>1800</v>
      </c>
      <c r="AM1697" s="12">
        <v>2099.6793928486982</v>
      </c>
      <c r="AN1697" s="12">
        <f t="shared" si="212"/>
        <v>299.67939284869817</v>
      </c>
      <c r="AO1697" s="13">
        <f t="shared" si="213"/>
        <v>0.16648855158261008</v>
      </c>
      <c r="AP1697" s="16">
        <v>1800</v>
      </c>
      <c r="AQ1697" s="16">
        <v>1830.0204143421111</v>
      </c>
      <c r="AR1697" s="16">
        <f t="shared" si="214"/>
        <v>30.020414342111053</v>
      </c>
      <c r="AS1697" s="17">
        <f t="shared" si="208"/>
        <v>1.6678007967839473E-2</v>
      </c>
      <c r="AT1697" s="20">
        <v>1800</v>
      </c>
      <c r="AU1697" s="20">
        <v>2222.96826171875</v>
      </c>
      <c r="AV1697" s="20">
        <f t="shared" si="209"/>
        <v>422.96826171875</v>
      </c>
      <c r="AW1697" s="21">
        <f t="shared" si="215"/>
        <v>0.23498236762152777</v>
      </c>
    </row>
    <row r="1698" spans="1:49" x14ac:dyDescent="0.25">
      <c r="A1698" t="s">
        <v>38</v>
      </c>
      <c r="B1698" t="s">
        <v>39</v>
      </c>
      <c r="C1698">
        <v>203144</v>
      </c>
      <c r="D1698">
        <v>2011</v>
      </c>
      <c r="E1698" t="s">
        <v>97</v>
      </c>
      <c r="F1698" t="s">
        <v>379</v>
      </c>
      <c r="G1698" t="s">
        <v>199</v>
      </c>
      <c r="I1698">
        <v>4</v>
      </c>
      <c r="J1698" t="s">
        <v>72</v>
      </c>
      <c r="K1698">
        <v>4</v>
      </c>
      <c r="L1698" t="s">
        <v>402</v>
      </c>
      <c r="M1698">
        <v>1.8</v>
      </c>
      <c r="N1698" t="s">
        <v>45</v>
      </c>
      <c r="O1698" t="s">
        <v>46</v>
      </c>
      <c r="Q1698" t="s">
        <v>47</v>
      </c>
      <c r="R1698" t="s">
        <v>123</v>
      </c>
      <c r="U1698" t="s">
        <v>50</v>
      </c>
      <c r="W1698" t="s">
        <v>1129</v>
      </c>
      <c r="X1698" t="s">
        <v>125</v>
      </c>
      <c r="Y1698" t="s">
        <v>78</v>
      </c>
      <c r="AA1698">
        <v>0</v>
      </c>
      <c r="AB1698" t="s">
        <v>79</v>
      </c>
      <c r="AC1698" t="s">
        <v>127</v>
      </c>
      <c r="AD1698">
        <v>36</v>
      </c>
      <c r="AE1698">
        <v>9</v>
      </c>
      <c r="AF1698">
        <v>3</v>
      </c>
      <c r="AG1698">
        <v>2025</v>
      </c>
      <c r="AH1698" s="2">
        <v>700</v>
      </c>
      <c r="AI1698" s="2">
        <v>1037.447143554688</v>
      </c>
      <c r="AJ1698" s="2">
        <f t="shared" si="210"/>
        <v>337.44714355468795</v>
      </c>
      <c r="AK1698" s="6">
        <f t="shared" si="211"/>
        <v>0.48206734793526851</v>
      </c>
      <c r="AL1698" s="12">
        <v>700</v>
      </c>
      <c r="AM1698" s="12">
        <v>1047.775408703935</v>
      </c>
      <c r="AN1698" s="12">
        <f t="shared" si="212"/>
        <v>347.775408703935</v>
      </c>
      <c r="AO1698" s="13">
        <f t="shared" si="213"/>
        <v>0.49682201243419288</v>
      </c>
      <c r="AP1698" s="16">
        <v>700</v>
      </c>
      <c r="AQ1698" s="16">
        <v>909.2246540583493</v>
      </c>
      <c r="AR1698" s="16">
        <f t="shared" si="214"/>
        <v>209.2246540583493</v>
      </c>
      <c r="AS1698" s="17">
        <f t="shared" si="208"/>
        <v>0.29889236294049898</v>
      </c>
      <c r="AT1698" s="20">
        <v>700</v>
      </c>
      <c r="AU1698" s="20">
        <v>1021.838562011719</v>
      </c>
      <c r="AV1698" s="20">
        <f t="shared" si="209"/>
        <v>321.83856201171898</v>
      </c>
      <c r="AW1698" s="21">
        <f t="shared" si="215"/>
        <v>0.45976937430245568</v>
      </c>
    </row>
    <row r="1699" spans="1:49" x14ac:dyDescent="0.25">
      <c r="A1699" t="s">
        <v>38</v>
      </c>
      <c r="B1699" t="s">
        <v>39</v>
      </c>
      <c r="C1699">
        <v>104121</v>
      </c>
      <c r="D1699">
        <v>2017</v>
      </c>
      <c r="E1699" t="s">
        <v>146</v>
      </c>
      <c r="F1699" t="s">
        <v>279</v>
      </c>
      <c r="I1699">
        <v>4</v>
      </c>
      <c r="J1699" t="s">
        <v>72</v>
      </c>
      <c r="K1699">
        <v>4</v>
      </c>
      <c r="L1699" t="s">
        <v>44</v>
      </c>
      <c r="M1699">
        <v>1.8</v>
      </c>
      <c r="N1699" t="s">
        <v>45</v>
      </c>
      <c r="O1699" t="s">
        <v>46</v>
      </c>
      <c r="Q1699" t="s">
        <v>47</v>
      </c>
      <c r="R1699" t="s">
        <v>123</v>
      </c>
      <c r="S1699" t="s">
        <v>49</v>
      </c>
      <c r="T1699">
        <v>130</v>
      </c>
      <c r="U1699" t="s">
        <v>50</v>
      </c>
      <c r="V1699" t="s">
        <v>51</v>
      </c>
      <c r="X1699" t="s">
        <v>125</v>
      </c>
      <c r="Y1699" t="s">
        <v>126</v>
      </c>
      <c r="AA1699">
        <v>0</v>
      </c>
      <c r="AB1699" t="s">
        <v>79</v>
      </c>
      <c r="AC1699" t="s">
        <v>127</v>
      </c>
      <c r="AD1699">
        <v>36</v>
      </c>
      <c r="AE1699">
        <v>9</v>
      </c>
      <c r="AF1699">
        <v>3</v>
      </c>
      <c r="AG1699">
        <v>2025</v>
      </c>
      <c r="AH1699" s="2">
        <v>2600</v>
      </c>
      <c r="AI1699" s="2">
        <v>2789.349853515625</v>
      </c>
      <c r="AJ1699" s="2">
        <f t="shared" si="210"/>
        <v>189.349853515625</v>
      </c>
      <c r="AK1699" s="6">
        <f t="shared" si="211"/>
        <v>7.282686673677885E-2</v>
      </c>
      <c r="AL1699" s="12">
        <v>2600</v>
      </c>
      <c r="AM1699" s="12">
        <v>3641.588527434003</v>
      </c>
      <c r="AN1699" s="12">
        <f t="shared" si="212"/>
        <v>1041.588527434003</v>
      </c>
      <c r="AO1699" s="13">
        <f t="shared" si="213"/>
        <v>0.40061097209000118</v>
      </c>
      <c r="AP1699" s="16">
        <v>2600</v>
      </c>
      <c r="AQ1699" s="16">
        <v>3068.2889269061502</v>
      </c>
      <c r="AR1699" s="16">
        <f t="shared" si="214"/>
        <v>468.28892690615021</v>
      </c>
      <c r="AS1699" s="17">
        <f t="shared" si="208"/>
        <v>0.1801111257331347</v>
      </c>
      <c r="AT1699" s="20">
        <v>2600</v>
      </c>
      <c r="AU1699" s="20">
        <v>2861.4755859375</v>
      </c>
      <c r="AV1699" s="20">
        <f t="shared" si="209"/>
        <v>261.4755859375</v>
      </c>
      <c r="AW1699" s="21">
        <f t="shared" si="215"/>
        <v>0.10056753305288461</v>
      </c>
    </row>
    <row r="1700" spans="1:49" x14ac:dyDescent="0.25">
      <c r="A1700" t="s">
        <v>128</v>
      </c>
      <c r="B1700" t="s">
        <v>210</v>
      </c>
      <c r="C1700">
        <v>157230</v>
      </c>
      <c r="D1700">
        <v>2014</v>
      </c>
      <c r="E1700" t="s">
        <v>97</v>
      </c>
      <c r="F1700" t="s">
        <v>98</v>
      </c>
      <c r="G1700" t="s">
        <v>199</v>
      </c>
      <c r="I1700">
        <v>4</v>
      </c>
      <c r="J1700" t="s">
        <v>61</v>
      </c>
      <c r="K1700">
        <v>4</v>
      </c>
      <c r="L1700" t="s">
        <v>44</v>
      </c>
      <c r="M1700">
        <v>2.4</v>
      </c>
      <c r="N1700" t="s">
        <v>45</v>
      </c>
      <c r="O1700" t="s">
        <v>46</v>
      </c>
      <c r="Q1700" t="s">
        <v>62</v>
      </c>
      <c r="R1700" t="s">
        <v>63</v>
      </c>
      <c r="S1700" t="s">
        <v>101</v>
      </c>
      <c r="U1700" t="s">
        <v>50</v>
      </c>
      <c r="W1700" t="s">
        <v>479</v>
      </c>
      <c r="X1700" t="s">
        <v>65</v>
      </c>
      <c r="Y1700" t="s">
        <v>103</v>
      </c>
      <c r="AA1700">
        <v>0</v>
      </c>
      <c r="AB1700" t="s">
        <v>79</v>
      </c>
      <c r="AC1700" t="s">
        <v>87</v>
      </c>
      <c r="AD1700">
        <v>36</v>
      </c>
      <c r="AE1700">
        <v>9</v>
      </c>
      <c r="AF1700">
        <v>3</v>
      </c>
      <c r="AG1700">
        <v>2025</v>
      </c>
      <c r="AH1700" s="2">
        <v>800</v>
      </c>
      <c r="AI1700" s="2">
        <v>2443.136962890625</v>
      </c>
      <c r="AJ1700" s="2">
        <f t="shared" si="210"/>
        <v>1643.136962890625</v>
      </c>
      <c r="AK1700" s="6">
        <f t="shared" si="211"/>
        <v>2.0539212036132812</v>
      </c>
      <c r="AL1700" s="12">
        <v>800</v>
      </c>
      <c r="AM1700" s="12">
        <v>2420.588457653625</v>
      </c>
      <c r="AN1700" s="12">
        <f t="shared" si="212"/>
        <v>1620.588457653625</v>
      </c>
      <c r="AO1700" s="13">
        <f t="shared" si="213"/>
        <v>2.0257355720670311</v>
      </c>
      <c r="AP1700" s="16">
        <v>800</v>
      </c>
      <c r="AQ1700" s="16">
        <v>1876.530547314067</v>
      </c>
      <c r="AR1700" s="16">
        <f t="shared" si="214"/>
        <v>1076.530547314067</v>
      </c>
      <c r="AS1700" s="17">
        <f t="shared" si="208"/>
        <v>1.3456631841425837</v>
      </c>
      <c r="AT1700" s="20">
        <v>800</v>
      </c>
      <c r="AU1700" s="20">
        <v>2466.126953125</v>
      </c>
      <c r="AV1700" s="20">
        <f t="shared" si="209"/>
        <v>1666.126953125</v>
      </c>
      <c r="AW1700" s="21">
        <f t="shared" si="215"/>
        <v>2.0826586914062499</v>
      </c>
    </row>
    <row r="1701" spans="1:49" x14ac:dyDescent="0.25">
      <c r="A1701" t="s">
        <v>38</v>
      </c>
      <c r="B1701" t="s">
        <v>39</v>
      </c>
      <c r="C1701">
        <v>173547</v>
      </c>
      <c r="D1701">
        <v>2014</v>
      </c>
      <c r="E1701" t="s">
        <v>557</v>
      </c>
      <c r="F1701" t="s">
        <v>870</v>
      </c>
      <c r="G1701" t="s">
        <v>168</v>
      </c>
      <c r="I1701">
        <v>6</v>
      </c>
      <c r="J1701" t="s">
        <v>277</v>
      </c>
      <c r="K1701">
        <v>4</v>
      </c>
      <c r="L1701" t="s">
        <v>44</v>
      </c>
      <c r="M1701">
        <v>3.6</v>
      </c>
      <c r="N1701" t="s">
        <v>45</v>
      </c>
      <c r="O1701" t="s">
        <v>46</v>
      </c>
      <c r="Q1701" t="s">
        <v>62</v>
      </c>
      <c r="R1701" t="s">
        <v>225</v>
      </c>
      <c r="S1701" t="s">
        <v>101</v>
      </c>
      <c r="U1701" t="s">
        <v>50</v>
      </c>
      <c r="X1701" t="s">
        <v>94</v>
      </c>
      <c r="Y1701" t="s">
        <v>103</v>
      </c>
      <c r="AA1701">
        <v>0</v>
      </c>
      <c r="AB1701" t="s">
        <v>79</v>
      </c>
      <c r="AC1701" t="s">
        <v>225</v>
      </c>
      <c r="AD1701">
        <v>36</v>
      </c>
      <c r="AE1701">
        <v>9</v>
      </c>
      <c r="AF1701">
        <v>3</v>
      </c>
      <c r="AG1701">
        <v>2025</v>
      </c>
      <c r="AH1701" s="2">
        <v>3200</v>
      </c>
      <c r="AI1701" s="2">
        <v>2395.36376953125</v>
      </c>
      <c r="AJ1701" s="2">
        <f t="shared" si="210"/>
        <v>804.63623046875</v>
      </c>
      <c r="AK1701" s="6">
        <f t="shared" si="211"/>
        <v>0.25144882202148439</v>
      </c>
      <c r="AL1701" s="12">
        <v>3200</v>
      </c>
      <c r="AM1701" s="12">
        <v>2390.0606527355671</v>
      </c>
      <c r="AN1701" s="12">
        <f t="shared" si="212"/>
        <v>809.93934726443285</v>
      </c>
      <c r="AO1701" s="13">
        <f t="shared" si="213"/>
        <v>0.25310604602013526</v>
      </c>
      <c r="AP1701" s="16">
        <v>3200</v>
      </c>
      <c r="AQ1701" s="16">
        <v>1816.0804992414371</v>
      </c>
      <c r="AR1701" s="16">
        <f t="shared" si="214"/>
        <v>1383.9195007585629</v>
      </c>
      <c r="AS1701" s="17">
        <f t="shared" si="208"/>
        <v>0.43247484398705088</v>
      </c>
      <c r="AT1701" s="20">
        <v>3200</v>
      </c>
      <c r="AU1701" s="20">
        <v>2407.92724609375</v>
      </c>
      <c r="AV1701" s="20">
        <f t="shared" si="209"/>
        <v>792.07275390625</v>
      </c>
      <c r="AW1701" s="21">
        <f t="shared" si="215"/>
        <v>0.24752273559570312</v>
      </c>
    </row>
    <row r="1702" spans="1:49" x14ac:dyDescent="0.25">
      <c r="A1702" t="s">
        <v>38</v>
      </c>
      <c r="B1702" t="s">
        <v>96</v>
      </c>
      <c r="C1702">
        <v>47887</v>
      </c>
      <c r="D1702">
        <v>2024</v>
      </c>
      <c r="E1702" t="s">
        <v>97</v>
      </c>
      <c r="F1702" t="s">
        <v>98</v>
      </c>
      <c r="G1702" t="s">
        <v>513</v>
      </c>
      <c r="I1702">
        <v>4</v>
      </c>
      <c r="J1702" t="s">
        <v>72</v>
      </c>
      <c r="K1702">
        <v>4</v>
      </c>
      <c r="L1702" t="s">
        <v>44</v>
      </c>
      <c r="M1702">
        <v>1.5</v>
      </c>
      <c r="N1702" t="s">
        <v>44</v>
      </c>
      <c r="O1702" t="s">
        <v>46</v>
      </c>
      <c r="P1702">
        <v>4</v>
      </c>
      <c r="Q1702" t="s">
        <v>62</v>
      </c>
      <c r="R1702" t="s">
        <v>63</v>
      </c>
      <c r="S1702" t="s">
        <v>85</v>
      </c>
      <c r="U1702" t="s">
        <v>50</v>
      </c>
      <c r="V1702" t="s">
        <v>51</v>
      </c>
      <c r="W1702" t="s">
        <v>283</v>
      </c>
      <c r="X1702" t="s">
        <v>65</v>
      </c>
      <c r="Y1702" t="s">
        <v>126</v>
      </c>
      <c r="AA1702">
        <v>0</v>
      </c>
      <c r="AB1702" t="s">
        <v>79</v>
      </c>
      <c r="AC1702" t="s">
        <v>87</v>
      </c>
      <c r="AD1702">
        <v>36</v>
      </c>
      <c r="AE1702">
        <v>9</v>
      </c>
      <c r="AF1702">
        <v>3</v>
      </c>
      <c r="AG1702">
        <v>2025</v>
      </c>
      <c r="AH1702" s="2">
        <v>18750</v>
      </c>
      <c r="AI1702" s="2">
        <v>20959.29296875</v>
      </c>
      <c r="AJ1702" s="2">
        <f t="shared" si="210"/>
        <v>2209.29296875</v>
      </c>
      <c r="AK1702" s="6">
        <f t="shared" si="211"/>
        <v>0.11782895833333333</v>
      </c>
      <c r="AL1702" s="12">
        <v>18750</v>
      </c>
      <c r="AM1702" s="12">
        <v>24925.912920340321</v>
      </c>
      <c r="AN1702" s="12">
        <f t="shared" si="212"/>
        <v>6175.9129203403209</v>
      </c>
      <c r="AO1702" s="13">
        <f t="shared" si="213"/>
        <v>0.32938202241815046</v>
      </c>
      <c r="AP1702" s="16">
        <v>18750</v>
      </c>
      <c r="AQ1702" s="16">
        <v>19460.590127408552</v>
      </c>
      <c r="AR1702" s="16">
        <f t="shared" si="214"/>
        <v>710.59012740855178</v>
      </c>
      <c r="AS1702" s="17">
        <f t="shared" si="208"/>
        <v>3.7898140128456097E-2</v>
      </c>
      <c r="AT1702" s="20">
        <v>18750</v>
      </c>
      <c r="AU1702" s="20">
        <v>21422.552734375</v>
      </c>
      <c r="AV1702" s="20">
        <f t="shared" si="209"/>
        <v>2672.552734375</v>
      </c>
      <c r="AW1702" s="21">
        <f t="shared" si="215"/>
        <v>0.14253614583333332</v>
      </c>
    </row>
    <row r="1703" spans="1:49" x14ac:dyDescent="0.25">
      <c r="A1703" t="s">
        <v>114</v>
      </c>
      <c r="B1703" t="s">
        <v>115</v>
      </c>
      <c r="C1703">
        <v>102059</v>
      </c>
      <c r="D1703">
        <v>2016</v>
      </c>
      <c r="E1703" t="s">
        <v>142</v>
      </c>
      <c r="F1703" t="s">
        <v>630</v>
      </c>
      <c r="G1703" t="s">
        <v>118</v>
      </c>
      <c r="I1703">
        <v>4</v>
      </c>
      <c r="J1703" t="s">
        <v>122</v>
      </c>
      <c r="K1703">
        <v>4</v>
      </c>
      <c r="L1703" t="s">
        <v>44</v>
      </c>
      <c r="M1703">
        <v>2.4</v>
      </c>
      <c r="N1703" t="s">
        <v>91</v>
      </c>
      <c r="O1703" t="s">
        <v>46</v>
      </c>
      <c r="Q1703" t="s">
        <v>62</v>
      </c>
      <c r="R1703" t="s">
        <v>63</v>
      </c>
      <c r="S1703" t="s">
        <v>85</v>
      </c>
      <c r="T1703">
        <v>184</v>
      </c>
      <c r="U1703" t="s">
        <v>50</v>
      </c>
      <c r="X1703" t="s">
        <v>65</v>
      </c>
      <c r="Y1703" t="s">
        <v>632</v>
      </c>
      <c r="AA1703">
        <v>0</v>
      </c>
      <c r="AB1703" t="s">
        <v>79</v>
      </c>
      <c r="AC1703" t="s">
        <v>87</v>
      </c>
      <c r="AD1703">
        <v>36</v>
      </c>
      <c r="AE1703">
        <v>9</v>
      </c>
      <c r="AF1703">
        <v>3</v>
      </c>
      <c r="AG1703">
        <v>2025</v>
      </c>
      <c r="AH1703" s="2">
        <v>6200</v>
      </c>
      <c r="AI1703" s="2">
        <v>6737.53955078125</v>
      </c>
      <c r="AJ1703" s="2">
        <f t="shared" si="210"/>
        <v>537.53955078125</v>
      </c>
      <c r="AK1703" s="6">
        <f t="shared" si="211"/>
        <v>8.6699927545362904E-2</v>
      </c>
      <c r="AL1703" s="12">
        <v>6200</v>
      </c>
      <c r="AM1703" s="12">
        <v>6377.1484587061868</v>
      </c>
      <c r="AN1703" s="12">
        <f t="shared" si="212"/>
        <v>177.14845870618683</v>
      </c>
      <c r="AO1703" s="13">
        <f t="shared" si="213"/>
        <v>2.8572332049384974E-2</v>
      </c>
      <c r="AP1703" s="16">
        <v>6200</v>
      </c>
      <c r="AQ1703" s="16">
        <v>4856.0271004450706</v>
      </c>
      <c r="AR1703" s="16">
        <f t="shared" si="214"/>
        <v>1343.9728995549294</v>
      </c>
      <c r="AS1703" s="17">
        <f t="shared" si="208"/>
        <v>0.21676982250885959</v>
      </c>
      <c r="AT1703" s="20">
        <v>6200</v>
      </c>
      <c r="AU1703" s="20">
        <v>6774.0048828125</v>
      </c>
      <c r="AV1703" s="20">
        <f t="shared" si="209"/>
        <v>574.0048828125</v>
      </c>
      <c r="AW1703" s="21">
        <f t="shared" si="215"/>
        <v>9.2581432711693543E-2</v>
      </c>
    </row>
    <row r="1704" spans="1:49" x14ac:dyDescent="0.25">
      <c r="A1704" t="s">
        <v>38</v>
      </c>
      <c r="B1704" t="s">
        <v>96</v>
      </c>
      <c r="C1704">
        <v>82068</v>
      </c>
      <c r="D1704">
        <v>2021</v>
      </c>
      <c r="E1704" t="s">
        <v>97</v>
      </c>
      <c r="F1704" t="s">
        <v>98</v>
      </c>
      <c r="G1704" t="s">
        <v>1262</v>
      </c>
      <c r="I1704">
        <v>4</v>
      </c>
      <c r="J1704" t="s">
        <v>106</v>
      </c>
      <c r="K1704">
        <v>4</v>
      </c>
      <c r="L1704" t="s">
        <v>44</v>
      </c>
      <c r="M1704">
        <v>1.5</v>
      </c>
      <c r="N1704" t="s">
        <v>45</v>
      </c>
      <c r="O1704" t="s">
        <v>46</v>
      </c>
      <c r="P1704">
        <v>4</v>
      </c>
      <c r="Q1704" t="s">
        <v>62</v>
      </c>
      <c r="R1704" t="s">
        <v>63</v>
      </c>
      <c r="S1704" t="s">
        <v>101</v>
      </c>
      <c r="U1704" t="s">
        <v>50</v>
      </c>
      <c r="V1704" t="s">
        <v>51</v>
      </c>
      <c r="W1704" t="s">
        <v>255</v>
      </c>
      <c r="X1704" t="s">
        <v>65</v>
      </c>
      <c r="Y1704" t="s">
        <v>103</v>
      </c>
      <c r="AA1704">
        <v>0</v>
      </c>
      <c r="AB1704" t="s">
        <v>79</v>
      </c>
      <c r="AC1704" t="s">
        <v>87</v>
      </c>
      <c r="AD1704">
        <v>36</v>
      </c>
      <c r="AE1704">
        <v>9</v>
      </c>
      <c r="AF1704">
        <v>3</v>
      </c>
      <c r="AG1704">
        <v>2025</v>
      </c>
      <c r="AH1704" s="2">
        <v>12500</v>
      </c>
      <c r="AI1704" s="2">
        <v>14304.119140625</v>
      </c>
      <c r="AJ1704" s="2">
        <f t="shared" si="210"/>
        <v>1804.119140625</v>
      </c>
      <c r="AK1704" s="6">
        <f t="shared" si="211"/>
        <v>0.14432953125</v>
      </c>
      <c r="AL1704" s="12">
        <v>12500</v>
      </c>
      <c r="AM1704" s="12">
        <v>15273.11971463193</v>
      </c>
      <c r="AN1704" s="12">
        <f t="shared" si="212"/>
        <v>2773.11971463193</v>
      </c>
      <c r="AO1704" s="13">
        <f t="shared" si="213"/>
        <v>0.2218495771705544</v>
      </c>
      <c r="AP1704" s="16">
        <v>12500</v>
      </c>
      <c r="AQ1704" s="16">
        <v>14096.465995974369</v>
      </c>
      <c r="AR1704" s="16">
        <f t="shared" si="214"/>
        <v>1596.4659959743694</v>
      </c>
      <c r="AS1704" s="17">
        <f t="shared" si="208"/>
        <v>0.12771727967794955</v>
      </c>
      <c r="AT1704" s="20">
        <v>12500</v>
      </c>
      <c r="AU1704" s="20">
        <v>14411.806640625</v>
      </c>
      <c r="AV1704" s="20">
        <f t="shared" si="209"/>
        <v>1911.806640625</v>
      </c>
      <c r="AW1704" s="21">
        <f t="shared" si="215"/>
        <v>0.15294453124999999</v>
      </c>
    </row>
    <row r="1705" spans="1:49" x14ac:dyDescent="0.25">
      <c r="A1705" t="s">
        <v>38</v>
      </c>
      <c r="B1705" t="s">
        <v>68</v>
      </c>
      <c r="C1705">
        <v>133665</v>
      </c>
      <c r="D1705">
        <v>2020</v>
      </c>
      <c r="E1705" t="s">
        <v>69</v>
      </c>
      <c r="F1705" t="s">
        <v>258</v>
      </c>
      <c r="H1705" t="s">
        <v>259</v>
      </c>
      <c r="I1705">
        <v>8</v>
      </c>
      <c r="J1705" t="s">
        <v>72</v>
      </c>
      <c r="K1705">
        <v>4</v>
      </c>
      <c r="L1705" t="s">
        <v>44</v>
      </c>
      <c r="M1705">
        <v>6.7</v>
      </c>
      <c r="N1705" t="s">
        <v>91</v>
      </c>
      <c r="O1705" t="s">
        <v>46</v>
      </c>
      <c r="P1705">
        <v>3</v>
      </c>
      <c r="Q1705" t="s">
        <v>477</v>
      </c>
      <c r="R1705" t="s">
        <v>1331</v>
      </c>
      <c r="S1705" t="s">
        <v>93</v>
      </c>
      <c r="T1705">
        <v>440</v>
      </c>
      <c r="U1705" t="s">
        <v>229</v>
      </c>
      <c r="V1705" t="s">
        <v>76</v>
      </c>
      <c r="X1705" t="s">
        <v>260</v>
      </c>
      <c r="Y1705" t="s">
        <v>78</v>
      </c>
      <c r="AA1705">
        <v>0</v>
      </c>
      <c r="AB1705" t="s">
        <v>79</v>
      </c>
      <c r="AC1705" t="s">
        <v>886</v>
      </c>
      <c r="AD1705">
        <v>36</v>
      </c>
      <c r="AE1705">
        <v>9</v>
      </c>
      <c r="AF1705">
        <v>3</v>
      </c>
      <c r="AG1705">
        <v>2025</v>
      </c>
      <c r="AH1705" s="2">
        <v>22750</v>
      </c>
      <c r="AI1705" s="2">
        <v>26308.234375</v>
      </c>
      <c r="AJ1705" s="2">
        <f t="shared" si="210"/>
        <v>3558.234375</v>
      </c>
      <c r="AK1705" s="6">
        <f t="shared" si="211"/>
        <v>0.15640590659340659</v>
      </c>
      <c r="AL1705" s="12">
        <v>22750</v>
      </c>
      <c r="AM1705" s="12">
        <v>27426.930456458129</v>
      </c>
      <c r="AN1705" s="12">
        <f t="shared" si="212"/>
        <v>4676.9304564581289</v>
      </c>
      <c r="AO1705" s="13">
        <f t="shared" si="213"/>
        <v>0.20557936072343425</v>
      </c>
      <c r="AP1705" s="16">
        <v>22750</v>
      </c>
      <c r="AQ1705" s="16">
        <v>22532.676980835899</v>
      </c>
      <c r="AR1705" s="16">
        <f t="shared" si="214"/>
        <v>217.32301916410142</v>
      </c>
      <c r="AS1705" s="17">
        <f t="shared" si="208"/>
        <v>9.5526601830374248E-3</v>
      </c>
      <c r="AT1705" s="20">
        <v>22750</v>
      </c>
      <c r="AU1705" s="20">
        <v>26382.857421875</v>
      </c>
      <c r="AV1705" s="20">
        <f t="shared" si="209"/>
        <v>3632.857421875</v>
      </c>
      <c r="AW1705" s="21">
        <f t="shared" si="215"/>
        <v>0.15968604052197802</v>
      </c>
    </row>
    <row r="1706" spans="1:49" x14ac:dyDescent="0.25">
      <c r="A1706" t="s">
        <v>38</v>
      </c>
      <c r="B1706" t="s">
        <v>96</v>
      </c>
      <c r="C1706">
        <v>115765</v>
      </c>
      <c r="D1706">
        <v>2018</v>
      </c>
      <c r="E1706" t="s">
        <v>58</v>
      </c>
      <c r="F1706" t="s">
        <v>239</v>
      </c>
      <c r="G1706" t="s">
        <v>1479</v>
      </c>
      <c r="I1706">
        <v>4</v>
      </c>
      <c r="J1706" t="s">
        <v>106</v>
      </c>
      <c r="K1706">
        <v>4</v>
      </c>
      <c r="L1706" t="s">
        <v>44</v>
      </c>
      <c r="M1706">
        <v>2.4</v>
      </c>
      <c r="N1706" t="s">
        <v>45</v>
      </c>
      <c r="O1706" t="s">
        <v>46</v>
      </c>
      <c r="P1706">
        <v>1</v>
      </c>
      <c r="Q1706" t="s">
        <v>62</v>
      </c>
      <c r="R1706" t="s">
        <v>63</v>
      </c>
      <c r="S1706" t="s">
        <v>49</v>
      </c>
      <c r="T1706">
        <v>181</v>
      </c>
      <c r="U1706" t="s">
        <v>50</v>
      </c>
      <c r="V1706" t="s">
        <v>51</v>
      </c>
      <c r="W1706" t="s">
        <v>242</v>
      </c>
      <c r="X1706" t="s">
        <v>65</v>
      </c>
      <c r="Y1706" t="s">
        <v>66</v>
      </c>
      <c r="AA1706">
        <v>0</v>
      </c>
      <c r="AB1706" t="s">
        <v>79</v>
      </c>
      <c r="AC1706" t="s">
        <v>87</v>
      </c>
      <c r="AD1706">
        <v>36</v>
      </c>
      <c r="AE1706">
        <v>9</v>
      </c>
      <c r="AF1706">
        <v>3</v>
      </c>
      <c r="AG1706">
        <v>2025</v>
      </c>
      <c r="AH1706" s="2">
        <v>4000</v>
      </c>
      <c r="AI1706" s="2">
        <v>4180.56494140625</v>
      </c>
      <c r="AJ1706" s="2">
        <f t="shared" si="210"/>
        <v>180.56494140625</v>
      </c>
      <c r="AK1706" s="6">
        <f t="shared" si="211"/>
        <v>4.5141235351562503E-2</v>
      </c>
      <c r="AL1706" s="12">
        <v>4000</v>
      </c>
      <c r="AM1706" s="12">
        <v>3699.345203992892</v>
      </c>
      <c r="AN1706" s="12">
        <f t="shared" si="212"/>
        <v>300.65479600710796</v>
      </c>
      <c r="AO1706" s="13">
        <f t="shared" si="213"/>
        <v>7.5163699001776996E-2</v>
      </c>
      <c r="AP1706" s="16">
        <v>4000</v>
      </c>
      <c r="AQ1706" s="16">
        <v>3591.6690845461371</v>
      </c>
      <c r="AR1706" s="16">
        <f t="shared" si="214"/>
        <v>408.33091545386287</v>
      </c>
      <c r="AS1706" s="17">
        <f t="shared" si="208"/>
        <v>0.10208272886346571</v>
      </c>
      <c r="AT1706" s="20">
        <v>4000</v>
      </c>
      <c r="AU1706" s="20">
        <v>4217.78076171875</v>
      </c>
      <c r="AV1706" s="20">
        <f t="shared" si="209"/>
        <v>217.78076171875</v>
      </c>
      <c r="AW1706" s="21">
        <f t="shared" si="215"/>
        <v>5.4445190429687498E-2</v>
      </c>
    </row>
    <row r="1707" spans="1:49" x14ac:dyDescent="0.25">
      <c r="A1707" t="s">
        <v>38</v>
      </c>
      <c r="B1707" t="s">
        <v>96</v>
      </c>
      <c r="C1707">
        <v>285075</v>
      </c>
      <c r="D1707">
        <v>2009</v>
      </c>
      <c r="E1707" t="s">
        <v>97</v>
      </c>
      <c r="F1707" t="s">
        <v>159</v>
      </c>
      <c r="G1707" t="s">
        <v>199</v>
      </c>
      <c r="H1707" t="s">
        <v>177</v>
      </c>
      <c r="I1707">
        <v>8</v>
      </c>
      <c r="J1707" t="s">
        <v>72</v>
      </c>
      <c r="K1707">
        <v>2</v>
      </c>
      <c r="L1707" t="s">
        <v>44</v>
      </c>
      <c r="M1707">
        <v>5.3</v>
      </c>
      <c r="N1707" t="s">
        <v>73</v>
      </c>
      <c r="O1707" t="s">
        <v>46</v>
      </c>
      <c r="Q1707" t="s">
        <v>74</v>
      </c>
      <c r="R1707" t="s">
        <v>92</v>
      </c>
      <c r="S1707" t="s">
        <v>49</v>
      </c>
      <c r="V1707" t="s">
        <v>76</v>
      </c>
      <c r="W1707" t="s">
        <v>1215</v>
      </c>
      <c r="X1707" t="s">
        <v>94</v>
      </c>
      <c r="Y1707" t="s">
        <v>78</v>
      </c>
      <c r="AA1707">
        <v>0</v>
      </c>
      <c r="AB1707" t="s">
        <v>79</v>
      </c>
      <c r="AC1707" t="s">
        <v>95</v>
      </c>
      <c r="AD1707">
        <v>36</v>
      </c>
      <c r="AE1707">
        <v>9</v>
      </c>
      <c r="AF1707">
        <v>3</v>
      </c>
      <c r="AG1707">
        <v>2025</v>
      </c>
      <c r="AH1707" s="2">
        <v>2700</v>
      </c>
      <c r="AI1707" s="2">
        <v>2548.58544921875</v>
      </c>
      <c r="AJ1707" s="2">
        <f t="shared" si="210"/>
        <v>151.41455078125</v>
      </c>
      <c r="AK1707" s="6">
        <f t="shared" si="211"/>
        <v>5.6079463252314818E-2</v>
      </c>
      <c r="AL1707" s="12">
        <v>2700</v>
      </c>
      <c r="AM1707" s="12">
        <v>2525.216353952294</v>
      </c>
      <c r="AN1707" s="12">
        <f t="shared" si="212"/>
        <v>174.78364604770604</v>
      </c>
      <c r="AO1707" s="13">
        <f t="shared" si="213"/>
        <v>6.4734683721372602E-2</v>
      </c>
      <c r="AP1707" s="16">
        <v>2700</v>
      </c>
      <c r="AQ1707" s="16">
        <v>2526.8173702138029</v>
      </c>
      <c r="AR1707" s="16">
        <f t="shared" si="214"/>
        <v>173.18262978619714</v>
      </c>
      <c r="AS1707" s="17">
        <f t="shared" si="208"/>
        <v>6.4141714735628574E-2</v>
      </c>
      <c r="AT1707" s="20">
        <v>2700</v>
      </c>
      <c r="AU1707" s="20">
        <v>2574.435791015625</v>
      </c>
      <c r="AV1707" s="20">
        <f t="shared" si="209"/>
        <v>125.564208984375</v>
      </c>
      <c r="AW1707" s="21">
        <f t="shared" si="215"/>
        <v>4.6505262586805554E-2</v>
      </c>
    </row>
    <row r="1708" spans="1:49" x14ac:dyDescent="0.25">
      <c r="A1708" t="s">
        <v>38</v>
      </c>
      <c r="B1708" t="s">
        <v>110</v>
      </c>
      <c r="C1708">
        <v>172298</v>
      </c>
      <c r="D1708">
        <v>2017</v>
      </c>
      <c r="E1708" t="s">
        <v>69</v>
      </c>
      <c r="F1708" t="s">
        <v>475</v>
      </c>
      <c r="H1708" t="s">
        <v>259</v>
      </c>
      <c r="I1708">
        <v>8</v>
      </c>
      <c r="J1708" t="s">
        <v>61</v>
      </c>
      <c r="K1708">
        <v>4</v>
      </c>
      <c r="L1708" t="s">
        <v>44</v>
      </c>
      <c r="M1708">
        <v>6.7</v>
      </c>
      <c r="N1708" t="s">
        <v>91</v>
      </c>
      <c r="Q1708" t="s">
        <v>74</v>
      </c>
      <c r="R1708" t="s">
        <v>92</v>
      </c>
      <c r="S1708" t="s">
        <v>93</v>
      </c>
      <c r="T1708">
        <v>440</v>
      </c>
      <c r="U1708" t="s">
        <v>229</v>
      </c>
      <c r="V1708" t="s">
        <v>76</v>
      </c>
      <c r="X1708" t="s">
        <v>230</v>
      </c>
      <c r="Y1708" t="s">
        <v>78</v>
      </c>
      <c r="Z1708">
        <v>39135</v>
      </c>
      <c r="AA1708">
        <v>0</v>
      </c>
      <c r="AB1708" t="s">
        <v>79</v>
      </c>
      <c r="AC1708" t="s">
        <v>95</v>
      </c>
      <c r="AD1708">
        <v>36</v>
      </c>
      <c r="AE1708">
        <v>9</v>
      </c>
      <c r="AF1708">
        <v>3</v>
      </c>
      <c r="AG1708">
        <v>2025</v>
      </c>
      <c r="AH1708" s="2">
        <v>25000</v>
      </c>
      <c r="AI1708" s="2">
        <v>23191.478515625</v>
      </c>
      <c r="AJ1708" s="2">
        <f t="shared" si="210"/>
        <v>1808.521484375</v>
      </c>
      <c r="AK1708" s="6">
        <f t="shared" si="211"/>
        <v>7.2340859374999997E-2</v>
      </c>
      <c r="AL1708" s="12">
        <v>25000</v>
      </c>
      <c r="AM1708" s="12">
        <v>18147.81986546468</v>
      </c>
      <c r="AN1708" s="12">
        <f t="shared" si="212"/>
        <v>6852.1801345353197</v>
      </c>
      <c r="AO1708" s="13">
        <f t="shared" si="213"/>
        <v>0.27408720538141279</v>
      </c>
      <c r="AP1708" s="16">
        <v>25000</v>
      </c>
      <c r="AQ1708" s="16">
        <v>21163.060076446869</v>
      </c>
      <c r="AR1708" s="16">
        <f t="shared" si="214"/>
        <v>3836.9399235531309</v>
      </c>
      <c r="AS1708" s="17">
        <f t="shared" si="208"/>
        <v>0.15347759694212523</v>
      </c>
      <c r="AT1708" s="20">
        <v>25000</v>
      </c>
      <c r="AU1708" s="20">
        <v>22255.03125</v>
      </c>
      <c r="AV1708" s="20">
        <f t="shared" si="209"/>
        <v>2744.96875</v>
      </c>
      <c r="AW1708" s="21">
        <f t="shared" si="215"/>
        <v>0.10979875</v>
      </c>
    </row>
    <row r="1709" spans="1:49" x14ac:dyDescent="0.25">
      <c r="A1709" t="s">
        <v>38</v>
      </c>
      <c r="B1709" t="s">
        <v>68</v>
      </c>
      <c r="C1709">
        <v>126576</v>
      </c>
      <c r="D1709">
        <v>2014</v>
      </c>
      <c r="E1709" t="s">
        <v>40</v>
      </c>
      <c r="F1709" t="s">
        <v>182</v>
      </c>
      <c r="G1709" t="s">
        <v>112</v>
      </c>
      <c r="H1709" t="s">
        <v>869</v>
      </c>
      <c r="I1709">
        <v>6</v>
      </c>
      <c r="J1709" t="s">
        <v>135</v>
      </c>
      <c r="K1709">
        <v>4</v>
      </c>
      <c r="L1709" t="s">
        <v>44</v>
      </c>
      <c r="M1709">
        <v>4</v>
      </c>
      <c r="N1709" t="s">
        <v>73</v>
      </c>
      <c r="O1709" t="s">
        <v>46</v>
      </c>
      <c r="P1709">
        <v>4</v>
      </c>
      <c r="Q1709" t="s">
        <v>62</v>
      </c>
      <c r="R1709" t="s">
        <v>63</v>
      </c>
      <c r="S1709" t="s">
        <v>49</v>
      </c>
      <c r="T1709">
        <v>270</v>
      </c>
      <c r="U1709" t="s">
        <v>50</v>
      </c>
      <c r="V1709" t="s">
        <v>76</v>
      </c>
      <c r="W1709" t="s">
        <v>185</v>
      </c>
      <c r="X1709" t="s">
        <v>94</v>
      </c>
      <c r="Y1709" t="s">
        <v>54</v>
      </c>
      <c r="AA1709">
        <v>0</v>
      </c>
      <c r="AB1709" t="s">
        <v>79</v>
      </c>
      <c r="AC1709" t="s">
        <v>87</v>
      </c>
      <c r="AD1709">
        <v>36</v>
      </c>
      <c r="AE1709">
        <v>9</v>
      </c>
      <c r="AF1709">
        <v>3</v>
      </c>
      <c r="AG1709">
        <v>2025</v>
      </c>
      <c r="AH1709" s="2">
        <v>15500</v>
      </c>
      <c r="AI1709" s="2">
        <v>11664.3583984375</v>
      </c>
      <c r="AJ1709" s="2">
        <f t="shared" si="210"/>
        <v>3835.6416015625</v>
      </c>
      <c r="AK1709" s="6">
        <f t="shared" si="211"/>
        <v>0.24746074848790323</v>
      </c>
      <c r="AL1709" s="12">
        <v>15500</v>
      </c>
      <c r="AM1709" s="12">
        <v>12117.80297609698</v>
      </c>
      <c r="AN1709" s="12">
        <f t="shared" si="212"/>
        <v>3382.1970239030197</v>
      </c>
      <c r="AO1709" s="13">
        <f t="shared" si="213"/>
        <v>0.21820625960664644</v>
      </c>
      <c r="AP1709" s="16">
        <v>15500</v>
      </c>
      <c r="AQ1709" s="16">
        <v>9623.9734681295995</v>
      </c>
      <c r="AR1709" s="16">
        <f t="shared" si="214"/>
        <v>5876.0265318704005</v>
      </c>
      <c r="AS1709" s="17">
        <f t="shared" si="208"/>
        <v>0.37909848592712259</v>
      </c>
      <c r="AT1709" s="20">
        <v>15500</v>
      </c>
      <c r="AU1709" s="20">
        <v>11784.0390625</v>
      </c>
      <c r="AV1709" s="20">
        <f t="shared" si="209"/>
        <v>3715.9609375</v>
      </c>
      <c r="AW1709" s="21">
        <f t="shared" si="215"/>
        <v>0.23973941532258064</v>
      </c>
    </row>
    <row r="1710" spans="1:49" x14ac:dyDescent="0.25">
      <c r="A1710" t="s">
        <v>38</v>
      </c>
      <c r="B1710" t="s">
        <v>96</v>
      </c>
      <c r="C1710">
        <v>80441</v>
      </c>
      <c r="D1710">
        <v>2018</v>
      </c>
      <c r="E1710" t="s">
        <v>557</v>
      </c>
      <c r="F1710" t="s">
        <v>940</v>
      </c>
      <c r="G1710" t="s">
        <v>1135</v>
      </c>
      <c r="I1710">
        <v>6</v>
      </c>
      <c r="J1710" t="s">
        <v>135</v>
      </c>
      <c r="K1710">
        <v>4</v>
      </c>
      <c r="L1710" t="s">
        <v>44</v>
      </c>
      <c r="M1710">
        <v>3.6</v>
      </c>
      <c r="N1710" t="s">
        <v>45</v>
      </c>
      <c r="O1710" t="s">
        <v>46</v>
      </c>
      <c r="P1710">
        <v>3</v>
      </c>
      <c r="Q1710" t="s">
        <v>62</v>
      </c>
      <c r="R1710" t="s">
        <v>225</v>
      </c>
      <c r="S1710" t="s">
        <v>101</v>
      </c>
      <c r="T1710">
        <v>260</v>
      </c>
      <c r="U1710" t="s">
        <v>601</v>
      </c>
      <c r="V1710" t="s">
        <v>76</v>
      </c>
      <c r="X1710" t="s">
        <v>94</v>
      </c>
      <c r="Y1710" t="s">
        <v>103</v>
      </c>
      <c r="AA1710">
        <v>1</v>
      </c>
      <c r="AB1710" t="s">
        <v>603</v>
      </c>
      <c r="AC1710" t="s">
        <v>1328</v>
      </c>
      <c r="AD1710">
        <v>36</v>
      </c>
      <c r="AE1710">
        <v>9</v>
      </c>
      <c r="AF1710">
        <v>3</v>
      </c>
      <c r="AG1710">
        <v>2025</v>
      </c>
      <c r="AH1710" s="2">
        <v>11000</v>
      </c>
      <c r="AI1710" s="2">
        <v>11331.923828125</v>
      </c>
      <c r="AJ1710" s="2">
        <f t="shared" si="210"/>
        <v>331.923828125</v>
      </c>
      <c r="AK1710" s="6">
        <f t="shared" si="211"/>
        <v>3.017489346590909E-2</v>
      </c>
      <c r="AL1710" s="12">
        <v>11000</v>
      </c>
      <c r="AM1710" s="12">
        <v>11160.625145632561</v>
      </c>
      <c r="AN1710" s="12">
        <f t="shared" si="212"/>
        <v>160.62514563256082</v>
      </c>
      <c r="AO1710" s="13">
        <f t="shared" si="213"/>
        <v>1.4602285966596438E-2</v>
      </c>
      <c r="AP1710" s="16">
        <v>11000</v>
      </c>
      <c r="AQ1710" s="16">
        <v>11557.617462110429</v>
      </c>
      <c r="AR1710" s="16">
        <f t="shared" si="214"/>
        <v>557.61746211042919</v>
      </c>
      <c r="AS1710" s="17">
        <f t="shared" si="208"/>
        <v>5.0692496555493564E-2</v>
      </c>
      <c r="AT1710" s="20">
        <v>11000</v>
      </c>
      <c r="AU1710" s="20">
        <v>11329.5244140625</v>
      </c>
      <c r="AV1710" s="20">
        <f t="shared" si="209"/>
        <v>329.5244140625</v>
      </c>
      <c r="AW1710" s="21">
        <f t="shared" si="215"/>
        <v>2.9956764914772727E-2</v>
      </c>
    </row>
    <row r="1711" spans="1:49" x14ac:dyDescent="0.25">
      <c r="A1711" t="s">
        <v>38</v>
      </c>
      <c r="B1711" t="s">
        <v>39</v>
      </c>
      <c r="C1711">
        <v>148655</v>
      </c>
      <c r="D1711">
        <v>2015</v>
      </c>
      <c r="E1711" t="s">
        <v>142</v>
      </c>
      <c r="F1711" t="s">
        <v>633</v>
      </c>
      <c r="G1711" t="s">
        <v>634</v>
      </c>
      <c r="I1711">
        <v>6</v>
      </c>
      <c r="J1711" t="s">
        <v>72</v>
      </c>
      <c r="K1711">
        <v>4</v>
      </c>
      <c r="L1711" t="s">
        <v>402</v>
      </c>
      <c r="M1711">
        <v>3.6</v>
      </c>
      <c r="N1711" t="s">
        <v>91</v>
      </c>
      <c r="O1711" t="s">
        <v>46</v>
      </c>
      <c r="Q1711" t="s">
        <v>62</v>
      </c>
      <c r="R1711" t="s">
        <v>63</v>
      </c>
      <c r="S1711" t="s">
        <v>93</v>
      </c>
      <c r="U1711" t="s">
        <v>50</v>
      </c>
      <c r="X1711" t="s">
        <v>141</v>
      </c>
      <c r="Y1711" t="s">
        <v>78</v>
      </c>
      <c r="AA1711">
        <v>0</v>
      </c>
      <c r="AB1711" t="s">
        <v>79</v>
      </c>
      <c r="AC1711" t="s">
        <v>87</v>
      </c>
      <c r="AD1711">
        <v>36</v>
      </c>
      <c r="AE1711">
        <v>9</v>
      </c>
      <c r="AF1711">
        <v>3</v>
      </c>
      <c r="AG1711">
        <v>2025</v>
      </c>
      <c r="AH1711" s="2">
        <v>7000</v>
      </c>
      <c r="AI1711" s="2">
        <v>10010.2900390625</v>
      </c>
      <c r="AJ1711" s="2">
        <f t="shared" si="210"/>
        <v>3010.2900390625</v>
      </c>
      <c r="AK1711" s="6">
        <f t="shared" si="211"/>
        <v>0.4300414341517857</v>
      </c>
      <c r="AL1711" s="12">
        <v>7000</v>
      </c>
      <c r="AM1711" s="12">
        <v>8998.9977896620258</v>
      </c>
      <c r="AN1711" s="12">
        <f t="shared" si="212"/>
        <v>1998.9977896620258</v>
      </c>
      <c r="AO1711" s="13">
        <f t="shared" si="213"/>
        <v>0.28557111280886083</v>
      </c>
      <c r="AP1711" s="16">
        <v>7000</v>
      </c>
      <c r="AQ1711" s="16">
        <v>9335.8401271849507</v>
      </c>
      <c r="AR1711" s="16">
        <f t="shared" si="214"/>
        <v>2335.8401271849507</v>
      </c>
      <c r="AS1711" s="17">
        <f t="shared" si="208"/>
        <v>0.33369144674070722</v>
      </c>
      <c r="AT1711" s="20">
        <v>7000</v>
      </c>
      <c r="AU1711" s="20">
        <v>9965.060546875</v>
      </c>
      <c r="AV1711" s="20">
        <f t="shared" si="209"/>
        <v>2965.060546875</v>
      </c>
      <c r="AW1711" s="21">
        <f t="shared" si="215"/>
        <v>0.42358007812499998</v>
      </c>
    </row>
    <row r="1712" spans="1:49" x14ac:dyDescent="0.25">
      <c r="A1712" t="s">
        <v>81</v>
      </c>
      <c r="B1712" t="s">
        <v>82</v>
      </c>
      <c r="C1712">
        <v>203179</v>
      </c>
      <c r="D1712">
        <v>2008</v>
      </c>
      <c r="E1712" t="s">
        <v>305</v>
      </c>
      <c r="F1712" t="s">
        <v>703</v>
      </c>
      <c r="H1712" t="s">
        <v>1154</v>
      </c>
      <c r="I1712">
        <v>6</v>
      </c>
      <c r="J1712" t="s">
        <v>61</v>
      </c>
      <c r="K1712">
        <v>4</v>
      </c>
      <c r="L1712" t="s">
        <v>44</v>
      </c>
      <c r="M1712">
        <v>3.5</v>
      </c>
      <c r="N1712" t="s">
        <v>44</v>
      </c>
      <c r="O1712" t="s">
        <v>46</v>
      </c>
      <c r="Q1712" t="s">
        <v>62</v>
      </c>
      <c r="R1712" t="s">
        <v>63</v>
      </c>
      <c r="S1712" t="s">
        <v>85</v>
      </c>
      <c r="T1712">
        <v>256</v>
      </c>
      <c r="U1712" t="s">
        <v>50</v>
      </c>
      <c r="V1712" t="s">
        <v>76</v>
      </c>
      <c r="X1712" t="s">
        <v>141</v>
      </c>
      <c r="Y1712" t="s">
        <v>103</v>
      </c>
      <c r="AA1712">
        <v>0</v>
      </c>
      <c r="AB1712" t="s">
        <v>79</v>
      </c>
      <c r="AC1712" t="s">
        <v>87</v>
      </c>
      <c r="AD1712">
        <v>36</v>
      </c>
      <c r="AE1712">
        <v>9</v>
      </c>
      <c r="AF1712">
        <v>3</v>
      </c>
      <c r="AG1712">
        <v>2025</v>
      </c>
      <c r="AH1712" s="2">
        <v>1500</v>
      </c>
      <c r="AI1712" s="2">
        <v>952.4971923828125</v>
      </c>
      <c r="AJ1712" s="2">
        <f t="shared" si="210"/>
        <v>547.5028076171875</v>
      </c>
      <c r="AK1712" s="6">
        <f t="shared" si="211"/>
        <v>0.36500187174479165</v>
      </c>
      <c r="AL1712" s="12">
        <v>1500</v>
      </c>
      <c r="AM1712" s="12">
        <v>900.57224594556965</v>
      </c>
      <c r="AN1712" s="12">
        <f t="shared" si="212"/>
        <v>599.42775405443035</v>
      </c>
      <c r="AO1712" s="13">
        <f t="shared" si="213"/>
        <v>0.39961850270295357</v>
      </c>
      <c r="AP1712" s="16">
        <v>1500</v>
      </c>
      <c r="AQ1712" s="16">
        <v>710.87491998477151</v>
      </c>
      <c r="AR1712" s="16">
        <f t="shared" si="214"/>
        <v>789.12508001522849</v>
      </c>
      <c r="AS1712" s="17">
        <f t="shared" si="208"/>
        <v>0.52608338667681898</v>
      </c>
      <c r="AT1712" s="20">
        <v>1500</v>
      </c>
      <c r="AU1712" s="20">
        <v>907.63031005859375</v>
      </c>
      <c r="AV1712" s="20">
        <f t="shared" si="209"/>
        <v>592.36968994140625</v>
      </c>
      <c r="AW1712" s="21">
        <f t="shared" si="215"/>
        <v>0.39491312662760419</v>
      </c>
    </row>
    <row r="1713" spans="1:49" x14ac:dyDescent="0.25">
      <c r="A1713" t="s">
        <v>114</v>
      </c>
      <c r="B1713" t="s">
        <v>115</v>
      </c>
      <c r="C1713">
        <v>188729</v>
      </c>
      <c r="D1713">
        <v>2002</v>
      </c>
      <c r="E1713" t="s">
        <v>142</v>
      </c>
      <c r="F1713" t="s">
        <v>1321</v>
      </c>
      <c r="G1713" t="s">
        <v>118</v>
      </c>
      <c r="H1713" t="s">
        <v>1480</v>
      </c>
      <c r="I1713">
        <v>6</v>
      </c>
      <c r="J1713" t="s">
        <v>106</v>
      </c>
      <c r="K1713">
        <v>4</v>
      </c>
      <c r="L1713" t="s">
        <v>44</v>
      </c>
      <c r="M1713">
        <v>3.7</v>
      </c>
      <c r="N1713" t="s">
        <v>91</v>
      </c>
      <c r="O1713" t="s">
        <v>46</v>
      </c>
      <c r="Q1713" t="s">
        <v>62</v>
      </c>
      <c r="R1713" t="s">
        <v>63</v>
      </c>
      <c r="S1713" t="s">
        <v>93</v>
      </c>
      <c r="U1713" t="s">
        <v>50</v>
      </c>
      <c r="V1713" t="s">
        <v>76</v>
      </c>
      <c r="X1713" t="s">
        <v>141</v>
      </c>
      <c r="Y1713" t="s">
        <v>78</v>
      </c>
      <c r="AA1713">
        <v>0</v>
      </c>
      <c r="AB1713" t="s">
        <v>79</v>
      </c>
      <c r="AC1713" t="s">
        <v>87</v>
      </c>
      <c r="AD1713">
        <v>36</v>
      </c>
      <c r="AE1713">
        <v>9</v>
      </c>
      <c r="AF1713">
        <v>3</v>
      </c>
      <c r="AG1713">
        <v>2025</v>
      </c>
      <c r="AH1713" s="2">
        <v>700</v>
      </c>
      <c r="AI1713" s="2">
        <v>541.19549560546875</v>
      </c>
      <c r="AJ1713" s="2">
        <f t="shared" si="210"/>
        <v>158.80450439453125</v>
      </c>
      <c r="AK1713" s="6">
        <f t="shared" si="211"/>
        <v>0.22686357770647322</v>
      </c>
      <c r="AL1713" s="12">
        <v>700</v>
      </c>
      <c r="AM1713" s="12">
        <v>666.71340653488778</v>
      </c>
      <c r="AN1713" s="12">
        <f t="shared" si="212"/>
        <v>33.286593465112219</v>
      </c>
      <c r="AO1713" s="13">
        <f t="shared" si="213"/>
        <v>4.7552276378731738E-2</v>
      </c>
      <c r="AP1713" s="16">
        <v>700</v>
      </c>
      <c r="AQ1713" s="16">
        <v>479.43956682118738</v>
      </c>
      <c r="AR1713" s="16">
        <f t="shared" si="214"/>
        <v>220.56043317881262</v>
      </c>
      <c r="AS1713" s="17">
        <f t="shared" si="208"/>
        <v>0.31508633311258943</v>
      </c>
      <c r="AT1713" s="20">
        <v>700</v>
      </c>
      <c r="AU1713" s="20">
        <v>508.49710083007813</v>
      </c>
      <c r="AV1713" s="20">
        <f t="shared" si="209"/>
        <v>191.50289916992188</v>
      </c>
      <c r="AW1713" s="21">
        <f t="shared" si="215"/>
        <v>0.27357557024274554</v>
      </c>
    </row>
    <row r="1714" spans="1:49" x14ac:dyDescent="0.25">
      <c r="A1714" t="s">
        <v>38</v>
      </c>
      <c r="B1714" t="s">
        <v>39</v>
      </c>
      <c r="C1714">
        <v>126166</v>
      </c>
      <c r="D1714">
        <v>2016</v>
      </c>
      <c r="E1714" t="s">
        <v>69</v>
      </c>
      <c r="F1714" t="s">
        <v>690</v>
      </c>
      <c r="G1714" t="s">
        <v>447</v>
      </c>
      <c r="I1714">
        <v>4</v>
      </c>
      <c r="J1714" t="s">
        <v>61</v>
      </c>
      <c r="K1714">
        <v>4</v>
      </c>
      <c r="L1714" t="s">
        <v>44</v>
      </c>
      <c r="M1714">
        <v>2</v>
      </c>
      <c r="N1714" t="s">
        <v>45</v>
      </c>
      <c r="O1714" t="s">
        <v>46</v>
      </c>
      <c r="P1714">
        <v>2</v>
      </c>
      <c r="Q1714" t="s">
        <v>47</v>
      </c>
      <c r="R1714" t="s">
        <v>48</v>
      </c>
      <c r="T1714">
        <v>160</v>
      </c>
      <c r="U1714" t="s">
        <v>50</v>
      </c>
      <c r="V1714" t="s">
        <v>51</v>
      </c>
      <c r="X1714" t="s">
        <v>125</v>
      </c>
      <c r="Y1714" t="s">
        <v>78</v>
      </c>
      <c r="AA1714">
        <v>0</v>
      </c>
      <c r="AB1714" t="s">
        <v>79</v>
      </c>
      <c r="AC1714" t="s">
        <v>359</v>
      </c>
      <c r="AD1714">
        <v>36</v>
      </c>
      <c r="AE1714">
        <v>9</v>
      </c>
      <c r="AF1714">
        <v>3</v>
      </c>
      <c r="AG1714">
        <v>2025</v>
      </c>
      <c r="AH1714" s="2">
        <v>1600</v>
      </c>
      <c r="AI1714" s="2">
        <v>1904.108520507812</v>
      </c>
      <c r="AJ1714" s="2">
        <f t="shared" si="210"/>
        <v>304.10852050781205</v>
      </c>
      <c r="AK1714" s="6">
        <f t="shared" si="211"/>
        <v>0.19006782531738253</v>
      </c>
      <c r="AL1714" s="12">
        <v>1600</v>
      </c>
      <c r="AM1714" s="12">
        <v>2120.2929742739711</v>
      </c>
      <c r="AN1714" s="12">
        <f t="shared" si="212"/>
        <v>520.29297427397114</v>
      </c>
      <c r="AO1714" s="13">
        <f t="shared" si="213"/>
        <v>0.32518310892123198</v>
      </c>
      <c r="AP1714" s="16">
        <v>1600</v>
      </c>
      <c r="AQ1714" s="16">
        <v>1699.252748086232</v>
      </c>
      <c r="AR1714" s="16">
        <f t="shared" si="214"/>
        <v>99.252748086232032</v>
      </c>
      <c r="AS1714" s="17">
        <f t="shared" si="208"/>
        <v>6.2032967553895021E-2</v>
      </c>
      <c r="AT1714" s="20">
        <v>1600</v>
      </c>
      <c r="AU1714" s="20">
        <v>1908.531372070312</v>
      </c>
      <c r="AV1714" s="20">
        <f t="shared" si="209"/>
        <v>308.53137207031205</v>
      </c>
      <c r="AW1714" s="21">
        <f t="shared" si="215"/>
        <v>0.19283210754394503</v>
      </c>
    </row>
    <row r="1715" spans="1:49" x14ac:dyDescent="0.25">
      <c r="A1715" t="s">
        <v>38</v>
      </c>
      <c r="B1715" t="s">
        <v>68</v>
      </c>
      <c r="C1715">
        <v>64251</v>
      </c>
      <c r="D1715">
        <v>2018</v>
      </c>
      <c r="E1715" t="s">
        <v>162</v>
      </c>
      <c r="F1715" t="s">
        <v>211</v>
      </c>
      <c r="G1715" t="s">
        <v>457</v>
      </c>
      <c r="I1715">
        <v>4</v>
      </c>
      <c r="J1715" t="s">
        <v>106</v>
      </c>
      <c r="K1715">
        <v>4</v>
      </c>
      <c r="L1715" t="s">
        <v>44</v>
      </c>
      <c r="M1715">
        <v>1.6</v>
      </c>
      <c r="N1715" t="s">
        <v>45</v>
      </c>
      <c r="O1715" t="s">
        <v>46</v>
      </c>
      <c r="P1715">
        <v>4</v>
      </c>
      <c r="Q1715" t="s">
        <v>47</v>
      </c>
      <c r="R1715" t="s">
        <v>123</v>
      </c>
      <c r="T1715">
        <v>201</v>
      </c>
      <c r="U1715" t="s">
        <v>50</v>
      </c>
      <c r="W1715" t="s">
        <v>1481</v>
      </c>
      <c r="X1715" t="s">
        <v>125</v>
      </c>
      <c r="Y1715" t="s">
        <v>66</v>
      </c>
      <c r="AA1715">
        <v>0</v>
      </c>
      <c r="AB1715" t="s">
        <v>79</v>
      </c>
      <c r="AC1715" t="s">
        <v>127</v>
      </c>
      <c r="AD1715">
        <v>36</v>
      </c>
      <c r="AE1715">
        <v>9</v>
      </c>
      <c r="AF1715">
        <v>3</v>
      </c>
      <c r="AG1715">
        <v>2025</v>
      </c>
      <c r="AH1715" s="2">
        <v>10250</v>
      </c>
      <c r="AI1715" s="2">
        <v>10506.662109375</v>
      </c>
      <c r="AJ1715" s="2">
        <f t="shared" si="210"/>
        <v>256.662109375</v>
      </c>
      <c r="AK1715" s="6">
        <f t="shared" si="211"/>
        <v>2.5040205792682926E-2</v>
      </c>
      <c r="AL1715" s="12">
        <v>10250</v>
      </c>
      <c r="AM1715" s="12">
        <v>9666.953480178614</v>
      </c>
      <c r="AN1715" s="12">
        <f t="shared" si="212"/>
        <v>583.04651982138603</v>
      </c>
      <c r="AO1715" s="13">
        <f t="shared" si="213"/>
        <v>5.6882587299647416E-2</v>
      </c>
      <c r="AP1715" s="16">
        <v>10250</v>
      </c>
      <c r="AQ1715" s="16">
        <v>9366.6781496613457</v>
      </c>
      <c r="AR1715" s="16">
        <f t="shared" si="214"/>
        <v>883.32185033865426</v>
      </c>
      <c r="AS1715" s="17">
        <f t="shared" si="208"/>
        <v>8.6177741496454074E-2</v>
      </c>
      <c r="AT1715" s="20">
        <v>10250</v>
      </c>
      <c r="AU1715" s="20">
        <v>10462.5234375</v>
      </c>
      <c r="AV1715" s="20">
        <f t="shared" si="209"/>
        <v>212.5234375</v>
      </c>
      <c r="AW1715" s="21">
        <f t="shared" si="215"/>
        <v>2.0733993902439025E-2</v>
      </c>
    </row>
    <row r="1716" spans="1:49" x14ac:dyDescent="0.25">
      <c r="A1716" t="s">
        <v>38</v>
      </c>
      <c r="B1716" t="s">
        <v>110</v>
      </c>
      <c r="C1716">
        <v>183832</v>
      </c>
      <c r="D1716">
        <v>2009</v>
      </c>
      <c r="E1716" t="s">
        <v>97</v>
      </c>
      <c r="F1716" t="s">
        <v>706</v>
      </c>
      <c r="G1716" t="s">
        <v>380</v>
      </c>
      <c r="H1716" t="s">
        <v>177</v>
      </c>
      <c r="I1716">
        <v>8</v>
      </c>
      <c r="J1716" t="s">
        <v>72</v>
      </c>
      <c r="K1716">
        <v>4</v>
      </c>
      <c r="L1716" t="s">
        <v>44</v>
      </c>
      <c r="M1716">
        <v>5.3</v>
      </c>
      <c r="N1716" t="s">
        <v>73</v>
      </c>
      <c r="Q1716" t="s">
        <v>62</v>
      </c>
      <c r="R1716" t="s">
        <v>707</v>
      </c>
      <c r="S1716" t="s">
        <v>49</v>
      </c>
      <c r="U1716" t="s">
        <v>180</v>
      </c>
      <c r="V1716" t="s">
        <v>76</v>
      </c>
      <c r="W1716" t="s">
        <v>421</v>
      </c>
      <c r="X1716" t="s">
        <v>94</v>
      </c>
      <c r="Y1716" t="s">
        <v>126</v>
      </c>
      <c r="AA1716">
        <v>0</v>
      </c>
      <c r="AB1716" t="s">
        <v>79</v>
      </c>
      <c r="AC1716" t="s">
        <v>87</v>
      </c>
      <c r="AD1716">
        <v>36</v>
      </c>
      <c r="AE1716">
        <v>9</v>
      </c>
      <c r="AF1716">
        <v>3</v>
      </c>
      <c r="AG1716">
        <v>2025</v>
      </c>
      <c r="AH1716" s="2">
        <v>3750</v>
      </c>
      <c r="AI1716" s="2">
        <v>3238.847412109375</v>
      </c>
      <c r="AJ1716" s="2">
        <f t="shared" si="210"/>
        <v>511.152587890625</v>
      </c>
      <c r="AK1716" s="6">
        <f t="shared" si="211"/>
        <v>0.13630735677083333</v>
      </c>
      <c r="AL1716" s="12">
        <v>3750</v>
      </c>
      <c r="AM1716" s="12">
        <v>3355.7573915941339</v>
      </c>
      <c r="AN1716" s="12">
        <f t="shared" si="212"/>
        <v>394.24260840586612</v>
      </c>
      <c r="AO1716" s="13">
        <f t="shared" si="213"/>
        <v>0.1051313622415643</v>
      </c>
      <c r="AP1716" s="16">
        <v>3750</v>
      </c>
      <c r="AQ1716" s="16">
        <v>3045.23953106821</v>
      </c>
      <c r="AR1716" s="16">
        <f t="shared" si="214"/>
        <v>704.76046893179</v>
      </c>
      <c r="AS1716" s="17">
        <f t="shared" si="208"/>
        <v>0.18793612504847734</v>
      </c>
      <c r="AT1716" s="20">
        <v>3750</v>
      </c>
      <c r="AU1716" s="20">
        <v>3255.60009765625</v>
      </c>
      <c r="AV1716" s="20">
        <f t="shared" si="209"/>
        <v>494.39990234375</v>
      </c>
      <c r="AW1716" s="21">
        <f t="shared" si="215"/>
        <v>0.13183997395833333</v>
      </c>
    </row>
    <row r="1717" spans="1:49" x14ac:dyDescent="0.25">
      <c r="A1717" t="s">
        <v>38</v>
      </c>
      <c r="B1717" t="s">
        <v>96</v>
      </c>
      <c r="C1717">
        <v>197685</v>
      </c>
      <c r="D1717">
        <v>2014</v>
      </c>
      <c r="E1717" t="s">
        <v>69</v>
      </c>
      <c r="F1717" t="s">
        <v>231</v>
      </c>
      <c r="I1717">
        <v>6</v>
      </c>
      <c r="J1717" t="s">
        <v>72</v>
      </c>
      <c r="K1717">
        <v>4</v>
      </c>
      <c r="L1717" t="s">
        <v>44</v>
      </c>
      <c r="M1717">
        <v>3.5</v>
      </c>
      <c r="N1717" t="s">
        <v>91</v>
      </c>
      <c r="O1717" t="s">
        <v>46</v>
      </c>
      <c r="P1717">
        <v>1</v>
      </c>
      <c r="Q1717" t="s">
        <v>74</v>
      </c>
      <c r="R1717" t="s">
        <v>92</v>
      </c>
      <c r="S1717" t="s">
        <v>93</v>
      </c>
      <c r="T1717">
        <v>365</v>
      </c>
      <c r="U1717" t="s">
        <v>50</v>
      </c>
      <c r="V1717" t="s">
        <v>76</v>
      </c>
      <c r="X1717" t="s">
        <v>108</v>
      </c>
      <c r="Y1717" t="s">
        <v>78</v>
      </c>
      <c r="AA1717">
        <v>0</v>
      </c>
      <c r="AB1717" t="s">
        <v>79</v>
      </c>
      <c r="AC1717" t="s">
        <v>95</v>
      </c>
      <c r="AD1717">
        <v>36</v>
      </c>
      <c r="AE1717">
        <v>9</v>
      </c>
      <c r="AF1717">
        <v>3</v>
      </c>
      <c r="AG1717">
        <v>2025</v>
      </c>
      <c r="AH1717" s="2">
        <v>8000</v>
      </c>
      <c r="AI1717" s="2">
        <v>5121.662109375</v>
      </c>
      <c r="AJ1717" s="2">
        <f t="shared" si="210"/>
        <v>2878.337890625</v>
      </c>
      <c r="AK1717" s="6">
        <f t="shared" si="211"/>
        <v>0.35979223632812501</v>
      </c>
      <c r="AL1717" s="12">
        <v>8000</v>
      </c>
      <c r="AM1717" s="12">
        <v>4157.1688770701912</v>
      </c>
      <c r="AN1717" s="12">
        <f t="shared" si="212"/>
        <v>3842.8311229298088</v>
      </c>
      <c r="AO1717" s="13">
        <f t="shared" si="213"/>
        <v>0.48035389036622611</v>
      </c>
      <c r="AP1717" s="16">
        <v>8000</v>
      </c>
      <c r="AQ1717" s="16">
        <v>4330.0799392911786</v>
      </c>
      <c r="AR1717" s="16">
        <f t="shared" si="214"/>
        <v>3669.9200607088214</v>
      </c>
      <c r="AS1717" s="17">
        <f t="shared" si="208"/>
        <v>0.45874000758860267</v>
      </c>
      <c r="AT1717" s="20">
        <v>8000</v>
      </c>
      <c r="AU1717" s="20">
        <v>5107.787109375</v>
      </c>
      <c r="AV1717" s="20">
        <f t="shared" si="209"/>
        <v>2892.212890625</v>
      </c>
      <c r="AW1717" s="21">
        <f t="shared" si="215"/>
        <v>0.36152661132812502</v>
      </c>
    </row>
    <row r="1718" spans="1:49" x14ac:dyDescent="0.25">
      <c r="A1718" t="s">
        <v>114</v>
      </c>
      <c r="B1718" t="s">
        <v>340</v>
      </c>
      <c r="C1718">
        <v>86549</v>
      </c>
      <c r="D1718">
        <v>2015</v>
      </c>
      <c r="E1718" t="s">
        <v>58</v>
      </c>
      <c r="F1718" t="s">
        <v>111</v>
      </c>
      <c r="G1718" t="s">
        <v>894</v>
      </c>
      <c r="I1718">
        <v>4</v>
      </c>
      <c r="J1718" t="s">
        <v>206</v>
      </c>
      <c r="K1718">
        <v>4</v>
      </c>
      <c r="L1718" t="s">
        <v>402</v>
      </c>
      <c r="M1718">
        <v>1.6</v>
      </c>
      <c r="N1718" t="s">
        <v>45</v>
      </c>
      <c r="O1718" t="s">
        <v>46</v>
      </c>
      <c r="P1718">
        <v>3</v>
      </c>
      <c r="Q1718" t="s">
        <v>62</v>
      </c>
      <c r="R1718" t="s">
        <v>63</v>
      </c>
      <c r="U1718" t="s">
        <v>50</v>
      </c>
      <c r="W1718" t="s">
        <v>207</v>
      </c>
      <c r="X1718" t="s">
        <v>53</v>
      </c>
      <c r="Y1718" t="s">
        <v>66</v>
      </c>
      <c r="AA1718">
        <v>0</v>
      </c>
      <c r="AB1718" t="s">
        <v>79</v>
      </c>
      <c r="AC1718" t="s">
        <v>87</v>
      </c>
      <c r="AD1718">
        <v>36</v>
      </c>
      <c r="AE1718">
        <v>9</v>
      </c>
      <c r="AF1718">
        <v>3</v>
      </c>
      <c r="AG1718">
        <v>2025</v>
      </c>
      <c r="AH1718" s="2">
        <v>3600</v>
      </c>
      <c r="AI1718" s="2">
        <v>2866.2978515625</v>
      </c>
      <c r="AJ1718" s="2">
        <f t="shared" si="210"/>
        <v>733.7021484375</v>
      </c>
      <c r="AK1718" s="6">
        <f t="shared" si="211"/>
        <v>0.20380615234374999</v>
      </c>
      <c r="AL1718" s="12">
        <v>3600</v>
      </c>
      <c r="AM1718" s="12">
        <v>3852.179535517248</v>
      </c>
      <c r="AN1718" s="12">
        <f t="shared" si="212"/>
        <v>252.17953551724804</v>
      </c>
      <c r="AO1718" s="13">
        <f t="shared" si="213"/>
        <v>7.0049870977013345E-2</v>
      </c>
      <c r="AP1718" s="16">
        <v>3600</v>
      </c>
      <c r="AQ1718" s="16">
        <v>2765.8325738827339</v>
      </c>
      <c r="AR1718" s="16">
        <f t="shared" si="214"/>
        <v>834.16742611726613</v>
      </c>
      <c r="AS1718" s="17">
        <f t="shared" si="208"/>
        <v>0.23171317392146282</v>
      </c>
      <c r="AT1718" s="20">
        <v>3600</v>
      </c>
      <c r="AU1718" s="20">
        <v>2929.6494140625</v>
      </c>
      <c r="AV1718" s="20">
        <f t="shared" si="209"/>
        <v>670.3505859375</v>
      </c>
      <c r="AW1718" s="21">
        <f t="shared" si="215"/>
        <v>0.18620849609375001</v>
      </c>
    </row>
    <row r="1719" spans="1:49" x14ac:dyDescent="0.25">
      <c r="A1719" t="s">
        <v>81</v>
      </c>
      <c r="B1719" t="s">
        <v>186</v>
      </c>
      <c r="C1719">
        <v>5142</v>
      </c>
      <c r="D1719">
        <v>2024</v>
      </c>
      <c r="E1719" t="s">
        <v>162</v>
      </c>
      <c r="F1719" t="s">
        <v>211</v>
      </c>
      <c r="G1719" t="s">
        <v>738</v>
      </c>
      <c r="I1719">
        <v>4</v>
      </c>
      <c r="J1719" t="s">
        <v>61</v>
      </c>
      <c r="K1719">
        <v>4</v>
      </c>
      <c r="L1719" t="s">
        <v>44</v>
      </c>
      <c r="M1719">
        <v>2</v>
      </c>
      <c r="N1719" t="s">
        <v>45</v>
      </c>
      <c r="O1719" t="s">
        <v>46</v>
      </c>
      <c r="Q1719" t="s">
        <v>47</v>
      </c>
      <c r="R1719" t="s">
        <v>123</v>
      </c>
      <c r="U1719" t="s">
        <v>50</v>
      </c>
      <c r="W1719" t="s">
        <v>739</v>
      </c>
      <c r="X1719" t="s">
        <v>53</v>
      </c>
      <c r="Y1719" t="s">
        <v>66</v>
      </c>
      <c r="AA1719">
        <v>0</v>
      </c>
      <c r="AB1719" t="s">
        <v>79</v>
      </c>
      <c r="AC1719" t="s">
        <v>127</v>
      </c>
      <c r="AD1719">
        <v>36</v>
      </c>
      <c r="AE1719">
        <v>9</v>
      </c>
      <c r="AF1719">
        <v>3</v>
      </c>
      <c r="AG1719">
        <v>2025</v>
      </c>
      <c r="AH1719" s="2">
        <v>20000</v>
      </c>
      <c r="AI1719" s="2">
        <v>18662.30078125</v>
      </c>
      <c r="AJ1719" s="2">
        <f t="shared" si="210"/>
        <v>1337.69921875</v>
      </c>
      <c r="AK1719" s="6">
        <f t="shared" si="211"/>
        <v>6.6884960937500001E-2</v>
      </c>
      <c r="AL1719" s="12">
        <v>20000</v>
      </c>
      <c r="AM1719" s="12">
        <v>20028.949668358451</v>
      </c>
      <c r="AN1719" s="12">
        <f t="shared" si="212"/>
        <v>28.949668358451163</v>
      </c>
      <c r="AO1719" s="13">
        <f t="shared" si="213"/>
        <v>1.4474834179225582E-3</v>
      </c>
      <c r="AP1719" s="16">
        <v>20000</v>
      </c>
      <c r="AQ1719" s="16">
        <v>17496.186817133101</v>
      </c>
      <c r="AR1719" s="16">
        <f t="shared" si="214"/>
        <v>2503.8131828668993</v>
      </c>
      <c r="AS1719" s="17">
        <f t="shared" si="208"/>
        <v>0.12519065914334496</v>
      </c>
      <c r="AT1719" s="20">
        <v>20000</v>
      </c>
      <c r="AU1719" s="20">
        <v>18818.6015625</v>
      </c>
      <c r="AV1719" s="20">
        <f t="shared" si="209"/>
        <v>1181.3984375</v>
      </c>
      <c r="AW1719" s="21">
        <f t="shared" si="215"/>
        <v>5.9069921875E-2</v>
      </c>
    </row>
    <row r="1720" spans="1:49" x14ac:dyDescent="0.25">
      <c r="A1720" t="s">
        <v>38</v>
      </c>
      <c r="B1720" t="s">
        <v>110</v>
      </c>
      <c r="C1720">
        <v>104242</v>
      </c>
      <c r="D1720">
        <v>2015</v>
      </c>
      <c r="E1720" t="s">
        <v>142</v>
      </c>
      <c r="F1720" t="s">
        <v>373</v>
      </c>
      <c r="G1720" t="s">
        <v>1337</v>
      </c>
      <c r="I1720">
        <v>6</v>
      </c>
      <c r="J1720" t="s">
        <v>135</v>
      </c>
      <c r="K1720">
        <v>4</v>
      </c>
      <c r="L1720" t="s">
        <v>44</v>
      </c>
      <c r="M1720">
        <v>3.6</v>
      </c>
      <c r="N1720" t="s">
        <v>91</v>
      </c>
      <c r="Q1720" t="s">
        <v>62</v>
      </c>
      <c r="R1720" t="s">
        <v>63</v>
      </c>
      <c r="S1720" t="s">
        <v>93</v>
      </c>
      <c r="U1720" t="s">
        <v>50</v>
      </c>
      <c r="X1720" t="s">
        <v>94</v>
      </c>
      <c r="Y1720" t="s">
        <v>78</v>
      </c>
      <c r="AA1720">
        <v>0</v>
      </c>
      <c r="AB1720" t="s">
        <v>79</v>
      </c>
      <c r="AC1720" t="s">
        <v>87</v>
      </c>
      <c r="AD1720">
        <v>36</v>
      </c>
      <c r="AE1720">
        <v>9</v>
      </c>
      <c r="AF1720">
        <v>3</v>
      </c>
      <c r="AG1720">
        <v>2025</v>
      </c>
      <c r="AH1720" s="2">
        <v>10750</v>
      </c>
      <c r="AI1720" s="2">
        <v>8904.4482421875</v>
      </c>
      <c r="AJ1720" s="2">
        <f t="shared" si="210"/>
        <v>1845.5517578125</v>
      </c>
      <c r="AK1720" s="6">
        <f t="shared" si="211"/>
        <v>0.17167923328488371</v>
      </c>
      <c r="AL1720" s="12">
        <v>10750</v>
      </c>
      <c r="AM1720" s="12">
        <v>7985.21033880711</v>
      </c>
      <c r="AN1720" s="12">
        <f t="shared" si="212"/>
        <v>2764.78966119289</v>
      </c>
      <c r="AO1720" s="13">
        <f t="shared" si="213"/>
        <v>0.25718973592492</v>
      </c>
      <c r="AP1720" s="16">
        <v>10750</v>
      </c>
      <c r="AQ1720" s="16">
        <v>7667.5970059471429</v>
      </c>
      <c r="AR1720" s="16">
        <f t="shared" si="214"/>
        <v>3082.4029940528571</v>
      </c>
      <c r="AS1720" s="17">
        <f t="shared" si="208"/>
        <v>0.28673516223747508</v>
      </c>
      <c r="AT1720" s="20">
        <v>10750</v>
      </c>
      <c r="AU1720" s="20">
        <v>8841.451171875</v>
      </c>
      <c r="AV1720" s="20">
        <f t="shared" si="209"/>
        <v>1908.548828125</v>
      </c>
      <c r="AW1720" s="21">
        <f t="shared" si="215"/>
        <v>0.17753942587209301</v>
      </c>
    </row>
    <row r="1721" spans="1:49" x14ac:dyDescent="0.25">
      <c r="A1721" t="s">
        <v>38</v>
      </c>
      <c r="B1721" t="s">
        <v>96</v>
      </c>
      <c r="C1721">
        <v>115589</v>
      </c>
      <c r="D1721">
        <v>2018</v>
      </c>
      <c r="E1721" t="s">
        <v>97</v>
      </c>
      <c r="F1721" t="s">
        <v>419</v>
      </c>
      <c r="G1721" t="s">
        <v>364</v>
      </c>
      <c r="I1721">
        <v>8</v>
      </c>
      <c r="J1721" t="s">
        <v>106</v>
      </c>
      <c r="K1721">
        <v>4</v>
      </c>
      <c r="L1721" t="s">
        <v>44</v>
      </c>
      <c r="M1721">
        <v>6.2</v>
      </c>
      <c r="N1721" t="s">
        <v>73</v>
      </c>
      <c r="O1721" t="s">
        <v>46</v>
      </c>
      <c r="P1721">
        <v>3</v>
      </c>
      <c r="Q1721" t="s">
        <v>62</v>
      </c>
      <c r="R1721" t="s">
        <v>63</v>
      </c>
      <c r="S1721" t="s">
        <v>49</v>
      </c>
      <c r="U1721" t="s">
        <v>50</v>
      </c>
      <c r="W1721" t="s">
        <v>1482</v>
      </c>
      <c r="X1721" t="s">
        <v>108</v>
      </c>
      <c r="Y1721" t="s">
        <v>78</v>
      </c>
      <c r="Z1721">
        <v>62200</v>
      </c>
      <c r="AA1721">
        <v>0</v>
      </c>
      <c r="AB1721" t="s">
        <v>79</v>
      </c>
      <c r="AC1721" t="s">
        <v>109</v>
      </c>
      <c r="AD1721">
        <v>36</v>
      </c>
      <c r="AE1721">
        <v>9</v>
      </c>
      <c r="AF1721">
        <v>3</v>
      </c>
      <c r="AG1721">
        <v>2025</v>
      </c>
      <c r="AH1721" s="2">
        <v>21500</v>
      </c>
      <c r="AI1721" s="2">
        <v>21100.751953125</v>
      </c>
      <c r="AJ1721" s="2">
        <f t="shared" si="210"/>
        <v>399.248046875</v>
      </c>
      <c r="AK1721" s="6">
        <f t="shared" si="211"/>
        <v>1.8569676598837209E-2</v>
      </c>
      <c r="AL1721" s="12">
        <v>21500</v>
      </c>
      <c r="AM1721" s="12">
        <v>18579.291882573361</v>
      </c>
      <c r="AN1721" s="12">
        <f t="shared" si="212"/>
        <v>2920.7081174266386</v>
      </c>
      <c r="AO1721" s="13">
        <f t="shared" si="213"/>
        <v>0.13584688918263435</v>
      </c>
      <c r="AP1721" s="16">
        <v>21500</v>
      </c>
      <c r="AQ1721" s="16">
        <v>17085.27220062965</v>
      </c>
      <c r="AR1721" s="16">
        <f t="shared" si="214"/>
        <v>4414.7277993703501</v>
      </c>
      <c r="AS1721" s="17">
        <f t="shared" si="208"/>
        <v>0.20533617671490001</v>
      </c>
      <c r="AT1721" s="20">
        <v>21500</v>
      </c>
      <c r="AU1721" s="20">
        <v>20499.36328125</v>
      </c>
      <c r="AV1721" s="20">
        <f t="shared" si="209"/>
        <v>1000.63671875</v>
      </c>
      <c r="AW1721" s="21">
        <f t="shared" si="215"/>
        <v>4.6541242732558143E-2</v>
      </c>
    </row>
    <row r="1722" spans="1:49" x14ac:dyDescent="0.25">
      <c r="A1722" t="s">
        <v>38</v>
      </c>
      <c r="B1722" t="s">
        <v>96</v>
      </c>
      <c r="C1722">
        <v>25702</v>
      </c>
      <c r="D1722">
        <v>2021</v>
      </c>
      <c r="E1722" t="s">
        <v>399</v>
      </c>
      <c r="F1722" t="s">
        <v>1274</v>
      </c>
      <c r="G1722" t="s">
        <v>1453</v>
      </c>
      <c r="I1722">
        <v>4</v>
      </c>
      <c r="J1722" t="s">
        <v>61</v>
      </c>
      <c r="K1722">
        <v>4</v>
      </c>
      <c r="L1722" t="s">
        <v>402</v>
      </c>
      <c r="M1722">
        <v>2.5</v>
      </c>
      <c r="N1722" t="s">
        <v>44</v>
      </c>
      <c r="O1722" t="s">
        <v>46</v>
      </c>
      <c r="Q1722" t="s">
        <v>47</v>
      </c>
      <c r="R1722" t="s">
        <v>123</v>
      </c>
      <c r="S1722" t="s">
        <v>85</v>
      </c>
      <c r="T1722">
        <v>310</v>
      </c>
      <c r="U1722" t="s">
        <v>50</v>
      </c>
      <c r="W1722" t="s">
        <v>1483</v>
      </c>
      <c r="X1722" t="s">
        <v>125</v>
      </c>
      <c r="Y1722" t="s">
        <v>54</v>
      </c>
      <c r="AA1722">
        <v>0</v>
      </c>
      <c r="AB1722" t="s">
        <v>79</v>
      </c>
      <c r="AC1722" t="s">
        <v>127</v>
      </c>
      <c r="AD1722">
        <v>36</v>
      </c>
      <c r="AE1722">
        <v>9</v>
      </c>
      <c r="AF1722">
        <v>3</v>
      </c>
      <c r="AG1722">
        <v>2025</v>
      </c>
      <c r="AH1722" s="2">
        <v>33000</v>
      </c>
      <c r="AI1722" s="2">
        <v>22855.3984375</v>
      </c>
      <c r="AJ1722" s="2">
        <f t="shared" si="210"/>
        <v>10144.6015625</v>
      </c>
      <c r="AK1722" s="6">
        <f t="shared" si="211"/>
        <v>0.30741216856060605</v>
      </c>
      <c r="AL1722" s="12">
        <v>33000</v>
      </c>
      <c r="AM1722" s="12">
        <v>25245.536553981048</v>
      </c>
      <c r="AN1722" s="12">
        <f t="shared" si="212"/>
        <v>7754.4634460189518</v>
      </c>
      <c r="AO1722" s="13">
        <f t="shared" si="213"/>
        <v>0.23498374078845308</v>
      </c>
      <c r="AP1722" s="16">
        <v>33000</v>
      </c>
      <c r="AQ1722" s="16">
        <v>26864.03624599232</v>
      </c>
      <c r="AR1722" s="16">
        <f t="shared" si="214"/>
        <v>6135.9637540076801</v>
      </c>
      <c r="AS1722" s="17">
        <f t="shared" si="208"/>
        <v>0.18593829557599031</v>
      </c>
      <c r="AT1722" s="20">
        <v>33000</v>
      </c>
      <c r="AU1722" s="20">
        <v>23011.498046875</v>
      </c>
      <c r="AV1722" s="20">
        <f t="shared" si="209"/>
        <v>9988.501953125</v>
      </c>
      <c r="AW1722" s="21">
        <f t="shared" si="215"/>
        <v>0.30268187736742425</v>
      </c>
    </row>
    <row r="1723" spans="1:49" x14ac:dyDescent="0.25">
      <c r="A1723" t="s">
        <v>38</v>
      </c>
      <c r="B1723" t="s">
        <v>110</v>
      </c>
      <c r="C1723">
        <v>83484</v>
      </c>
      <c r="D1723">
        <v>2013</v>
      </c>
      <c r="E1723" t="s">
        <v>97</v>
      </c>
      <c r="F1723" t="s">
        <v>379</v>
      </c>
      <c r="G1723" t="s">
        <v>1484</v>
      </c>
      <c r="I1723">
        <v>4</v>
      </c>
      <c r="J1723" t="s">
        <v>106</v>
      </c>
      <c r="K1723">
        <v>4</v>
      </c>
      <c r="L1723" t="s">
        <v>44</v>
      </c>
      <c r="M1723">
        <v>1.4</v>
      </c>
      <c r="N1723" t="s">
        <v>45</v>
      </c>
      <c r="Q1723" t="s">
        <v>47</v>
      </c>
      <c r="R1723" t="s">
        <v>123</v>
      </c>
      <c r="U1723" t="s">
        <v>50</v>
      </c>
      <c r="V1723" t="s">
        <v>51</v>
      </c>
      <c r="W1723" t="s">
        <v>381</v>
      </c>
      <c r="X1723" t="s">
        <v>125</v>
      </c>
      <c r="Y1723" t="s">
        <v>78</v>
      </c>
      <c r="AA1723">
        <v>0</v>
      </c>
      <c r="AB1723" t="s">
        <v>79</v>
      </c>
      <c r="AC1723" t="s">
        <v>127</v>
      </c>
      <c r="AD1723">
        <v>36</v>
      </c>
      <c r="AE1723">
        <v>9</v>
      </c>
      <c r="AF1723">
        <v>3</v>
      </c>
      <c r="AG1723">
        <v>2025</v>
      </c>
      <c r="AH1723" s="2">
        <v>2500</v>
      </c>
      <c r="AI1723" s="2">
        <v>3351.130859375</v>
      </c>
      <c r="AJ1723" s="2">
        <f t="shared" si="210"/>
        <v>851.130859375</v>
      </c>
      <c r="AK1723" s="6">
        <f t="shared" si="211"/>
        <v>0.34045234375</v>
      </c>
      <c r="AL1723" s="12">
        <v>2500</v>
      </c>
      <c r="AM1723" s="12">
        <v>3410.1741820592101</v>
      </c>
      <c r="AN1723" s="12">
        <f t="shared" si="212"/>
        <v>910.17418205921012</v>
      </c>
      <c r="AO1723" s="13">
        <f t="shared" si="213"/>
        <v>0.36406967282368408</v>
      </c>
      <c r="AP1723" s="16">
        <v>2500</v>
      </c>
      <c r="AQ1723" s="16">
        <v>2213.399400961137</v>
      </c>
      <c r="AR1723" s="16">
        <f t="shared" si="214"/>
        <v>286.60059903886304</v>
      </c>
      <c r="AS1723" s="17">
        <f t="shared" si="208"/>
        <v>0.11464023961554522</v>
      </c>
      <c r="AT1723" s="20">
        <v>2500</v>
      </c>
      <c r="AU1723" s="20">
        <v>3405.725341796875</v>
      </c>
      <c r="AV1723" s="20">
        <f t="shared" si="209"/>
        <v>905.725341796875</v>
      </c>
      <c r="AW1723" s="21">
        <f t="shared" si="215"/>
        <v>0.36229013671874999</v>
      </c>
    </row>
    <row r="1724" spans="1:49" x14ac:dyDescent="0.25">
      <c r="A1724" t="s">
        <v>128</v>
      </c>
      <c r="B1724" t="s">
        <v>129</v>
      </c>
      <c r="C1724">
        <v>149017</v>
      </c>
      <c r="D1724">
        <v>2016</v>
      </c>
      <c r="E1724" t="s">
        <v>69</v>
      </c>
      <c r="F1724" t="s">
        <v>1195</v>
      </c>
      <c r="G1724" t="s">
        <v>224</v>
      </c>
      <c r="I1724">
        <v>4</v>
      </c>
      <c r="J1724" t="s">
        <v>61</v>
      </c>
      <c r="K1724">
        <v>4</v>
      </c>
      <c r="L1724" t="s">
        <v>44</v>
      </c>
      <c r="M1724">
        <v>1.6</v>
      </c>
      <c r="N1724" t="s">
        <v>45</v>
      </c>
      <c r="Q1724" t="s">
        <v>47</v>
      </c>
      <c r="R1724" t="s">
        <v>48</v>
      </c>
      <c r="T1724">
        <v>197</v>
      </c>
      <c r="U1724" t="s">
        <v>180</v>
      </c>
      <c r="V1724" t="s">
        <v>51</v>
      </c>
      <c r="W1724" t="s">
        <v>1485</v>
      </c>
      <c r="X1724" t="s">
        <v>125</v>
      </c>
      <c r="Y1724" t="s">
        <v>126</v>
      </c>
      <c r="AA1724">
        <v>0</v>
      </c>
      <c r="AB1724" t="s">
        <v>79</v>
      </c>
      <c r="AC1724" t="s">
        <v>359</v>
      </c>
      <c r="AD1724">
        <v>36</v>
      </c>
      <c r="AE1724">
        <v>9</v>
      </c>
      <c r="AF1724">
        <v>3</v>
      </c>
      <c r="AG1724">
        <v>2025</v>
      </c>
      <c r="AH1724" s="2">
        <v>1100</v>
      </c>
      <c r="AI1724" s="2">
        <v>1617.790893554688</v>
      </c>
      <c r="AJ1724" s="2">
        <f t="shared" si="210"/>
        <v>517.79089355468795</v>
      </c>
      <c r="AK1724" s="6">
        <f t="shared" si="211"/>
        <v>0.4707189941406254</v>
      </c>
      <c r="AL1724" s="12">
        <v>1100</v>
      </c>
      <c r="AM1724" s="12">
        <v>2036.923241797874</v>
      </c>
      <c r="AN1724" s="12">
        <f t="shared" si="212"/>
        <v>936.92324179787397</v>
      </c>
      <c r="AO1724" s="13">
        <f t="shared" si="213"/>
        <v>0.85174840163443089</v>
      </c>
      <c r="AP1724" s="16">
        <v>1100</v>
      </c>
      <c r="AQ1724" s="16">
        <v>1357.7684574752709</v>
      </c>
      <c r="AR1724" s="16">
        <f t="shared" si="214"/>
        <v>257.76845747527091</v>
      </c>
      <c r="AS1724" s="17">
        <f t="shared" si="208"/>
        <v>0.23433496134115536</v>
      </c>
      <c r="AT1724" s="20">
        <v>1100</v>
      </c>
      <c r="AU1724" s="20">
        <v>1641.26708984375</v>
      </c>
      <c r="AV1724" s="20">
        <f t="shared" si="209"/>
        <v>541.26708984375</v>
      </c>
      <c r="AW1724" s="21">
        <f t="shared" si="215"/>
        <v>0.49206099076704546</v>
      </c>
    </row>
    <row r="1725" spans="1:49" x14ac:dyDescent="0.25">
      <c r="A1725" t="s">
        <v>128</v>
      </c>
      <c r="B1725" t="s">
        <v>129</v>
      </c>
      <c r="C1725">
        <v>196415</v>
      </c>
      <c r="D1725">
        <v>2010</v>
      </c>
      <c r="E1725" t="s">
        <v>69</v>
      </c>
      <c r="F1725" t="s">
        <v>690</v>
      </c>
      <c r="G1725" t="s">
        <v>224</v>
      </c>
      <c r="I1725">
        <v>4</v>
      </c>
      <c r="J1725" t="s">
        <v>61</v>
      </c>
      <c r="K1725">
        <v>4</v>
      </c>
      <c r="L1725" t="s">
        <v>44</v>
      </c>
      <c r="M1725">
        <v>2</v>
      </c>
      <c r="N1725" t="s">
        <v>45</v>
      </c>
      <c r="Q1725" t="s">
        <v>47</v>
      </c>
      <c r="R1725" t="s">
        <v>123</v>
      </c>
      <c r="T1725">
        <v>132</v>
      </c>
      <c r="U1725" t="s">
        <v>50</v>
      </c>
      <c r="V1725" t="s">
        <v>51</v>
      </c>
      <c r="W1725" t="s">
        <v>625</v>
      </c>
      <c r="X1725" t="s">
        <v>125</v>
      </c>
      <c r="Y1725" t="s">
        <v>78</v>
      </c>
      <c r="AA1725">
        <v>0</v>
      </c>
      <c r="AB1725" t="s">
        <v>79</v>
      </c>
      <c r="AC1725" t="s">
        <v>127</v>
      </c>
      <c r="AD1725">
        <v>36</v>
      </c>
      <c r="AE1725">
        <v>9</v>
      </c>
      <c r="AF1725">
        <v>3</v>
      </c>
      <c r="AG1725">
        <v>2025</v>
      </c>
      <c r="AH1725" s="2">
        <v>800</v>
      </c>
      <c r="AI1725" s="2">
        <v>682.38092041015625</v>
      </c>
      <c r="AJ1725" s="2">
        <f t="shared" si="210"/>
        <v>117.61907958984375</v>
      </c>
      <c r="AK1725" s="6">
        <f t="shared" si="211"/>
        <v>0.14702384948730468</v>
      </c>
      <c r="AL1725" s="12">
        <v>800</v>
      </c>
      <c r="AM1725" s="12">
        <v>894.78497103623363</v>
      </c>
      <c r="AN1725" s="12">
        <f t="shared" si="212"/>
        <v>94.784971036233628</v>
      </c>
      <c r="AO1725" s="13">
        <f t="shared" si="213"/>
        <v>0.11848121379529203</v>
      </c>
      <c r="AP1725" s="16">
        <v>800</v>
      </c>
      <c r="AQ1725" s="16">
        <v>702.35777026344726</v>
      </c>
      <c r="AR1725" s="16">
        <f t="shared" si="214"/>
        <v>97.642229736552736</v>
      </c>
      <c r="AS1725" s="17">
        <f t="shared" si="208"/>
        <v>0.12205278717069092</v>
      </c>
      <c r="AT1725" s="20">
        <v>800</v>
      </c>
      <c r="AU1725" s="20">
        <v>697.51617431640625</v>
      </c>
      <c r="AV1725" s="20">
        <f t="shared" si="209"/>
        <v>102.48382568359375</v>
      </c>
      <c r="AW1725" s="21">
        <f t="shared" si="215"/>
        <v>0.12810478210449219</v>
      </c>
    </row>
    <row r="1726" spans="1:49" x14ac:dyDescent="0.25">
      <c r="A1726" t="s">
        <v>38</v>
      </c>
      <c r="B1726" t="s">
        <v>96</v>
      </c>
      <c r="C1726">
        <v>98118</v>
      </c>
      <c r="D1726">
        <v>2022</v>
      </c>
      <c r="E1726" t="s">
        <v>69</v>
      </c>
      <c r="F1726" t="s">
        <v>231</v>
      </c>
      <c r="G1726" t="s">
        <v>759</v>
      </c>
      <c r="I1726">
        <v>6</v>
      </c>
      <c r="J1726" t="s">
        <v>43</v>
      </c>
      <c r="K1726">
        <v>4</v>
      </c>
      <c r="L1726" t="s">
        <v>44</v>
      </c>
      <c r="M1726">
        <v>3.5</v>
      </c>
      <c r="N1726" t="s">
        <v>91</v>
      </c>
      <c r="O1726" t="s">
        <v>46</v>
      </c>
      <c r="Q1726" t="s">
        <v>74</v>
      </c>
      <c r="R1726" t="s">
        <v>92</v>
      </c>
      <c r="S1726" t="s">
        <v>93</v>
      </c>
      <c r="U1726" t="s">
        <v>50</v>
      </c>
      <c r="V1726" t="s">
        <v>76</v>
      </c>
      <c r="W1726" t="s">
        <v>308</v>
      </c>
      <c r="X1726" t="s">
        <v>108</v>
      </c>
      <c r="Y1726" t="s">
        <v>78</v>
      </c>
      <c r="AA1726">
        <v>0</v>
      </c>
      <c r="AB1726" t="s">
        <v>79</v>
      </c>
      <c r="AC1726" t="s">
        <v>95</v>
      </c>
      <c r="AD1726">
        <v>36</v>
      </c>
      <c r="AE1726">
        <v>9</v>
      </c>
      <c r="AF1726">
        <v>3</v>
      </c>
      <c r="AG1726">
        <v>2025</v>
      </c>
      <c r="AH1726" s="2">
        <v>49000</v>
      </c>
      <c r="AI1726" s="2">
        <v>35565.4296875</v>
      </c>
      <c r="AJ1726" s="2">
        <f t="shared" si="210"/>
        <v>13434.5703125</v>
      </c>
      <c r="AK1726" s="6">
        <f t="shared" si="211"/>
        <v>0.27417490433673469</v>
      </c>
      <c r="AL1726" s="12">
        <v>49000</v>
      </c>
      <c r="AM1726" s="12">
        <v>32668.71000524133</v>
      </c>
      <c r="AN1726" s="12">
        <f t="shared" si="212"/>
        <v>16331.28999475867</v>
      </c>
      <c r="AO1726" s="13">
        <f t="shared" si="213"/>
        <v>0.33329163254609528</v>
      </c>
      <c r="AP1726" s="16">
        <v>49000</v>
      </c>
      <c r="AQ1726" s="16">
        <v>33450.90446743292</v>
      </c>
      <c r="AR1726" s="16">
        <f t="shared" si="214"/>
        <v>15549.09553256708</v>
      </c>
      <c r="AS1726" s="17">
        <f t="shared" si="208"/>
        <v>0.31732848025647103</v>
      </c>
      <c r="AT1726" s="20">
        <v>49000</v>
      </c>
      <c r="AU1726" s="20">
        <v>35120.40625</v>
      </c>
      <c r="AV1726" s="20">
        <f t="shared" si="209"/>
        <v>13879.59375</v>
      </c>
      <c r="AW1726" s="21">
        <f t="shared" si="215"/>
        <v>0.28325701530612246</v>
      </c>
    </row>
    <row r="1727" spans="1:49" x14ac:dyDescent="0.25">
      <c r="A1727" t="s">
        <v>38</v>
      </c>
      <c r="B1727" t="s">
        <v>110</v>
      </c>
      <c r="C1727">
        <v>86474</v>
      </c>
      <c r="D1727">
        <v>2020</v>
      </c>
      <c r="E1727" t="s">
        <v>97</v>
      </c>
      <c r="F1727" t="s">
        <v>171</v>
      </c>
      <c r="G1727" t="s">
        <v>1486</v>
      </c>
      <c r="H1727" t="s">
        <v>1487</v>
      </c>
      <c r="I1727">
        <v>8</v>
      </c>
      <c r="J1727" t="s">
        <v>72</v>
      </c>
      <c r="K1727">
        <v>3</v>
      </c>
      <c r="L1727" t="s">
        <v>44</v>
      </c>
      <c r="M1727">
        <v>6</v>
      </c>
      <c r="N1727" t="s">
        <v>73</v>
      </c>
      <c r="O1727" t="s">
        <v>46</v>
      </c>
      <c r="P1727">
        <v>3</v>
      </c>
      <c r="Q1727" t="s">
        <v>1348</v>
      </c>
      <c r="R1727" t="s">
        <v>80</v>
      </c>
      <c r="U1727" t="s">
        <v>50</v>
      </c>
      <c r="W1727" t="s">
        <v>1488</v>
      </c>
      <c r="X1727" t="s">
        <v>230</v>
      </c>
      <c r="Y1727" t="s">
        <v>78</v>
      </c>
      <c r="AA1727">
        <v>0</v>
      </c>
      <c r="AB1727" t="s">
        <v>79</v>
      </c>
      <c r="AC1727" t="s">
        <v>80</v>
      </c>
      <c r="AD1727">
        <v>36</v>
      </c>
      <c r="AE1727">
        <v>9</v>
      </c>
      <c r="AF1727">
        <v>3</v>
      </c>
      <c r="AG1727">
        <v>2025</v>
      </c>
      <c r="AH1727" s="2">
        <v>17000</v>
      </c>
      <c r="AI1727" s="2">
        <v>24028.283203125</v>
      </c>
      <c r="AJ1727" s="2">
        <f t="shared" si="210"/>
        <v>7028.283203125</v>
      </c>
      <c r="AK1727" s="6">
        <f t="shared" si="211"/>
        <v>0.41342842371323529</v>
      </c>
      <c r="AL1727" s="12">
        <v>17000</v>
      </c>
      <c r="AM1727" s="12">
        <v>25289.65710544787</v>
      </c>
      <c r="AN1727" s="12">
        <f t="shared" si="212"/>
        <v>8289.65710544787</v>
      </c>
      <c r="AO1727" s="13">
        <f t="shared" si="213"/>
        <v>0.48762688855575703</v>
      </c>
      <c r="AP1727" s="16">
        <v>17000</v>
      </c>
      <c r="AQ1727" s="16">
        <v>19791.875873175959</v>
      </c>
      <c r="AR1727" s="16">
        <f t="shared" si="214"/>
        <v>2791.875873175959</v>
      </c>
      <c r="AS1727" s="17">
        <f t="shared" si="208"/>
        <v>0.16422799253976228</v>
      </c>
      <c r="AT1727" s="20">
        <v>17000</v>
      </c>
      <c r="AU1727" s="20">
        <v>24228.482421875</v>
      </c>
      <c r="AV1727" s="20">
        <f t="shared" si="209"/>
        <v>7228.482421875</v>
      </c>
      <c r="AW1727" s="21">
        <f t="shared" si="215"/>
        <v>0.42520484834558825</v>
      </c>
    </row>
    <row r="1728" spans="1:49" x14ac:dyDescent="0.25">
      <c r="A1728" t="s">
        <v>128</v>
      </c>
      <c r="B1728" t="s">
        <v>210</v>
      </c>
      <c r="C1728">
        <v>70371</v>
      </c>
      <c r="D1728">
        <v>2021</v>
      </c>
      <c r="E1728" t="s">
        <v>166</v>
      </c>
      <c r="F1728" t="s">
        <v>1489</v>
      </c>
      <c r="G1728" t="s">
        <v>411</v>
      </c>
      <c r="I1728">
        <v>6</v>
      </c>
      <c r="J1728" t="s">
        <v>135</v>
      </c>
      <c r="K1728">
        <v>4</v>
      </c>
      <c r="L1728" t="s">
        <v>44</v>
      </c>
      <c r="M1728">
        <v>3.5</v>
      </c>
      <c r="N1728" t="s">
        <v>45</v>
      </c>
      <c r="O1728" t="s">
        <v>46</v>
      </c>
      <c r="Q1728" t="s">
        <v>62</v>
      </c>
      <c r="R1728" t="s">
        <v>63</v>
      </c>
      <c r="S1728" t="s">
        <v>49</v>
      </c>
      <c r="T1728">
        <v>280</v>
      </c>
      <c r="U1728" t="s">
        <v>50</v>
      </c>
      <c r="V1728" t="s">
        <v>76</v>
      </c>
      <c r="W1728" t="s">
        <v>412</v>
      </c>
      <c r="X1728" t="s">
        <v>141</v>
      </c>
      <c r="Y1728" t="s">
        <v>78</v>
      </c>
      <c r="Z1728">
        <v>36810</v>
      </c>
      <c r="AA1728">
        <v>0</v>
      </c>
      <c r="AB1728" t="s">
        <v>79</v>
      </c>
      <c r="AC1728" t="s">
        <v>87</v>
      </c>
      <c r="AD1728">
        <v>36</v>
      </c>
      <c r="AE1728">
        <v>9</v>
      </c>
      <c r="AF1728">
        <v>3</v>
      </c>
      <c r="AG1728">
        <v>2025</v>
      </c>
      <c r="AH1728" s="2">
        <v>13600</v>
      </c>
      <c r="AI1728" s="2">
        <v>23456.25</v>
      </c>
      <c r="AJ1728" s="2">
        <f t="shared" si="210"/>
        <v>9856.25</v>
      </c>
      <c r="AK1728" s="6">
        <f t="shared" si="211"/>
        <v>0.72472426470588236</v>
      </c>
      <c r="AL1728" s="12">
        <v>13600</v>
      </c>
      <c r="AM1728" s="12">
        <v>24905.147000706951</v>
      </c>
      <c r="AN1728" s="12">
        <f t="shared" si="212"/>
        <v>11305.147000706951</v>
      </c>
      <c r="AO1728" s="13">
        <f t="shared" si="213"/>
        <v>0.83126080887551113</v>
      </c>
      <c r="AP1728" s="16">
        <v>13600</v>
      </c>
      <c r="AQ1728" s="16">
        <v>19249.793929874631</v>
      </c>
      <c r="AR1728" s="16">
        <f t="shared" si="214"/>
        <v>5649.7939298746314</v>
      </c>
      <c r="AS1728" s="17">
        <f t="shared" si="208"/>
        <v>0.41542602425548758</v>
      </c>
      <c r="AT1728" s="20">
        <v>13600</v>
      </c>
      <c r="AU1728" s="20">
        <v>23482.19140625</v>
      </c>
      <c r="AV1728" s="20">
        <f t="shared" si="209"/>
        <v>9882.19140625</v>
      </c>
      <c r="AW1728" s="21">
        <f t="shared" si="215"/>
        <v>0.72663172104779417</v>
      </c>
    </row>
    <row r="1729" spans="1:49" x14ac:dyDescent="0.25">
      <c r="A1729" t="s">
        <v>38</v>
      </c>
      <c r="B1729" t="s">
        <v>39</v>
      </c>
      <c r="C1729">
        <v>42413</v>
      </c>
      <c r="D1729">
        <v>2024</v>
      </c>
      <c r="E1729" t="s">
        <v>40</v>
      </c>
      <c r="F1729" t="s">
        <v>215</v>
      </c>
      <c r="G1729" t="s">
        <v>716</v>
      </c>
      <c r="H1729" t="s">
        <v>1071</v>
      </c>
      <c r="I1729">
        <v>6</v>
      </c>
      <c r="J1729" t="s">
        <v>72</v>
      </c>
      <c r="K1729">
        <v>4</v>
      </c>
      <c r="L1729" t="s">
        <v>44</v>
      </c>
      <c r="M1729">
        <v>3.4</v>
      </c>
      <c r="N1729" t="s">
        <v>91</v>
      </c>
      <c r="O1729" t="s">
        <v>46</v>
      </c>
      <c r="Q1729" t="s">
        <v>74</v>
      </c>
      <c r="R1729" t="s">
        <v>92</v>
      </c>
      <c r="S1729" t="s">
        <v>93</v>
      </c>
      <c r="T1729">
        <v>358</v>
      </c>
      <c r="U1729" t="s">
        <v>50</v>
      </c>
      <c r="V1729" t="s">
        <v>76</v>
      </c>
      <c r="W1729" t="s">
        <v>1072</v>
      </c>
      <c r="X1729" t="s">
        <v>108</v>
      </c>
      <c r="Y1729" t="s">
        <v>78</v>
      </c>
      <c r="AA1729">
        <v>0</v>
      </c>
      <c r="AB1729" t="s">
        <v>79</v>
      </c>
      <c r="AC1729" t="s">
        <v>95</v>
      </c>
      <c r="AD1729">
        <v>36</v>
      </c>
      <c r="AE1729">
        <v>9</v>
      </c>
      <c r="AF1729">
        <v>3</v>
      </c>
      <c r="AG1729">
        <v>2025</v>
      </c>
      <c r="AH1729" s="2">
        <v>34500</v>
      </c>
      <c r="AI1729" s="2">
        <v>43728.43359375</v>
      </c>
      <c r="AJ1729" s="2">
        <f t="shared" si="210"/>
        <v>9228.43359375</v>
      </c>
      <c r="AK1729" s="6">
        <f t="shared" si="211"/>
        <v>0.26749082880434782</v>
      </c>
      <c r="AL1729" s="12">
        <v>34500</v>
      </c>
      <c r="AM1729" s="12">
        <v>42687.861611639411</v>
      </c>
      <c r="AN1729" s="12">
        <f t="shared" si="212"/>
        <v>8187.8616116394114</v>
      </c>
      <c r="AO1729" s="13">
        <f t="shared" si="213"/>
        <v>0.23732932207650467</v>
      </c>
      <c r="AP1729" s="16">
        <v>34500</v>
      </c>
      <c r="AQ1729" s="16">
        <v>46471.940532504188</v>
      </c>
      <c r="AR1729" s="16">
        <f t="shared" si="214"/>
        <v>11971.940532504188</v>
      </c>
      <c r="AS1729" s="17">
        <f t="shared" si="208"/>
        <v>0.34701276905809242</v>
      </c>
      <c r="AT1729" s="20">
        <v>34500</v>
      </c>
      <c r="AU1729" s="20">
        <v>42989.5859375</v>
      </c>
      <c r="AV1729" s="20">
        <f t="shared" si="209"/>
        <v>8489.5859375</v>
      </c>
      <c r="AW1729" s="21">
        <f t="shared" si="215"/>
        <v>0.24607495471014493</v>
      </c>
    </row>
    <row r="1730" spans="1:49" x14ac:dyDescent="0.25">
      <c r="A1730" t="s">
        <v>38</v>
      </c>
      <c r="B1730" t="s">
        <v>110</v>
      </c>
      <c r="C1730">
        <v>10095</v>
      </c>
      <c r="D1730">
        <v>2024</v>
      </c>
      <c r="E1730" t="s">
        <v>146</v>
      </c>
      <c r="F1730" t="s">
        <v>302</v>
      </c>
      <c r="G1730" t="s">
        <v>1490</v>
      </c>
      <c r="I1730">
        <v>6</v>
      </c>
      <c r="J1730" t="s">
        <v>206</v>
      </c>
      <c r="K1730">
        <v>4</v>
      </c>
      <c r="L1730" t="s">
        <v>44</v>
      </c>
      <c r="M1730">
        <v>3.5</v>
      </c>
      <c r="N1730" t="s">
        <v>91</v>
      </c>
      <c r="Q1730" t="s">
        <v>62</v>
      </c>
      <c r="R1730" t="s">
        <v>63</v>
      </c>
      <c r="S1730" t="s">
        <v>93</v>
      </c>
      <c r="U1730" t="s">
        <v>50</v>
      </c>
      <c r="X1730" t="s">
        <v>94</v>
      </c>
      <c r="Y1730" t="s">
        <v>78</v>
      </c>
      <c r="AA1730">
        <v>0</v>
      </c>
      <c r="AB1730" t="s">
        <v>79</v>
      </c>
      <c r="AC1730" t="s">
        <v>109</v>
      </c>
      <c r="AD1730">
        <v>36</v>
      </c>
      <c r="AE1730">
        <v>9</v>
      </c>
      <c r="AF1730">
        <v>3</v>
      </c>
      <c r="AG1730">
        <v>2025</v>
      </c>
      <c r="AH1730" s="2">
        <v>39000</v>
      </c>
      <c r="AI1730" s="2">
        <v>37268.4921875</v>
      </c>
      <c r="AJ1730" s="2">
        <f t="shared" si="210"/>
        <v>1731.5078125</v>
      </c>
      <c r="AK1730" s="6">
        <f t="shared" si="211"/>
        <v>4.4397636217948719E-2</v>
      </c>
      <c r="AL1730" s="12">
        <v>39000</v>
      </c>
      <c r="AM1730" s="12">
        <v>29477.35160985406</v>
      </c>
      <c r="AN1730" s="12">
        <f t="shared" si="212"/>
        <v>9522.6483901459396</v>
      </c>
      <c r="AO1730" s="13">
        <f t="shared" si="213"/>
        <v>0.24417047154220359</v>
      </c>
      <c r="AP1730" s="16">
        <v>39000</v>
      </c>
      <c r="AQ1730" s="16">
        <v>35892.190728179397</v>
      </c>
      <c r="AR1730" s="16">
        <f t="shared" si="214"/>
        <v>3107.8092718206026</v>
      </c>
      <c r="AS1730" s="17">
        <f t="shared" si="208"/>
        <v>7.9687417226169302E-2</v>
      </c>
      <c r="AT1730" s="20">
        <v>39000</v>
      </c>
      <c r="AU1730" s="20">
        <v>35854.9453125</v>
      </c>
      <c r="AV1730" s="20">
        <f t="shared" si="209"/>
        <v>3145.0546875</v>
      </c>
      <c r="AW1730" s="21">
        <f t="shared" si="215"/>
        <v>8.0642427884615384E-2</v>
      </c>
    </row>
    <row r="1731" spans="1:49" x14ac:dyDescent="0.25">
      <c r="A1731" t="s">
        <v>128</v>
      </c>
      <c r="B1731" t="s">
        <v>210</v>
      </c>
      <c r="C1731">
        <v>113871</v>
      </c>
      <c r="D1731">
        <v>2013</v>
      </c>
      <c r="E1731" t="s">
        <v>97</v>
      </c>
      <c r="F1731" t="s">
        <v>198</v>
      </c>
      <c r="G1731" t="s">
        <v>199</v>
      </c>
      <c r="I1731">
        <v>6</v>
      </c>
      <c r="J1731" t="s">
        <v>135</v>
      </c>
      <c r="K1731">
        <v>4</v>
      </c>
      <c r="L1731" t="s">
        <v>44</v>
      </c>
      <c r="M1731">
        <v>3.6</v>
      </c>
      <c r="N1731" t="s">
        <v>45</v>
      </c>
      <c r="O1731" t="s">
        <v>46</v>
      </c>
      <c r="Q1731" t="s">
        <v>62</v>
      </c>
      <c r="R1731" t="s">
        <v>63</v>
      </c>
      <c r="S1731" t="s">
        <v>101</v>
      </c>
      <c r="U1731" t="s">
        <v>50</v>
      </c>
      <c r="V1731" t="s">
        <v>76</v>
      </c>
      <c r="W1731" t="s">
        <v>200</v>
      </c>
      <c r="X1731" t="s">
        <v>94</v>
      </c>
      <c r="Y1731" t="s">
        <v>78</v>
      </c>
      <c r="AA1731">
        <v>0</v>
      </c>
      <c r="AB1731" t="s">
        <v>79</v>
      </c>
      <c r="AC1731" t="s">
        <v>87</v>
      </c>
      <c r="AD1731">
        <v>36</v>
      </c>
      <c r="AE1731">
        <v>9</v>
      </c>
      <c r="AF1731">
        <v>3</v>
      </c>
      <c r="AG1731">
        <v>2025</v>
      </c>
      <c r="AH1731" s="2">
        <v>850</v>
      </c>
      <c r="AI1731" s="2">
        <v>4730.86767578125</v>
      </c>
      <c r="AJ1731" s="2">
        <f t="shared" si="210"/>
        <v>3880.86767578125</v>
      </c>
      <c r="AK1731" s="6">
        <f t="shared" si="211"/>
        <v>4.5657266773897058</v>
      </c>
      <c r="AL1731" s="12">
        <v>850</v>
      </c>
      <c r="AM1731" s="12">
        <v>3969.158856563311</v>
      </c>
      <c r="AN1731" s="12">
        <f t="shared" si="212"/>
        <v>3119.158856563311</v>
      </c>
      <c r="AO1731" s="13">
        <f t="shared" si="213"/>
        <v>3.6695986547803661</v>
      </c>
      <c r="AP1731" s="16">
        <v>850</v>
      </c>
      <c r="AQ1731" s="16">
        <v>3008.007796617791</v>
      </c>
      <c r="AR1731" s="16">
        <f t="shared" si="214"/>
        <v>2158.007796617791</v>
      </c>
      <c r="AS1731" s="17">
        <f t="shared" ref="AS1731:AS1794" si="216">ABS($AH1731-AQ1731)/$AH1731</f>
        <v>2.5388327019032837</v>
      </c>
      <c r="AT1731" s="20">
        <v>850</v>
      </c>
      <c r="AU1731" s="20">
        <v>4715.66162109375</v>
      </c>
      <c r="AV1731" s="20">
        <f t="shared" ref="AV1731:AV1794" si="217">ABS(AT1731-AU1731)</f>
        <v>3865.66162109375</v>
      </c>
      <c r="AW1731" s="21">
        <f t="shared" si="215"/>
        <v>4.5478372012867645</v>
      </c>
    </row>
    <row r="1732" spans="1:49" x14ac:dyDescent="0.25">
      <c r="A1732" t="s">
        <v>128</v>
      </c>
      <c r="B1732" t="s">
        <v>210</v>
      </c>
      <c r="C1732">
        <v>101469</v>
      </c>
      <c r="D1732">
        <v>2017</v>
      </c>
      <c r="E1732" t="s">
        <v>166</v>
      </c>
      <c r="F1732" t="s">
        <v>539</v>
      </c>
      <c r="G1732" t="s">
        <v>248</v>
      </c>
      <c r="I1732">
        <v>4</v>
      </c>
      <c r="J1732" t="s">
        <v>106</v>
      </c>
      <c r="K1732">
        <v>4</v>
      </c>
      <c r="L1732" t="s">
        <v>44</v>
      </c>
      <c r="M1732">
        <v>1.8</v>
      </c>
      <c r="N1732" t="s">
        <v>45</v>
      </c>
      <c r="O1732" t="s">
        <v>46</v>
      </c>
      <c r="Q1732" t="s">
        <v>62</v>
      </c>
      <c r="R1732" t="s">
        <v>63</v>
      </c>
      <c r="S1732" t="s">
        <v>49</v>
      </c>
      <c r="T1732">
        <v>141</v>
      </c>
      <c r="U1732" t="s">
        <v>50</v>
      </c>
      <c r="V1732" t="s">
        <v>51</v>
      </c>
      <c r="W1732" t="s">
        <v>540</v>
      </c>
      <c r="X1732" t="s">
        <v>65</v>
      </c>
      <c r="Y1732" t="s">
        <v>126</v>
      </c>
      <c r="Z1732">
        <v>21415</v>
      </c>
      <c r="AA1732">
        <v>0</v>
      </c>
      <c r="AB1732" t="s">
        <v>79</v>
      </c>
      <c r="AC1732" t="s">
        <v>87</v>
      </c>
      <c r="AD1732">
        <v>36</v>
      </c>
      <c r="AE1732">
        <v>9</v>
      </c>
      <c r="AF1732">
        <v>3</v>
      </c>
      <c r="AG1732">
        <v>2025</v>
      </c>
      <c r="AH1732" s="2">
        <v>7600</v>
      </c>
      <c r="AI1732" s="2">
        <v>7968.92919921875</v>
      </c>
      <c r="AJ1732" s="2">
        <f t="shared" ref="AJ1732:AJ1795" si="218">ABS(AH1732-AI1732)</f>
        <v>368.92919921875</v>
      </c>
      <c r="AK1732" s="6">
        <f t="shared" ref="AK1732:AK1795" si="219">ABS($AH1732-AI1732)/$AH1732</f>
        <v>4.8543315686677635E-2</v>
      </c>
      <c r="AL1732" s="12">
        <v>7600</v>
      </c>
      <c r="AM1732" s="12">
        <v>7898.6002507310013</v>
      </c>
      <c r="AN1732" s="12">
        <f t="shared" ref="AN1732:AN1795" si="220">ABS(AL1732-AM1732)</f>
        <v>298.60025073100132</v>
      </c>
      <c r="AO1732" s="13">
        <f t="shared" ref="AO1732:AO1795" si="221">ABS($AH1732-AM1732)/$AH1732</f>
        <v>3.9289506675131751E-2</v>
      </c>
      <c r="AP1732" s="16">
        <v>7600</v>
      </c>
      <c r="AQ1732" s="16">
        <v>7279.0641259691702</v>
      </c>
      <c r="AR1732" s="16">
        <f t="shared" ref="AR1732:AR1795" si="222">ABS(AP1732-AQ1732)</f>
        <v>320.93587403082984</v>
      </c>
      <c r="AS1732" s="17">
        <f t="shared" si="216"/>
        <v>4.2228404477740768E-2</v>
      </c>
      <c r="AT1732" s="20">
        <v>7600</v>
      </c>
      <c r="AU1732" s="20">
        <v>7972.78369140625</v>
      </c>
      <c r="AV1732" s="20">
        <f t="shared" si="217"/>
        <v>372.78369140625</v>
      </c>
      <c r="AW1732" s="21">
        <f t="shared" ref="AW1732:AW1795" si="223">ABS($AH1732-AU1732)/$AH1732</f>
        <v>4.9050485711348686E-2</v>
      </c>
    </row>
    <row r="1733" spans="1:49" x14ac:dyDescent="0.25">
      <c r="A1733" t="s">
        <v>38</v>
      </c>
      <c r="B1733" t="s">
        <v>110</v>
      </c>
      <c r="C1733">
        <v>121875</v>
      </c>
      <c r="D1733">
        <v>2018</v>
      </c>
      <c r="E1733" t="s">
        <v>166</v>
      </c>
      <c r="F1733" t="s">
        <v>539</v>
      </c>
      <c r="G1733" t="s">
        <v>240</v>
      </c>
      <c r="I1733">
        <v>4</v>
      </c>
      <c r="J1733" t="s">
        <v>135</v>
      </c>
      <c r="K1733">
        <v>4</v>
      </c>
      <c r="L1733" t="s">
        <v>44</v>
      </c>
      <c r="M1733">
        <v>1.8</v>
      </c>
      <c r="N1733" t="s">
        <v>44</v>
      </c>
      <c r="Q1733" t="s">
        <v>62</v>
      </c>
      <c r="R1733" t="s">
        <v>63</v>
      </c>
      <c r="S1733" t="s">
        <v>93</v>
      </c>
      <c r="T1733">
        <v>141</v>
      </c>
      <c r="U1733" t="s">
        <v>50</v>
      </c>
      <c r="V1733" t="s">
        <v>51</v>
      </c>
      <c r="W1733" t="s">
        <v>540</v>
      </c>
      <c r="X1733" t="s">
        <v>65</v>
      </c>
      <c r="Y1733" t="s">
        <v>126</v>
      </c>
      <c r="Z1733">
        <v>19670</v>
      </c>
      <c r="AA1733">
        <v>0</v>
      </c>
      <c r="AB1733" t="s">
        <v>79</v>
      </c>
      <c r="AC1733" t="s">
        <v>87</v>
      </c>
      <c r="AD1733">
        <v>36</v>
      </c>
      <c r="AE1733">
        <v>9</v>
      </c>
      <c r="AF1733">
        <v>3</v>
      </c>
      <c r="AG1733">
        <v>2025</v>
      </c>
      <c r="AH1733" s="2">
        <v>7500</v>
      </c>
      <c r="AI1733" s="2">
        <v>7640.17822265625</v>
      </c>
      <c r="AJ1733" s="2">
        <f t="shared" si="218"/>
        <v>140.17822265625</v>
      </c>
      <c r="AK1733" s="6">
        <f t="shared" si="219"/>
        <v>1.8690429687499999E-2</v>
      </c>
      <c r="AL1733" s="12">
        <v>7500</v>
      </c>
      <c r="AM1733" s="12">
        <v>7928.6258317974534</v>
      </c>
      <c r="AN1733" s="12">
        <f t="shared" si="220"/>
        <v>428.62583179745343</v>
      </c>
      <c r="AO1733" s="13">
        <f t="shared" si="221"/>
        <v>5.7150110906327121E-2</v>
      </c>
      <c r="AP1733" s="16">
        <v>7500</v>
      </c>
      <c r="AQ1733" s="16">
        <v>6659.3287575910399</v>
      </c>
      <c r="AR1733" s="16">
        <f t="shared" si="222"/>
        <v>840.6712424089601</v>
      </c>
      <c r="AS1733" s="17">
        <f t="shared" si="216"/>
        <v>0.11208949898786134</v>
      </c>
      <c r="AT1733" s="20">
        <v>7500</v>
      </c>
      <c r="AU1733" s="20">
        <v>7740.57177734375</v>
      </c>
      <c r="AV1733" s="20">
        <f t="shared" si="217"/>
        <v>240.57177734375</v>
      </c>
      <c r="AW1733" s="21">
        <f t="shared" si="223"/>
        <v>3.2076236979166665E-2</v>
      </c>
    </row>
    <row r="1734" spans="1:49" x14ac:dyDescent="0.25">
      <c r="A1734" t="s">
        <v>38</v>
      </c>
      <c r="B1734" t="s">
        <v>39</v>
      </c>
      <c r="C1734">
        <v>129756</v>
      </c>
      <c r="D1734">
        <v>2020</v>
      </c>
      <c r="E1734" t="s">
        <v>146</v>
      </c>
      <c r="F1734" t="s">
        <v>334</v>
      </c>
      <c r="G1734" t="s">
        <v>352</v>
      </c>
      <c r="I1734">
        <v>4</v>
      </c>
      <c r="J1734" t="s">
        <v>135</v>
      </c>
      <c r="K1734">
        <v>4</v>
      </c>
      <c r="L1734" t="s">
        <v>44</v>
      </c>
      <c r="M1734">
        <v>2.5</v>
      </c>
      <c r="N1734" t="s">
        <v>45</v>
      </c>
      <c r="O1734" t="s">
        <v>46</v>
      </c>
      <c r="Q1734" t="s">
        <v>47</v>
      </c>
      <c r="R1734" t="s">
        <v>123</v>
      </c>
      <c r="S1734" t="s">
        <v>49</v>
      </c>
      <c r="U1734" t="s">
        <v>50</v>
      </c>
      <c r="X1734" t="s">
        <v>125</v>
      </c>
      <c r="Y1734" t="s">
        <v>78</v>
      </c>
      <c r="Z1734">
        <v>25700</v>
      </c>
      <c r="AA1734">
        <v>0</v>
      </c>
      <c r="AB1734" t="s">
        <v>79</v>
      </c>
      <c r="AC1734" t="s">
        <v>127</v>
      </c>
      <c r="AD1734">
        <v>36</v>
      </c>
      <c r="AE1734">
        <v>9</v>
      </c>
      <c r="AF1734">
        <v>3</v>
      </c>
      <c r="AG1734">
        <v>2025</v>
      </c>
      <c r="AH1734" s="2">
        <v>9250</v>
      </c>
      <c r="AI1734" s="2">
        <v>7849.92529296875</v>
      </c>
      <c r="AJ1734" s="2">
        <f t="shared" si="218"/>
        <v>1400.07470703125</v>
      </c>
      <c r="AK1734" s="6">
        <f t="shared" si="219"/>
        <v>0.15135942778716216</v>
      </c>
      <c r="AL1734" s="12">
        <v>9250</v>
      </c>
      <c r="AM1734" s="12">
        <v>5955.7958302441693</v>
      </c>
      <c r="AN1734" s="12">
        <f t="shared" si="220"/>
        <v>3294.2041697558307</v>
      </c>
      <c r="AO1734" s="13">
        <f t="shared" si="221"/>
        <v>0.35613018051414386</v>
      </c>
      <c r="AP1734" s="16">
        <v>9250</v>
      </c>
      <c r="AQ1734" s="16">
        <v>6507.4992382434029</v>
      </c>
      <c r="AR1734" s="16">
        <f t="shared" si="222"/>
        <v>2742.5007617565971</v>
      </c>
      <c r="AS1734" s="17">
        <f t="shared" si="216"/>
        <v>0.29648656883855101</v>
      </c>
      <c r="AT1734" s="20">
        <v>9250</v>
      </c>
      <c r="AU1734" s="20">
        <v>7599.5146484375</v>
      </c>
      <c r="AV1734" s="20">
        <f t="shared" si="217"/>
        <v>1650.4853515625</v>
      </c>
      <c r="AW1734" s="21">
        <f t="shared" si="223"/>
        <v>0.17843084881756757</v>
      </c>
    </row>
    <row r="1735" spans="1:49" x14ac:dyDescent="0.25">
      <c r="A1735" t="s">
        <v>128</v>
      </c>
      <c r="B1735" t="s">
        <v>210</v>
      </c>
      <c r="C1735">
        <v>168349</v>
      </c>
      <c r="D1735">
        <v>2008</v>
      </c>
      <c r="E1735" t="s">
        <v>166</v>
      </c>
      <c r="F1735" t="s">
        <v>628</v>
      </c>
      <c r="G1735" t="s">
        <v>248</v>
      </c>
      <c r="I1735">
        <v>4</v>
      </c>
      <c r="J1735" t="s">
        <v>43</v>
      </c>
      <c r="K1735">
        <v>4</v>
      </c>
      <c r="L1735" t="s">
        <v>44</v>
      </c>
      <c r="M1735">
        <v>1.8</v>
      </c>
      <c r="N1735" t="s">
        <v>45</v>
      </c>
      <c r="O1735" t="s">
        <v>46</v>
      </c>
      <c r="Q1735" t="s">
        <v>47</v>
      </c>
      <c r="R1735" t="s">
        <v>123</v>
      </c>
      <c r="T1735">
        <v>140</v>
      </c>
      <c r="U1735" t="s">
        <v>50</v>
      </c>
      <c r="V1735" t="s">
        <v>51</v>
      </c>
      <c r="W1735" t="s">
        <v>767</v>
      </c>
      <c r="X1735" t="s">
        <v>53</v>
      </c>
      <c r="Y1735" t="s">
        <v>78</v>
      </c>
      <c r="AA1735">
        <v>0</v>
      </c>
      <c r="AB1735" t="s">
        <v>79</v>
      </c>
      <c r="AC1735" t="s">
        <v>127</v>
      </c>
      <c r="AD1735">
        <v>36</v>
      </c>
      <c r="AE1735">
        <v>9</v>
      </c>
      <c r="AF1735">
        <v>3</v>
      </c>
      <c r="AG1735">
        <v>2025</v>
      </c>
      <c r="AH1735" s="2">
        <v>1500</v>
      </c>
      <c r="AI1735" s="2">
        <v>1968.217529296875</v>
      </c>
      <c r="AJ1735" s="2">
        <f t="shared" si="218"/>
        <v>468.217529296875</v>
      </c>
      <c r="AK1735" s="6">
        <f t="shared" si="219"/>
        <v>0.31214501953125001</v>
      </c>
      <c r="AL1735" s="12">
        <v>1500</v>
      </c>
      <c r="AM1735" s="12">
        <v>2075.5764869949412</v>
      </c>
      <c r="AN1735" s="12">
        <f t="shared" si="220"/>
        <v>575.57648699494121</v>
      </c>
      <c r="AO1735" s="13">
        <f t="shared" si="221"/>
        <v>0.38371765799662749</v>
      </c>
      <c r="AP1735" s="16">
        <v>1500</v>
      </c>
      <c r="AQ1735" s="16">
        <v>1601.0482896677929</v>
      </c>
      <c r="AR1735" s="16">
        <f t="shared" si="222"/>
        <v>101.04828966779291</v>
      </c>
      <c r="AS1735" s="17">
        <f t="shared" si="216"/>
        <v>6.7365526445195278E-2</v>
      </c>
      <c r="AT1735" s="20">
        <v>1500</v>
      </c>
      <c r="AU1735" s="20">
        <v>1959.10595703125</v>
      </c>
      <c r="AV1735" s="20">
        <f t="shared" si="217"/>
        <v>459.10595703125</v>
      </c>
      <c r="AW1735" s="21">
        <f t="shared" si="223"/>
        <v>0.30607063802083334</v>
      </c>
    </row>
    <row r="1736" spans="1:49" x14ac:dyDescent="0.25">
      <c r="A1736" t="s">
        <v>38</v>
      </c>
      <c r="B1736" t="s">
        <v>96</v>
      </c>
      <c r="C1736">
        <v>46493</v>
      </c>
      <c r="D1736">
        <v>2024</v>
      </c>
      <c r="E1736" t="s">
        <v>116</v>
      </c>
      <c r="F1736" t="s">
        <v>117</v>
      </c>
      <c r="H1736" t="s">
        <v>195</v>
      </c>
      <c r="I1736">
        <v>8</v>
      </c>
      <c r="J1736" t="s">
        <v>72</v>
      </c>
      <c r="K1736">
        <v>4</v>
      </c>
      <c r="L1736" t="s">
        <v>44</v>
      </c>
      <c r="M1736">
        <v>5.7</v>
      </c>
      <c r="N1736" t="s">
        <v>73</v>
      </c>
      <c r="O1736" t="s">
        <v>46</v>
      </c>
      <c r="P1736">
        <v>3</v>
      </c>
      <c r="Q1736" t="s">
        <v>62</v>
      </c>
      <c r="R1736" t="s">
        <v>63</v>
      </c>
      <c r="S1736" t="s">
        <v>49</v>
      </c>
      <c r="T1736">
        <v>357</v>
      </c>
      <c r="U1736" t="s">
        <v>50</v>
      </c>
      <c r="V1736" t="s">
        <v>76</v>
      </c>
      <c r="X1736" t="s">
        <v>108</v>
      </c>
      <c r="Y1736" t="s">
        <v>78</v>
      </c>
      <c r="AA1736">
        <v>0</v>
      </c>
      <c r="AB1736" t="s">
        <v>79</v>
      </c>
      <c r="AC1736" t="s">
        <v>87</v>
      </c>
      <c r="AD1736">
        <v>36</v>
      </c>
      <c r="AE1736">
        <v>9</v>
      </c>
      <c r="AF1736">
        <v>3</v>
      </c>
      <c r="AG1736">
        <v>2025</v>
      </c>
      <c r="AH1736" s="2">
        <v>31000</v>
      </c>
      <c r="AI1736" s="2">
        <v>33800.05859375</v>
      </c>
      <c r="AJ1736" s="2">
        <f t="shared" si="218"/>
        <v>2800.05859375</v>
      </c>
      <c r="AK1736" s="6">
        <f t="shared" si="219"/>
        <v>9.0324470766129039E-2</v>
      </c>
      <c r="AL1736" s="12">
        <v>31000</v>
      </c>
      <c r="AM1736" s="12">
        <v>42895.52677977307</v>
      </c>
      <c r="AN1736" s="12">
        <f t="shared" si="220"/>
        <v>11895.52677977307</v>
      </c>
      <c r="AO1736" s="13">
        <f t="shared" si="221"/>
        <v>0.38372667031526031</v>
      </c>
      <c r="AP1736" s="16">
        <v>31000</v>
      </c>
      <c r="AQ1736" s="16">
        <v>32581.293854760079</v>
      </c>
      <c r="AR1736" s="16">
        <f t="shared" si="222"/>
        <v>1581.2938547600788</v>
      </c>
      <c r="AS1736" s="17">
        <f t="shared" si="216"/>
        <v>5.1009479185808997E-2</v>
      </c>
      <c r="AT1736" s="20">
        <v>31000</v>
      </c>
      <c r="AU1736" s="20">
        <v>34406.1328125</v>
      </c>
      <c r="AV1736" s="20">
        <f t="shared" si="217"/>
        <v>3406.1328125</v>
      </c>
      <c r="AW1736" s="21">
        <f t="shared" si="223"/>
        <v>0.10987525201612904</v>
      </c>
    </row>
    <row r="1737" spans="1:49" x14ac:dyDescent="0.25">
      <c r="A1737" t="s">
        <v>38</v>
      </c>
      <c r="B1737" t="s">
        <v>110</v>
      </c>
      <c r="C1737">
        <v>117432</v>
      </c>
      <c r="D1737">
        <v>2019</v>
      </c>
      <c r="E1737" t="s">
        <v>88</v>
      </c>
      <c r="F1737" t="s">
        <v>89</v>
      </c>
      <c r="G1737" t="s">
        <v>442</v>
      </c>
      <c r="H1737" t="s">
        <v>176</v>
      </c>
      <c r="I1737">
        <v>8</v>
      </c>
      <c r="J1737" t="s">
        <v>135</v>
      </c>
      <c r="K1737">
        <v>4</v>
      </c>
      <c r="L1737" t="s">
        <v>44</v>
      </c>
      <c r="M1737">
        <v>5.7</v>
      </c>
      <c r="N1737" t="s">
        <v>73</v>
      </c>
      <c r="Q1737" t="s">
        <v>74</v>
      </c>
      <c r="R1737" t="s">
        <v>92</v>
      </c>
      <c r="S1737" t="s">
        <v>49</v>
      </c>
      <c r="T1737">
        <v>395</v>
      </c>
      <c r="U1737" t="s">
        <v>50</v>
      </c>
      <c r="V1737" t="s">
        <v>76</v>
      </c>
      <c r="X1737" t="s">
        <v>94</v>
      </c>
      <c r="Y1737" t="s">
        <v>78</v>
      </c>
      <c r="AA1737">
        <v>0</v>
      </c>
      <c r="AB1737" t="s">
        <v>79</v>
      </c>
      <c r="AC1737" t="s">
        <v>95</v>
      </c>
      <c r="AD1737">
        <v>36</v>
      </c>
      <c r="AE1737">
        <v>9</v>
      </c>
      <c r="AF1737">
        <v>3</v>
      </c>
      <c r="AG1737">
        <v>2025</v>
      </c>
      <c r="AH1737" s="2">
        <v>14250</v>
      </c>
      <c r="AI1737" s="2">
        <v>12697.9677734375</v>
      </c>
      <c r="AJ1737" s="2">
        <f t="shared" si="218"/>
        <v>1552.0322265625</v>
      </c>
      <c r="AK1737" s="6">
        <f t="shared" si="219"/>
        <v>0.10891454221491229</v>
      </c>
      <c r="AL1737" s="12">
        <v>14250</v>
      </c>
      <c r="AM1737" s="12">
        <v>13630.3116806575</v>
      </c>
      <c r="AN1737" s="12">
        <f t="shared" si="220"/>
        <v>619.68831934250011</v>
      </c>
      <c r="AO1737" s="13">
        <f t="shared" si="221"/>
        <v>4.3486899602982465E-2</v>
      </c>
      <c r="AP1737" s="16">
        <v>14250</v>
      </c>
      <c r="AQ1737" s="16">
        <v>14578.80196260081</v>
      </c>
      <c r="AR1737" s="16">
        <f t="shared" si="222"/>
        <v>328.80196260080993</v>
      </c>
      <c r="AS1737" s="17">
        <f t="shared" si="216"/>
        <v>2.3073821936898942E-2</v>
      </c>
      <c r="AT1737" s="20">
        <v>14250</v>
      </c>
      <c r="AU1737" s="20">
        <v>13021.1640625</v>
      </c>
      <c r="AV1737" s="20">
        <f t="shared" si="217"/>
        <v>1228.8359375</v>
      </c>
      <c r="AW1737" s="21">
        <f t="shared" si="223"/>
        <v>8.6234100877192979E-2</v>
      </c>
    </row>
    <row r="1738" spans="1:49" x14ac:dyDescent="0.25">
      <c r="A1738" t="s">
        <v>38</v>
      </c>
      <c r="B1738" t="s">
        <v>39</v>
      </c>
      <c r="C1738">
        <v>101665</v>
      </c>
      <c r="D1738">
        <v>2022</v>
      </c>
      <c r="E1738" t="s">
        <v>166</v>
      </c>
      <c r="F1738" t="s">
        <v>223</v>
      </c>
      <c r="G1738" t="s">
        <v>1491</v>
      </c>
      <c r="I1738">
        <v>6</v>
      </c>
      <c r="J1738" t="s">
        <v>106</v>
      </c>
      <c r="K1738">
        <v>4</v>
      </c>
      <c r="L1738" t="s">
        <v>44</v>
      </c>
      <c r="M1738">
        <v>3.5</v>
      </c>
      <c r="N1738" t="s">
        <v>45</v>
      </c>
      <c r="O1738" t="s">
        <v>46</v>
      </c>
      <c r="Q1738" t="s">
        <v>62</v>
      </c>
      <c r="R1738" t="s">
        <v>225</v>
      </c>
      <c r="S1738" t="s">
        <v>49</v>
      </c>
      <c r="T1738">
        <v>280</v>
      </c>
      <c r="U1738" t="s">
        <v>50</v>
      </c>
      <c r="V1738" t="s">
        <v>76</v>
      </c>
      <c r="W1738" t="s">
        <v>1492</v>
      </c>
      <c r="X1738" t="s">
        <v>94</v>
      </c>
      <c r="Y1738" t="s">
        <v>78</v>
      </c>
      <c r="AA1738">
        <v>0</v>
      </c>
      <c r="AB1738" t="s">
        <v>79</v>
      </c>
      <c r="AC1738" t="s">
        <v>225</v>
      </c>
      <c r="AD1738">
        <v>36</v>
      </c>
      <c r="AE1738">
        <v>9</v>
      </c>
      <c r="AF1738">
        <v>3</v>
      </c>
      <c r="AG1738">
        <v>2025</v>
      </c>
      <c r="AH1738" s="2">
        <v>21250</v>
      </c>
      <c r="AI1738" s="2">
        <v>24126.2890625</v>
      </c>
      <c r="AJ1738" s="2">
        <f t="shared" si="218"/>
        <v>2876.2890625</v>
      </c>
      <c r="AK1738" s="6">
        <f t="shared" si="219"/>
        <v>0.13535477941176471</v>
      </c>
      <c r="AL1738" s="12">
        <v>21250</v>
      </c>
      <c r="AM1738" s="12">
        <v>21878.78034374036</v>
      </c>
      <c r="AN1738" s="12">
        <f t="shared" si="220"/>
        <v>628.78034374035997</v>
      </c>
      <c r="AO1738" s="13">
        <f t="shared" si="221"/>
        <v>2.9589663234840469E-2</v>
      </c>
      <c r="AP1738" s="16">
        <v>21250</v>
      </c>
      <c r="AQ1738" s="16">
        <v>20151.685910907348</v>
      </c>
      <c r="AR1738" s="16">
        <f t="shared" si="222"/>
        <v>1098.3140890926516</v>
      </c>
      <c r="AS1738" s="17">
        <f t="shared" si="216"/>
        <v>5.1685368898477718E-2</v>
      </c>
      <c r="AT1738" s="20">
        <v>21250</v>
      </c>
      <c r="AU1738" s="20">
        <v>23519.576171875</v>
      </c>
      <c r="AV1738" s="20">
        <f t="shared" si="217"/>
        <v>2269.576171875</v>
      </c>
      <c r="AW1738" s="21">
        <f t="shared" si="223"/>
        <v>0.10680358455882354</v>
      </c>
    </row>
    <row r="1739" spans="1:49" x14ac:dyDescent="0.25">
      <c r="A1739" t="s">
        <v>81</v>
      </c>
      <c r="B1739" t="s">
        <v>82</v>
      </c>
      <c r="C1739">
        <v>213964</v>
      </c>
      <c r="D1739">
        <v>2015</v>
      </c>
      <c r="E1739" t="s">
        <v>40</v>
      </c>
      <c r="F1739" t="s">
        <v>550</v>
      </c>
      <c r="G1739" t="s">
        <v>721</v>
      </c>
      <c r="H1739" t="s">
        <v>722</v>
      </c>
      <c r="I1739">
        <v>6</v>
      </c>
      <c r="J1739" t="s">
        <v>72</v>
      </c>
      <c r="K1739">
        <v>4</v>
      </c>
      <c r="L1739" t="s">
        <v>44</v>
      </c>
      <c r="M1739">
        <v>3.5</v>
      </c>
      <c r="N1739" t="s">
        <v>44</v>
      </c>
      <c r="O1739" t="s">
        <v>46</v>
      </c>
      <c r="Q1739" t="s">
        <v>62</v>
      </c>
      <c r="R1739" t="s">
        <v>63</v>
      </c>
      <c r="S1739" t="s">
        <v>93</v>
      </c>
      <c r="T1739">
        <v>231</v>
      </c>
      <c r="U1739" t="s">
        <v>50</v>
      </c>
      <c r="V1739" t="s">
        <v>76</v>
      </c>
      <c r="W1739" t="s">
        <v>290</v>
      </c>
      <c r="X1739" t="s">
        <v>141</v>
      </c>
      <c r="Y1739" t="s">
        <v>78</v>
      </c>
      <c r="AA1739">
        <v>0</v>
      </c>
      <c r="AB1739" t="s">
        <v>79</v>
      </c>
      <c r="AC1739" t="s">
        <v>87</v>
      </c>
      <c r="AD1739">
        <v>36</v>
      </c>
      <c r="AE1739">
        <v>9</v>
      </c>
      <c r="AF1739">
        <v>3</v>
      </c>
      <c r="AG1739">
        <v>2025</v>
      </c>
      <c r="AH1739" s="2">
        <v>8500</v>
      </c>
      <c r="AI1739" s="2">
        <v>4149.330078125</v>
      </c>
      <c r="AJ1739" s="2">
        <f t="shared" si="218"/>
        <v>4350.669921875</v>
      </c>
      <c r="AK1739" s="6">
        <f t="shared" si="219"/>
        <v>0.51184352022058821</v>
      </c>
      <c r="AL1739" s="12">
        <v>8500</v>
      </c>
      <c r="AM1739" s="12">
        <v>4306.3174196203527</v>
      </c>
      <c r="AN1739" s="12">
        <f t="shared" si="220"/>
        <v>4193.6825803796473</v>
      </c>
      <c r="AO1739" s="13">
        <f t="shared" si="221"/>
        <v>0.49337442122113501</v>
      </c>
      <c r="AP1739" s="16">
        <v>8500</v>
      </c>
      <c r="AQ1739" s="16">
        <v>3953.3828304982349</v>
      </c>
      <c r="AR1739" s="16">
        <f t="shared" si="222"/>
        <v>4546.6171695017656</v>
      </c>
      <c r="AS1739" s="17">
        <f t="shared" si="216"/>
        <v>0.53489613758844301</v>
      </c>
      <c r="AT1739" s="20">
        <v>8500</v>
      </c>
      <c r="AU1739" s="20">
        <v>4259.59619140625</v>
      </c>
      <c r="AV1739" s="20">
        <f t="shared" si="217"/>
        <v>4240.40380859375</v>
      </c>
      <c r="AW1739" s="21">
        <f t="shared" si="223"/>
        <v>0.49887103630514706</v>
      </c>
    </row>
    <row r="1740" spans="1:49" x14ac:dyDescent="0.25">
      <c r="A1740" t="s">
        <v>81</v>
      </c>
      <c r="B1740" t="s">
        <v>304</v>
      </c>
      <c r="C1740">
        <v>77883</v>
      </c>
      <c r="D1740">
        <v>2021</v>
      </c>
      <c r="E1740" t="s">
        <v>88</v>
      </c>
      <c r="F1740" t="s">
        <v>89</v>
      </c>
      <c r="G1740" t="s">
        <v>262</v>
      </c>
      <c r="H1740" t="s">
        <v>118</v>
      </c>
      <c r="I1740">
        <v>8</v>
      </c>
      <c r="J1740" t="s">
        <v>135</v>
      </c>
      <c r="K1740">
        <v>4</v>
      </c>
      <c r="L1740" t="s">
        <v>44</v>
      </c>
      <c r="M1740">
        <v>5.7</v>
      </c>
      <c r="N1740" t="s">
        <v>91</v>
      </c>
      <c r="O1740" t="s">
        <v>46</v>
      </c>
      <c r="Q1740" t="s">
        <v>74</v>
      </c>
      <c r="R1740" t="s">
        <v>92</v>
      </c>
      <c r="S1740" t="s">
        <v>93</v>
      </c>
      <c r="T1740">
        <v>395</v>
      </c>
      <c r="U1740" t="s">
        <v>50</v>
      </c>
      <c r="V1740" t="s">
        <v>76</v>
      </c>
      <c r="X1740" t="s">
        <v>108</v>
      </c>
      <c r="Y1740" t="s">
        <v>78</v>
      </c>
      <c r="AA1740">
        <v>0</v>
      </c>
      <c r="AB1740" t="s">
        <v>79</v>
      </c>
      <c r="AC1740" t="s">
        <v>95</v>
      </c>
      <c r="AD1740">
        <v>36</v>
      </c>
      <c r="AE1740">
        <v>9</v>
      </c>
      <c r="AF1740">
        <v>3</v>
      </c>
      <c r="AG1740">
        <v>2025</v>
      </c>
      <c r="AH1740" s="2">
        <v>36100</v>
      </c>
      <c r="AI1740" s="2">
        <v>33576.15625</v>
      </c>
      <c r="AJ1740" s="2">
        <f t="shared" si="218"/>
        <v>2523.84375</v>
      </c>
      <c r="AK1740" s="6">
        <f t="shared" si="219"/>
        <v>6.9912569252077561E-2</v>
      </c>
      <c r="AL1740" s="12">
        <v>36100</v>
      </c>
      <c r="AM1740" s="12">
        <v>28365.727053005059</v>
      </c>
      <c r="AN1740" s="12">
        <f t="shared" si="220"/>
        <v>7734.2729469949409</v>
      </c>
      <c r="AO1740" s="13">
        <f t="shared" si="221"/>
        <v>0.21424578800540003</v>
      </c>
      <c r="AP1740" s="16">
        <v>36100</v>
      </c>
      <c r="AQ1740" s="16">
        <v>32926.452425733412</v>
      </c>
      <c r="AR1740" s="16">
        <f t="shared" si="222"/>
        <v>3173.5475742665876</v>
      </c>
      <c r="AS1740" s="17">
        <f t="shared" si="216"/>
        <v>8.7909905104337605E-2</v>
      </c>
      <c r="AT1740" s="20">
        <v>36100</v>
      </c>
      <c r="AU1740" s="20">
        <v>32762.392578125</v>
      </c>
      <c r="AV1740" s="20">
        <f t="shared" si="217"/>
        <v>3337.607421875</v>
      </c>
      <c r="AW1740" s="21">
        <f t="shared" si="223"/>
        <v>9.245449922091413E-2</v>
      </c>
    </row>
    <row r="1741" spans="1:49" x14ac:dyDescent="0.25">
      <c r="A1741" t="s">
        <v>81</v>
      </c>
      <c r="B1741" t="s">
        <v>170</v>
      </c>
      <c r="C1741">
        <v>8994</v>
      </c>
      <c r="D1741">
        <v>2023</v>
      </c>
      <c r="E1741" t="s">
        <v>305</v>
      </c>
      <c r="F1741" t="s">
        <v>306</v>
      </c>
      <c r="H1741" t="s">
        <v>307</v>
      </c>
      <c r="I1741">
        <v>6</v>
      </c>
      <c r="J1741" t="s">
        <v>72</v>
      </c>
      <c r="K1741">
        <v>4</v>
      </c>
      <c r="L1741" t="s">
        <v>44</v>
      </c>
      <c r="M1741">
        <v>3</v>
      </c>
      <c r="N1741" t="s">
        <v>73</v>
      </c>
      <c r="O1741" t="s">
        <v>46</v>
      </c>
      <c r="Q1741" t="s">
        <v>62</v>
      </c>
      <c r="R1741" t="s">
        <v>63</v>
      </c>
      <c r="S1741" t="s">
        <v>179</v>
      </c>
      <c r="U1741" t="s">
        <v>50</v>
      </c>
      <c r="V1741" t="s">
        <v>76</v>
      </c>
      <c r="W1741" t="s">
        <v>308</v>
      </c>
      <c r="X1741" t="s">
        <v>94</v>
      </c>
      <c r="Y1741" t="s">
        <v>78</v>
      </c>
      <c r="AA1741">
        <v>0</v>
      </c>
      <c r="AB1741" t="s">
        <v>79</v>
      </c>
      <c r="AC1741" t="s">
        <v>109</v>
      </c>
      <c r="AD1741">
        <v>36</v>
      </c>
      <c r="AE1741">
        <v>9</v>
      </c>
      <c r="AF1741">
        <v>3</v>
      </c>
      <c r="AG1741">
        <v>2025</v>
      </c>
      <c r="AH1741" s="2">
        <v>49300</v>
      </c>
      <c r="AI1741" s="2">
        <v>52413.30078125</v>
      </c>
      <c r="AJ1741" s="2">
        <f t="shared" si="218"/>
        <v>3113.30078125</v>
      </c>
      <c r="AK1741" s="6">
        <f t="shared" si="219"/>
        <v>6.3150117266734279E-2</v>
      </c>
      <c r="AL1741" s="12">
        <v>49300</v>
      </c>
      <c r="AM1741" s="12">
        <v>36403.028470660181</v>
      </c>
      <c r="AN1741" s="12">
        <f t="shared" si="220"/>
        <v>12896.971529339819</v>
      </c>
      <c r="AO1741" s="13">
        <f t="shared" si="221"/>
        <v>0.261601856578901</v>
      </c>
      <c r="AP1741" s="16">
        <v>49300</v>
      </c>
      <c r="AQ1741" s="16">
        <v>50614.732252862079</v>
      </c>
      <c r="AR1741" s="16">
        <f t="shared" si="222"/>
        <v>1314.7322528620789</v>
      </c>
      <c r="AS1741" s="17">
        <f t="shared" si="216"/>
        <v>2.6667997015457991E-2</v>
      </c>
      <c r="AT1741" s="20">
        <v>49300</v>
      </c>
      <c r="AU1741" s="20">
        <v>53499.45703125</v>
      </c>
      <c r="AV1741" s="20">
        <f t="shared" si="217"/>
        <v>4199.45703125</v>
      </c>
      <c r="AW1741" s="21">
        <f t="shared" si="223"/>
        <v>8.5181684203853955E-2</v>
      </c>
    </row>
    <row r="1742" spans="1:49" x14ac:dyDescent="0.25">
      <c r="A1742" t="s">
        <v>38</v>
      </c>
      <c r="B1742" t="s">
        <v>110</v>
      </c>
      <c r="C1742">
        <v>127370</v>
      </c>
      <c r="D1742">
        <v>2017</v>
      </c>
      <c r="E1742" t="s">
        <v>69</v>
      </c>
      <c r="F1742" t="s">
        <v>475</v>
      </c>
      <c r="H1742" t="s">
        <v>259</v>
      </c>
      <c r="I1742">
        <v>8</v>
      </c>
      <c r="J1742" t="s">
        <v>72</v>
      </c>
      <c r="K1742">
        <v>4</v>
      </c>
      <c r="L1742" t="s">
        <v>44</v>
      </c>
      <c r="M1742">
        <v>6.2</v>
      </c>
      <c r="N1742" t="s">
        <v>91</v>
      </c>
      <c r="O1742" t="s">
        <v>46</v>
      </c>
      <c r="Q1742" t="s">
        <v>74</v>
      </c>
      <c r="R1742" t="s">
        <v>92</v>
      </c>
      <c r="S1742" t="s">
        <v>93</v>
      </c>
      <c r="T1742">
        <v>383</v>
      </c>
      <c r="U1742" t="s">
        <v>50</v>
      </c>
      <c r="V1742" t="s">
        <v>76</v>
      </c>
      <c r="X1742" t="s">
        <v>230</v>
      </c>
      <c r="Y1742" t="s">
        <v>78</v>
      </c>
      <c r="Z1742">
        <v>39135</v>
      </c>
      <c r="AA1742">
        <v>0</v>
      </c>
      <c r="AB1742" t="s">
        <v>79</v>
      </c>
      <c r="AC1742" t="s">
        <v>95</v>
      </c>
      <c r="AD1742">
        <v>36</v>
      </c>
      <c r="AE1742">
        <v>9</v>
      </c>
      <c r="AF1742">
        <v>3</v>
      </c>
      <c r="AG1742">
        <v>2025</v>
      </c>
      <c r="AH1742" s="2">
        <v>10500</v>
      </c>
      <c r="AI1742" s="2">
        <v>15319.2451171875</v>
      </c>
      <c r="AJ1742" s="2">
        <f t="shared" si="218"/>
        <v>4819.2451171875</v>
      </c>
      <c r="AK1742" s="6">
        <f t="shared" si="219"/>
        <v>0.45897572544642856</v>
      </c>
      <c r="AL1742" s="12">
        <v>10500</v>
      </c>
      <c r="AM1742" s="12">
        <v>15943.007911518231</v>
      </c>
      <c r="AN1742" s="12">
        <f t="shared" si="220"/>
        <v>5443.0079115182307</v>
      </c>
      <c r="AO1742" s="13">
        <f t="shared" si="221"/>
        <v>0.5183817058588791</v>
      </c>
      <c r="AP1742" s="16">
        <v>10500</v>
      </c>
      <c r="AQ1742" s="16">
        <v>14420.25699465081</v>
      </c>
      <c r="AR1742" s="16">
        <f t="shared" si="222"/>
        <v>3920.2569946508102</v>
      </c>
      <c r="AS1742" s="17">
        <f t="shared" si="216"/>
        <v>0.37335780901436288</v>
      </c>
      <c r="AT1742" s="20">
        <v>10500</v>
      </c>
      <c r="AU1742" s="20">
        <v>15364.150390625</v>
      </c>
      <c r="AV1742" s="20">
        <f t="shared" si="217"/>
        <v>4864.150390625</v>
      </c>
      <c r="AW1742" s="21">
        <f t="shared" si="223"/>
        <v>0.46325241815476192</v>
      </c>
    </row>
    <row r="1743" spans="1:49" x14ac:dyDescent="0.25">
      <c r="A1743" t="s">
        <v>38</v>
      </c>
      <c r="B1743" t="s">
        <v>96</v>
      </c>
      <c r="C1743">
        <v>208004</v>
      </c>
      <c r="D1743">
        <v>2014</v>
      </c>
      <c r="E1743" t="s">
        <v>40</v>
      </c>
      <c r="F1743" t="s">
        <v>215</v>
      </c>
      <c r="G1743" t="s">
        <v>150</v>
      </c>
      <c r="H1743" t="s">
        <v>679</v>
      </c>
      <c r="I1743">
        <v>8</v>
      </c>
      <c r="J1743" t="s">
        <v>106</v>
      </c>
      <c r="K1743">
        <v>4</v>
      </c>
      <c r="L1743" t="s">
        <v>44</v>
      </c>
      <c r="M1743">
        <v>5.7</v>
      </c>
      <c r="N1743" t="s">
        <v>73</v>
      </c>
      <c r="O1743" t="s">
        <v>46</v>
      </c>
      <c r="Q1743" t="s">
        <v>74</v>
      </c>
      <c r="R1743" t="s">
        <v>92</v>
      </c>
      <c r="S1743" t="s">
        <v>49</v>
      </c>
      <c r="T1743">
        <v>381</v>
      </c>
      <c r="U1743" t="s">
        <v>50</v>
      </c>
      <c r="V1743" t="s">
        <v>76</v>
      </c>
      <c r="W1743" t="s">
        <v>763</v>
      </c>
      <c r="X1743" t="s">
        <v>219</v>
      </c>
      <c r="Y1743" t="s">
        <v>78</v>
      </c>
      <c r="AA1743">
        <v>0</v>
      </c>
      <c r="AB1743" t="s">
        <v>79</v>
      </c>
      <c r="AC1743" t="s">
        <v>95</v>
      </c>
      <c r="AD1743">
        <v>36</v>
      </c>
      <c r="AE1743">
        <v>9</v>
      </c>
      <c r="AF1743">
        <v>3</v>
      </c>
      <c r="AG1743">
        <v>2025</v>
      </c>
      <c r="AH1743" s="2">
        <v>6500</v>
      </c>
      <c r="AI1743" s="2">
        <v>6631.47412109375</v>
      </c>
      <c r="AJ1743" s="2">
        <f t="shared" si="218"/>
        <v>131.47412109375</v>
      </c>
      <c r="AK1743" s="6">
        <f t="shared" si="219"/>
        <v>2.0226787860576922E-2</v>
      </c>
      <c r="AL1743" s="12">
        <v>6500</v>
      </c>
      <c r="AM1743" s="12">
        <v>7813.7178752153068</v>
      </c>
      <c r="AN1743" s="12">
        <f t="shared" si="220"/>
        <v>1313.7178752153068</v>
      </c>
      <c r="AO1743" s="13">
        <f t="shared" si="221"/>
        <v>0.20211044234081643</v>
      </c>
      <c r="AP1743" s="16">
        <v>6500</v>
      </c>
      <c r="AQ1743" s="16">
        <v>6342.7189276079416</v>
      </c>
      <c r="AR1743" s="16">
        <f t="shared" si="222"/>
        <v>157.28107239205838</v>
      </c>
      <c r="AS1743" s="17">
        <f t="shared" si="216"/>
        <v>2.4197088060316674E-2</v>
      </c>
      <c r="AT1743" s="20">
        <v>6500</v>
      </c>
      <c r="AU1743" s="20">
        <v>6900.14892578125</v>
      </c>
      <c r="AV1743" s="20">
        <f t="shared" si="217"/>
        <v>400.14892578125</v>
      </c>
      <c r="AW1743" s="21">
        <f t="shared" si="223"/>
        <v>6.1561373197115382E-2</v>
      </c>
    </row>
    <row r="1744" spans="1:49" x14ac:dyDescent="0.25">
      <c r="A1744" t="s">
        <v>128</v>
      </c>
      <c r="B1744" t="s">
        <v>129</v>
      </c>
      <c r="C1744">
        <v>104850</v>
      </c>
      <c r="D1744">
        <v>2017</v>
      </c>
      <c r="E1744" t="s">
        <v>162</v>
      </c>
      <c r="F1744" t="s">
        <v>688</v>
      </c>
      <c r="G1744" t="s">
        <v>533</v>
      </c>
      <c r="I1744">
        <v>4</v>
      </c>
      <c r="J1744" t="s">
        <v>43</v>
      </c>
      <c r="K1744">
        <v>4</v>
      </c>
      <c r="L1744" t="s">
        <v>44</v>
      </c>
      <c r="M1744">
        <v>1.6</v>
      </c>
      <c r="N1744" t="s">
        <v>45</v>
      </c>
      <c r="Q1744" t="s">
        <v>47</v>
      </c>
      <c r="R1744" t="s">
        <v>123</v>
      </c>
      <c r="T1744">
        <v>138</v>
      </c>
      <c r="U1744" t="s">
        <v>50</v>
      </c>
      <c r="X1744" t="s">
        <v>125</v>
      </c>
      <c r="Y1744" t="s">
        <v>66</v>
      </c>
      <c r="Z1744">
        <v>14745</v>
      </c>
      <c r="AA1744">
        <v>0</v>
      </c>
      <c r="AB1744" t="s">
        <v>79</v>
      </c>
      <c r="AC1744" t="s">
        <v>127</v>
      </c>
      <c r="AD1744">
        <v>36</v>
      </c>
      <c r="AE1744">
        <v>9</v>
      </c>
      <c r="AF1744">
        <v>3</v>
      </c>
      <c r="AG1744">
        <v>2025</v>
      </c>
      <c r="AH1744" s="2">
        <v>1000</v>
      </c>
      <c r="AI1744" s="2">
        <v>2618.73291015625</v>
      </c>
      <c r="AJ1744" s="2">
        <f t="shared" si="218"/>
        <v>1618.73291015625</v>
      </c>
      <c r="AK1744" s="6">
        <f t="shared" si="219"/>
        <v>1.61873291015625</v>
      </c>
      <c r="AL1744" s="12">
        <v>1000</v>
      </c>
      <c r="AM1744" s="12">
        <v>3556.0362066111729</v>
      </c>
      <c r="AN1744" s="12">
        <f t="shared" si="220"/>
        <v>2556.0362066111729</v>
      </c>
      <c r="AO1744" s="13">
        <f t="shared" si="221"/>
        <v>2.5560362066111728</v>
      </c>
      <c r="AP1744" s="16">
        <v>1000</v>
      </c>
      <c r="AQ1744" s="16">
        <v>2708.1388093355308</v>
      </c>
      <c r="AR1744" s="16">
        <f t="shared" si="222"/>
        <v>1708.1388093355308</v>
      </c>
      <c r="AS1744" s="17">
        <f t="shared" si="216"/>
        <v>1.7081388093355308</v>
      </c>
      <c r="AT1744" s="20">
        <v>1000</v>
      </c>
      <c r="AU1744" s="20">
        <v>2638.423828125</v>
      </c>
      <c r="AV1744" s="20">
        <f t="shared" si="217"/>
        <v>1638.423828125</v>
      </c>
      <c r="AW1744" s="21">
        <f t="shared" si="223"/>
        <v>1.6384238281250001</v>
      </c>
    </row>
    <row r="1745" spans="1:49" x14ac:dyDescent="0.25">
      <c r="A1745" t="s">
        <v>38</v>
      </c>
      <c r="B1745" t="s">
        <v>68</v>
      </c>
      <c r="C1745">
        <v>125122</v>
      </c>
      <c r="D1745">
        <v>2022</v>
      </c>
      <c r="E1745" t="s">
        <v>40</v>
      </c>
      <c r="F1745" t="s">
        <v>201</v>
      </c>
      <c r="G1745" t="s">
        <v>572</v>
      </c>
      <c r="H1745" t="s">
        <v>1116</v>
      </c>
      <c r="I1745">
        <v>4</v>
      </c>
      <c r="J1745" t="s">
        <v>61</v>
      </c>
      <c r="K1745">
        <v>4</v>
      </c>
      <c r="L1745" t="s">
        <v>44</v>
      </c>
      <c r="M1745">
        <v>1.8</v>
      </c>
      <c r="N1745" t="s">
        <v>45</v>
      </c>
      <c r="O1745" t="s">
        <v>46</v>
      </c>
      <c r="P1745">
        <v>4</v>
      </c>
      <c r="Q1745" t="s">
        <v>47</v>
      </c>
      <c r="R1745" t="s">
        <v>123</v>
      </c>
      <c r="S1745" t="s">
        <v>49</v>
      </c>
      <c r="T1745">
        <v>139</v>
      </c>
      <c r="U1745" t="s">
        <v>50</v>
      </c>
      <c r="V1745" t="s">
        <v>51</v>
      </c>
      <c r="W1745" t="s">
        <v>693</v>
      </c>
      <c r="X1745" t="s">
        <v>125</v>
      </c>
      <c r="Y1745" t="s">
        <v>54</v>
      </c>
      <c r="AA1745">
        <v>0</v>
      </c>
      <c r="AB1745" t="s">
        <v>79</v>
      </c>
      <c r="AC1745" t="s">
        <v>127</v>
      </c>
      <c r="AD1745">
        <v>36</v>
      </c>
      <c r="AE1745">
        <v>9</v>
      </c>
      <c r="AF1745">
        <v>3</v>
      </c>
      <c r="AG1745">
        <v>2025</v>
      </c>
      <c r="AH1745" s="2">
        <v>10750</v>
      </c>
      <c r="AI1745" s="2">
        <v>10132.1640625</v>
      </c>
      <c r="AJ1745" s="2">
        <f t="shared" si="218"/>
        <v>617.8359375</v>
      </c>
      <c r="AK1745" s="6">
        <f t="shared" si="219"/>
        <v>5.747311046511628E-2</v>
      </c>
      <c r="AL1745" s="12">
        <v>10750</v>
      </c>
      <c r="AM1745" s="12">
        <v>11528.897630793181</v>
      </c>
      <c r="AN1745" s="12">
        <f t="shared" si="220"/>
        <v>778.89763079318072</v>
      </c>
      <c r="AO1745" s="13">
        <f t="shared" si="221"/>
        <v>7.2455593562156348E-2</v>
      </c>
      <c r="AP1745" s="16">
        <v>10750</v>
      </c>
      <c r="AQ1745" s="16">
        <v>11301.916771205801</v>
      </c>
      <c r="AR1745" s="16">
        <f t="shared" si="222"/>
        <v>551.91677120580061</v>
      </c>
      <c r="AS1745" s="17">
        <f t="shared" si="216"/>
        <v>5.1341094995888431E-2</v>
      </c>
      <c r="AT1745" s="20">
        <v>10750</v>
      </c>
      <c r="AU1745" s="20">
        <v>10563.302734375</v>
      </c>
      <c r="AV1745" s="20">
        <f t="shared" si="217"/>
        <v>186.697265625</v>
      </c>
      <c r="AW1745" s="21">
        <f t="shared" si="223"/>
        <v>1.7367187499999999E-2</v>
      </c>
    </row>
    <row r="1746" spans="1:49" x14ac:dyDescent="0.25">
      <c r="A1746" t="s">
        <v>38</v>
      </c>
      <c r="B1746" t="s">
        <v>110</v>
      </c>
      <c r="C1746">
        <v>226466</v>
      </c>
      <c r="D1746">
        <v>2017</v>
      </c>
      <c r="E1746" t="s">
        <v>69</v>
      </c>
      <c r="F1746" t="s">
        <v>231</v>
      </c>
      <c r="G1746" t="s">
        <v>386</v>
      </c>
      <c r="I1746">
        <v>6</v>
      </c>
      <c r="J1746" t="s">
        <v>61</v>
      </c>
      <c r="K1746">
        <v>4</v>
      </c>
      <c r="L1746" t="s">
        <v>44</v>
      </c>
      <c r="M1746">
        <v>3.5</v>
      </c>
      <c r="N1746" t="s">
        <v>91</v>
      </c>
      <c r="Q1746" t="s">
        <v>74</v>
      </c>
      <c r="R1746" t="s">
        <v>92</v>
      </c>
      <c r="S1746" t="s">
        <v>93</v>
      </c>
      <c r="T1746">
        <v>282</v>
      </c>
      <c r="U1746" t="s">
        <v>50</v>
      </c>
      <c r="V1746" t="s">
        <v>76</v>
      </c>
      <c r="W1746" t="s">
        <v>609</v>
      </c>
      <c r="X1746" t="s">
        <v>94</v>
      </c>
      <c r="Y1746" t="s">
        <v>78</v>
      </c>
      <c r="Z1746">
        <v>31195</v>
      </c>
      <c r="AA1746">
        <v>0</v>
      </c>
      <c r="AB1746" t="s">
        <v>79</v>
      </c>
      <c r="AC1746" t="s">
        <v>95</v>
      </c>
      <c r="AD1746">
        <v>36</v>
      </c>
      <c r="AE1746">
        <v>9</v>
      </c>
      <c r="AF1746">
        <v>3</v>
      </c>
      <c r="AG1746">
        <v>2025</v>
      </c>
      <c r="AH1746" s="2">
        <v>6000</v>
      </c>
      <c r="AI1746" s="2">
        <v>7128.7685546875</v>
      </c>
      <c r="AJ1746" s="2">
        <f t="shared" si="218"/>
        <v>1128.7685546875</v>
      </c>
      <c r="AK1746" s="6">
        <f t="shared" si="219"/>
        <v>0.18812809244791667</v>
      </c>
      <c r="AL1746" s="12">
        <v>6000</v>
      </c>
      <c r="AM1746" s="12">
        <v>6994.1256998532199</v>
      </c>
      <c r="AN1746" s="12">
        <f t="shared" si="220"/>
        <v>994.12569985321988</v>
      </c>
      <c r="AO1746" s="13">
        <f t="shared" si="221"/>
        <v>0.1656876166422033</v>
      </c>
      <c r="AP1746" s="16">
        <v>6000</v>
      </c>
      <c r="AQ1746" s="16">
        <v>6536.6071768812508</v>
      </c>
      <c r="AR1746" s="16">
        <f t="shared" si="222"/>
        <v>536.60717688125078</v>
      </c>
      <c r="AS1746" s="17">
        <f t="shared" si="216"/>
        <v>8.9434529480208469E-2</v>
      </c>
      <c r="AT1746" s="20">
        <v>6000</v>
      </c>
      <c r="AU1746" s="20">
        <v>7112.9365234375</v>
      </c>
      <c r="AV1746" s="20">
        <f t="shared" si="217"/>
        <v>1112.9365234375</v>
      </c>
      <c r="AW1746" s="21">
        <f t="shared" si="223"/>
        <v>0.18548942057291667</v>
      </c>
    </row>
    <row r="1747" spans="1:49" x14ac:dyDescent="0.25">
      <c r="A1747" t="s">
        <v>38</v>
      </c>
      <c r="B1747" t="s">
        <v>96</v>
      </c>
      <c r="C1747">
        <v>95427</v>
      </c>
      <c r="D1747">
        <v>2022</v>
      </c>
      <c r="E1747" t="s">
        <v>142</v>
      </c>
      <c r="F1747" t="s">
        <v>335</v>
      </c>
      <c r="G1747" t="s">
        <v>1493</v>
      </c>
      <c r="I1747">
        <v>4</v>
      </c>
      <c r="J1747" t="s">
        <v>72</v>
      </c>
      <c r="K1747">
        <v>4</v>
      </c>
      <c r="L1747" t="s">
        <v>44</v>
      </c>
      <c r="M1747">
        <v>2.4</v>
      </c>
      <c r="N1747" t="s">
        <v>45</v>
      </c>
      <c r="O1747" t="s">
        <v>46</v>
      </c>
      <c r="P1747">
        <v>3</v>
      </c>
      <c r="Q1747" t="s">
        <v>62</v>
      </c>
      <c r="R1747" t="s">
        <v>63</v>
      </c>
      <c r="S1747" t="s">
        <v>101</v>
      </c>
      <c r="T1747">
        <v>177</v>
      </c>
      <c r="U1747" t="s">
        <v>50</v>
      </c>
      <c r="V1747" t="s">
        <v>51</v>
      </c>
      <c r="X1747" t="s">
        <v>65</v>
      </c>
      <c r="Y1747" t="s">
        <v>126</v>
      </c>
      <c r="AA1747">
        <v>0</v>
      </c>
      <c r="AB1747" t="s">
        <v>79</v>
      </c>
      <c r="AC1747" t="s">
        <v>87</v>
      </c>
      <c r="AD1747">
        <v>36</v>
      </c>
      <c r="AE1747">
        <v>9</v>
      </c>
      <c r="AF1747">
        <v>3</v>
      </c>
      <c r="AG1747">
        <v>2025</v>
      </c>
      <c r="AH1747" s="2">
        <v>11400</v>
      </c>
      <c r="AI1747" s="2">
        <v>14306.833984375</v>
      </c>
      <c r="AJ1747" s="2">
        <f t="shared" si="218"/>
        <v>2906.833984375</v>
      </c>
      <c r="AK1747" s="6">
        <f t="shared" si="219"/>
        <v>0.25498543722587719</v>
      </c>
      <c r="AL1747" s="12">
        <v>11400</v>
      </c>
      <c r="AM1747" s="12">
        <v>12534.081074155731</v>
      </c>
      <c r="AN1747" s="12">
        <f t="shared" si="220"/>
        <v>1134.0810741557307</v>
      </c>
      <c r="AO1747" s="13">
        <f t="shared" si="221"/>
        <v>9.9480795978572872E-2</v>
      </c>
      <c r="AP1747" s="16">
        <v>11400</v>
      </c>
      <c r="AQ1747" s="16">
        <v>11346.163126337289</v>
      </c>
      <c r="AR1747" s="16">
        <f t="shared" si="222"/>
        <v>53.836873662710786</v>
      </c>
      <c r="AS1747" s="17">
        <f t="shared" si="216"/>
        <v>4.7225327774307706E-3</v>
      </c>
      <c r="AT1747" s="20">
        <v>11400</v>
      </c>
      <c r="AU1747" s="20">
        <v>13933.5634765625</v>
      </c>
      <c r="AV1747" s="20">
        <f t="shared" si="217"/>
        <v>2533.5634765625</v>
      </c>
      <c r="AW1747" s="21">
        <f t="shared" si="223"/>
        <v>0.2222424102247807</v>
      </c>
    </row>
    <row r="1748" spans="1:49" x14ac:dyDescent="0.25">
      <c r="A1748" t="s">
        <v>38</v>
      </c>
      <c r="B1748" t="s">
        <v>68</v>
      </c>
      <c r="C1748">
        <v>115950</v>
      </c>
      <c r="D1748">
        <v>2011</v>
      </c>
      <c r="E1748" t="s">
        <v>69</v>
      </c>
      <c r="F1748" t="s">
        <v>1494</v>
      </c>
      <c r="H1748" t="s">
        <v>228</v>
      </c>
      <c r="I1748">
        <v>8</v>
      </c>
      <c r="J1748" t="s">
        <v>72</v>
      </c>
      <c r="K1748">
        <v>3</v>
      </c>
      <c r="L1748" t="s">
        <v>44</v>
      </c>
      <c r="M1748">
        <v>4.5999999999999996</v>
      </c>
      <c r="N1748" t="s">
        <v>73</v>
      </c>
      <c r="O1748" t="s">
        <v>46</v>
      </c>
      <c r="P1748">
        <v>2</v>
      </c>
      <c r="Q1748" t="s">
        <v>74</v>
      </c>
      <c r="R1748" t="s">
        <v>75</v>
      </c>
      <c r="S1748" t="s">
        <v>49</v>
      </c>
      <c r="T1748">
        <v>225</v>
      </c>
      <c r="U1748" t="s">
        <v>50</v>
      </c>
      <c r="V1748" t="s">
        <v>76</v>
      </c>
      <c r="W1748" t="s">
        <v>625</v>
      </c>
      <c r="X1748" t="s">
        <v>77</v>
      </c>
      <c r="Y1748" t="s">
        <v>78</v>
      </c>
      <c r="AA1748">
        <v>0</v>
      </c>
      <c r="AB1748" t="s">
        <v>79</v>
      </c>
      <c r="AC1748" t="s">
        <v>80</v>
      </c>
      <c r="AD1748">
        <v>36</v>
      </c>
      <c r="AE1748">
        <v>9</v>
      </c>
      <c r="AF1748">
        <v>3</v>
      </c>
      <c r="AG1748">
        <v>2025</v>
      </c>
      <c r="AH1748" s="2">
        <v>4600</v>
      </c>
      <c r="AI1748" s="2">
        <v>3148.465087890625</v>
      </c>
      <c r="AJ1748" s="2">
        <f t="shared" si="218"/>
        <v>1451.534912109375</v>
      </c>
      <c r="AK1748" s="6">
        <f t="shared" si="219"/>
        <v>0.31555106784986414</v>
      </c>
      <c r="AL1748" s="12">
        <v>4600</v>
      </c>
      <c r="AM1748" s="12">
        <v>4413.4657223629483</v>
      </c>
      <c r="AN1748" s="12">
        <f t="shared" si="220"/>
        <v>186.53427763705167</v>
      </c>
      <c r="AO1748" s="13">
        <f t="shared" si="221"/>
        <v>4.055092992109819E-2</v>
      </c>
      <c r="AP1748" s="16">
        <v>4600</v>
      </c>
      <c r="AQ1748" s="16">
        <v>4268.3562079769017</v>
      </c>
      <c r="AR1748" s="16">
        <f t="shared" si="222"/>
        <v>331.64379202309829</v>
      </c>
      <c r="AS1748" s="17">
        <f t="shared" si="216"/>
        <v>7.2096476526760503E-2</v>
      </c>
      <c r="AT1748" s="20">
        <v>4600</v>
      </c>
      <c r="AU1748" s="20">
        <v>3182.728515625</v>
      </c>
      <c r="AV1748" s="20">
        <f t="shared" si="217"/>
        <v>1417.271484375</v>
      </c>
      <c r="AW1748" s="21">
        <f t="shared" si="223"/>
        <v>0.30810249660326089</v>
      </c>
    </row>
    <row r="1749" spans="1:49" x14ac:dyDescent="0.25">
      <c r="A1749" t="s">
        <v>38</v>
      </c>
      <c r="B1749" t="s">
        <v>96</v>
      </c>
      <c r="C1749">
        <v>174553</v>
      </c>
      <c r="D1749">
        <v>2015</v>
      </c>
      <c r="E1749" t="s">
        <v>69</v>
      </c>
      <c r="F1749" t="s">
        <v>607</v>
      </c>
      <c r="G1749" t="s">
        <v>285</v>
      </c>
      <c r="I1749">
        <v>6</v>
      </c>
      <c r="J1749" t="s">
        <v>241</v>
      </c>
      <c r="K1749">
        <v>4</v>
      </c>
      <c r="L1749" t="s">
        <v>44</v>
      </c>
      <c r="M1749">
        <v>3.5</v>
      </c>
      <c r="N1749" t="s">
        <v>45</v>
      </c>
      <c r="O1749" t="s">
        <v>46</v>
      </c>
      <c r="Q1749" t="s">
        <v>47</v>
      </c>
      <c r="R1749" t="s">
        <v>123</v>
      </c>
      <c r="S1749" t="s">
        <v>101</v>
      </c>
      <c r="T1749">
        <v>288</v>
      </c>
      <c r="U1749" t="s">
        <v>50</v>
      </c>
      <c r="V1749" t="s">
        <v>76</v>
      </c>
      <c r="X1749" t="s">
        <v>125</v>
      </c>
      <c r="Y1749" t="s">
        <v>78</v>
      </c>
      <c r="AA1749">
        <v>0</v>
      </c>
      <c r="AB1749" t="s">
        <v>79</v>
      </c>
      <c r="AC1749" t="s">
        <v>127</v>
      </c>
      <c r="AD1749">
        <v>36</v>
      </c>
      <c r="AE1749">
        <v>9</v>
      </c>
      <c r="AF1749">
        <v>3</v>
      </c>
      <c r="AG1749">
        <v>2025</v>
      </c>
      <c r="AH1749" s="2">
        <v>2100</v>
      </c>
      <c r="AI1749" s="2">
        <v>2324.996826171875</v>
      </c>
      <c r="AJ1749" s="2">
        <f t="shared" si="218"/>
        <v>224.996826171875</v>
      </c>
      <c r="AK1749" s="6">
        <f t="shared" si="219"/>
        <v>0.10714134579613095</v>
      </c>
      <c r="AL1749" s="12">
        <v>2100</v>
      </c>
      <c r="AM1749" s="12">
        <v>3004.454854448124</v>
      </c>
      <c r="AN1749" s="12">
        <f t="shared" si="220"/>
        <v>904.45485444812402</v>
      </c>
      <c r="AO1749" s="13">
        <f t="shared" si="221"/>
        <v>0.43069278783244003</v>
      </c>
      <c r="AP1749" s="16">
        <v>2100</v>
      </c>
      <c r="AQ1749" s="16">
        <v>2314.78750900982</v>
      </c>
      <c r="AR1749" s="16">
        <f t="shared" si="222"/>
        <v>214.78750900982004</v>
      </c>
      <c r="AS1749" s="17">
        <f t="shared" si="216"/>
        <v>0.1022797661951524</v>
      </c>
      <c r="AT1749" s="20">
        <v>2100</v>
      </c>
      <c r="AU1749" s="20">
        <v>2371.70458984375</v>
      </c>
      <c r="AV1749" s="20">
        <f t="shared" si="217"/>
        <v>271.70458984375</v>
      </c>
      <c r="AW1749" s="21">
        <f t="shared" si="223"/>
        <v>0.12938313802083334</v>
      </c>
    </row>
    <row r="1750" spans="1:49" x14ac:dyDescent="0.25">
      <c r="A1750" t="s">
        <v>128</v>
      </c>
      <c r="B1750" t="s">
        <v>129</v>
      </c>
      <c r="C1750">
        <v>157634</v>
      </c>
      <c r="D1750">
        <v>2015</v>
      </c>
      <c r="E1750" t="s">
        <v>162</v>
      </c>
      <c r="F1750" t="s">
        <v>163</v>
      </c>
      <c r="G1750" t="s">
        <v>1265</v>
      </c>
      <c r="I1750">
        <v>4</v>
      </c>
      <c r="J1750" t="s">
        <v>61</v>
      </c>
      <c r="K1750">
        <v>4</v>
      </c>
      <c r="L1750" t="s">
        <v>44</v>
      </c>
      <c r="M1750">
        <v>2.4</v>
      </c>
      <c r="N1750" t="s">
        <v>45</v>
      </c>
      <c r="Q1750" t="s">
        <v>47</v>
      </c>
      <c r="R1750" t="s">
        <v>123</v>
      </c>
      <c r="U1750" t="s">
        <v>50</v>
      </c>
      <c r="W1750" t="s">
        <v>165</v>
      </c>
      <c r="X1750" t="s">
        <v>125</v>
      </c>
      <c r="Y1750" t="s">
        <v>78</v>
      </c>
      <c r="AA1750">
        <v>0</v>
      </c>
      <c r="AB1750" t="s">
        <v>79</v>
      </c>
      <c r="AC1750" t="s">
        <v>127</v>
      </c>
      <c r="AD1750">
        <v>36</v>
      </c>
      <c r="AE1750">
        <v>9</v>
      </c>
      <c r="AF1750">
        <v>3</v>
      </c>
      <c r="AG1750">
        <v>2025</v>
      </c>
      <c r="AH1750" s="2">
        <v>1600</v>
      </c>
      <c r="AI1750" s="2">
        <v>2132.43212890625</v>
      </c>
      <c r="AJ1750" s="2">
        <f t="shared" si="218"/>
        <v>532.43212890625</v>
      </c>
      <c r="AK1750" s="6">
        <f t="shared" si="219"/>
        <v>0.33277008056640622</v>
      </c>
      <c r="AL1750" s="12">
        <v>1600</v>
      </c>
      <c r="AM1750" s="12">
        <v>2339.628147392481</v>
      </c>
      <c r="AN1750" s="12">
        <f t="shared" si="220"/>
        <v>739.62814739248097</v>
      </c>
      <c r="AO1750" s="13">
        <f t="shared" si="221"/>
        <v>0.46226759212030061</v>
      </c>
      <c r="AP1750" s="16">
        <v>1600</v>
      </c>
      <c r="AQ1750" s="16">
        <v>1985.564182940876</v>
      </c>
      <c r="AR1750" s="16">
        <f t="shared" si="222"/>
        <v>385.56418294087598</v>
      </c>
      <c r="AS1750" s="17">
        <f t="shared" si="216"/>
        <v>0.24097761433804749</v>
      </c>
      <c r="AT1750" s="20">
        <v>1600</v>
      </c>
      <c r="AU1750" s="20">
        <v>2139.724365234375</v>
      </c>
      <c r="AV1750" s="20">
        <f t="shared" si="217"/>
        <v>539.724365234375</v>
      </c>
      <c r="AW1750" s="21">
        <f t="shared" si="223"/>
        <v>0.33732772827148438</v>
      </c>
    </row>
    <row r="1751" spans="1:49" x14ac:dyDescent="0.25">
      <c r="A1751" t="s">
        <v>38</v>
      </c>
      <c r="B1751" t="s">
        <v>68</v>
      </c>
      <c r="C1751">
        <v>96831</v>
      </c>
      <c r="D1751">
        <v>2018</v>
      </c>
      <c r="E1751" t="s">
        <v>97</v>
      </c>
      <c r="F1751" t="s">
        <v>198</v>
      </c>
      <c r="G1751" t="s">
        <v>155</v>
      </c>
      <c r="I1751">
        <v>6</v>
      </c>
      <c r="J1751" t="s">
        <v>72</v>
      </c>
      <c r="K1751">
        <v>4</v>
      </c>
      <c r="L1751" t="s">
        <v>44</v>
      </c>
      <c r="M1751">
        <v>3.6</v>
      </c>
      <c r="N1751" t="s">
        <v>45</v>
      </c>
      <c r="O1751" t="s">
        <v>46</v>
      </c>
      <c r="Q1751" t="s">
        <v>62</v>
      </c>
      <c r="R1751" t="s">
        <v>63</v>
      </c>
      <c r="S1751" t="s">
        <v>101</v>
      </c>
      <c r="U1751" t="s">
        <v>50</v>
      </c>
      <c r="V1751" t="s">
        <v>76</v>
      </c>
      <c r="W1751" t="s">
        <v>1084</v>
      </c>
      <c r="X1751" t="s">
        <v>94</v>
      </c>
      <c r="Y1751" t="s">
        <v>78</v>
      </c>
      <c r="Z1751">
        <v>35100</v>
      </c>
      <c r="AA1751">
        <v>0</v>
      </c>
      <c r="AB1751" t="s">
        <v>79</v>
      </c>
      <c r="AC1751" t="s">
        <v>87</v>
      </c>
      <c r="AD1751">
        <v>36</v>
      </c>
      <c r="AE1751">
        <v>9</v>
      </c>
      <c r="AF1751">
        <v>3</v>
      </c>
      <c r="AG1751">
        <v>2025</v>
      </c>
      <c r="AH1751" s="2">
        <v>11750</v>
      </c>
      <c r="AI1751" s="2">
        <v>12599.6240234375</v>
      </c>
      <c r="AJ1751" s="2">
        <f t="shared" si="218"/>
        <v>849.6240234375</v>
      </c>
      <c r="AK1751" s="6">
        <f t="shared" si="219"/>
        <v>7.2308427526595748E-2</v>
      </c>
      <c r="AL1751" s="12">
        <v>11750</v>
      </c>
      <c r="AM1751" s="12">
        <v>11500.46883769584</v>
      </c>
      <c r="AN1751" s="12">
        <f t="shared" si="220"/>
        <v>249.53116230415981</v>
      </c>
      <c r="AO1751" s="13">
        <f t="shared" si="221"/>
        <v>2.1236694664183813E-2</v>
      </c>
      <c r="AP1751" s="16">
        <v>11750</v>
      </c>
      <c r="AQ1751" s="16">
        <v>10942.637207047301</v>
      </c>
      <c r="AR1751" s="16">
        <f t="shared" si="222"/>
        <v>807.36279295269924</v>
      </c>
      <c r="AS1751" s="17">
        <f t="shared" si="216"/>
        <v>6.871172705980419E-2</v>
      </c>
      <c r="AT1751" s="20">
        <v>11750</v>
      </c>
      <c r="AU1751" s="20">
        <v>12437.90234375</v>
      </c>
      <c r="AV1751" s="20">
        <f t="shared" si="217"/>
        <v>687.90234375</v>
      </c>
      <c r="AW1751" s="21">
        <f t="shared" si="223"/>
        <v>5.8544880319148937E-2</v>
      </c>
    </row>
    <row r="1752" spans="1:49" x14ac:dyDescent="0.25">
      <c r="A1752" t="s">
        <v>38</v>
      </c>
      <c r="B1752" t="s">
        <v>96</v>
      </c>
      <c r="C1752">
        <v>114350</v>
      </c>
      <c r="D1752">
        <v>2014</v>
      </c>
      <c r="E1752" t="s">
        <v>69</v>
      </c>
      <c r="F1752" t="s">
        <v>157</v>
      </c>
      <c r="G1752" t="s">
        <v>118</v>
      </c>
      <c r="I1752">
        <v>6</v>
      </c>
      <c r="J1752" t="s">
        <v>106</v>
      </c>
      <c r="K1752">
        <v>4</v>
      </c>
      <c r="L1752" t="s">
        <v>44</v>
      </c>
      <c r="M1752">
        <v>3.5</v>
      </c>
      <c r="N1752" t="s">
        <v>45</v>
      </c>
      <c r="O1752" t="s">
        <v>46</v>
      </c>
      <c r="Q1752" t="s">
        <v>62</v>
      </c>
      <c r="R1752" t="s">
        <v>63</v>
      </c>
      <c r="T1752">
        <v>290</v>
      </c>
      <c r="U1752" t="s">
        <v>50</v>
      </c>
      <c r="V1752" t="s">
        <v>76</v>
      </c>
      <c r="X1752" t="s">
        <v>94</v>
      </c>
      <c r="Y1752" t="s">
        <v>78</v>
      </c>
      <c r="AA1752">
        <v>0</v>
      </c>
      <c r="AB1752" t="s">
        <v>79</v>
      </c>
      <c r="AC1752" t="s">
        <v>87</v>
      </c>
      <c r="AD1752">
        <v>36</v>
      </c>
      <c r="AE1752">
        <v>9</v>
      </c>
      <c r="AF1752">
        <v>3</v>
      </c>
      <c r="AG1752">
        <v>2025</v>
      </c>
      <c r="AH1752" s="2">
        <v>7400</v>
      </c>
      <c r="AI1752" s="2">
        <v>7461.07080078125</v>
      </c>
      <c r="AJ1752" s="2">
        <f t="shared" si="218"/>
        <v>61.07080078125</v>
      </c>
      <c r="AK1752" s="6">
        <f t="shared" si="219"/>
        <v>8.2528109163851355E-3</v>
      </c>
      <c r="AL1752" s="12">
        <v>7400</v>
      </c>
      <c r="AM1752" s="12">
        <v>6425.4776884357589</v>
      </c>
      <c r="AN1752" s="12">
        <f t="shared" si="220"/>
        <v>974.52231156424114</v>
      </c>
      <c r="AO1752" s="13">
        <f t="shared" si="221"/>
        <v>0.13169220426543798</v>
      </c>
      <c r="AP1752" s="16">
        <v>7400</v>
      </c>
      <c r="AQ1752" s="16">
        <v>6001.058507476303</v>
      </c>
      <c r="AR1752" s="16">
        <f t="shared" si="222"/>
        <v>1398.941492523697</v>
      </c>
      <c r="AS1752" s="17">
        <f t="shared" si="216"/>
        <v>0.18904614763833744</v>
      </c>
      <c r="AT1752" s="20">
        <v>7400</v>
      </c>
      <c r="AU1752" s="20">
        <v>7317.95556640625</v>
      </c>
      <c r="AV1752" s="20">
        <f t="shared" si="217"/>
        <v>82.04443359375</v>
      </c>
      <c r="AW1752" s="21">
        <f t="shared" si="223"/>
        <v>1.1087085620777027E-2</v>
      </c>
    </row>
    <row r="1753" spans="1:49" x14ac:dyDescent="0.25">
      <c r="A1753" t="s">
        <v>128</v>
      </c>
      <c r="B1753" t="s">
        <v>1248</v>
      </c>
      <c r="C1753">
        <v>25635</v>
      </c>
      <c r="D1753">
        <v>2024</v>
      </c>
      <c r="E1753" t="s">
        <v>142</v>
      </c>
      <c r="F1753" t="s">
        <v>335</v>
      </c>
      <c r="G1753" t="s">
        <v>1495</v>
      </c>
      <c r="I1753">
        <v>4</v>
      </c>
      <c r="J1753" t="s">
        <v>135</v>
      </c>
      <c r="K1753">
        <v>4</v>
      </c>
      <c r="L1753" t="s">
        <v>44</v>
      </c>
      <c r="M1753">
        <v>2</v>
      </c>
      <c r="N1753" t="s">
        <v>91</v>
      </c>
      <c r="Q1753" t="s">
        <v>62</v>
      </c>
      <c r="R1753" t="s">
        <v>63</v>
      </c>
      <c r="S1753" t="s">
        <v>93</v>
      </c>
      <c r="T1753">
        <v>200</v>
      </c>
      <c r="U1753" t="s">
        <v>50</v>
      </c>
      <c r="V1753" t="s">
        <v>51</v>
      </c>
      <c r="X1753" t="s">
        <v>65</v>
      </c>
      <c r="Y1753" t="s">
        <v>126</v>
      </c>
      <c r="AA1753">
        <v>0</v>
      </c>
      <c r="AB1753" t="s">
        <v>79</v>
      </c>
      <c r="AC1753" t="s">
        <v>87</v>
      </c>
      <c r="AD1753">
        <v>36</v>
      </c>
      <c r="AE1753">
        <v>9</v>
      </c>
      <c r="AF1753">
        <v>3</v>
      </c>
      <c r="AG1753">
        <v>2025</v>
      </c>
      <c r="AH1753" s="2">
        <v>20200</v>
      </c>
      <c r="AI1753" s="2">
        <v>23305.333984375</v>
      </c>
      <c r="AJ1753" s="2">
        <f t="shared" si="218"/>
        <v>3105.333984375</v>
      </c>
      <c r="AK1753" s="6">
        <f t="shared" si="219"/>
        <v>0.1537294051670792</v>
      </c>
      <c r="AL1753" s="12">
        <v>20200</v>
      </c>
      <c r="AM1753" s="12">
        <v>24684.434131756811</v>
      </c>
      <c r="AN1753" s="12">
        <f t="shared" si="220"/>
        <v>4484.4341317568105</v>
      </c>
      <c r="AO1753" s="13">
        <f t="shared" si="221"/>
        <v>0.2220016896909312</v>
      </c>
      <c r="AP1753" s="16">
        <v>20200</v>
      </c>
      <c r="AQ1753" s="16">
        <v>21734.401361382981</v>
      </c>
      <c r="AR1753" s="16">
        <f t="shared" si="222"/>
        <v>1534.4013613829811</v>
      </c>
      <c r="AS1753" s="17">
        <f t="shared" si="216"/>
        <v>7.5960463434801048E-2</v>
      </c>
      <c r="AT1753" s="20">
        <v>20200</v>
      </c>
      <c r="AU1753" s="20">
        <v>23482.19140625</v>
      </c>
      <c r="AV1753" s="20">
        <f t="shared" si="217"/>
        <v>3282.19140625</v>
      </c>
      <c r="AW1753" s="21">
        <f t="shared" si="223"/>
        <v>0.16248472308168316</v>
      </c>
    </row>
    <row r="1754" spans="1:49" x14ac:dyDescent="0.25">
      <c r="A1754" t="s">
        <v>38</v>
      </c>
      <c r="B1754" t="s">
        <v>96</v>
      </c>
      <c r="C1754">
        <v>193910</v>
      </c>
      <c r="D1754">
        <v>2010</v>
      </c>
      <c r="E1754" t="s">
        <v>40</v>
      </c>
      <c r="F1754" t="s">
        <v>215</v>
      </c>
      <c r="G1754" t="s">
        <v>150</v>
      </c>
      <c r="H1754" t="s">
        <v>1263</v>
      </c>
      <c r="I1754">
        <v>8</v>
      </c>
      <c r="J1754" t="s">
        <v>135</v>
      </c>
      <c r="K1754">
        <v>4</v>
      </c>
      <c r="L1754" t="s">
        <v>44</v>
      </c>
      <c r="M1754">
        <v>4.5999999999999996</v>
      </c>
      <c r="N1754" t="s">
        <v>73</v>
      </c>
      <c r="O1754" t="s">
        <v>46</v>
      </c>
      <c r="Q1754" t="s">
        <v>74</v>
      </c>
      <c r="R1754" t="s">
        <v>92</v>
      </c>
      <c r="S1754" t="s">
        <v>49</v>
      </c>
      <c r="T1754">
        <v>310</v>
      </c>
      <c r="U1754" t="s">
        <v>50</v>
      </c>
      <c r="V1754" t="s">
        <v>76</v>
      </c>
      <c r="W1754" t="s">
        <v>218</v>
      </c>
      <c r="X1754" t="s">
        <v>219</v>
      </c>
      <c r="Y1754" t="s">
        <v>78</v>
      </c>
      <c r="AA1754">
        <v>0</v>
      </c>
      <c r="AB1754" t="s">
        <v>79</v>
      </c>
      <c r="AC1754" t="s">
        <v>95</v>
      </c>
      <c r="AD1754">
        <v>36</v>
      </c>
      <c r="AE1754">
        <v>9</v>
      </c>
      <c r="AF1754">
        <v>3</v>
      </c>
      <c r="AG1754">
        <v>2025</v>
      </c>
      <c r="AH1754" s="2">
        <v>6200</v>
      </c>
      <c r="AI1754" s="2">
        <v>4990.89404296875</v>
      </c>
      <c r="AJ1754" s="2">
        <f t="shared" si="218"/>
        <v>1209.10595703125</v>
      </c>
      <c r="AK1754" s="6">
        <f t="shared" si="219"/>
        <v>0.19501708984374999</v>
      </c>
      <c r="AL1754" s="12">
        <v>6200</v>
      </c>
      <c r="AM1754" s="12">
        <v>5619.8450075041856</v>
      </c>
      <c r="AN1754" s="12">
        <f t="shared" si="220"/>
        <v>580.15499249581444</v>
      </c>
      <c r="AO1754" s="13">
        <f t="shared" si="221"/>
        <v>9.3573385886421681E-2</v>
      </c>
      <c r="AP1754" s="16">
        <v>6200</v>
      </c>
      <c r="AQ1754" s="16">
        <v>4703.4886661721512</v>
      </c>
      <c r="AR1754" s="16">
        <f t="shared" si="222"/>
        <v>1496.5113338278488</v>
      </c>
      <c r="AS1754" s="17">
        <f t="shared" si="216"/>
        <v>0.24137279577868528</v>
      </c>
      <c r="AT1754" s="20">
        <v>6200</v>
      </c>
      <c r="AU1754" s="20">
        <v>5124.3544921875</v>
      </c>
      <c r="AV1754" s="20">
        <f t="shared" si="217"/>
        <v>1075.6455078125</v>
      </c>
      <c r="AW1754" s="21">
        <f t="shared" si="223"/>
        <v>0.1734912109375</v>
      </c>
    </row>
    <row r="1755" spans="1:49" x14ac:dyDescent="0.25">
      <c r="A1755" t="s">
        <v>128</v>
      </c>
      <c r="B1755" t="s">
        <v>129</v>
      </c>
      <c r="C1755">
        <v>266772</v>
      </c>
      <c r="D1755">
        <v>2014</v>
      </c>
      <c r="E1755" t="s">
        <v>97</v>
      </c>
      <c r="F1755" t="s">
        <v>470</v>
      </c>
      <c r="G1755" t="s">
        <v>199</v>
      </c>
      <c r="I1755">
        <v>4</v>
      </c>
      <c r="J1755" t="s">
        <v>135</v>
      </c>
      <c r="K1755">
        <v>4</v>
      </c>
      <c r="L1755" t="s">
        <v>44</v>
      </c>
      <c r="M1755">
        <v>2.5</v>
      </c>
      <c r="N1755" t="s">
        <v>45</v>
      </c>
      <c r="Q1755" t="s">
        <v>47</v>
      </c>
      <c r="R1755" t="s">
        <v>123</v>
      </c>
      <c r="U1755" t="s">
        <v>50</v>
      </c>
      <c r="V1755" t="s">
        <v>51</v>
      </c>
      <c r="W1755" t="s">
        <v>1496</v>
      </c>
      <c r="X1755" t="s">
        <v>125</v>
      </c>
      <c r="Y1755" t="s">
        <v>78</v>
      </c>
      <c r="AA1755">
        <v>0</v>
      </c>
      <c r="AB1755" t="s">
        <v>79</v>
      </c>
      <c r="AC1755" t="s">
        <v>127</v>
      </c>
      <c r="AD1755">
        <v>36</v>
      </c>
      <c r="AE1755">
        <v>9</v>
      </c>
      <c r="AF1755">
        <v>3</v>
      </c>
      <c r="AG1755">
        <v>2025</v>
      </c>
      <c r="AH1755" s="2">
        <v>900</v>
      </c>
      <c r="AI1755" s="2">
        <v>1068.4423828125</v>
      </c>
      <c r="AJ1755" s="2">
        <f t="shared" si="218"/>
        <v>168.4423828125</v>
      </c>
      <c r="AK1755" s="6">
        <f t="shared" si="219"/>
        <v>0.18715820312500001</v>
      </c>
      <c r="AL1755" s="12">
        <v>900</v>
      </c>
      <c r="AM1755" s="12">
        <v>1187.17561887033</v>
      </c>
      <c r="AN1755" s="12">
        <f t="shared" si="220"/>
        <v>287.17561887033003</v>
      </c>
      <c r="AO1755" s="13">
        <f t="shared" si="221"/>
        <v>0.31908402096703337</v>
      </c>
      <c r="AP1755" s="16">
        <v>900</v>
      </c>
      <c r="AQ1755" s="16">
        <v>964.2038016251729</v>
      </c>
      <c r="AR1755" s="16">
        <f t="shared" si="222"/>
        <v>64.2038016251729</v>
      </c>
      <c r="AS1755" s="17">
        <f t="shared" si="216"/>
        <v>7.1337557361303219E-2</v>
      </c>
      <c r="AT1755" s="20">
        <v>900</v>
      </c>
      <c r="AU1755" s="20">
        <v>1048.521362304688</v>
      </c>
      <c r="AV1755" s="20">
        <f t="shared" si="217"/>
        <v>148.52136230468795</v>
      </c>
      <c r="AW1755" s="21">
        <f t="shared" si="223"/>
        <v>0.16502373589409772</v>
      </c>
    </row>
    <row r="1756" spans="1:49" x14ac:dyDescent="0.25">
      <c r="A1756" t="s">
        <v>38</v>
      </c>
      <c r="B1756" t="s">
        <v>39</v>
      </c>
      <c r="C1756">
        <v>145739</v>
      </c>
      <c r="D1756">
        <v>2016</v>
      </c>
      <c r="E1756" t="s">
        <v>146</v>
      </c>
      <c r="F1756" t="s">
        <v>147</v>
      </c>
      <c r="I1756">
        <v>4</v>
      </c>
      <c r="J1756" t="s">
        <v>72</v>
      </c>
      <c r="K1756">
        <v>4</v>
      </c>
      <c r="L1756" t="s">
        <v>44</v>
      </c>
      <c r="M1756">
        <v>2.5</v>
      </c>
      <c r="N1756" t="s">
        <v>44</v>
      </c>
      <c r="O1756" t="s">
        <v>46</v>
      </c>
      <c r="Q1756" t="s">
        <v>62</v>
      </c>
      <c r="R1756" t="s">
        <v>148</v>
      </c>
      <c r="S1756" t="s">
        <v>93</v>
      </c>
      <c r="U1756" t="s">
        <v>50</v>
      </c>
      <c r="X1756" t="s">
        <v>65</v>
      </c>
      <c r="Y1756" t="s">
        <v>78</v>
      </c>
      <c r="AA1756">
        <v>0</v>
      </c>
      <c r="AB1756" t="s">
        <v>79</v>
      </c>
      <c r="AC1756" t="s">
        <v>87</v>
      </c>
      <c r="AD1756">
        <v>36</v>
      </c>
      <c r="AE1756">
        <v>9</v>
      </c>
      <c r="AF1756">
        <v>3</v>
      </c>
      <c r="AG1756">
        <v>2025</v>
      </c>
      <c r="AH1756" s="2">
        <v>1800</v>
      </c>
      <c r="AI1756" s="2">
        <v>3381.229248046875</v>
      </c>
      <c r="AJ1756" s="2">
        <f t="shared" si="218"/>
        <v>1581.229248046875</v>
      </c>
      <c r="AK1756" s="6">
        <f t="shared" si="219"/>
        <v>0.87846069335937504</v>
      </c>
      <c r="AL1756" s="12">
        <v>1800</v>
      </c>
      <c r="AM1756" s="12">
        <v>3729.4418889869548</v>
      </c>
      <c r="AN1756" s="12">
        <f t="shared" si="220"/>
        <v>1929.4418889869548</v>
      </c>
      <c r="AO1756" s="13">
        <f t="shared" si="221"/>
        <v>1.0719121605483082</v>
      </c>
      <c r="AP1756" s="16">
        <v>1800</v>
      </c>
      <c r="AQ1756" s="16">
        <v>3514.7786533836561</v>
      </c>
      <c r="AR1756" s="16">
        <f t="shared" si="222"/>
        <v>1714.7786533836561</v>
      </c>
      <c r="AS1756" s="17">
        <f t="shared" si="216"/>
        <v>0.95265480743536446</v>
      </c>
      <c r="AT1756" s="20">
        <v>1800</v>
      </c>
      <c r="AU1756" s="20">
        <v>3431.57373046875</v>
      </c>
      <c r="AV1756" s="20">
        <f t="shared" si="217"/>
        <v>1631.57373046875</v>
      </c>
      <c r="AW1756" s="21">
        <f t="shared" si="223"/>
        <v>0.90642985026041667</v>
      </c>
    </row>
    <row r="1757" spans="1:49" x14ac:dyDescent="0.25">
      <c r="A1757" t="s">
        <v>38</v>
      </c>
      <c r="B1757" t="s">
        <v>110</v>
      </c>
      <c r="C1757">
        <v>96627</v>
      </c>
      <c r="D1757">
        <v>2018</v>
      </c>
      <c r="E1757" t="s">
        <v>388</v>
      </c>
      <c r="F1757" t="s">
        <v>668</v>
      </c>
      <c r="H1757" t="s">
        <v>669</v>
      </c>
      <c r="I1757">
        <v>3</v>
      </c>
      <c r="J1757" t="s">
        <v>106</v>
      </c>
      <c r="K1757">
        <v>4</v>
      </c>
      <c r="L1757" t="s">
        <v>44</v>
      </c>
      <c r="M1757">
        <v>1.2</v>
      </c>
      <c r="N1757" t="s">
        <v>45</v>
      </c>
      <c r="O1757" t="s">
        <v>100</v>
      </c>
      <c r="Q1757" t="s">
        <v>47</v>
      </c>
      <c r="R1757" t="s">
        <v>123</v>
      </c>
      <c r="U1757" t="s">
        <v>50</v>
      </c>
      <c r="V1757" t="s">
        <v>51</v>
      </c>
      <c r="X1757" t="s">
        <v>125</v>
      </c>
      <c r="Y1757" t="s">
        <v>439</v>
      </c>
      <c r="Z1757">
        <v>14395</v>
      </c>
      <c r="AA1757">
        <v>0</v>
      </c>
      <c r="AB1757" t="s">
        <v>79</v>
      </c>
      <c r="AC1757" t="s">
        <v>127</v>
      </c>
      <c r="AD1757">
        <v>36</v>
      </c>
      <c r="AE1757">
        <v>9</v>
      </c>
      <c r="AF1757">
        <v>3</v>
      </c>
      <c r="AG1757">
        <v>2025</v>
      </c>
      <c r="AH1757" s="2">
        <v>900</v>
      </c>
      <c r="AI1757" s="2">
        <v>1000.384338378906</v>
      </c>
      <c r="AJ1757" s="2">
        <f t="shared" si="218"/>
        <v>100.38433837890602</v>
      </c>
      <c r="AK1757" s="6">
        <f t="shared" si="219"/>
        <v>0.11153815375434002</v>
      </c>
      <c r="AL1757" s="12">
        <v>900</v>
      </c>
      <c r="AM1757" s="12">
        <v>1613.5731866131839</v>
      </c>
      <c r="AN1757" s="12">
        <f t="shared" si="220"/>
        <v>713.57318661318391</v>
      </c>
      <c r="AO1757" s="13">
        <f t="shared" si="221"/>
        <v>0.79285909623687101</v>
      </c>
      <c r="AP1757" s="16">
        <v>900</v>
      </c>
      <c r="AQ1757" s="16">
        <v>1105.966404407417</v>
      </c>
      <c r="AR1757" s="16">
        <f t="shared" si="222"/>
        <v>205.96640440741703</v>
      </c>
      <c r="AS1757" s="17">
        <f t="shared" si="216"/>
        <v>0.22885156045268559</v>
      </c>
      <c r="AT1757" s="20">
        <v>900</v>
      </c>
      <c r="AU1757" s="20">
        <v>1037.3466796875</v>
      </c>
      <c r="AV1757" s="20">
        <f t="shared" si="217"/>
        <v>137.3466796875</v>
      </c>
      <c r="AW1757" s="21">
        <f t="shared" si="223"/>
        <v>0.15260742187500001</v>
      </c>
    </row>
    <row r="1758" spans="1:49" x14ac:dyDescent="0.25">
      <c r="A1758" t="s">
        <v>128</v>
      </c>
      <c r="B1758" t="s">
        <v>129</v>
      </c>
      <c r="C1758">
        <v>163729</v>
      </c>
      <c r="D1758">
        <v>2016</v>
      </c>
      <c r="E1758" t="s">
        <v>69</v>
      </c>
      <c r="F1758" t="s">
        <v>394</v>
      </c>
      <c r="H1758" t="s">
        <v>190</v>
      </c>
      <c r="I1758">
        <v>4</v>
      </c>
      <c r="J1758" t="s">
        <v>135</v>
      </c>
      <c r="K1758">
        <v>4</v>
      </c>
      <c r="L1758" t="s">
        <v>44</v>
      </c>
      <c r="M1758">
        <v>2.5</v>
      </c>
      <c r="N1758" t="s">
        <v>45</v>
      </c>
      <c r="O1758" t="s">
        <v>46</v>
      </c>
      <c r="Q1758" t="s">
        <v>47</v>
      </c>
      <c r="R1758" t="s">
        <v>123</v>
      </c>
      <c r="S1758" t="s">
        <v>101</v>
      </c>
      <c r="T1758">
        <v>175</v>
      </c>
      <c r="U1758" t="s">
        <v>50</v>
      </c>
      <c r="V1758" t="s">
        <v>51</v>
      </c>
      <c r="X1758" t="s">
        <v>125</v>
      </c>
      <c r="Y1758" t="s">
        <v>126</v>
      </c>
      <c r="AA1758">
        <v>0</v>
      </c>
      <c r="AB1758" t="s">
        <v>79</v>
      </c>
      <c r="AC1758" t="s">
        <v>127</v>
      </c>
      <c r="AD1758">
        <v>36</v>
      </c>
      <c r="AE1758">
        <v>9</v>
      </c>
      <c r="AF1758">
        <v>3</v>
      </c>
      <c r="AG1758">
        <v>2025</v>
      </c>
      <c r="AH1758" s="2">
        <v>3400</v>
      </c>
      <c r="AI1758" s="2">
        <v>1955.912963867188</v>
      </c>
      <c r="AJ1758" s="2">
        <f t="shared" si="218"/>
        <v>1444.087036132812</v>
      </c>
      <c r="AK1758" s="6">
        <f t="shared" si="219"/>
        <v>0.42473148121553295</v>
      </c>
      <c r="AL1758" s="12">
        <v>3400</v>
      </c>
      <c r="AM1758" s="12">
        <v>2371.8028087779089</v>
      </c>
      <c r="AN1758" s="12">
        <f t="shared" si="220"/>
        <v>1028.1971912220911</v>
      </c>
      <c r="AO1758" s="13">
        <f t="shared" si="221"/>
        <v>0.30241093859473267</v>
      </c>
      <c r="AP1758" s="16">
        <v>3400</v>
      </c>
      <c r="AQ1758" s="16">
        <v>1956.492902962056</v>
      </c>
      <c r="AR1758" s="16">
        <f t="shared" si="222"/>
        <v>1443.507097037944</v>
      </c>
      <c r="AS1758" s="17">
        <f t="shared" si="216"/>
        <v>0.42456091089351294</v>
      </c>
      <c r="AT1758" s="20">
        <v>3400</v>
      </c>
      <c r="AU1758" s="20">
        <v>1979.956909179688</v>
      </c>
      <c r="AV1758" s="20">
        <f t="shared" si="217"/>
        <v>1420.043090820312</v>
      </c>
      <c r="AW1758" s="21">
        <f t="shared" si="223"/>
        <v>0.41765973259420941</v>
      </c>
    </row>
    <row r="1759" spans="1:49" x14ac:dyDescent="0.25">
      <c r="A1759" t="s">
        <v>38</v>
      </c>
      <c r="B1759" t="s">
        <v>96</v>
      </c>
      <c r="C1759">
        <v>191158</v>
      </c>
      <c r="D1759">
        <v>2017</v>
      </c>
      <c r="E1759" t="s">
        <v>69</v>
      </c>
      <c r="F1759" t="s">
        <v>157</v>
      </c>
      <c r="G1759" t="s">
        <v>112</v>
      </c>
      <c r="I1759">
        <v>6</v>
      </c>
      <c r="J1759" t="s">
        <v>72</v>
      </c>
      <c r="K1759">
        <v>4</v>
      </c>
      <c r="L1759" t="s">
        <v>44</v>
      </c>
      <c r="M1759">
        <v>3.5</v>
      </c>
      <c r="N1759" t="s">
        <v>45</v>
      </c>
      <c r="O1759" t="s">
        <v>46</v>
      </c>
      <c r="P1759">
        <v>3</v>
      </c>
      <c r="Q1759" t="s">
        <v>62</v>
      </c>
      <c r="R1759" t="s">
        <v>63</v>
      </c>
      <c r="S1759" t="s">
        <v>101</v>
      </c>
      <c r="T1759">
        <v>290</v>
      </c>
      <c r="U1759" t="s">
        <v>50</v>
      </c>
      <c r="V1759" t="s">
        <v>76</v>
      </c>
      <c r="W1759" t="s">
        <v>609</v>
      </c>
      <c r="X1759" t="s">
        <v>94</v>
      </c>
      <c r="Y1759" t="s">
        <v>78</v>
      </c>
      <c r="Z1759">
        <v>31660</v>
      </c>
      <c r="AA1759">
        <v>0</v>
      </c>
      <c r="AB1759" t="s">
        <v>79</v>
      </c>
      <c r="AC1759" t="s">
        <v>109</v>
      </c>
      <c r="AD1759">
        <v>36</v>
      </c>
      <c r="AE1759">
        <v>9</v>
      </c>
      <c r="AF1759">
        <v>3</v>
      </c>
      <c r="AG1759">
        <v>2025</v>
      </c>
      <c r="AH1759" s="2">
        <v>3400</v>
      </c>
      <c r="AI1759" s="2">
        <v>4041.7939453125</v>
      </c>
      <c r="AJ1759" s="2">
        <f t="shared" si="218"/>
        <v>641.7939453125</v>
      </c>
      <c r="AK1759" s="6">
        <f t="shared" si="219"/>
        <v>0.18876292509191175</v>
      </c>
      <c r="AL1759" s="12">
        <v>3400</v>
      </c>
      <c r="AM1759" s="12">
        <v>4402.4516618016896</v>
      </c>
      <c r="AN1759" s="12">
        <f t="shared" si="220"/>
        <v>1002.4516618016896</v>
      </c>
      <c r="AO1759" s="13">
        <f t="shared" si="221"/>
        <v>0.29483872405932049</v>
      </c>
      <c r="AP1759" s="16">
        <v>3400</v>
      </c>
      <c r="AQ1759" s="16">
        <v>3229.3922663574622</v>
      </c>
      <c r="AR1759" s="16">
        <f t="shared" si="222"/>
        <v>170.60773364253782</v>
      </c>
      <c r="AS1759" s="17">
        <f t="shared" si="216"/>
        <v>5.0178745188981716E-2</v>
      </c>
      <c r="AT1759" s="20">
        <v>3400</v>
      </c>
      <c r="AU1759" s="20">
        <v>4107.5546875</v>
      </c>
      <c r="AV1759" s="20">
        <f t="shared" si="217"/>
        <v>707.5546875</v>
      </c>
      <c r="AW1759" s="21">
        <f t="shared" si="223"/>
        <v>0.20810431985294117</v>
      </c>
    </row>
    <row r="1760" spans="1:49" x14ac:dyDescent="0.25">
      <c r="A1760" t="s">
        <v>38</v>
      </c>
      <c r="B1760" t="s">
        <v>39</v>
      </c>
      <c r="C1760">
        <v>112254</v>
      </c>
      <c r="D1760">
        <v>2018</v>
      </c>
      <c r="E1760" t="s">
        <v>604</v>
      </c>
      <c r="F1760" t="s">
        <v>605</v>
      </c>
      <c r="G1760" t="s">
        <v>1497</v>
      </c>
      <c r="I1760">
        <v>6</v>
      </c>
      <c r="J1760" t="s">
        <v>72</v>
      </c>
      <c r="K1760">
        <v>4</v>
      </c>
      <c r="L1760" t="s">
        <v>44</v>
      </c>
      <c r="M1760">
        <v>3.8</v>
      </c>
      <c r="N1760" t="s">
        <v>44</v>
      </c>
      <c r="O1760" t="s">
        <v>46</v>
      </c>
      <c r="Q1760" t="s">
        <v>47</v>
      </c>
      <c r="R1760" t="s">
        <v>123</v>
      </c>
      <c r="T1760">
        <v>311</v>
      </c>
      <c r="U1760" t="s">
        <v>50</v>
      </c>
      <c r="X1760" t="s">
        <v>125</v>
      </c>
      <c r="Y1760" t="s">
        <v>66</v>
      </c>
      <c r="AA1760">
        <v>0</v>
      </c>
      <c r="AB1760" t="s">
        <v>79</v>
      </c>
      <c r="AC1760" t="s">
        <v>127</v>
      </c>
      <c r="AD1760">
        <v>36</v>
      </c>
      <c r="AE1760">
        <v>9</v>
      </c>
      <c r="AF1760">
        <v>3</v>
      </c>
      <c r="AG1760">
        <v>2025</v>
      </c>
      <c r="AH1760" s="2">
        <v>9250</v>
      </c>
      <c r="AI1760" s="2">
        <v>8884.8515625</v>
      </c>
      <c r="AJ1760" s="2">
        <f t="shared" si="218"/>
        <v>365.1484375</v>
      </c>
      <c r="AK1760" s="6">
        <f t="shared" si="219"/>
        <v>3.9475506756756755E-2</v>
      </c>
      <c r="AL1760" s="12">
        <v>9250</v>
      </c>
      <c r="AM1760" s="12">
        <v>8994.1629853544873</v>
      </c>
      <c r="AN1760" s="12">
        <f t="shared" si="220"/>
        <v>255.83701464551268</v>
      </c>
      <c r="AO1760" s="13">
        <f t="shared" si="221"/>
        <v>2.7658055637352724E-2</v>
      </c>
      <c r="AP1760" s="16">
        <v>9250</v>
      </c>
      <c r="AQ1760" s="16">
        <v>10180.06985697106</v>
      </c>
      <c r="AR1760" s="16">
        <f t="shared" si="222"/>
        <v>930.06985697106029</v>
      </c>
      <c r="AS1760" s="17">
        <f t="shared" si="216"/>
        <v>0.10054809264552003</v>
      </c>
      <c r="AT1760" s="20">
        <v>9250</v>
      </c>
      <c r="AU1760" s="20">
        <v>9105.5205078125</v>
      </c>
      <c r="AV1760" s="20">
        <f t="shared" si="217"/>
        <v>144.4794921875</v>
      </c>
      <c r="AW1760" s="21">
        <f t="shared" si="223"/>
        <v>1.5619404560810811E-2</v>
      </c>
    </row>
    <row r="1761" spans="1:49" x14ac:dyDescent="0.25">
      <c r="A1761" t="s">
        <v>81</v>
      </c>
      <c r="B1761" t="s">
        <v>304</v>
      </c>
      <c r="C1761">
        <v>29871</v>
      </c>
      <c r="D1761">
        <v>2022</v>
      </c>
      <c r="E1761" t="s">
        <v>403</v>
      </c>
      <c r="F1761" t="s">
        <v>456</v>
      </c>
      <c r="G1761" t="s">
        <v>662</v>
      </c>
      <c r="I1761">
        <v>6</v>
      </c>
      <c r="J1761" t="s">
        <v>72</v>
      </c>
      <c r="K1761">
        <v>4</v>
      </c>
      <c r="L1761" t="s">
        <v>44</v>
      </c>
      <c r="M1761">
        <v>3</v>
      </c>
      <c r="N1761" t="s">
        <v>44</v>
      </c>
      <c r="O1761" t="s">
        <v>46</v>
      </c>
      <c r="Q1761" t="s">
        <v>47</v>
      </c>
      <c r="R1761" t="s">
        <v>123</v>
      </c>
      <c r="S1761" t="s">
        <v>85</v>
      </c>
      <c r="U1761" t="s">
        <v>50</v>
      </c>
      <c r="V1761" t="s">
        <v>76</v>
      </c>
      <c r="W1761" t="s">
        <v>1498</v>
      </c>
      <c r="X1761" t="s">
        <v>125</v>
      </c>
      <c r="Y1761" t="s">
        <v>78</v>
      </c>
      <c r="AA1761">
        <v>0</v>
      </c>
      <c r="AB1761" t="s">
        <v>79</v>
      </c>
      <c r="AC1761" t="s">
        <v>127</v>
      </c>
      <c r="AD1761">
        <v>36</v>
      </c>
      <c r="AE1761">
        <v>9</v>
      </c>
      <c r="AF1761">
        <v>3</v>
      </c>
      <c r="AG1761">
        <v>2025</v>
      </c>
      <c r="AH1761" s="2">
        <v>32000</v>
      </c>
      <c r="AI1761" s="2">
        <v>34607.83203125</v>
      </c>
      <c r="AJ1761" s="2">
        <f t="shared" si="218"/>
        <v>2607.83203125</v>
      </c>
      <c r="AK1761" s="6">
        <f t="shared" si="219"/>
        <v>8.1494750976562502E-2</v>
      </c>
      <c r="AL1761" s="12">
        <v>32000</v>
      </c>
      <c r="AM1761" s="12">
        <v>27508.46733928649</v>
      </c>
      <c r="AN1761" s="12">
        <f t="shared" si="220"/>
        <v>4491.5326607135103</v>
      </c>
      <c r="AO1761" s="13">
        <f t="shared" si="221"/>
        <v>0.14036039564729719</v>
      </c>
      <c r="AP1761" s="16">
        <v>32000</v>
      </c>
      <c r="AQ1761" s="16">
        <v>34201.158369824712</v>
      </c>
      <c r="AR1761" s="16">
        <f t="shared" si="222"/>
        <v>2201.1583698247123</v>
      </c>
      <c r="AS1761" s="17">
        <f t="shared" si="216"/>
        <v>6.8786199057022254E-2</v>
      </c>
      <c r="AT1761" s="20">
        <v>32000</v>
      </c>
      <c r="AU1761" s="20">
        <v>33595.47265625</v>
      </c>
      <c r="AV1761" s="20">
        <f t="shared" si="217"/>
        <v>1595.47265625</v>
      </c>
      <c r="AW1761" s="21">
        <f t="shared" si="223"/>
        <v>4.9858520507812497E-2</v>
      </c>
    </row>
    <row r="1762" spans="1:49" x14ac:dyDescent="0.25">
      <c r="A1762" t="s">
        <v>38</v>
      </c>
      <c r="B1762" t="s">
        <v>57</v>
      </c>
      <c r="C1762">
        <v>110305</v>
      </c>
      <c r="D1762">
        <v>2019</v>
      </c>
      <c r="E1762" t="s">
        <v>69</v>
      </c>
      <c r="F1762" t="s">
        <v>231</v>
      </c>
      <c r="I1762">
        <v>6</v>
      </c>
      <c r="J1762" t="s">
        <v>72</v>
      </c>
      <c r="K1762">
        <v>4</v>
      </c>
      <c r="L1762" t="s">
        <v>44</v>
      </c>
      <c r="M1762">
        <v>3.5</v>
      </c>
      <c r="N1762" t="s">
        <v>91</v>
      </c>
      <c r="O1762" t="s">
        <v>46</v>
      </c>
      <c r="P1762">
        <v>3</v>
      </c>
      <c r="Q1762" t="s">
        <v>74</v>
      </c>
      <c r="R1762" t="s">
        <v>92</v>
      </c>
      <c r="S1762" t="s">
        <v>93</v>
      </c>
      <c r="T1762">
        <v>450</v>
      </c>
      <c r="U1762" t="s">
        <v>50</v>
      </c>
      <c r="V1762" t="s">
        <v>76</v>
      </c>
      <c r="W1762" t="s">
        <v>308</v>
      </c>
      <c r="X1762" t="s">
        <v>94</v>
      </c>
      <c r="Y1762" t="s">
        <v>78</v>
      </c>
      <c r="AA1762">
        <v>0</v>
      </c>
      <c r="AB1762" t="s">
        <v>79</v>
      </c>
      <c r="AC1762" t="s">
        <v>95</v>
      </c>
      <c r="AD1762">
        <v>36</v>
      </c>
      <c r="AE1762">
        <v>9</v>
      </c>
      <c r="AF1762">
        <v>3</v>
      </c>
      <c r="AG1762">
        <v>2025</v>
      </c>
      <c r="AH1762" s="2">
        <v>18800</v>
      </c>
      <c r="AI1762" s="2">
        <v>17166.9921875</v>
      </c>
      <c r="AJ1762" s="2">
        <f t="shared" si="218"/>
        <v>1633.0078125</v>
      </c>
      <c r="AK1762" s="6">
        <f t="shared" si="219"/>
        <v>8.6862117686170207E-2</v>
      </c>
      <c r="AL1762" s="12">
        <v>18800</v>
      </c>
      <c r="AM1762" s="12">
        <v>20723.01347915535</v>
      </c>
      <c r="AN1762" s="12">
        <f t="shared" si="220"/>
        <v>1923.0134791553501</v>
      </c>
      <c r="AO1762" s="13">
        <f t="shared" si="221"/>
        <v>0.1022879510189016</v>
      </c>
      <c r="AP1762" s="16">
        <v>18800</v>
      </c>
      <c r="AQ1762" s="16">
        <v>18716.691099623669</v>
      </c>
      <c r="AR1762" s="16">
        <f t="shared" si="222"/>
        <v>83.308900376330712</v>
      </c>
      <c r="AS1762" s="17">
        <f t="shared" si="216"/>
        <v>4.4313244881026975E-3</v>
      </c>
      <c r="AT1762" s="20">
        <v>18800</v>
      </c>
      <c r="AU1762" s="20">
        <v>17644.724609375</v>
      </c>
      <c r="AV1762" s="20">
        <f t="shared" si="217"/>
        <v>1155.275390625</v>
      </c>
      <c r="AW1762" s="21">
        <f t="shared" si="223"/>
        <v>6.1450818650265956E-2</v>
      </c>
    </row>
    <row r="1763" spans="1:49" x14ac:dyDescent="0.25">
      <c r="A1763" t="s">
        <v>38</v>
      </c>
      <c r="B1763" t="s">
        <v>96</v>
      </c>
      <c r="C1763">
        <v>102145</v>
      </c>
      <c r="D1763">
        <v>2021</v>
      </c>
      <c r="E1763" t="s">
        <v>58</v>
      </c>
      <c r="F1763" t="s">
        <v>1040</v>
      </c>
      <c r="G1763" t="s">
        <v>1103</v>
      </c>
      <c r="I1763">
        <v>4</v>
      </c>
      <c r="J1763" t="s">
        <v>135</v>
      </c>
      <c r="K1763">
        <v>4</v>
      </c>
      <c r="L1763" t="s">
        <v>44</v>
      </c>
      <c r="M1763">
        <v>1.6</v>
      </c>
      <c r="N1763" t="s">
        <v>45</v>
      </c>
      <c r="O1763" t="s">
        <v>46</v>
      </c>
      <c r="Q1763" t="s">
        <v>47</v>
      </c>
      <c r="R1763" t="s">
        <v>48</v>
      </c>
      <c r="S1763" t="s">
        <v>101</v>
      </c>
      <c r="T1763">
        <v>120</v>
      </c>
      <c r="U1763" t="s">
        <v>50</v>
      </c>
      <c r="W1763" t="s">
        <v>1499</v>
      </c>
      <c r="X1763" t="s">
        <v>125</v>
      </c>
      <c r="Y1763" t="s">
        <v>126</v>
      </c>
      <c r="Z1763">
        <v>16900</v>
      </c>
      <c r="AA1763">
        <v>0</v>
      </c>
      <c r="AB1763" t="s">
        <v>79</v>
      </c>
      <c r="AC1763" t="s">
        <v>359</v>
      </c>
      <c r="AD1763">
        <v>36</v>
      </c>
      <c r="AE1763">
        <v>9</v>
      </c>
      <c r="AF1763">
        <v>3</v>
      </c>
      <c r="AG1763">
        <v>2025</v>
      </c>
      <c r="AH1763" s="2">
        <v>5000</v>
      </c>
      <c r="AI1763" s="2">
        <v>6388.681640625</v>
      </c>
      <c r="AJ1763" s="2">
        <f t="shared" si="218"/>
        <v>1388.681640625</v>
      </c>
      <c r="AK1763" s="6">
        <f t="shared" si="219"/>
        <v>0.27773632812499999</v>
      </c>
      <c r="AL1763" s="12">
        <v>5000</v>
      </c>
      <c r="AM1763" s="12">
        <v>6886.9962827028721</v>
      </c>
      <c r="AN1763" s="12">
        <f t="shared" si="220"/>
        <v>1886.9962827028721</v>
      </c>
      <c r="AO1763" s="13">
        <f t="shared" si="221"/>
        <v>0.37739925654057443</v>
      </c>
      <c r="AP1763" s="16">
        <v>5000</v>
      </c>
      <c r="AQ1763" s="16">
        <v>6470.0626352764657</v>
      </c>
      <c r="AR1763" s="16">
        <f t="shared" si="222"/>
        <v>1470.0626352764657</v>
      </c>
      <c r="AS1763" s="17">
        <f t="shared" si="216"/>
        <v>0.29401252705529313</v>
      </c>
      <c r="AT1763" s="20">
        <v>5000</v>
      </c>
      <c r="AU1763" s="20">
        <v>6541.47509765625</v>
      </c>
      <c r="AV1763" s="20">
        <f t="shared" si="217"/>
        <v>1541.47509765625</v>
      </c>
      <c r="AW1763" s="21">
        <f t="shared" si="223"/>
        <v>0.30829501953124999</v>
      </c>
    </row>
    <row r="1764" spans="1:49" x14ac:dyDescent="0.25">
      <c r="A1764" t="s">
        <v>128</v>
      </c>
      <c r="B1764" t="s">
        <v>129</v>
      </c>
      <c r="C1764">
        <v>174778</v>
      </c>
      <c r="D1764">
        <v>2004</v>
      </c>
      <c r="E1764" t="s">
        <v>481</v>
      </c>
      <c r="F1764" t="s">
        <v>1500</v>
      </c>
      <c r="H1764" t="s">
        <v>791</v>
      </c>
      <c r="I1764">
        <v>8</v>
      </c>
      <c r="J1764" t="s">
        <v>178</v>
      </c>
      <c r="K1764">
        <v>4</v>
      </c>
      <c r="L1764" t="s">
        <v>44</v>
      </c>
      <c r="M1764">
        <v>4.5999999999999996</v>
      </c>
      <c r="N1764" t="s">
        <v>73</v>
      </c>
      <c r="Q1764" t="s">
        <v>47</v>
      </c>
      <c r="R1764" t="s">
        <v>123</v>
      </c>
      <c r="T1764">
        <v>224</v>
      </c>
      <c r="U1764" t="s">
        <v>50</v>
      </c>
      <c r="V1764" t="s">
        <v>76</v>
      </c>
      <c r="X1764" t="s">
        <v>125</v>
      </c>
      <c r="Y1764" t="s">
        <v>103</v>
      </c>
      <c r="AA1764">
        <v>0</v>
      </c>
      <c r="AB1764" t="s">
        <v>79</v>
      </c>
      <c r="AC1764" t="s">
        <v>127</v>
      </c>
      <c r="AD1764">
        <v>36</v>
      </c>
      <c r="AE1764">
        <v>9</v>
      </c>
      <c r="AF1764">
        <v>3</v>
      </c>
      <c r="AG1764">
        <v>2025</v>
      </c>
      <c r="AH1764" s="2">
        <v>700</v>
      </c>
      <c r="AI1764" s="2">
        <v>931.5863037109375</v>
      </c>
      <c r="AJ1764" s="2">
        <f t="shared" si="218"/>
        <v>231.5863037109375</v>
      </c>
      <c r="AK1764" s="6">
        <f t="shared" si="219"/>
        <v>0.33083757672991071</v>
      </c>
      <c r="AL1764" s="12">
        <v>700</v>
      </c>
      <c r="AM1764" s="12">
        <v>860.50816984496601</v>
      </c>
      <c r="AN1764" s="12">
        <f t="shared" si="220"/>
        <v>160.50816984496601</v>
      </c>
      <c r="AO1764" s="13">
        <f t="shared" si="221"/>
        <v>0.22929738549280859</v>
      </c>
      <c r="AP1764" s="16">
        <v>700</v>
      </c>
      <c r="AQ1764" s="16">
        <v>817.99294252406924</v>
      </c>
      <c r="AR1764" s="16">
        <f t="shared" si="222"/>
        <v>117.99294252406924</v>
      </c>
      <c r="AS1764" s="17">
        <f t="shared" si="216"/>
        <v>0.16856134646295606</v>
      </c>
      <c r="AT1764" s="20">
        <v>700</v>
      </c>
      <c r="AU1764" s="20">
        <v>871.2596435546875</v>
      </c>
      <c r="AV1764" s="20">
        <f t="shared" si="217"/>
        <v>171.2596435546875</v>
      </c>
      <c r="AW1764" s="21">
        <f t="shared" si="223"/>
        <v>0.24465663364955356</v>
      </c>
    </row>
    <row r="1765" spans="1:49" x14ac:dyDescent="0.25">
      <c r="A1765" t="s">
        <v>38</v>
      </c>
      <c r="B1765" t="s">
        <v>39</v>
      </c>
      <c r="C1765">
        <v>167834</v>
      </c>
      <c r="D1765">
        <v>2015</v>
      </c>
      <c r="E1765" t="s">
        <v>69</v>
      </c>
      <c r="F1765" t="s">
        <v>394</v>
      </c>
      <c r="H1765" t="s">
        <v>224</v>
      </c>
      <c r="I1765">
        <v>4</v>
      </c>
      <c r="J1765" t="s">
        <v>106</v>
      </c>
      <c r="K1765">
        <v>4</v>
      </c>
      <c r="L1765" t="s">
        <v>44</v>
      </c>
      <c r="M1765">
        <v>1.5</v>
      </c>
      <c r="N1765" t="s">
        <v>45</v>
      </c>
      <c r="O1765" t="s">
        <v>46</v>
      </c>
      <c r="Q1765" t="s">
        <v>47</v>
      </c>
      <c r="R1765" t="s">
        <v>123</v>
      </c>
      <c r="S1765" t="s">
        <v>101</v>
      </c>
      <c r="U1765" t="s">
        <v>50</v>
      </c>
      <c r="V1765" t="s">
        <v>51</v>
      </c>
      <c r="X1765" t="s">
        <v>125</v>
      </c>
      <c r="Y1765" t="s">
        <v>126</v>
      </c>
      <c r="AA1765">
        <v>0</v>
      </c>
      <c r="AB1765" t="s">
        <v>79</v>
      </c>
      <c r="AC1765" t="s">
        <v>127</v>
      </c>
      <c r="AD1765">
        <v>36</v>
      </c>
      <c r="AE1765">
        <v>9</v>
      </c>
      <c r="AF1765">
        <v>3</v>
      </c>
      <c r="AG1765">
        <v>2025</v>
      </c>
      <c r="AH1765" s="2">
        <v>1600</v>
      </c>
      <c r="AI1765" s="2">
        <v>1950.343627929688</v>
      </c>
      <c r="AJ1765" s="2">
        <f t="shared" si="218"/>
        <v>350.34362792968795</v>
      </c>
      <c r="AK1765" s="6">
        <f t="shared" si="219"/>
        <v>0.21896476745605498</v>
      </c>
      <c r="AL1765" s="12">
        <v>1600</v>
      </c>
      <c r="AM1765" s="12">
        <v>2242.598774793642</v>
      </c>
      <c r="AN1765" s="12">
        <f t="shared" si="220"/>
        <v>642.59877479364195</v>
      </c>
      <c r="AO1765" s="13">
        <f t="shared" si="221"/>
        <v>0.40162423424602622</v>
      </c>
      <c r="AP1765" s="16">
        <v>1600</v>
      </c>
      <c r="AQ1765" s="16">
        <v>1925.669247500743</v>
      </c>
      <c r="AR1765" s="16">
        <f t="shared" si="222"/>
        <v>325.66924750074304</v>
      </c>
      <c r="AS1765" s="17">
        <f t="shared" si="216"/>
        <v>0.2035432796879644</v>
      </c>
      <c r="AT1765" s="20">
        <v>1600</v>
      </c>
      <c r="AU1765" s="20">
        <v>1975.250854492188</v>
      </c>
      <c r="AV1765" s="20">
        <f t="shared" si="217"/>
        <v>375.25085449218795</v>
      </c>
      <c r="AW1765" s="21">
        <f t="shared" si="223"/>
        <v>0.23453178405761746</v>
      </c>
    </row>
    <row r="1766" spans="1:49" x14ac:dyDescent="0.25">
      <c r="A1766" t="s">
        <v>38</v>
      </c>
      <c r="B1766" t="s">
        <v>96</v>
      </c>
      <c r="C1766">
        <v>132120</v>
      </c>
      <c r="D1766">
        <v>2017</v>
      </c>
      <c r="E1766" t="s">
        <v>146</v>
      </c>
      <c r="F1766" t="s">
        <v>565</v>
      </c>
      <c r="I1766">
        <v>8</v>
      </c>
      <c r="J1766" t="s">
        <v>135</v>
      </c>
      <c r="K1766">
        <v>4</v>
      </c>
      <c r="L1766" t="s">
        <v>44</v>
      </c>
      <c r="M1766">
        <v>5.6</v>
      </c>
      <c r="N1766" t="s">
        <v>73</v>
      </c>
      <c r="O1766" t="s">
        <v>46</v>
      </c>
      <c r="P1766">
        <v>3</v>
      </c>
      <c r="Q1766" t="s">
        <v>74</v>
      </c>
      <c r="R1766" t="s">
        <v>92</v>
      </c>
      <c r="S1766" t="s">
        <v>49</v>
      </c>
      <c r="U1766" t="s">
        <v>50</v>
      </c>
      <c r="X1766" t="s">
        <v>77</v>
      </c>
      <c r="Y1766" t="s">
        <v>78</v>
      </c>
      <c r="AA1766">
        <v>0</v>
      </c>
      <c r="AB1766" t="s">
        <v>79</v>
      </c>
      <c r="AC1766" t="s">
        <v>95</v>
      </c>
      <c r="AD1766">
        <v>36</v>
      </c>
      <c r="AE1766">
        <v>9</v>
      </c>
      <c r="AF1766">
        <v>3</v>
      </c>
      <c r="AG1766">
        <v>2025</v>
      </c>
      <c r="AH1766" s="2">
        <v>9000</v>
      </c>
      <c r="AI1766" s="2">
        <v>9261.365234375</v>
      </c>
      <c r="AJ1766" s="2">
        <f t="shared" si="218"/>
        <v>261.365234375</v>
      </c>
      <c r="AK1766" s="6">
        <f t="shared" si="219"/>
        <v>2.9040581597222222E-2</v>
      </c>
      <c r="AL1766" s="12">
        <v>9000</v>
      </c>
      <c r="AM1766" s="12">
        <v>10205.854561073111</v>
      </c>
      <c r="AN1766" s="12">
        <f t="shared" si="220"/>
        <v>1205.8545610731107</v>
      </c>
      <c r="AO1766" s="13">
        <f t="shared" si="221"/>
        <v>0.13398384011923453</v>
      </c>
      <c r="AP1766" s="16">
        <v>9000</v>
      </c>
      <c r="AQ1766" s="16">
        <v>9079.4557688482128</v>
      </c>
      <c r="AR1766" s="16">
        <f t="shared" si="222"/>
        <v>79.455768848212756</v>
      </c>
      <c r="AS1766" s="17">
        <f t="shared" si="216"/>
        <v>8.8284187609125285E-3</v>
      </c>
      <c r="AT1766" s="20">
        <v>9000</v>
      </c>
      <c r="AU1766" s="20">
        <v>9519.20703125</v>
      </c>
      <c r="AV1766" s="20">
        <f t="shared" si="217"/>
        <v>519.20703125</v>
      </c>
      <c r="AW1766" s="21">
        <f t="shared" si="223"/>
        <v>5.7689670138888892E-2</v>
      </c>
    </row>
    <row r="1767" spans="1:49" x14ac:dyDescent="0.25">
      <c r="A1767" t="s">
        <v>38</v>
      </c>
      <c r="B1767" t="s">
        <v>96</v>
      </c>
      <c r="C1767">
        <v>210738</v>
      </c>
      <c r="D1767">
        <v>2013</v>
      </c>
      <c r="E1767" t="s">
        <v>166</v>
      </c>
      <c r="F1767" t="s">
        <v>562</v>
      </c>
      <c r="G1767" t="s">
        <v>581</v>
      </c>
      <c r="I1767">
        <v>4</v>
      </c>
      <c r="J1767" t="s">
        <v>72</v>
      </c>
      <c r="K1767">
        <v>4</v>
      </c>
      <c r="L1767" t="s">
        <v>44</v>
      </c>
      <c r="M1767">
        <v>2.4</v>
      </c>
      <c r="N1767" t="s">
        <v>45</v>
      </c>
      <c r="O1767" t="s">
        <v>46</v>
      </c>
      <c r="Q1767" t="s">
        <v>47</v>
      </c>
      <c r="R1767" t="s">
        <v>123</v>
      </c>
      <c r="T1767">
        <v>185</v>
      </c>
      <c r="U1767" t="s">
        <v>50</v>
      </c>
      <c r="V1767" t="s">
        <v>51</v>
      </c>
      <c r="W1767" t="s">
        <v>614</v>
      </c>
      <c r="X1767" t="s">
        <v>65</v>
      </c>
      <c r="Y1767" t="s">
        <v>78</v>
      </c>
      <c r="AA1767">
        <v>0</v>
      </c>
      <c r="AB1767" t="s">
        <v>79</v>
      </c>
      <c r="AC1767" t="s">
        <v>127</v>
      </c>
      <c r="AD1767">
        <v>36</v>
      </c>
      <c r="AE1767">
        <v>9</v>
      </c>
      <c r="AF1767">
        <v>3</v>
      </c>
      <c r="AG1767">
        <v>2025</v>
      </c>
      <c r="AH1767" s="2">
        <v>3000</v>
      </c>
      <c r="AI1767" s="2">
        <v>2855.921630859375</v>
      </c>
      <c r="AJ1767" s="2">
        <f t="shared" si="218"/>
        <v>144.078369140625</v>
      </c>
      <c r="AK1767" s="6">
        <f t="shared" si="219"/>
        <v>4.8026123046875001E-2</v>
      </c>
      <c r="AL1767" s="12">
        <v>3000</v>
      </c>
      <c r="AM1767" s="12">
        <v>3085.1883477379529</v>
      </c>
      <c r="AN1767" s="12">
        <f t="shared" si="220"/>
        <v>85.188347737952881</v>
      </c>
      <c r="AO1767" s="13">
        <f t="shared" si="221"/>
        <v>2.8396115912650961E-2</v>
      </c>
      <c r="AP1767" s="16">
        <v>3000</v>
      </c>
      <c r="AQ1767" s="16">
        <v>2775.966342271905</v>
      </c>
      <c r="AR1767" s="16">
        <f t="shared" si="222"/>
        <v>224.03365772809502</v>
      </c>
      <c r="AS1767" s="17">
        <f t="shared" si="216"/>
        <v>7.4677885909365013E-2</v>
      </c>
      <c r="AT1767" s="20">
        <v>3000</v>
      </c>
      <c r="AU1767" s="20">
        <v>2870.142333984375</v>
      </c>
      <c r="AV1767" s="20">
        <f t="shared" si="217"/>
        <v>129.857666015625</v>
      </c>
      <c r="AW1767" s="21">
        <f t="shared" si="223"/>
        <v>4.3285888671875002E-2</v>
      </c>
    </row>
    <row r="1768" spans="1:49" x14ac:dyDescent="0.25">
      <c r="A1768" t="s">
        <v>81</v>
      </c>
      <c r="B1768" t="s">
        <v>82</v>
      </c>
      <c r="C1768">
        <v>200270</v>
      </c>
      <c r="D1768">
        <v>2007</v>
      </c>
      <c r="E1768" t="s">
        <v>40</v>
      </c>
      <c r="F1768" t="s">
        <v>297</v>
      </c>
      <c r="H1768" t="s">
        <v>368</v>
      </c>
      <c r="I1768">
        <v>4</v>
      </c>
      <c r="J1768" t="s">
        <v>106</v>
      </c>
      <c r="K1768">
        <v>4</v>
      </c>
      <c r="L1768" t="s">
        <v>44</v>
      </c>
      <c r="M1768">
        <v>2.4</v>
      </c>
      <c r="N1768" t="s">
        <v>45</v>
      </c>
      <c r="O1768" t="s">
        <v>46</v>
      </c>
      <c r="Q1768" t="s">
        <v>47</v>
      </c>
      <c r="R1768" t="s">
        <v>123</v>
      </c>
      <c r="S1768" t="s">
        <v>49</v>
      </c>
      <c r="T1768">
        <v>158</v>
      </c>
      <c r="U1768" t="s">
        <v>50</v>
      </c>
      <c r="V1768" t="s">
        <v>51</v>
      </c>
      <c r="W1768" t="s">
        <v>369</v>
      </c>
      <c r="X1768" t="s">
        <v>125</v>
      </c>
      <c r="Y1768" t="s">
        <v>78</v>
      </c>
      <c r="AA1768">
        <v>0</v>
      </c>
      <c r="AB1768" t="s">
        <v>79</v>
      </c>
      <c r="AC1768" t="s">
        <v>127</v>
      </c>
      <c r="AD1768">
        <v>36</v>
      </c>
      <c r="AE1768">
        <v>9</v>
      </c>
      <c r="AF1768">
        <v>3</v>
      </c>
      <c r="AG1768">
        <v>2025</v>
      </c>
      <c r="AH1768" s="2">
        <v>450</v>
      </c>
      <c r="AI1768" s="2">
        <v>728.75408935546875</v>
      </c>
      <c r="AJ1768" s="2">
        <f t="shared" si="218"/>
        <v>278.75408935546875</v>
      </c>
      <c r="AK1768" s="6">
        <f t="shared" si="219"/>
        <v>0.61945353190104169</v>
      </c>
      <c r="AL1768" s="12">
        <v>450</v>
      </c>
      <c r="AM1768" s="12">
        <v>1035.305480939855</v>
      </c>
      <c r="AN1768" s="12">
        <f t="shared" si="220"/>
        <v>585.30548093985499</v>
      </c>
      <c r="AO1768" s="13">
        <f t="shared" si="221"/>
        <v>1.300678846533011</v>
      </c>
      <c r="AP1768" s="16">
        <v>450</v>
      </c>
      <c r="AQ1768" s="16">
        <v>761.94395505226623</v>
      </c>
      <c r="AR1768" s="16">
        <f t="shared" si="222"/>
        <v>311.94395505226623</v>
      </c>
      <c r="AS1768" s="17">
        <f t="shared" si="216"/>
        <v>0.69320878900503602</v>
      </c>
      <c r="AT1768" s="20">
        <v>450</v>
      </c>
      <c r="AU1768" s="20">
        <v>712.20501708984375</v>
      </c>
      <c r="AV1768" s="20">
        <f t="shared" si="217"/>
        <v>262.20501708984375</v>
      </c>
      <c r="AW1768" s="21">
        <f t="shared" si="223"/>
        <v>0.58267781575520838</v>
      </c>
    </row>
    <row r="1769" spans="1:49" x14ac:dyDescent="0.25">
      <c r="A1769" t="s">
        <v>128</v>
      </c>
      <c r="B1769" t="s">
        <v>210</v>
      </c>
      <c r="C1769">
        <v>300240</v>
      </c>
      <c r="D1769">
        <v>2007</v>
      </c>
      <c r="E1769" t="s">
        <v>146</v>
      </c>
      <c r="F1769" t="s">
        <v>451</v>
      </c>
      <c r="I1769">
        <v>4</v>
      </c>
      <c r="J1769" t="s">
        <v>106</v>
      </c>
      <c r="K1769">
        <v>4</v>
      </c>
      <c r="L1769" t="s">
        <v>44</v>
      </c>
      <c r="M1769">
        <v>1.8</v>
      </c>
      <c r="N1769" t="s">
        <v>45</v>
      </c>
      <c r="O1769" t="s">
        <v>46</v>
      </c>
      <c r="Q1769" t="s">
        <v>47</v>
      </c>
      <c r="R1769" t="s">
        <v>123</v>
      </c>
      <c r="S1769" t="s">
        <v>49</v>
      </c>
      <c r="U1769" t="s">
        <v>50</v>
      </c>
      <c r="V1769" t="s">
        <v>51</v>
      </c>
      <c r="W1769" t="s">
        <v>1501</v>
      </c>
      <c r="X1769" t="s">
        <v>125</v>
      </c>
      <c r="Y1769" t="s">
        <v>126</v>
      </c>
      <c r="AA1769">
        <v>0</v>
      </c>
      <c r="AB1769" t="s">
        <v>79</v>
      </c>
      <c r="AC1769" t="s">
        <v>127</v>
      </c>
      <c r="AD1769">
        <v>36</v>
      </c>
      <c r="AE1769">
        <v>9</v>
      </c>
      <c r="AF1769">
        <v>3</v>
      </c>
      <c r="AG1769">
        <v>2025</v>
      </c>
      <c r="AH1769" s="2">
        <v>300</v>
      </c>
      <c r="AI1769" s="2">
        <v>540.4981689453125</v>
      </c>
      <c r="AJ1769" s="2">
        <f t="shared" si="218"/>
        <v>240.4981689453125</v>
      </c>
      <c r="AK1769" s="6">
        <f t="shared" si="219"/>
        <v>0.80166056315104162</v>
      </c>
      <c r="AL1769" s="12">
        <v>300</v>
      </c>
      <c r="AM1769" s="12">
        <v>535.37337653789223</v>
      </c>
      <c r="AN1769" s="12">
        <f t="shared" si="220"/>
        <v>235.37337653789223</v>
      </c>
      <c r="AO1769" s="13">
        <f t="shared" si="221"/>
        <v>0.78457792179297414</v>
      </c>
      <c r="AP1769" s="16">
        <v>300</v>
      </c>
      <c r="AQ1769" s="16">
        <v>490.7966540747027</v>
      </c>
      <c r="AR1769" s="16">
        <f t="shared" si="222"/>
        <v>190.7966540747027</v>
      </c>
      <c r="AS1769" s="17">
        <f t="shared" si="216"/>
        <v>0.6359888469156757</v>
      </c>
      <c r="AT1769" s="20">
        <v>300</v>
      </c>
      <c r="AU1769" s="20">
        <v>460.00308227539063</v>
      </c>
      <c r="AV1769" s="20">
        <f t="shared" si="217"/>
        <v>160.00308227539063</v>
      </c>
      <c r="AW1769" s="21">
        <f t="shared" si="223"/>
        <v>0.53334360758463539</v>
      </c>
    </row>
    <row r="1770" spans="1:49" x14ac:dyDescent="0.25">
      <c r="A1770" t="s">
        <v>81</v>
      </c>
      <c r="B1770" t="s">
        <v>663</v>
      </c>
      <c r="C1770">
        <v>71111</v>
      </c>
      <c r="D1770">
        <v>2020</v>
      </c>
      <c r="E1770" t="s">
        <v>69</v>
      </c>
      <c r="F1770" t="s">
        <v>394</v>
      </c>
      <c r="H1770" t="s">
        <v>285</v>
      </c>
      <c r="I1770">
        <v>4</v>
      </c>
      <c r="J1770" t="s">
        <v>72</v>
      </c>
      <c r="K1770">
        <v>4</v>
      </c>
      <c r="L1770" t="s">
        <v>44</v>
      </c>
      <c r="M1770">
        <v>1.5</v>
      </c>
      <c r="N1770" t="s">
        <v>45</v>
      </c>
      <c r="O1770" t="s">
        <v>46</v>
      </c>
      <c r="P1770">
        <v>4</v>
      </c>
      <c r="Q1770" t="s">
        <v>47</v>
      </c>
      <c r="R1770" t="s">
        <v>123</v>
      </c>
      <c r="S1770" t="s">
        <v>101</v>
      </c>
      <c r="T1770">
        <v>181</v>
      </c>
      <c r="U1770" t="s">
        <v>50</v>
      </c>
      <c r="V1770" t="s">
        <v>51</v>
      </c>
      <c r="X1770" t="s">
        <v>125</v>
      </c>
      <c r="Y1770" t="s">
        <v>126</v>
      </c>
      <c r="AA1770">
        <v>0</v>
      </c>
      <c r="AB1770" t="s">
        <v>79</v>
      </c>
      <c r="AC1770" t="s">
        <v>127</v>
      </c>
      <c r="AD1770">
        <v>36</v>
      </c>
      <c r="AE1770">
        <v>9</v>
      </c>
      <c r="AF1770">
        <v>3</v>
      </c>
      <c r="AG1770">
        <v>2025</v>
      </c>
      <c r="AH1770" s="2">
        <v>12800</v>
      </c>
      <c r="AI1770" s="2">
        <v>12062.833984375</v>
      </c>
      <c r="AJ1770" s="2">
        <f t="shared" si="218"/>
        <v>737.166015625</v>
      </c>
      <c r="AK1770" s="6">
        <f t="shared" si="219"/>
        <v>5.7591094970703124E-2</v>
      </c>
      <c r="AL1770" s="12">
        <v>12800</v>
      </c>
      <c r="AM1770" s="12">
        <v>12629.25299278551</v>
      </c>
      <c r="AN1770" s="12">
        <f t="shared" si="220"/>
        <v>170.74700721448971</v>
      </c>
      <c r="AO1770" s="13">
        <f t="shared" si="221"/>
        <v>1.3339609938632009E-2</v>
      </c>
      <c r="AP1770" s="16">
        <v>12800</v>
      </c>
      <c r="AQ1770" s="16">
        <v>10458.253847532609</v>
      </c>
      <c r="AR1770" s="16">
        <f t="shared" si="222"/>
        <v>2341.7461524673909</v>
      </c>
      <c r="AS1770" s="17">
        <f t="shared" si="216"/>
        <v>0.1829489181615149</v>
      </c>
      <c r="AT1770" s="20">
        <v>12800</v>
      </c>
      <c r="AU1770" s="20">
        <v>12273.689453125</v>
      </c>
      <c r="AV1770" s="20">
        <f t="shared" si="217"/>
        <v>526.310546875</v>
      </c>
      <c r="AW1770" s="21">
        <f t="shared" si="223"/>
        <v>4.1118011474609376E-2</v>
      </c>
    </row>
    <row r="1771" spans="1:49" x14ac:dyDescent="0.25">
      <c r="A1771" t="s">
        <v>38</v>
      </c>
      <c r="B1771" t="s">
        <v>96</v>
      </c>
      <c r="C1771">
        <v>168691</v>
      </c>
      <c r="D1771">
        <v>2014</v>
      </c>
      <c r="E1771" t="s">
        <v>116</v>
      </c>
      <c r="F1771" t="s">
        <v>117</v>
      </c>
      <c r="G1771" t="s">
        <v>396</v>
      </c>
      <c r="I1771">
        <v>6</v>
      </c>
      <c r="J1771" t="s">
        <v>43</v>
      </c>
      <c r="K1771">
        <v>4</v>
      </c>
      <c r="L1771" t="s">
        <v>44</v>
      </c>
      <c r="M1771">
        <v>3.6</v>
      </c>
      <c r="N1771" t="s">
        <v>73</v>
      </c>
      <c r="O1771" t="s">
        <v>46</v>
      </c>
      <c r="P1771">
        <v>1</v>
      </c>
      <c r="Q1771" t="s">
        <v>62</v>
      </c>
      <c r="R1771" t="s">
        <v>63</v>
      </c>
      <c r="S1771" t="s">
        <v>49</v>
      </c>
      <c r="T1771">
        <v>295</v>
      </c>
      <c r="U1771" t="s">
        <v>50</v>
      </c>
      <c r="V1771" t="s">
        <v>76</v>
      </c>
      <c r="X1771" t="s">
        <v>94</v>
      </c>
      <c r="Y1771" t="s">
        <v>78</v>
      </c>
      <c r="AA1771">
        <v>0</v>
      </c>
      <c r="AB1771" t="s">
        <v>79</v>
      </c>
      <c r="AC1771" t="s">
        <v>87</v>
      </c>
      <c r="AD1771">
        <v>36</v>
      </c>
      <c r="AE1771">
        <v>9</v>
      </c>
      <c r="AF1771">
        <v>3</v>
      </c>
      <c r="AG1771">
        <v>2025</v>
      </c>
      <c r="AH1771" s="2">
        <v>2000</v>
      </c>
      <c r="AI1771" s="2">
        <v>2550.160400390625</v>
      </c>
      <c r="AJ1771" s="2">
        <f t="shared" si="218"/>
        <v>550.160400390625</v>
      </c>
      <c r="AK1771" s="6">
        <f t="shared" si="219"/>
        <v>0.27508020019531249</v>
      </c>
      <c r="AL1771" s="12">
        <v>2000</v>
      </c>
      <c r="AM1771" s="12">
        <v>2657.4977924779701</v>
      </c>
      <c r="AN1771" s="12">
        <f t="shared" si="220"/>
        <v>657.49779247797005</v>
      </c>
      <c r="AO1771" s="13">
        <f t="shared" si="221"/>
        <v>0.32874889623898501</v>
      </c>
      <c r="AP1771" s="16">
        <v>2000</v>
      </c>
      <c r="AQ1771" s="16">
        <v>2405.7899824457891</v>
      </c>
      <c r="AR1771" s="16">
        <f t="shared" si="222"/>
        <v>405.78998244578906</v>
      </c>
      <c r="AS1771" s="17">
        <f t="shared" si="216"/>
        <v>0.20289499122289453</v>
      </c>
      <c r="AT1771" s="20">
        <v>2000</v>
      </c>
      <c r="AU1771" s="20">
        <v>2582.436767578125</v>
      </c>
      <c r="AV1771" s="20">
        <f t="shared" si="217"/>
        <v>582.436767578125</v>
      </c>
      <c r="AW1771" s="21">
        <f t="shared" si="223"/>
        <v>0.29121838378906251</v>
      </c>
    </row>
    <row r="1772" spans="1:49" x14ac:dyDescent="0.25">
      <c r="A1772" t="s">
        <v>128</v>
      </c>
      <c r="B1772" t="s">
        <v>210</v>
      </c>
      <c r="C1772">
        <v>177695</v>
      </c>
      <c r="D1772">
        <v>2008</v>
      </c>
      <c r="E1772" t="s">
        <v>40</v>
      </c>
      <c r="F1772" t="s">
        <v>1159</v>
      </c>
      <c r="H1772" t="s">
        <v>1160</v>
      </c>
      <c r="I1772">
        <v>4</v>
      </c>
      <c r="J1772" t="s">
        <v>135</v>
      </c>
      <c r="K1772">
        <v>2</v>
      </c>
      <c r="L1772" t="s">
        <v>44</v>
      </c>
      <c r="M1772">
        <v>1.5</v>
      </c>
      <c r="N1772" t="s">
        <v>45</v>
      </c>
      <c r="O1772" t="s">
        <v>46</v>
      </c>
      <c r="Q1772" t="s">
        <v>47</v>
      </c>
      <c r="R1772" t="s">
        <v>48</v>
      </c>
      <c r="S1772" t="s">
        <v>49</v>
      </c>
      <c r="T1772">
        <v>106</v>
      </c>
      <c r="U1772" t="s">
        <v>50</v>
      </c>
      <c r="V1772" t="s">
        <v>51</v>
      </c>
      <c r="W1772" t="s">
        <v>1161</v>
      </c>
      <c r="X1772" t="s">
        <v>125</v>
      </c>
      <c r="Y1772" t="s">
        <v>54</v>
      </c>
      <c r="AA1772">
        <v>0</v>
      </c>
      <c r="AB1772" t="s">
        <v>79</v>
      </c>
      <c r="AC1772" t="s">
        <v>359</v>
      </c>
      <c r="AD1772">
        <v>36</v>
      </c>
      <c r="AE1772">
        <v>9</v>
      </c>
      <c r="AF1772">
        <v>3</v>
      </c>
      <c r="AG1772">
        <v>2025</v>
      </c>
      <c r="AH1772" s="2">
        <v>550</v>
      </c>
      <c r="AI1772" s="2">
        <v>1205.4765625</v>
      </c>
      <c r="AJ1772" s="2">
        <f t="shared" si="218"/>
        <v>655.4765625</v>
      </c>
      <c r="AK1772" s="6">
        <f t="shared" si="219"/>
        <v>1.1917755681818183</v>
      </c>
      <c r="AL1772" s="12">
        <v>550</v>
      </c>
      <c r="AM1772" s="12">
        <v>1540.6466162939289</v>
      </c>
      <c r="AN1772" s="12">
        <f t="shared" si="220"/>
        <v>990.6466162939289</v>
      </c>
      <c r="AO1772" s="13">
        <f t="shared" si="221"/>
        <v>1.8011756659889617</v>
      </c>
      <c r="AP1772" s="16">
        <v>550</v>
      </c>
      <c r="AQ1772" s="16">
        <v>984.89421854113243</v>
      </c>
      <c r="AR1772" s="16">
        <f t="shared" si="222"/>
        <v>434.89421854113243</v>
      </c>
      <c r="AS1772" s="17">
        <f t="shared" si="216"/>
        <v>0.79071676098387711</v>
      </c>
      <c r="AT1772" s="20">
        <v>550</v>
      </c>
      <c r="AU1772" s="20">
        <v>1212.611694335938</v>
      </c>
      <c r="AV1772" s="20">
        <f t="shared" si="217"/>
        <v>662.61169433593795</v>
      </c>
      <c r="AW1772" s="21">
        <f t="shared" si="223"/>
        <v>1.2047485351562508</v>
      </c>
    </row>
    <row r="1773" spans="1:49" x14ac:dyDescent="0.25">
      <c r="A1773" t="s">
        <v>114</v>
      </c>
      <c r="B1773" t="s">
        <v>115</v>
      </c>
      <c r="C1773">
        <v>174475</v>
      </c>
      <c r="D1773">
        <v>2015</v>
      </c>
      <c r="E1773" t="s">
        <v>399</v>
      </c>
      <c r="F1773" t="s">
        <v>492</v>
      </c>
      <c r="G1773" t="s">
        <v>1502</v>
      </c>
      <c r="I1773">
        <v>4</v>
      </c>
      <c r="J1773" t="s">
        <v>135</v>
      </c>
      <c r="K1773">
        <v>4</v>
      </c>
      <c r="L1773" t="s">
        <v>44</v>
      </c>
      <c r="M1773">
        <v>2.5</v>
      </c>
      <c r="N1773" t="s">
        <v>44</v>
      </c>
      <c r="O1773" t="s">
        <v>46</v>
      </c>
      <c r="Q1773" t="s">
        <v>62</v>
      </c>
      <c r="R1773" t="s">
        <v>63</v>
      </c>
      <c r="S1773" t="s">
        <v>85</v>
      </c>
      <c r="U1773" t="s">
        <v>50</v>
      </c>
      <c r="V1773" t="s">
        <v>777</v>
      </c>
      <c r="W1773" t="s">
        <v>778</v>
      </c>
      <c r="X1773" t="s">
        <v>65</v>
      </c>
      <c r="Y1773" t="s">
        <v>54</v>
      </c>
      <c r="AA1773">
        <v>0</v>
      </c>
      <c r="AB1773" t="s">
        <v>79</v>
      </c>
      <c r="AC1773" t="s">
        <v>87</v>
      </c>
      <c r="AD1773">
        <v>36</v>
      </c>
      <c r="AE1773">
        <v>9</v>
      </c>
      <c r="AF1773">
        <v>3</v>
      </c>
      <c r="AG1773">
        <v>2025</v>
      </c>
      <c r="AH1773" s="2">
        <v>3000</v>
      </c>
      <c r="AI1773" s="2">
        <v>2256.261474609375</v>
      </c>
      <c r="AJ1773" s="2">
        <f t="shared" si="218"/>
        <v>743.738525390625</v>
      </c>
      <c r="AK1773" s="6">
        <f t="shared" si="219"/>
        <v>0.24791284179687501</v>
      </c>
      <c r="AL1773" s="12">
        <v>3000</v>
      </c>
      <c r="AM1773" s="12">
        <v>2609.2866113217001</v>
      </c>
      <c r="AN1773" s="12">
        <f t="shared" si="220"/>
        <v>390.71338867829991</v>
      </c>
      <c r="AO1773" s="13">
        <f t="shared" si="221"/>
        <v>0.13023779622609996</v>
      </c>
      <c r="AP1773" s="16">
        <v>3000</v>
      </c>
      <c r="AQ1773" s="16">
        <v>2040.0387192845369</v>
      </c>
      <c r="AR1773" s="16">
        <f t="shared" si="222"/>
        <v>959.96128071546309</v>
      </c>
      <c r="AS1773" s="17">
        <f t="shared" si="216"/>
        <v>0.31998709357182104</v>
      </c>
      <c r="AT1773" s="20">
        <v>3000</v>
      </c>
      <c r="AU1773" s="20">
        <v>2278.271728515625</v>
      </c>
      <c r="AV1773" s="20">
        <f t="shared" si="217"/>
        <v>721.728271484375</v>
      </c>
      <c r="AW1773" s="21">
        <f t="shared" si="223"/>
        <v>0.24057609049479167</v>
      </c>
    </row>
    <row r="1774" spans="1:49" x14ac:dyDescent="0.25">
      <c r="A1774" t="s">
        <v>81</v>
      </c>
      <c r="B1774" t="s">
        <v>186</v>
      </c>
      <c r="C1774">
        <v>157371</v>
      </c>
      <c r="D1774">
        <v>2021</v>
      </c>
      <c r="E1774" t="s">
        <v>557</v>
      </c>
      <c r="F1774" t="s">
        <v>1503</v>
      </c>
      <c r="G1774" t="s">
        <v>1504</v>
      </c>
      <c r="I1774">
        <v>6</v>
      </c>
      <c r="J1774" t="s">
        <v>106</v>
      </c>
      <c r="K1774">
        <v>4</v>
      </c>
      <c r="L1774" t="s">
        <v>44</v>
      </c>
      <c r="M1774">
        <v>3.6</v>
      </c>
      <c r="N1774" t="s">
        <v>45</v>
      </c>
      <c r="O1774" t="s">
        <v>46</v>
      </c>
      <c r="P1774">
        <v>4</v>
      </c>
      <c r="Q1774" t="s">
        <v>62</v>
      </c>
      <c r="R1774" t="s">
        <v>225</v>
      </c>
      <c r="S1774" t="s">
        <v>101</v>
      </c>
      <c r="T1774">
        <v>287</v>
      </c>
      <c r="U1774" t="s">
        <v>50</v>
      </c>
      <c r="V1774" t="s">
        <v>76</v>
      </c>
      <c r="X1774" t="s">
        <v>94</v>
      </c>
      <c r="Y1774" t="s">
        <v>103</v>
      </c>
      <c r="AA1774">
        <v>0</v>
      </c>
      <c r="AB1774" t="s">
        <v>79</v>
      </c>
      <c r="AC1774" t="s">
        <v>225</v>
      </c>
      <c r="AD1774">
        <v>36</v>
      </c>
      <c r="AE1774">
        <v>9</v>
      </c>
      <c r="AF1774">
        <v>3</v>
      </c>
      <c r="AG1774">
        <v>2025</v>
      </c>
      <c r="AH1774" s="2">
        <v>6900</v>
      </c>
      <c r="AI1774" s="2">
        <v>10276.681640625</v>
      </c>
      <c r="AJ1774" s="2">
        <f t="shared" si="218"/>
        <v>3376.681640625</v>
      </c>
      <c r="AK1774" s="6">
        <f t="shared" si="219"/>
        <v>0.4893741508152174</v>
      </c>
      <c r="AL1774" s="12">
        <v>6900</v>
      </c>
      <c r="AM1774" s="12">
        <v>10061.47296603034</v>
      </c>
      <c r="AN1774" s="12">
        <f t="shared" si="220"/>
        <v>3161.4729660303401</v>
      </c>
      <c r="AO1774" s="13">
        <f t="shared" si="221"/>
        <v>0.4581844878304841</v>
      </c>
      <c r="AP1774" s="16">
        <v>6900</v>
      </c>
      <c r="AQ1774" s="16">
        <v>8015.1208940746174</v>
      </c>
      <c r="AR1774" s="16">
        <f t="shared" si="222"/>
        <v>1115.1208940746174</v>
      </c>
      <c r="AS1774" s="17">
        <f t="shared" si="216"/>
        <v>0.16161172377893004</v>
      </c>
      <c r="AT1774" s="20">
        <v>6900</v>
      </c>
      <c r="AU1774" s="20">
        <v>10337.740234375</v>
      </c>
      <c r="AV1774" s="20">
        <f t="shared" si="217"/>
        <v>3437.740234375</v>
      </c>
      <c r="AW1774" s="21">
        <f t="shared" si="223"/>
        <v>0.49822322237318839</v>
      </c>
    </row>
    <row r="1775" spans="1:49" x14ac:dyDescent="0.25">
      <c r="A1775" t="s">
        <v>38</v>
      </c>
      <c r="B1775" t="s">
        <v>96</v>
      </c>
      <c r="C1775">
        <v>45453</v>
      </c>
      <c r="D1775">
        <v>2022</v>
      </c>
      <c r="E1775" t="s">
        <v>142</v>
      </c>
      <c r="F1775" t="s">
        <v>373</v>
      </c>
      <c r="G1775" t="s">
        <v>118</v>
      </c>
      <c r="I1775">
        <v>6</v>
      </c>
      <c r="J1775" t="s">
        <v>106</v>
      </c>
      <c r="K1775">
        <v>4</v>
      </c>
      <c r="L1775" t="s">
        <v>44</v>
      </c>
      <c r="M1775">
        <v>3.6</v>
      </c>
      <c r="N1775" t="s">
        <v>73</v>
      </c>
      <c r="Q1775" t="s">
        <v>62</v>
      </c>
      <c r="R1775" t="s">
        <v>63</v>
      </c>
      <c r="S1775" t="s">
        <v>49</v>
      </c>
      <c r="T1775">
        <v>293</v>
      </c>
      <c r="U1775" t="s">
        <v>50</v>
      </c>
      <c r="V1775" t="s">
        <v>76</v>
      </c>
      <c r="X1775" t="s">
        <v>94</v>
      </c>
      <c r="Y1775" t="s">
        <v>78</v>
      </c>
      <c r="AA1775">
        <v>0</v>
      </c>
      <c r="AB1775" t="s">
        <v>79</v>
      </c>
      <c r="AC1775" t="s">
        <v>87</v>
      </c>
      <c r="AD1775">
        <v>36</v>
      </c>
      <c r="AE1775">
        <v>9</v>
      </c>
      <c r="AF1775">
        <v>3</v>
      </c>
      <c r="AG1775">
        <v>2025</v>
      </c>
      <c r="AH1775" s="2">
        <v>24800</v>
      </c>
      <c r="AI1775" s="2">
        <v>28830.318359375</v>
      </c>
      <c r="AJ1775" s="2">
        <f t="shared" si="218"/>
        <v>4030.318359375</v>
      </c>
      <c r="AK1775" s="6">
        <f t="shared" si="219"/>
        <v>0.16251283707157257</v>
      </c>
      <c r="AL1775" s="12">
        <v>24800</v>
      </c>
      <c r="AM1775" s="12">
        <v>32402.20950963498</v>
      </c>
      <c r="AN1775" s="12">
        <f t="shared" si="220"/>
        <v>7602.2095096349803</v>
      </c>
      <c r="AO1775" s="13">
        <f t="shared" si="221"/>
        <v>0.30654070603366856</v>
      </c>
      <c r="AP1775" s="16">
        <v>24800</v>
      </c>
      <c r="AQ1775" s="16">
        <v>24905.383612444159</v>
      </c>
      <c r="AR1775" s="16">
        <f t="shared" si="222"/>
        <v>105.38361244415864</v>
      </c>
      <c r="AS1775" s="17">
        <f t="shared" si="216"/>
        <v>4.2493392114580095E-3</v>
      </c>
      <c r="AT1775" s="20">
        <v>24800</v>
      </c>
      <c r="AU1775" s="20">
        <v>29120.583984375</v>
      </c>
      <c r="AV1775" s="20">
        <f t="shared" si="217"/>
        <v>4320.583984375</v>
      </c>
      <c r="AW1775" s="21">
        <f t="shared" si="223"/>
        <v>0.17421709614415323</v>
      </c>
    </row>
    <row r="1776" spans="1:49" x14ac:dyDescent="0.25">
      <c r="A1776" t="s">
        <v>38</v>
      </c>
      <c r="B1776" t="s">
        <v>96</v>
      </c>
      <c r="C1776">
        <v>82597</v>
      </c>
      <c r="D1776">
        <v>2019</v>
      </c>
      <c r="E1776" t="s">
        <v>116</v>
      </c>
      <c r="F1776" t="s">
        <v>237</v>
      </c>
      <c r="G1776" t="s">
        <v>396</v>
      </c>
      <c r="I1776">
        <v>6</v>
      </c>
      <c r="J1776" t="s">
        <v>135</v>
      </c>
      <c r="K1776">
        <v>4</v>
      </c>
      <c r="L1776" t="s">
        <v>44</v>
      </c>
      <c r="M1776">
        <v>3.6</v>
      </c>
      <c r="N1776" t="s">
        <v>73</v>
      </c>
      <c r="O1776" t="s">
        <v>46</v>
      </c>
      <c r="P1776">
        <v>2</v>
      </c>
      <c r="Q1776" t="s">
        <v>47</v>
      </c>
      <c r="R1776" t="s">
        <v>123</v>
      </c>
      <c r="S1776" t="s">
        <v>179</v>
      </c>
      <c r="T1776">
        <v>292</v>
      </c>
      <c r="U1776" t="s">
        <v>50</v>
      </c>
      <c r="V1776" t="s">
        <v>76</v>
      </c>
      <c r="X1776" t="s">
        <v>125</v>
      </c>
      <c r="Y1776" t="s">
        <v>103</v>
      </c>
      <c r="AA1776">
        <v>0</v>
      </c>
      <c r="AB1776" t="s">
        <v>79</v>
      </c>
      <c r="AC1776" t="s">
        <v>127</v>
      </c>
      <c r="AD1776">
        <v>36</v>
      </c>
      <c r="AE1776">
        <v>9</v>
      </c>
      <c r="AF1776">
        <v>3</v>
      </c>
      <c r="AG1776">
        <v>2025</v>
      </c>
      <c r="AH1776" s="2">
        <v>12500</v>
      </c>
      <c r="AI1776" s="2">
        <v>10628.708984375</v>
      </c>
      <c r="AJ1776" s="2">
        <f t="shared" si="218"/>
        <v>1871.291015625</v>
      </c>
      <c r="AK1776" s="6">
        <f t="shared" si="219"/>
        <v>0.14970328124999999</v>
      </c>
      <c r="AL1776" s="12">
        <v>12500</v>
      </c>
      <c r="AM1776" s="12">
        <v>10466.825557325539</v>
      </c>
      <c r="AN1776" s="12">
        <f t="shared" si="220"/>
        <v>2033.1744426744608</v>
      </c>
      <c r="AO1776" s="13">
        <f t="shared" si="221"/>
        <v>0.16265395541395686</v>
      </c>
      <c r="AP1776" s="16">
        <v>12500</v>
      </c>
      <c r="AQ1776" s="16">
        <v>9306.8706526874576</v>
      </c>
      <c r="AR1776" s="16">
        <f t="shared" si="222"/>
        <v>3193.1293473125424</v>
      </c>
      <c r="AS1776" s="17">
        <f t="shared" si="216"/>
        <v>0.25545034778500342</v>
      </c>
      <c r="AT1776" s="20">
        <v>12500</v>
      </c>
      <c r="AU1776" s="20">
        <v>10635.380859375</v>
      </c>
      <c r="AV1776" s="20">
        <f t="shared" si="217"/>
        <v>1864.619140625</v>
      </c>
      <c r="AW1776" s="21">
        <f t="shared" si="223"/>
        <v>0.14916953124999999</v>
      </c>
    </row>
    <row r="1777" spans="1:49" x14ac:dyDescent="0.25">
      <c r="A1777" t="s">
        <v>38</v>
      </c>
      <c r="B1777" t="s">
        <v>110</v>
      </c>
      <c r="C1777">
        <v>144409</v>
      </c>
      <c r="D1777">
        <v>2012</v>
      </c>
      <c r="E1777" t="s">
        <v>83</v>
      </c>
      <c r="F1777" t="s">
        <v>1197</v>
      </c>
      <c r="G1777" t="s">
        <v>208</v>
      </c>
      <c r="I1777">
        <v>6</v>
      </c>
      <c r="J1777" t="s">
        <v>61</v>
      </c>
      <c r="K1777">
        <v>4</v>
      </c>
      <c r="L1777" t="s">
        <v>44</v>
      </c>
      <c r="M1777">
        <v>3.5</v>
      </c>
      <c r="N1777" t="s">
        <v>45</v>
      </c>
      <c r="Q1777" t="s">
        <v>47</v>
      </c>
      <c r="R1777" t="s">
        <v>123</v>
      </c>
      <c r="T1777">
        <v>280</v>
      </c>
      <c r="U1777" t="s">
        <v>50</v>
      </c>
      <c r="V1777" t="s">
        <v>76</v>
      </c>
      <c r="W1777" t="s">
        <v>1198</v>
      </c>
      <c r="X1777" t="s">
        <v>65</v>
      </c>
      <c r="Y1777" t="s">
        <v>78</v>
      </c>
      <c r="AA1777">
        <v>0</v>
      </c>
      <c r="AB1777" t="s">
        <v>79</v>
      </c>
      <c r="AC1777" t="s">
        <v>127</v>
      </c>
      <c r="AD1777">
        <v>36</v>
      </c>
      <c r="AE1777">
        <v>9</v>
      </c>
      <c r="AF1777">
        <v>3</v>
      </c>
      <c r="AG1777">
        <v>2025</v>
      </c>
      <c r="AH1777" s="2">
        <v>2400</v>
      </c>
      <c r="AI1777" s="2">
        <v>2354.23828125</v>
      </c>
      <c r="AJ1777" s="2">
        <f t="shared" si="218"/>
        <v>45.76171875</v>
      </c>
      <c r="AK1777" s="6">
        <f t="shared" si="219"/>
        <v>1.9067382812499999E-2</v>
      </c>
      <c r="AL1777" s="12">
        <v>2400</v>
      </c>
      <c r="AM1777" s="12">
        <v>3227.0845068207791</v>
      </c>
      <c r="AN1777" s="12">
        <f t="shared" si="220"/>
        <v>827.0845068207791</v>
      </c>
      <c r="AO1777" s="13">
        <f t="shared" si="221"/>
        <v>0.34461854450865798</v>
      </c>
      <c r="AP1777" s="16">
        <v>2400</v>
      </c>
      <c r="AQ1777" s="16">
        <v>3143.358931619945</v>
      </c>
      <c r="AR1777" s="16">
        <f t="shared" si="222"/>
        <v>743.358931619945</v>
      </c>
      <c r="AS1777" s="17">
        <f t="shared" si="216"/>
        <v>0.30973288817497707</v>
      </c>
      <c r="AT1777" s="20">
        <v>2400</v>
      </c>
      <c r="AU1777" s="20">
        <v>2393.048583984375</v>
      </c>
      <c r="AV1777" s="20">
        <f t="shared" si="217"/>
        <v>6.951416015625</v>
      </c>
      <c r="AW1777" s="21">
        <f t="shared" si="223"/>
        <v>2.8964233398437499E-3</v>
      </c>
    </row>
    <row r="1778" spans="1:49" x14ac:dyDescent="0.25">
      <c r="A1778" t="s">
        <v>81</v>
      </c>
      <c r="B1778" t="s">
        <v>82</v>
      </c>
      <c r="C1778">
        <v>201932</v>
      </c>
      <c r="D1778">
        <v>2011</v>
      </c>
      <c r="E1778" t="s">
        <v>142</v>
      </c>
      <c r="F1778" t="s">
        <v>335</v>
      </c>
      <c r="G1778" t="s">
        <v>118</v>
      </c>
      <c r="H1778" t="s">
        <v>775</v>
      </c>
      <c r="I1778">
        <v>4</v>
      </c>
      <c r="J1778" t="s">
        <v>72</v>
      </c>
      <c r="K1778">
        <v>4</v>
      </c>
      <c r="L1778" t="s">
        <v>44</v>
      </c>
      <c r="M1778">
        <v>2.4</v>
      </c>
      <c r="N1778" t="s">
        <v>91</v>
      </c>
      <c r="O1778" t="s">
        <v>46</v>
      </c>
      <c r="Q1778" t="s">
        <v>62</v>
      </c>
      <c r="R1778" t="s">
        <v>63</v>
      </c>
      <c r="S1778" t="s">
        <v>93</v>
      </c>
      <c r="U1778" t="s">
        <v>50</v>
      </c>
      <c r="X1778" t="s">
        <v>65</v>
      </c>
      <c r="Y1778" t="s">
        <v>78</v>
      </c>
      <c r="AA1778">
        <v>0</v>
      </c>
      <c r="AB1778" t="s">
        <v>79</v>
      </c>
      <c r="AC1778" t="s">
        <v>87</v>
      </c>
      <c r="AD1778">
        <v>36</v>
      </c>
      <c r="AE1778">
        <v>9</v>
      </c>
      <c r="AF1778">
        <v>3</v>
      </c>
      <c r="AG1778">
        <v>2025</v>
      </c>
      <c r="AH1778" s="2">
        <v>500</v>
      </c>
      <c r="AI1778" s="2">
        <v>859.97271728515625</v>
      </c>
      <c r="AJ1778" s="2">
        <f t="shared" si="218"/>
        <v>359.97271728515625</v>
      </c>
      <c r="AK1778" s="6">
        <f t="shared" si="219"/>
        <v>0.71994543457031246</v>
      </c>
      <c r="AL1778" s="12">
        <v>500</v>
      </c>
      <c r="AM1778" s="12">
        <v>972.7421577391857</v>
      </c>
      <c r="AN1778" s="12">
        <f t="shared" si="220"/>
        <v>472.7421577391857</v>
      </c>
      <c r="AO1778" s="13">
        <f t="shared" si="221"/>
        <v>0.94548431547837142</v>
      </c>
      <c r="AP1778" s="16">
        <v>500</v>
      </c>
      <c r="AQ1778" s="16">
        <v>758.04304832049036</v>
      </c>
      <c r="AR1778" s="16">
        <f t="shared" si="222"/>
        <v>258.04304832049036</v>
      </c>
      <c r="AS1778" s="17">
        <f t="shared" si="216"/>
        <v>0.51608609664098071</v>
      </c>
      <c r="AT1778" s="20">
        <v>500</v>
      </c>
      <c r="AU1778" s="20">
        <v>865.89501953125</v>
      </c>
      <c r="AV1778" s="20">
        <f t="shared" si="217"/>
        <v>365.89501953125</v>
      </c>
      <c r="AW1778" s="21">
        <f t="shared" si="223"/>
        <v>0.73179003906249995</v>
      </c>
    </row>
    <row r="1779" spans="1:49" x14ac:dyDescent="0.25">
      <c r="A1779" t="s">
        <v>38</v>
      </c>
      <c r="B1779" t="s">
        <v>68</v>
      </c>
      <c r="C1779">
        <v>70695</v>
      </c>
      <c r="D1779">
        <v>2021</v>
      </c>
      <c r="E1779" t="s">
        <v>146</v>
      </c>
      <c r="F1779" t="s">
        <v>147</v>
      </c>
      <c r="G1779" t="s">
        <v>303</v>
      </c>
      <c r="I1779">
        <v>4</v>
      </c>
      <c r="J1779" t="s">
        <v>72</v>
      </c>
      <c r="K1779">
        <v>4</v>
      </c>
      <c r="L1779" t="s">
        <v>44</v>
      </c>
      <c r="M1779">
        <v>2.5</v>
      </c>
      <c r="N1779" t="s">
        <v>45</v>
      </c>
      <c r="O1779" t="s">
        <v>46</v>
      </c>
      <c r="P1779">
        <v>4</v>
      </c>
      <c r="Q1779" t="s">
        <v>62</v>
      </c>
      <c r="R1779" t="s">
        <v>63</v>
      </c>
      <c r="S1779" t="s">
        <v>49</v>
      </c>
      <c r="U1779" t="s">
        <v>50</v>
      </c>
      <c r="X1779" t="s">
        <v>65</v>
      </c>
      <c r="Y1779" t="s">
        <v>54</v>
      </c>
      <c r="AA1779">
        <v>0</v>
      </c>
      <c r="AB1779" t="s">
        <v>79</v>
      </c>
      <c r="AC1779" t="s">
        <v>87</v>
      </c>
      <c r="AD1779">
        <v>36</v>
      </c>
      <c r="AE1779">
        <v>9</v>
      </c>
      <c r="AF1779">
        <v>3</v>
      </c>
      <c r="AG1779">
        <v>2025</v>
      </c>
      <c r="AH1779" s="2">
        <v>15500</v>
      </c>
      <c r="AI1779" s="2">
        <v>13894.0576171875</v>
      </c>
      <c r="AJ1779" s="2">
        <f t="shared" si="218"/>
        <v>1605.9423828125</v>
      </c>
      <c r="AK1779" s="6">
        <f t="shared" si="219"/>
        <v>0.10360918598790322</v>
      </c>
      <c r="AL1779" s="12">
        <v>15500</v>
      </c>
      <c r="AM1779" s="12">
        <v>14322.543329987349</v>
      </c>
      <c r="AN1779" s="12">
        <f t="shared" si="220"/>
        <v>1177.4566700126506</v>
      </c>
      <c r="AO1779" s="13">
        <f t="shared" si="221"/>
        <v>7.5964946452429072E-2</v>
      </c>
      <c r="AP1779" s="16">
        <v>15500</v>
      </c>
      <c r="AQ1779" s="16">
        <v>12694.342586438341</v>
      </c>
      <c r="AR1779" s="16">
        <f t="shared" si="222"/>
        <v>2805.6574135616593</v>
      </c>
      <c r="AS1779" s="17">
        <f t="shared" si="216"/>
        <v>0.18101015571365545</v>
      </c>
      <c r="AT1779" s="20">
        <v>15500</v>
      </c>
      <c r="AU1779" s="20">
        <v>14042.18359375</v>
      </c>
      <c r="AV1779" s="20">
        <f t="shared" si="217"/>
        <v>1457.81640625</v>
      </c>
      <c r="AW1779" s="21">
        <f t="shared" si="223"/>
        <v>9.4052671370967747E-2</v>
      </c>
    </row>
    <row r="1780" spans="1:49" x14ac:dyDescent="0.25">
      <c r="A1780" t="s">
        <v>114</v>
      </c>
      <c r="B1780" t="s">
        <v>115</v>
      </c>
      <c r="C1780">
        <v>195500</v>
      </c>
      <c r="D1780">
        <v>2011</v>
      </c>
      <c r="E1780" t="s">
        <v>146</v>
      </c>
      <c r="F1780" t="s">
        <v>147</v>
      </c>
      <c r="I1780">
        <v>4</v>
      </c>
      <c r="J1780" t="s">
        <v>135</v>
      </c>
      <c r="K1780">
        <v>4</v>
      </c>
      <c r="L1780" t="s">
        <v>44</v>
      </c>
      <c r="M1780">
        <v>2.5</v>
      </c>
      <c r="N1780" t="s">
        <v>44</v>
      </c>
      <c r="O1780" t="s">
        <v>46</v>
      </c>
      <c r="Q1780" t="s">
        <v>62</v>
      </c>
      <c r="R1780" t="s">
        <v>148</v>
      </c>
      <c r="S1780" t="s">
        <v>93</v>
      </c>
      <c r="U1780" t="s">
        <v>50</v>
      </c>
      <c r="X1780" t="s">
        <v>65</v>
      </c>
      <c r="Y1780" t="s">
        <v>54</v>
      </c>
      <c r="AA1780">
        <v>0</v>
      </c>
      <c r="AB1780" t="s">
        <v>79</v>
      </c>
      <c r="AC1780" t="s">
        <v>87</v>
      </c>
      <c r="AD1780">
        <v>36</v>
      </c>
      <c r="AE1780">
        <v>9</v>
      </c>
      <c r="AF1780">
        <v>3</v>
      </c>
      <c r="AG1780">
        <v>2025</v>
      </c>
      <c r="AH1780" s="2">
        <v>800</v>
      </c>
      <c r="AI1780" s="2">
        <v>902.66351318359375</v>
      </c>
      <c r="AJ1780" s="2">
        <f t="shared" si="218"/>
        <v>102.66351318359375</v>
      </c>
      <c r="AK1780" s="6">
        <f t="shared" si="219"/>
        <v>0.12832939147949218</v>
      </c>
      <c r="AL1780" s="12">
        <v>800</v>
      </c>
      <c r="AM1780" s="12">
        <v>1193.950490491065</v>
      </c>
      <c r="AN1780" s="12">
        <f t="shared" si="220"/>
        <v>393.95049049106501</v>
      </c>
      <c r="AO1780" s="13">
        <f t="shared" si="221"/>
        <v>0.49243811311383129</v>
      </c>
      <c r="AP1780" s="16">
        <v>800</v>
      </c>
      <c r="AQ1780" s="16">
        <v>884.67413649800562</v>
      </c>
      <c r="AR1780" s="16">
        <f t="shared" si="222"/>
        <v>84.674136498005623</v>
      </c>
      <c r="AS1780" s="17">
        <f t="shared" si="216"/>
        <v>0.10584267062250703</v>
      </c>
      <c r="AT1780" s="20">
        <v>800</v>
      </c>
      <c r="AU1780" s="20">
        <v>935.52117919921875</v>
      </c>
      <c r="AV1780" s="20">
        <f t="shared" si="217"/>
        <v>135.52117919921875</v>
      </c>
      <c r="AW1780" s="21">
        <f t="shared" si="223"/>
        <v>0.16940147399902344</v>
      </c>
    </row>
    <row r="1781" spans="1:49" x14ac:dyDescent="0.25">
      <c r="A1781" t="s">
        <v>38</v>
      </c>
      <c r="B1781" t="s">
        <v>96</v>
      </c>
      <c r="C1781">
        <v>128309</v>
      </c>
      <c r="D1781">
        <v>2019</v>
      </c>
      <c r="E1781" t="s">
        <v>40</v>
      </c>
      <c r="F1781" t="s">
        <v>297</v>
      </c>
      <c r="G1781" t="s">
        <v>862</v>
      </c>
      <c r="H1781" t="s">
        <v>863</v>
      </c>
      <c r="I1781">
        <v>4</v>
      </c>
      <c r="J1781" t="s">
        <v>72</v>
      </c>
      <c r="K1781">
        <v>4</v>
      </c>
      <c r="L1781" t="s">
        <v>44</v>
      </c>
      <c r="M1781">
        <v>2.5</v>
      </c>
      <c r="N1781" t="s">
        <v>45</v>
      </c>
      <c r="O1781" t="s">
        <v>46</v>
      </c>
      <c r="Q1781" t="s">
        <v>47</v>
      </c>
      <c r="R1781" t="s">
        <v>123</v>
      </c>
      <c r="S1781" t="s">
        <v>49</v>
      </c>
      <c r="T1781">
        <v>206</v>
      </c>
      <c r="U1781" t="s">
        <v>50</v>
      </c>
      <c r="V1781" t="s">
        <v>51</v>
      </c>
      <c r="W1781" t="s">
        <v>449</v>
      </c>
      <c r="X1781" t="s">
        <v>125</v>
      </c>
      <c r="Y1781" t="s">
        <v>78</v>
      </c>
      <c r="AA1781">
        <v>0</v>
      </c>
      <c r="AB1781" t="s">
        <v>79</v>
      </c>
      <c r="AC1781" t="s">
        <v>127</v>
      </c>
      <c r="AD1781">
        <v>36</v>
      </c>
      <c r="AE1781">
        <v>9</v>
      </c>
      <c r="AF1781">
        <v>3</v>
      </c>
      <c r="AG1781">
        <v>2025</v>
      </c>
      <c r="AH1781" s="2">
        <v>15750</v>
      </c>
      <c r="AI1781" s="2">
        <v>8885.7578125</v>
      </c>
      <c r="AJ1781" s="2">
        <f t="shared" si="218"/>
        <v>6864.2421875</v>
      </c>
      <c r="AK1781" s="6">
        <f t="shared" si="219"/>
        <v>0.43582490079365077</v>
      </c>
      <c r="AL1781" s="12">
        <v>15750</v>
      </c>
      <c r="AM1781" s="12">
        <v>8156.1863243776243</v>
      </c>
      <c r="AN1781" s="12">
        <f t="shared" si="220"/>
        <v>7593.8136756223757</v>
      </c>
      <c r="AO1781" s="13">
        <f t="shared" si="221"/>
        <v>0.48214690003951594</v>
      </c>
      <c r="AP1781" s="16">
        <v>15750</v>
      </c>
      <c r="AQ1781" s="16">
        <v>8425.8869190895857</v>
      </c>
      <c r="AR1781" s="16">
        <f t="shared" si="222"/>
        <v>7324.1130809104143</v>
      </c>
      <c r="AS1781" s="17">
        <f t="shared" si="216"/>
        <v>0.4650230527562168</v>
      </c>
      <c r="AT1781" s="20">
        <v>15750</v>
      </c>
      <c r="AU1781" s="20">
        <v>8841.451171875</v>
      </c>
      <c r="AV1781" s="20">
        <f t="shared" si="217"/>
        <v>6908.548828125</v>
      </c>
      <c r="AW1781" s="21">
        <f t="shared" si="223"/>
        <v>0.43863802083333331</v>
      </c>
    </row>
    <row r="1782" spans="1:49" x14ac:dyDescent="0.25">
      <c r="A1782" t="s">
        <v>38</v>
      </c>
      <c r="B1782" t="s">
        <v>110</v>
      </c>
      <c r="C1782">
        <v>100702</v>
      </c>
      <c r="D1782">
        <v>2008</v>
      </c>
      <c r="E1782" t="s">
        <v>403</v>
      </c>
      <c r="F1782" t="s">
        <v>849</v>
      </c>
      <c r="H1782" t="s">
        <v>1505</v>
      </c>
      <c r="I1782">
        <v>6</v>
      </c>
      <c r="J1782" t="s">
        <v>106</v>
      </c>
      <c r="K1782">
        <v>4</v>
      </c>
      <c r="L1782" t="s">
        <v>44</v>
      </c>
      <c r="M1782">
        <v>3.6</v>
      </c>
      <c r="N1782" t="s">
        <v>44</v>
      </c>
      <c r="Q1782" t="s">
        <v>62</v>
      </c>
      <c r="R1782" t="s">
        <v>63</v>
      </c>
      <c r="S1782" t="s">
        <v>179</v>
      </c>
      <c r="U1782" t="s">
        <v>50</v>
      </c>
      <c r="V1782" t="s">
        <v>76</v>
      </c>
      <c r="W1782" t="s">
        <v>1256</v>
      </c>
      <c r="X1782" t="s">
        <v>94</v>
      </c>
      <c r="Y1782" t="s">
        <v>78</v>
      </c>
      <c r="AA1782">
        <v>0</v>
      </c>
      <c r="AB1782" t="s">
        <v>79</v>
      </c>
      <c r="AC1782" t="s">
        <v>87</v>
      </c>
      <c r="AD1782">
        <v>36</v>
      </c>
      <c r="AE1782">
        <v>9</v>
      </c>
      <c r="AF1782">
        <v>3</v>
      </c>
      <c r="AG1782">
        <v>2025</v>
      </c>
      <c r="AH1782" s="2">
        <v>800</v>
      </c>
      <c r="AI1782" s="2">
        <v>2025.752685546875</v>
      </c>
      <c r="AJ1782" s="2">
        <f t="shared" si="218"/>
        <v>1225.752685546875</v>
      </c>
      <c r="AK1782" s="6">
        <f t="shared" si="219"/>
        <v>1.5321908569335938</v>
      </c>
      <c r="AL1782" s="12">
        <v>800</v>
      </c>
      <c r="AM1782" s="12">
        <v>2487.5045232027119</v>
      </c>
      <c r="AN1782" s="12">
        <f t="shared" si="220"/>
        <v>1687.5045232027119</v>
      </c>
      <c r="AO1782" s="13">
        <f t="shared" si="221"/>
        <v>2.1093806540033899</v>
      </c>
      <c r="AP1782" s="16">
        <v>800</v>
      </c>
      <c r="AQ1782" s="16">
        <v>1767.757281110237</v>
      </c>
      <c r="AR1782" s="16">
        <f t="shared" si="222"/>
        <v>967.75728111023705</v>
      </c>
      <c r="AS1782" s="17">
        <f t="shared" si="216"/>
        <v>1.2096966013877963</v>
      </c>
      <c r="AT1782" s="20">
        <v>800</v>
      </c>
      <c r="AU1782" s="20">
        <v>2057.9814453125</v>
      </c>
      <c r="AV1782" s="20">
        <f t="shared" si="217"/>
        <v>1257.9814453125</v>
      </c>
      <c r="AW1782" s="21">
        <f t="shared" si="223"/>
        <v>1.5724768066406249</v>
      </c>
    </row>
    <row r="1783" spans="1:49" x14ac:dyDescent="0.25">
      <c r="A1783" t="s">
        <v>38</v>
      </c>
      <c r="B1783" t="s">
        <v>39</v>
      </c>
      <c r="C1783">
        <v>141709</v>
      </c>
      <c r="D1783">
        <v>2017</v>
      </c>
      <c r="E1783" t="s">
        <v>69</v>
      </c>
      <c r="F1783" t="s">
        <v>394</v>
      </c>
      <c r="H1783" t="s">
        <v>447</v>
      </c>
      <c r="I1783">
        <v>4</v>
      </c>
      <c r="J1783" t="s">
        <v>135</v>
      </c>
      <c r="K1783">
        <v>4</v>
      </c>
      <c r="L1783" t="s">
        <v>44</v>
      </c>
      <c r="M1783">
        <v>2</v>
      </c>
      <c r="N1783" t="s">
        <v>45</v>
      </c>
      <c r="O1783" t="s">
        <v>46</v>
      </c>
      <c r="Q1783" t="s">
        <v>47</v>
      </c>
      <c r="R1783" t="s">
        <v>123</v>
      </c>
      <c r="S1783" t="s">
        <v>101</v>
      </c>
      <c r="T1783">
        <v>240</v>
      </c>
      <c r="U1783" t="s">
        <v>50</v>
      </c>
      <c r="V1783" t="s">
        <v>51</v>
      </c>
      <c r="W1783" t="s">
        <v>1506</v>
      </c>
      <c r="X1783" t="s">
        <v>125</v>
      </c>
      <c r="Y1783" t="s">
        <v>126</v>
      </c>
      <c r="Z1783">
        <v>30740</v>
      </c>
      <c r="AA1783">
        <v>0</v>
      </c>
      <c r="AB1783" t="s">
        <v>79</v>
      </c>
      <c r="AC1783" t="s">
        <v>127</v>
      </c>
      <c r="AD1783">
        <v>36</v>
      </c>
      <c r="AE1783">
        <v>9</v>
      </c>
      <c r="AF1783">
        <v>3</v>
      </c>
      <c r="AG1783">
        <v>2025</v>
      </c>
      <c r="AH1783" s="2">
        <v>4500</v>
      </c>
      <c r="AI1783" s="2">
        <v>4424.77099609375</v>
      </c>
      <c r="AJ1783" s="2">
        <f t="shared" si="218"/>
        <v>75.22900390625</v>
      </c>
      <c r="AK1783" s="6">
        <f t="shared" si="219"/>
        <v>1.6717556423611109E-2</v>
      </c>
      <c r="AL1783" s="12">
        <v>4500</v>
      </c>
      <c r="AM1783" s="12">
        <v>4023.350144089176</v>
      </c>
      <c r="AN1783" s="12">
        <f t="shared" si="220"/>
        <v>476.64985591082404</v>
      </c>
      <c r="AO1783" s="13">
        <f t="shared" si="221"/>
        <v>0.10592219020240534</v>
      </c>
      <c r="AP1783" s="16">
        <v>4500</v>
      </c>
      <c r="AQ1783" s="16">
        <v>3370.056872611744</v>
      </c>
      <c r="AR1783" s="16">
        <f t="shared" si="222"/>
        <v>1129.943127388256</v>
      </c>
      <c r="AS1783" s="17">
        <f t="shared" si="216"/>
        <v>0.25109847275294578</v>
      </c>
      <c r="AT1783" s="20">
        <v>4500</v>
      </c>
      <c r="AU1783" s="20">
        <v>4431.48291015625</v>
      </c>
      <c r="AV1783" s="20">
        <f t="shared" si="217"/>
        <v>68.51708984375</v>
      </c>
      <c r="AW1783" s="21">
        <f t="shared" si="223"/>
        <v>1.5226019965277778E-2</v>
      </c>
    </row>
    <row r="1784" spans="1:49" x14ac:dyDescent="0.25">
      <c r="A1784" t="s">
        <v>81</v>
      </c>
      <c r="B1784" t="s">
        <v>82</v>
      </c>
      <c r="C1784">
        <v>139245</v>
      </c>
      <c r="D1784">
        <v>2017</v>
      </c>
      <c r="E1784" t="s">
        <v>97</v>
      </c>
      <c r="F1784" t="s">
        <v>198</v>
      </c>
      <c r="G1784" t="s">
        <v>590</v>
      </c>
      <c r="I1784">
        <v>6</v>
      </c>
      <c r="J1784" t="s">
        <v>43</v>
      </c>
      <c r="K1784">
        <v>4</v>
      </c>
      <c r="L1784" t="s">
        <v>44</v>
      </c>
      <c r="M1784">
        <v>3.6</v>
      </c>
      <c r="N1784" t="s">
        <v>44</v>
      </c>
      <c r="O1784" t="s">
        <v>46</v>
      </c>
      <c r="Q1784" t="s">
        <v>62</v>
      </c>
      <c r="R1784" t="s">
        <v>63</v>
      </c>
      <c r="S1784" t="s">
        <v>85</v>
      </c>
      <c r="U1784" t="s">
        <v>50</v>
      </c>
      <c r="V1784" t="s">
        <v>76</v>
      </c>
      <c r="W1784" t="s">
        <v>788</v>
      </c>
      <c r="X1784" t="s">
        <v>94</v>
      </c>
      <c r="Y1784" t="s">
        <v>78</v>
      </c>
      <c r="Z1784">
        <v>26750</v>
      </c>
      <c r="AA1784">
        <v>0</v>
      </c>
      <c r="AB1784" t="s">
        <v>79</v>
      </c>
      <c r="AC1784" t="s">
        <v>109</v>
      </c>
      <c r="AD1784">
        <v>36</v>
      </c>
      <c r="AE1784">
        <v>9</v>
      </c>
      <c r="AF1784">
        <v>3</v>
      </c>
      <c r="AG1784">
        <v>2025</v>
      </c>
      <c r="AH1784" s="2">
        <v>2800</v>
      </c>
      <c r="AI1784" s="2">
        <v>6923.8037109375</v>
      </c>
      <c r="AJ1784" s="2">
        <f t="shared" si="218"/>
        <v>4123.8037109375</v>
      </c>
      <c r="AK1784" s="6">
        <f t="shared" si="219"/>
        <v>1.4727870396205358</v>
      </c>
      <c r="AL1784" s="12">
        <v>2800</v>
      </c>
      <c r="AM1784" s="12">
        <v>5565.1450264461082</v>
      </c>
      <c r="AN1784" s="12">
        <f t="shared" si="220"/>
        <v>2765.1450264461082</v>
      </c>
      <c r="AO1784" s="13">
        <f t="shared" si="221"/>
        <v>0.98755179515932434</v>
      </c>
      <c r="AP1784" s="16">
        <v>2800</v>
      </c>
      <c r="AQ1784" s="16">
        <v>4463.4061115664063</v>
      </c>
      <c r="AR1784" s="16">
        <f t="shared" si="222"/>
        <v>1663.4061115664063</v>
      </c>
      <c r="AS1784" s="17">
        <f t="shared" si="216"/>
        <v>0.5940736112737165</v>
      </c>
      <c r="AT1784" s="20">
        <v>2800</v>
      </c>
      <c r="AU1784" s="20">
        <v>6826.9853515625</v>
      </c>
      <c r="AV1784" s="20">
        <f t="shared" si="217"/>
        <v>4026.9853515625</v>
      </c>
      <c r="AW1784" s="21">
        <f t="shared" si="223"/>
        <v>1.4382090541294643</v>
      </c>
    </row>
    <row r="1785" spans="1:49" x14ac:dyDescent="0.25">
      <c r="A1785" t="s">
        <v>38</v>
      </c>
      <c r="B1785" t="s">
        <v>110</v>
      </c>
      <c r="C1785">
        <v>187632</v>
      </c>
      <c r="D1785">
        <v>2015</v>
      </c>
      <c r="E1785" t="s">
        <v>142</v>
      </c>
      <c r="F1785" t="s">
        <v>143</v>
      </c>
      <c r="G1785" t="s">
        <v>457</v>
      </c>
      <c r="I1785">
        <v>4</v>
      </c>
      <c r="J1785" t="s">
        <v>72</v>
      </c>
      <c r="K1785">
        <v>4</v>
      </c>
      <c r="L1785" t="s">
        <v>44</v>
      </c>
      <c r="M1785">
        <v>2.4</v>
      </c>
      <c r="N1785" t="s">
        <v>45</v>
      </c>
      <c r="Q1785" t="s">
        <v>62</v>
      </c>
      <c r="R1785" t="s">
        <v>63</v>
      </c>
      <c r="S1785" t="s">
        <v>49</v>
      </c>
      <c r="U1785" t="s">
        <v>50</v>
      </c>
      <c r="X1785" t="s">
        <v>141</v>
      </c>
      <c r="Y1785" t="s">
        <v>78</v>
      </c>
      <c r="AA1785">
        <v>0</v>
      </c>
      <c r="AB1785" t="s">
        <v>79</v>
      </c>
      <c r="AC1785" t="s">
        <v>87</v>
      </c>
      <c r="AD1785">
        <v>36</v>
      </c>
      <c r="AE1785">
        <v>9</v>
      </c>
      <c r="AF1785">
        <v>3</v>
      </c>
      <c r="AG1785">
        <v>2025</v>
      </c>
      <c r="AH1785" s="2">
        <v>1400</v>
      </c>
      <c r="AI1785" s="2">
        <v>1955.841064453125</v>
      </c>
      <c r="AJ1785" s="2">
        <f t="shared" si="218"/>
        <v>555.841064453125</v>
      </c>
      <c r="AK1785" s="6">
        <f t="shared" si="219"/>
        <v>0.39702933175223215</v>
      </c>
      <c r="AL1785" s="12">
        <v>1400</v>
      </c>
      <c r="AM1785" s="12">
        <v>2166.9901354893009</v>
      </c>
      <c r="AN1785" s="12">
        <f t="shared" si="220"/>
        <v>766.99013548930088</v>
      </c>
      <c r="AO1785" s="13">
        <f t="shared" si="221"/>
        <v>0.54785009677807206</v>
      </c>
      <c r="AP1785" s="16">
        <v>1400</v>
      </c>
      <c r="AQ1785" s="16">
        <v>2215.561891085315</v>
      </c>
      <c r="AR1785" s="16">
        <f t="shared" si="222"/>
        <v>815.56189108531498</v>
      </c>
      <c r="AS1785" s="17">
        <f t="shared" si="216"/>
        <v>0.58254420791808215</v>
      </c>
      <c r="AT1785" s="20">
        <v>1400</v>
      </c>
      <c r="AU1785" s="20">
        <v>1959.10595703125</v>
      </c>
      <c r="AV1785" s="20">
        <f t="shared" si="217"/>
        <v>559.10595703125</v>
      </c>
      <c r="AW1785" s="21">
        <f t="shared" si="223"/>
        <v>0.39936139787946429</v>
      </c>
    </row>
    <row r="1786" spans="1:49" x14ac:dyDescent="0.25">
      <c r="A1786" t="s">
        <v>38</v>
      </c>
      <c r="B1786" t="s">
        <v>39</v>
      </c>
      <c r="C1786">
        <v>158350</v>
      </c>
      <c r="D1786">
        <v>2011</v>
      </c>
      <c r="E1786" t="s">
        <v>58</v>
      </c>
      <c r="F1786" t="s">
        <v>243</v>
      </c>
      <c r="G1786" t="s">
        <v>292</v>
      </c>
      <c r="I1786">
        <v>4</v>
      </c>
      <c r="J1786" t="s">
        <v>61</v>
      </c>
      <c r="K1786">
        <v>4</v>
      </c>
      <c r="L1786" t="s">
        <v>44</v>
      </c>
      <c r="M1786">
        <v>2</v>
      </c>
      <c r="N1786" t="s">
        <v>45</v>
      </c>
      <c r="O1786" t="s">
        <v>46</v>
      </c>
      <c r="Q1786" t="s">
        <v>47</v>
      </c>
      <c r="R1786" t="s">
        <v>48</v>
      </c>
      <c r="U1786" t="s">
        <v>50</v>
      </c>
      <c r="X1786" t="s">
        <v>125</v>
      </c>
      <c r="Y1786" t="s">
        <v>66</v>
      </c>
      <c r="AA1786">
        <v>0</v>
      </c>
      <c r="AB1786" t="s">
        <v>79</v>
      </c>
      <c r="AC1786" t="s">
        <v>359</v>
      </c>
      <c r="AD1786">
        <v>36</v>
      </c>
      <c r="AE1786">
        <v>9</v>
      </c>
      <c r="AF1786">
        <v>3</v>
      </c>
      <c r="AG1786">
        <v>2025</v>
      </c>
      <c r="AH1786" s="2">
        <v>1400</v>
      </c>
      <c r="AI1786" s="2">
        <v>1297.29541015625</v>
      </c>
      <c r="AJ1786" s="2">
        <f t="shared" si="218"/>
        <v>102.70458984375</v>
      </c>
      <c r="AK1786" s="6">
        <f t="shared" si="219"/>
        <v>7.3360421316964283E-2</v>
      </c>
      <c r="AL1786" s="12">
        <v>1400</v>
      </c>
      <c r="AM1786" s="12">
        <v>1226.0770753990159</v>
      </c>
      <c r="AN1786" s="12">
        <f t="shared" si="220"/>
        <v>173.92292460098406</v>
      </c>
      <c r="AO1786" s="13">
        <f t="shared" si="221"/>
        <v>0.12423066042927433</v>
      </c>
      <c r="AP1786" s="16">
        <v>1400</v>
      </c>
      <c r="AQ1786" s="16">
        <v>1217.1561151536021</v>
      </c>
      <c r="AR1786" s="16">
        <f t="shared" si="222"/>
        <v>182.84388484639794</v>
      </c>
      <c r="AS1786" s="17">
        <f t="shared" si="216"/>
        <v>0.13060277489028424</v>
      </c>
      <c r="AT1786" s="20">
        <v>1400</v>
      </c>
      <c r="AU1786" s="20">
        <v>1253.989501953125</v>
      </c>
      <c r="AV1786" s="20">
        <f t="shared" si="217"/>
        <v>146.010498046875</v>
      </c>
      <c r="AW1786" s="21">
        <f t="shared" si="223"/>
        <v>0.104293212890625</v>
      </c>
    </row>
    <row r="1787" spans="1:49" x14ac:dyDescent="0.25">
      <c r="A1787" t="s">
        <v>38</v>
      </c>
      <c r="B1787" t="s">
        <v>96</v>
      </c>
      <c r="C1787">
        <v>44629</v>
      </c>
      <c r="D1787">
        <v>2024</v>
      </c>
      <c r="E1787" t="s">
        <v>142</v>
      </c>
      <c r="F1787" t="s">
        <v>1025</v>
      </c>
      <c r="H1787" t="s">
        <v>118</v>
      </c>
      <c r="I1787">
        <v>6</v>
      </c>
      <c r="J1787" t="s">
        <v>135</v>
      </c>
      <c r="K1787">
        <v>4</v>
      </c>
      <c r="L1787" t="s">
        <v>44</v>
      </c>
      <c r="M1787">
        <v>3.6</v>
      </c>
      <c r="N1787" t="s">
        <v>91</v>
      </c>
      <c r="O1787" t="s">
        <v>46</v>
      </c>
      <c r="P1787">
        <v>4</v>
      </c>
      <c r="Q1787" t="s">
        <v>62</v>
      </c>
      <c r="R1787" t="s">
        <v>63</v>
      </c>
      <c r="S1787" t="s">
        <v>93</v>
      </c>
      <c r="T1787">
        <v>293</v>
      </c>
      <c r="U1787" t="s">
        <v>50</v>
      </c>
      <c r="V1787" t="s">
        <v>76</v>
      </c>
      <c r="X1787" t="s">
        <v>94</v>
      </c>
      <c r="Y1787" t="s">
        <v>78</v>
      </c>
      <c r="AA1787">
        <v>0</v>
      </c>
      <c r="AB1787" t="s">
        <v>79</v>
      </c>
      <c r="AC1787" t="s">
        <v>109</v>
      </c>
      <c r="AD1787">
        <v>36</v>
      </c>
      <c r="AE1787">
        <v>9</v>
      </c>
      <c r="AF1787">
        <v>3</v>
      </c>
      <c r="AG1787">
        <v>2025</v>
      </c>
      <c r="AH1787" s="2">
        <v>29500</v>
      </c>
      <c r="AI1787" s="2">
        <v>30253.607421875</v>
      </c>
      <c r="AJ1787" s="2">
        <f t="shared" si="218"/>
        <v>753.607421875</v>
      </c>
      <c r="AK1787" s="6">
        <f t="shared" si="219"/>
        <v>2.5546014300847457E-2</v>
      </c>
      <c r="AL1787" s="12">
        <v>29500</v>
      </c>
      <c r="AM1787" s="12">
        <v>35420.569221746759</v>
      </c>
      <c r="AN1787" s="12">
        <f t="shared" si="220"/>
        <v>5920.5692217467586</v>
      </c>
      <c r="AO1787" s="13">
        <f t="shared" si="221"/>
        <v>0.20069726175412742</v>
      </c>
      <c r="AP1787" s="16">
        <v>29500</v>
      </c>
      <c r="AQ1787" s="16">
        <v>33060.529829096908</v>
      </c>
      <c r="AR1787" s="16">
        <f t="shared" si="222"/>
        <v>3560.5298290969076</v>
      </c>
      <c r="AS1787" s="17">
        <f t="shared" si="216"/>
        <v>0.12069592641006467</v>
      </c>
      <c r="AT1787" s="20">
        <v>29500</v>
      </c>
      <c r="AU1787" s="20">
        <v>30744.236328125</v>
      </c>
      <c r="AV1787" s="20">
        <f t="shared" si="217"/>
        <v>1244.236328125</v>
      </c>
      <c r="AW1787" s="21">
        <f t="shared" si="223"/>
        <v>4.2177502648305082E-2</v>
      </c>
    </row>
    <row r="1788" spans="1:49" x14ac:dyDescent="0.25">
      <c r="A1788" t="s">
        <v>128</v>
      </c>
      <c r="B1788" t="s">
        <v>129</v>
      </c>
      <c r="C1788">
        <v>141835</v>
      </c>
      <c r="D1788">
        <v>2019</v>
      </c>
      <c r="E1788" t="s">
        <v>97</v>
      </c>
      <c r="F1788" t="s">
        <v>98</v>
      </c>
      <c r="G1788" t="s">
        <v>1007</v>
      </c>
      <c r="I1788">
        <v>4</v>
      </c>
      <c r="J1788" t="s">
        <v>72</v>
      </c>
      <c r="K1788">
        <v>4</v>
      </c>
      <c r="L1788" t="s">
        <v>44</v>
      </c>
      <c r="M1788">
        <v>1.5</v>
      </c>
      <c r="N1788" t="s">
        <v>45</v>
      </c>
      <c r="Q1788" t="s">
        <v>62</v>
      </c>
      <c r="R1788" t="s">
        <v>63</v>
      </c>
      <c r="S1788" t="s">
        <v>101</v>
      </c>
      <c r="U1788" t="s">
        <v>50</v>
      </c>
      <c r="V1788" t="s">
        <v>51</v>
      </c>
      <c r="W1788" t="s">
        <v>879</v>
      </c>
      <c r="X1788" t="s">
        <v>65</v>
      </c>
      <c r="Y1788" t="s">
        <v>103</v>
      </c>
      <c r="Z1788">
        <v>28395</v>
      </c>
      <c r="AA1788">
        <v>0</v>
      </c>
      <c r="AB1788" t="s">
        <v>79</v>
      </c>
      <c r="AC1788" t="s">
        <v>87</v>
      </c>
      <c r="AD1788">
        <v>36</v>
      </c>
      <c r="AE1788">
        <v>9</v>
      </c>
      <c r="AF1788">
        <v>3</v>
      </c>
      <c r="AG1788">
        <v>2025</v>
      </c>
      <c r="AH1788" s="2">
        <v>3100</v>
      </c>
      <c r="AI1788" s="2">
        <v>5852.85205078125</v>
      </c>
      <c r="AJ1788" s="2">
        <f t="shared" si="218"/>
        <v>2752.85205078125</v>
      </c>
      <c r="AK1788" s="6">
        <f t="shared" si="219"/>
        <v>0.88801679057459681</v>
      </c>
      <c r="AL1788" s="12">
        <v>3100</v>
      </c>
      <c r="AM1788" s="12">
        <v>5724.2509565174869</v>
      </c>
      <c r="AN1788" s="12">
        <f t="shared" si="220"/>
        <v>2624.2509565174869</v>
      </c>
      <c r="AO1788" s="13">
        <f t="shared" si="221"/>
        <v>0.84653256661854415</v>
      </c>
      <c r="AP1788" s="16">
        <v>3100</v>
      </c>
      <c r="AQ1788" s="16">
        <v>5626.0221458175492</v>
      </c>
      <c r="AR1788" s="16">
        <f t="shared" si="222"/>
        <v>2526.0221458175492</v>
      </c>
      <c r="AS1788" s="17">
        <f t="shared" si="216"/>
        <v>0.81484585348953198</v>
      </c>
      <c r="AT1788" s="20">
        <v>3100</v>
      </c>
      <c r="AU1788" s="20">
        <v>5908.56298828125</v>
      </c>
      <c r="AV1788" s="20">
        <f t="shared" si="217"/>
        <v>2808.56298828125</v>
      </c>
      <c r="AW1788" s="21">
        <f t="shared" si="223"/>
        <v>0.90598806073588711</v>
      </c>
    </row>
    <row r="1789" spans="1:49" x14ac:dyDescent="0.25">
      <c r="A1789" t="s">
        <v>38</v>
      </c>
      <c r="B1789" t="s">
        <v>110</v>
      </c>
      <c r="C1789">
        <v>189451</v>
      </c>
      <c r="D1789">
        <v>2011</v>
      </c>
      <c r="E1789" t="s">
        <v>142</v>
      </c>
      <c r="F1789" t="s">
        <v>649</v>
      </c>
      <c r="G1789" t="s">
        <v>1507</v>
      </c>
      <c r="H1789" t="s">
        <v>775</v>
      </c>
      <c r="I1789">
        <v>4</v>
      </c>
      <c r="J1789" t="s">
        <v>135</v>
      </c>
      <c r="K1789">
        <v>4</v>
      </c>
      <c r="L1789" t="s">
        <v>44</v>
      </c>
      <c r="M1789">
        <v>2.4</v>
      </c>
      <c r="N1789" t="s">
        <v>91</v>
      </c>
      <c r="Q1789" t="s">
        <v>62</v>
      </c>
      <c r="R1789" t="s">
        <v>63</v>
      </c>
      <c r="S1789" t="s">
        <v>93</v>
      </c>
      <c r="U1789" t="s">
        <v>50</v>
      </c>
      <c r="X1789" t="s">
        <v>65</v>
      </c>
      <c r="Y1789" t="s">
        <v>78</v>
      </c>
      <c r="AA1789">
        <v>0</v>
      </c>
      <c r="AB1789" t="s">
        <v>79</v>
      </c>
      <c r="AC1789" t="s">
        <v>87</v>
      </c>
      <c r="AD1789">
        <v>36</v>
      </c>
      <c r="AE1789">
        <v>9</v>
      </c>
      <c r="AF1789">
        <v>3</v>
      </c>
      <c r="AG1789">
        <v>2025</v>
      </c>
      <c r="AH1789" s="2">
        <v>1200</v>
      </c>
      <c r="AI1789" s="2">
        <v>1030.5</v>
      </c>
      <c r="AJ1789" s="2">
        <f t="shared" si="218"/>
        <v>169.5</v>
      </c>
      <c r="AK1789" s="6">
        <f t="shared" si="219"/>
        <v>0.14124999999999999</v>
      </c>
      <c r="AL1789" s="12">
        <v>1200</v>
      </c>
      <c r="AM1789" s="12">
        <v>1134.0320269540471</v>
      </c>
      <c r="AN1789" s="12">
        <f t="shared" si="220"/>
        <v>65.967973045952931</v>
      </c>
      <c r="AO1789" s="13">
        <f t="shared" si="221"/>
        <v>5.4973310871627441E-2</v>
      </c>
      <c r="AP1789" s="16">
        <v>1200</v>
      </c>
      <c r="AQ1789" s="16">
        <v>905.44652685068877</v>
      </c>
      <c r="AR1789" s="16">
        <f t="shared" si="222"/>
        <v>294.55347314931123</v>
      </c>
      <c r="AS1789" s="17">
        <f t="shared" si="216"/>
        <v>0.24546122762442601</v>
      </c>
      <c r="AT1789" s="20">
        <v>1200</v>
      </c>
      <c r="AU1789" s="20">
        <v>1010.398010253906</v>
      </c>
      <c r="AV1789" s="20">
        <f t="shared" si="217"/>
        <v>189.60198974609398</v>
      </c>
      <c r="AW1789" s="21">
        <f t="shared" si="223"/>
        <v>0.15800165812174499</v>
      </c>
    </row>
    <row r="1790" spans="1:49" x14ac:dyDescent="0.25">
      <c r="A1790" t="s">
        <v>128</v>
      </c>
      <c r="B1790" t="s">
        <v>210</v>
      </c>
      <c r="C1790">
        <v>126783</v>
      </c>
      <c r="D1790">
        <v>2018</v>
      </c>
      <c r="E1790" t="s">
        <v>40</v>
      </c>
      <c r="F1790" t="s">
        <v>297</v>
      </c>
      <c r="G1790" t="s">
        <v>991</v>
      </c>
      <c r="H1790" t="s">
        <v>863</v>
      </c>
      <c r="I1790">
        <v>4</v>
      </c>
      <c r="J1790" t="s">
        <v>43</v>
      </c>
      <c r="K1790">
        <v>4</v>
      </c>
      <c r="L1790" t="s">
        <v>44</v>
      </c>
      <c r="M1790">
        <v>2.5</v>
      </c>
      <c r="N1790" t="s">
        <v>45</v>
      </c>
      <c r="O1790" t="s">
        <v>46</v>
      </c>
      <c r="Q1790" t="s">
        <v>47</v>
      </c>
      <c r="R1790" t="s">
        <v>123</v>
      </c>
      <c r="S1790" t="s">
        <v>49</v>
      </c>
      <c r="T1790">
        <v>203</v>
      </c>
      <c r="U1790" t="s">
        <v>50</v>
      </c>
      <c r="V1790" t="s">
        <v>51</v>
      </c>
      <c r="W1790" t="s">
        <v>449</v>
      </c>
      <c r="X1790" t="s">
        <v>125</v>
      </c>
      <c r="Y1790" t="s">
        <v>78</v>
      </c>
      <c r="Z1790">
        <v>23645</v>
      </c>
      <c r="AA1790">
        <v>0</v>
      </c>
      <c r="AB1790" t="s">
        <v>79</v>
      </c>
      <c r="AC1790" t="s">
        <v>127</v>
      </c>
      <c r="AD1790">
        <v>36</v>
      </c>
      <c r="AE1790">
        <v>9</v>
      </c>
      <c r="AF1790">
        <v>3</v>
      </c>
      <c r="AG1790">
        <v>2025</v>
      </c>
      <c r="AH1790" s="2">
        <v>8100</v>
      </c>
      <c r="AI1790" s="2">
        <v>5896.14306640625</v>
      </c>
      <c r="AJ1790" s="2">
        <f t="shared" si="218"/>
        <v>2203.85693359375</v>
      </c>
      <c r="AK1790" s="6">
        <f t="shared" si="219"/>
        <v>0.27208110291280863</v>
      </c>
      <c r="AL1790" s="12">
        <v>8100</v>
      </c>
      <c r="AM1790" s="12">
        <v>7045.8512502065396</v>
      </c>
      <c r="AN1790" s="12">
        <f t="shared" si="220"/>
        <v>1054.1487497934604</v>
      </c>
      <c r="AO1790" s="13">
        <f t="shared" si="221"/>
        <v>0.1301418209621556</v>
      </c>
      <c r="AP1790" s="16">
        <v>8100</v>
      </c>
      <c r="AQ1790" s="16">
        <v>7658.531673514658</v>
      </c>
      <c r="AR1790" s="16">
        <f t="shared" si="222"/>
        <v>441.468326485342</v>
      </c>
      <c r="AS1790" s="17">
        <f t="shared" si="216"/>
        <v>5.4502262529054567E-2</v>
      </c>
      <c r="AT1790" s="20">
        <v>8100</v>
      </c>
      <c r="AU1790" s="20">
        <v>6132.6845703125</v>
      </c>
      <c r="AV1790" s="20">
        <f t="shared" si="217"/>
        <v>1967.3154296875</v>
      </c>
      <c r="AW1790" s="21">
        <f t="shared" si="223"/>
        <v>0.24287844810956791</v>
      </c>
    </row>
    <row r="1791" spans="1:49" x14ac:dyDescent="0.25">
      <c r="A1791" t="s">
        <v>38</v>
      </c>
      <c r="B1791" t="s">
        <v>96</v>
      </c>
      <c r="C1791">
        <v>184810</v>
      </c>
      <c r="D1791">
        <v>2016</v>
      </c>
      <c r="E1791" t="s">
        <v>69</v>
      </c>
      <c r="F1791" t="s">
        <v>873</v>
      </c>
      <c r="G1791" t="s">
        <v>285</v>
      </c>
      <c r="I1791">
        <v>4</v>
      </c>
      <c r="J1791" t="s">
        <v>135</v>
      </c>
      <c r="K1791">
        <v>4</v>
      </c>
      <c r="L1791" t="s">
        <v>44</v>
      </c>
      <c r="M1791">
        <v>2</v>
      </c>
      <c r="N1791" t="s">
        <v>45</v>
      </c>
      <c r="O1791" t="s">
        <v>46</v>
      </c>
      <c r="P1791">
        <v>2</v>
      </c>
      <c r="Q1791" t="s">
        <v>62</v>
      </c>
      <c r="R1791" t="s">
        <v>63</v>
      </c>
      <c r="S1791" t="s">
        <v>101</v>
      </c>
      <c r="T1791">
        <v>245</v>
      </c>
      <c r="U1791" t="s">
        <v>50</v>
      </c>
      <c r="V1791" t="s">
        <v>51</v>
      </c>
      <c r="X1791" t="s">
        <v>141</v>
      </c>
      <c r="Y1791" t="s">
        <v>103</v>
      </c>
      <c r="AA1791">
        <v>0</v>
      </c>
      <c r="AB1791" t="s">
        <v>79</v>
      </c>
      <c r="AC1791" t="s">
        <v>87</v>
      </c>
      <c r="AD1791">
        <v>36</v>
      </c>
      <c r="AE1791">
        <v>9</v>
      </c>
      <c r="AF1791">
        <v>3</v>
      </c>
      <c r="AG1791">
        <v>2025</v>
      </c>
      <c r="AH1791" s="2">
        <v>2800</v>
      </c>
      <c r="AI1791" s="2">
        <v>2313.564453125</v>
      </c>
      <c r="AJ1791" s="2">
        <f t="shared" si="218"/>
        <v>486.435546875</v>
      </c>
      <c r="AK1791" s="6">
        <f t="shared" si="219"/>
        <v>0.17372698102678572</v>
      </c>
      <c r="AL1791" s="12">
        <v>2800</v>
      </c>
      <c r="AM1791" s="12">
        <v>2420.0545690972772</v>
      </c>
      <c r="AN1791" s="12">
        <f t="shared" si="220"/>
        <v>379.94543090272282</v>
      </c>
      <c r="AO1791" s="13">
        <f t="shared" si="221"/>
        <v>0.13569479675097243</v>
      </c>
      <c r="AP1791" s="16">
        <v>2800</v>
      </c>
      <c r="AQ1791" s="16">
        <v>2193.645105980715</v>
      </c>
      <c r="AR1791" s="16">
        <f t="shared" si="222"/>
        <v>606.35489401928498</v>
      </c>
      <c r="AS1791" s="17">
        <f t="shared" si="216"/>
        <v>0.21655531929260177</v>
      </c>
      <c r="AT1791" s="20">
        <v>2800</v>
      </c>
      <c r="AU1791" s="20">
        <v>2349.787109375</v>
      </c>
      <c r="AV1791" s="20">
        <f t="shared" si="217"/>
        <v>450.212890625</v>
      </c>
      <c r="AW1791" s="21">
        <f t="shared" si="223"/>
        <v>0.16079031808035715</v>
      </c>
    </row>
    <row r="1792" spans="1:49" x14ac:dyDescent="0.25">
      <c r="A1792" t="s">
        <v>38</v>
      </c>
      <c r="B1792" t="s">
        <v>96</v>
      </c>
      <c r="C1792">
        <v>44832</v>
      </c>
      <c r="D1792">
        <v>2018</v>
      </c>
      <c r="E1792" t="s">
        <v>97</v>
      </c>
      <c r="F1792" t="s">
        <v>154</v>
      </c>
      <c r="G1792" t="s">
        <v>155</v>
      </c>
      <c r="I1792">
        <v>4</v>
      </c>
      <c r="J1792" t="s">
        <v>43</v>
      </c>
      <c r="K1792">
        <v>2</v>
      </c>
      <c r="L1792" t="s">
        <v>44</v>
      </c>
      <c r="M1792">
        <v>2.5</v>
      </c>
      <c r="N1792" t="s">
        <v>73</v>
      </c>
      <c r="O1792" t="s">
        <v>46</v>
      </c>
      <c r="P1792">
        <v>4</v>
      </c>
      <c r="Q1792" t="s">
        <v>74</v>
      </c>
      <c r="R1792" t="s">
        <v>92</v>
      </c>
      <c r="S1792" t="s">
        <v>49</v>
      </c>
      <c r="U1792" t="s">
        <v>50</v>
      </c>
      <c r="V1792" t="s">
        <v>51</v>
      </c>
      <c r="W1792" t="s">
        <v>156</v>
      </c>
      <c r="X1792" t="s">
        <v>141</v>
      </c>
      <c r="Y1792" t="s">
        <v>78</v>
      </c>
      <c r="Z1792">
        <v>27100</v>
      </c>
      <c r="AA1792">
        <v>0</v>
      </c>
      <c r="AB1792" t="s">
        <v>79</v>
      </c>
      <c r="AC1792" t="s">
        <v>95</v>
      </c>
      <c r="AD1792">
        <v>36</v>
      </c>
      <c r="AE1792">
        <v>9</v>
      </c>
      <c r="AF1792">
        <v>3</v>
      </c>
      <c r="AG1792">
        <v>2025</v>
      </c>
      <c r="AH1792" s="2">
        <v>15750</v>
      </c>
      <c r="AI1792" s="2">
        <v>15444.7646484375</v>
      </c>
      <c r="AJ1792" s="2">
        <f t="shared" si="218"/>
        <v>305.2353515625</v>
      </c>
      <c r="AK1792" s="6">
        <f t="shared" si="219"/>
        <v>1.9380022321428571E-2</v>
      </c>
      <c r="AL1792" s="12">
        <v>15750</v>
      </c>
      <c r="AM1792" s="12">
        <v>17081.2068078702</v>
      </c>
      <c r="AN1792" s="12">
        <f t="shared" si="220"/>
        <v>1331.2068078701996</v>
      </c>
      <c r="AO1792" s="13">
        <f t="shared" si="221"/>
        <v>8.4521067166361874E-2</v>
      </c>
      <c r="AP1792" s="16">
        <v>15750</v>
      </c>
      <c r="AQ1792" s="16">
        <v>16732.149035113151</v>
      </c>
      <c r="AR1792" s="16">
        <f t="shared" si="222"/>
        <v>982.1490351131506</v>
      </c>
      <c r="AS1792" s="17">
        <f t="shared" si="216"/>
        <v>6.2358668896073055E-2</v>
      </c>
      <c r="AT1792" s="20">
        <v>15750</v>
      </c>
      <c r="AU1792" s="20">
        <v>15652.02734375</v>
      </c>
      <c r="AV1792" s="20">
        <f t="shared" si="217"/>
        <v>97.97265625</v>
      </c>
      <c r="AW1792" s="21">
        <f t="shared" si="223"/>
        <v>6.2204861111111115E-3</v>
      </c>
    </row>
    <row r="1793" spans="1:49" x14ac:dyDescent="0.25">
      <c r="A1793" t="s">
        <v>128</v>
      </c>
      <c r="B1793" t="s">
        <v>210</v>
      </c>
      <c r="C1793">
        <v>198274</v>
      </c>
      <c r="D1793">
        <v>2012</v>
      </c>
      <c r="E1793" t="s">
        <v>40</v>
      </c>
      <c r="F1793" t="s">
        <v>1159</v>
      </c>
      <c r="H1793" t="s">
        <v>1359</v>
      </c>
      <c r="I1793">
        <v>4</v>
      </c>
      <c r="J1793" t="s">
        <v>43</v>
      </c>
      <c r="K1793">
        <v>4</v>
      </c>
      <c r="L1793" t="s">
        <v>44</v>
      </c>
      <c r="M1793">
        <v>1.5</v>
      </c>
      <c r="N1793" t="s">
        <v>45</v>
      </c>
      <c r="O1793" t="s">
        <v>46</v>
      </c>
      <c r="Q1793" t="s">
        <v>47</v>
      </c>
      <c r="R1793" t="s">
        <v>48</v>
      </c>
      <c r="S1793" t="s">
        <v>49</v>
      </c>
      <c r="T1793">
        <v>106</v>
      </c>
      <c r="U1793" t="s">
        <v>50</v>
      </c>
      <c r="V1793" t="s">
        <v>51</v>
      </c>
      <c r="W1793" t="s">
        <v>1161</v>
      </c>
      <c r="X1793" t="s">
        <v>125</v>
      </c>
      <c r="Y1793" t="s">
        <v>54</v>
      </c>
      <c r="AA1793">
        <v>0</v>
      </c>
      <c r="AB1793" t="s">
        <v>79</v>
      </c>
      <c r="AC1793" t="s">
        <v>359</v>
      </c>
      <c r="AD1793">
        <v>36</v>
      </c>
      <c r="AE1793">
        <v>9</v>
      </c>
      <c r="AF1793">
        <v>3</v>
      </c>
      <c r="AG1793">
        <v>2025</v>
      </c>
      <c r="AH1793" s="2">
        <v>2100</v>
      </c>
      <c r="AI1793" s="2">
        <v>1593.980224609375</v>
      </c>
      <c r="AJ1793" s="2">
        <f t="shared" si="218"/>
        <v>506.019775390625</v>
      </c>
      <c r="AK1793" s="6">
        <f t="shared" si="219"/>
        <v>0.24096179780505952</v>
      </c>
      <c r="AL1793" s="12">
        <v>2100</v>
      </c>
      <c r="AM1793" s="12">
        <v>1883.8001419208499</v>
      </c>
      <c r="AN1793" s="12">
        <f t="shared" si="220"/>
        <v>216.19985807915009</v>
      </c>
      <c r="AO1793" s="13">
        <f t="shared" si="221"/>
        <v>0.10295231337102385</v>
      </c>
      <c r="AP1793" s="16">
        <v>2100</v>
      </c>
      <c r="AQ1793" s="16">
        <v>1104.291978591838</v>
      </c>
      <c r="AR1793" s="16">
        <f t="shared" si="222"/>
        <v>995.70802140816204</v>
      </c>
      <c r="AS1793" s="17">
        <f t="shared" si="216"/>
        <v>0.47414667686102957</v>
      </c>
      <c r="AT1793" s="20">
        <v>2100</v>
      </c>
      <c r="AU1793" s="20">
        <v>1592.009399414062</v>
      </c>
      <c r="AV1793" s="20">
        <f t="shared" si="217"/>
        <v>507.99060058593795</v>
      </c>
      <c r="AW1793" s="21">
        <f t="shared" si="223"/>
        <v>0.24190028599330379</v>
      </c>
    </row>
    <row r="1794" spans="1:49" x14ac:dyDescent="0.25">
      <c r="A1794" t="s">
        <v>38</v>
      </c>
      <c r="B1794" t="s">
        <v>39</v>
      </c>
      <c r="C1794">
        <v>166269</v>
      </c>
      <c r="D1794">
        <v>2011</v>
      </c>
      <c r="E1794" t="s">
        <v>132</v>
      </c>
      <c r="F1794" t="s">
        <v>133</v>
      </c>
      <c r="G1794" t="s">
        <v>1508</v>
      </c>
      <c r="H1794" t="s">
        <v>636</v>
      </c>
      <c r="I1794">
        <v>6</v>
      </c>
      <c r="J1794" t="s">
        <v>72</v>
      </c>
      <c r="K1794">
        <v>4</v>
      </c>
      <c r="L1794" t="s">
        <v>44</v>
      </c>
      <c r="M1794">
        <v>3</v>
      </c>
      <c r="N1794" t="s">
        <v>73</v>
      </c>
      <c r="O1794" t="s">
        <v>46</v>
      </c>
      <c r="Q1794" t="s">
        <v>47</v>
      </c>
      <c r="R1794" t="s">
        <v>123</v>
      </c>
      <c r="U1794" t="s">
        <v>229</v>
      </c>
      <c r="V1794" t="s">
        <v>76</v>
      </c>
      <c r="X1794" t="s">
        <v>125</v>
      </c>
      <c r="Y1794" t="s">
        <v>137</v>
      </c>
      <c r="AA1794">
        <v>0</v>
      </c>
      <c r="AB1794" t="s">
        <v>79</v>
      </c>
      <c r="AC1794" t="s">
        <v>127</v>
      </c>
      <c r="AD1794">
        <v>36</v>
      </c>
      <c r="AE1794">
        <v>9</v>
      </c>
      <c r="AF1794">
        <v>3</v>
      </c>
      <c r="AG1794">
        <v>2025</v>
      </c>
      <c r="AH1794" s="2">
        <v>4250</v>
      </c>
      <c r="AI1794" s="2">
        <v>2149.03759765625</v>
      </c>
      <c r="AJ1794" s="2">
        <f t="shared" si="218"/>
        <v>2100.96240234375</v>
      </c>
      <c r="AK1794" s="6">
        <f t="shared" si="219"/>
        <v>0.49434409466911766</v>
      </c>
      <c r="AL1794" s="12">
        <v>4250</v>
      </c>
      <c r="AM1794" s="12">
        <v>2995.268323760899</v>
      </c>
      <c r="AN1794" s="12">
        <f t="shared" si="220"/>
        <v>1254.731676239101</v>
      </c>
      <c r="AO1794" s="13">
        <f t="shared" si="221"/>
        <v>0.29523098264449438</v>
      </c>
      <c r="AP1794" s="16">
        <v>4250</v>
      </c>
      <c r="AQ1794" s="16">
        <v>2653.1705338199272</v>
      </c>
      <c r="AR1794" s="16">
        <f t="shared" si="222"/>
        <v>1596.8294661800728</v>
      </c>
      <c r="AS1794" s="17">
        <f t="shared" si="216"/>
        <v>0.3757245802776642</v>
      </c>
      <c r="AT1794" s="20">
        <v>4250</v>
      </c>
      <c r="AU1794" s="20">
        <v>2219.2841796875</v>
      </c>
      <c r="AV1794" s="20">
        <f t="shared" si="217"/>
        <v>2030.7158203125</v>
      </c>
      <c r="AW1794" s="21">
        <f t="shared" si="223"/>
        <v>0.47781548713235295</v>
      </c>
    </row>
    <row r="1795" spans="1:49" x14ac:dyDescent="0.25">
      <c r="A1795" t="s">
        <v>128</v>
      </c>
      <c r="B1795" t="s">
        <v>129</v>
      </c>
      <c r="C1795">
        <v>25256</v>
      </c>
      <c r="D1795">
        <v>2014</v>
      </c>
      <c r="E1795" t="s">
        <v>146</v>
      </c>
      <c r="F1795" t="s">
        <v>153</v>
      </c>
      <c r="I1795">
        <v>6</v>
      </c>
      <c r="J1795" t="s">
        <v>106</v>
      </c>
      <c r="K1795">
        <v>4</v>
      </c>
      <c r="L1795" t="s">
        <v>44</v>
      </c>
      <c r="M1795">
        <v>3.5</v>
      </c>
      <c r="N1795" t="s">
        <v>45</v>
      </c>
      <c r="Q1795" t="s">
        <v>47</v>
      </c>
      <c r="R1795" t="s">
        <v>123</v>
      </c>
      <c r="S1795" t="s">
        <v>49</v>
      </c>
      <c r="U1795" t="s">
        <v>50</v>
      </c>
      <c r="X1795" t="s">
        <v>125</v>
      </c>
      <c r="Y1795" t="s">
        <v>78</v>
      </c>
      <c r="AA1795">
        <v>0</v>
      </c>
      <c r="AB1795" t="s">
        <v>79</v>
      </c>
      <c r="AC1795" t="s">
        <v>127</v>
      </c>
      <c r="AD1795">
        <v>36</v>
      </c>
      <c r="AE1795">
        <v>9</v>
      </c>
      <c r="AF1795">
        <v>3</v>
      </c>
      <c r="AG1795">
        <v>2025</v>
      </c>
      <c r="AH1795" s="2">
        <v>10000</v>
      </c>
      <c r="AI1795" s="2">
        <v>7982.90380859375</v>
      </c>
      <c r="AJ1795" s="2">
        <f t="shared" si="218"/>
        <v>2017.09619140625</v>
      </c>
      <c r="AK1795" s="6">
        <f t="shared" si="219"/>
        <v>0.20170961914062499</v>
      </c>
      <c r="AL1795" s="12">
        <v>10000</v>
      </c>
      <c r="AM1795" s="12">
        <v>8514.6408883035019</v>
      </c>
      <c r="AN1795" s="12">
        <f t="shared" si="220"/>
        <v>1485.3591116964981</v>
      </c>
      <c r="AO1795" s="13">
        <f t="shared" si="221"/>
        <v>0.14853591116964981</v>
      </c>
      <c r="AP1795" s="16">
        <v>10000</v>
      </c>
      <c r="AQ1795" s="16">
        <v>9059.8395286231716</v>
      </c>
      <c r="AR1795" s="16">
        <f t="shared" si="222"/>
        <v>940.16047137682835</v>
      </c>
      <c r="AS1795" s="17">
        <f t="shared" ref="AS1795:AS1858" si="224">ABS($AH1795-AQ1795)/$AH1795</f>
        <v>9.4016047137682829E-2</v>
      </c>
      <c r="AT1795" s="20">
        <v>10000</v>
      </c>
      <c r="AU1795" s="20">
        <v>8242.7685546875</v>
      </c>
      <c r="AV1795" s="20">
        <f t="shared" ref="AV1795:AV1858" si="225">ABS(AT1795-AU1795)</f>
        <v>1757.2314453125</v>
      </c>
      <c r="AW1795" s="21">
        <f t="shared" si="223"/>
        <v>0.17572314453124999</v>
      </c>
    </row>
    <row r="1796" spans="1:49" x14ac:dyDescent="0.25">
      <c r="A1796" t="s">
        <v>38</v>
      </c>
      <c r="B1796" t="s">
        <v>110</v>
      </c>
      <c r="C1796">
        <v>151254</v>
      </c>
      <c r="D1796">
        <v>2012</v>
      </c>
      <c r="E1796" t="s">
        <v>146</v>
      </c>
      <c r="F1796" t="s">
        <v>1076</v>
      </c>
      <c r="I1796">
        <v>6</v>
      </c>
      <c r="J1796" t="s">
        <v>61</v>
      </c>
      <c r="K1796">
        <v>4</v>
      </c>
      <c r="L1796" t="s">
        <v>44</v>
      </c>
      <c r="M1796">
        <v>4</v>
      </c>
      <c r="N1796" t="s">
        <v>91</v>
      </c>
      <c r="O1796" t="s">
        <v>46</v>
      </c>
      <c r="P1796">
        <v>3</v>
      </c>
      <c r="Q1796" t="s">
        <v>74</v>
      </c>
      <c r="R1796" t="s">
        <v>92</v>
      </c>
      <c r="S1796" t="s">
        <v>93</v>
      </c>
      <c r="U1796" t="s">
        <v>50</v>
      </c>
      <c r="X1796" t="s">
        <v>141</v>
      </c>
      <c r="Y1796" t="s">
        <v>78</v>
      </c>
      <c r="AA1796">
        <v>0</v>
      </c>
      <c r="AB1796" t="s">
        <v>79</v>
      </c>
      <c r="AC1796" t="s">
        <v>95</v>
      </c>
      <c r="AD1796">
        <v>36</v>
      </c>
      <c r="AE1796">
        <v>9</v>
      </c>
      <c r="AF1796">
        <v>3</v>
      </c>
      <c r="AG1796">
        <v>2025</v>
      </c>
      <c r="AH1796" s="2">
        <v>5400</v>
      </c>
      <c r="AI1796" s="2">
        <v>5671.2822265625</v>
      </c>
      <c r="AJ1796" s="2">
        <f t="shared" ref="AJ1796:AJ1859" si="226">ABS(AH1796-AI1796)</f>
        <v>271.2822265625</v>
      </c>
      <c r="AK1796" s="6">
        <f t="shared" ref="AK1796:AK1859" si="227">ABS($AH1796-AI1796)/$AH1796</f>
        <v>5.0237449363425925E-2</v>
      </c>
      <c r="AL1796" s="12">
        <v>5400</v>
      </c>
      <c r="AM1796" s="12">
        <v>4704.9438383366714</v>
      </c>
      <c r="AN1796" s="12">
        <f t="shared" ref="AN1796:AN1859" si="228">ABS(AL1796-AM1796)</f>
        <v>695.05616166332857</v>
      </c>
      <c r="AO1796" s="13">
        <f t="shared" ref="AO1796:AO1859" si="229">ABS($AH1796-AM1796)/$AH1796</f>
        <v>0.1287141040117275</v>
      </c>
      <c r="AP1796" s="16">
        <v>5400</v>
      </c>
      <c r="AQ1796" s="16">
        <v>4877.8846157714152</v>
      </c>
      <c r="AR1796" s="16">
        <f t="shared" ref="AR1796:AR1859" si="230">ABS(AP1796-AQ1796)</f>
        <v>522.11538422858484</v>
      </c>
      <c r="AS1796" s="17">
        <f t="shared" si="224"/>
        <v>9.66880341164046E-2</v>
      </c>
      <c r="AT1796" s="20">
        <v>5400</v>
      </c>
      <c r="AU1796" s="20">
        <v>5673.478515625</v>
      </c>
      <c r="AV1796" s="20">
        <f t="shared" si="225"/>
        <v>273.478515625</v>
      </c>
      <c r="AW1796" s="21">
        <f t="shared" ref="AW1796:AW1859" si="231">ABS($AH1796-AU1796)/$AH1796</f>
        <v>5.0644169560185186E-2</v>
      </c>
    </row>
    <row r="1797" spans="1:49" x14ac:dyDescent="0.25">
      <c r="A1797" t="s">
        <v>128</v>
      </c>
      <c r="B1797" t="s">
        <v>309</v>
      </c>
      <c r="C1797">
        <v>21659</v>
      </c>
      <c r="D1797">
        <v>2024</v>
      </c>
      <c r="E1797" t="s">
        <v>58</v>
      </c>
      <c r="F1797" t="s">
        <v>1509</v>
      </c>
      <c r="G1797" t="s">
        <v>248</v>
      </c>
      <c r="I1797">
        <v>4</v>
      </c>
      <c r="J1797" t="s">
        <v>135</v>
      </c>
      <c r="K1797">
        <v>4</v>
      </c>
      <c r="L1797" t="s">
        <v>44</v>
      </c>
      <c r="M1797">
        <v>2</v>
      </c>
      <c r="N1797" t="s">
        <v>45</v>
      </c>
      <c r="O1797" t="s">
        <v>46</v>
      </c>
      <c r="P1797">
        <v>3</v>
      </c>
      <c r="Q1797" t="s">
        <v>62</v>
      </c>
      <c r="R1797" t="s">
        <v>63</v>
      </c>
      <c r="S1797" t="s">
        <v>49</v>
      </c>
      <c r="U1797" t="s">
        <v>50</v>
      </c>
      <c r="W1797" t="s">
        <v>1510</v>
      </c>
      <c r="X1797" t="s">
        <v>53</v>
      </c>
      <c r="Y1797" t="s">
        <v>66</v>
      </c>
      <c r="AA1797">
        <v>0</v>
      </c>
      <c r="AB1797" t="s">
        <v>79</v>
      </c>
      <c r="AC1797" t="s">
        <v>87</v>
      </c>
      <c r="AD1797">
        <v>36</v>
      </c>
      <c r="AE1797">
        <v>9</v>
      </c>
      <c r="AF1797">
        <v>3</v>
      </c>
      <c r="AG1797">
        <v>2025</v>
      </c>
      <c r="AH1797" s="2">
        <v>21200</v>
      </c>
      <c r="AI1797" s="2">
        <v>20411.22265625</v>
      </c>
      <c r="AJ1797" s="2">
        <f t="shared" si="226"/>
        <v>788.77734375</v>
      </c>
      <c r="AK1797" s="6">
        <f t="shared" si="227"/>
        <v>3.7206478478773584E-2</v>
      </c>
      <c r="AL1797" s="12">
        <v>21200</v>
      </c>
      <c r="AM1797" s="12">
        <v>20020.158951773421</v>
      </c>
      <c r="AN1797" s="12">
        <f t="shared" si="228"/>
        <v>1179.841048226579</v>
      </c>
      <c r="AO1797" s="13">
        <f t="shared" si="229"/>
        <v>5.5652879633329197E-2</v>
      </c>
      <c r="AP1797" s="16">
        <v>21200</v>
      </c>
      <c r="AQ1797" s="16">
        <v>16555.440346252759</v>
      </c>
      <c r="AR1797" s="16">
        <f t="shared" si="230"/>
        <v>4644.5596537472411</v>
      </c>
      <c r="AS1797" s="17">
        <f t="shared" si="224"/>
        <v>0.21908300253524723</v>
      </c>
      <c r="AT1797" s="20">
        <v>21200</v>
      </c>
      <c r="AU1797" s="20">
        <v>20088.78125</v>
      </c>
      <c r="AV1797" s="20">
        <f t="shared" si="225"/>
        <v>1111.21875</v>
      </c>
      <c r="AW1797" s="21">
        <f t="shared" si="231"/>
        <v>5.2415978773584906E-2</v>
      </c>
    </row>
    <row r="1798" spans="1:49" x14ac:dyDescent="0.25">
      <c r="A1798" t="s">
        <v>38</v>
      </c>
      <c r="B1798" t="s">
        <v>39</v>
      </c>
      <c r="C1798">
        <v>90583</v>
      </c>
      <c r="D1798">
        <v>2019</v>
      </c>
      <c r="E1798" t="s">
        <v>88</v>
      </c>
      <c r="F1798" t="s">
        <v>89</v>
      </c>
      <c r="G1798" t="s">
        <v>442</v>
      </c>
      <c r="H1798" t="s">
        <v>176</v>
      </c>
      <c r="I1798">
        <v>8</v>
      </c>
      <c r="J1798" t="s">
        <v>122</v>
      </c>
      <c r="K1798">
        <v>4</v>
      </c>
      <c r="L1798" t="s">
        <v>44</v>
      </c>
      <c r="M1798">
        <v>5.7</v>
      </c>
      <c r="N1798" t="s">
        <v>73</v>
      </c>
      <c r="O1798" t="s">
        <v>46</v>
      </c>
      <c r="Q1798" t="s">
        <v>74</v>
      </c>
      <c r="R1798" t="s">
        <v>92</v>
      </c>
      <c r="S1798" t="s">
        <v>49</v>
      </c>
      <c r="T1798">
        <v>395</v>
      </c>
      <c r="U1798" t="s">
        <v>50</v>
      </c>
      <c r="V1798" t="s">
        <v>76</v>
      </c>
      <c r="X1798" t="s">
        <v>94</v>
      </c>
      <c r="Y1798" t="s">
        <v>78</v>
      </c>
      <c r="AA1798">
        <v>0</v>
      </c>
      <c r="AB1798" t="s">
        <v>79</v>
      </c>
      <c r="AC1798" t="s">
        <v>95</v>
      </c>
      <c r="AD1798">
        <v>36</v>
      </c>
      <c r="AE1798">
        <v>9</v>
      </c>
      <c r="AF1798">
        <v>3</v>
      </c>
      <c r="AG1798">
        <v>2025</v>
      </c>
      <c r="AH1798" s="2">
        <v>16000</v>
      </c>
      <c r="AI1798" s="2">
        <v>16326.73828125</v>
      </c>
      <c r="AJ1798" s="2">
        <f t="shared" si="226"/>
        <v>326.73828125</v>
      </c>
      <c r="AK1798" s="6">
        <f t="shared" si="227"/>
        <v>2.0421142578124999E-2</v>
      </c>
      <c r="AL1798" s="12">
        <v>16000</v>
      </c>
      <c r="AM1798" s="12">
        <v>16312.557580999141</v>
      </c>
      <c r="AN1798" s="12">
        <f t="shared" si="228"/>
        <v>312.55758099914055</v>
      </c>
      <c r="AO1798" s="13">
        <f t="shared" si="229"/>
        <v>1.9534848812446284E-2</v>
      </c>
      <c r="AP1798" s="16">
        <v>16000</v>
      </c>
      <c r="AQ1798" s="16">
        <v>17956.51181845885</v>
      </c>
      <c r="AR1798" s="16">
        <f t="shared" si="230"/>
        <v>1956.51181845885</v>
      </c>
      <c r="AS1798" s="17">
        <f t="shared" si="224"/>
        <v>0.12228198865367813</v>
      </c>
      <c r="AT1798" s="20">
        <v>16000</v>
      </c>
      <c r="AU1798" s="20">
        <v>16185.8984375</v>
      </c>
      <c r="AV1798" s="20">
        <f t="shared" si="225"/>
        <v>185.8984375</v>
      </c>
      <c r="AW1798" s="21">
        <f t="shared" si="231"/>
        <v>1.1618652343750001E-2</v>
      </c>
    </row>
    <row r="1799" spans="1:49" x14ac:dyDescent="0.25">
      <c r="A1799" t="s">
        <v>38</v>
      </c>
      <c r="B1799" t="s">
        <v>110</v>
      </c>
      <c r="C1799">
        <v>176099</v>
      </c>
      <c r="D1799">
        <v>2017</v>
      </c>
      <c r="E1799" t="s">
        <v>146</v>
      </c>
      <c r="F1799" t="s">
        <v>147</v>
      </c>
      <c r="I1799">
        <v>4</v>
      </c>
      <c r="J1799" t="s">
        <v>122</v>
      </c>
      <c r="K1799">
        <v>4</v>
      </c>
      <c r="L1799" t="s">
        <v>44</v>
      </c>
      <c r="M1799">
        <v>2.5</v>
      </c>
      <c r="N1799" t="s">
        <v>44</v>
      </c>
      <c r="O1799" t="s">
        <v>100</v>
      </c>
      <c r="P1799">
        <v>1</v>
      </c>
      <c r="Q1799" t="s">
        <v>62</v>
      </c>
      <c r="R1799" t="s">
        <v>148</v>
      </c>
      <c r="S1799" t="s">
        <v>93</v>
      </c>
      <c r="T1799">
        <v>170</v>
      </c>
      <c r="U1799" t="s">
        <v>50</v>
      </c>
      <c r="X1799" t="s">
        <v>65</v>
      </c>
      <c r="Y1799" t="s">
        <v>54</v>
      </c>
      <c r="AA1799">
        <v>0</v>
      </c>
      <c r="AB1799" t="s">
        <v>79</v>
      </c>
      <c r="AC1799" t="s">
        <v>87</v>
      </c>
      <c r="AD1799">
        <v>36</v>
      </c>
      <c r="AE1799">
        <v>9</v>
      </c>
      <c r="AF1799">
        <v>3</v>
      </c>
      <c r="AG1799">
        <v>2025</v>
      </c>
      <c r="AH1799" s="2">
        <v>1000</v>
      </c>
      <c r="AI1799" s="2">
        <v>1045.175659179688</v>
      </c>
      <c r="AJ1799" s="2">
        <f t="shared" si="226"/>
        <v>45.175659179687955</v>
      </c>
      <c r="AK1799" s="6">
        <f t="shared" si="227"/>
        <v>4.5175659179687952E-2</v>
      </c>
      <c r="AL1799" s="12">
        <v>1000</v>
      </c>
      <c r="AM1799" s="12">
        <v>1246.389880617643</v>
      </c>
      <c r="AN1799" s="12">
        <f t="shared" si="228"/>
        <v>246.38988061764303</v>
      </c>
      <c r="AO1799" s="13">
        <f t="shared" si="229"/>
        <v>0.24638988061764303</v>
      </c>
      <c r="AP1799" s="16">
        <v>1000</v>
      </c>
      <c r="AQ1799" s="16">
        <v>1085.832815827805</v>
      </c>
      <c r="AR1799" s="16">
        <f t="shared" si="230"/>
        <v>85.832815827805007</v>
      </c>
      <c r="AS1799" s="17">
        <f t="shared" si="224"/>
        <v>8.5832815827805012E-2</v>
      </c>
      <c r="AT1799" s="20">
        <v>1000</v>
      </c>
      <c r="AU1799" s="20">
        <v>1048.521362304688</v>
      </c>
      <c r="AV1799" s="20">
        <f t="shared" si="225"/>
        <v>48.521362304687955</v>
      </c>
      <c r="AW1799" s="21">
        <f t="shared" si="231"/>
        <v>4.8521362304687954E-2</v>
      </c>
    </row>
    <row r="1800" spans="1:49" x14ac:dyDescent="0.25">
      <c r="A1800" t="s">
        <v>38</v>
      </c>
      <c r="B1800" t="s">
        <v>110</v>
      </c>
      <c r="C1800">
        <v>80014</v>
      </c>
      <c r="D1800">
        <v>2022</v>
      </c>
      <c r="E1800" t="s">
        <v>69</v>
      </c>
      <c r="F1800" t="s">
        <v>310</v>
      </c>
      <c r="H1800" t="s">
        <v>952</v>
      </c>
      <c r="I1800">
        <v>4</v>
      </c>
      <c r="J1800" t="s">
        <v>106</v>
      </c>
      <c r="K1800">
        <v>2</v>
      </c>
      <c r="L1800" t="s">
        <v>44</v>
      </c>
      <c r="M1800">
        <v>2.2999999999999998</v>
      </c>
      <c r="N1800" t="s">
        <v>73</v>
      </c>
      <c r="O1800" t="s">
        <v>100</v>
      </c>
      <c r="Q1800" t="s">
        <v>47</v>
      </c>
      <c r="R1800" t="s">
        <v>197</v>
      </c>
      <c r="T1800">
        <v>310</v>
      </c>
      <c r="U1800" t="s">
        <v>50</v>
      </c>
      <c r="V1800" t="s">
        <v>51</v>
      </c>
      <c r="W1800" t="s">
        <v>1340</v>
      </c>
      <c r="X1800" t="s">
        <v>125</v>
      </c>
      <c r="Y1800" t="s">
        <v>78</v>
      </c>
      <c r="AA1800">
        <v>0</v>
      </c>
      <c r="AB1800" t="s">
        <v>79</v>
      </c>
      <c r="AC1800" t="s">
        <v>197</v>
      </c>
      <c r="AD1800">
        <v>36</v>
      </c>
      <c r="AE1800">
        <v>9</v>
      </c>
      <c r="AF1800">
        <v>3</v>
      </c>
      <c r="AG1800">
        <v>2025</v>
      </c>
      <c r="AH1800" s="2">
        <v>6000</v>
      </c>
      <c r="AI1800" s="2">
        <v>7032.142578125</v>
      </c>
      <c r="AJ1800" s="2">
        <f t="shared" si="226"/>
        <v>1032.142578125</v>
      </c>
      <c r="AK1800" s="6">
        <f t="shared" si="227"/>
        <v>0.17202376302083333</v>
      </c>
      <c r="AL1800" s="12">
        <v>6000</v>
      </c>
      <c r="AM1800" s="12">
        <v>8642.3214400534471</v>
      </c>
      <c r="AN1800" s="12">
        <f t="shared" si="228"/>
        <v>2642.3214400534471</v>
      </c>
      <c r="AO1800" s="13">
        <f t="shared" si="229"/>
        <v>0.44038690667557451</v>
      </c>
      <c r="AP1800" s="16">
        <v>6000</v>
      </c>
      <c r="AQ1800" s="16">
        <v>7975.9785143796144</v>
      </c>
      <c r="AR1800" s="16">
        <f t="shared" si="230"/>
        <v>1975.9785143796144</v>
      </c>
      <c r="AS1800" s="17">
        <f t="shared" si="224"/>
        <v>0.32932975239660239</v>
      </c>
      <c r="AT1800" s="20">
        <v>6000</v>
      </c>
      <c r="AU1800" s="20">
        <v>7408.6796875</v>
      </c>
      <c r="AV1800" s="20">
        <f t="shared" si="225"/>
        <v>1408.6796875</v>
      </c>
      <c r="AW1800" s="21">
        <f t="shared" si="231"/>
        <v>0.23477994791666668</v>
      </c>
    </row>
    <row r="1801" spans="1:49" x14ac:dyDescent="0.25">
      <c r="A1801" t="s">
        <v>128</v>
      </c>
      <c r="B1801" t="s">
        <v>210</v>
      </c>
      <c r="C1801">
        <v>132589</v>
      </c>
      <c r="D1801">
        <v>2010</v>
      </c>
      <c r="E1801" t="s">
        <v>40</v>
      </c>
      <c r="F1801" t="s">
        <v>233</v>
      </c>
      <c r="G1801" t="s">
        <v>536</v>
      </c>
      <c r="H1801" t="s">
        <v>1079</v>
      </c>
      <c r="I1801">
        <v>4</v>
      </c>
      <c r="J1801" t="s">
        <v>72</v>
      </c>
      <c r="K1801">
        <v>4</v>
      </c>
      <c r="L1801" t="s">
        <v>44</v>
      </c>
      <c r="M1801">
        <v>2.5</v>
      </c>
      <c r="N1801" t="s">
        <v>45</v>
      </c>
      <c r="O1801" t="s">
        <v>46</v>
      </c>
      <c r="Q1801" t="s">
        <v>62</v>
      </c>
      <c r="R1801" t="s">
        <v>63</v>
      </c>
      <c r="S1801" t="s">
        <v>49</v>
      </c>
      <c r="T1801">
        <v>179</v>
      </c>
      <c r="U1801" t="s">
        <v>50</v>
      </c>
      <c r="V1801" t="s">
        <v>51</v>
      </c>
      <c r="W1801" t="s">
        <v>236</v>
      </c>
      <c r="X1801" t="s">
        <v>65</v>
      </c>
      <c r="Y1801" t="s">
        <v>54</v>
      </c>
      <c r="AA1801">
        <v>0</v>
      </c>
      <c r="AB1801" t="s">
        <v>79</v>
      </c>
      <c r="AC1801" t="s">
        <v>87</v>
      </c>
      <c r="AD1801">
        <v>36</v>
      </c>
      <c r="AE1801">
        <v>9</v>
      </c>
      <c r="AF1801">
        <v>3</v>
      </c>
      <c r="AG1801">
        <v>2025</v>
      </c>
      <c r="AH1801" s="2">
        <v>6000</v>
      </c>
      <c r="AI1801" s="2">
        <v>3246.051513671875</v>
      </c>
      <c r="AJ1801" s="2">
        <f t="shared" si="226"/>
        <v>2753.948486328125</v>
      </c>
      <c r="AK1801" s="6">
        <f t="shared" si="227"/>
        <v>0.45899141438802082</v>
      </c>
      <c r="AL1801" s="12">
        <v>6000</v>
      </c>
      <c r="AM1801" s="12">
        <v>3276.2916519656751</v>
      </c>
      <c r="AN1801" s="12">
        <f t="shared" si="228"/>
        <v>2723.7083480343249</v>
      </c>
      <c r="AO1801" s="13">
        <f t="shared" si="229"/>
        <v>0.45395139133905416</v>
      </c>
      <c r="AP1801" s="16">
        <v>6000</v>
      </c>
      <c r="AQ1801" s="16">
        <v>3105.027427989392</v>
      </c>
      <c r="AR1801" s="16">
        <f t="shared" si="230"/>
        <v>2894.972572010608</v>
      </c>
      <c r="AS1801" s="17">
        <f t="shared" si="224"/>
        <v>0.48249542866843464</v>
      </c>
      <c r="AT1801" s="20">
        <v>6000</v>
      </c>
      <c r="AU1801" s="20">
        <v>3299.765380859375</v>
      </c>
      <c r="AV1801" s="20">
        <f t="shared" si="225"/>
        <v>2700.234619140625</v>
      </c>
      <c r="AW1801" s="21">
        <f t="shared" si="231"/>
        <v>0.45003910319010415</v>
      </c>
    </row>
    <row r="1802" spans="1:49" x14ac:dyDescent="0.25">
      <c r="A1802" t="s">
        <v>38</v>
      </c>
      <c r="B1802" t="s">
        <v>96</v>
      </c>
      <c r="C1802">
        <v>97195</v>
      </c>
      <c r="D1802">
        <v>2022</v>
      </c>
      <c r="E1802" t="s">
        <v>174</v>
      </c>
      <c r="F1802" t="s">
        <v>254</v>
      </c>
      <c r="H1802" t="s">
        <v>315</v>
      </c>
      <c r="I1802">
        <v>4</v>
      </c>
      <c r="J1802" t="s">
        <v>61</v>
      </c>
      <c r="K1802">
        <v>4</v>
      </c>
      <c r="L1802" t="s">
        <v>44</v>
      </c>
      <c r="M1802">
        <v>1.5</v>
      </c>
      <c r="N1802" t="s">
        <v>45</v>
      </c>
      <c r="O1802" t="s">
        <v>46</v>
      </c>
      <c r="P1802">
        <v>3</v>
      </c>
      <c r="Q1802" t="s">
        <v>62</v>
      </c>
      <c r="R1802" t="s">
        <v>63</v>
      </c>
      <c r="S1802" t="s">
        <v>101</v>
      </c>
      <c r="U1802" t="s">
        <v>50</v>
      </c>
      <c r="V1802" t="s">
        <v>51</v>
      </c>
      <c r="W1802" t="s">
        <v>255</v>
      </c>
      <c r="X1802" t="s">
        <v>65</v>
      </c>
      <c r="Y1802" t="s">
        <v>126</v>
      </c>
      <c r="AA1802">
        <v>0</v>
      </c>
      <c r="AB1802" t="s">
        <v>79</v>
      </c>
      <c r="AC1802" t="s">
        <v>87</v>
      </c>
      <c r="AD1802">
        <v>36</v>
      </c>
      <c r="AE1802">
        <v>9</v>
      </c>
      <c r="AF1802">
        <v>3</v>
      </c>
      <c r="AG1802">
        <v>2025</v>
      </c>
      <c r="AH1802" s="2">
        <v>12400</v>
      </c>
      <c r="AI1802" s="2">
        <v>14872.5517578125</v>
      </c>
      <c r="AJ1802" s="2">
        <f t="shared" si="226"/>
        <v>2472.5517578125</v>
      </c>
      <c r="AK1802" s="6">
        <f t="shared" si="227"/>
        <v>0.19939933530745968</v>
      </c>
      <c r="AL1802" s="12">
        <v>12400</v>
      </c>
      <c r="AM1802" s="12">
        <v>13366.791718689519</v>
      </c>
      <c r="AN1802" s="12">
        <f t="shared" si="228"/>
        <v>966.79171868951926</v>
      </c>
      <c r="AO1802" s="13">
        <f t="shared" si="229"/>
        <v>7.7967074087864463E-2</v>
      </c>
      <c r="AP1802" s="16">
        <v>12400</v>
      </c>
      <c r="AQ1802" s="16">
        <v>12712.23471397817</v>
      </c>
      <c r="AR1802" s="16">
        <f t="shared" si="230"/>
        <v>312.23471397817048</v>
      </c>
      <c r="AS1802" s="17">
        <f t="shared" si="224"/>
        <v>2.5180218869207297E-2</v>
      </c>
      <c r="AT1802" s="20">
        <v>12400</v>
      </c>
      <c r="AU1802" s="20">
        <v>14365.7099609375</v>
      </c>
      <c r="AV1802" s="20">
        <f t="shared" si="225"/>
        <v>1965.7099609375</v>
      </c>
      <c r="AW1802" s="21">
        <f t="shared" si="231"/>
        <v>0.1585249968497984</v>
      </c>
    </row>
    <row r="1803" spans="1:49" x14ac:dyDescent="0.25">
      <c r="A1803" t="s">
        <v>38</v>
      </c>
      <c r="B1803" t="s">
        <v>110</v>
      </c>
      <c r="C1803">
        <v>99454</v>
      </c>
      <c r="D1803">
        <v>2018</v>
      </c>
      <c r="E1803" t="s">
        <v>142</v>
      </c>
      <c r="F1803" t="s">
        <v>143</v>
      </c>
      <c r="G1803" t="s">
        <v>145</v>
      </c>
      <c r="H1803" t="s">
        <v>276</v>
      </c>
      <c r="I1803">
        <v>6</v>
      </c>
      <c r="J1803" t="s">
        <v>61</v>
      </c>
      <c r="K1803">
        <v>4</v>
      </c>
      <c r="L1803" t="s">
        <v>44</v>
      </c>
      <c r="M1803">
        <v>3.2</v>
      </c>
      <c r="N1803" t="s">
        <v>91</v>
      </c>
      <c r="O1803" t="s">
        <v>46</v>
      </c>
      <c r="P1803">
        <v>3</v>
      </c>
      <c r="Q1803" t="s">
        <v>62</v>
      </c>
      <c r="R1803" t="s">
        <v>63</v>
      </c>
      <c r="S1803" t="s">
        <v>93</v>
      </c>
      <c r="T1803">
        <v>271</v>
      </c>
      <c r="U1803" t="s">
        <v>50</v>
      </c>
      <c r="V1803" t="s">
        <v>76</v>
      </c>
      <c r="X1803" t="s">
        <v>141</v>
      </c>
      <c r="Y1803" t="s">
        <v>78</v>
      </c>
      <c r="AA1803">
        <v>0</v>
      </c>
      <c r="AB1803" t="s">
        <v>79</v>
      </c>
      <c r="AC1803" t="s">
        <v>87</v>
      </c>
      <c r="AD1803">
        <v>36</v>
      </c>
      <c r="AE1803">
        <v>9</v>
      </c>
      <c r="AF1803">
        <v>3</v>
      </c>
      <c r="AG1803">
        <v>2025</v>
      </c>
      <c r="AH1803" s="2">
        <v>5700</v>
      </c>
      <c r="AI1803" s="2">
        <v>10678.935546875</v>
      </c>
      <c r="AJ1803" s="2">
        <f t="shared" si="226"/>
        <v>4978.935546875</v>
      </c>
      <c r="AK1803" s="6">
        <f t="shared" si="227"/>
        <v>0.87349746436403508</v>
      </c>
      <c r="AL1803" s="12">
        <v>5700</v>
      </c>
      <c r="AM1803" s="12">
        <v>12268.835258895329</v>
      </c>
      <c r="AN1803" s="12">
        <f t="shared" si="228"/>
        <v>6568.8352588953294</v>
      </c>
      <c r="AO1803" s="13">
        <f t="shared" si="229"/>
        <v>1.1524272384026895</v>
      </c>
      <c r="AP1803" s="16">
        <v>5700</v>
      </c>
      <c r="AQ1803" s="16">
        <v>8853.1695515883075</v>
      </c>
      <c r="AR1803" s="16">
        <f t="shared" si="230"/>
        <v>3153.1695515883075</v>
      </c>
      <c r="AS1803" s="17">
        <f t="shared" si="224"/>
        <v>0.55318764062952763</v>
      </c>
      <c r="AT1803" s="20">
        <v>5700</v>
      </c>
      <c r="AU1803" s="20">
        <v>11075.806640625</v>
      </c>
      <c r="AV1803" s="20">
        <f t="shared" si="225"/>
        <v>5375.806640625</v>
      </c>
      <c r="AW1803" s="21">
        <f t="shared" si="231"/>
        <v>0.94312397203947373</v>
      </c>
    </row>
    <row r="1804" spans="1:49" x14ac:dyDescent="0.25">
      <c r="A1804" t="s">
        <v>38</v>
      </c>
      <c r="B1804" t="s">
        <v>110</v>
      </c>
      <c r="C1804">
        <v>139017</v>
      </c>
      <c r="D1804">
        <v>2012</v>
      </c>
      <c r="E1804" t="s">
        <v>166</v>
      </c>
      <c r="F1804" t="s">
        <v>223</v>
      </c>
      <c r="G1804" t="s">
        <v>1511</v>
      </c>
      <c r="I1804">
        <v>6</v>
      </c>
      <c r="J1804" t="s">
        <v>135</v>
      </c>
      <c r="K1804">
        <v>4</v>
      </c>
      <c r="L1804" t="s">
        <v>44</v>
      </c>
      <c r="M1804">
        <v>3.5</v>
      </c>
      <c r="N1804" t="s">
        <v>45</v>
      </c>
      <c r="Q1804" t="s">
        <v>62</v>
      </c>
      <c r="R1804" t="s">
        <v>225</v>
      </c>
      <c r="T1804">
        <v>248</v>
      </c>
      <c r="U1804" t="s">
        <v>50</v>
      </c>
      <c r="V1804" t="s">
        <v>76</v>
      </c>
      <c r="W1804" t="s">
        <v>226</v>
      </c>
      <c r="X1804" t="s">
        <v>94</v>
      </c>
      <c r="Y1804" t="s">
        <v>78</v>
      </c>
      <c r="AA1804">
        <v>0</v>
      </c>
      <c r="AB1804" t="s">
        <v>79</v>
      </c>
      <c r="AC1804" t="s">
        <v>225</v>
      </c>
      <c r="AD1804">
        <v>36</v>
      </c>
      <c r="AE1804">
        <v>9</v>
      </c>
      <c r="AF1804">
        <v>3</v>
      </c>
      <c r="AG1804">
        <v>2025</v>
      </c>
      <c r="AH1804" s="2">
        <v>4400</v>
      </c>
      <c r="AI1804" s="2">
        <v>4075.904052734375</v>
      </c>
      <c r="AJ1804" s="2">
        <f t="shared" si="226"/>
        <v>324.095947265625</v>
      </c>
      <c r="AK1804" s="6">
        <f t="shared" si="227"/>
        <v>7.3658169833096587E-2</v>
      </c>
      <c r="AL1804" s="12">
        <v>4400</v>
      </c>
      <c r="AM1804" s="12">
        <v>4180.27137352305</v>
      </c>
      <c r="AN1804" s="12">
        <f t="shared" si="228"/>
        <v>219.72862647695001</v>
      </c>
      <c r="AO1804" s="13">
        <f t="shared" si="229"/>
        <v>4.993832419930682E-2</v>
      </c>
      <c r="AP1804" s="16">
        <v>4400</v>
      </c>
      <c r="AQ1804" s="16">
        <v>3680.0635391401602</v>
      </c>
      <c r="AR1804" s="16">
        <f t="shared" si="230"/>
        <v>719.93646085983983</v>
      </c>
      <c r="AS1804" s="17">
        <f t="shared" si="224"/>
        <v>0.16362192292269087</v>
      </c>
      <c r="AT1804" s="20">
        <v>4400</v>
      </c>
      <c r="AU1804" s="20">
        <v>4103.10986328125</v>
      </c>
      <c r="AV1804" s="20">
        <f t="shared" si="225"/>
        <v>296.89013671875</v>
      </c>
      <c r="AW1804" s="21">
        <f t="shared" si="231"/>
        <v>6.7475031072443181E-2</v>
      </c>
    </row>
    <row r="1805" spans="1:49" x14ac:dyDescent="0.25">
      <c r="A1805" t="s">
        <v>128</v>
      </c>
      <c r="B1805" t="s">
        <v>129</v>
      </c>
      <c r="C1805">
        <v>275788</v>
      </c>
      <c r="D1805">
        <v>1999</v>
      </c>
      <c r="E1805" t="s">
        <v>116</v>
      </c>
      <c r="F1805" t="s">
        <v>117</v>
      </c>
      <c r="G1805" t="s">
        <v>112</v>
      </c>
      <c r="I1805">
        <v>8</v>
      </c>
      <c r="J1805" t="s">
        <v>735</v>
      </c>
      <c r="K1805">
        <v>4</v>
      </c>
      <c r="L1805" t="s">
        <v>44</v>
      </c>
      <c r="M1805">
        <v>5.2</v>
      </c>
      <c r="N1805" t="s">
        <v>73</v>
      </c>
      <c r="Q1805" t="s">
        <v>62</v>
      </c>
      <c r="R1805" t="s">
        <v>63</v>
      </c>
      <c r="S1805" t="s">
        <v>49</v>
      </c>
      <c r="U1805" t="s">
        <v>50</v>
      </c>
      <c r="V1805" t="s">
        <v>76</v>
      </c>
      <c r="X1805" t="s">
        <v>94</v>
      </c>
      <c r="Y1805" t="s">
        <v>78</v>
      </c>
      <c r="AA1805">
        <v>0</v>
      </c>
      <c r="AB1805" t="s">
        <v>79</v>
      </c>
      <c r="AC1805" t="s">
        <v>87</v>
      </c>
      <c r="AD1805">
        <v>36</v>
      </c>
      <c r="AE1805">
        <v>9</v>
      </c>
      <c r="AF1805">
        <v>3</v>
      </c>
      <c r="AG1805">
        <v>2025</v>
      </c>
      <c r="AH1805" s="2">
        <v>400</v>
      </c>
      <c r="AI1805" s="2">
        <v>603.547607421875</v>
      </c>
      <c r="AJ1805" s="2">
        <f t="shared" si="226"/>
        <v>203.547607421875</v>
      </c>
      <c r="AK1805" s="6">
        <f t="shared" si="227"/>
        <v>0.50886901855468747</v>
      </c>
      <c r="AL1805" s="12">
        <v>400</v>
      </c>
      <c r="AM1805" s="12">
        <v>571.61305939706176</v>
      </c>
      <c r="AN1805" s="12">
        <f t="shared" si="228"/>
        <v>171.61305939706176</v>
      </c>
      <c r="AO1805" s="13">
        <f t="shared" si="229"/>
        <v>0.42903264849265438</v>
      </c>
      <c r="AP1805" s="16">
        <v>400</v>
      </c>
      <c r="AQ1805" s="16">
        <v>544.86114194961533</v>
      </c>
      <c r="AR1805" s="16">
        <f t="shared" si="230"/>
        <v>144.86114194961533</v>
      </c>
      <c r="AS1805" s="17">
        <f t="shared" si="224"/>
        <v>0.36215285487403831</v>
      </c>
      <c r="AT1805" s="20">
        <v>400</v>
      </c>
      <c r="AU1805" s="20">
        <v>551.6898193359375</v>
      </c>
      <c r="AV1805" s="20">
        <f t="shared" si="225"/>
        <v>151.6898193359375</v>
      </c>
      <c r="AW1805" s="21">
        <f t="shared" si="231"/>
        <v>0.37922454833984376</v>
      </c>
    </row>
    <row r="1806" spans="1:49" x14ac:dyDescent="0.25">
      <c r="A1806" t="s">
        <v>38</v>
      </c>
      <c r="B1806" t="s">
        <v>68</v>
      </c>
      <c r="C1806">
        <v>120834</v>
      </c>
      <c r="D1806">
        <v>2018</v>
      </c>
      <c r="E1806" t="s">
        <v>40</v>
      </c>
      <c r="F1806" t="s">
        <v>297</v>
      </c>
      <c r="G1806" t="s">
        <v>991</v>
      </c>
      <c r="H1806" t="s">
        <v>863</v>
      </c>
      <c r="I1806">
        <v>4</v>
      </c>
      <c r="J1806" t="s">
        <v>106</v>
      </c>
      <c r="K1806">
        <v>4</v>
      </c>
      <c r="L1806" t="s">
        <v>44</v>
      </c>
      <c r="M1806">
        <v>2.5</v>
      </c>
      <c r="N1806" t="s">
        <v>45</v>
      </c>
      <c r="O1806" t="s">
        <v>46</v>
      </c>
      <c r="P1806">
        <v>4</v>
      </c>
      <c r="Q1806" t="s">
        <v>47</v>
      </c>
      <c r="R1806" t="s">
        <v>123</v>
      </c>
      <c r="S1806" t="s">
        <v>49</v>
      </c>
      <c r="T1806">
        <v>203</v>
      </c>
      <c r="U1806" t="s">
        <v>50</v>
      </c>
      <c r="V1806" t="s">
        <v>51</v>
      </c>
      <c r="W1806" t="s">
        <v>449</v>
      </c>
      <c r="X1806" t="s">
        <v>125</v>
      </c>
      <c r="Y1806" t="s">
        <v>78</v>
      </c>
      <c r="Z1806">
        <v>23645</v>
      </c>
      <c r="AA1806">
        <v>0</v>
      </c>
      <c r="AB1806" t="s">
        <v>79</v>
      </c>
      <c r="AC1806" t="s">
        <v>127</v>
      </c>
      <c r="AD1806">
        <v>36</v>
      </c>
      <c r="AE1806">
        <v>9</v>
      </c>
      <c r="AF1806">
        <v>3</v>
      </c>
      <c r="AG1806">
        <v>2025</v>
      </c>
      <c r="AH1806" s="2">
        <v>10000</v>
      </c>
      <c r="AI1806" s="2">
        <v>8227.9697265625</v>
      </c>
      <c r="AJ1806" s="2">
        <f t="shared" si="226"/>
        <v>1772.0302734375</v>
      </c>
      <c r="AK1806" s="6">
        <f t="shared" si="227"/>
        <v>0.17720302734375001</v>
      </c>
      <c r="AL1806" s="12">
        <v>10000</v>
      </c>
      <c r="AM1806" s="12">
        <v>8466.5572529902529</v>
      </c>
      <c r="AN1806" s="12">
        <f t="shared" si="228"/>
        <v>1533.4427470097471</v>
      </c>
      <c r="AO1806" s="13">
        <f t="shared" si="229"/>
        <v>0.1533442747009747</v>
      </c>
      <c r="AP1806" s="16">
        <v>10000</v>
      </c>
      <c r="AQ1806" s="16">
        <v>8980.6969093474054</v>
      </c>
      <c r="AR1806" s="16">
        <f t="shared" si="230"/>
        <v>1019.3030906525946</v>
      </c>
      <c r="AS1806" s="17">
        <f t="shared" si="224"/>
        <v>0.10193030906525946</v>
      </c>
      <c r="AT1806" s="20">
        <v>10000</v>
      </c>
      <c r="AU1806" s="20">
        <v>8446.0419921875</v>
      </c>
      <c r="AV1806" s="20">
        <f t="shared" si="225"/>
        <v>1553.9580078125</v>
      </c>
      <c r="AW1806" s="21">
        <f t="shared" si="231"/>
        <v>0.15539580078125001</v>
      </c>
    </row>
    <row r="1807" spans="1:49" x14ac:dyDescent="0.25">
      <c r="A1807" t="s">
        <v>38</v>
      </c>
      <c r="B1807" t="s">
        <v>96</v>
      </c>
      <c r="C1807">
        <v>95372</v>
      </c>
      <c r="D1807">
        <v>2019</v>
      </c>
      <c r="E1807" t="s">
        <v>58</v>
      </c>
      <c r="F1807" t="s">
        <v>243</v>
      </c>
      <c r="G1807" t="s">
        <v>1261</v>
      </c>
      <c r="I1807">
        <v>4</v>
      </c>
      <c r="J1807" t="s">
        <v>122</v>
      </c>
      <c r="K1807">
        <v>4</v>
      </c>
      <c r="L1807" t="s">
        <v>44</v>
      </c>
      <c r="M1807">
        <v>2</v>
      </c>
      <c r="N1807" t="s">
        <v>45</v>
      </c>
      <c r="O1807" t="s">
        <v>46</v>
      </c>
      <c r="Q1807" t="s">
        <v>47</v>
      </c>
      <c r="R1807" t="s">
        <v>123</v>
      </c>
      <c r="T1807">
        <v>147</v>
      </c>
      <c r="U1807" t="s">
        <v>50</v>
      </c>
      <c r="W1807" t="s">
        <v>463</v>
      </c>
      <c r="X1807" t="s">
        <v>125</v>
      </c>
      <c r="Y1807" t="s">
        <v>126</v>
      </c>
      <c r="AA1807">
        <v>0</v>
      </c>
      <c r="AB1807" t="s">
        <v>79</v>
      </c>
      <c r="AC1807" t="s">
        <v>127</v>
      </c>
      <c r="AD1807">
        <v>36</v>
      </c>
      <c r="AE1807">
        <v>9</v>
      </c>
      <c r="AF1807">
        <v>3</v>
      </c>
      <c r="AG1807">
        <v>2025</v>
      </c>
      <c r="AH1807" s="2">
        <v>7100</v>
      </c>
      <c r="AI1807" s="2">
        <v>6342.42822265625</v>
      </c>
      <c r="AJ1807" s="2">
        <f t="shared" si="226"/>
        <v>757.57177734375</v>
      </c>
      <c r="AK1807" s="6">
        <f t="shared" si="227"/>
        <v>0.10670025033010563</v>
      </c>
      <c r="AL1807" s="12">
        <v>7100</v>
      </c>
      <c r="AM1807" s="12">
        <v>6889.4009964402921</v>
      </c>
      <c r="AN1807" s="12">
        <f t="shared" si="228"/>
        <v>210.59900355970785</v>
      </c>
      <c r="AO1807" s="13">
        <f t="shared" si="229"/>
        <v>2.9661831487282797E-2</v>
      </c>
      <c r="AP1807" s="16">
        <v>7100</v>
      </c>
      <c r="AQ1807" s="16">
        <v>5732.9832976499083</v>
      </c>
      <c r="AR1807" s="16">
        <f t="shared" si="230"/>
        <v>1367.0167023500917</v>
      </c>
      <c r="AS1807" s="17">
        <f t="shared" si="224"/>
        <v>0.19253756371128053</v>
      </c>
      <c r="AT1807" s="20">
        <v>7100</v>
      </c>
      <c r="AU1807" s="20">
        <v>6476.03515625</v>
      </c>
      <c r="AV1807" s="20">
        <f t="shared" si="225"/>
        <v>623.96484375</v>
      </c>
      <c r="AW1807" s="21">
        <f t="shared" si="231"/>
        <v>8.7882372359154928E-2</v>
      </c>
    </row>
    <row r="1808" spans="1:49" x14ac:dyDescent="0.25">
      <c r="A1808" t="s">
        <v>81</v>
      </c>
      <c r="B1808" t="s">
        <v>82</v>
      </c>
      <c r="C1808">
        <v>160947</v>
      </c>
      <c r="D1808">
        <v>2009</v>
      </c>
      <c r="E1808" t="s">
        <v>166</v>
      </c>
      <c r="F1808" t="s">
        <v>562</v>
      </c>
      <c r="G1808" t="s">
        <v>1346</v>
      </c>
      <c r="I1808">
        <v>4</v>
      </c>
      <c r="J1808" t="s">
        <v>135</v>
      </c>
      <c r="K1808">
        <v>4</v>
      </c>
      <c r="L1808" t="s">
        <v>358</v>
      </c>
      <c r="M1808">
        <v>2.4</v>
      </c>
      <c r="N1808" t="s">
        <v>45</v>
      </c>
      <c r="O1808" t="s">
        <v>100</v>
      </c>
      <c r="Q1808" t="s">
        <v>47</v>
      </c>
      <c r="R1808" t="s">
        <v>123</v>
      </c>
      <c r="T1808">
        <v>177</v>
      </c>
      <c r="U1808" t="s">
        <v>50</v>
      </c>
      <c r="V1808" t="s">
        <v>51</v>
      </c>
      <c r="W1808" t="s">
        <v>1258</v>
      </c>
      <c r="X1808" t="s">
        <v>65</v>
      </c>
      <c r="Y1808" t="s">
        <v>78</v>
      </c>
      <c r="AA1808">
        <v>0</v>
      </c>
      <c r="AB1808" t="s">
        <v>79</v>
      </c>
      <c r="AC1808" t="s">
        <v>127</v>
      </c>
      <c r="AD1808">
        <v>36</v>
      </c>
      <c r="AE1808">
        <v>9</v>
      </c>
      <c r="AF1808">
        <v>3</v>
      </c>
      <c r="AG1808">
        <v>2025</v>
      </c>
      <c r="AH1808" s="2">
        <v>1300</v>
      </c>
      <c r="AI1808" s="2">
        <v>724.28143310546875</v>
      </c>
      <c r="AJ1808" s="2">
        <f t="shared" si="226"/>
        <v>575.71856689453125</v>
      </c>
      <c r="AK1808" s="6">
        <f t="shared" si="227"/>
        <v>0.44286043607271636</v>
      </c>
      <c r="AL1808" s="12">
        <v>1300</v>
      </c>
      <c r="AM1808" s="12">
        <v>842.72079687986388</v>
      </c>
      <c r="AN1808" s="12">
        <f t="shared" si="228"/>
        <v>457.27920312013612</v>
      </c>
      <c r="AO1808" s="13">
        <f t="shared" si="229"/>
        <v>0.35175323316933549</v>
      </c>
      <c r="AP1808" s="16">
        <v>1300</v>
      </c>
      <c r="AQ1808" s="16">
        <v>576.14759320104633</v>
      </c>
      <c r="AR1808" s="16">
        <f t="shared" si="230"/>
        <v>723.85240679895367</v>
      </c>
      <c r="AS1808" s="17">
        <f t="shared" si="224"/>
        <v>0.55680954369150282</v>
      </c>
      <c r="AT1808" s="20">
        <v>1300</v>
      </c>
      <c r="AU1808" s="20">
        <v>697.51617431640625</v>
      </c>
      <c r="AV1808" s="20">
        <f t="shared" si="225"/>
        <v>602.48382568359375</v>
      </c>
      <c r="AW1808" s="21">
        <f t="shared" si="231"/>
        <v>0.46344909667968748</v>
      </c>
    </row>
    <row r="1809" spans="1:49" x14ac:dyDescent="0.25">
      <c r="A1809" t="s">
        <v>38</v>
      </c>
      <c r="B1809" t="s">
        <v>96</v>
      </c>
      <c r="C1809">
        <v>87787</v>
      </c>
      <c r="D1809">
        <v>2020</v>
      </c>
      <c r="E1809" t="s">
        <v>69</v>
      </c>
      <c r="F1809" t="s">
        <v>104</v>
      </c>
      <c r="H1809" t="s">
        <v>118</v>
      </c>
      <c r="I1809">
        <v>6</v>
      </c>
      <c r="J1809" t="s">
        <v>61</v>
      </c>
      <c r="K1809">
        <v>4</v>
      </c>
      <c r="L1809" t="s">
        <v>44</v>
      </c>
      <c r="M1809">
        <v>3.5</v>
      </c>
      <c r="N1809" t="s">
        <v>73</v>
      </c>
      <c r="O1809" t="s">
        <v>46</v>
      </c>
      <c r="P1809">
        <v>2</v>
      </c>
      <c r="Q1809" t="s">
        <v>62</v>
      </c>
      <c r="R1809" t="s">
        <v>63</v>
      </c>
      <c r="S1809" t="s">
        <v>49</v>
      </c>
      <c r="T1809">
        <v>310</v>
      </c>
      <c r="U1809" t="s">
        <v>50</v>
      </c>
      <c r="V1809" t="s">
        <v>76</v>
      </c>
      <c r="W1809" t="s">
        <v>107</v>
      </c>
      <c r="X1809" t="s">
        <v>108</v>
      </c>
      <c r="Y1809" t="s">
        <v>78</v>
      </c>
      <c r="AA1809">
        <v>0</v>
      </c>
      <c r="AB1809" t="s">
        <v>79</v>
      </c>
      <c r="AC1809" t="s">
        <v>109</v>
      </c>
      <c r="AD1809">
        <v>36</v>
      </c>
      <c r="AE1809">
        <v>9</v>
      </c>
      <c r="AF1809">
        <v>3</v>
      </c>
      <c r="AG1809">
        <v>2025</v>
      </c>
      <c r="AH1809" s="2">
        <v>20000</v>
      </c>
      <c r="AI1809" s="2">
        <v>20712.232421875</v>
      </c>
      <c r="AJ1809" s="2">
        <f t="shared" si="226"/>
        <v>712.232421875</v>
      </c>
      <c r="AK1809" s="6">
        <f t="shared" si="227"/>
        <v>3.5611621093749997E-2</v>
      </c>
      <c r="AL1809" s="12">
        <v>20000</v>
      </c>
      <c r="AM1809" s="12">
        <v>17228.555703413229</v>
      </c>
      <c r="AN1809" s="12">
        <f t="shared" si="228"/>
        <v>2771.4442965867711</v>
      </c>
      <c r="AO1809" s="13">
        <f t="shared" si="229"/>
        <v>0.13857221482933854</v>
      </c>
      <c r="AP1809" s="16">
        <v>20000</v>
      </c>
      <c r="AQ1809" s="16">
        <v>17125.672854263292</v>
      </c>
      <c r="AR1809" s="16">
        <f t="shared" si="230"/>
        <v>2874.3271457367082</v>
      </c>
      <c r="AS1809" s="17">
        <f t="shared" si="224"/>
        <v>0.14371635728683541</v>
      </c>
      <c r="AT1809" s="20">
        <v>20000</v>
      </c>
      <c r="AU1809" s="20">
        <v>19809.76953125</v>
      </c>
      <c r="AV1809" s="20">
        <f t="shared" si="225"/>
        <v>190.23046875</v>
      </c>
      <c r="AW1809" s="21">
        <f t="shared" si="231"/>
        <v>9.5115234375000007E-3</v>
      </c>
    </row>
    <row r="1810" spans="1:49" x14ac:dyDescent="0.25">
      <c r="A1810" t="s">
        <v>128</v>
      </c>
      <c r="B1810" t="s">
        <v>1248</v>
      </c>
      <c r="C1810">
        <v>32530</v>
      </c>
      <c r="D1810">
        <v>2024</v>
      </c>
      <c r="E1810" t="s">
        <v>557</v>
      </c>
      <c r="F1810" t="s">
        <v>940</v>
      </c>
      <c r="H1810" t="s">
        <v>1135</v>
      </c>
      <c r="I1810">
        <v>6</v>
      </c>
      <c r="J1810" t="s">
        <v>72</v>
      </c>
      <c r="K1810">
        <v>4</v>
      </c>
      <c r="L1810" t="s">
        <v>44</v>
      </c>
      <c r="M1810">
        <v>3.6</v>
      </c>
      <c r="N1810" t="s">
        <v>45</v>
      </c>
      <c r="Q1810" t="s">
        <v>62</v>
      </c>
      <c r="R1810" t="s">
        <v>225</v>
      </c>
      <c r="S1810" t="s">
        <v>101</v>
      </c>
      <c r="T1810">
        <v>287</v>
      </c>
      <c r="U1810" t="s">
        <v>50</v>
      </c>
      <c r="V1810" t="s">
        <v>76</v>
      </c>
      <c r="X1810" t="s">
        <v>94</v>
      </c>
      <c r="Y1810" t="s">
        <v>103</v>
      </c>
      <c r="AA1810">
        <v>0</v>
      </c>
      <c r="AB1810" t="s">
        <v>79</v>
      </c>
      <c r="AC1810" t="s">
        <v>225</v>
      </c>
      <c r="AD1810">
        <v>36</v>
      </c>
      <c r="AE1810">
        <v>9</v>
      </c>
      <c r="AF1810">
        <v>3</v>
      </c>
      <c r="AG1810">
        <v>2025</v>
      </c>
      <c r="AH1810" s="2">
        <v>33400</v>
      </c>
      <c r="AI1810" s="2">
        <v>28757.134765625</v>
      </c>
      <c r="AJ1810" s="2">
        <f t="shared" si="226"/>
        <v>4642.865234375</v>
      </c>
      <c r="AK1810" s="6">
        <f t="shared" si="227"/>
        <v>0.1390079411489521</v>
      </c>
      <c r="AL1810" s="12">
        <v>33400</v>
      </c>
      <c r="AM1810" s="12">
        <v>29373.8560653042</v>
      </c>
      <c r="AN1810" s="12">
        <f t="shared" si="228"/>
        <v>4026.1439346957995</v>
      </c>
      <c r="AO1810" s="13">
        <f t="shared" si="229"/>
        <v>0.12054323157771855</v>
      </c>
      <c r="AP1810" s="16">
        <v>33400</v>
      </c>
      <c r="AQ1810" s="16">
        <v>25811.524755585851</v>
      </c>
      <c r="AR1810" s="16">
        <f t="shared" si="230"/>
        <v>7588.4752444141486</v>
      </c>
      <c r="AS1810" s="17">
        <f t="shared" si="224"/>
        <v>0.22719985761719008</v>
      </c>
      <c r="AT1810" s="20">
        <v>33400</v>
      </c>
      <c r="AU1810" s="20">
        <v>28538.48046875</v>
      </c>
      <c r="AV1810" s="20">
        <f t="shared" si="225"/>
        <v>4861.51953125</v>
      </c>
      <c r="AW1810" s="21">
        <f t="shared" si="231"/>
        <v>0.14555447698353294</v>
      </c>
    </row>
    <row r="1811" spans="1:49" x14ac:dyDescent="0.25">
      <c r="A1811" t="s">
        <v>38</v>
      </c>
      <c r="B1811" t="s">
        <v>39</v>
      </c>
      <c r="C1811">
        <v>17315</v>
      </c>
      <c r="D1811">
        <v>2023</v>
      </c>
      <c r="E1811" t="s">
        <v>305</v>
      </c>
      <c r="F1811" t="s">
        <v>961</v>
      </c>
      <c r="H1811" t="s">
        <v>307</v>
      </c>
      <c r="I1811">
        <v>4</v>
      </c>
      <c r="J1811" t="s">
        <v>72</v>
      </c>
      <c r="K1811">
        <v>4</v>
      </c>
      <c r="L1811" t="s">
        <v>371</v>
      </c>
      <c r="M1811">
        <v>2</v>
      </c>
      <c r="N1811" t="s">
        <v>45</v>
      </c>
      <c r="Q1811" t="s">
        <v>62</v>
      </c>
      <c r="R1811" t="s">
        <v>63</v>
      </c>
      <c r="S1811" t="s">
        <v>49</v>
      </c>
      <c r="U1811" t="s">
        <v>50</v>
      </c>
      <c r="W1811" t="s">
        <v>962</v>
      </c>
      <c r="X1811" t="s">
        <v>65</v>
      </c>
      <c r="Y1811" t="s">
        <v>78</v>
      </c>
      <c r="AA1811">
        <v>0</v>
      </c>
      <c r="AB1811" t="s">
        <v>79</v>
      </c>
      <c r="AC1811" t="s">
        <v>87</v>
      </c>
      <c r="AD1811">
        <v>36</v>
      </c>
      <c r="AE1811">
        <v>9</v>
      </c>
      <c r="AF1811">
        <v>3</v>
      </c>
      <c r="AG1811">
        <v>2025</v>
      </c>
      <c r="AH1811" s="2">
        <v>31000</v>
      </c>
      <c r="AI1811" s="2">
        <v>25153.75</v>
      </c>
      <c r="AJ1811" s="2">
        <f t="shared" si="226"/>
        <v>5846.25</v>
      </c>
      <c r="AK1811" s="6">
        <f t="shared" si="227"/>
        <v>0.18858870967741936</v>
      </c>
      <c r="AL1811" s="12">
        <v>31000</v>
      </c>
      <c r="AM1811" s="12">
        <v>25528.820359117359</v>
      </c>
      <c r="AN1811" s="12">
        <f t="shared" si="228"/>
        <v>5471.1796408826413</v>
      </c>
      <c r="AO1811" s="13">
        <f t="shared" si="229"/>
        <v>0.1764896658349239</v>
      </c>
      <c r="AP1811" s="16">
        <v>31000</v>
      </c>
      <c r="AQ1811" s="16">
        <v>27918.162254321371</v>
      </c>
      <c r="AR1811" s="16">
        <f t="shared" si="230"/>
        <v>3081.8377456786293</v>
      </c>
      <c r="AS1811" s="17">
        <f t="shared" si="224"/>
        <v>9.9414120828342875E-2</v>
      </c>
      <c r="AT1811" s="20">
        <v>31000</v>
      </c>
      <c r="AU1811" s="20">
        <v>25251.431640625</v>
      </c>
      <c r="AV1811" s="20">
        <f t="shared" si="225"/>
        <v>5748.568359375</v>
      </c>
      <c r="AW1811" s="21">
        <f t="shared" si="231"/>
        <v>0.18543768901209678</v>
      </c>
    </row>
    <row r="1812" spans="1:49" x14ac:dyDescent="0.25">
      <c r="A1812" t="s">
        <v>38</v>
      </c>
      <c r="B1812" t="s">
        <v>110</v>
      </c>
      <c r="C1812">
        <v>131914</v>
      </c>
      <c r="D1812">
        <v>2014</v>
      </c>
      <c r="E1812" t="s">
        <v>166</v>
      </c>
      <c r="F1812" t="s">
        <v>247</v>
      </c>
      <c r="G1812" t="s">
        <v>240</v>
      </c>
      <c r="I1812">
        <v>4</v>
      </c>
      <c r="J1812" t="s">
        <v>72</v>
      </c>
      <c r="K1812">
        <v>4</v>
      </c>
      <c r="L1812" t="s">
        <v>44</v>
      </c>
      <c r="M1812">
        <v>2.4</v>
      </c>
      <c r="N1812" t="s">
        <v>45</v>
      </c>
      <c r="Q1812" t="s">
        <v>62</v>
      </c>
      <c r="R1812" t="s">
        <v>63</v>
      </c>
      <c r="S1812" t="s">
        <v>49</v>
      </c>
      <c r="T1812">
        <v>185</v>
      </c>
      <c r="U1812" t="s">
        <v>50</v>
      </c>
      <c r="V1812" t="s">
        <v>51</v>
      </c>
      <c r="W1812" t="s">
        <v>812</v>
      </c>
      <c r="X1812" t="s">
        <v>65</v>
      </c>
      <c r="Y1812" t="s">
        <v>78</v>
      </c>
      <c r="AA1812">
        <v>0</v>
      </c>
      <c r="AB1812" t="s">
        <v>79</v>
      </c>
      <c r="AC1812" t="s">
        <v>87</v>
      </c>
      <c r="AD1812">
        <v>36</v>
      </c>
      <c r="AE1812">
        <v>9</v>
      </c>
      <c r="AF1812">
        <v>3</v>
      </c>
      <c r="AG1812">
        <v>2025</v>
      </c>
      <c r="AH1812" s="2">
        <v>6400</v>
      </c>
      <c r="AI1812" s="2">
        <v>6202.09912109375</v>
      </c>
      <c r="AJ1812" s="2">
        <f t="shared" si="226"/>
        <v>197.90087890625</v>
      </c>
      <c r="AK1812" s="6">
        <f t="shared" si="227"/>
        <v>3.0922012329101564E-2</v>
      </c>
      <c r="AL1812" s="12">
        <v>6400</v>
      </c>
      <c r="AM1812" s="12">
        <v>5271.4047059008262</v>
      </c>
      <c r="AN1812" s="12">
        <f t="shared" si="228"/>
        <v>1128.5952940991738</v>
      </c>
      <c r="AO1812" s="13">
        <f t="shared" si="229"/>
        <v>0.1763430147029959</v>
      </c>
      <c r="AP1812" s="16">
        <v>6400</v>
      </c>
      <c r="AQ1812" s="16">
        <v>4678.758168921423</v>
      </c>
      <c r="AR1812" s="16">
        <f t="shared" si="230"/>
        <v>1721.241831078577</v>
      </c>
      <c r="AS1812" s="17">
        <f t="shared" si="224"/>
        <v>0.26894403610602763</v>
      </c>
      <c r="AT1812" s="20">
        <v>6400</v>
      </c>
      <c r="AU1812" s="20">
        <v>6123.67724609375</v>
      </c>
      <c r="AV1812" s="20">
        <f t="shared" si="225"/>
        <v>276.32275390625</v>
      </c>
      <c r="AW1812" s="21">
        <f t="shared" si="231"/>
        <v>4.3175430297851564E-2</v>
      </c>
    </row>
    <row r="1813" spans="1:49" x14ac:dyDescent="0.25">
      <c r="A1813" t="s">
        <v>38</v>
      </c>
      <c r="B1813" t="s">
        <v>68</v>
      </c>
      <c r="C1813">
        <v>173655</v>
      </c>
      <c r="D1813">
        <v>2018</v>
      </c>
      <c r="E1813" t="s">
        <v>162</v>
      </c>
      <c r="F1813" t="s">
        <v>211</v>
      </c>
      <c r="G1813" t="s">
        <v>1512</v>
      </c>
      <c r="I1813">
        <v>4</v>
      </c>
      <c r="J1813" t="s">
        <v>72</v>
      </c>
      <c r="K1813">
        <v>4</v>
      </c>
      <c r="L1813" t="s">
        <v>44</v>
      </c>
      <c r="M1813">
        <v>1.4</v>
      </c>
      <c r="N1813" t="s">
        <v>45</v>
      </c>
      <c r="O1813" t="s">
        <v>46</v>
      </c>
      <c r="Q1813" t="s">
        <v>47</v>
      </c>
      <c r="R1813" t="s">
        <v>123</v>
      </c>
      <c r="S1813" t="s">
        <v>101</v>
      </c>
      <c r="T1813">
        <v>128</v>
      </c>
      <c r="U1813" t="s">
        <v>50</v>
      </c>
      <c r="W1813" t="s">
        <v>1513</v>
      </c>
      <c r="X1813" t="s">
        <v>125</v>
      </c>
      <c r="Y1813" t="s">
        <v>78</v>
      </c>
      <c r="Z1813">
        <v>20550</v>
      </c>
      <c r="AA1813">
        <v>0</v>
      </c>
      <c r="AB1813" t="s">
        <v>79</v>
      </c>
      <c r="AC1813" t="s">
        <v>127</v>
      </c>
      <c r="AD1813">
        <v>36</v>
      </c>
      <c r="AE1813">
        <v>9</v>
      </c>
      <c r="AF1813">
        <v>3</v>
      </c>
      <c r="AG1813">
        <v>2025</v>
      </c>
      <c r="AH1813" s="2">
        <v>1300</v>
      </c>
      <c r="AI1813" s="2">
        <v>2274.469970703125</v>
      </c>
      <c r="AJ1813" s="2">
        <f t="shared" si="226"/>
        <v>974.469970703125</v>
      </c>
      <c r="AK1813" s="6">
        <f t="shared" si="227"/>
        <v>0.74959228515624998</v>
      </c>
      <c r="AL1813" s="12">
        <v>1300</v>
      </c>
      <c r="AM1813" s="12">
        <v>2552.4627880455541</v>
      </c>
      <c r="AN1813" s="12">
        <f t="shared" si="228"/>
        <v>1252.4627880455541</v>
      </c>
      <c r="AO1813" s="13">
        <f t="shared" si="229"/>
        <v>0.96343291388119545</v>
      </c>
      <c r="AP1813" s="16">
        <v>1300</v>
      </c>
      <c r="AQ1813" s="16">
        <v>2251.6579895405862</v>
      </c>
      <c r="AR1813" s="16">
        <f t="shared" si="230"/>
        <v>951.65798954058619</v>
      </c>
      <c r="AS1813" s="17">
        <f t="shared" si="224"/>
        <v>0.73204460733891241</v>
      </c>
      <c r="AT1813" s="20">
        <v>1300</v>
      </c>
      <c r="AU1813" s="20">
        <v>2280.509521484375</v>
      </c>
      <c r="AV1813" s="20">
        <f t="shared" si="225"/>
        <v>980.509521484375</v>
      </c>
      <c r="AW1813" s="21">
        <f t="shared" si="231"/>
        <v>0.7542380934495192</v>
      </c>
    </row>
    <row r="1814" spans="1:49" x14ac:dyDescent="0.25">
      <c r="A1814" t="s">
        <v>38</v>
      </c>
      <c r="B1814" t="s">
        <v>110</v>
      </c>
      <c r="C1814">
        <v>17842</v>
      </c>
      <c r="D1814">
        <v>2023</v>
      </c>
      <c r="E1814" t="s">
        <v>69</v>
      </c>
      <c r="F1814" t="s">
        <v>231</v>
      </c>
      <c r="G1814" t="s">
        <v>764</v>
      </c>
      <c r="I1814">
        <v>6</v>
      </c>
      <c r="J1814" t="s">
        <v>61</v>
      </c>
      <c r="K1814">
        <v>4</v>
      </c>
      <c r="L1814" t="s">
        <v>371</v>
      </c>
      <c r="M1814">
        <v>3.5</v>
      </c>
      <c r="N1814" t="s">
        <v>91</v>
      </c>
      <c r="Q1814" t="s">
        <v>74</v>
      </c>
      <c r="R1814" t="s">
        <v>92</v>
      </c>
      <c r="S1814" t="s">
        <v>93</v>
      </c>
      <c r="U1814" t="s">
        <v>50</v>
      </c>
      <c r="V1814" t="s">
        <v>76</v>
      </c>
      <c r="X1814" t="s">
        <v>108</v>
      </c>
      <c r="Y1814" t="s">
        <v>78</v>
      </c>
      <c r="AA1814">
        <v>1</v>
      </c>
      <c r="AB1814" t="s">
        <v>55</v>
      </c>
      <c r="AC1814" t="s">
        <v>1408</v>
      </c>
      <c r="AD1814">
        <v>36</v>
      </c>
      <c r="AE1814">
        <v>9</v>
      </c>
      <c r="AF1814">
        <v>3</v>
      </c>
      <c r="AG1814">
        <v>2025</v>
      </c>
      <c r="AH1814" s="2">
        <v>49500</v>
      </c>
      <c r="AI1814" s="2">
        <v>46536.890625</v>
      </c>
      <c r="AJ1814" s="2">
        <f t="shared" si="226"/>
        <v>2963.109375</v>
      </c>
      <c r="AK1814" s="6">
        <f t="shared" si="227"/>
        <v>5.9860795454545451E-2</v>
      </c>
      <c r="AL1814" s="12">
        <v>49500</v>
      </c>
      <c r="AM1814" s="12">
        <v>49117.937613902723</v>
      </c>
      <c r="AN1814" s="12">
        <f t="shared" si="228"/>
        <v>382.06238609727734</v>
      </c>
      <c r="AO1814" s="13">
        <f t="shared" si="229"/>
        <v>7.7184320423692391E-3</v>
      </c>
      <c r="AP1814" s="16">
        <v>49500</v>
      </c>
      <c r="AQ1814" s="16">
        <v>52939.946308040868</v>
      </c>
      <c r="AR1814" s="16">
        <f t="shared" si="230"/>
        <v>3439.9463080408677</v>
      </c>
      <c r="AS1814" s="17">
        <f t="shared" si="224"/>
        <v>6.9493864808906416E-2</v>
      </c>
      <c r="AT1814" s="20">
        <v>49500</v>
      </c>
      <c r="AU1814" s="20">
        <v>45646.296875</v>
      </c>
      <c r="AV1814" s="20">
        <f t="shared" si="225"/>
        <v>3853.703125</v>
      </c>
      <c r="AW1814" s="21">
        <f t="shared" si="231"/>
        <v>7.7852588383838378E-2</v>
      </c>
    </row>
    <row r="1815" spans="1:49" x14ac:dyDescent="0.25">
      <c r="A1815" t="s">
        <v>81</v>
      </c>
      <c r="B1815" t="s">
        <v>501</v>
      </c>
      <c r="C1815">
        <v>49300</v>
      </c>
      <c r="D1815">
        <v>2023</v>
      </c>
      <c r="E1815" t="s">
        <v>174</v>
      </c>
      <c r="F1815" t="s">
        <v>175</v>
      </c>
      <c r="H1815" t="s">
        <v>548</v>
      </c>
      <c r="I1815">
        <v>8</v>
      </c>
      <c r="J1815" t="s">
        <v>43</v>
      </c>
      <c r="K1815">
        <v>4</v>
      </c>
      <c r="L1815" t="s">
        <v>44</v>
      </c>
      <c r="M1815">
        <v>6.2</v>
      </c>
      <c r="N1815" t="s">
        <v>91</v>
      </c>
      <c r="Q1815" t="s">
        <v>62</v>
      </c>
      <c r="R1815" t="s">
        <v>63</v>
      </c>
      <c r="S1815" t="s">
        <v>93</v>
      </c>
      <c r="U1815" t="s">
        <v>50</v>
      </c>
      <c r="V1815" t="s">
        <v>76</v>
      </c>
      <c r="W1815" t="s">
        <v>910</v>
      </c>
      <c r="X1815" t="s">
        <v>108</v>
      </c>
      <c r="Y1815" t="s">
        <v>78</v>
      </c>
      <c r="AA1815">
        <v>0</v>
      </c>
      <c r="AB1815" t="s">
        <v>79</v>
      </c>
      <c r="AC1815" t="s">
        <v>87</v>
      </c>
      <c r="AD1815">
        <v>36</v>
      </c>
      <c r="AE1815">
        <v>9</v>
      </c>
      <c r="AF1815">
        <v>3</v>
      </c>
      <c r="AG1815">
        <v>2025</v>
      </c>
      <c r="AH1815" s="2">
        <v>59000</v>
      </c>
      <c r="AI1815" s="2">
        <v>73870.125</v>
      </c>
      <c r="AJ1815" s="2">
        <f t="shared" si="226"/>
        <v>14870.125</v>
      </c>
      <c r="AK1815" s="6">
        <f t="shared" si="227"/>
        <v>0.25203601694915256</v>
      </c>
      <c r="AL1815" s="12">
        <v>59000</v>
      </c>
      <c r="AM1815" s="12">
        <v>62449.191096765629</v>
      </c>
      <c r="AN1815" s="12">
        <f t="shared" si="228"/>
        <v>3449.1910967656295</v>
      </c>
      <c r="AO1815" s="13">
        <f t="shared" si="229"/>
        <v>5.8460866046875073E-2</v>
      </c>
      <c r="AP1815" s="16">
        <v>59000</v>
      </c>
      <c r="AQ1815" s="16">
        <v>53014.9152477065</v>
      </c>
      <c r="AR1815" s="16">
        <f t="shared" si="230"/>
        <v>5985.0847522935001</v>
      </c>
      <c r="AS1815" s="17">
        <f t="shared" si="224"/>
        <v>0.10144211444565254</v>
      </c>
      <c r="AT1815" s="20">
        <v>59000</v>
      </c>
      <c r="AU1815" s="20">
        <v>75029.921875</v>
      </c>
      <c r="AV1815" s="20">
        <f t="shared" si="225"/>
        <v>16029.921875</v>
      </c>
      <c r="AW1815" s="21">
        <f t="shared" si="231"/>
        <v>0.27169359110169494</v>
      </c>
    </row>
    <row r="1816" spans="1:49" x14ac:dyDescent="0.25">
      <c r="A1816" t="s">
        <v>38</v>
      </c>
      <c r="B1816" t="s">
        <v>96</v>
      </c>
      <c r="C1816">
        <v>109972</v>
      </c>
      <c r="D1816">
        <v>2015</v>
      </c>
      <c r="E1816" t="s">
        <v>69</v>
      </c>
      <c r="F1816" t="s">
        <v>873</v>
      </c>
      <c r="G1816" t="s">
        <v>224</v>
      </c>
      <c r="I1816">
        <v>4</v>
      </c>
      <c r="J1816" t="s">
        <v>72</v>
      </c>
      <c r="K1816">
        <v>4</v>
      </c>
      <c r="L1816" t="s">
        <v>44</v>
      </c>
      <c r="M1816">
        <v>2</v>
      </c>
      <c r="N1816" t="s">
        <v>45</v>
      </c>
      <c r="O1816" t="s">
        <v>46</v>
      </c>
      <c r="Q1816" t="s">
        <v>62</v>
      </c>
      <c r="R1816" t="s">
        <v>63</v>
      </c>
      <c r="S1816" t="s">
        <v>101</v>
      </c>
      <c r="U1816" t="s">
        <v>50</v>
      </c>
      <c r="V1816" t="s">
        <v>51</v>
      </c>
      <c r="X1816" t="s">
        <v>141</v>
      </c>
      <c r="Y1816" t="s">
        <v>103</v>
      </c>
      <c r="AA1816">
        <v>0</v>
      </c>
      <c r="AB1816" t="s">
        <v>79</v>
      </c>
      <c r="AC1816" t="s">
        <v>87</v>
      </c>
      <c r="AD1816">
        <v>36</v>
      </c>
      <c r="AE1816">
        <v>9</v>
      </c>
      <c r="AF1816">
        <v>3</v>
      </c>
      <c r="AG1816">
        <v>2025</v>
      </c>
      <c r="AH1816" s="2">
        <v>4500</v>
      </c>
      <c r="AI1816" s="2">
        <v>4320.49609375</v>
      </c>
      <c r="AJ1816" s="2">
        <f t="shared" si="226"/>
        <v>179.50390625</v>
      </c>
      <c r="AK1816" s="6">
        <f t="shared" si="227"/>
        <v>3.9889756944444445E-2</v>
      </c>
      <c r="AL1816" s="12">
        <v>4500</v>
      </c>
      <c r="AM1816" s="12">
        <v>4293.3888390046068</v>
      </c>
      <c r="AN1816" s="12">
        <f t="shared" si="228"/>
        <v>206.61116099539322</v>
      </c>
      <c r="AO1816" s="13">
        <f t="shared" si="229"/>
        <v>4.5913591332309607E-2</v>
      </c>
      <c r="AP1816" s="16">
        <v>4500</v>
      </c>
      <c r="AQ1816" s="16">
        <v>4118.2317825696309</v>
      </c>
      <c r="AR1816" s="16">
        <f t="shared" si="230"/>
        <v>381.76821743036908</v>
      </c>
      <c r="AS1816" s="17">
        <f t="shared" si="224"/>
        <v>8.4837381651193131E-2</v>
      </c>
      <c r="AT1816" s="20">
        <v>4500</v>
      </c>
      <c r="AU1816" s="20">
        <v>4404.6416015625</v>
      </c>
      <c r="AV1816" s="20">
        <f t="shared" si="225"/>
        <v>95.3583984375</v>
      </c>
      <c r="AW1816" s="21">
        <f t="shared" si="231"/>
        <v>2.1190755208333332E-2</v>
      </c>
    </row>
    <row r="1817" spans="1:49" x14ac:dyDescent="0.25">
      <c r="A1817" t="s">
        <v>38</v>
      </c>
      <c r="B1817" t="s">
        <v>68</v>
      </c>
      <c r="C1817">
        <v>127389</v>
      </c>
      <c r="D1817">
        <v>2017</v>
      </c>
      <c r="E1817" t="s">
        <v>146</v>
      </c>
      <c r="F1817" t="s">
        <v>302</v>
      </c>
      <c r="I1817">
        <v>6</v>
      </c>
      <c r="J1817" t="s">
        <v>72</v>
      </c>
      <c r="K1817">
        <v>4</v>
      </c>
      <c r="L1817" t="s">
        <v>44</v>
      </c>
      <c r="M1817">
        <v>3.5</v>
      </c>
      <c r="N1817" t="s">
        <v>45</v>
      </c>
      <c r="O1817" t="s">
        <v>46</v>
      </c>
      <c r="P1817">
        <v>2</v>
      </c>
      <c r="Q1817" t="s">
        <v>62</v>
      </c>
      <c r="R1817" t="s">
        <v>63</v>
      </c>
      <c r="S1817" t="s">
        <v>49</v>
      </c>
      <c r="U1817" t="s">
        <v>50</v>
      </c>
      <c r="V1817" t="s">
        <v>76</v>
      </c>
      <c r="X1817" t="s">
        <v>141</v>
      </c>
      <c r="Y1817" t="s">
        <v>78</v>
      </c>
      <c r="AA1817">
        <v>0</v>
      </c>
      <c r="AB1817" t="s">
        <v>79</v>
      </c>
      <c r="AC1817" t="s">
        <v>109</v>
      </c>
      <c r="AD1817">
        <v>36</v>
      </c>
      <c r="AE1817">
        <v>9</v>
      </c>
      <c r="AF1817">
        <v>3</v>
      </c>
      <c r="AG1817">
        <v>2025</v>
      </c>
      <c r="AH1817" s="2">
        <v>2000</v>
      </c>
      <c r="AI1817" s="2">
        <v>2922.625732421875</v>
      </c>
      <c r="AJ1817" s="2">
        <f t="shared" si="226"/>
        <v>922.625732421875</v>
      </c>
      <c r="AK1817" s="6">
        <f t="shared" si="227"/>
        <v>0.46131286621093748</v>
      </c>
      <c r="AL1817" s="12">
        <v>2000</v>
      </c>
      <c r="AM1817" s="12">
        <v>3737.273144627608</v>
      </c>
      <c r="AN1817" s="12">
        <f t="shared" si="228"/>
        <v>1737.273144627608</v>
      </c>
      <c r="AO1817" s="13">
        <f t="shared" si="229"/>
        <v>0.86863657231380398</v>
      </c>
      <c r="AP1817" s="16">
        <v>2000</v>
      </c>
      <c r="AQ1817" s="16">
        <v>3234.8589227653579</v>
      </c>
      <c r="AR1817" s="16">
        <f t="shared" si="230"/>
        <v>1234.8589227653579</v>
      </c>
      <c r="AS1817" s="17">
        <f t="shared" si="224"/>
        <v>0.61742946138267896</v>
      </c>
      <c r="AT1817" s="20">
        <v>2000</v>
      </c>
      <c r="AU1817" s="20">
        <v>2979.170654296875</v>
      </c>
      <c r="AV1817" s="20">
        <f t="shared" si="225"/>
        <v>979.170654296875</v>
      </c>
      <c r="AW1817" s="21">
        <f t="shared" si="231"/>
        <v>0.4895853271484375</v>
      </c>
    </row>
    <row r="1818" spans="1:49" x14ac:dyDescent="0.25">
      <c r="A1818" t="s">
        <v>128</v>
      </c>
      <c r="B1818" t="s">
        <v>210</v>
      </c>
      <c r="C1818">
        <v>98830</v>
      </c>
      <c r="D1818">
        <v>2014</v>
      </c>
      <c r="E1818" t="s">
        <v>557</v>
      </c>
      <c r="F1818" t="s">
        <v>1113</v>
      </c>
      <c r="G1818" t="s">
        <v>1113</v>
      </c>
      <c r="I1818">
        <v>6</v>
      </c>
      <c r="J1818" t="s">
        <v>106</v>
      </c>
      <c r="K1818">
        <v>4</v>
      </c>
      <c r="L1818" t="s">
        <v>44</v>
      </c>
      <c r="M1818">
        <v>3.6</v>
      </c>
      <c r="N1818" t="s">
        <v>73</v>
      </c>
      <c r="O1818" t="s">
        <v>46</v>
      </c>
      <c r="Q1818" t="s">
        <v>47</v>
      </c>
      <c r="R1818" t="s">
        <v>123</v>
      </c>
      <c r="S1818" t="s">
        <v>179</v>
      </c>
      <c r="U1818" t="s">
        <v>50</v>
      </c>
      <c r="X1818" t="s">
        <v>125</v>
      </c>
      <c r="Y1818" t="s">
        <v>103</v>
      </c>
      <c r="AA1818">
        <v>0</v>
      </c>
      <c r="AB1818" t="s">
        <v>79</v>
      </c>
      <c r="AC1818" t="s">
        <v>127</v>
      </c>
      <c r="AD1818">
        <v>36</v>
      </c>
      <c r="AE1818">
        <v>9</v>
      </c>
      <c r="AF1818">
        <v>3</v>
      </c>
      <c r="AG1818">
        <v>2025</v>
      </c>
      <c r="AH1818" s="2">
        <v>2600</v>
      </c>
      <c r="AI1818" s="2">
        <v>6215.73193359375</v>
      </c>
      <c r="AJ1818" s="2">
        <f t="shared" si="226"/>
        <v>3615.73193359375</v>
      </c>
      <c r="AK1818" s="6">
        <f t="shared" si="227"/>
        <v>1.3906661283052884</v>
      </c>
      <c r="AL1818" s="12">
        <v>2600</v>
      </c>
      <c r="AM1818" s="12">
        <v>6318.4116660951777</v>
      </c>
      <c r="AN1818" s="12">
        <f t="shared" si="228"/>
        <v>3718.4116660951777</v>
      </c>
      <c r="AO1818" s="13">
        <f t="shared" si="229"/>
        <v>1.4301583331135299</v>
      </c>
      <c r="AP1818" s="16">
        <v>2600</v>
      </c>
      <c r="AQ1818" s="16">
        <v>5232.4199937870162</v>
      </c>
      <c r="AR1818" s="16">
        <f t="shared" si="230"/>
        <v>2632.4199937870162</v>
      </c>
      <c r="AS1818" s="17">
        <f t="shared" si="224"/>
        <v>1.0124692283796217</v>
      </c>
      <c r="AT1818" s="20">
        <v>2600</v>
      </c>
      <c r="AU1818" s="20">
        <v>6287.32177734375</v>
      </c>
      <c r="AV1818" s="20">
        <f t="shared" si="225"/>
        <v>3687.32177734375</v>
      </c>
      <c r="AW1818" s="21">
        <f t="shared" si="231"/>
        <v>1.41820068359375</v>
      </c>
    </row>
    <row r="1819" spans="1:49" x14ac:dyDescent="0.25">
      <c r="A1819" t="s">
        <v>38</v>
      </c>
      <c r="B1819" t="s">
        <v>96</v>
      </c>
      <c r="C1819">
        <v>75103</v>
      </c>
      <c r="D1819">
        <v>2020</v>
      </c>
      <c r="E1819" t="s">
        <v>388</v>
      </c>
      <c r="F1819" t="s">
        <v>668</v>
      </c>
      <c r="H1819" t="s">
        <v>669</v>
      </c>
      <c r="I1819">
        <v>3</v>
      </c>
      <c r="J1819" t="s">
        <v>72</v>
      </c>
      <c r="K1819">
        <v>4</v>
      </c>
      <c r="L1819" t="s">
        <v>44</v>
      </c>
      <c r="M1819">
        <v>1.2</v>
      </c>
      <c r="N1819" t="s">
        <v>45</v>
      </c>
      <c r="O1819" t="s">
        <v>46</v>
      </c>
      <c r="P1819">
        <v>2</v>
      </c>
      <c r="Q1819" t="s">
        <v>47</v>
      </c>
      <c r="R1819" t="s">
        <v>123</v>
      </c>
      <c r="S1819" t="s">
        <v>101</v>
      </c>
      <c r="U1819" t="s">
        <v>50</v>
      </c>
      <c r="V1819" t="s">
        <v>51</v>
      </c>
      <c r="X1819" t="s">
        <v>125</v>
      </c>
      <c r="Y1819" t="s">
        <v>439</v>
      </c>
      <c r="AA1819">
        <v>0</v>
      </c>
      <c r="AB1819" t="s">
        <v>79</v>
      </c>
      <c r="AC1819" t="s">
        <v>127</v>
      </c>
      <c r="AD1819">
        <v>36</v>
      </c>
      <c r="AE1819">
        <v>9</v>
      </c>
      <c r="AF1819">
        <v>3</v>
      </c>
      <c r="AG1819">
        <v>2025</v>
      </c>
      <c r="AH1819" s="2">
        <v>3000</v>
      </c>
      <c r="AI1819" s="2">
        <v>3121.962646484375</v>
      </c>
      <c r="AJ1819" s="2">
        <f t="shared" si="226"/>
        <v>121.962646484375</v>
      </c>
      <c r="AK1819" s="6">
        <f t="shared" si="227"/>
        <v>4.0654215494791666E-2</v>
      </c>
      <c r="AL1819" s="12">
        <v>3000</v>
      </c>
      <c r="AM1819" s="12">
        <v>4349.940688040545</v>
      </c>
      <c r="AN1819" s="12">
        <f t="shared" si="228"/>
        <v>1349.940688040545</v>
      </c>
      <c r="AO1819" s="13">
        <f t="shared" si="229"/>
        <v>0.44998022934684834</v>
      </c>
      <c r="AP1819" s="16">
        <v>3000</v>
      </c>
      <c r="AQ1819" s="16">
        <v>3548.4314091167789</v>
      </c>
      <c r="AR1819" s="16">
        <f t="shared" si="230"/>
        <v>548.43140911677892</v>
      </c>
      <c r="AS1819" s="17">
        <f t="shared" si="224"/>
        <v>0.18281046970559298</v>
      </c>
      <c r="AT1819" s="20">
        <v>3000</v>
      </c>
      <c r="AU1819" s="20">
        <v>3182.728515625</v>
      </c>
      <c r="AV1819" s="20">
        <f t="shared" si="225"/>
        <v>182.728515625</v>
      </c>
      <c r="AW1819" s="21">
        <f t="shared" si="231"/>
        <v>6.0909505208333332E-2</v>
      </c>
    </row>
    <row r="1820" spans="1:49" x14ac:dyDescent="0.25">
      <c r="A1820" t="s">
        <v>38</v>
      </c>
      <c r="B1820" t="s">
        <v>110</v>
      </c>
      <c r="C1820">
        <v>188126</v>
      </c>
      <c r="D1820">
        <v>2009</v>
      </c>
      <c r="E1820" t="s">
        <v>166</v>
      </c>
      <c r="F1820" t="s">
        <v>562</v>
      </c>
      <c r="G1820" t="s">
        <v>670</v>
      </c>
      <c r="I1820">
        <v>6</v>
      </c>
      <c r="J1820" t="s">
        <v>106</v>
      </c>
      <c r="K1820">
        <v>4</v>
      </c>
      <c r="L1820" t="s">
        <v>44</v>
      </c>
      <c r="M1820">
        <v>3.5</v>
      </c>
      <c r="N1820" t="s">
        <v>45</v>
      </c>
      <c r="Q1820" t="s">
        <v>47</v>
      </c>
      <c r="R1820" t="s">
        <v>123</v>
      </c>
      <c r="U1820" t="s">
        <v>50</v>
      </c>
      <c r="V1820" t="s">
        <v>76</v>
      </c>
      <c r="W1820" t="s">
        <v>86</v>
      </c>
      <c r="X1820" t="s">
        <v>65</v>
      </c>
      <c r="Y1820" t="s">
        <v>78</v>
      </c>
      <c r="AA1820">
        <v>0</v>
      </c>
      <c r="AB1820" t="s">
        <v>79</v>
      </c>
      <c r="AC1820" t="s">
        <v>127</v>
      </c>
      <c r="AD1820">
        <v>36</v>
      </c>
      <c r="AE1820">
        <v>9</v>
      </c>
      <c r="AF1820">
        <v>3</v>
      </c>
      <c r="AG1820">
        <v>2025</v>
      </c>
      <c r="AH1820" s="2">
        <v>2400</v>
      </c>
      <c r="AI1820" s="2">
        <v>1593.400756835938</v>
      </c>
      <c r="AJ1820" s="2">
        <f t="shared" si="226"/>
        <v>806.59924316406205</v>
      </c>
      <c r="AK1820" s="6">
        <f t="shared" si="227"/>
        <v>0.33608301798502588</v>
      </c>
      <c r="AL1820" s="12">
        <v>2400</v>
      </c>
      <c r="AM1820" s="12">
        <v>1770.4075059652389</v>
      </c>
      <c r="AN1820" s="12">
        <f t="shared" si="228"/>
        <v>629.5924940347611</v>
      </c>
      <c r="AO1820" s="13">
        <f t="shared" si="229"/>
        <v>0.26233020584781713</v>
      </c>
      <c r="AP1820" s="16">
        <v>2400</v>
      </c>
      <c r="AQ1820" s="16">
        <v>1399.161308717584</v>
      </c>
      <c r="AR1820" s="16">
        <f t="shared" si="230"/>
        <v>1000.838691282416</v>
      </c>
      <c r="AS1820" s="17">
        <f t="shared" si="224"/>
        <v>0.41701612136767335</v>
      </c>
      <c r="AT1820" s="20">
        <v>2400</v>
      </c>
      <c r="AU1820" s="20">
        <v>1592.009399414062</v>
      </c>
      <c r="AV1820" s="20">
        <f t="shared" si="225"/>
        <v>807.99060058593795</v>
      </c>
      <c r="AW1820" s="21">
        <f t="shared" si="231"/>
        <v>0.33666275024414083</v>
      </c>
    </row>
    <row r="1821" spans="1:49" x14ac:dyDescent="0.25">
      <c r="A1821" t="s">
        <v>114</v>
      </c>
      <c r="B1821" t="s">
        <v>115</v>
      </c>
      <c r="C1821">
        <v>140001</v>
      </c>
      <c r="D1821">
        <v>2013</v>
      </c>
      <c r="E1821" t="s">
        <v>97</v>
      </c>
      <c r="F1821" t="s">
        <v>159</v>
      </c>
      <c r="G1821" t="s">
        <v>380</v>
      </c>
      <c r="H1821" t="s">
        <v>89</v>
      </c>
      <c r="I1821">
        <v>8</v>
      </c>
      <c r="J1821" t="s">
        <v>43</v>
      </c>
      <c r="K1821">
        <v>2</v>
      </c>
      <c r="L1821" t="s">
        <v>44</v>
      </c>
      <c r="M1821">
        <v>5.3</v>
      </c>
      <c r="N1821" t="s">
        <v>91</v>
      </c>
      <c r="O1821" t="s">
        <v>46</v>
      </c>
      <c r="Q1821" t="s">
        <v>74</v>
      </c>
      <c r="R1821" t="s">
        <v>92</v>
      </c>
      <c r="S1821" t="s">
        <v>93</v>
      </c>
      <c r="U1821" t="s">
        <v>180</v>
      </c>
      <c r="V1821" t="s">
        <v>76</v>
      </c>
      <c r="W1821" t="s">
        <v>708</v>
      </c>
      <c r="X1821" t="s">
        <v>94</v>
      </c>
      <c r="Y1821" t="s">
        <v>78</v>
      </c>
      <c r="AA1821">
        <v>0</v>
      </c>
      <c r="AB1821" t="s">
        <v>79</v>
      </c>
      <c r="AC1821" t="s">
        <v>95</v>
      </c>
      <c r="AD1821">
        <v>36</v>
      </c>
      <c r="AE1821">
        <v>9</v>
      </c>
      <c r="AF1821">
        <v>3</v>
      </c>
      <c r="AG1821">
        <v>2025</v>
      </c>
      <c r="AH1821" s="2">
        <v>2900</v>
      </c>
      <c r="AI1821" s="2">
        <v>6280.26708984375</v>
      </c>
      <c r="AJ1821" s="2">
        <f t="shared" si="226"/>
        <v>3380.26708984375</v>
      </c>
      <c r="AK1821" s="6">
        <f t="shared" si="227"/>
        <v>1.1656093413254309</v>
      </c>
      <c r="AL1821" s="12">
        <v>2900</v>
      </c>
      <c r="AM1821" s="12">
        <v>7818.540670376613</v>
      </c>
      <c r="AN1821" s="12">
        <f t="shared" si="228"/>
        <v>4918.540670376613</v>
      </c>
      <c r="AO1821" s="13">
        <f t="shared" si="229"/>
        <v>1.6960485070264182</v>
      </c>
      <c r="AP1821" s="16">
        <v>2900</v>
      </c>
      <c r="AQ1821" s="16">
        <v>5049.1869357144124</v>
      </c>
      <c r="AR1821" s="16">
        <f t="shared" si="230"/>
        <v>2149.1869357144124</v>
      </c>
      <c r="AS1821" s="17">
        <f t="shared" si="224"/>
        <v>0.74109894334979731</v>
      </c>
      <c r="AT1821" s="20">
        <v>2900</v>
      </c>
      <c r="AU1821" s="20">
        <v>6574.9033203125</v>
      </c>
      <c r="AV1821" s="20">
        <f t="shared" si="225"/>
        <v>3674.9033203125</v>
      </c>
      <c r="AW1821" s="21">
        <f t="shared" si="231"/>
        <v>1.267208041487069</v>
      </c>
    </row>
    <row r="1822" spans="1:49" x14ac:dyDescent="0.25">
      <c r="A1822" t="s">
        <v>114</v>
      </c>
      <c r="B1822" t="s">
        <v>115</v>
      </c>
      <c r="C1822">
        <v>222677</v>
      </c>
      <c r="D1822">
        <v>2007</v>
      </c>
      <c r="E1822" t="s">
        <v>166</v>
      </c>
      <c r="F1822" t="s">
        <v>167</v>
      </c>
      <c r="G1822" t="s">
        <v>240</v>
      </c>
      <c r="I1822">
        <v>6</v>
      </c>
      <c r="J1822" t="s">
        <v>599</v>
      </c>
      <c r="K1822">
        <v>4</v>
      </c>
      <c r="L1822" t="s">
        <v>44</v>
      </c>
      <c r="M1822">
        <v>3.5</v>
      </c>
      <c r="N1822" t="s">
        <v>45</v>
      </c>
      <c r="O1822" t="s">
        <v>46</v>
      </c>
      <c r="Q1822" t="s">
        <v>62</v>
      </c>
      <c r="R1822" t="s">
        <v>63</v>
      </c>
      <c r="S1822" t="s">
        <v>101</v>
      </c>
      <c r="T1822">
        <v>244</v>
      </c>
      <c r="U1822" t="s">
        <v>50</v>
      </c>
      <c r="V1822" t="s">
        <v>76</v>
      </c>
      <c r="W1822" t="s">
        <v>986</v>
      </c>
      <c r="X1822" t="s">
        <v>141</v>
      </c>
      <c r="Y1822" t="s">
        <v>78</v>
      </c>
      <c r="AA1822">
        <v>0</v>
      </c>
      <c r="AB1822" t="s">
        <v>79</v>
      </c>
      <c r="AC1822" t="s">
        <v>87</v>
      </c>
      <c r="AD1822">
        <v>36</v>
      </c>
      <c r="AE1822">
        <v>9</v>
      </c>
      <c r="AF1822">
        <v>3</v>
      </c>
      <c r="AG1822">
        <v>2025</v>
      </c>
      <c r="AH1822" s="2">
        <v>600</v>
      </c>
      <c r="AI1822" s="2">
        <v>937.46533203125</v>
      </c>
      <c r="AJ1822" s="2">
        <f t="shared" si="226"/>
        <v>337.46533203125</v>
      </c>
      <c r="AK1822" s="6">
        <f t="shared" si="227"/>
        <v>0.56244222005208333</v>
      </c>
      <c r="AL1822" s="12">
        <v>600</v>
      </c>
      <c r="AM1822" s="12">
        <v>1151.558682828527</v>
      </c>
      <c r="AN1822" s="12">
        <f t="shared" si="228"/>
        <v>551.55868282852703</v>
      </c>
      <c r="AO1822" s="13">
        <f t="shared" si="229"/>
        <v>0.91926447138087841</v>
      </c>
      <c r="AP1822" s="16">
        <v>600</v>
      </c>
      <c r="AQ1822" s="16">
        <v>822.32840908060552</v>
      </c>
      <c r="AR1822" s="16">
        <f t="shared" si="230"/>
        <v>222.32840908060552</v>
      </c>
      <c r="AS1822" s="17">
        <f t="shared" si="224"/>
        <v>0.3705473484676759</v>
      </c>
      <c r="AT1822" s="20">
        <v>600</v>
      </c>
      <c r="AU1822" s="20">
        <v>930.0880126953125</v>
      </c>
      <c r="AV1822" s="20">
        <f t="shared" si="225"/>
        <v>330.0880126953125</v>
      </c>
      <c r="AW1822" s="21">
        <f t="shared" si="231"/>
        <v>0.55014668782552079</v>
      </c>
    </row>
    <row r="1823" spans="1:49" x14ac:dyDescent="0.25">
      <c r="A1823" t="s">
        <v>128</v>
      </c>
      <c r="B1823" t="s">
        <v>129</v>
      </c>
      <c r="C1823">
        <v>152970</v>
      </c>
      <c r="D1823">
        <v>2009</v>
      </c>
      <c r="E1823" t="s">
        <v>58</v>
      </c>
      <c r="F1823" t="s">
        <v>1514</v>
      </c>
      <c r="I1823">
        <v>6</v>
      </c>
      <c r="J1823" t="s">
        <v>61</v>
      </c>
      <c r="K1823">
        <v>4</v>
      </c>
      <c r="L1823" t="s">
        <v>44</v>
      </c>
      <c r="M1823">
        <v>3.8</v>
      </c>
      <c r="N1823" t="s">
        <v>91</v>
      </c>
      <c r="Q1823" t="s">
        <v>62</v>
      </c>
      <c r="R1823" t="s">
        <v>63</v>
      </c>
      <c r="S1823" t="s">
        <v>93</v>
      </c>
      <c r="U1823" t="s">
        <v>50</v>
      </c>
      <c r="V1823" t="s">
        <v>76</v>
      </c>
      <c r="X1823" t="s">
        <v>94</v>
      </c>
      <c r="Y1823" t="s">
        <v>66</v>
      </c>
      <c r="AA1823">
        <v>0</v>
      </c>
      <c r="AB1823" t="s">
        <v>79</v>
      </c>
      <c r="AC1823" t="s">
        <v>87</v>
      </c>
      <c r="AD1823">
        <v>36</v>
      </c>
      <c r="AE1823">
        <v>9</v>
      </c>
      <c r="AF1823">
        <v>3</v>
      </c>
      <c r="AG1823">
        <v>2025</v>
      </c>
      <c r="AH1823" s="2">
        <v>700</v>
      </c>
      <c r="AI1823" s="2">
        <v>1140.00830078125</v>
      </c>
      <c r="AJ1823" s="2">
        <f t="shared" si="226"/>
        <v>440.00830078125</v>
      </c>
      <c r="AK1823" s="6">
        <f t="shared" si="227"/>
        <v>0.62858328683035714</v>
      </c>
      <c r="AL1823" s="12">
        <v>700</v>
      </c>
      <c r="AM1823" s="12">
        <v>1400.528121756495</v>
      </c>
      <c r="AN1823" s="12">
        <f t="shared" si="228"/>
        <v>700.52812175649501</v>
      </c>
      <c r="AO1823" s="13">
        <f t="shared" si="229"/>
        <v>1.0007544596521358</v>
      </c>
      <c r="AP1823" s="16">
        <v>700</v>
      </c>
      <c r="AQ1823" s="16">
        <v>1252.3365373288621</v>
      </c>
      <c r="AR1823" s="16">
        <f t="shared" si="230"/>
        <v>552.33653732886205</v>
      </c>
      <c r="AS1823" s="17">
        <f t="shared" si="224"/>
        <v>0.78905219618408862</v>
      </c>
      <c r="AT1823" s="20">
        <v>700</v>
      </c>
      <c r="AU1823" s="20">
        <v>1125.732055664062</v>
      </c>
      <c r="AV1823" s="20">
        <f t="shared" si="225"/>
        <v>425.73205566406205</v>
      </c>
      <c r="AW1823" s="21">
        <f t="shared" si="231"/>
        <v>0.60818865094866004</v>
      </c>
    </row>
    <row r="1824" spans="1:49" x14ac:dyDescent="0.25">
      <c r="A1824" t="s">
        <v>38</v>
      </c>
      <c r="B1824" t="s">
        <v>96</v>
      </c>
      <c r="C1824">
        <v>75015</v>
      </c>
      <c r="D1824">
        <v>2020</v>
      </c>
      <c r="E1824" t="s">
        <v>388</v>
      </c>
      <c r="F1824" t="s">
        <v>829</v>
      </c>
      <c r="H1824" t="s">
        <v>985</v>
      </c>
      <c r="I1824">
        <v>4</v>
      </c>
      <c r="J1824" t="s">
        <v>122</v>
      </c>
      <c r="K1824">
        <v>4</v>
      </c>
      <c r="L1824" t="s">
        <v>44</v>
      </c>
      <c r="M1824">
        <v>2</v>
      </c>
      <c r="N1824" t="s">
        <v>91</v>
      </c>
      <c r="O1824" t="s">
        <v>46</v>
      </c>
      <c r="P1824">
        <v>2</v>
      </c>
      <c r="Q1824" t="s">
        <v>62</v>
      </c>
      <c r="R1824" t="s">
        <v>63</v>
      </c>
      <c r="S1824" t="s">
        <v>93</v>
      </c>
      <c r="T1824">
        <v>148</v>
      </c>
      <c r="U1824" t="s">
        <v>50</v>
      </c>
      <c r="V1824" t="s">
        <v>51</v>
      </c>
      <c r="W1824" t="s">
        <v>438</v>
      </c>
      <c r="X1824" t="s">
        <v>65</v>
      </c>
      <c r="Y1824" t="s">
        <v>54</v>
      </c>
      <c r="AA1824">
        <v>0</v>
      </c>
      <c r="AB1824" t="s">
        <v>79</v>
      </c>
      <c r="AC1824" t="s">
        <v>87</v>
      </c>
      <c r="AD1824">
        <v>36</v>
      </c>
      <c r="AE1824">
        <v>9</v>
      </c>
      <c r="AF1824">
        <v>3</v>
      </c>
      <c r="AG1824">
        <v>2025</v>
      </c>
      <c r="AH1824" s="2">
        <v>9000</v>
      </c>
      <c r="AI1824" s="2">
        <v>7558.9453125</v>
      </c>
      <c r="AJ1824" s="2">
        <f t="shared" si="226"/>
        <v>1441.0546875</v>
      </c>
      <c r="AK1824" s="6">
        <f t="shared" si="227"/>
        <v>0.16011718750000001</v>
      </c>
      <c r="AL1824" s="12">
        <v>9000</v>
      </c>
      <c r="AM1824" s="12">
        <v>7494.8789856179183</v>
      </c>
      <c r="AN1824" s="12">
        <f t="shared" si="228"/>
        <v>1505.1210143820817</v>
      </c>
      <c r="AO1824" s="13">
        <f t="shared" si="229"/>
        <v>0.16723566826467576</v>
      </c>
      <c r="AP1824" s="16">
        <v>9000</v>
      </c>
      <c r="AQ1824" s="16">
        <v>8146.9080173274178</v>
      </c>
      <c r="AR1824" s="16">
        <f t="shared" si="230"/>
        <v>853.09198267258216</v>
      </c>
      <c r="AS1824" s="17">
        <f t="shared" si="224"/>
        <v>9.4787998074731344E-2</v>
      </c>
      <c r="AT1824" s="20">
        <v>9000</v>
      </c>
      <c r="AU1824" s="20">
        <v>7613.69873046875</v>
      </c>
      <c r="AV1824" s="20">
        <f t="shared" si="225"/>
        <v>1386.30126953125</v>
      </c>
      <c r="AW1824" s="21">
        <f t="shared" si="231"/>
        <v>0.15403347439236112</v>
      </c>
    </row>
    <row r="1825" spans="1:49" x14ac:dyDescent="0.25">
      <c r="A1825" t="s">
        <v>38</v>
      </c>
      <c r="B1825" t="s">
        <v>39</v>
      </c>
      <c r="C1825">
        <v>140426</v>
      </c>
      <c r="D1825">
        <v>2017</v>
      </c>
      <c r="E1825" t="s">
        <v>88</v>
      </c>
      <c r="F1825" t="s">
        <v>883</v>
      </c>
      <c r="G1825" t="s">
        <v>176</v>
      </c>
      <c r="H1825" t="s">
        <v>1515</v>
      </c>
      <c r="I1825">
        <v>6</v>
      </c>
      <c r="J1825" t="s">
        <v>72</v>
      </c>
      <c r="K1825">
        <v>4</v>
      </c>
      <c r="L1825" t="s">
        <v>44</v>
      </c>
      <c r="M1825">
        <v>6.7</v>
      </c>
      <c r="N1825" t="s">
        <v>91</v>
      </c>
      <c r="O1825" t="s">
        <v>46</v>
      </c>
      <c r="Q1825" t="s">
        <v>74</v>
      </c>
      <c r="R1825" t="s">
        <v>92</v>
      </c>
      <c r="S1825" t="s">
        <v>93</v>
      </c>
      <c r="T1825">
        <v>385</v>
      </c>
      <c r="U1825" t="s">
        <v>229</v>
      </c>
      <c r="V1825" t="s">
        <v>51</v>
      </c>
      <c r="X1825" t="s">
        <v>260</v>
      </c>
      <c r="Y1825" t="s">
        <v>126</v>
      </c>
      <c r="Z1825">
        <v>41945</v>
      </c>
      <c r="AA1825">
        <v>0</v>
      </c>
      <c r="AB1825" t="s">
        <v>79</v>
      </c>
      <c r="AC1825" t="s">
        <v>261</v>
      </c>
      <c r="AD1825">
        <v>36</v>
      </c>
      <c r="AE1825">
        <v>9</v>
      </c>
      <c r="AF1825">
        <v>3</v>
      </c>
      <c r="AG1825">
        <v>2025</v>
      </c>
      <c r="AH1825" s="2">
        <v>23000</v>
      </c>
      <c r="AI1825" s="2">
        <v>25148.3046875</v>
      </c>
      <c r="AJ1825" s="2">
        <f t="shared" si="226"/>
        <v>2148.3046875</v>
      </c>
      <c r="AK1825" s="6">
        <f t="shared" si="227"/>
        <v>9.3404551630434776E-2</v>
      </c>
      <c r="AL1825" s="12">
        <v>23000</v>
      </c>
      <c r="AM1825" s="12">
        <v>21340.100188997611</v>
      </c>
      <c r="AN1825" s="12">
        <f t="shared" si="228"/>
        <v>1659.8998110023895</v>
      </c>
      <c r="AO1825" s="13">
        <f t="shared" si="229"/>
        <v>7.2169557000103884E-2</v>
      </c>
      <c r="AP1825" s="16">
        <v>23000</v>
      </c>
      <c r="AQ1825" s="16">
        <v>23047.715794803989</v>
      </c>
      <c r="AR1825" s="16">
        <f t="shared" si="230"/>
        <v>47.715794803989411</v>
      </c>
      <c r="AS1825" s="17">
        <f t="shared" si="224"/>
        <v>2.0745997740864962E-3</v>
      </c>
      <c r="AT1825" s="20">
        <v>23000</v>
      </c>
      <c r="AU1825" s="20">
        <v>24651.76171875</v>
      </c>
      <c r="AV1825" s="20">
        <f t="shared" si="225"/>
        <v>1651.76171875</v>
      </c>
      <c r="AW1825" s="21">
        <f t="shared" si="231"/>
        <v>7.1815726902173915E-2</v>
      </c>
    </row>
    <row r="1826" spans="1:49" x14ac:dyDescent="0.25">
      <c r="A1826" t="s">
        <v>38</v>
      </c>
      <c r="B1826" t="s">
        <v>110</v>
      </c>
      <c r="C1826">
        <v>140376</v>
      </c>
      <c r="D1826">
        <v>2001</v>
      </c>
      <c r="E1826" t="s">
        <v>146</v>
      </c>
      <c r="F1826" t="s">
        <v>1076</v>
      </c>
      <c r="I1826">
        <v>4</v>
      </c>
      <c r="J1826" t="s">
        <v>122</v>
      </c>
      <c r="K1826">
        <v>2</v>
      </c>
      <c r="L1826" t="s">
        <v>44</v>
      </c>
      <c r="M1826">
        <v>2.4</v>
      </c>
      <c r="N1826" t="s">
        <v>73</v>
      </c>
      <c r="Q1826" t="s">
        <v>74</v>
      </c>
      <c r="R1826" t="s">
        <v>92</v>
      </c>
      <c r="S1826" t="s">
        <v>49</v>
      </c>
      <c r="U1826" t="s">
        <v>50</v>
      </c>
      <c r="V1826" t="s">
        <v>51</v>
      </c>
      <c r="X1826" t="s">
        <v>65</v>
      </c>
      <c r="Y1826" t="s">
        <v>78</v>
      </c>
      <c r="AA1826">
        <v>0</v>
      </c>
      <c r="AB1826" t="s">
        <v>79</v>
      </c>
      <c r="AC1826" t="s">
        <v>95</v>
      </c>
      <c r="AD1826">
        <v>36</v>
      </c>
      <c r="AE1826">
        <v>9</v>
      </c>
      <c r="AF1826">
        <v>3</v>
      </c>
      <c r="AG1826">
        <v>2025</v>
      </c>
      <c r="AH1826" s="2">
        <v>700</v>
      </c>
      <c r="AI1826" s="2">
        <v>2000.94189453125</v>
      </c>
      <c r="AJ1826" s="2">
        <f t="shared" si="226"/>
        <v>1300.94189453125</v>
      </c>
      <c r="AK1826" s="6">
        <f t="shared" si="227"/>
        <v>1.8584884207589285</v>
      </c>
      <c r="AL1826" s="12">
        <v>700</v>
      </c>
      <c r="AM1826" s="12">
        <v>1626.849160168405</v>
      </c>
      <c r="AN1826" s="12">
        <f t="shared" si="228"/>
        <v>926.84916016840498</v>
      </c>
      <c r="AO1826" s="13">
        <f t="shared" si="229"/>
        <v>1.3240702288120072</v>
      </c>
      <c r="AP1826" s="16">
        <v>700</v>
      </c>
      <c r="AQ1826" s="16">
        <v>1853.9582714470571</v>
      </c>
      <c r="AR1826" s="16">
        <f t="shared" si="230"/>
        <v>1153.9582714470571</v>
      </c>
      <c r="AS1826" s="17">
        <f t="shared" si="224"/>
        <v>1.6485118163529386</v>
      </c>
      <c r="AT1826" s="20">
        <v>700</v>
      </c>
      <c r="AU1826" s="20">
        <v>1940.6044921875</v>
      </c>
      <c r="AV1826" s="20">
        <f t="shared" si="225"/>
        <v>1240.6044921875</v>
      </c>
      <c r="AW1826" s="21">
        <f t="shared" si="231"/>
        <v>1.7722921316964286</v>
      </c>
    </row>
    <row r="1827" spans="1:49" x14ac:dyDescent="0.25">
      <c r="A1827" t="s">
        <v>38</v>
      </c>
      <c r="B1827" t="s">
        <v>68</v>
      </c>
      <c r="C1827">
        <v>118375</v>
      </c>
      <c r="D1827">
        <v>2017</v>
      </c>
      <c r="E1827" t="s">
        <v>119</v>
      </c>
      <c r="F1827" t="s">
        <v>543</v>
      </c>
      <c r="G1827" t="s">
        <v>1434</v>
      </c>
      <c r="I1827">
        <v>4</v>
      </c>
      <c r="J1827" t="s">
        <v>135</v>
      </c>
      <c r="K1827">
        <v>4</v>
      </c>
      <c r="L1827" t="s">
        <v>44</v>
      </c>
      <c r="M1827">
        <v>1.8</v>
      </c>
      <c r="N1827" t="s">
        <v>45</v>
      </c>
      <c r="O1827" t="s">
        <v>46</v>
      </c>
      <c r="P1827">
        <v>4</v>
      </c>
      <c r="Q1827" t="s">
        <v>47</v>
      </c>
      <c r="R1827" t="s">
        <v>123</v>
      </c>
      <c r="S1827" t="s">
        <v>101</v>
      </c>
      <c r="T1827">
        <v>170</v>
      </c>
      <c r="U1827" t="s">
        <v>50</v>
      </c>
      <c r="W1827" t="s">
        <v>337</v>
      </c>
      <c r="X1827" t="s">
        <v>125</v>
      </c>
      <c r="Y1827" t="s">
        <v>78</v>
      </c>
      <c r="Z1827">
        <v>23975</v>
      </c>
      <c r="AA1827">
        <v>0</v>
      </c>
      <c r="AB1827" t="s">
        <v>79</v>
      </c>
      <c r="AC1827" t="s">
        <v>127</v>
      </c>
      <c r="AD1827">
        <v>36</v>
      </c>
      <c r="AE1827">
        <v>9</v>
      </c>
      <c r="AF1827">
        <v>3</v>
      </c>
      <c r="AG1827">
        <v>2025</v>
      </c>
      <c r="AH1827" s="2">
        <v>5800</v>
      </c>
      <c r="AI1827" s="2">
        <v>5104.38232421875</v>
      </c>
      <c r="AJ1827" s="2">
        <f t="shared" si="226"/>
        <v>695.61767578125</v>
      </c>
      <c r="AK1827" s="6">
        <f t="shared" si="227"/>
        <v>0.11993408203125</v>
      </c>
      <c r="AL1827" s="12">
        <v>5800</v>
      </c>
      <c r="AM1827" s="12">
        <v>4420.3194523439624</v>
      </c>
      <c r="AN1827" s="12">
        <f t="shared" si="228"/>
        <v>1379.6805476560376</v>
      </c>
      <c r="AO1827" s="13">
        <f t="shared" si="229"/>
        <v>0.23787595649242027</v>
      </c>
      <c r="AP1827" s="16">
        <v>5800</v>
      </c>
      <c r="AQ1827" s="16">
        <v>6304.3471911794331</v>
      </c>
      <c r="AR1827" s="16">
        <f t="shared" si="230"/>
        <v>504.34719117943314</v>
      </c>
      <c r="AS1827" s="17">
        <f t="shared" si="224"/>
        <v>8.6956412272316055E-2</v>
      </c>
      <c r="AT1827" s="20">
        <v>5800</v>
      </c>
      <c r="AU1827" s="20">
        <v>5067.21337890625</v>
      </c>
      <c r="AV1827" s="20">
        <f t="shared" si="225"/>
        <v>732.78662109375</v>
      </c>
      <c r="AW1827" s="21">
        <f t="shared" si="231"/>
        <v>0.12634252087823275</v>
      </c>
    </row>
    <row r="1828" spans="1:49" x14ac:dyDescent="0.25">
      <c r="A1828" t="s">
        <v>128</v>
      </c>
      <c r="B1828" t="s">
        <v>210</v>
      </c>
      <c r="C1828">
        <v>76344</v>
      </c>
      <c r="D1828">
        <v>2021</v>
      </c>
      <c r="E1828" t="s">
        <v>97</v>
      </c>
      <c r="F1828" t="s">
        <v>154</v>
      </c>
      <c r="G1828" t="s">
        <v>160</v>
      </c>
      <c r="I1828">
        <v>4</v>
      </c>
      <c r="J1828" t="s">
        <v>72</v>
      </c>
      <c r="K1828">
        <v>4</v>
      </c>
      <c r="L1828" t="s">
        <v>44</v>
      </c>
      <c r="M1828">
        <v>2.5</v>
      </c>
      <c r="N1828" t="s">
        <v>73</v>
      </c>
      <c r="O1828" t="s">
        <v>46</v>
      </c>
      <c r="Q1828" t="s">
        <v>74</v>
      </c>
      <c r="R1828" t="s">
        <v>92</v>
      </c>
      <c r="S1828" t="s">
        <v>49</v>
      </c>
      <c r="U1828" t="s">
        <v>50</v>
      </c>
      <c r="V1828" t="s">
        <v>51</v>
      </c>
      <c r="W1828" t="s">
        <v>976</v>
      </c>
      <c r="X1828" t="s">
        <v>141</v>
      </c>
      <c r="Y1828" t="s">
        <v>78</v>
      </c>
      <c r="AA1828">
        <v>0</v>
      </c>
      <c r="AB1828" t="s">
        <v>79</v>
      </c>
      <c r="AC1828" t="s">
        <v>95</v>
      </c>
      <c r="AD1828">
        <v>36</v>
      </c>
      <c r="AE1828">
        <v>9</v>
      </c>
      <c r="AF1828">
        <v>3</v>
      </c>
      <c r="AG1828">
        <v>2025</v>
      </c>
      <c r="AH1828" s="2">
        <v>12200</v>
      </c>
      <c r="AI1828" s="2">
        <v>14470.4248046875</v>
      </c>
      <c r="AJ1828" s="2">
        <f t="shared" si="226"/>
        <v>2270.4248046875</v>
      </c>
      <c r="AK1828" s="6">
        <f t="shared" si="227"/>
        <v>0.18610039382684426</v>
      </c>
      <c r="AL1828" s="12">
        <v>12200</v>
      </c>
      <c r="AM1828" s="12">
        <v>15725.032121479981</v>
      </c>
      <c r="AN1828" s="12">
        <f t="shared" si="228"/>
        <v>3525.0321214799806</v>
      </c>
      <c r="AO1828" s="13">
        <f t="shared" si="229"/>
        <v>0.28893705913770334</v>
      </c>
      <c r="AP1828" s="16">
        <v>12200</v>
      </c>
      <c r="AQ1828" s="16">
        <v>15401.210137494711</v>
      </c>
      <c r="AR1828" s="16">
        <f t="shared" si="230"/>
        <v>3201.2101374947106</v>
      </c>
      <c r="AS1828" s="17">
        <f t="shared" si="224"/>
        <v>0.26239427356514022</v>
      </c>
      <c r="AT1828" s="20">
        <v>12200</v>
      </c>
      <c r="AU1828" s="20">
        <v>14653.4697265625</v>
      </c>
      <c r="AV1828" s="20">
        <f t="shared" si="225"/>
        <v>2453.4697265625</v>
      </c>
      <c r="AW1828" s="21">
        <f t="shared" si="231"/>
        <v>0.2011040759477459</v>
      </c>
    </row>
    <row r="1829" spans="1:49" x14ac:dyDescent="0.25">
      <c r="A1829" t="s">
        <v>38</v>
      </c>
      <c r="B1829" t="s">
        <v>370</v>
      </c>
      <c r="C1829">
        <v>38962</v>
      </c>
      <c r="D1829">
        <v>2024</v>
      </c>
      <c r="E1829" t="s">
        <v>166</v>
      </c>
      <c r="F1829" t="s">
        <v>562</v>
      </c>
      <c r="G1829" t="s">
        <v>983</v>
      </c>
      <c r="I1829">
        <v>4</v>
      </c>
      <c r="J1829" t="s">
        <v>135</v>
      </c>
      <c r="K1829">
        <v>4</v>
      </c>
      <c r="L1829" t="s">
        <v>44</v>
      </c>
      <c r="M1829">
        <v>1.5</v>
      </c>
      <c r="N1829" t="s">
        <v>45</v>
      </c>
      <c r="O1829" t="s">
        <v>46</v>
      </c>
      <c r="P1829">
        <v>4</v>
      </c>
      <c r="Q1829" t="s">
        <v>47</v>
      </c>
      <c r="R1829" t="s">
        <v>123</v>
      </c>
      <c r="S1829" t="s">
        <v>49</v>
      </c>
      <c r="T1829">
        <v>192</v>
      </c>
      <c r="U1829" t="s">
        <v>50</v>
      </c>
      <c r="V1829" t="s">
        <v>51</v>
      </c>
      <c r="W1829" t="s">
        <v>249</v>
      </c>
      <c r="X1829" t="s">
        <v>65</v>
      </c>
      <c r="Y1829" t="s">
        <v>78</v>
      </c>
      <c r="AA1829">
        <v>0</v>
      </c>
      <c r="AB1829" t="s">
        <v>79</v>
      </c>
      <c r="AC1829" t="s">
        <v>127</v>
      </c>
      <c r="AD1829">
        <v>36</v>
      </c>
      <c r="AE1829">
        <v>9</v>
      </c>
      <c r="AF1829">
        <v>3</v>
      </c>
      <c r="AG1829">
        <v>2025</v>
      </c>
      <c r="AH1829" s="2">
        <v>23000</v>
      </c>
      <c r="AI1829" s="2">
        <v>23708.390625</v>
      </c>
      <c r="AJ1829" s="2">
        <f t="shared" si="226"/>
        <v>708.390625</v>
      </c>
      <c r="AK1829" s="6">
        <f t="shared" si="227"/>
        <v>3.0799592391304347E-2</v>
      </c>
      <c r="AL1829" s="12">
        <v>23000</v>
      </c>
      <c r="AM1829" s="12">
        <v>26241.189371654331</v>
      </c>
      <c r="AN1829" s="12">
        <f t="shared" si="228"/>
        <v>3241.1893716543309</v>
      </c>
      <c r="AO1829" s="13">
        <f t="shared" si="229"/>
        <v>0.14092127702844917</v>
      </c>
      <c r="AP1829" s="16">
        <v>23000</v>
      </c>
      <c r="AQ1829" s="16">
        <v>25232.05647211707</v>
      </c>
      <c r="AR1829" s="16">
        <f t="shared" si="230"/>
        <v>2232.0564721170704</v>
      </c>
      <c r="AS1829" s="17">
        <f t="shared" si="224"/>
        <v>9.7045933570307413E-2</v>
      </c>
      <c r="AT1829" s="20">
        <v>23000</v>
      </c>
      <c r="AU1829" s="20">
        <v>24200.5859375</v>
      </c>
      <c r="AV1829" s="20">
        <f t="shared" si="225"/>
        <v>1200.5859375</v>
      </c>
      <c r="AW1829" s="21">
        <f t="shared" si="231"/>
        <v>5.2199388586956524E-2</v>
      </c>
    </row>
    <row r="1830" spans="1:49" x14ac:dyDescent="0.25">
      <c r="A1830" t="s">
        <v>38</v>
      </c>
      <c r="B1830" t="s">
        <v>39</v>
      </c>
      <c r="C1830">
        <v>135552</v>
      </c>
      <c r="D1830">
        <v>2015</v>
      </c>
      <c r="E1830" t="s">
        <v>341</v>
      </c>
      <c r="F1830" t="s">
        <v>574</v>
      </c>
      <c r="G1830" t="s">
        <v>1014</v>
      </c>
      <c r="I1830">
        <v>6</v>
      </c>
      <c r="J1830" t="s">
        <v>178</v>
      </c>
      <c r="K1830">
        <v>4</v>
      </c>
      <c r="L1830" t="s">
        <v>44</v>
      </c>
      <c r="M1830">
        <v>3.6</v>
      </c>
      <c r="N1830" t="s">
        <v>45</v>
      </c>
      <c r="O1830" t="s">
        <v>46</v>
      </c>
      <c r="Q1830" t="s">
        <v>62</v>
      </c>
      <c r="R1830" t="s">
        <v>63</v>
      </c>
      <c r="S1830" t="s">
        <v>101</v>
      </c>
      <c r="U1830" t="s">
        <v>50</v>
      </c>
      <c r="V1830" t="s">
        <v>76</v>
      </c>
      <c r="W1830" t="s">
        <v>200</v>
      </c>
      <c r="X1830" t="s">
        <v>94</v>
      </c>
      <c r="Y1830" t="s">
        <v>78</v>
      </c>
      <c r="AA1830">
        <v>0</v>
      </c>
      <c r="AB1830" t="s">
        <v>79</v>
      </c>
      <c r="AC1830" t="s">
        <v>87</v>
      </c>
      <c r="AD1830">
        <v>36</v>
      </c>
      <c r="AE1830">
        <v>9</v>
      </c>
      <c r="AF1830">
        <v>3</v>
      </c>
      <c r="AG1830">
        <v>2025</v>
      </c>
      <c r="AH1830" s="2">
        <v>8000</v>
      </c>
      <c r="AI1830" s="2">
        <v>4430.18505859375</v>
      </c>
      <c r="AJ1830" s="2">
        <f t="shared" si="226"/>
        <v>3569.81494140625</v>
      </c>
      <c r="AK1830" s="6">
        <f t="shared" si="227"/>
        <v>0.44622686767578124</v>
      </c>
      <c r="AL1830" s="12">
        <v>8000</v>
      </c>
      <c r="AM1830" s="12">
        <v>4622.5035903303851</v>
      </c>
      <c r="AN1830" s="12">
        <f t="shared" si="228"/>
        <v>3377.4964096696149</v>
      </c>
      <c r="AO1830" s="13">
        <f t="shared" si="229"/>
        <v>0.42218705120870187</v>
      </c>
      <c r="AP1830" s="16">
        <v>8000</v>
      </c>
      <c r="AQ1830" s="16">
        <v>3944.3177649601512</v>
      </c>
      <c r="AR1830" s="16">
        <f t="shared" si="230"/>
        <v>4055.6822350398488</v>
      </c>
      <c r="AS1830" s="17">
        <f t="shared" si="224"/>
        <v>0.50696027937998112</v>
      </c>
      <c r="AT1830" s="20">
        <v>8000</v>
      </c>
      <c r="AU1830" s="20">
        <v>4487.4755859375</v>
      </c>
      <c r="AV1830" s="20">
        <f t="shared" si="225"/>
        <v>3512.5244140625</v>
      </c>
      <c r="AW1830" s="21">
        <f t="shared" si="231"/>
        <v>0.43906555175781248</v>
      </c>
    </row>
    <row r="1831" spans="1:49" x14ac:dyDescent="0.25">
      <c r="A1831" t="s">
        <v>38</v>
      </c>
      <c r="B1831" t="s">
        <v>96</v>
      </c>
      <c r="C1831">
        <v>128531</v>
      </c>
      <c r="D1831">
        <v>2016</v>
      </c>
      <c r="E1831" t="s">
        <v>69</v>
      </c>
      <c r="F1831" t="s">
        <v>250</v>
      </c>
      <c r="H1831" t="s">
        <v>224</v>
      </c>
      <c r="I1831">
        <v>4</v>
      </c>
      <c r="J1831" t="s">
        <v>135</v>
      </c>
      <c r="K1831">
        <v>4</v>
      </c>
      <c r="L1831" t="s">
        <v>44</v>
      </c>
      <c r="M1831">
        <v>1.6</v>
      </c>
      <c r="N1831" t="s">
        <v>45</v>
      </c>
      <c r="O1831" t="s">
        <v>46</v>
      </c>
      <c r="Q1831" t="s">
        <v>62</v>
      </c>
      <c r="R1831" t="s">
        <v>63</v>
      </c>
      <c r="S1831" t="s">
        <v>49</v>
      </c>
      <c r="T1831">
        <v>178</v>
      </c>
      <c r="U1831" t="s">
        <v>50</v>
      </c>
      <c r="V1831" t="s">
        <v>51</v>
      </c>
      <c r="X1831" t="s">
        <v>65</v>
      </c>
      <c r="Y1831" t="s">
        <v>78</v>
      </c>
      <c r="AA1831">
        <v>0</v>
      </c>
      <c r="AB1831" t="s">
        <v>79</v>
      </c>
      <c r="AC1831" t="s">
        <v>87</v>
      </c>
      <c r="AD1831">
        <v>36</v>
      </c>
      <c r="AE1831">
        <v>9</v>
      </c>
      <c r="AF1831">
        <v>3</v>
      </c>
      <c r="AG1831">
        <v>2025</v>
      </c>
      <c r="AH1831" s="2">
        <v>800</v>
      </c>
      <c r="AI1831" s="2">
        <v>3191.1591796875</v>
      </c>
      <c r="AJ1831" s="2">
        <f t="shared" si="226"/>
        <v>2391.1591796875</v>
      </c>
      <c r="AK1831" s="6">
        <f t="shared" si="227"/>
        <v>2.9889489746093751</v>
      </c>
      <c r="AL1831" s="12">
        <v>800</v>
      </c>
      <c r="AM1831" s="12">
        <v>3930.9311600528299</v>
      </c>
      <c r="AN1831" s="12">
        <f t="shared" si="228"/>
        <v>3130.9311600528299</v>
      </c>
      <c r="AO1831" s="13">
        <f t="shared" si="229"/>
        <v>3.9136639500660375</v>
      </c>
      <c r="AP1831" s="16">
        <v>800</v>
      </c>
      <c r="AQ1831" s="16">
        <v>3212.240795272653</v>
      </c>
      <c r="AR1831" s="16">
        <f t="shared" si="230"/>
        <v>2412.240795272653</v>
      </c>
      <c r="AS1831" s="17">
        <f t="shared" si="224"/>
        <v>3.0153009940908162</v>
      </c>
      <c r="AT1831" s="20">
        <v>800</v>
      </c>
      <c r="AU1831" s="20">
        <v>3257.98291015625</v>
      </c>
      <c r="AV1831" s="20">
        <f t="shared" si="225"/>
        <v>2457.98291015625</v>
      </c>
      <c r="AW1831" s="21">
        <f t="shared" si="231"/>
        <v>3.0724786376953124</v>
      </c>
    </row>
    <row r="1832" spans="1:49" x14ac:dyDescent="0.25">
      <c r="A1832" t="s">
        <v>38</v>
      </c>
      <c r="B1832" t="s">
        <v>110</v>
      </c>
      <c r="C1832">
        <v>132794</v>
      </c>
      <c r="D1832">
        <v>2015</v>
      </c>
      <c r="E1832" t="s">
        <v>142</v>
      </c>
      <c r="F1832" t="s">
        <v>143</v>
      </c>
      <c r="G1832" t="s">
        <v>494</v>
      </c>
      <c r="I1832">
        <v>6</v>
      </c>
      <c r="J1832" t="s">
        <v>106</v>
      </c>
      <c r="K1832">
        <v>4</v>
      </c>
      <c r="L1832" t="s">
        <v>44</v>
      </c>
      <c r="M1832">
        <v>3.2</v>
      </c>
      <c r="N1832" t="s">
        <v>91</v>
      </c>
      <c r="Q1832" t="s">
        <v>62</v>
      </c>
      <c r="R1832" t="s">
        <v>63</v>
      </c>
      <c r="S1832" t="s">
        <v>93</v>
      </c>
      <c r="U1832" t="s">
        <v>50</v>
      </c>
      <c r="X1832" t="s">
        <v>141</v>
      </c>
      <c r="Y1832" t="s">
        <v>78</v>
      </c>
      <c r="AA1832">
        <v>0</v>
      </c>
      <c r="AB1832" t="s">
        <v>79</v>
      </c>
      <c r="AC1832" t="s">
        <v>87</v>
      </c>
      <c r="AD1832">
        <v>36</v>
      </c>
      <c r="AE1832">
        <v>9</v>
      </c>
      <c r="AF1832">
        <v>3</v>
      </c>
      <c r="AG1832">
        <v>2025</v>
      </c>
      <c r="AH1832" s="2">
        <v>6600</v>
      </c>
      <c r="AI1832" s="2">
        <v>5099.583984375</v>
      </c>
      <c r="AJ1832" s="2">
        <f t="shared" si="226"/>
        <v>1500.416015625</v>
      </c>
      <c r="AK1832" s="6">
        <f t="shared" si="227"/>
        <v>0.22733575994318181</v>
      </c>
      <c r="AL1832" s="12">
        <v>6600</v>
      </c>
      <c r="AM1832" s="12">
        <v>5596.4684080390562</v>
      </c>
      <c r="AN1832" s="12">
        <f t="shared" si="228"/>
        <v>1003.5315919609438</v>
      </c>
      <c r="AO1832" s="13">
        <f t="shared" si="229"/>
        <v>0.15205024120620361</v>
      </c>
      <c r="AP1832" s="16">
        <v>6600</v>
      </c>
      <c r="AQ1832" s="16">
        <v>5131.4317167912304</v>
      </c>
      <c r="AR1832" s="16">
        <f t="shared" si="230"/>
        <v>1468.5682832087696</v>
      </c>
      <c r="AS1832" s="17">
        <f t="shared" si="224"/>
        <v>0.22251034594072266</v>
      </c>
      <c r="AT1832" s="20">
        <v>6600</v>
      </c>
      <c r="AU1832" s="20">
        <v>5149.8154296875</v>
      </c>
      <c r="AV1832" s="20">
        <f t="shared" si="225"/>
        <v>1450.1845703125</v>
      </c>
      <c r="AW1832" s="21">
        <f t="shared" si="231"/>
        <v>0.21972493489583333</v>
      </c>
    </row>
    <row r="1833" spans="1:49" x14ac:dyDescent="0.25">
      <c r="A1833" t="s">
        <v>38</v>
      </c>
      <c r="B1833" t="s">
        <v>68</v>
      </c>
      <c r="C1833">
        <v>115691</v>
      </c>
      <c r="D1833">
        <v>2019</v>
      </c>
      <c r="E1833" t="s">
        <v>69</v>
      </c>
      <c r="F1833" t="s">
        <v>104</v>
      </c>
      <c r="H1833" t="s">
        <v>105</v>
      </c>
      <c r="I1833">
        <v>6</v>
      </c>
      <c r="J1833" t="s">
        <v>72</v>
      </c>
      <c r="K1833">
        <v>4</v>
      </c>
      <c r="L1833" t="s">
        <v>44</v>
      </c>
      <c r="M1833">
        <v>3.5</v>
      </c>
      <c r="N1833" t="s">
        <v>91</v>
      </c>
      <c r="O1833" t="s">
        <v>46</v>
      </c>
      <c r="Q1833" t="s">
        <v>62</v>
      </c>
      <c r="R1833" t="s">
        <v>63</v>
      </c>
      <c r="S1833" t="s">
        <v>93</v>
      </c>
      <c r="T1833">
        <v>310</v>
      </c>
      <c r="U1833" t="s">
        <v>50</v>
      </c>
      <c r="V1833" t="s">
        <v>76</v>
      </c>
      <c r="W1833" t="s">
        <v>107</v>
      </c>
      <c r="X1833" t="s">
        <v>108</v>
      </c>
      <c r="Y1833" t="s">
        <v>78</v>
      </c>
      <c r="Z1833">
        <v>54815</v>
      </c>
      <c r="AA1833">
        <v>0</v>
      </c>
      <c r="AB1833" t="s">
        <v>79</v>
      </c>
      <c r="AC1833" t="s">
        <v>109</v>
      </c>
      <c r="AD1833">
        <v>36</v>
      </c>
      <c r="AE1833">
        <v>9</v>
      </c>
      <c r="AF1833">
        <v>3</v>
      </c>
      <c r="AG1833">
        <v>2025</v>
      </c>
      <c r="AH1833" s="2">
        <v>15000</v>
      </c>
      <c r="AI1833" s="2">
        <v>15815.7255859375</v>
      </c>
      <c r="AJ1833" s="2">
        <f t="shared" si="226"/>
        <v>815.7255859375</v>
      </c>
      <c r="AK1833" s="6">
        <f t="shared" si="227"/>
        <v>5.4381705729166667E-2</v>
      </c>
      <c r="AL1833" s="12">
        <v>15000</v>
      </c>
      <c r="AM1833" s="12">
        <v>17172.326857335949</v>
      </c>
      <c r="AN1833" s="12">
        <f t="shared" si="228"/>
        <v>2172.3268573359492</v>
      </c>
      <c r="AO1833" s="13">
        <f t="shared" si="229"/>
        <v>0.14482179048906327</v>
      </c>
      <c r="AP1833" s="16">
        <v>15000</v>
      </c>
      <c r="AQ1833" s="16">
        <v>15063.9075981721</v>
      </c>
      <c r="AR1833" s="16">
        <f t="shared" si="230"/>
        <v>63.907598172099824</v>
      </c>
      <c r="AS1833" s="17">
        <f t="shared" si="224"/>
        <v>4.2605065448066554E-3</v>
      </c>
      <c r="AT1833" s="20">
        <v>15000</v>
      </c>
      <c r="AU1833" s="20">
        <v>15955.9609375</v>
      </c>
      <c r="AV1833" s="20">
        <f t="shared" si="225"/>
        <v>955.9609375</v>
      </c>
      <c r="AW1833" s="21">
        <f t="shared" si="231"/>
        <v>6.3730729166666666E-2</v>
      </c>
    </row>
    <row r="1834" spans="1:49" x14ac:dyDescent="0.25">
      <c r="A1834" t="s">
        <v>38</v>
      </c>
      <c r="B1834" t="s">
        <v>68</v>
      </c>
      <c r="C1834">
        <v>121812</v>
      </c>
      <c r="D1834">
        <v>2019</v>
      </c>
      <c r="E1834" t="s">
        <v>97</v>
      </c>
      <c r="F1834" t="s">
        <v>198</v>
      </c>
      <c r="G1834" t="s">
        <v>155</v>
      </c>
      <c r="I1834">
        <v>6</v>
      </c>
      <c r="J1834" t="s">
        <v>135</v>
      </c>
      <c r="K1834">
        <v>4</v>
      </c>
      <c r="L1834" t="s">
        <v>44</v>
      </c>
      <c r="M1834">
        <v>3.6</v>
      </c>
      <c r="N1834" t="s">
        <v>45</v>
      </c>
      <c r="O1834" t="s">
        <v>46</v>
      </c>
      <c r="P1834">
        <v>5</v>
      </c>
      <c r="Q1834" t="s">
        <v>62</v>
      </c>
      <c r="R1834" t="s">
        <v>63</v>
      </c>
      <c r="S1834" t="s">
        <v>101</v>
      </c>
      <c r="U1834" t="s">
        <v>50</v>
      </c>
      <c r="V1834" t="s">
        <v>76</v>
      </c>
      <c r="W1834" t="s">
        <v>1084</v>
      </c>
      <c r="X1834" t="s">
        <v>94</v>
      </c>
      <c r="Y1834" t="s">
        <v>78</v>
      </c>
      <c r="Z1834">
        <v>36595</v>
      </c>
      <c r="AA1834">
        <v>0</v>
      </c>
      <c r="AB1834" t="s">
        <v>79</v>
      </c>
      <c r="AC1834" t="s">
        <v>109</v>
      </c>
      <c r="AD1834">
        <v>36</v>
      </c>
      <c r="AE1834">
        <v>9</v>
      </c>
      <c r="AF1834">
        <v>3</v>
      </c>
      <c r="AG1834">
        <v>2025</v>
      </c>
      <c r="AH1834" s="2">
        <v>10000</v>
      </c>
      <c r="AI1834" s="2">
        <v>13454.779296875</v>
      </c>
      <c r="AJ1834" s="2">
        <f t="shared" si="226"/>
        <v>3454.779296875</v>
      </c>
      <c r="AK1834" s="6">
        <f t="shared" si="227"/>
        <v>0.34547792968750002</v>
      </c>
      <c r="AL1834" s="12">
        <v>10000</v>
      </c>
      <c r="AM1834" s="12">
        <v>10608.03683042878</v>
      </c>
      <c r="AN1834" s="12">
        <f t="shared" si="228"/>
        <v>608.03683042878038</v>
      </c>
      <c r="AO1834" s="13">
        <f t="shared" si="229"/>
        <v>6.0803683042878039E-2</v>
      </c>
      <c r="AP1834" s="16">
        <v>10000</v>
      </c>
      <c r="AQ1834" s="16">
        <v>10952.756414583941</v>
      </c>
      <c r="AR1834" s="16">
        <f t="shared" si="230"/>
        <v>952.75641458394057</v>
      </c>
      <c r="AS1834" s="17">
        <f t="shared" si="224"/>
        <v>9.5275641458394053E-2</v>
      </c>
      <c r="AT1834" s="20">
        <v>10000</v>
      </c>
      <c r="AU1834" s="20">
        <v>12887.224609375</v>
      </c>
      <c r="AV1834" s="20">
        <f t="shared" si="225"/>
        <v>2887.224609375</v>
      </c>
      <c r="AW1834" s="21">
        <f t="shared" si="231"/>
        <v>0.28872246093749998</v>
      </c>
    </row>
    <row r="1835" spans="1:49" x14ac:dyDescent="0.25">
      <c r="A1835" t="s">
        <v>38</v>
      </c>
      <c r="B1835" t="s">
        <v>110</v>
      </c>
      <c r="C1835">
        <v>132126</v>
      </c>
      <c r="D1835">
        <v>2015</v>
      </c>
      <c r="E1835" t="s">
        <v>40</v>
      </c>
      <c r="F1835" t="s">
        <v>233</v>
      </c>
      <c r="G1835" t="s">
        <v>1516</v>
      </c>
      <c r="H1835" t="s">
        <v>453</v>
      </c>
      <c r="I1835">
        <v>4</v>
      </c>
      <c r="J1835" t="s">
        <v>122</v>
      </c>
      <c r="K1835">
        <v>4</v>
      </c>
      <c r="L1835" t="s">
        <v>44</v>
      </c>
      <c r="M1835">
        <v>2.5</v>
      </c>
      <c r="N1835" t="s">
        <v>45</v>
      </c>
      <c r="O1835" t="s">
        <v>100</v>
      </c>
      <c r="P1835">
        <v>1</v>
      </c>
      <c r="Q1835" t="s">
        <v>62</v>
      </c>
      <c r="R1835" t="s">
        <v>63</v>
      </c>
      <c r="S1835" t="s">
        <v>49</v>
      </c>
      <c r="T1835">
        <v>176</v>
      </c>
      <c r="U1835" t="s">
        <v>50</v>
      </c>
      <c r="V1835" t="s">
        <v>51</v>
      </c>
      <c r="W1835" t="s">
        <v>236</v>
      </c>
      <c r="X1835" t="s">
        <v>65</v>
      </c>
      <c r="Y1835" t="s">
        <v>54</v>
      </c>
      <c r="AA1835">
        <v>0</v>
      </c>
      <c r="AB1835" t="s">
        <v>79</v>
      </c>
      <c r="AC1835" t="s">
        <v>87</v>
      </c>
      <c r="AD1835">
        <v>36</v>
      </c>
      <c r="AE1835">
        <v>9</v>
      </c>
      <c r="AF1835">
        <v>3</v>
      </c>
      <c r="AG1835">
        <v>2025</v>
      </c>
      <c r="AH1835" s="2">
        <v>7200</v>
      </c>
      <c r="AI1835" s="2">
        <v>2271.865234375</v>
      </c>
      <c r="AJ1835" s="2">
        <f t="shared" si="226"/>
        <v>4928.134765625</v>
      </c>
      <c r="AK1835" s="6">
        <f t="shared" si="227"/>
        <v>0.68446316189236112</v>
      </c>
      <c r="AL1835" s="12">
        <v>7200</v>
      </c>
      <c r="AM1835" s="12">
        <v>2562.378402800065</v>
      </c>
      <c r="AN1835" s="12">
        <f t="shared" si="228"/>
        <v>4637.6215971999354</v>
      </c>
      <c r="AO1835" s="13">
        <f t="shared" si="229"/>
        <v>0.64411411072221325</v>
      </c>
      <c r="AP1835" s="16">
        <v>7200</v>
      </c>
      <c r="AQ1835" s="16">
        <v>2440.9747179445339</v>
      </c>
      <c r="AR1835" s="16">
        <f t="shared" si="230"/>
        <v>4759.0252820554661</v>
      </c>
      <c r="AS1835" s="17">
        <f t="shared" si="224"/>
        <v>0.66097573361881468</v>
      </c>
      <c r="AT1835" s="20">
        <v>7200</v>
      </c>
      <c r="AU1835" s="20">
        <v>2278.271728515625</v>
      </c>
      <c r="AV1835" s="20">
        <f t="shared" si="225"/>
        <v>4921.728271484375</v>
      </c>
      <c r="AW1835" s="21">
        <f t="shared" si="231"/>
        <v>0.68357337103949656</v>
      </c>
    </row>
    <row r="1836" spans="1:49" x14ac:dyDescent="0.25">
      <c r="A1836" t="s">
        <v>38</v>
      </c>
      <c r="B1836" t="s">
        <v>96</v>
      </c>
      <c r="C1836">
        <v>87111</v>
      </c>
      <c r="D1836">
        <v>2021</v>
      </c>
      <c r="E1836" t="s">
        <v>97</v>
      </c>
      <c r="F1836" t="s">
        <v>159</v>
      </c>
      <c r="G1836" t="s">
        <v>155</v>
      </c>
      <c r="H1836" t="s">
        <v>89</v>
      </c>
      <c r="I1836">
        <v>8</v>
      </c>
      <c r="J1836" t="s">
        <v>61</v>
      </c>
      <c r="K1836">
        <v>4</v>
      </c>
      <c r="L1836" t="s">
        <v>44</v>
      </c>
      <c r="M1836">
        <v>5.3</v>
      </c>
      <c r="N1836" t="s">
        <v>91</v>
      </c>
      <c r="O1836" t="s">
        <v>46</v>
      </c>
      <c r="Q1836" t="s">
        <v>74</v>
      </c>
      <c r="R1836" t="s">
        <v>92</v>
      </c>
      <c r="S1836" t="s">
        <v>93</v>
      </c>
      <c r="U1836" t="s">
        <v>50</v>
      </c>
      <c r="W1836" t="s">
        <v>339</v>
      </c>
      <c r="X1836" t="s">
        <v>108</v>
      </c>
      <c r="Y1836" t="s">
        <v>126</v>
      </c>
      <c r="AA1836">
        <v>0</v>
      </c>
      <c r="AB1836" t="s">
        <v>79</v>
      </c>
      <c r="AC1836" t="s">
        <v>95</v>
      </c>
      <c r="AD1836">
        <v>36</v>
      </c>
      <c r="AE1836">
        <v>9</v>
      </c>
      <c r="AF1836">
        <v>3</v>
      </c>
      <c r="AG1836">
        <v>2025</v>
      </c>
      <c r="AH1836" s="2">
        <v>24000</v>
      </c>
      <c r="AI1836" s="2">
        <v>32147.6328125</v>
      </c>
      <c r="AJ1836" s="2">
        <f t="shared" si="226"/>
        <v>8147.6328125</v>
      </c>
      <c r="AK1836" s="6">
        <f t="shared" si="227"/>
        <v>0.33948470052083335</v>
      </c>
      <c r="AL1836" s="12">
        <v>24000</v>
      </c>
      <c r="AM1836" s="12">
        <v>31877.260669428058</v>
      </c>
      <c r="AN1836" s="12">
        <f t="shared" si="228"/>
        <v>7877.2606694280585</v>
      </c>
      <c r="AO1836" s="13">
        <f t="shared" si="229"/>
        <v>0.32821919455950244</v>
      </c>
      <c r="AP1836" s="16">
        <v>24000</v>
      </c>
      <c r="AQ1836" s="16">
        <v>28154.41479947701</v>
      </c>
      <c r="AR1836" s="16">
        <f t="shared" si="230"/>
        <v>4154.4147994770101</v>
      </c>
      <c r="AS1836" s="17">
        <f t="shared" si="224"/>
        <v>0.17310061664487542</v>
      </c>
      <c r="AT1836" s="20">
        <v>24000</v>
      </c>
      <c r="AU1836" s="20">
        <v>31616.51171875</v>
      </c>
      <c r="AV1836" s="20">
        <f t="shared" si="225"/>
        <v>7616.51171875</v>
      </c>
      <c r="AW1836" s="21">
        <f t="shared" si="231"/>
        <v>0.31735465494791665</v>
      </c>
    </row>
    <row r="1837" spans="1:49" x14ac:dyDescent="0.25">
      <c r="A1837" t="s">
        <v>128</v>
      </c>
      <c r="B1837" t="s">
        <v>129</v>
      </c>
      <c r="C1837">
        <v>169158</v>
      </c>
      <c r="D1837">
        <v>2014</v>
      </c>
      <c r="E1837" t="s">
        <v>58</v>
      </c>
      <c r="F1837" t="s">
        <v>239</v>
      </c>
      <c r="G1837" t="s">
        <v>240</v>
      </c>
      <c r="I1837">
        <v>4</v>
      </c>
      <c r="J1837" t="s">
        <v>206</v>
      </c>
      <c r="K1837">
        <v>4</v>
      </c>
      <c r="L1837" t="s">
        <v>44</v>
      </c>
      <c r="M1837">
        <v>2.4</v>
      </c>
      <c r="N1837" t="s">
        <v>45</v>
      </c>
      <c r="Q1837" t="s">
        <v>62</v>
      </c>
      <c r="R1837" t="s">
        <v>63</v>
      </c>
      <c r="U1837" t="s">
        <v>50</v>
      </c>
      <c r="W1837" t="s">
        <v>595</v>
      </c>
      <c r="X1837" t="s">
        <v>65</v>
      </c>
      <c r="Y1837" t="s">
        <v>66</v>
      </c>
      <c r="AA1837">
        <v>0</v>
      </c>
      <c r="AB1837" t="s">
        <v>79</v>
      </c>
      <c r="AC1837" t="s">
        <v>87</v>
      </c>
      <c r="AD1837">
        <v>36</v>
      </c>
      <c r="AE1837">
        <v>9</v>
      </c>
      <c r="AF1837">
        <v>3</v>
      </c>
      <c r="AG1837">
        <v>2025</v>
      </c>
      <c r="AH1837" s="2">
        <v>1000</v>
      </c>
      <c r="AI1837" s="2">
        <v>1878.276977539062</v>
      </c>
      <c r="AJ1837" s="2">
        <f t="shared" si="226"/>
        <v>878.27697753906205</v>
      </c>
      <c r="AK1837" s="6">
        <f t="shared" si="227"/>
        <v>0.87827697753906209</v>
      </c>
      <c r="AL1837" s="12">
        <v>1000</v>
      </c>
      <c r="AM1837" s="12">
        <v>1897.230030722083</v>
      </c>
      <c r="AN1837" s="12">
        <f t="shared" si="228"/>
        <v>897.23003072208303</v>
      </c>
      <c r="AO1837" s="13">
        <f t="shared" si="229"/>
        <v>0.89723003072208307</v>
      </c>
      <c r="AP1837" s="16">
        <v>1000</v>
      </c>
      <c r="AQ1837" s="16">
        <v>1824.4203439902219</v>
      </c>
      <c r="AR1837" s="16">
        <f t="shared" si="230"/>
        <v>824.42034399022191</v>
      </c>
      <c r="AS1837" s="17">
        <f t="shared" si="224"/>
        <v>0.8244203439902219</v>
      </c>
      <c r="AT1837" s="20">
        <v>1000</v>
      </c>
      <c r="AU1837" s="20">
        <v>1903.748779296875</v>
      </c>
      <c r="AV1837" s="20">
        <f t="shared" si="225"/>
        <v>903.748779296875</v>
      </c>
      <c r="AW1837" s="21">
        <f t="shared" si="231"/>
        <v>0.90374877929687503</v>
      </c>
    </row>
    <row r="1838" spans="1:49" x14ac:dyDescent="0.25">
      <c r="A1838" t="s">
        <v>38</v>
      </c>
      <c r="B1838" t="s">
        <v>96</v>
      </c>
      <c r="C1838">
        <v>182447</v>
      </c>
      <c r="D1838">
        <v>2018</v>
      </c>
      <c r="E1838" t="s">
        <v>97</v>
      </c>
      <c r="F1838" t="s">
        <v>244</v>
      </c>
      <c r="G1838" t="s">
        <v>155</v>
      </c>
      <c r="I1838">
        <v>8</v>
      </c>
      <c r="J1838" t="s">
        <v>72</v>
      </c>
      <c r="K1838">
        <v>4</v>
      </c>
      <c r="L1838" t="s">
        <v>44</v>
      </c>
      <c r="M1838">
        <v>5.3</v>
      </c>
      <c r="N1838" t="s">
        <v>73</v>
      </c>
      <c r="O1838" t="s">
        <v>46</v>
      </c>
      <c r="P1838">
        <v>5</v>
      </c>
      <c r="Q1838" t="s">
        <v>62</v>
      </c>
      <c r="R1838" t="s">
        <v>63</v>
      </c>
      <c r="S1838" t="s">
        <v>49</v>
      </c>
      <c r="U1838" t="s">
        <v>50</v>
      </c>
      <c r="W1838" t="s">
        <v>424</v>
      </c>
      <c r="X1838" t="s">
        <v>108</v>
      </c>
      <c r="Y1838" t="s">
        <v>78</v>
      </c>
      <c r="Z1838">
        <v>55300</v>
      </c>
      <c r="AA1838">
        <v>0</v>
      </c>
      <c r="AB1838" t="s">
        <v>79</v>
      </c>
      <c r="AC1838" t="s">
        <v>109</v>
      </c>
      <c r="AD1838">
        <v>36</v>
      </c>
      <c r="AE1838">
        <v>9</v>
      </c>
      <c r="AF1838">
        <v>3</v>
      </c>
      <c r="AG1838">
        <v>2025</v>
      </c>
      <c r="AH1838" s="2">
        <v>8800</v>
      </c>
      <c r="AI1838" s="2">
        <v>12040.1220703125</v>
      </c>
      <c r="AJ1838" s="2">
        <f t="shared" si="226"/>
        <v>3240.1220703125</v>
      </c>
      <c r="AK1838" s="6">
        <f t="shared" si="227"/>
        <v>0.36819568980823864</v>
      </c>
      <c r="AL1838" s="12">
        <v>8800</v>
      </c>
      <c r="AM1838" s="12">
        <v>13190.55593432467</v>
      </c>
      <c r="AN1838" s="12">
        <f t="shared" si="228"/>
        <v>4390.5559343246696</v>
      </c>
      <c r="AO1838" s="13">
        <f t="shared" si="229"/>
        <v>0.49892681071871248</v>
      </c>
      <c r="AP1838" s="16">
        <v>8800</v>
      </c>
      <c r="AQ1838" s="16">
        <v>11734.15598856161</v>
      </c>
      <c r="AR1838" s="16">
        <f t="shared" si="230"/>
        <v>2934.1559885616098</v>
      </c>
      <c r="AS1838" s="17">
        <f t="shared" si="224"/>
        <v>0.3334268168820011</v>
      </c>
      <c r="AT1838" s="20">
        <v>8800</v>
      </c>
      <c r="AU1838" s="20">
        <v>12331.9951171875</v>
      </c>
      <c r="AV1838" s="20">
        <f t="shared" si="225"/>
        <v>3531.9951171875</v>
      </c>
      <c r="AW1838" s="21">
        <f t="shared" si="231"/>
        <v>0.40136308149857952</v>
      </c>
    </row>
    <row r="1839" spans="1:49" x14ac:dyDescent="0.25">
      <c r="A1839" t="s">
        <v>81</v>
      </c>
      <c r="B1839" t="s">
        <v>170</v>
      </c>
      <c r="C1839">
        <v>154</v>
      </c>
      <c r="D1839">
        <v>2023</v>
      </c>
      <c r="E1839" t="s">
        <v>116</v>
      </c>
      <c r="F1839" t="s">
        <v>237</v>
      </c>
      <c r="H1839" t="s">
        <v>1323</v>
      </c>
      <c r="I1839">
        <v>8</v>
      </c>
      <c r="J1839" t="s">
        <v>135</v>
      </c>
      <c r="K1839">
        <v>4</v>
      </c>
      <c r="L1839" t="s">
        <v>44</v>
      </c>
      <c r="M1839">
        <v>6.4</v>
      </c>
      <c r="N1839" t="s">
        <v>73</v>
      </c>
      <c r="O1839" t="s">
        <v>46</v>
      </c>
      <c r="Q1839" t="s">
        <v>47</v>
      </c>
      <c r="R1839" t="s">
        <v>123</v>
      </c>
      <c r="S1839" t="s">
        <v>179</v>
      </c>
      <c r="T1839">
        <v>485</v>
      </c>
      <c r="U1839" t="s">
        <v>50</v>
      </c>
      <c r="V1839" t="s">
        <v>76</v>
      </c>
      <c r="X1839" t="s">
        <v>125</v>
      </c>
      <c r="Y1839" t="s">
        <v>103</v>
      </c>
      <c r="AA1839">
        <v>0</v>
      </c>
      <c r="AB1839" t="s">
        <v>79</v>
      </c>
      <c r="AC1839" t="s">
        <v>127</v>
      </c>
      <c r="AD1839">
        <v>36</v>
      </c>
      <c r="AE1839">
        <v>9</v>
      </c>
      <c r="AF1839">
        <v>3</v>
      </c>
      <c r="AG1839">
        <v>2025</v>
      </c>
      <c r="AH1839" s="2">
        <v>51500</v>
      </c>
      <c r="AI1839" s="2">
        <v>66850.9140625</v>
      </c>
      <c r="AJ1839" s="2">
        <f t="shared" si="226"/>
        <v>15350.9140625</v>
      </c>
      <c r="AK1839" s="6">
        <f t="shared" si="227"/>
        <v>0.29807600121359223</v>
      </c>
      <c r="AL1839" s="12">
        <v>51500</v>
      </c>
      <c r="AM1839" s="12">
        <v>52667.025677860482</v>
      </c>
      <c r="AN1839" s="12">
        <f t="shared" si="228"/>
        <v>1167.0256778604817</v>
      </c>
      <c r="AO1839" s="13">
        <f t="shared" si="229"/>
        <v>2.2660692773989934E-2</v>
      </c>
      <c r="AP1839" s="16">
        <v>51500</v>
      </c>
      <c r="AQ1839" s="16">
        <v>43275.288246665827</v>
      </c>
      <c r="AR1839" s="16">
        <f t="shared" si="230"/>
        <v>8224.7117533341734</v>
      </c>
      <c r="AS1839" s="17">
        <f t="shared" si="224"/>
        <v>0.15970314084144027</v>
      </c>
      <c r="AT1839" s="20">
        <v>51500</v>
      </c>
      <c r="AU1839" s="20">
        <v>60039.70703125</v>
      </c>
      <c r="AV1839" s="20">
        <f t="shared" si="225"/>
        <v>8539.70703125</v>
      </c>
      <c r="AW1839" s="21">
        <f t="shared" si="231"/>
        <v>0.16581955400485437</v>
      </c>
    </row>
    <row r="1840" spans="1:49" x14ac:dyDescent="0.25">
      <c r="A1840" t="s">
        <v>81</v>
      </c>
      <c r="B1840" t="s">
        <v>82</v>
      </c>
      <c r="C1840">
        <v>178659</v>
      </c>
      <c r="D1840">
        <v>2013</v>
      </c>
      <c r="E1840" t="s">
        <v>40</v>
      </c>
      <c r="F1840" t="s">
        <v>550</v>
      </c>
      <c r="G1840" t="s">
        <v>721</v>
      </c>
      <c r="H1840" t="s">
        <v>1405</v>
      </c>
      <c r="I1840">
        <v>6</v>
      </c>
      <c r="J1840" t="s">
        <v>135</v>
      </c>
      <c r="K1840">
        <v>4</v>
      </c>
      <c r="L1840" t="s">
        <v>44</v>
      </c>
      <c r="M1840">
        <v>3.5</v>
      </c>
      <c r="N1840" t="s">
        <v>44</v>
      </c>
      <c r="O1840" t="s">
        <v>46</v>
      </c>
      <c r="Q1840" t="s">
        <v>62</v>
      </c>
      <c r="R1840" t="s">
        <v>63</v>
      </c>
      <c r="S1840" t="s">
        <v>93</v>
      </c>
      <c r="T1840">
        <v>231</v>
      </c>
      <c r="U1840" t="s">
        <v>50</v>
      </c>
      <c r="V1840" t="s">
        <v>76</v>
      </c>
      <c r="W1840" t="s">
        <v>290</v>
      </c>
      <c r="X1840" t="s">
        <v>141</v>
      </c>
      <c r="Y1840" t="s">
        <v>78</v>
      </c>
      <c r="AA1840">
        <v>0</v>
      </c>
      <c r="AB1840" t="s">
        <v>79</v>
      </c>
      <c r="AC1840" t="s">
        <v>87</v>
      </c>
      <c r="AD1840">
        <v>36</v>
      </c>
      <c r="AE1840">
        <v>9</v>
      </c>
      <c r="AF1840">
        <v>3</v>
      </c>
      <c r="AG1840">
        <v>2025</v>
      </c>
      <c r="AH1840" s="2">
        <v>5000</v>
      </c>
      <c r="AI1840" s="2">
        <v>3836.856689453125</v>
      </c>
      <c r="AJ1840" s="2">
        <f t="shared" si="226"/>
        <v>1163.143310546875</v>
      </c>
      <c r="AK1840" s="6">
        <f t="shared" si="227"/>
        <v>0.232628662109375</v>
      </c>
      <c r="AL1840" s="12">
        <v>5000</v>
      </c>
      <c r="AM1840" s="12">
        <v>3856.6119036343489</v>
      </c>
      <c r="AN1840" s="12">
        <f t="shared" si="228"/>
        <v>1143.3880963656511</v>
      </c>
      <c r="AO1840" s="13">
        <f t="shared" si="229"/>
        <v>0.22867761927313021</v>
      </c>
      <c r="AP1840" s="16">
        <v>5000</v>
      </c>
      <c r="AQ1840" s="16">
        <v>3268.3884446554262</v>
      </c>
      <c r="AR1840" s="16">
        <f t="shared" si="230"/>
        <v>1731.6115553445738</v>
      </c>
      <c r="AS1840" s="17">
        <f t="shared" si="224"/>
        <v>0.34632231106891476</v>
      </c>
      <c r="AT1840" s="20">
        <v>5000</v>
      </c>
      <c r="AU1840" s="20">
        <v>3875.9130859375</v>
      </c>
      <c r="AV1840" s="20">
        <f t="shared" si="225"/>
        <v>1124.0869140625</v>
      </c>
      <c r="AW1840" s="21">
        <f t="shared" si="231"/>
        <v>0.22481738281249999</v>
      </c>
    </row>
    <row r="1841" spans="1:49" x14ac:dyDescent="0.25">
      <c r="A1841" t="s">
        <v>38</v>
      </c>
      <c r="B1841" t="s">
        <v>68</v>
      </c>
      <c r="C1841">
        <v>120831</v>
      </c>
      <c r="D1841">
        <v>2014</v>
      </c>
      <c r="E1841" t="s">
        <v>69</v>
      </c>
      <c r="F1841" t="s">
        <v>475</v>
      </c>
      <c r="H1841" t="s">
        <v>259</v>
      </c>
      <c r="I1841">
        <v>8</v>
      </c>
      <c r="J1841" t="s">
        <v>122</v>
      </c>
      <c r="K1841">
        <v>4</v>
      </c>
      <c r="L1841" t="s">
        <v>44</v>
      </c>
      <c r="M1841">
        <v>6.7</v>
      </c>
      <c r="N1841" t="s">
        <v>91</v>
      </c>
      <c r="O1841" t="s">
        <v>46</v>
      </c>
      <c r="Q1841" t="s">
        <v>74</v>
      </c>
      <c r="R1841" t="s">
        <v>92</v>
      </c>
      <c r="S1841" t="s">
        <v>93</v>
      </c>
      <c r="T1841">
        <v>400</v>
      </c>
      <c r="U1841" t="s">
        <v>229</v>
      </c>
      <c r="V1841" t="s">
        <v>76</v>
      </c>
      <c r="X1841" t="s">
        <v>230</v>
      </c>
      <c r="Y1841" t="s">
        <v>78</v>
      </c>
      <c r="AA1841">
        <v>0</v>
      </c>
      <c r="AB1841" t="s">
        <v>79</v>
      </c>
      <c r="AC1841" t="s">
        <v>95</v>
      </c>
      <c r="AD1841">
        <v>36</v>
      </c>
      <c r="AE1841">
        <v>9</v>
      </c>
      <c r="AF1841">
        <v>3</v>
      </c>
      <c r="AG1841">
        <v>2025</v>
      </c>
      <c r="AH1841" s="2">
        <v>26250</v>
      </c>
      <c r="AI1841" s="2">
        <v>20832.943359375</v>
      </c>
      <c r="AJ1841" s="2">
        <f t="shared" si="226"/>
        <v>5417.056640625</v>
      </c>
      <c r="AK1841" s="6">
        <f t="shared" si="227"/>
        <v>0.2063640625</v>
      </c>
      <c r="AL1841" s="12">
        <v>26250</v>
      </c>
      <c r="AM1841" s="12">
        <v>16530.198219373331</v>
      </c>
      <c r="AN1841" s="12">
        <f t="shared" si="228"/>
        <v>9719.8017806266689</v>
      </c>
      <c r="AO1841" s="13">
        <f t="shared" si="229"/>
        <v>0.37027816307149214</v>
      </c>
      <c r="AP1841" s="16">
        <v>26250</v>
      </c>
      <c r="AQ1841" s="16">
        <v>19800.89379966609</v>
      </c>
      <c r="AR1841" s="16">
        <f t="shared" si="230"/>
        <v>6449.1062003339102</v>
      </c>
      <c r="AS1841" s="17">
        <f t="shared" si="224"/>
        <v>0.24568023620319657</v>
      </c>
      <c r="AT1841" s="20">
        <v>26250</v>
      </c>
      <c r="AU1841" s="20">
        <v>19956.904296875</v>
      </c>
      <c r="AV1841" s="20">
        <f t="shared" si="225"/>
        <v>6293.095703125</v>
      </c>
      <c r="AW1841" s="21">
        <f t="shared" si="231"/>
        <v>0.23973697916666667</v>
      </c>
    </row>
    <row r="1842" spans="1:49" x14ac:dyDescent="0.25">
      <c r="A1842" t="s">
        <v>114</v>
      </c>
      <c r="B1842" t="s">
        <v>340</v>
      </c>
      <c r="C1842">
        <v>51514</v>
      </c>
      <c r="D1842">
        <v>2022</v>
      </c>
      <c r="E1842" t="s">
        <v>69</v>
      </c>
      <c r="F1842" t="s">
        <v>873</v>
      </c>
      <c r="G1842" t="s">
        <v>285</v>
      </c>
      <c r="I1842">
        <v>4</v>
      </c>
      <c r="J1842" t="s">
        <v>61</v>
      </c>
      <c r="K1842">
        <v>4</v>
      </c>
      <c r="L1842" t="s">
        <v>44</v>
      </c>
      <c r="M1842">
        <v>2</v>
      </c>
      <c r="N1842" t="s">
        <v>44</v>
      </c>
      <c r="O1842" t="s">
        <v>46</v>
      </c>
      <c r="P1842">
        <v>4</v>
      </c>
      <c r="Q1842" t="s">
        <v>62</v>
      </c>
      <c r="R1842" t="s">
        <v>63</v>
      </c>
      <c r="S1842" t="s">
        <v>85</v>
      </c>
      <c r="T1842">
        <v>250</v>
      </c>
      <c r="U1842" t="s">
        <v>50</v>
      </c>
      <c r="V1842" t="s">
        <v>51</v>
      </c>
      <c r="W1842" t="s">
        <v>308</v>
      </c>
      <c r="X1842" t="s">
        <v>141</v>
      </c>
      <c r="Y1842" t="s">
        <v>103</v>
      </c>
      <c r="AA1842">
        <v>0</v>
      </c>
      <c r="AB1842" t="s">
        <v>79</v>
      </c>
      <c r="AC1842" t="s">
        <v>87</v>
      </c>
      <c r="AD1842">
        <v>36</v>
      </c>
      <c r="AE1842">
        <v>9</v>
      </c>
      <c r="AF1842">
        <v>3</v>
      </c>
      <c r="AG1842">
        <v>2025</v>
      </c>
      <c r="AH1842" s="2">
        <v>17700</v>
      </c>
      <c r="AI1842" s="2">
        <v>17176.015625</v>
      </c>
      <c r="AJ1842" s="2">
        <f t="shared" si="226"/>
        <v>523.984375</v>
      </c>
      <c r="AK1842" s="6">
        <f t="shared" si="227"/>
        <v>2.9603637005649719E-2</v>
      </c>
      <c r="AL1842" s="12">
        <v>17700</v>
      </c>
      <c r="AM1842" s="12">
        <v>22807.778436534591</v>
      </c>
      <c r="AN1842" s="12">
        <f t="shared" si="228"/>
        <v>5107.7784365345906</v>
      </c>
      <c r="AO1842" s="13">
        <f t="shared" si="229"/>
        <v>0.28857505291155877</v>
      </c>
      <c r="AP1842" s="16">
        <v>17700</v>
      </c>
      <c r="AQ1842" s="16">
        <v>17276.487827689522</v>
      </c>
      <c r="AR1842" s="16">
        <f t="shared" si="230"/>
        <v>423.51217231047849</v>
      </c>
      <c r="AS1842" s="17">
        <f t="shared" si="224"/>
        <v>2.3927241373473362E-2</v>
      </c>
      <c r="AT1842" s="20">
        <v>17700</v>
      </c>
      <c r="AU1842" s="20">
        <v>17858.107421875</v>
      </c>
      <c r="AV1842" s="20">
        <f t="shared" si="225"/>
        <v>158.107421875</v>
      </c>
      <c r="AW1842" s="21">
        <f t="shared" si="231"/>
        <v>8.9326227048022594E-3</v>
      </c>
    </row>
    <row r="1843" spans="1:49" x14ac:dyDescent="0.25">
      <c r="A1843" t="s">
        <v>38</v>
      </c>
      <c r="B1843" t="s">
        <v>39</v>
      </c>
      <c r="C1843">
        <v>69076</v>
      </c>
      <c r="D1843">
        <v>2018</v>
      </c>
      <c r="E1843" t="s">
        <v>69</v>
      </c>
      <c r="F1843" t="s">
        <v>231</v>
      </c>
      <c r="I1843">
        <v>6</v>
      </c>
      <c r="J1843" t="s">
        <v>61</v>
      </c>
      <c r="K1843">
        <v>4</v>
      </c>
      <c r="L1843" t="s">
        <v>44</v>
      </c>
      <c r="M1843">
        <v>3.5</v>
      </c>
      <c r="N1843" t="s">
        <v>91</v>
      </c>
      <c r="O1843" t="s">
        <v>46</v>
      </c>
      <c r="Q1843" t="s">
        <v>74</v>
      </c>
      <c r="R1843" t="s">
        <v>92</v>
      </c>
      <c r="S1843" t="s">
        <v>93</v>
      </c>
      <c r="T1843">
        <v>375</v>
      </c>
      <c r="U1843" t="s">
        <v>50</v>
      </c>
      <c r="V1843" t="s">
        <v>76</v>
      </c>
      <c r="W1843" t="s">
        <v>107</v>
      </c>
      <c r="X1843" t="s">
        <v>94</v>
      </c>
      <c r="Y1843" t="s">
        <v>78</v>
      </c>
      <c r="AA1843">
        <v>0</v>
      </c>
      <c r="AB1843" t="s">
        <v>79</v>
      </c>
      <c r="AC1843" t="s">
        <v>95</v>
      </c>
      <c r="AD1843">
        <v>36</v>
      </c>
      <c r="AE1843">
        <v>9</v>
      </c>
      <c r="AF1843">
        <v>3</v>
      </c>
      <c r="AG1843">
        <v>2025</v>
      </c>
      <c r="AH1843" s="2">
        <v>29250</v>
      </c>
      <c r="AI1843" s="2">
        <v>22558.3046875</v>
      </c>
      <c r="AJ1843" s="2">
        <f t="shared" si="226"/>
        <v>6691.6953125</v>
      </c>
      <c r="AK1843" s="6">
        <f t="shared" si="227"/>
        <v>0.22877590811965812</v>
      </c>
      <c r="AL1843" s="12">
        <v>29250</v>
      </c>
      <c r="AM1843" s="12">
        <v>22479.127924147771</v>
      </c>
      <c r="AN1843" s="12">
        <f t="shared" si="228"/>
        <v>6770.8720758522286</v>
      </c>
      <c r="AO1843" s="13">
        <f t="shared" si="229"/>
        <v>0.23148280601204199</v>
      </c>
      <c r="AP1843" s="16">
        <v>29250</v>
      </c>
      <c r="AQ1843" s="16">
        <v>23405.016269222211</v>
      </c>
      <c r="AR1843" s="16">
        <f t="shared" si="230"/>
        <v>5844.9837307777889</v>
      </c>
      <c r="AS1843" s="17">
        <f t="shared" si="224"/>
        <v>0.19982850361633467</v>
      </c>
      <c r="AT1843" s="20">
        <v>29250</v>
      </c>
      <c r="AU1843" s="20">
        <v>22127.43359375</v>
      </c>
      <c r="AV1843" s="20">
        <f t="shared" si="225"/>
        <v>7122.56640625</v>
      </c>
      <c r="AW1843" s="21">
        <f t="shared" si="231"/>
        <v>0.2435065438034188</v>
      </c>
    </row>
    <row r="1844" spans="1:49" x14ac:dyDescent="0.25">
      <c r="A1844" t="s">
        <v>38</v>
      </c>
      <c r="B1844" t="s">
        <v>68</v>
      </c>
      <c r="C1844">
        <v>53721</v>
      </c>
      <c r="D1844">
        <v>2023</v>
      </c>
      <c r="E1844" t="s">
        <v>403</v>
      </c>
      <c r="F1844" t="s">
        <v>1517</v>
      </c>
      <c r="G1844" t="s">
        <v>662</v>
      </c>
      <c r="I1844">
        <v>6</v>
      </c>
      <c r="J1844" t="s">
        <v>61</v>
      </c>
      <c r="K1844">
        <v>4</v>
      </c>
      <c r="L1844" t="s">
        <v>44</v>
      </c>
      <c r="M1844">
        <v>3.6</v>
      </c>
      <c r="N1844" t="s">
        <v>44</v>
      </c>
      <c r="O1844" t="s">
        <v>46</v>
      </c>
      <c r="P1844">
        <v>4</v>
      </c>
      <c r="Q1844" t="s">
        <v>62</v>
      </c>
      <c r="R1844" t="s">
        <v>63</v>
      </c>
      <c r="S1844" t="s">
        <v>85</v>
      </c>
      <c r="U1844" t="s">
        <v>50</v>
      </c>
      <c r="V1844" t="s">
        <v>76</v>
      </c>
      <c r="W1844" t="s">
        <v>1433</v>
      </c>
      <c r="X1844" t="s">
        <v>94</v>
      </c>
      <c r="Y1844" t="s">
        <v>78</v>
      </c>
      <c r="AA1844">
        <v>0</v>
      </c>
      <c r="AB1844" t="s">
        <v>79</v>
      </c>
      <c r="AC1844" t="s">
        <v>109</v>
      </c>
      <c r="AD1844">
        <v>36</v>
      </c>
      <c r="AE1844">
        <v>9</v>
      </c>
      <c r="AF1844">
        <v>3</v>
      </c>
      <c r="AG1844">
        <v>2025</v>
      </c>
      <c r="AH1844" s="2">
        <v>31250</v>
      </c>
      <c r="AI1844" s="2">
        <v>27955.93359375</v>
      </c>
      <c r="AJ1844" s="2">
        <f t="shared" si="226"/>
        <v>3294.06640625</v>
      </c>
      <c r="AK1844" s="6">
        <f t="shared" si="227"/>
        <v>0.10541012499999999</v>
      </c>
      <c r="AL1844" s="12">
        <v>31250</v>
      </c>
      <c r="AM1844" s="12">
        <v>30056.840954408272</v>
      </c>
      <c r="AN1844" s="12">
        <f t="shared" si="228"/>
        <v>1193.1590455917285</v>
      </c>
      <c r="AO1844" s="13">
        <f t="shared" si="229"/>
        <v>3.8181089458935315E-2</v>
      </c>
      <c r="AP1844" s="16">
        <v>31250</v>
      </c>
      <c r="AQ1844" s="16">
        <v>30779.514321788211</v>
      </c>
      <c r="AR1844" s="16">
        <f t="shared" si="230"/>
        <v>470.48567821178949</v>
      </c>
      <c r="AS1844" s="17">
        <f t="shared" si="224"/>
        <v>1.5055541702777264E-2</v>
      </c>
      <c r="AT1844" s="20">
        <v>31250</v>
      </c>
      <c r="AU1844" s="20">
        <v>28120.544921875</v>
      </c>
      <c r="AV1844" s="20">
        <f t="shared" si="225"/>
        <v>3129.455078125</v>
      </c>
      <c r="AW1844" s="21">
        <f t="shared" si="231"/>
        <v>0.1001425625</v>
      </c>
    </row>
    <row r="1845" spans="1:49" x14ac:dyDescent="0.25">
      <c r="A1845" t="s">
        <v>114</v>
      </c>
      <c r="B1845" t="s">
        <v>491</v>
      </c>
      <c r="C1845">
        <v>137676</v>
      </c>
      <c r="D1845">
        <v>2020</v>
      </c>
      <c r="E1845" t="s">
        <v>69</v>
      </c>
      <c r="F1845" t="s">
        <v>70</v>
      </c>
      <c r="G1845" t="s">
        <v>1447</v>
      </c>
      <c r="H1845" t="s">
        <v>71</v>
      </c>
      <c r="I1845">
        <v>6</v>
      </c>
      <c r="J1845" t="s">
        <v>72</v>
      </c>
      <c r="K1845">
        <v>3</v>
      </c>
      <c r="L1845" t="s">
        <v>44</v>
      </c>
      <c r="M1845">
        <v>3.5</v>
      </c>
      <c r="N1845" t="s">
        <v>73</v>
      </c>
      <c r="O1845" t="s">
        <v>46</v>
      </c>
      <c r="P1845">
        <v>3</v>
      </c>
      <c r="Q1845" t="s">
        <v>74</v>
      </c>
      <c r="R1845" t="s">
        <v>75</v>
      </c>
      <c r="S1845" t="s">
        <v>179</v>
      </c>
      <c r="T1845">
        <v>275</v>
      </c>
      <c r="U1845" t="s">
        <v>50</v>
      </c>
      <c r="V1845" t="s">
        <v>76</v>
      </c>
      <c r="W1845" t="s">
        <v>640</v>
      </c>
      <c r="X1845" t="s">
        <v>230</v>
      </c>
      <c r="Y1845" t="s">
        <v>78</v>
      </c>
      <c r="AA1845">
        <v>0</v>
      </c>
      <c r="AB1845" t="s">
        <v>79</v>
      </c>
      <c r="AC1845" t="s">
        <v>80</v>
      </c>
      <c r="AD1845">
        <v>36</v>
      </c>
      <c r="AE1845">
        <v>9</v>
      </c>
      <c r="AF1845">
        <v>3</v>
      </c>
      <c r="AG1845">
        <v>2025</v>
      </c>
      <c r="AH1845" s="2">
        <v>10000</v>
      </c>
      <c r="AI1845" s="2">
        <v>10437.2978515625</v>
      </c>
      <c r="AJ1845" s="2">
        <f t="shared" si="226"/>
        <v>437.2978515625</v>
      </c>
      <c r="AK1845" s="6">
        <f t="shared" si="227"/>
        <v>4.3729785156249999E-2</v>
      </c>
      <c r="AL1845" s="12">
        <v>10000</v>
      </c>
      <c r="AM1845" s="12">
        <v>13506.23827671278</v>
      </c>
      <c r="AN1845" s="12">
        <f t="shared" si="228"/>
        <v>3506.2382767127801</v>
      </c>
      <c r="AO1845" s="13">
        <f t="shared" si="229"/>
        <v>0.35062382767127803</v>
      </c>
      <c r="AP1845" s="16">
        <v>10000</v>
      </c>
      <c r="AQ1845" s="16">
        <v>13039.35689787282</v>
      </c>
      <c r="AR1845" s="16">
        <f t="shared" si="230"/>
        <v>3039.3568978728199</v>
      </c>
      <c r="AS1845" s="17">
        <f t="shared" si="224"/>
        <v>0.30393568978728197</v>
      </c>
      <c r="AT1845" s="20">
        <v>10000</v>
      </c>
      <c r="AU1845" s="20">
        <v>11175.0615234375</v>
      </c>
      <c r="AV1845" s="20">
        <f t="shared" si="225"/>
        <v>1175.0615234375</v>
      </c>
      <c r="AW1845" s="21">
        <f t="shared" si="231"/>
        <v>0.11750615234375</v>
      </c>
    </row>
    <row r="1846" spans="1:49" x14ac:dyDescent="0.25">
      <c r="A1846" t="s">
        <v>38</v>
      </c>
      <c r="B1846" t="s">
        <v>96</v>
      </c>
      <c r="C1846">
        <v>109223</v>
      </c>
      <c r="D1846">
        <v>2014</v>
      </c>
      <c r="E1846" t="s">
        <v>388</v>
      </c>
      <c r="F1846" t="s">
        <v>389</v>
      </c>
      <c r="G1846" t="s">
        <v>990</v>
      </c>
      <c r="H1846" t="s">
        <v>669</v>
      </c>
      <c r="I1846">
        <v>4</v>
      </c>
      <c r="J1846" t="s">
        <v>72</v>
      </c>
      <c r="K1846">
        <v>4</v>
      </c>
      <c r="L1846" t="s">
        <v>44</v>
      </c>
      <c r="M1846">
        <v>2.4</v>
      </c>
      <c r="N1846" t="s">
        <v>45</v>
      </c>
      <c r="O1846" t="s">
        <v>46</v>
      </c>
      <c r="P1846">
        <v>2</v>
      </c>
      <c r="Q1846" t="s">
        <v>62</v>
      </c>
      <c r="R1846" t="s">
        <v>63</v>
      </c>
      <c r="S1846" t="s">
        <v>49</v>
      </c>
      <c r="U1846" t="s">
        <v>50</v>
      </c>
      <c r="W1846" t="s">
        <v>438</v>
      </c>
      <c r="X1846" t="s">
        <v>65</v>
      </c>
      <c r="Y1846" t="s">
        <v>54</v>
      </c>
      <c r="AA1846">
        <v>0</v>
      </c>
      <c r="AB1846" t="s">
        <v>79</v>
      </c>
      <c r="AC1846" t="s">
        <v>87</v>
      </c>
      <c r="AD1846">
        <v>36</v>
      </c>
      <c r="AE1846">
        <v>9</v>
      </c>
      <c r="AF1846">
        <v>3</v>
      </c>
      <c r="AG1846">
        <v>2025</v>
      </c>
      <c r="AH1846" s="2">
        <v>2300</v>
      </c>
      <c r="AI1846" s="2">
        <v>2671.0830078125</v>
      </c>
      <c r="AJ1846" s="2">
        <f t="shared" si="226"/>
        <v>371.0830078125</v>
      </c>
      <c r="AK1846" s="6">
        <f t="shared" si="227"/>
        <v>0.16134043817934782</v>
      </c>
      <c r="AL1846" s="12">
        <v>2300</v>
      </c>
      <c r="AM1846" s="12">
        <v>2363.9210315036271</v>
      </c>
      <c r="AN1846" s="12">
        <f t="shared" si="228"/>
        <v>63.921031503627091</v>
      </c>
      <c r="AO1846" s="13">
        <f t="shared" si="229"/>
        <v>2.7791752827663954E-2</v>
      </c>
      <c r="AP1846" s="16">
        <v>2300</v>
      </c>
      <c r="AQ1846" s="16">
        <v>2685.6676423279</v>
      </c>
      <c r="AR1846" s="16">
        <f t="shared" si="230"/>
        <v>385.66764232790001</v>
      </c>
      <c r="AS1846" s="17">
        <f t="shared" si="224"/>
        <v>0.16768158362082608</v>
      </c>
      <c r="AT1846" s="20">
        <v>2300</v>
      </c>
      <c r="AU1846" s="20">
        <v>2682.91015625</v>
      </c>
      <c r="AV1846" s="20">
        <f t="shared" si="225"/>
        <v>382.91015625</v>
      </c>
      <c r="AW1846" s="21">
        <f t="shared" si="231"/>
        <v>0.16648267663043478</v>
      </c>
    </row>
    <row r="1847" spans="1:49" x14ac:dyDescent="0.25">
      <c r="A1847" t="s">
        <v>38</v>
      </c>
      <c r="B1847" t="s">
        <v>39</v>
      </c>
      <c r="C1847">
        <v>157442</v>
      </c>
      <c r="D1847">
        <v>2015</v>
      </c>
      <c r="E1847" t="s">
        <v>58</v>
      </c>
      <c r="F1847" t="s">
        <v>391</v>
      </c>
      <c r="G1847" t="s">
        <v>1518</v>
      </c>
      <c r="I1847">
        <v>4</v>
      </c>
      <c r="J1847" t="s">
        <v>61</v>
      </c>
      <c r="K1847">
        <v>4</v>
      </c>
      <c r="L1847" t="s">
        <v>44</v>
      </c>
      <c r="M1847">
        <v>2.4</v>
      </c>
      <c r="N1847" t="s">
        <v>45</v>
      </c>
      <c r="O1847" t="s">
        <v>190</v>
      </c>
      <c r="P1847">
        <v>1</v>
      </c>
      <c r="Q1847" t="s">
        <v>47</v>
      </c>
      <c r="R1847" t="s">
        <v>123</v>
      </c>
      <c r="U1847" t="s">
        <v>50</v>
      </c>
      <c r="W1847" t="s">
        <v>595</v>
      </c>
      <c r="X1847" t="s">
        <v>125</v>
      </c>
      <c r="Y1847" t="s">
        <v>78</v>
      </c>
      <c r="AA1847">
        <v>0</v>
      </c>
      <c r="AB1847" t="s">
        <v>79</v>
      </c>
      <c r="AC1847" t="s">
        <v>127</v>
      </c>
      <c r="AD1847">
        <v>36</v>
      </c>
      <c r="AE1847">
        <v>9</v>
      </c>
      <c r="AF1847">
        <v>3</v>
      </c>
      <c r="AG1847">
        <v>2025</v>
      </c>
      <c r="AH1847" s="2">
        <v>1000</v>
      </c>
      <c r="AI1847" s="2">
        <v>793.7996826171875</v>
      </c>
      <c r="AJ1847" s="2">
        <f t="shared" si="226"/>
        <v>206.2003173828125</v>
      </c>
      <c r="AK1847" s="6">
        <f t="shared" si="227"/>
        <v>0.2062003173828125</v>
      </c>
      <c r="AL1847" s="12">
        <v>1000</v>
      </c>
      <c r="AM1847" s="12">
        <v>875.38388117747093</v>
      </c>
      <c r="AN1847" s="12">
        <f t="shared" si="228"/>
        <v>124.61611882252907</v>
      </c>
      <c r="AO1847" s="13">
        <f t="shared" si="229"/>
        <v>0.12461611882252907</v>
      </c>
      <c r="AP1847" s="16">
        <v>1000</v>
      </c>
      <c r="AQ1847" s="16">
        <v>721.79118901317372</v>
      </c>
      <c r="AR1847" s="16">
        <f t="shared" si="230"/>
        <v>278.20881098682628</v>
      </c>
      <c r="AS1847" s="17">
        <f t="shared" si="224"/>
        <v>0.27820881098682626</v>
      </c>
      <c r="AT1847" s="20">
        <v>1000</v>
      </c>
      <c r="AU1847" s="20">
        <v>801.1800537109375</v>
      </c>
      <c r="AV1847" s="20">
        <f t="shared" si="225"/>
        <v>198.8199462890625</v>
      </c>
      <c r="AW1847" s="21">
        <f t="shared" si="231"/>
        <v>0.19881994628906249</v>
      </c>
    </row>
    <row r="1848" spans="1:49" x14ac:dyDescent="0.25">
      <c r="A1848" t="s">
        <v>38</v>
      </c>
      <c r="B1848" t="s">
        <v>68</v>
      </c>
      <c r="C1848">
        <v>114980</v>
      </c>
      <c r="D1848">
        <v>2015</v>
      </c>
      <c r="E1848" t="s">
        <v>557</v>
      </c>
      <c r="F1848" t="s">
        <v>558</v>
      </c>
      <c r="G1848" t="s">
        <v>1519</v>
      </c>
      <c r="I1848">
        <v>6</v>
      </c>
      <c r="J1848" t="s">
        <v>61</v>
      </c>
      <c r="K1848">
        <v>4</v>
      </c>
      <c r="L1848" t="s">
        <v>44</v>
      </c>
      <c r="M1848">
        <v>3.6</v>
      </c>
      <c r="N1848" t="s">
        <v>45</v>
      </c>
      <c r="O1848" t="s">
        <v>46</v>
      </c>
      <c r="P1848">
        <v>4</v>
      </c>
      <c r="Q1848" t="s">
        <v>47</v>
      </c>
      <c r="R1848" t="s">
        <v>123</v>
      </c>
      <c r="S1848" t="s">
        <v>101</v>
      </c>
      <c r="U1848" t="s">
        <v>50</v>
      </c>
      <c r="X1848" t="s">
        <v>125</v>
      </c>
      <c r="Y1848" t="s">
        <v>78</v>
      </c>
      <c r="AA1848">
        <v>0</v>
      </c>
      <c r="AB1848" t="s">
        <v>79</v>
      </c>
      <c r="AC1848" t="s">
        <v>127</v>
      </c>
      <c r="AD1848">
        <v>36</v>
      </c>
      <c r="AE1848">
        <v>9</v>
      </c>
      <c r="AF1848">
        <v>3</v>
      </c>
      <c r="AG1848">
        <v>2025</v>
      </c>
      <c r="AH1848" s="2">
        <v>1200</v>
      </c>
      <c r="AI1848" s="2">
        <v>5133.3564453125</v>
      </c>
      <c r="AJ1848" s="2">
        <f t="shared" si="226"/>
        <v>3933.3564453125</v>
      </c>
      <c r="AK1848" s="6">
        <f t="shared" si="227"/>
        <v>3.2777970377604166</v>
      </c>
      <c r="AL1848" s="12">
        <v>1200</v>
      </c>
      <c r="AM1848" s="12">
        <v>5216.589348579183</v>
      </c>
      <c r="AN1848" s="12">
        <f t="shared" si="228"/>
        <v>4016.589348579183</v>
      </c>
      <c r="AO1848" s="13">
        <f t="shared" si="229"/>
        <v>3.3471577904826524</v>
      </c>
      <c r="AP1848" s="16">
        <v>1200</v>
      </c>
      <c r="AQ1848" s="16">
        <v>4767.7555843112523</v>
      </c>
      <c r="AR1848" s="16">
        <f t="shared" si="230"/>
        <v>3567.7555843112523</v>
      </c>
      <c r="AS1848" s="17">
        <f t="shared" si="224"/>
        <v>2.9731296535927103</v>
      </c>
      <c r="AT1848" s="20">
        <v>1200</v>
      </c>
      <c r="AU1848" s="20">
        <v>5208.77734375</v>
      </c>
      <c r="AV1848" s="20">
        <f t="shared" si="225"/>
        <v>4008.77734375</v>
      </c>
      <c r="AW1848" s="21">
        <f t="shared" si="231"/>
        <v>3.3406477864583333</v>
      </c>
    </row>
    <row r="1849" spans="1:49" x14ac:dyDescent="0.25">
      <c r="A1849" t="s">
        <v>38</v>
      </c>
      <c r="B1849" t="s">
        <v>110</v>
      </c>
      <c r="C1849">
        <v>169656</v>
      </c>
      <c r="D1849">
        <v>2014</v>
      </c>
      <c r="E1849" t="s">
        <v>88</v>
      </c>
      <c r="F1849" t="s">
        <v>89</v>
      </c>
      <c r="G1849" t="s">
        <v>956</v>
      </c>
      <c r="I1849">
        <v>8</v>
      </c>
      <c r="J1849" t="s">
        <v>61</v>
      </c>
      <c r="K1849">
        <v>4</v>
      </c>
      <c r="L1849" t="s">
        <v>44</v>
      </c>
      <c r="M1849">
        <v>5.7</v>
      </c>
      <c r="N1849" t="s">
        <v>73</v>
      </c>
      <c r="Q1849" t="s">
        <v>74</v>
      </c>
      <c r="R1849" t="s">
        <v>92</v>
      </c>
      <c r="S1849" t="s">
        <v>49</v>
      </c>
      <c r="U1849" t="s">
        <v>50</v>
      </c>
      <c r="X1849" t="s">
        <v>94</v>
      </c>
      <c r="Y1849" t="s">
        <v>78</v>
      </c>
      <c r="AA1849">
        <v>0</v>
      </c>
      <c r="AB1849" t="s">
        <v>79</v>
      </c>
      <c r="AC1849" t="s">
        <v>95</v>
      </c>
      <c r="AD1849">
        <v>36</v>
      </c>
      <c r="AE1849">
        <v>9</v>
      </c>
      <c r="AF1849">
        <v>3</v>
      </c>
      <c r="AG1849">
        <v>2025</v>
      </c>
      <c r="AH1849" s="2">
        <v>5750</v>
      </c>
      <c r="AI1849" s="2">
        <v>4703.05224609375</v>
      </c>
      <c r="AJ1849" s="2">
        <f t="shared" si="226"/>
        <v>1046.94775390625</v>
      </c>
      <c r="AK1849" s="6">
        <f t="shared" si="227"/>
        <v>0.1820778702445652</v>
      </c>
      <c r="AL1849" s="12">
        <v>5750</v>
      </c>
      <c r="AM1849" s="12">
        <v>5182.2319428893779</v>
      </c>
      <c r="AN1849" s="12">
        <f t="shared" si="228"/>
        <v>567.76805711062207</v>
      </c>
      <c r="AO1849" s="13">
        <f t="shared" si="229"/>
        <v>9.8742270801847318E-2</v>
      </c>
      <c r="AP1849" s="16">
        <v>5750</v>
      </c>
      <c r="AQ1849" s="16">
        <v>5177.3751958213352</v>
      </c>
      <c r="AR1849" s="16">
        <f t="shared" si="230"/>
        <v>572.62480417866482</v>
      </c>
      <c r="AS1849" s="17">
        <f t="shared" si="224"/>
        <v>9.9586922465854752E-2</v>
      </c>
      <c r="AT1849" s="20">
        <v>5750</v>
      </c>
      <c r="AU1849" s="20">
        <v>4781.580078125</v>
      </c>
      <c r="AV1849" s="20">
        <f t="shared" si="225"/>
        <v>968.419921875</v>
      </c>
      <c r="AW1849" s="21">
        <f t="shared" si="231"/>
        <v>0.16842085597826087</v>
      </c>
    </row>
    <row r="1850" spans="1:49" x14ac:dyDescent="0.25">
      <c r="A1850" t="s">
        <v>38</v>
      </c>
      <c r="B1850" t="s">
        <v>39</v>
      </c>
      <c r="C1850">
        <v>160397</v>
      </c>
      <c r="D1850">
        <v>2010</v>
      </c>
      <c r="E1850" t="s">
        <v>97</v>
      </c>
      <c r="F1850" t="s">
        <v>419</v>
      </c>
      <c r="G1850" t="s">
        <v>199</v>
      </c>
      <c r="H1850" t="s">
        <v>420</v>
      </c>
      <c r="I1850">
        <v>8</v>
      </c>
      <c r="J1850" t="s">
        <v>61</v>
      </c>
      <c r="K1850">
        <v>4</v>
      </c>
      <c r="L1850" t="s">
        <v>44</v>
      </c>
      <c r="M1850">
        <v>5.3</v>
      </c>
      <c r="N1850" t="s">
        <v>73</v>
      </c>
      <c r="O1850" t="s">
        <v>46</v>
      </c>
      <c r="Q1850" t="s">
        <v>62</v>
      </c>
      <c r="R1850" t="s">
        <v>63</v>
      </c>
      <c r="S1850" t="s">
        <v>49</v>
      </c>
      <c r="U1850" t="s">
        <v>180</v>
      </c>
      <c r="V1850" t="s">
        <v>76</v>
      </c>
      <c r="W1850" t="s">
        <v>421</v>
      </c>
      <c r="X1850" t="s">
        <v>108</v>
      </c>
      <c r="Y1850" t="s">
        <v>78</v>
      </c>
      <c r="AA1850">
        <v>0</v>
      </c>
      <c r="AB1850" t="s">
        <v>79</v>
      </c>
      <c r="AC1850" t="s">
        <v>87</v>
      </c>
      <c r="AD1850">
        <v>36</v>
      </c>
      <c r="AE1850">
        <v>9</v>
      </c>
      <c r="AF1850">
        <v>3</v>
      </c>
      <c r="AG1850">
        <v>2025</v>
      </c>
      <c r="AH1850" s="2">
        <v>4000</v>
      </c>
      <c r="AI1850" s="2">
        <v>3942.290771484375</v>
      </c>
      <c r="AJ1850" s="2">
        <f t="shared" si="226"/>
        <v>57.709228515625</v>
      </c>
      <c r="AK1850" s="6">
        <f t="shared" si="227"/>
        <v>1.4427307128906251E-2</v>
      </c>
      <c r="AL1850" s="12">
        <v>4000</v>
      </c>
      <c r="AM1850" s="12">
        <v>4318.0563203049333</v>
      </c>
      <c r="AN1850" s="12">
        <f t="shared" si="228"/>
        <v>318.05632030493325</v>
      </c>
      <c r="AO1850" s="13">
        <f t="shared" si="229"/>
        <v>7.9514080076233312E-2</v>
      </c>
      <c r="AP1850" s="16">
        <v>4000</v>
      </c>
      <c r="AQ1850" s="16">
        <v>4074.2661417456779</v>
      </c>
      <c r="AR1850" s="16">
        <f t="shared" si="230"/>
        <v>74.266141745677942</v>
      </c>
      <c r="AS1850" s="17">
        <f t="shared" si="224"/>
        <v>1.8566535436419486E-2</v>
      </c>
      <c r="AT1850" s="20">
        <v>4000</v>
      </c>
      <c r="AU1850" s="20">
        <v>3968.604736328125</v>
      </c>
      <c r="AV1850" s="20">
        <f t="shared" si="225"/>
        <v>31.395263671875</v>
      </c>
      <c r="AW1850" s="21">
        <f t="shared" si="231"/>
        <v>7.8488159179687499E-3</v>
      </c>
    </row>
    <row r="1851" spans="1:49" x14ac:dyDescent="0.25">
      <c r="A1851" t="s">
        <v>38</v>
      </c>
      <c r="B1851" t="s">
        <v>110</v>
      </c>
      <c r="C1851">
        <v>17720</v>
      </c>
      <c r="D1851">
        <v>2025</v>
      </c>
      <c r="E1851" t="s">
        <v>162</v>
      </c>
      <c r="F1851" t="s">
        <v>211</v>
      </c>
      <c r="G1851" t="s">
        <v>1520</v>
      </c>
      <c r="I1851">
        <v>4</v>
      </c>
      <c r="J1851" t="s">
        <v>135</v>
      </c>
      <c r="K1851">
        <v>4</v>
      </c>
      <c r="L1851" t="s">
        <v>44</v>
      </c>
      <c r="M1851">
        <v>2</v>
      </c>
      <c r="N1851" t="s">
        <v>45</v>
      </c>
      <c r="O1851" t="s">
        <v>46</v>
      </c>
      <c r="P1851">
        <v>2</v>
      </c>
      <c r="Q1851" t="s">
        <v>47</v>
      </c>
      <c r="R1851" t="s">
        <v>123</v>
      </c>
      <c r="U1851" t="s">
        <v>50</v>
      </c>
      <c r="W1851" t="s">
        <v>739</v>
      </c>
      <c r="X1851" t="s">
        <v>53</v>
      </c>
      <c r="Y1851" t="s">
        <v>66</v>
      </c>
      <c r="AA1851">
        <v>0</v>
      </c>
      <c r="AB1851" t="s">
        <v>79</v>
      </c>
      <c r="AC1851" t="s">
        <v>127</v>
      </c>
      <c r="AD1851">
        <v>36</v>
      </c>
      <c r="AE1851">
        <v>9</v>
      </c>
      <c r="AF1851">
        <v>3</v>
      </c>
      <c r="AG1851">
        <v>2025</v>
      </c>
      <c r="AH1851" s="2">
        <v>16500</v>
      </c>
      <c r="AI1851" s="2">
        <v>13369.267578125</v>
      </c>
      <c r="AJ1851" s="2">
        <f t="shared" si="226"/>
        <v>3130.732421875</v>
      </c>
      <c r="AK1851" s="6">
        <f t="shared" si="227"/>
        <v>0.18974135890151514</v>
      </c>
      <c r="AL1851" s="12">
        <v>16500</v>
      </c>
      <c r="AM1851" s="12">
        <v>12887.47921532683</v>
      </c>
      <c r="AN1851" s="12">
        <f t="shared" si="228"/>
        <v>3612.5207846731701</v>
      </c>
      <c r="AO1851" s="13">
        <f t="shared" si="229"/>
        <v>0.21894065361655576</v>
      </c>
      <c r="AP1851" s="16">
        <v>16500</v>
      </c>
      <c r="AQ1851" s="16">
        <v>13145.697841738811</v>
      </c>
      <c r="AR1851" s="16">
        <f t="shared" si="230"/>
        <v>3354.3021582611891</v>
      </c>
      <c r="AS1851" s="17">
        <f t="shared" si="224"/>
        <v>0.20329103989461753</v>
      </c>
      <c r="AT1851" s="20">
        <v>16500</v>
      </c>
      <c r="AU1851" s="20">
        <v>13223.3330078125</v>
      </c>
      <c r="AV1851" s="20">
        <f t="shared" si="225"/>
        <v>3276.6669921875</v>
      </c>
      <c r="AW1851" s="21">
        <f t="shared" si="231"/>
        <v>0.19858587831439395</v>
      </c>
    </row>
    <row r="1852" spans="1:49" x14ac:dyDescent="0.25">
      <c r="A1852" t="s">
        <v>38</v>
      </c>
      <c r="B1852" t="s">
        <v>96</v>
      </c>
      <c r="C1852">
        <v>124840</v>
      </c>
      <c r="D1852">
        <v>2020</v>
      </c>
      <c r="E1852" t="s">
        <v>116</v>
      </c>
      <c r="F1852" t="s">
        <v>251</v>
      </c>
      <c r="H1852" t="s">
        <v>224</v>
      </c>
      <c r="I1852">
        <v>4</v>
      </c>
      <c r="J1852" t="s">
        <v>122</v>
      </c>
      <c r="K1852">
        <v>4</v>
      </c>
      <c r="L1852" t="s">
        <v>44</v>
      </c>
      <c r="M1852">
        <v>2.4</v>
      </c>
      <c r="N1852" t="s">
        <v>45</v>
      </c>
      <c r="O1852" t="s">
        <v>100</v>
      </c>
      <c r="P1852">
        <v>3</v>
      </c>
      <c r="Q1852" t="s">
        <v>62</v>
      </c>
      <c r="R1852" t="s">
        <v>63</v>
      </c>
      <c r="S1852" t="s">
        <v>101</v>
      </c>
      <c r="T1852">
        <v>173</v>
      </c>
      <c r="U1852" t="s">
        <v>50</v>
      </c>
      <c r="V1852" t="s">
        <v>51</v>
      </c>
      <c r="X1852" t="s">
        <v>141</v>
      </c>
      <c r="Y1852" t="s">
        <v>126</v>
      </c>
      <c r="Z1852">
        <v>23245</v>
      </c>
      <c r="AA1852">
        <v>0</v>
      </c>
      <c r="AB1852" t="s">
        <v>79</v>
      </c>
      <c r="AC1852" t="s">
        <v>109</v>
      </c>
      <c r="AD1852">
        <v>36</v>
      </c>
      <c r="AE1852">
        <v>9</v>
      </c>
      <c r="AF1852">
        <v>3</v>
      </c>
      <c r="AG1852">
        <v>2025</v>
      </c>
      <c r="AH1852" s="2">
        <v>1500</v>
      </c>
      <c r="AI1852" s="2">
        <v>2717.28857421875</v>
      </c>
      <c r="AJ1852" s="2">
        <f t="shared" si="226"/>
        <v>1217.28857421875</v>
      </c>
      <c r="AK1852" s="6">
        <f t="shared" si="227"/>
        <v>0.81152571614583335</v>
      </c>
      <c r="AL1852" s="12">
        <v>1500</v>
      </c>
      <c r="AM1852" s="12">
        <v>3940.033462090249</v>
      </c>
      <c r="AN1852" s="12">
        <f t="shared" si="228"/>
        <v>2440.033462090249</v>
      </c>
      <c r="AO1852" s="13">
        <f t="shared" si="229"/>
        <v>1.6266889747268327</v>
      </c>
      <c r="AP1852" s="16">
        <v>1500</v>
      </c>
      <c r="AQ1852" s="16">
        <v>3070.0589036859542</v>
      </c>
      <c r="AR1852" s="16">
        <f t="shared" si="230"/>
        <v>1570.0589036859542</v>
      </c>
      <c r="AS1852" s="17">
        <f t="shared" si="224"/>
        <v>1.0467059357906361</v>
      </c>
      <c r="AT1852" s="20">
        <v>1500</v>
      </c>
      <c r="AU1852" s="20">
        <v>2782.2021484375</v>
      </c>
      <c r="AV1852" s="20">
        <f t="shared" si="225"/>
        <v>1282.2021484375</v>
      </c>
      <c r="AW1852" s="21">
        <f t="shared" si="231"/>
        <v>0.85480143229166672</v>
      </c>
    </row>
    <row r="1853" spans="1:49" x14ac:dyDescent="0.25">
      <c r="A1853" t="s">
        <v>38</v>
      </c>
      <c r="B1853" t="s">
        <v>68</v>
      </c>
      <c r="C1853">
        <v>72026</v>
      </c>
      <c r="D1853">
        <v>2020</v>
      </c>
      <c r="E1853" t="s">
        <v>69</v>
      </c>
      <c r="F1853" t="s">
        <v>231</v>
      </c>
      <c r="I1853">
        <v>6</v>
      </c>
      <c r="J1853" t="s">
        <v>72</v>
      </c>
      <c r="K1853">
        <v>4</v>
      </c>
      <c r="L1853" t="s">
        <v>44</v>
      </c>
      <c r="M1853">
        <v>3.5</v>
      </c>
      <c r="N1853" t="s">
        <v>73</v>
      </c>
      <c r="O1853" t="s">
        <v>46</v>
      </c>
      <c r="P1853">
        <v>4</v>
      </c>
      <c r="Q1853" t="s">
        <v>74</v>
      </c>
      <c r="R1853" t="s">
        <v>92</v>
      </c>
      <c r="S1853" t="s">
        <v>49</v>
      </c>
      <c r="T1853">
        <v>375</v>
      </c>
      <c r="U1853" t="s">
        <v>50</v>
      </c>
      <c r="V1853" t="s">
        <v>76</v>
      </c>
      <c r="W1853" t="s">
        <v>308</v>
      </c>
      <c r="X1853" t="s">
        <v>94</v>
      </c>
      <c r="Y1853" t="s">
        <v>78</v>
      </c>
      <c r="AA1853">
        <v>0</v>
      </c>
      <c r="AB1853" t="s">
        <v>79</v>
      </c>
      <c r="AC1853" t="s">
        <v>95</v>
      </c>
      <c r="AD1853">
        <v>36</v>
      </c>
      <c r="AE1853">
        <v>9</v>
      </c>
      <c r="AF1853">
        <v>3</v>
      </c>
      <c r="AG1853">
        <v>2025</v>
      </c>
      <c r="AH1853" s="2">
        <v>28300</v>
      </c>
      <c r="AI1853" s="2">
        <v>23652.314453125</v>
      </c>
      <c r="AJ1853" s="2">
        <f t="shared" si="226"/>
        <v>4647.685546875</v>
      </c>
      <c r="AK1853" s="6">
        <f t="shared" si="227"/>
        <v>0.16422917126766784</v>
      </c>
      <c r="AL1853" s="12">
        <v>28300</v>
      </c>
      <c r="AM1853" s="12">
        <v>22085.030536730199</v>
      </c>
      <c r="AN1853" s="12">
        <f t="shared" si="228"/>
        <v>6214.9694632698011</v>
      </c>
      <c r="AO1853" s="13">
        <f t="shared" si="229"/>
        <v>0.21961022838409192</v>
      </c>
      <c r="AP1853" s="16">
        <v>28300</v>
      </c>
      <c r="AQ1853" s="16">
        <v>21899.183258538589</v>
      </c>
      <c r="AR1853" s="16">
        <f t="shared" si="230"/>
        <v>6400.8167414614109</v>
      </c>
      <c r="AS1853" s="17">
        <f t="shared" si="224"/>
        <v>0.22617727001630428</v>
      </c>
      <c r="AT1853" s="20">
        <v>28300</v>
      </c>
      <c r="AU1853" s="20">
        <v>23209.77734375</v>
      </c>
      <c r="AV1853" s="20">
        <f t="shared" si="225"/>
        <v>5090.22265625</v>
      </c>
      <c r="AW1853" s="21">
        <f t="shared" si="231"/>
        <v>0.17986652495583039</v>
      </c>
    </row>
    <row r="1854" spans="1:49" x14ac:dyDescent="0.25">
      <c r="A1854" t="s">
        <v>38</v>
      </c>
      <c r="B1854" t="s">
        <v>110</v>
      </c>
      <c r="C1854">
        <v>138297</v>
      </c>
      <c r="D1854">
        <v>2019</v>
      </c>
      <c r="E1854" t="s">
        <v>58</v>
      </c>
      <c r="F1854" t="s">
        <v>220</v>
      </c>
      <c r="G1854" t="s">
        <v>378</v>
      </c>
      <c r="I1854">
        <v>4</v>
      </c>
      <c r="J1854" t="s">
        <v>61</v>
      </c>
      <c r="K1854">
        <v>4</v>
      </c>
      <c r="L1854" t="s">
        <v>44</v>
      </c>
      <c r="M1854">
        <v>2.4</v>
      </c>
      <c r="N1854" t="s">
        <v>45</v>
      </c>
      <c r="Q1854" t="s">
        <v>62</v>
      </c>
      <c r="R1854" t="s">
        <v>63</v>
      </c>
      <c r="S1854" t="s">
        <v>49</v>
      </c>
      <c r="T1854">
        <v>185</v>
      </c>
      <c r="U1854" t="s">
        <v>50</v>
      </c>
      <c r="W1854" t="s">
        <v>300</v>
      </c>
      <c r="X1854" t="s">
        <v>141</v>
      </c>
      <c r="Y1854" t="s">
        <v>78</v>
      </c>
      <c r="AA1854">
        <v>0</v>
      </c>
      <c r="AB1854" t="s">
        <v>79</v>
      </c>
      <c r="AC1854" t="s">
        <v>87</v>
      </c>
      <c r="AD1854">
        <v>36</v>
      </c>
      <c r="AE1854">
        <v>9</v>
      </c>
      <c r="AF1854">
        <v>3</v>
      </c>
      <c r="AG1854">
        <v>2025</v>
      </c>
      <c r="AH1854" s="2">
        <v>5600</v>
      </c>
      <c r="AI1854" s="2">
        <v>4839.78759765625</v>
      </c>
      <c r="AJ1854" s="2">
        <f t="shared" si="226"/>
        <v>760.21240234375</v>
      </c>
      <c r="AK1854" s="6">
        <f t="shared" si="227"/>
        <v>0.13575221470424106</v>
      </c>
      <c r="AL1854" s="12">
        <v>5600</v>
      </c>
      <c r="AM1854" s="12">
        <v>5523.9398411395487</v>
      </c>
      <c r="AN1854" s="12">
        <f t="shared" si="228"/>
        <v>76.060158860451338</v>
      </c>
      <c r="AO1854" s="13">
        <f t="shared" si="229"/>
        <v>1.3582171225080595E-2</v>
      </c>
      <c r="AP1854" s="16">
        <v>5600</v>
      </c>
      <c r="AQ1854" s="16">
        <v>4622.4103591318444</v>
      </c>
      <c r="AR1854" s="16">
        <f t="shared" si="230"/>
        <v>977.58964086815558</v>
      </c>
      <c r="AS1854" s="17">
        <f t="shared" si="224"/>
        <v>0.17456957872645634</v>
      </c>
      <c r="AT1854" s="20">
        <v>5600</v>
      </c>
      <c r="AU1854" s="20">
        <v>4893.52001953125</v>
      </c>
      <c r="AV1854" s="20">
        <f t="shared" si="225"/>
        <v>706.47998046875</v>
      </c>
      <c r="AW1854" s="21">
        <f t="shared" si="231"/>
        <v>0.12615713936941964</v>
      </c>
    </row>
    <row r="1855" spans="1:49" x14ac:dyDescent="0.25">
      <c r="A1855" t="s">
        <v>38</v>
      </c>
      <c r="B1855" t="s">
        <v>68</v>
      </c>
      <c r="C1855">
        <v>101845</v>
      </c>
      <c r="D1855">
        <v>2022</v>
      </c>
      <c r="E1855" t="s">
        <v>40</v>
      </c>
      <c r="F1855" t="s">
        <v>643</v>
      </c>
      <c r="G1855" t="s">
        <v>1299</v>
      </c>
      <c r="H1855" t="s">
        <v>1451</v>
      </c>
      <c r="I1855">
        <v>4</v>
      </c>
      <c r="J1855" t="s">
        <v>135</v>
      </c>
      <c r="K1855">
        <v>4</v>
      </c>
      <c r="L1855" t="s">
        <v>44</v>
      </c>
      <c r="M1855">
        <v>2.5</v>
      </c>
      <c r="N1855" t="s">
        <v>45</v>
      </c>
      <c r="O1855" t="s">
        <v>46</v>
      </c>
      <c r="P1855">
        <v>4</v>
      </c>
      <c r="Q1855" t="s">
        <v>62</v>
      </c>
      <c r="R1855" t="s">
        <v>225</v>
      </c>
      <c r="S1855" t="s">
        <v>49</v>
      </c>
      <c r="T1855">
        <v>189</v>
      </c>
      <c r="U1855" t="s">
        <v>50</v>
      </c>
      <c r="V1855" t="s">
        <v>51</v>
      </c>
      <c r="W1855" t="s">
        <v>1521</v>
      </c>
      <c r="X1855" t="s">
        <v>94</v>
      </c>
      <c r="Y1855" t="s">
        <v>78</v>
      </c>
      <c r="AA1855">
        <v>1</v>
      </c>
      <c r="AB1855" t="s">
        <v>55</v>
      </c>
      <c r="AC1855" t="s">
        <v>1328</v>
      </c>
      <c r="AD1855">
        <v>36</v>
      </c>
      <c r="AE1855">
        <v>9</v>
      </c>
      <c r="AF1855">
        <v>3</v>
      </c>
      <c r="AG1855">
        <v>2025</v>
      </c>
      <c r="AH1855" s="2">
        <v>31750</v>
      </c>
      <c r="AI1855" s="2">
        <v>17446.998046875</v>
      </c>
      <c r="AJ1855" s="2">
        <f t="shared" si="226"/>
        <v>14303.001953125</v>
      </c>
      <c r="AK1855" s="6">
        <f t="shared" si="227"/>
        <v>0.45048825049212599</v>
      </c>
      <c r="AL1855" s="12">
        <v>31750</v>
      </c>
      <c r="AM1855" s="12">
        <v>19581.918689577331</v>
      </c>
      <c r="AN1855" s="12">
        <f t="shared" si="228"/>
        <v>12168.081310422669</v>
      </c>
      <c r="AO1855" s="13">
        <f t="shared" si="229"/>
        <v>0.38324665544638326</v>
      </c>
      <c r="AP1855" s="16">
        <v>31750</v>
      </c>
      <c r="AQ1855" s="16">
        <v>19955.462419699041</v>
      </c>
      <c r="AR1855" s="16">
        <f t="shared" si="230"/>
        <v>11794.537580300959</v>
      </c>
      <c r="AS1855" s="17">
        <f t="shared" si="224"/>
        <v>0.37148149859215618</v>
      </c>
      <c r="AT1855" s="20">
        <v>31750</v>
      </c>
      <c r="AU1855" s="20">
        <v>17752.24609375</v>
      </c>
      <c r="AV1855" s="20">
        <f t="shared" si="225"/>
        <v>13997.75390625</v>
      </c>
      <c r="AW1855" s="21">
        <f t="shared" si="231"/>
        <v>0.44087413877952758</v>
      </c>
    </row>
    <row r="1856" spans="1:49" x14ac:dyDescent="0.25">
      <c r="A1856" t="s">
        <v>128</v>
      </c>
      <c r="B1856" t="s">
        <v>129</v>
      </c>
      <c r="C1856">
        <v>137518</v>
      </c>
      <c r="D1856">
        <v>2014</v>
      </c>
      <c r="E1856" t="s">
        <v>119</v>
      </c>
      <c r="F1856" t="s">
        <v>120</v>
      </c>
      <c r="G1856" t="s">
        <v>1522</v>
      </c>
      <c r="I1856">
        <v>4</v>
      </c>
      <c r="J1856" t="s">
        <v>122</v>
      </c>
      <c r="K1856">
        <v>4</v>
      </c>
      <c r="L1856" t="s">
        <v>44</v>
      </c>
      <c r="M1856">
        <v>2</v>
      </c>
      <c r="N1856" t="s">
        <v>45</v>
      </c>
      <c r="O1856" t="s">
        <v>46</v>
      </c>
      <c r="P1856">
        <v>2</v>
      </c>
      <c r="Q1856" t="s">
        <v>47</v>
      </c>
      <c r="R1856" t="s">
        <v>123</v>
      </c>
      <c r="T1856">
        <v>115</v>
      </c>
      <c r="U1856" t="s">
        <v>50</v>
      </c>
      <c r="X1856" t="s">
        <v>125</v>
      </c>
      <c r="Y1856" t="s">
        <v>126</v>
      </c>
      <c r="AA1856">
        <v>0</v>
      </c>
      <c r="AB1856" t="s">
        <v>79</v>
      </c>
      <c r="AC1856" t="s">
        <v>127</v>
      </c>
      <c r="AD1856">
        <v>36</v>
      </c>
      <c r="AE1856">
        <v>9</v>
      </c>
      <c r="AF1856">
        <v>3</v>
      </c>
      <c r="AG1856">
        <v>2025</v>
      </c>
      <c r="AH1856" s="2">
        <v>1900</v>
      </c>
      <c r="AI1856" s="2">
        <v>1090.396118164062</v>
      </c>
      <c r="AJ1856" s="2">
        <f t="shared" si="226"/>
        <v>809.60388183593795</v>
      </c>
      <c r="AK1856" s="6">
        <f t="shared" si="227"/>
        <v>0.42610730622944104</v>
      </c>
      <c r="AL1856" s="12">
        <v>1900</v>
      </c>
      <c r="AM1856" s="12">
        <v>1261.049229483011</v>
      </c>
      <c r="AN1856" s="12">
        <f t="shared" si="228"/>
        <v>638.950770516989</v>
      </c>
      <c r="AO1856" s="13">
        <f t="shared" si="229"/>
        <v>0.3362898792194679</v>
      </c>
      <c r="AP1856" s="16">
        <v>1900</v>
      </c>
      <c r="AQ1856" s="16">
        <v>1229.26925791284</v>
      </c>
      <c r="AR1856" s="16">
        <f t="shared" si="230"/>
        <v>670.73074208716002</v>
      </c>
      <c r="AS1856" s="17">
        <f t="shared" si="224"/>
        <v>0.35301618004587371</v>
      </c>
      <c r="AT1856" s="20">
        <v>1900</v>
      </c>
      <c r="AU1856" s="20">
        <v>1088.790771484375</v>
      </c>
      <c r="AV1856" s="20">
        <f t="shared" si="225"/>
        <v>811.209228515625</v>
      </c>
      <c r="AW1856" s="21">
        <f t="shared" si="231"/>
        <v>0.42695222553453949</v>
      </c>
    </row>
    <row r="1857" spans="1:49" x14ac:dyDescent="0.25">
      <c r="A1857" t="s">
        <v>38</v>
      </c>
      <c r="B1857" t="s">
        <v>96</v>
      </c>
      <c r="C1857">
        <v>156639</v>
      </c>
      <c r="D1857">
        <v>2015</v>
      </c>
      <c r="E1857" t="s">
        <v>399</v>
      </c>
      <c r="F1857" t="s">
        <v>768</v>
      </c>
      <c r="G1857" t="s">
        <v>1523</v>
      </c>
      <c r="I1857">
        <v>4</v>
      </c>
      <c r="J1857" t="s">
        <v>106</v>
      </c>
      <c r="K1857">
        <v>4</v>
      </c>
      <c r="L1857" t="s">
        <v>44</v>
      </c>
      <c r="M1857">
        <v>2.5</v>
      </c>
      <c r="N1857" t="s">
        <v>44</v>
      </c>
      <c r="O1857" t="s">
        <v>46</v>
      </c>
      <c r="Q1857" t="s">
        <v>62</v>
      </c>
      <c r="R1857" t="s">
        <v>63</v>
      </c>
      <c r="S1857" t="s">
        <v>85</v>
      </c>
      <c r="U1857" t="s">
        <v>50</v>
      </c>
      <c r="W1857" t="s">
        <v>1524</v>
      </c>
      <c r="X1857" t="s">
        <v>65</v>
      </c>
      <c r="Y1857" t="s">
        <v>78</v>
      </c>
      <c r="AA1857">
        <v>0</v>
      </c>
      <c r="AB1857" t="s">
        <v>79</v>
      </c>
      <c r="AC1857" t="s">
        <v>87</v>
      </c>
      <c r="AD1857">
        <v>36</v>
      </c>
      <c r="AE1857">
        <v>9</v>
      </c>
      <c r="AF1857">
        <v>3</v>
      </c>
      <c r="AG1857">
        <v>2025</v>
      </c>
      <c r="AH1857" s="2">
        <v>4200</v>
      </c>
      <c r="AI1857" s="2">
        <v>3200.396728515625</v>
      </c>
      <c r="AJ1857" s="2">
        <f t="shared" si="226"/>
        <v>999.603271484375</v>
      </c>
      <c r="AK1857" s="6">
        <f t="shared" si="227"/>
        <v>0.23800077892485119</v>
      </c>
      <c r="AL1857" s="12">
        <v>4200</v>
      </c>
      <c r="AM1857" s="12">
        <v>3292.7801210244879</v>
      </c>
      <c r="AN1857" s="12">
        <f t="shared" si="228"/>
        <v>907.21987897551207</v>
      </c>
      <c r="AO1857" s="13">
        <f t="shared" si="229"/>
        <v>0.21600473308940762</v>
      </c>
      <c r="AP1857" s="16">
        <v>4200</v>
      </c>
      <c r="AQ1857" s="16">
        <v>3203.7487259319419</v>
      </c>
      <c r="AR1857" s="16">
        <f t="shared" si="230"/>
        <v>996.25127406805814</v>
      </c>
      <c r="AS1857" s="17">
        <f t="shared" si="224"/>
        <v>0.2372026843019186</v>
      </c>
      <c r="AT1857" s="20">
        <v>4200</v>
      </c>
      <c r="AU1857" s="20">
        <v>3255.60009765625</v>
      </c>
      <c r="AV1857" s="20">
        <f t="shared" si="225"/>
        <v>944.39990234375</v>
      </c>
      <c r="AW1857" s="21">
        <f t="shared" si="231"/>
        <v>0.22485711960565477</v>
      </c>
    </row>
    <row r="1858" spans="1:49" x14ac:dyDescent="0.25">
      <c r="A1858" t="s">
        <v>38</v>
      </c>
      <c r="B1858" t="s">
        <v>96</v>
      </c>
      <c r="C1858">
        <v>173138</v>
      </c>
      <c r="D1858">
        <v>2019</v>
      </c>
      <c r="E1858" t="s">
        <v>388</v>
      </c>
      <c r="F1858" t="s">
        <v>436</v>
      </c>
      <c r="H1858" t="s">
        <v>669</v>
      </c>
      <c r="I1858">
        <v>3</v>
      </c>
      <c r="J1858" t="s">
        <v>43</v>
      </c>
      <c r="K1858">
        <v>4</v>
      </c>
      <c r="L1858" t="s">
        <v>44</v>
      </c>
      <c r="M1858">
        <v>1.2</v>
      </c>
      <c r="N1858" t="s">
        <v>45</v>
      </c>
      <c r="O1858" t="s">
        <v>46</v>
      </c>
      <c r="P1858">
        <v>3</v>
      </c>
      <c r="Q1858" t="s">
        <v>47</v>
      </c>
      <c r="R1858" t="s">
        <v>48</v>
      </c>
      <c r="S1858" t="s">
        <v>101</v>
      </c>
      <c r="U1858" t="s">
        <v>50</v>
      </c>
      <c r="V1858" t="s">
        <v>51</v>
      </c>
      <c r="X1858" t="s">
        <v>125</v>
      </c>
      <c r="Y1858" t="s">
        <v>439</v>
      </c>
      <c r="AA1858">
        <v>0</v>
      </c>
      <c r="AB1858" t="s">
        <v>79</v>
      </c>
      <c r="AC1858" t="s">
        <v>359</v>
      </c>
      <c r="AD1858">
        <v>36</v>
      </c>
      <c r="AE1858">
        <v>9</v>
      </c>
      <c r="AF1858">
        <v>3</v>
      </c>
      <c r="AG1858">
        <v>2025</v>
      </c>
      <c r="AH1858" s="2">
        <v>1400</v>
      </c>
      <c r="AI1858" s="2">
        <v>1665.295776367188</v>
      </c>
      <c r="AJ1858" s="2">
        <f t="shared" si="226"/>
        <v>265.29577636718795</v>
      </c>
      <c r="AK1858" s="6">
        <f t="shared" si="227"/>
        <v>0.18949698311941995</v>
      </c>
      <c r="AL1858" s="12">
        <v>1400</v>
      </c>
      <c r="AM1858" s="12">
        <v>1985.2455073042299</v>
      </c>
      <c r="AN1858" s="12">
        <f t="shared" si="228"/>
        <v>585.24550730422993</v>
      </c>
      <c r="AO1858" s="13">
        <f t="shared" si="229"/>
        <v>0.41803250521730712</v>
      </c>
      <c r="AP1858" s="16">
        <v>1400</v>
      </c>
      <c r="AQ1858" s="16">
        <v>1322.5352294313441</v>
      </c>
      <c r="AR1858" s="16">
        <f t="shared" si="230"/>
        <v>77.464770568655922</v>
      </c>
      <c r="AS1858" s="17">
        <f t="shared" si="224"/>
        <v>5.5331978977611371E-2</v>
      </c>
      <c r="AT1858" s="20">
        <v>1400</v>
      </c>
      <c r="AU1858" s="20">
        <v>1670.147216796875</v>
      </c>
      <c r="AV1858" s="20">
        <f t="shared" si="225"/>
        <v>270.147216796875</v>
      </c>
      <c r="AW1858" s="21">
        <f t="shared" si="231"/>
        <v>0.19296229771205356</v>
      </c>
    </row>
    <row r="1859" spans="1:49" x14ac:dyDescent="0.25">
      <c r="A1859" t="s">
        <v>38</v>
      </c>
      <c r="B1859" t="s">
        <v>96</v>
      </c>
      <c r="C1859">
        <v>50527</v>
      </c>
      <c r="D1859">
        <v>2024</v>
      </c>
      <c r="E1859" t="s">
        <v>40</v>
      </c>
      <c r="F1859" t="s">
        <v>233</v>
      </c>
      <c r="G1859" t="s">
        <v>1299</v>
      </c>
      <c r="H1859" t="s">
        <v>1475</v>
      </c>
      <c r="I1859">
        <v>4</v>
      </c>
      <c r="J1859" t="s">
        <v>72</v>
      </c>
      <c r="K1859">
        <v>4</v>
      </c>
      <c r="L1859" t="s">
        <v>44</v>
      </c>
      <c r="M1859">
        <v>2.5</v>
      </c>
      <c r="N1859" t="s">
        <v>44</v>
      </c>
      <c r="O1859" t="s">
        <v>46</v>
      </c>
      <c r="P1859">
        <v>5</v>
      </c>
      <c r="Q1859" t="s">
        <v>62</v>
      </c>
      <c r="R1859" t="s">
        <v>63</v>
      </c>
      <c r="S1859" t="s">
        <v>93</v>
      </c>
      <c r="T1859">
        <v>176</v>
      </c>
      <c r="U1859" t="s">
        <v>50</v>
      </c>
      <c r="V1859" t="s">
        <v>51</v>
      </c>
      <c r="W1859" t="s">
        <v>1525</v>
      </c>
      <c r="X1859" t="s">
        <v>65</v>
      </c>
      <c r="Y1859" t="s">
        <v>78</v>
      </c>
      <c r="AA1859">
        <v>1</v>
      </c>
      <c r="AB1859" t="s">
        <v>55</v>
      </c>
      <c r="AC1859" t="s">
        <v>67</v>
      </c>
      <c r="AD1859">
        <v>36</v>
      </c>
      <c r="AE1859">
        <v>9</v>
      </c>
      <c r="AF1859">
        <v>3</v>
      </c>
      <c r="AG1859">
        <v>2025</v>
      </c>
      <c r="AH1859" s="2">
        <v>29000</v>
      </c>
      <c r="AI1859" s="2">
        <v>22844.3046875</v>
      </c>
      <c r="AJ1859" s="2">
        <f t="shared" si="226"/>
        <v>6155.6953125</v>
      </c>
      <c r="AK1859" s="6">
        <f t="shared" si="227"/>
        <v>0.21226535560344828</v>
      </c>
      <c r="AL1859" s="12">
        <v>29000</v>
      </c>
      <c r="AM1859" s="12">
        <v>27019.81221441504</v>
      </c>
      <c r="AN1859" s="12">
        <f t="shared" si="228"/>
        <v>1980.1877855849598</v>
      </c>
      <c r="AO1859" s="13">
        <f t="shared" si="229"/>
        <v>6.8282337433964127E-2</v>
      </c>
      <c r="AP1859" s="16">
        <v>29000</v>
      </c>
      <c r="AQ1859" s="16">
        <v>25076.58108439804</v>
      </c>
      <c r="AR1859" s="16">
        <f t="shared" si="230"/>
        <v>3923.4189156019602</v>
      </c>
      <c r="AS1859" s="17">
        <f t="shared" ref="AS1859:AS1922" si="232">ABS($AH1859-AQ1859)/$AH1859</f>
        <v>0.13529030743455034</v>
      </c>
      <c r="AT1859" s="20">
        <v>29000</v>
      </c>
      <c r="AU1859" s="20">
        <v>23296.044921875</v>
      </c>
      <c r="AV1859" s="20">
        <f t="shared" ref="AV1859:AV1922" si="233">ABS(AT1859-AU1859)</f>
        <v>5703.955078125</v>
      </c>
      <c r="AW1859" s="21">
        <f t="shared" si="231"/>
        <v>0.19668810614224139</v>
      </c>
    </row>
    <row r="1860" spans="1:49" x14ac:dyDescent="0.25">
      <c r="A1860" t="s">
        <v>114</v>
      </c>
      <c r="B1860" t="s">
        <v>115</v>
      </c>
      <c r="C1860">
        <v>182262</v>
      </c>
      <c r="D1860">
        <v>2010</v>
      </c>
      <c r="E1860" t="s">
        <v>69</v>
      </c>
      <c r="F1860" t="s">
        <v>231</v>
      </c>
      <c r="G1860" t="s">
        <v>831</v>
      </c>
      <c r="H1860" t="s">
        <v>832</v>
      </c>
      <c r="I1860">
        <v>8</v>
      </c>
      <c r="J1860" t="s">
        <v>106</v>
      </c>
      <c r="K1860">
        <v>2</v>
      </c>
      <c r="L1860" t="s">
        <v>44</v>
      </c>
      <c r="M1860">
        <v>4.5999999999999996</v>
      </c>
      <c r="N1860" t="s">
        <v>73</v>
      </c>
      <c r="O1860" t="s">
        <v>46</v>
      </c>
      <c r="Q1860" t="s">
        <v>74</v>
      </c>
      <c r="R1860" t="s">
        <v>92</v>
      </c>
      <c r="S1860" t="s">
        <v>49</v>
      </c>
      <c r="T1860">
        <v>292</v>
      </c>
      <c r="U1860" t="s">
        <v>50</v>
      </c>
      <c r="V1860" t="s">
        <v>76</v>
      </c>
      <c r="W1860" t="s">
        <v>625</v>
      </c>
      <c r="X1860" t="s">
        <v>94</v>
      </c>
      <c r="Y1860" t="s">
        <v>78</v>
      </c>
      <c r="AA1860">
        <v>0</v>
      </c>
      <c r="AB1860" t="s">
        <v>79</v>
      </c>
      <c r="AC1860" t="s">
        <v>95</v>
      </c>
      <c r="AD1860">
        <v>36</v>
      </c>
      <c r="AE1860">
        <v>9</v>
      </c>
      <c r="AF1860">
        <v>3</v>
      </c>
      <c r="AG1860">
        <v>2025</v>
      </c>
      <c r="AH1860" s="2">
        <v>1500</v>
      </c>
      <c r="AI1860" s="2">
        <v>1943.674194335938</v>
      </c>
      <c r="AJ1860" s="2">
        <f t="shared" ref="AJ1860:AJ1923" si="234">ABS(AH1860-AI1860)</f>
        <v>443.67419433593795</v>
      </c>
      <c r="AK1860" s="6">
        <f t="shared" ref="AK1860:AK1923" si="235">ABS($AH1860-AI1860)/$AH1860</f>
        <v>0.29578279622395864</v>
      </c>
      <c r="AL1860" s="12">
        <v>1500</v>
      </c>
      <c r="AM1860" s="12">
        <v>2709.1458714874962</v>
      </c>
      <c r="AN1860" s="12">
        <f t="shared" ref="AN1860:AN1923" si="236">ABS(AL1860-AM1860)</f>
        <v>1209.1458714874962</v>
      </c>
      <c r="AO1860" s="13">
        <f t="shared" ref="AO1860:AO1923" si="237">ABS($AH1860-AM1860)/$AH1860</f>
        <v>0.8060972476583308</v>
      </c>
      <c r="AP1860" s="16">
        <v>1500</v>
      </c>
      <c r="AQ1860" s="16">
        <v>1821.667686585824</v>
      </c>
      <c r="AR1860" s="16">
        <f t="shared" ref="AR1860:AR1923" si="238">ABS(AP1860-AQ1860)</f>
        <v>321.66768658582396</v>
      </c>
      <c r="AS1860" s="17">
        <f t="shared" si="232"/>
        <v>0.2144451243905493</v>
      </c>
      <c r="AT1860" s="20">
        <v>1500</v>
      </c>
      <c r="AU1860" s="20">
        <v>1959.6181640625</v>
      </c>
      <c r="AV1860" s="20">
        <f t="shared" si="233"/>
        <v>459.6181640625</v>
      </c>
      <c r="AW1860" s="21">
        <f t="shared" ref="AW1860:AW1923" si="239">ABS($AH1860-AU1860)/$AH1860</f>
        <v>0.30641210937500002</v>
      </c>
    </row>
    <row r="1861" spans="1:49" x14ac:dyDescent="0.25">
      <c r="A1861" t="s">
        <v>38</v>
      </c>
      <c r="B1861" t="s">
        <v>39</v>
      </c>
      <c r="C1861">
        <v>239809</v>
      </c>
      <c r="D1861">
        <v>2014</v>
      </c>
      <c r="E1861" t="s">
        <v>69</v>
      </c>
      <c r="F1861" t="s">
        <v>394</v>
      </c>
      <c r="H1861" t="s">
        <v>224</v>
      </c>
      <c r="I1861">
        <v>4</v>
      </c>
      <c r="J1861" t="s">
        <v>72</v>
      </c>
      <c r="K1861">
        <v>4</v>
      </c>
      <c r="L1861" t="s">
        <v>44</v>
      </c>
      <c r="M1861">
        <v>1.5</v>
      </c>
      <c r="N1861" t="s">
        <v>45</v>
      </c>
      <c r="O1861" t="s">
        <v>46</v>
      </c>
      <c r="Q1861" t="s">
        <v>47</v>
      </c>
      <c r="R1861" t="s">
        <v>123</v>
      </c>
      <c r="S1861" t="s">
        <v>101</v>
      </c>
      <c r="U1861" t="s">
        <v>50</v>
      </c>
      <c r="V1861" t="s">
        <v>51</v>
      </c>
      <c r="X1861" t="s">
        <v>125</v>
      </c>
      <c r="Y1861" t="s">
        <v>126</v>
      </c>
      <c r="AA1861">
        <v>0</v>
      </c>
      <c r="AB1861" t="s">
        <v>79</v>
      </c>
      <c r="AC1861" t="s">
        <v>127</v>
      </c>
      <c r="AD1861">
        <v>36</v>
      </c>
      <c r="AE1861">
        <v>9</v>
      </c>
      <c r="AF1861">
        <v>3</v>
      </c>
      <c r="AG1861">
        <v>2025</v>
      </c>
      <c r="AH1861" s="2">
        <v>1000</v>
      </c>
      <c r="AI1861" s="2">
        <v>1381.023681640625</v>
      </c>
      <c r="AJ1861" s="2">
        <f t="shared" si="234"/>
        <v>381.023681640625</v>
      </c>
      <c r="AK1861" s="6">
        <f t="shared" si="235"/>
        <v>0.381023681640625</v>
      </c>
      <c r="AL1861" s="12">
        <v>1000</v>
      </c>
      <c r="AM1861" s="12">
        <v>1348.7242534238769</v>
      </c>
      <c r="AN1861" s="12">
        <f t="shared" si="236"/>
        <v>348.72425342387692</v>
      </c>
      <c r="AO1861" s="13">
        <f t="shared" si="237"/>
        <v>0.34872425342387692</v>
      </c>
      <c r="AP1861" s="16">
        <v>1000</v>
      </c>
      <c r="AQ1861" s="16">
        <v>1168.1902146389041</v>
      </c>
      <c r="AR1861" s="16">
        <f t="shared" si="238"/>
        <v>168.19021463890408</v>
      </c>
      <c r="AS1861" s="17">
        <f t="shared" si="232"/>
        <v>0.16819021463890407</v>
      </c>
      <c r="AT1861" s="20">
        <v>1000</v>
      </c>
      <c r="AU1861" s="20">
        <v>1363.3291015625</v>
      </c>
      <c r="AV1861" s="20">
        <f t="shared" si="233"/>
        <v>363.3291015625</v>
      </c>
      <c r="AW1861" s="21">
        <f t="shared" si="239"/>
        <v>0.36332910156249998</v>
      </c>
    </row>
    <row r="1862" spans="1:49" x14ac:dyDescent="0.25">
      <c r="A1862" t="s">
        <v>38</v>
      </c>
      <c r="B1862" t="s">
        <v>96</v>
      </c>
      <c r="C1862">
        <v>20702</v>
      </c>
      <c r="D1862">
        <v>2023</v>
      </c>
      <c r="E1862" t="s">
        <v>97</v>
      </c>
      <c r="F1862" t="s">
        <v>444</v>
      </c>
      <c r="G1862" t="s">
        <v>1526</v>
      </c>
      <c r="I1862">
        <v>6</v>
      </c>
      <c r="J1862" t="s">
        <v>43</v>
      </c>
      <c r="K1862">
        <v>2</v>
      </c>
      <c r="L1862" t="s">
        <v>44</v>
      </c>
      <c r="M1862">
        <v>3.6</v>
      </c>
      <c r="N1862" t="s">
        <v>73</v>
      </c>
      <c r="O1862" t="s">
        <v>46</v>
      </c>
      <c r="P1862">
        <v>5</v>
      </c>
      <c r="Q1862" t="s">
        <v>47</v>
      </c>
      <c r="R1862" t="s">
        <v>197</v>
      </c>
      <c r="U1862" t="s">
        <v>50</v>
      </c>
      <c r="V1862" t="s">
        <v>76</v>
      </c>
      <c r="W1862" t="s">
        <v>1433</v>
      </c>
      <c r="X1862" t="s">
        <v>125</v>
      </c>
      <c r="Y1862" t="s">
        <v>78</v>
      </c>
      <c r="AA1862">
        <v>0</v>
      </c>
      <c r="AB1862" t="s">
        <v>79</v>
      </c>
      <c r="AC1862" t="s">
        <v>197</v>
      </c>
      <c r="AD1862">
        <v>36</v>
      </c>
      <c r="AE1862">
        <v>9</v>
      </c>
      <c r="AF1862">
        <v>3</v>
      </c>
      <c r="AG1862">
        <v>2025</v>
      </c>
      <c r="AH1862" s="2">
        <v>26400</v>
      </c>
      <c r="AI1862" s="2">
        <v>29879.41015625</v>
      </c>
      <c r="AJ1862" s="2">
        <f t="shared" si="234"/>
        <v>3479.41015625</v>
      </c>
      <c r="AK1862" s="6">
        <f t="shared" si="235"/>
        <v>0.13179583925189395</v>
      </c>
      <c r="AL1862" s="12">
        <v>26400</v>
      </c>
      <c r="AM1862" s="12">
        <v>32633.551294380941</v>
      </c>
      <c r="AN1862" s="12">
        <f t="shared" si="236"/>
        <v>6233.5512943809408</v>
      </c>
      <c r="AO1862" s="13">
        <f t="shared" si="237"/>
        <v>0.23611936721139928</v>
      </c>
      <c r="AP1862" s="16">
        <v>26400</v>
      </c>
      <c r="AQ1862" s="16">
        <v>30554.010893005969</v>
      </c>
      <c r="AR1862" s="16">
        <f t="shared" si="238"/>
        <v>4154.0108930059687</v>
      </c>
      <c r="AS1862" s="17">
        <f t="shared" si="232"/>
        <v>0.15734889746234729</v>
      </c>
      <c r="AT1862" s="20">
        <v>26400</v>
      </c>
      <c r="AU1862" s="20">
        <v>30008.890625</v>
      </c>
      <c r="AV1862" s="20">
        <f t="shared" si="233"/>
        <v>3608.890625</v>
      </c>
      <c r="AW1862" s="21">
        <f t="shared" si="239"/>
        <v>0.1367004024621212</v>
      </c>
    </row>
    <row r="1863" spans="1:49" x14ac:dyDescent="0.25">
      <c r="A1863" t="s">
        <v>38</v>
      </c>
      <c r="B1863" t="s">
        <v>110</v>
      </c>
      <c r="C1863">
        <v>173717</v>
      </c>
      <c r="D1863">
        <v>2018</v>
      </c>
      <c r="E1863" t="s">
        <v>116</v>
      </c>
      <c r="F1863" t="s">
        <v>251</v>
      </c>
      <c r="H1863" t="s">
        <v>799</v>
      </c>
      <c r="I1863">
        <v>6</v>
      </c>
      <c r="J1863" t="s">
        <v>72</v>
      </c>
      <c r="K1863">
        <v>4</v>
      </c>
      <c r="L1863" t="s">
        <v>44</v>
      </c>
      <c r="M1863">
        <v>3.6</v>
      </c>
      <c r="N1863" t="s">
        <v>45</v>
      </c>
      <c r="Q1863" t="s">
        <v>62</v>
      </c>
      <c r="R1863" t="s">
        <v>63</v>
      </c>
      <c r="S1863" t="s">
        <v>101</v>
      </c>
      <c r="T1863">
        <v>283</v>
      </c>
      <c r="U1863" t="s">
        <v>50</v>
      </c>
      <c r="V1863" t="s">
        <v>76</v>
      </c>
      <c r="X1863" t="s">
        <v>141</v>
      </c>
      <c r="Y1863" t="s">
        <v>126</v>
      </c>
      <c r="Z1863">
        <v>33095</v>
      </c>
      <c r="AA1863">
        <v>0</v>
      </c>
      <c r="AB1863" t="s">
        <v>79</v>
      </c>
      <c r="AC1863" t="s">
        <v>87</v>
      </c>
      <c r="AD1863">
        <v>36</v>
      </c>
      <c r="AE1863">
        <v>9</v>
      </c>
      <c r="AF1863">
        <v>3</v>
      </c>
      <c r="AG1863">
        <v>2025</v>
      </c>
      <c r="AH1863" s="2">
        <v>900</v>
      </c>
      <c r="AI1863" s="2">
        <v>2097.1162109375</v>
      </c>
      <c r="AJ1863" s="2">
        <f t="shared" si="234"/>
        <v>1197.1162109375</v>
      </c>
      <c r="AK1863" s="6">
        <f t="shared" si="235"/>
        <v>1.330129123263889</v>
      </c>
      <c r="AL1863" s="12">
        <v>900</v>
      </c>
      <c r="AM1863" s="12">
        <v>3239.4741425994371</v>
      </c>
      <c r="AN1863" s="12">
        <f t="shared" si="236"/>
        <v>2339.4741425994371</v>
      </c>
      <c r="AO1863" s="13">
        <f t="shared" si="237"/>
        <v>2.5994157139993743</v>
      </c>
      <c r="AP1863" s="16">
        <v>900</v>
      </c>
      <c r="AQ1863" s="16">
        <v>2319.7522286731701</v>
      </c>
      <c r="AR1863" s="16">
        <f t="shared" si="238"/>
        <v>1419.7522286731701</v>
      </c>
      <c r="AS1863" s="17">
        <f t="shared" si="232"/>
        <v>1.5775024763035224</v>
      </c>
      <c r="AT1863" s="20">
        <v>900</v>
      </c>
      <c r="AU1863" s="20">
        <v>2180.79345703125</v>
      </c>
      <c r="AV1863" s="20">
        <f t="shared" si="233"/>
        <v>1280.79345703125</v>
      </c>
      <c r="AW1863" s="21">
        <f t="shared" si="239"/>
        <v>1.4231038411458334</v>
      </c>
    </row>
    <row r="1864" spans="1:49" x14ac:dyDescent="0.25">
      <c r="A1864" t="s">
        <v>38</v>
      </c>
      <c r="B1864" t="s">
        <v>96</v>
      </c>
      <c r="C1864">
        <v>135039</v>
      </c>
      <c r="D1864">
        <v>2018</v>
      </c>
      <c r="E1864" t="s">
        <v>146</v>
      </c>
      <c r="F1864" t="s">
        <v>279</v>
      </c>
      <c r="I1864">
        <v>4</v>
      </c>
      <c r="J1864" t="s">
        <v>61</v>
      </c>
      <c r="K1864">
        <v>4</v>
      </c>
      <c r="L1864" t="s">
        <v>44</v>
      </c>
      <c r="M1864">
        <v>1.8</v>
      </c>
      <c r="N1864" t="s">
        <v>45</v>
      </c>
      <c r="O1864" t="s">
        <v>46</v>
      </c>
      <c r="P1864">
        <v>2</v>
      </c>
      <c r="Q1864" t="s">
        <v>47</v>
      </c>
      <c r="R1864" t="s">
        <v>123</v>
      </c>
      <c r="S1864" t="s">
        <v>49</v>
      </c>
      <c r="T1864">
        <v>130</v>
      </c>
      <c r="U1864" t="s">
        <v>50</v>
      </c>
      <c r="V1864" t="s">
        <v>51</v>
      </c>
      <c r="X1864" t="s">
        <v>125</v>
      </c>
      <c r="Y1864" t="s">
        <v>126</v>
      </c>
      <c r="Z1864">
        <v>16685</v>
      </c>
      <c r="AA1864">
        <v>0</v>
      </c>
      <c r="AB1864" t="s">
        <v>79</v>
      </c>
      <c r="AC1864" t="s">
        <v>127</v>
      </c>
      <c r="AD1864">
        <v>36</v>
      </c>
      <c r="AE1864">
        <v>9</v>
      </c>
      <c r="AF1864">
        <v>3</v>
      </c>
      <c r="AG1864">
        <v>2025</v>
      </c>
      <c r="AH1864" s="2">
        <v>2300</v>
      </c>
      <c r="AI1864" s="2">
        <v>1659.926147460938</v>
      </c>
      <c r="AJ1864" s="2">
        <f t="shared" si="234"/>
        <v>640.07385253906205</v>
      </c>
      <c r="AK1864" s="6">
        <f t="shared" si="235"/>
        <v>0.27829297936480957</v>
      </c>
      <c r="AL1864" s="12">
        <v>2300</v>
      </c>
      <c r="AM1864" s="12">
        <v>2374.7298145245832</v>
      </c>
      <c r="AN1864" s="12">
        <f t="shared" si="236"/>
        <v>74.729814524583162</v>
      </c>
      <c r="AO1864" s="13">
        <f t="shared" si="237"/>
        <v>3.2491223706340507E-2</v>
      </c>
      <c r="AP1864" s="16">
        <v>2300</v>
      </c>
      <c r="AQ1864" s="16">
        <v>1979.5897240331831</v>
      </c>
      <c r="AR1864" s="16">
        <f t="shared" si="238"/>
        <v>320.41027596681693</v>
      </c>
      <c r="AS1864" s="17">
        <f t="shared" si="232"/>
        <v>0.1393088156377465</v>
      </c>
      <c r="AT1864" s="20">
        <v>2300</v>
      </c>
      <c r="AU1864" s="20">
        <v>1663.45654296875</v>
      </c>
      <c r="AV1864" s="20">
        <f t="shared" si="233"/>
        <v>636.54345703125</v>
      </c>
      <c r="AW1864" s="21">
        <f t="shared" si="239"/>
        <v>0.27675802479619566</v>
      </c>
    </row>
    <row r="1865" spans="1:49" x14ac:dyDescent="0.25">
      <c r="A1865" t="s">
        <v>128</v>
      </c>
      <c r="B1865" t="s">
        <v>1248</v>
      </c>
      <c r="C1865">
        <v>42687</v>
      </c>
      <c r="D1865">
        <v>2022</v>
      </c>
      <c r="E1865" t="s">
        <v>97</v>
      </c>
      <c r="F1865" t="s">
        <v>98</v>
      </c>
      <c r="G1865" t="s">
        <v>1527</v>
      </c>
      <c r="I1865">
        <v>4</v>
      </c>
      <c r="J1865" t="s">
        <v>122</v>
      </c>
      <c r="K1865">
        <v>4</v>
      </c>
      <c r="L1865" t="s">
        <v>44</v>
      </c>
      <c r="M1865">
        <v>1.5</v>
      </c>
      <c r="N1865" t="s">
        <v>45</v>
      </c>
      <c r="Q1865" t="s">
        <v>62</v>
      </c>
      <c r="R1865" t="s">
        <v>63</v>
      </c>
      <c r="S1865" t="s">
        <v>101</v>
      </c>
      <c r="U1865" t="s">
        <v>50</v>
      </c>
      <c r="V1865" t="s">
        <v>51</v>
      </c>
      <c r="W1865" t="s">
        <v>255</v>
      </c>
      <c r="X1865" t="s">
        <v>65</v>
      </c>
      <c r="Y1865" t="s">
        <v>126</v>
      </c>
      <c r="AA1865">
        <v>0</v>
      </c>
      <c r="AB1865" t="s">
        <v>79</v>
      </c>
      <c r="AC1865" t="s">
        <v>87</v>
      </c>
      <c r="AD1865">
        <v>36</v>
      </c>
      <c r="AE1865">
        <v>9</v>
      </c>
      <c r="AF1865">
        <v>3</v>
      </c>
      <c r="AG1865">
        <v>2025</v>
      </c>
      <c r="AH1865" s="2">
        <v>20500</v>
      </c>
      <c r="AI1865" s="2">
        <v>19257.474609375</v>
      </c>
      <c r="AJ1865" s="2">
        <f t="shared" si="234"/>
        <v>1242.525390625</v>
      </c>
      <c r="AK1865" s="6">
        <f t="shared" si="235"/>
        <v>6.0610994664634148E-2</v>
      </c>
      <c r="AL1865" s="12">
        <v>20500</v>
      </c>
      <c r="AM1865" s="12">
        <v>20096.982207109289</v>
      </c>
      <c r="AN1865" s="12">
        <f t="shared" si="236"/>
        <v>403.01779289071055</v>
      </c>
      <c r="AO1865" s="13">
        <f t="shared" si="237"/>
        <v>1.9659404531254174E-2</v>
      </c>
      <c r="AP1865" s="16">
        <v>20500</v>
      </c>
      <c r="AQ1865" s="16">
        <v>19234.913805835899</v>
      </c>
      <c r="AR1865" s="16">
        <f t="shared" si="238"/>
        <v>1265.0861941641015</v>
      </c>
      <c r="AS1865" s="17">
        <f t="shared" si="232"/>
        <v>6.1711521666541536E-2</v>
      </c>
      <c r="AT1865" s="20">
        <v>20500</v>
      </c>
      <c r="AU1865" s="20">
        <v>19313.5546875</v>
      </c>
      <c r="AV1865" s="20">
        <f t="shared" si="233"/>
        <v>1186.4453125</v>
      </c>
      <c r="AW1865" s="21">
        <f t="shared" si="239"/>
        <v>5.7875381097560977E-2</v>
      </c>
    </row>
    <row r="1866" spans="1:49" x14ac:dyDescent="0.25">
      <c r="A1866" t="s">
        <v>128</v>
      </c>
      <c r="B1866" t="s">
        <v>210</v>
      </c>
      <c r="C1866">
        <v>170097</v>
      </c>
      <c r="D1866">
        <v>2010</v>
      </c>
      <c r="E1866" t="s">
        <v>213</v>
      </c>
      <c r="F1866" t="s">
        <v>1528</v>
      </c>
      <c r="I1866">
        <v>8</v>
      </c>
      <c r="J1866" t="s">
        <v>106</v>
      </c>
      <c r="K1866">
        <v>4</v>
      </c>
      <c r="L1866" t="s">
        <v>44</v>
      </c>
      <c r="M1866">
        <v>5.6</v>
      </c>
      <c r="N1866" t="s">
        <v>73</v>
      </c>
      <c r="O1866" t="s">
        <v>46</v>
      </c>
      <c r="Q1866" t="s">
        <v>62</v>
      </c>
      <c r="R1866" t="s">
        <v>63</v>
      </c>
      <c r="S1866" t="s">
        <v>49</v>
      </c>
      <c r="U1866" t="s">
        <v>50</v>
      </c>
      <c r="X1866" t="s">
        <v>108</v>
      </c>
      <c r="Y1866" t="s">
        <v>78</v>
      </c>
      <c r="AA1866">
        <v>0</v>
      </c>
      <c r="AB1866" t="s">
        <v>79</v>
      </c>
      <c r="AC1866" t="s">
        <v>87</v>
      </c>
      <c r="AD1866">
        <v>36</v>
      </c>
      <c r="AE1866">
        <v>9</v>
      </c>
      <c r="AF1866">
        <v>3</v>
      </c>
      <c r="AG1866">
        <v>2025</v>
      </c>
      <c r="AH1866" s="2">
        <v>400</v>
      </c>
      <c r="AI1866" s="2">
        <v>2492.20263671875</v>
      </c>
      <c r="AJ1866" s="2">
        <f t="shared" si="234"/>
        <v>2092.20263671875</v>
      </c>
      <c r="AK1866" s="6">
        <f t="shared" si="235"/>
        <v>5.2305065917968747</v>
      </c>
      <c r="AL1866" s="12">
        <v>400</v>
      </c>
      <c r="AM1866" s="12">
        <v>2815.3164547383858</v>
      </c>
      <c r="AN1866" s="12">
        <f t="shared" si="236"/>
        <v>2415.3164547383858</v>
      </c>
      <c r="AO1866" s="13">
        <f t="shared" si="237"/>
        <v>6.0382911368459649</v>
      </c>
      <c r="AP1866" s="16">
        <v>400</v>
      </c>
      <c r="AQ1866" s="16">
        <v>2738.2099792169211</v>
      </c>
      <c r="AR1866" s="16">
        <f t="shared" si="238"/>
        <v>2338.2099792169211</v>
      </c>
      <c r="AS1866" s="17">
        <f t="shared" si="232"/>
        <v>5.8455249480423026</v>
      </c>
      <c r="AT1866" s="20">
        <v>400</v>
      </c>
      <c r="AU1866" s="20">
        <v>2520.761962890625</v>
      </c>
      <c r="AV1866" s="20">
        <f t="shared" si="233"/>
        <v>2120.761962890625</v>
      </c>
      <c r="AW1866" s="21">
        <f t="shared" si="239"/>
        <v>5.3019049072265627</v>
      </c>
    </row>
    <row r="1867" spans="1:49" x14ac:dyDescent="0.25">
      <c r="A1867" t="s">
        <v>128</v>
      </c>
      <c r="B1867" t="s">
        <v>129</v>
      </c>
      <c r="C1867">
        <v>104710</v>
      </c>
      <c r="D1867">
        <v>2011</v>
      </c>
      <c r="E1867" t="s">
        <v>116</v>
      </c>
      <c r="F1867" t="s">
        <v>251</v>
      </c>
      <c r="G1867" t="s">
        <v>1529</v>
      </c>
      <c r="H1867" t="s">
        <v>578</v>
      </c>
      <c r="I1867">
        <v>4</v>
      </c>
      <c r="J1867" t="s">
        <v>735</v>
      </c>
      <c r="K1867">
        <v>4</v>
      </c>
      <c r="L1867" t="s">
        <v>44</v>
      </c>
      <c r="M1867">
        <v>2.4</v>
      </c>
      <c r="N1867" t="s">
        <v>45</v>
      </c>
      <c r="Q1867" t="s">
        <v>62</v>
      </c>
      <c r="R1867" t="s">
        <v>63</v>
      </c>
      <c r="S1867" t="s">
        <v>101</v>
      </c>
      <c r="U1867" t="s">
        <v>50</v>
      </c>
      <c r="X1867" t="s">
        <v>141</v>
      </c>
      <c r="Y1867" t="s">
        <v>126</v>
      </c>
      <c r="AA1867">
        <v>0</v>
      </c>
      <c r="AB1867" t="s">
        <v>79</v>
      </c>
      <c r="AC1867" t="s">
        <v>87</v>
      </c>
      <c r="AD1867">
        <v>36</v>
      </c>
      <c r="AE1867">
        <v>9</v>
      </c>
      <c r="AF1867">
        <v>3</v>
      </c>
      <c r="AG1867">
        <v>2025</v>
      </c>
      <c r="AH1867" s="2">
        <v>4600</v>
      </c>
      <c r="AI1867" s="2">
        <v>2161.09716796875</v>
      </c>
      <c r="AJ1867" s="2">
        <f t="shared" si="234"/>
        <v>2438.90283203125</v>
      </c>
      <c r="AK1867" s="6">
        <f t="shared" si="235"/>
        <v>0.53019626783288043</v>
      </c>
      <c r="AL1867" s="12">
        <v>4600</v>
      </c>
      <c r="AM1867" s="12">
        <v>2346.6339200365419</v>
      </c>
      <c r="AN1867" s="12">
        <f t="shared" si="236"/>
        <v>2253.3660799634581</v>
      </c>
      <c r="AO1867" s="13">
        <f t="shared" si="237"/>
        <v>0.48986219129640396</v>
      </c>
      <c r="AP1867" s="16">
        <v>4600</v>
      </c>
      <c r="AQ1867" s="16">
        <v>1778.5127067548069</v>
      </c>
      <c r="AR1867" s="16">
        <f t="shared" si="238"/>
        <v>2821.4872932451931</v>
      </c>
      <c r="AS1867" s="17">
        <f t="shared" si="232"/>
        <v>0.61336680287938983</v>
      </c>
      <c r="AT1867" s="20">
        <v>4600</v>
      </c>
      <c r="AU1867" s="20">
        <v>2184.229248046875</v>
      </c>
      <c r="AV1867" s="20">
        <f t="shared" si="233"/>
        <v>2415.770751953125</v>
      </c>
      <c r="AW1867" s="21">
        <f t="shared" si="239"/>
        <v>0.5251675547724185</v>
      </c>
    </row>
    <row r="1868" spans="1:49" x14ac:dyDescent="0.25">
      <c r="A1868" t="s">
        <v>38</v>
      </c>
      <c r="B1868" t="s">
        <v>96</v>
      </c>
      <c r="C1868">
        <v>107661</v>
      </c>
      <c r="D1868">
        <v>2022</v>
      </c>
      <c r="E1868" t="s">
        <v>719</v>
      </c>
      <c r="F1868" t="s">
        <v>1128</v>
      </c>
      <c r="J1868" t="s">
        <v>72</v>
      </c>
      <c r="K1868">
        <v>4</v>
      </c>
      <c r="L1868" t="s">
        <v>44</v>
      </c>
      <c r="N1868" t="s">
        <v>44</v>
      </c>
      <c r="O1868" t="s">
        <v>46</v>
      </c>
      <c r="P1868">
        <v>3</v>
      </c>
      <c r="Q1868" t="s">
        <v>47</v>
      </c>
      <c r="R1868" t="s">
        <v>123</v>
      </c>
      <c r="U1868" t="s">
        <v>601</v>
      </c>
      <c r="X1868" t="s">
        <v>125</v>
      </c>
      <c r="Y1868" t="s">
        <v>78</v>
      </c>
      <c r="AA1868">
        <v>1</v>
      </c>
      <c r="AB1868" t="s">
        <v>603</v>
      </c>
      <c r="AC1868" t="s">
        <v>393</v>
      </c>
      <c r="AD1868">
        <v>36</v>
      </c>
      <c r="AE1868">
        <v>9</v>
      </c>
      <c r="AF1868">
        <v>3</v>
      </c>
      <c r="AG1868">
        <v>2025</v>
      </c>
      <c r="AH1868" s="2">
        <v>12750</v>
      </c>
      <c r="AI1868" s="2">
        <v>11671.080078125</v>
      </c>
      <c r="AJ1868" s="2">
        <f t="shared" si="234"/>
        <v>1078.919921875</v>
      </c>
      <c r="AK1868" s="6">
        <f t="shared" si="235"/>
        <v>8.462117034313725E-2</v>
      </c>
      <c r="AL1868" s="12">
        <v>12750</v>
      </c>
      <c r="AM1868" s="12">
        <v>13239.22944628127</v>
      </c>
      <c r="AN1868" s="12">
        <f t="shared" si="236"/>
        <v>489.2294462812697</v>
      </c>
      <c r="AO1868" s="13">
        <f t="shared" si="237"/>
        <v>3.8370936963236839E-2</v>
      </c>
      <c r="AP1868" s="16">
        <v>12750</v>
      </c>
      <c r="AQ1868" s="16">
        <v>14180.160300465161</v>
      </c>
      <c r="AR1868" s="16">
        <f t="shared" si="238"/>
        <v>1430.1603004651606</v>
      </c>
      <c r="AS1868" s="17">
        <f t="shared" si="232"/>
        <v>0.11216943533060084</v>
      </c>
      <c r="AT1868" s="20">
        <v>12750</v>
      </c>
      <c r="AU1868" s="20">
        <v>12106.2509765625</v>
      </c>
      <c r="AV1868" s="20">
        <f t="shared" si="233"/>
        <v>643.7490234375</v>
      </c>
      <c r="AW1868" s="21">
        <f t="shared" si="239"/>
        <v>5.0490119485294117E-2</v>
      </c>
    </row>
    <row r="1869" spans="1:49" x14ac:dyDescent="0.25">
      <c r="A1869" t="s">
        <v>38</v>
      </c>
      <c r="B1869" t="s">
        <v>39</v>
      </c>
      <c r="C1869">
        <v>40540</v>
      </c>
      <c r="D1869">
        <v>2023</v>
      </c>
      <c r="E1869" t="s">
        <v>146</v>
      </c>
      <c r="F1869" t="s">
        <v>147</v>
      </c>
      <c r="G1869" t="s">
        <v>280</v>
      </c>
      <c r="I1869">
        <v>3</v>
      </c>
      <c r="J1869" t="s">
        <v>72</v>
      </c>
      <c r="K1869">
        <v>4</v>
      </c>
      <c r="L1869" t="s">
        <v>44</v>
      </c>
      <c r="M1869">
        <v>1.5</v>
      </c>
      <c r="N1869" t="s">
        <v>45</v>
      </c>
      <c r="O1869" t="s">
        <v>46</v>
      </c>
      <c r="Q1869" t="s">
        <v>62</v>
      </c>
      <c r="R1869" t="s">
        <v>63</v>
      </c>
      <c r="S1869" t="s">
        <v>49</v>
      </c>
      <c r="U1869" t="s">
        <v>50</v>
      </c>
      <c r="V1869" t="s">
        <v>51</v>
      </c>
      <c r="X1869" t="s">
        <v>65</v>
      </c>
      <c r="Y1869" t="s">
        <v>78</v>
      </c>
      <c r="AA1869">
        <v>0</v>
      </c>
      <c r="AB1869" t="s">
        <v>79</v>
      </c>
      <c r="AC1869" t="s">
        <v>87</v>
      </c>
      <c r="AD1869">
        <v>36</v>
      </c>
      <c r="AE1869">
        <v>9</v>
      </c>
      <c r="AF1869">
        <v>3</v>
      </c>
      <c r="AG1869">
        <v>2025</v>
      </c>
      <c r="AH1869" s="2">
        <v>18500</v>
      </c>
      <c r="AI1869" s="2">
        <v>20357.759765625</v>
      </c>
      <c r="AJ1869" s="2">
        <f t="shared" si="234"/>
        <v>1857.759765625</v>
      </c>
      <c r="AK1869" s="6">
        <f t="shared" si="235"/>
        <v>0.10041944679054055</v>
      </c>
      <c r="AL1869" s="12">
        <v>18500</v>
      </c>
      <c r="AM1869" s="12">
        <v>18397.182525474509</v>
      </c>
      <c r="AN1869" s="12">
        <f t="shared" si="236"/>
        <v>102.81747452549098</v>
      </c>
      <c r="AO1869" s="13">
        <f t="shared" si="237"/>
        <v>5.5577013257022152E-3</v>
      </c>
      <c r="AP1869" s="16">
        <v>18500</v>
      </c>
      <c r="AQ1869" s="16">
        <v>18243.49480358055</v>
      </c>
      <c r="AR1869" s="16">
        <f t="shared" si="238"/>
        <v>256.50519641944993</v>
      </c>
      <c r="AS1869" s="17">
        <f t="shared" si="232"/>
        <v>1.38651457524027E-2</v>
      </c>
      <c r="AT1869" s="20">
        <v>18500</v>
      </c>
      <c r="AU1869" s="20">
        <v>19776.62109375</v>
      </c>
      <c r="AV1869" s="20">
        <f t="shared" si="233"/>
        <v>1276.62109375</v>
      </c>
      <c r="AW1869" s="21">
        <f t="shared" si="239"/>
        <v>6.9006545608108108E-2</v>
      </c>
    </row>
    <row r="1870" spans="1:49" x14ac:dyDescent="0.25">
      <c r="A1870" t="s">
        <v>38</v>
      </c>
      <c r="B1870" t="s">
        <v>110</v>
      </c>
      <c r="C1870">
        <v>131503</v>
      </c>
      <c r="D1870">
        <v>2017</v>
      </c>
      <c r="E1870" t="s">
        <v>146</v>
      </c>
      <c r="F1870" t="s">
        <v>147</v>
      </c>
      <c r="I1870">
        <v>4</v>
      </c>
      <c r="J1870" t="s">
        <v>135</v>
      </c>
      <c r="K1870">
        <v>4</v>
      </c>
      <c r="L1870" t="s">
        <v>44</v>
      </c>
      <c r="M1870">
        <v>2.5</v>
      </c>
      <c r="N1870" t="s">
        <v>45</v>
      </c>
      <c r="Q1870" t="s">
        <v>62</v>
      </c>
      <c r="R1870" t="s">
        <v>148</v>
      </c>
      <c r="S1870" t="s">
        <v>49</v>
      </c>
      <c r="T1870">
        <v>170</v>
      </c>
      <c r="U1870" t="s">
        <v>50</v>
      </c>
      <c r="X1870" t="s">
        <v>65</v>
      </c>
      <c r="Y1870" t="s">
        <v>66</v>
      </c>
      <c r="AA1870">
        <v>0</v>
      </c>
      <c r="AB1870" t="s">
        <v>79</v>
      </c>
      <c r="AC1870" t="s">
        <v>87</v>
      </c>
      <c r="AD1870">
        <v>36</v>
      </c>
      <c r="AE1870">
        <v>9</v>
      </c>
      <c r="AF1870">
        <v>3</v>
      </c>
      <c r="AG1870">
        <v>2025</v>
      </c>
      <c r="AH1870" s="2">
        <v>4500</v>
      </c>
      <c r="AI1870" s="2">
        <v>3237.182373046875</v>
      </c>
      <c r="AJ1870" s="2">
        <f t="shared" si="234"/>
        <v>1262.817626953125</v>
      </c>
      <c r="AK1870" s="6">
        <f t="shared" si="235"/>
        <v>0.28062613932291669</v>
      </c>
      <c r="AL1870" s="12">
        <v>4500</v>
      </c>
      <c r="AM1870" s="12">
        <v>3259.0541343237342</v>
      </c>
      <c r="AN1870" s="12">
        <f t="shared" si="236"/>
        <v>1240.9458656762658</v>
      </c>
      <c r="AO1870" s="13">
        <f t="shared" si="237"/>
        <v>0.27576574792805908</v>
      </c>
      <c r="AP1870" s="16">
        <v>4500</v>
      </c>
      <c r="AQ1870" s="16">
        <v>3533.93636181293</v>
      </c>
      <c r="AR1870" s="16">
        <f t="shared" si="238"/>
        <v>966.06363818706996</v>
      </c>
      <c r="AS1870" s="17">
        <f t="shared" si="232"/>
        <v>0.21468080848601553</v>
      </c>
      <c r="AT1870" s="20">
        <v>4500</v>
      </c>
      <c r="AU1870" s="20">
        <v>3245.39501953125</v>
      </c>
      <c r="AV1870" s="20">
        <f t="shared" si="233"/>
        <v>1254.60498046875</v>
      </c>
      <c r="AW1870" s="21">
        <f t="shared" si="239"/>
        <v>0.27880110677083331</v>
      </c>
    </row>
    <row r="1871" spans="1:49" x14ac:dyDescent="0.25">
      <c r="A1871" t="s">
        <v>128</v>
      </c>
      <c r="B1871" t="s">
        <v>129</v>
      </c>
      <c r="C1871">
        <v>39896</v>
      </c>
      <c r="D1871">
        <v>2018</v>
      </c>
      <c r="E1871" t="s">
        <v>719</v>
      </c>
      <c r="F1871" t="s">
        <v>1128</v>
      </c>
      <c r="J1871" t="s">
        <v>61</v>
      </c>
      <c r="K1871">
        <v>4</v>
      </c>
      <c r="L1871" t="s">
        <v>44</v>
      </c>
      <c r="N1871" t="s">
        <v>73</v>
      </c>
      <c r="Q1871" t="s">
        <v>47</v>
      </c>
      <c r="R1871" t="s">
        <v>123</v>
      </c>
      <c r="U1871" t="s">
        <v>601</v>
      </c>
      <c r="X1871" t="s">
        <v>125</v>
      </c>
      <c r="Y1871" t="s">
        <v>78</v>
      </c>
      <c r="Z1871">
        <v>46000</v>
      </c>
      <c r="AA1871">
        <v>1</v>
      </c>
      <c r="AB1871" t="s">
        <v>603</v>
      </c>
      <c r="AC1871" t="s">
        <v>393</v>
      </c>
      <c r="AD1871">
        <v>36</v>
      </c>
      <c r="AE1871">
        <v>9</v>
      </c>
      <c r="AF1871">
        <v>3</v>
      </c>
      <c r="AG1871">
        <v>2025</v>
      </c>
      <c r="AH1871" s="2">
        <v>4875</v>
      </c>
      <c r="AI1871" s="2">
        <v>15203.9375</v>
      </c>
      <c r="AJ1871" s="2">
        <f t="shared" si="234"/>
        <v>10328.9375</v>
      </c>
      <c r="AK1871" s="6">
        <f t="shared" si="235"/>
        <v>2.11875641025641</v>
      </c>
      <c r="AL1871" s="12">
        <v>4875</v>
      </c>
      <c r="AM1871" s="12">
        <v>15905.430448042371</v>
      </c>
      <c r="AN1871" s="12">
        <f t="shared" si="236"/>
        <v>11030.430448042371</v>
      </c>
      <c r="AO1871" s="13">
        <f t="shared" si="237"/>
        <v>2.2626523995984349</v>
      </c>
      <c r="AP1871" s="16">
        <v>4875</v>
      </c>
      <c r="AQ1871" s="16">
        <v>18555.38310819359</v>
      </c>
      <c r="AR1871" s="16">
        <f t="shared" si="238"/>
        <v>13680.38310819359</v>
      </c>
      <c r="AS1871" s="17">
        <f t="shared" si="232"/>
        <v>2.806232432449967</v>
      </c>
      <c r="AT1871" s="20">
        <v>4875</v>
      </c>
      <c r="AU1871" s="20">
        <v>15182.505859375</v>
      </c>
      <c r="AV1871" s="20">
        <f t="shared" si="233"/>
        <v>10307.505859375</v>
      </c>
      <c r="AW1871" s="21">
        <f t="shared" si="239"/>
        <v>2.1143601762820512</v>
      </c>
    </row>
    <row r="1872" spans="1:49" x14ac:dyDescent="0.25">
      <c r="A1872" t="s">
        <v>38</v>
      </c>
      <c r="B1872" t="s">
        <v>110</v>
      </c>
      <c r="C1872">
        <v>23737</v>
      </c>
      <c r="D1872">
        <v>2024</v>
      </c>
      <c r="E1872" t="s">
        <v>97</v>
      </c>
      <c r="F1872" t="s">
        <v>752</v>
      </c>
      <c r="G1872" t="s">
        <v>380</v>
      </c>
      <c r="H1872" t="s">
        <v>312</v>
      </c>
      <c r="I1872">
        <v>8</v>
      </c>
      <c r="J1872" t="s">
        <v>135</v>
      </c>
      <c r="K1872">
        <v>4</v>
      </c>
      <c r="L1872" t="s">
        <v>44</v>
      </c>
      <c r="M1872">
        <v>6.6</v>
      </c>
      <c r="N1872" t="s">
        <v>91</v>
      </c>
      <c r="Q1872" t="s">
        <v>74</v>
      </c>
      <c r="R1872" t="s">
        <v>92</v>
      </c>
      <c r="S1872" t="s">
        <v>93</v>
      </c>
      <c r="U1872" t="s">
        <v>229</v>
      </c>
      <c r="V1872" t="s">
        <v>76</v>
      </c>
      <c r="W1872" t="s">
        <v>1530</v>
      </c>
      <c r="X1872" t="s">
        <v>230</v>
      </c>
      <c r="Y1872" t="s">
        <v>103</v>
      </c>
      <c r="AA1872">
        <v>0</v>
      </c>
      <c r="AB1872" t="s">
        <v>79</v>
      </c>
      <c r="AC1872" t="s">
        <v>95</v>
      </c>
      <c r="AD1872">
        <v>36</v>
      </c>
      <c r="AE1872">
        <v>9</v>
      </c>
      <c r="AF1872">
        <v>3</v>
      </c>
      <c r="AG1872">
        <v>2025</v>
      </c>
      <c r="AH1872" s="2">
        <v>55200</v>
      </c>
      <c r="AI1872" s="2">
        <v>66284.125</v>
      </c>
      <c r="AJ1872" s="2">
        <f t="shared" si="234"/>
        <v>11084.125</v>
      </c>
      <c r="AK1872" s="6">
        <f t="shared" si="235"/>
        <v>0.20079936594202899</v>
      </c>
      <c r="AL1872" s="12">
        <v>55200</v>
      </c>
      <c r="AM1872" s="12">
        <v>63731.434903129018</v>
      </c>
      <c r="AN1872" s="12">
        <f t="shared" si="236"/>
        <v>8531.4349031290185</v>
      </c>
      <c r="AO1872" s="13">
        <f t="shared" si="237"/>
        <v>0.15455498012914889</v>
      </c>
      <c r="AP1872" s="16">
        <v>55200</v>
      </c>
      <c r="AQ1872" s="16">
        <v>61222.233978191412</v>
      </c>
      <c r="AR1872" s="16">
        <f t="shared" si="238"/>
        <v>6022.2339781914125</v>
      </c>
      <c r="AS1872" s="17">
        <f t="shared" si="232"/>
        <v>0.10909844163390239</v>
      </c>
      <c r="AT1872" s="20">
        <v>55200</v>
      </c>
      <c r="AU1872" s="20">
        <v>61287.46484375</v>
      </c>
      <c r="AV1872" s="20">
        <f t="shared" si="233"/>
        <v>6087.46484375</v>
      </c>
      <c r="AW1872" s="21">
        <f t="shared" si="239"/>
        <v>0.11028016021286231</v>
      </c>
    </row>
    <row r="1873" spans="1:49" x14ac:dyDescent="0.25">
      <c r="A1873" t="s">
        <v>38</v>
      </c>
      <c r="B1873" t="s">
        <v>110</v>
      </c>
      <c r="C1873">
        <v>175749</v>
      </c>
      <c r="D1873">
        <v>2010</v>
      </c>
      <c r="E1873" t="s">
        <v>146</v>
      </c>
      <c r="F1873" t="s">
        <v>334</v>
      </c>
      <c r="I1873">
        <v>4</v>
      </c>
      <c r="J1873" t="s">
        <v>106</v>
      </c>
      <c r="K1873">
        <v>4</v>
      </c>
      <c r="L1873" t="s">
        <v>44</v>
      </c>
      <c r="M1873">
        <v>2.5</v>
      </c>
      <c r="N1873" t="s">
        <v>45</v>
      </c>
      <c r="Q1873" t="s">
        <v>47</v>
      </c>
      <c r="R1873" t="s">
        <v>123</v>
      </c>
      <c r="S1873" t="s">
        <v>49</v>
      </c>
      <c r="T1873">
        <v>170</v>
      </c>
      <c r="U1873" t="s">
        <v>50</v>
      </c>
      <c r="X1873" t="s">
        <v>125</v>
      </c>
      <c r="Y1873" t="s">
        <v>78</v>
      </c>
      <c r="AA1873">
        <v>0</v>
      </c>
      <c r="AB1873" t="s">
        <v>79</v>
      </c>
      <c r="AC1873" t="s">
        <v>127</v>
      </c>
      <c r="AD1873">
        <v>36</v>
      </c>
      <c r="AE1873">
        <v>9</v>
      </c>
      <c r="AF1873">
        <v>3</v>
      </c>
      <c r="AG1873">
        <v>2025</v>
      </c>
      <c r="AH1873" s="2">
        <v>1700</v>
      </c>
      <c r="AI1873" s="2">
        <v>1013.198120117188</v>
      </c>
      <c r="AJ1873" s="2">
        <f t="shared" si="234"/>
        <v>686.80187988281205</v>
      </c>
      <c r="AK1873" s="6">
        <f t="shared" si="235"/>
        <v>0.40400110581341886</v>
      </c>
      <c r="AL1873" s="12">
        <v>1700</v>
      </c>
      <c r="AM1873" s="12">
        <v>1012.560270760774</v>
      </c>
      <c r="AN1873" s="12">
        <f t="shared" si="236"/>
        <v>687.43972923922604</v>
      </c>
      <c r="AO1873" s="13">
        <f t="shared" si="237"/>
        <v>0.40437631131719176</v>
      </c>
      <c r="AP1873" s="16">
        <v>1700</v>
      </c>
      <c r="AQ1873" s="16">
        <v>913.4975082752436</v>
      </c>
      <c r="AR1873" s="16">
        <f t="shared" si="238"/>
        <v>786.5024917247564</v>
      </c>
      <c r="AS1873" s="17">
        <f t="shared" si="232"/>
        <v>0.46264852454397437</v>
      </c>
      <c r="AT1873" s="20">
        <v>1700</v>
      </c>
      <c r="AU1873" s="20">
        <v>980.96429443359375</v>
      </c>
      <c r="AV1873" s="20">
        <f t="shared" si="233"/>
        <v>719.03570556640625</v>
      </c>
      <c r="AW1873" s="21">
        <f t="shared" si="239"/>
        <v>0.42296217974494488</v>
      </c>
    </row>
    <row r="1874" spans="1:49" x14ac:dyDescent="0.25">
      <c r="A1874" t="s">
        <v>114</v>
      </c>
      <c r="B1874" t="s">
        <v>115</v>
      </c>
      <c r="C1874">
        <v>122035</v>
      </c>
      <c r="D1874">
        <v>2011</v>
      </c>
      <c r="E1874" t="s">
        <v>119</v>
      </c>
      <c r="F1874" t="s">
        <v>120</v>
      </c>
      <c r="G1874" t="s">
        <v>224</v>
      </c>
      <c r="I1874">
        <v>5</v>
      </c>
      <c r="J1874" t="s">
        <v>72</v>
      </c>
      <c r="K1874">
        <v>4</v>
      </c>
      <c r="L1874" t="s">
        <v>44</v>
      </c>
      <c r="M1874">
        <v>2.5</v>
      </c>
      <c r="N1874" t="s">
        <v>45</v>
      </c>
      <c r="O1874" t="s">
        <v>46</v>
      </c>
      <c r="Q1874" t="s">
        <v>47</v>
      </c>
      <c r="R1874" t="s">
        <v>123</v>
      </c>
      <c r="T1874">
        <v>170</v>
      </c>
      <c r="U1874" t="s">
        <v>50</v>
      </c>
      <c r="X1874" t="s">
        <v>125</v>
      </c>
      <c r="Y1874" t="s">
        <v>126</v>
      </c>
      <c r="AA1874">
        <v>0</v>
      </c>
      <c r="AB1874" t="s">
        <v>79</v>
      </c>
      <c r="AC1874" t="s">
        <v>127</v>
      </c>
      <c r="AD1874">
        <v>36</v>
      </c>
      <c r="AE1874">
        <v>9</v>
      </c>
      <c r="AF1874">
        <v>3</v>
      </c>
      <c r="AG1874">
        <v>2025</v>
      </c>
      <c r="AH1874" s="2">
        <v>3700</v>
      </c>
      <c r="AI1874" s="2">
        <v>1628.235107421875</v>
      </c>
      <c r="AJ1874" s="2">
        <f t="shared" si="234"/>
        <v>2071.764892578125</v>
      </c>
      <c r="AK1874" s="6">
        <f t="shared" si="235"/>
        <v>0.55993645745354725</v>
      </c>
      <c r="AL1874" s="12">
        <v>3700</v>
      </c>
      <c r="AM1874" s="12">
        <v>1572.705807714209</v>
      </c>
      <c r="AN1874" s="12">
        <f t="shared" si="236"/>
        <v>2127.2941922857908</v>
      </c>
      <c r="AO1874" s="13">
        <f t="shared" si="237"/>
        <v>0.57494437629345696</v>
      </c>
      <c r="AP1874" s="16">
        <v>3700</v>
      </c>
      <c r="AQ1874" s="16">
        <v>1338.8869940557479</v>
      </c>
      <c r="AR1874" s="16">
        <f t="shared" si="238"/>
        <v>2361.1130059442521</v>
      </c>
      <c r="AS1874" s="17">
        <f t="shared" si="232"/>
        <v>0.63813865025520322</v>
      </c>
      <c r="AT1874" s="20">
        <v>3700</v>
      </c>
      <c r="AU1874" s="20">
        <v>1629.777099609375</v>
      </c>
      <c r="AV1874" s="20">
        <f t="shared" si="233"/>
        <v>2070.222900390625</v>
      </c>
      <c r="AW1874" s="21">
        <f t="shared" si="239"/>
        <v>0.55951970280827701</v>
      </c>
    </row>
    <row r="1875" spans="1:49" x14ac:dyDescent="0.25">
      <c r="A1875" t="s">
        <v>38</v>
      </c>
      <c r="B1875" t="s">
        <v>110</v>
      </c>
      <c r="C1875">
        <v>106154</v>
      </c>
      <c r="D1875">
        <v>2016</v>
      </c>
      <c r="E1875" t="s">
        <v>345</v>
      </c>
      <c r="F1875" t="s">
        <v>1053</v>
      </c>
      <c r="G1875" t="s">
        <v>586</v>
      </c>
      <c r="H1875" t="s">
        <v>1531</v>
      </c>
      <c r="I1875">
        <v>4</v>
      </c>
      <c r="J1875" t="s">
        <v>72</v>
      </c>
      <c r="K1875">
        <v>4</v>
      </c>
      <c r="L1875" t="s">
        <v>44</v>
      </c>
      <c r="M1875">
        <v>2</v>
      </c>
      <c r="N1875" t="s">
        <v>73</v>
      </c>
      <c r="O1875" t="s">
        <v>100</v>
      </c>
      <c r="Q1875" t="s">
        <v>47</v>
      </c>
      <c r="R1875" t="s">
        <v>123</v>
      </c>
      <c r="T1875">
        <v>181</v>
      </c>
      <c r="U1875" t="s">
        <v>50</v>
      </c>
      <c r="X1875" t="s">
        <v>125</v>
      </c>
      <c r="Y1875" t="s">
        <v>588</v>
      </c>
      <c r="AA1875">
        <v>0</v>
      </c>
      <c r="AB1875" t="s">
        <v>79</v>
      </c>
      <c r="AC1875" t="s">
        <v>127</v>
      </c>
      <c r="AD1875">
        <v>36</v>
      </c>
      <c r="AE1875">
        <v>9</v>
      </c>
      <c r="AF1875">
        <v>3</v>
      </c>
      <c r="AG1875">
        <v>2025</v>
      </c>
      <c r="AH1875" s="2">
        <v>2000</v>
      </c>
      <c r="AI1875" s="2">
        <v>1868.286010742188</v>
      </c>
      <c r="AJ1875" s="2">
        <f t="shared" si="234"/>
        <v>131.71398925781205</v>
      </c>
      <c r="AK1875" s="6">
        <f t="shared" si="235"/>
        <v>6.5856994628906027E-2</v>
      </c>
      <c r="AL1875" s="12">
        <v>2000</v>
      </c>
      <c r="AM1875" s="12">
        <v>2422.4194358952441</v>
      </c>
      <c r="AN1875" s="12">
        <f t="shared" si="236"/>
        <v>422.41943589524408</v>
      </c>
      <c r="AO1875" s="13">
        <f t="shared" si="237"/>
        <v>0.21120971794762203</v>
      </c>
      <c r="AP1875" s="16">
        <v>2000</v>
      </c>
      <c r="AQ1875" s="16">
        <v>2185.296871013607</v>
      </c>
      <c r="AR1875" s="16">
        <f t="shared" si="238"/>
        <v>185.29687101360696</v>
      </c>
      <c r="AS1875" s="17">
        <f t="shared" si="232"/>
        <v>9.2648435506803475E-2</v>
      </c>
      <c r="AT1875" s="20">
        <v>2000</v>
      </c>
      <c r="AU1875" s="20">
        <v>1889.159423828125</v>
      </c>
      <c r="AV1875" s="20">
        <f t="shared" si="233"/>
        <v>110.840576171875</v>
      </c>
      <c r="AW1875" s="21">
        <f t="shared" si="239"/>
        <v>5.5420288085937498E-2</v>
      </c>
    </row>
    <row r="1876" spans="1:49" x14ac:dyDescent="0.25">
      <c r="A1876" t="s">
        <v>128</v>
      </c>
      <c r="B1876" t="s">
        <v>819</v>
      </c>
      <c r="C1876">
        <v>105349</v>
      </c>
      <c r="D1876">
        <v>2022</v>
      </c>
      <c r="E1876" t="s">
        <v>162</v>
      </c>
      <c r="F1876" t="s">
        <v>674</v>
      </c>
      <c r="G1876" t="s">
        <v>118</v>
      </c>
      <c r="I1876">
        <v>4</v>
      </c>
      <c r="J1876" t="s">
        <v>43</v>
      </c>
      <c r="K1876">
        <v>4</v>
      </c>
      <c r="L1876" t="s">
        <v>44</v>
      </c>
      <c r="M1876">
        <v>2.5</v>
      </c>
      <c r="N1876" t="s">
        <v>45</v>
      </c>
      <c r="O1876" t="s">
        <v>46</v>
      </c>
      <c r="P1876">
        <v>4</v>
      </c>
      <c r="Q1876" t="s">
        <v>62</v>
      </c>
      <c r="R1876" t="s">
        <v>63</v>
      </c>
      <c r="S1876" t="s">
        <v>49</v>
      </c>
      <c r="U1876" t="s">
        <v>50</v>
      </c>
      <c r="W1876" t="s">
        <v>911</v>
      </c>
      <c r="X1876" t="s">
        <v>65</v>
      </c>
      <c r="Y1876" t="s">
        <v>66</v>
      </c>
      <c r="AA1876">
        <v>0</v>
      </c>
      <c r="AB1876" t="s">
        <v>79</v>
      </c>
      <c r="AC1876" t="s">
        <v>87</v>
      </c>
      <c r="AD1876">
        <v>36</v>
      </c>
      <c r="AE1876">
        <v>9</v>
      </c>
      <c r="AF1876">
        <v>3</v>
      </c>
      <c r="AG1876">
        <v>2025</v>
      </c>
      <c r="AH1876" s="2">
        <v>15015</v>
      </c>
      <c r="AI1876" s="2">
        <v>14109.4814453125</v>
      </c>
      <c r="AJ1876" s="2">
        <f t="shared" si="234"/>
        <v>905.5185546875</v>
      </c>
      <c r="AK1876" s="6">
        <f t="shared" si="235"/>
        <v>6.030759604978355E-2</v>
      </c>
      <c r="AL1876" s="12">
        <v>15015</v>
      </c>
      <c r="AM1876" s="12">
        <v>13145.91164519234</v>
      </c>
      <c r="AN1876" s="12">
        <f t="shared" si="236"/>
        <v>1869.0883548076599</v>
      </c>
      <c r="AO1876" s="13">
        <f t="shared" si="237"/>
        <v>0.12448140891159906</v>
      </c>
      <c r="AP1876" s="16">
        <v>15015</v>
      </c>
      <c r="AQ1876" s="16">
        <v>11720.5992935453</v>
      </c>
      <c r="AR1876" s="16">
        <f t="shared" si="238"/>
        <v>3294.4007064547004</v>
      </c>
      <c r="AS1876" s="17">
        <f t="shared" si="232"/>
        <v>0.2194073064571895</v>
      </c>
      <c r="AT1876" s="20">
        <v>15015</v>
      </c>
      <c r="AU1876" s="20">
        <v>13831.8369140625</v>
      </c>
      <c r="AV1876" s="20">
        <f t="shared" si="233"/>
        <v>1183.1630859375</v>
      </c>
      <c r="AW1876" s="21">
        <f t="shared" si="239"/>
        <v>7.8798740322177818E-2</v>
      </c>
    </row>
    <row r="1877" spans="1:49" x14ac:dyDescent="0.25">
      <c r="A1877" t="s">
        <v>38</v>
      </c>
      <c r="B1877" t="s">
        <v>538</v>
      </c>
      <c r="C1877">
        <v>49609</v>
      </c>
      <c r="D1877">
        <v>2021</v>
      </c>
      <c r="E1877" t="s">
        <v>69</v>
      </c>
      <c r="F1877" t="s">
        <v>566</v>
      </c>
      <c r="G1877" t="s">
        <v>941</v>
      </c>
      <c r="H1877" t="s">
        <v>942</v>
      </c>
      <c r="I1877">
        <v>6</v>
      </c>
      <c r="J1877" t="s">
        <v>135</v>
      </c>
      <c r="K1877">
        <v>4</v>
      </c>
      <c r="L1877" t="s">
        <v>44</v>
      </c>
      <c r="M1877">
        <v>2.7</v>
      </c>
      <c r="N1877" t="s">
        <v>91</v>
      </c>
      <c r="O1877" t="s">
        <v>46</v>
      </c>
      <c r="Q1877" t="s">
        <v>62</v>
      </c>
      <c r="R1877" t="s">
        <v>63</v>
      </c>
      <c r="S1877" t="s">
        <v>85</v>
      </c>
      <c r="T1877">
        <v>310</v>
      </c>
      <c r="U1877" t="s">
        <v>50</v>
      </c>
      <c r="V1877" t="s">
        <v>76</v>
      </c>
      <c r="X1877" t="s">
        <v>94</v>
      </c>
      <c r="Y1877" t="s">
        <v>78</v>
      </c>
      <c r="AA1877">
        <v>0</v>
      </c>
      <c r="AB1877" t="s">
        <v>79</v>
      </c>
      <c r="AC1877" t="s">
        <v>87</v>
      </c>
      <c r="AD1877">
        <v>36</v>
      </c>
      <c r="AE1877">
        <v>9</v>
      </c>
      <c r="AF1877">
        <v>3</v>
      </c>
      <c r="AG1877">
        <v>2025</v>
      </c>
      <c r="AH1877" s="2">
        <v>50500</v>
      </c>
      <c r="AI1877" s="2">
        <v>29794.5546875</v>
      </c>
      <c r="AJ1877" s="2">
        <f t="shared" si="234"/>
        <v>20705.4453125</v>
      </c>
      <c r="AK1877" s="6">
        <f t="shared" si="235"/>
        <v>0.41000881806930695</v>
      </c>
      <c r="AL1877" s="12">
        <v>50500</v>
      </c>
      <c r="AM1877" s="12">
        <v>33728.528621537873</v>
      </c>
      <c r="AN1877" s="12">
        <f t="shared" si="236"/>
        <v>16771.471378462127</v>
      </c>
      <c r="AO1877" s="13">
        <f t="shared" si="237"/>
        <v>0.33210834412796292</v>
      </c>
      <c r="AP1877" s="16">
        <v>50500</v>
      </c>
      <c r="AQ1877" s="16">
        <v>35149.335413048007</v>
      </c>
      <c r="AR1877" s="16">
        <f t="shared" si="238"/>
        <v>15350.664586951993</v>
      </c>
      <c r="AS1877" s="17">
        <f t="shared" si="232"/>
        <v>0.30397355617726718</v>
      </c>
      <c r="AT1877" s="20">
        <v>50500</v>
      </c>
      <c r="AU1877" s="20">
        <v>30108.537109375</v>
      </c>
      <c r="AV1877" s="20">
        <f t="shared" si="233"/>
        <v>20391.462890625</v>
      </c>
      <c r="AW1877" s="21">
        <f t="shared" si="239"/>
        <v>0.40379134436881187</v>
      </c>
    </row>
    <row r="1878" spans="1:49" x14ac:dyDescent="0.25">
      <c r="A1878" t="s">
        <v>128</v>
      </c>
      <c r="B1878" t="s">
        <v>210</v>
      </c>
      <c r="C1878">
        <v>230305</v>
      </c>
      <c r="D1878">
        <v>1999</v>
      </c>
      <c r="E1878" t="s">
        <v>40</v>
      </c>
      <c r="F1878" t="s">
        <v>149</v>
      </c>
      <c r="G1878" t="s">
        <v>1532</v>
      </c>
      <c r="H1878" t="s">
        <v>1533</v>
      </c>
      <c r="I1878">
        <v>4</v>
      </c>
      <c r="J1878" t="s">
        <v>206</v>
      </c>
      <c r="K1878">
        <v>2</v>
      </c>
      <c r="L1878" t="s">
        <v>44</v>
      </c>
      <c r="M1878">
        <v>2.4</v>
      </c>
      <c r="N1878" t="s">
        <v>73</v>
      </c>
      <c r="O1878" t="s">
        <v>46</v>
      </c>
      <c r="Q1878" t="s">
        <v>74</v>
      </c>
      <c r="R1878" t="s">
        <v>92</v>
      </c>
      <c r="S1878" t="s">
        <v>49</v>
      </c>
      <c r="T1878">
        <v>142</v>
      </c>
      <c r="U1878" t="s">
        <v>50</v>
      </c>
      <c r="V1878" t="s">
        <v>51</v>
      </c>
      <c r="W1878" t="s">
        <v>1534</v>
      </c>
      <c r="X1878" t="s">
        <v>65</v>
      </c>
      <c r="Y1878" t="s">
        <v>78</v>
      </c>
      <c r="AA1878">
        <v>0</v>
      </c>
      <c r="AB1878" t="s">
        <v>79</v>
      </c>
      <c r="AC1878" t="s">
        <v>95</v>
      </c>
      <c r="AD1878">
        <v>36</v>
      </c>
      <c r="AE1878">
        <v>9</v>
      </c>
      <c r="AF1878">
        <v>3</v>
      </c>
      <c r="AG1878">
        <v>2025</v>
      </c>
      <c r="AH1878" s="2">
        <v>1300</v>
      </c>
      <c r="AI1878" s="2">
        <v>1452.651123046875</v>
      </c>
      <c r="AJ1878" s="2">
        <f t="shared" si="234"/>
        <v>152.651123046875</v>
      </c>
      <c r="AK1878" s="6">
        <f t="shared" si="235"/>
        <v>0.11742394080528847</v>
      </c>
      <c r="AL1878" s="12">
        <v>1300</v>
      </c>
      <c r="AM1878" s="12">
        <v>1658.6844290649169</v>
      </c>
      <c r="AN1878" s="12">
        <f t="shared" si="236"/>
        <v>358.68442906491691</v>
      </c>
      <c r="AO1878" s="13">
        <f t="shared" si="237"/>
        <v>0.27591109928070534</v>
      </c>
      <c r="AP1878" s="16">
        <v>1300</v>
      </c>
      <c r="AQ1878" s="16">
        <v>1687.562719302538</v>
      </c>
      <c r="AR1878" s="16">
        <f t="shared" si="238"/>
        <v>387.56271930253797</v>
      </c>
      <c r="AS1878" s="17">
        <f t="shared" si="232"/>
        <v>0.29812516869425998</v>
      </c>
      <c r="AT1878" s="20">
        <v>1300</v>
      </c>
      <c r="AU1878" s="20">
        <v>1452.725219726562</v>
      </c>
      <c r="AV1878" s="20">
        <f t="shared" si="233"/>
        <v>152.72521972656205</v>
      </c>
      <c r="AW1878" s="21">
        <f t="shared" si="239"/>
        <v>0.11748093825120157</v>
      </c>
    </row>
    <row r="1879" spans="1:49" x14ac:dyDescent="0.25">
      <c r="A1879" t="s">
        <v>38</v>
      </c>
      <c r="B1879" t="s">
        <v>110</v>
      </c>
      <c r="C1879">
        <v>154561</v>
      </c>
      <c r="D1879">
        <v>2007</v>
      </c>
      <c r="E1879" t="s">
        <v>166</v>
      </c>
      <c r="F1879" t="s">
        <v>1221</v>
      </c>
      <c r="I1879">
        <v>4</v>
      </c>
      <c r="J1879" t="s">
        <v>43</v>
      </c>
      <c r="K1879">
        <v>4</v>
      </c>
      <c r="L1879" t="s">
        <v>44</v>
      </c>
      <c r="M1879">
        <v>1.5</v>
      </c>
      <c r="N1879" t="s">
        <v>45</v>
      </c>
      <c r="Q1879" t="s">
        <v>47</v>
      </c>
      <c r="R1879" t="s">
        <v>48</v>
      </c>
      <c r="T1879">
        <v>109</v>
      </c>
      <c r="U1879" t="s">
        <v>50</v>
      </c>
      <c r="V1879" t="s">
        <v>51</v>
      </c>
      <c r="W1879" t="s">
        <v>1222</v>
      </c>
      <c r="X1879" t="s">
        <v>53</v>
      </c>
      <c r="Y1879" t="s">
        <v>54</v>
      </c>
      <c r="AA1879">
        <v>0</v>
      </c>
      <c r="AB1879" t="s">
        <v>79</v>
      </c>
      <c r="AC1879" t="s">
        <v>359</v>
      </c>
      <c r="AD1879">
        <v>36</v>
      </c>
      <c r="AE1879">
        <v>9</v>
      </c>
      <c r="AF1879">
        <v>3</v>
      </c>
      <c r="AG1879">
        <v>2025</v>
      </c>
      <c r="AH1879" s="2">
        <v>3200</v>
      </c>
      <c r="AI1879" s="2">
        <v>1618.279663085938</v>
      </c>
      <c r="AJ1879" s="2">
        <f t="shared" si="234"/>
        <v>1581.720336914062</v>
      </c>
      <c r="AK1879" s="6">
        <f t="shared" si="235"/>
        <v>0.49428760528564442</v>
      </c>
      <c r="AL1879" s="12">
        <v>3200</v>
      </c>
      <c r="AM1879" s="12">
        <v>1833.069900312137</v>
      </c>
      <c r="AN1879" s="12">
        <f t="shared" si="236"/>
        <v>1366.930099687863</v>
      </c>
      <c r="AO1879" s="13">
        <f t="shared" si="237"/>
        <v>0.42716565615245722</v>
      </c>
      <c r="AP1879" s="16">
        <v>3200</v>
      </c>
      <c r="AQ1879" s="16">
        <v>1199.2584710990959</v>
      </c>
      <c r="AR1879" s="16">
        <f t="shared" si="238"/>
        <v>2000.7415289009041</v>
      </c>
      <c r="AS1879" s="17">
        <f t="shared" si="232"/>
        <v>0.62523172778153258</v>
      </c>
      <c r="AT1879" s="20">
        <v>3200</v>
      </c>
      <c r="AU1879" s="20">
        <v>1638.917846679688</v>
      </c>
      <c r="AV1879" s="20">
        <f t="shared" si="233"/>
        <v>1561.082153320312</v>
      </c>
      <c r="AW1879" s="21">
        <f t="shared" si="239"/>
        <v>0.48783817291259751</v>
      </c>
    </row>
    <row r="1880" spans="1:49" x14ac:dyDescent="0.25">
      <c r="A1880" t="s">
        <v>38</v>
      </c>
      <c r="B1880" t="s">
        <v>68</v>
      </c>
      <c r="C1880">
        <v>83637</v>
      </c>
      <c r="D1880">
        <v>2021</v>
      </c>
      <c r="E1880" t="s">
        <v>97</v>
      </c>
      <c r="F1880" t="s">
        <v>419</v>
      </c>
      <c r="G1880" t="s">
        <v>797</v>
      </c>
      <c r="I1880">
        <v>8</v>
      </c>
      <c r="J1880" t="s">
        <v>61</v>
      </c>
      <c r="K1880">
        <v>4</v>
      </c>
      <c r="L1880" t="s">
        <v>44</v>
      </c>
      <c r="M1880">
        <v>5.3</v>
      </c>
      <c r="N1880" t="s">
        <v>91</v>
      </c>
      <c r="O1880" t="s">
        <v>46</v>
      </c>
      <c r="Q1880" t="s">
        <v>62</v>
      </c>
      <c r="R1880" t="s">
        <v>63</v>
      </c>
      <c r="S1880" t="s">
        <v>93</v>
      </c>
      <c r="U1880" t="s">
        <v>50</v>
      </c>
      <c r="W1880" t="s">
        <v>339</v>
      </c>
      <c r="X1880" t="s">
        <v>108</v>
      </c>
      <c r="Y1880" t="s">
        <v>78</v>
      </c>
      <c r="AA1880">
        <v>0</v>
      </c>
      <c r="AB1880" t="s">
        <v>79</v>
      </c>
      <c r="AC1880" t="s">
        <v>109</v>
      </c>
      <c r="AD1880">
        <v>36</v>
      </c>
      <c r="AE1880">
        <v>9</v>
      </c>
      <c r="AF1880">
        <v>3</v>
      </c>
      <c r="AG1880">
        <v>2025</v>
      </c>
      <c r="AH1880" s="2">
        <v>40750</v>
      </c>
      <c r="AI1880" s="2">
        <v>39224.73828125</v>
      </c>
      <c r="AJ1880" s="2">
        <f t="shared" si="234"/>
        <v>1525.26171875</v>
      </c>
      <c r="AK1880" s="6">
        <f t="shared" si="235"/>
        <v>3.7429735429447851E-2</v>
      </c>
      <c r="AL1880" s="12">
        <v>40750</v>
      </c>
      <c r="AM1880" s="12">
        <v>39817.400595047468</v>
      </c>
      <c r="AN1880" s="12">
        <f t="shared" si="236"/>
        <v>932.5994049525325</v>
      </c>
      <c r="AO1880" s="13">
        <f t="shared" si="237"/>
        <v>2.2885874968160306E-2</v>
      </c>
      <c r="AP1880" s="16">
        <v>40750</v>
      </c>
      <c r="AQ1880" s="16">
        <v>37904.918803794651</v>
      </c>
      <c r="AR1880" s="16">
        <f t="shared" si="238"/>
        <v>2845.0811962053485</v>
      </c>
      <c r="AS1880" s="17">
        <f t="shared" si="232"/>
        <v>6.981794346516193E-2</v>
      </c>
      <c r="AT1880" s="20">
        <v>40750</v>
      </c>
      <c r="AU1880" s="20">
        <v>39310.08203125</v>
      </c>
      <c r="AV1880" s="20">
        <f t="shared" si="233"/>
        <v>1439.91796875</v>
      </c>
      <c r="AW1880" s="21">
        <f t="shared" si="239"/>
        <v>3.533541027607362E-2</v>
      </c>
    </row>
    <row r="1881" spans="1:49" x14ac:dyDescent="0.25">
      <c r="A1881" t="s">
        <v>38</v>
      </c>
      <c r="B1881" t="s">
        <v>110</v>
      </c>
      <c r="C1881">
        <v>94565</v>
      </c>
      <c r="D1881">
        <v>2016</v>
      </c>
      <c r="E1881" t="s">
        <v>146</v>
      </c>
      <c r="F1881" t="s">
        <v>334</v>
      </c>
      <c r="I1881">
        <v>4</v>
      </c>
      <c r="J1881" t="s">
        <v>43</v>
      </c>
      <c r="K1881">
        <v>4</v>
      </c>
      <c r="L1881" t="s">
        <v>44</v>
      </c>
      <c r="M1881">
        <v>2.5</v>
      </c>
      <c r="N1881" t="s">
        <v>45</v>
      </c>
      <c r="Q1881" t="s">
        <v>47</v>
      </c>
      <c r="R1881" t="s">
        <v>123</v>
      </c>
      <c r="S1881" t="s">
        <v>49</v>
      </c>
      <c r="U1881" t="s">
        <v>50</v>
      </c>
      <c r="V1881" t="s">
        <v>51</v>
      </c>
      <c r="X1881" t="s">
        <v>125</v>
      </c>
      <c r="Y1881" t="s">
        <v>78</v>
      </c>
      <c r="AA1881">
        <v>0</v>
      </c>
      <c r="AB1881" t="s">
        <v>79</v>
      </c>
      <c r="AC1881" t="s">
        <v>127</v>
      </c>
      <c r="AD1881">
        <v>36</v>
      </c>
      <c r="AE1881">
        <v>9</v>
      </c>
      <c r="AF1881">
        <v>3</v>
      </c>
      <c r="AG1881">
        <v>2025</v>
      </c>
      <c r="AH1881" s="2">
        <v>4400</v>
      </c>
      <c r="AI1881" s="2">
        <v>3654.478759765625</v>
      </c>
      <c r="AJ1881" s="2">
        <f t="shared" si="234"/>
        <v>745.521240234375</v>
      </c>
      <c r="AK1881" s="6">
        <f t="shared" si="235"/>
        <v>0.16943664550781251</v>
      </c>
      <c r="AL1881" s="12">
        <v>4400</v>
      </c>
      <c r="AM1881" s="12">
        <v>4376.5071631629298</v>
      </c>
      <c r="AN1881" s="12">
        <f t="shared" si="236"/>
        <v>23.492836837070172</v>
      </c>
      <c r="AO1881" s="13">
        <f t="shared" si="237"/>
        <v>5.3392810993341299E-3</v>
      </c>
      <c r="AP1881" s="16">
        <v>4400</v>
      </c>
      <c r="AQ1881" s="16">
        <v>3756.1676872314501</v>
      </c>
      <c r="AR1881" s="16">
        <f t="shared" si="238"/>
        <v>643.83231276854985</v>
      </c>
      <c r="AS1881" s="17">
        <f t="shared" si="232"/>
        <v>0.14632552562921589</v>
      </c>
      <c r="AT1881" s="20">
        <v>4400</v>
      </c>
      <c r="AU1881" s="20">
        <v>3730.70263671875</v>
      </c>
      <c r="AV1881" s="20">
        <f t="shared" si="233"/>
        <v>669.29736328125</v>
      </c>
      <c r="AW1881" s="21">
        <f t="shared" si="239"/>
        <v>0.15211303710937499</v>
      </c>
    </row>
    <row r="1882" spans="1:49" x14ac:dyDescent="0.25">
      <c r="A1882" t="s">
        <v>38</v>
      </c>
      <c r="B1882" t="s">
        <v>110</v>
      </c>
      <c r="C1882">
        <v>132634</v>
      </c>
      <c r="D1882">
        <v>2019</v>
      </c>
      <c r="E1882" t="s">
        <v>142</v>
      </c>
      <c r="F1882" t="s">
        <v>143</v>
      </c>
      <c r="H1882" t="s">
        <v>816</v>
      </c>
      <c r="I1882">
        <v>4</v>
      </c>
      <c r="J1882" t="s">
        <v>72</v>
      </c>
      <c r="K1882">
        <v>4</v>
      </c>
      <c r="L1882" t="s">
        <v>44</v>
      </c>
      <c r="M1882">
        <v>2.4</v>
      </c>
      <c r="N1882" t="s">
        <v>45</v>
      </c>
      <c r="O1882" t="s">
        <v>46</v>
      </c>
      <c r="P1882">
        <v>1</v>
      </c>
      <c r="Q1882" t="s">
        <v>62</v>
      </c>
      <c r="R1882" t="s">
        <v>63</v>
      </c>
      <c r="S1882" t="s">
        <v>49</v>
      </c>
      <c r="T1882">
        <v>184</v>
      </c>
      <c r="U1882" t="s">
        <v>50</v>
      </c>
      <c r="V1882" t="s">
        <v>51</v>
      </c>
      <c r="X1882" t="s">
        <v>141</v>
      </c>
      <c r="Y1882" t="s">
        <v>78</v>
      </c>
      <c r="Z1882">
        <v>25740</v>
      </c>
      <c r="AA1882">
        <v>0</v>
      </c>
      <c r="AB1882" t="s">
        <v>79</v>
      </c>
      <c r="AC1882" t="s">
        <v>87</v>
      </c>
      <c r="AD1882">
        <v>36</v>
      </c>
      <c r="AE1882">
        <v>9</v>
      </c>
      <c r="AF1882">
        <v>3</v>
      </c>
      <c r="AG1882">
        <v>2025</v>
      </c>
      <c r="AH1882" s="2">
        <v>3500</v>
      </c>
      <c r="AI1882" s="2">
        <v>3497.943359375</v>
      </c>
      <c r="AJ1882" s="2">
        <f t="shared" si="234"/>
        <v>2.056640625</v>
      </c>
      <c r="AK1882" s="6">
        <f t="shared" si="235"/>
        <v>5.8761160714285718E-4</v>
      </c>
      <c r="AL1882" s="12">
        <v>3500</v>
      </c>
      <c r="AM1882" s="12">
        <v>3739.058546558811</v>
      </c>
      <c r="AN1882" s="12">
        <f t="shared" si="236"/>
        <v>239.05854655881103</v>
      </c>
      <c r="AO1882" s="13">
        <f t="shared" si="237"/>
        <v>6.8302441873946004E-2</v>
      </c>
      <c r="AP1882" s="16">
        <v>3500</v>
      </c>
      <c r="AQ1882" s="16">
        <v>3732.9421452069719</v>
      </c>
      <c r="AR1882" s="16">
        <f t="shared" si="238"/>
        <v>232.94214520697187</v>
      </c>
      <c r="AS1882" s="17">
        <f t="shared" si="232"/>
        <v>6.6554898630563394E-2</v>
      </c>
      <c r="AT1882" s="20">
        <v>3500</v>
      </c>
      <c r="AU1882" s="20">
        <v>3549.696533203125</v>
      </c>
      <c r="AV1882" s="20">
        <f t="shared" si="233"/>
        <v>49.696533203125</v>
      </c>
      <c r="AW1882" s="21">
        <f t="shared" si="239"/>
        <v>1.4199009486607142E-2</v>
      </c>
    </row>
    <row r="1883" spans="1:49" x14ac:dyDescent="0.25">
      <c r="A1883" t="s">
        <v>38</v>
      </c>
      <c r="B1883" t="s">
        <v>39</v>
      </c>
      <c r="C1883">
        <v>91818</v>
      </c>
      <c r="D1883">
        <v>2021</v>
      </c>
      <c r="E1883" t="s">
        <v>146</v>
      </c>
      <c r="F1883" t="s">
        <v>565</v>
      </c>
      <c r="G1883" t="s">
        <v>262</v>
      </c>
      <c r="I1883">
        <v>8</v>
      </c>
      <c r="J1883" t="s">
        <v>61</v>
      </c>
      <c r="K1883">
        <v>4</v>
      </c>
      <c r="L1883" t="s">
        <v>44</v>
      </c>
      <c r="M1883">
        <v>5.6</v>
      </c>
      <c r="N1883" t="s">
        <v>91</v>
      </c>
      <c r="O1883" t="s">
        <v>46</v>
      </c>
      <c r="Q1883" t="s">
        <v>74</v>
      </c>
      <c r="R1883" t="s">
        <v>92</v>
      </c>
      <c r="S1883" t="s">
        <v>93</v>
      </c>
      <c r="U1883" t="s">
        <v>50</v>
      </c>
      <c r="X1883" t="s">
        <v>108</v>
      </c>
      <c r="Y1883" t="s">
        <v>78</v>
      </c>
      <c r="AA1883">
        <v>0</v>
      </c>
      <c r="AB1883" t="s">
        <v>79</v>
      </c>
      <c r="AC1883" t="s">
        <v>95</v>
      </c>
      <c r="AD1883">
        <v>36</v>
      </c>
      <c r="AE1883">
        <v>9</v>
      </c>
      <c r="AF1883">
        <v>3</v>
      </c>
      <c r="AG1883">
        <v>2025</v>
      </c>
      <c r="AH1883" s="2">
        <v>25250</v>
      </c>
      <c r="AI1883" s="2">
        <v>24785.736328125</v>
      </c>
      <c r="AJ1883" s="2">
        <f t="shared" si="234"/>
        <v>464.263671875</v>
      </c>
      <c r="AK1883" s="6">
        <f t="shared" si="235"/>
        <v>1.8386680074257426E-2</v>
      </c>
      <c r="AL1883" s="12">
        <v>25250</v>
      </c>
      <c r="AM1883" s="12">
        <v>25787.952416792788</v>
      </c>
      <c r="AN1883" s="12">
        <f t="shared" si="236"/>
        <v>537.95241679278843</v>
      </c>
      <c r="AO1883" s="13">
        <f t="shared" si="237"/>
        <v>2.1305046209615382E-2</v>
      </c>
      <c r="AP1883" s="16">
        <v>25250</v>
      </c>
      <c r="AQ1883" s="16">
        <v>27042.25873319008</v>
      </c>
      <c r="AR1883" s="16">
        <f t="shared" si="238"/>
        <v>1792.2587331900795</v>
      </c>
      <c r="AS1883" s="17">
        <f t="shared" si="232"/>
        <v>7.0980543888716024E-2</v>
      </c>
      <c r="AT1883" s="20">
        <v>25250</v>
      </c>
      <c r="AU1883" s="20">
        <v>24980.974609375</v>
      </c>
      <c r="AV1883" s="20">
        <f t="shared" si="233"/>
        <v>269.025390625</v>
      </c>
      <c r="AW1883" s="21">
        <f t="shared" si="239"/>
        <v>1.0654470915841584E-2</v>
      </c>
    </row>
    <row r="1884" spans="1:49" x14ac:dyDescent="0.25">
      <c r="A1884" t="s">
        <v>38</v>
      </c>
      <c r="B1884" t="s">
        <v>110</v>
      </c>
      <c r="C1884">
        <v>32967</v>
      </c>
      <c r="D1884">
        <v>2019</v>
      </c>
      <c r="E1884" t="s">
        <v>69</v>
      </c>
      <c r="F1884" t="s">
        <v>70</v>
      </c>
      <c r="H1884" t="s">
        <v>351</v>
      </c>
      <c r="I1884">
        <v>6</v>
      </c>
      <c r="J1884" t="s">
        <v>72</v>
      </c>
      <c r="K1884">
        <v>3</v>
      </c>
      <c r="L1884" t="s">
        <v>44</v>
      </c>
      <c r="M1884">
        <v>3.7</v>
      </c>
      <c r="N1884" t="s">
        <v>73</v>
      </c>
      <c r="O1884" t="s">
        <v>46</v>
      </c>
      <c r="P1884">
        <v>3</v>
      </c>
      <c r="Q1884" t="s">
        <v>477</v>
      </c>
      <c r="R1884" t="s">
        <v>80</v>
      </c>
      <c r="S1884" t="s">
        <v>85</v>
      </c>
      <c r="T1884">
        <v>275</v>
      </c>
      <c r="U1884" t="s">
        <v>50</v>
      </c>
      <c r="V1884" t="s">
        <v>76</v>
      </c>
      <c r="X1884" t="s">
        <v>77</v>
      </c>
      <c r="Y1884" t="s">
        <v>78</v>
      </c>
      <c r="AA1884">
        <v>0</v>
      </c>
      <c r="AB1884" t="s">
        <v>79</v>
      </c>
      <c r="AC1884" t="s">
        <v>80</v>
      </c>
      <c r="AD1884">
        <v>36</v>
      </c>
      <c r="AE1884">
        <v>9</v>
      </c>
      <c r="AF1884">
        <v>3</v>
      </c>
      <c r="AG1884">
        <v>2025</v>
      </c>
      <c r="AH1884" s="2">
        <v>22000</v>
      </c>
      <c r="AI1884" s="2">
        <v>19702.484375</v>
      </c>
      <c r="AJ1884" s="2">
        <f t="shared" si="234"/>
        <v>2297.515625</v>
      </c>
      <c r="AK1884" s="6">
        <f t="shared" si="235"/>
        <v>0.10443252840909091</v>
      </c>
      <c r="AL1884" s="12">
        <v>22000</v>
      </c>
      <c r="AM1884" s="12">
        <v>25900.019381125061</v>
      </c>
      <c r="AN1884" s="12">
        <f t="shared" si="236"/>
        <v>3900.019381125061</v>
      </c>
      <c r="AO1884" s="13">
        <f t="shared" si="237"/>
        <v>0.17727360823295732</v>
      </c>
      <c r="AP1884" s="16">
        <v>22000</v>
      </c>
      <c r="AQ1884" s="16">
        <v>23372.172157596331</v>
      </c>
      <c r="AR1884" s="16">
        <f t="shared" si="238"/>
        <v>1372.1721575963311</v>
      </c>
      <c r="AS1884" s="17">
        <f t="shared" si="232"/>
        <v>6.2371461708924138E-2</v>
      </c>
      <c r="AT1884" s="20">
        <v>22000</v>
      </c>
      <c r="AU1884" s="20">
        <v>20456.162109375</v>
      </c>
      <c r="AV1884" s="20">
        <f t="shared" si="233"/>
        <v>1543.837890625</v>
      </c>
      <c r="AW1884" s="21">
        <f t="shared" si="239"/>
        <v>7.0174449573863637E-2</v>
      </c>
    </row>
    <row r="1885" spans="1:49" x14ac:dyDescent="0.25">
      <c r="A1885" t="s">
        <v>38</v>
      </c>
      <c r="B1885" t="s">
        <v>39</v>
      </c>
      <c r="C1885">
        <v>115745</v>
      </c>
      <c r="D1885">
        <v>2014</v>
      </c>
      <c r="E1885" t="s">
        <v>58</v>
      </c>
      <c r="F1885" t="s">
        <v>243</v>
      </c>
      <c r="G1885" t="s">
        <v>240</v>
      </c>
      <c r="I1885">
        <v>4</v>
      </c>
      <c r="J1885" t="s">
        <v>61</v>
      </c>
      <c r="K1885">
        <v>4</v>
      </c>
      <c r="L1885" t="s">
        <v>44</v>
      </c>
      <c r="M1885">
        <v>1.8</v>
      </c>
      <c r="N1885" t="s">
        <v>45</v>
      </c>
      <c r="O1885" t="s">
        <v>46</v>
      </c>
      <c r="Q1885" t="s">
        <v>47</v>
      </c>
      <c r="R1885" t="s">
        <v>123</v>
      </c>
      <c r="U1885" t="s">
        <v>50</v>
      </c>
      <c r="X1885" t="s">
        <v>125</v>
      </c>
      <c r="Y1885" t="s">
        <v>66</v>
      </c>
      <c r="AA1885">
        <v>0</v>
      </c>
      <c r="AB1885" t="s">
        <v>79</v>
      </c>
      <c r="AC1885" t="s">
        <v>127</v>
      </c>
      <c r="AD1885">
        <v>36</v>
      </c>
      <c r="AE1885">
        <v>9</v>
      </c>
      <c r="AF1885">
        <v>3</v>
      </c>
      <c r="AG1885">
        <v>2025</v>
      </c>
      <c r="AH1885" s="2">
        <v>1300</v>
      </c>
      <c r="AI1885" s="2">
        <v>2427.468994140625</v>
      </c>
      <c r="AJ1885" s="2">
        <f t="shared" si="234"/>
        <v>1127.468994140625</v>
      </c>
      <c r="AK1885" s="6">
        <f t="shared" si="235"/>
        <v>0.86728384164663463</v>
      </c>
      <c r="AL1885" s="12">
        <v>1300</v>
      </c>
      <c r="AM1885" s="12">
        <v>2365.8619774784138</v>
      </c>
      <c r="AN1885" s="12">
        <f t="shared" si="236"/>
        <v>1065.8619774784138</v>
      </c>
      <c r="AO1885" s="13">
        <f t="shared" si="237"/>
        <v>0.81989382882954909</v>
      </c>
      <c r="AP1885" s="16">
        <v>1300</v>
      </c>
      <c r="AQ1885" s="16">
        <v>2160.7902088189121</v>
      </c>
      <c r="AR1885" s="16">
        <f t="shared" si="238"/>
        <v>860.79020881891211</v>
      </c>
      <c r="AS1885" s="17">
        <f t="shared" si="232"/>
        <v>0.66214631447608618</v>
      </c>
      <c r="AT1885" s="20">
        <v>1300</v>
      </c>
      <c r="AU1885" s="20">
        <v>2448.764404296875</v>
      </c>
      <c r="AV1885" s="20">
        <f t="shared" si="233"/>
        <v>1148.764404296875</v>
      </c>
      <c r="AW1885" s="21">
        <f t="shared" si="239"/>
        <v>0.8836649263822115</v>
      </c>
    </row>
    <row r="1886" spans="1:49" x14ac:dyDescent="0.25">
      <c r="A1886" t="s">
        <v>81</v>
      </c>
      <c r="B1886" t="s">
        <v>82</v>
      </c>
      <c r="C1886">
        <v>241306</v>
      </c>
      <c r="D1886">
        <v>2015</v>
      </c>
      <c r="E1886" t="s">
        <v>213</v>
      </c>
      <c r="F1886" t="s">
        <v>527</v>
      </c>
      <c r="I1886">
        <v>6</v>
      </c>
      <c r="J1886" t="s">
        <v>61</v>
      </c>
      <c r="K1886">
        <v>4</v>
      </c>
      <c r="L1886" t="s">
        <v>44</v>
      </c>
      <c r="M1886">
        <v>3.7</v>
      </c>
      <c r="N1886" t="s">
        <v>44</v>
      </c>
      <c r="O1886" t="s">
        <v>46</v>
      </c>
      <c r="Q1886" t="s">
        <v>47</v>
      </c>
      <c r="R1886" t="s">
        <v>123</v>
      </c>
      <c r="S1886" t="s">
        <v>85</v>
      </c>
      <c r="U1886" t="s">
        <v>50</v>
      </c>
      <c r="X1886" t="s">
        <v>125</v>
      </c>
      <c r="Y1886" t="s">
        <v>54</v>
      </c>
      <c r="AA1886">
        <v>0</v>
      </c>
      <c r="AB1886" t="s">
        <v>79</v>
      </c>
      <c r="AC1886" t="s">
        <v>127</v>
      </c>
      <c r="AD1886">
        <v>36</v>
      </c>
      <c r="AE1886">
        <v>9</v>
      </c>
      <c r="AF1886">
        <v>3</v>
      </c>
      <c r="AG1886">
        <v>2025</v>
      </c>
      <c r="AH1886" s="2">
        <v>2500</v>
      </c>
      <c r="AI1886" s="2">
        <v>1637.801635742188</v>
      </c>
      <c r="AJ1886" s="2">
        <f t="shared" si="234"/>
        <v>862.19836425781205</v>
      </c>
      <c r="AK1886" s="6">
        <f t="shared" si="235"/>
        <v>0.34487934570312484</v>
      </c>
      <c r="AL1886" s="12">
        <v>2500</v>
      </c>
      <c r="AM1886" s="12">
        <v>1901.317601573516</v>
      </c>
      <c r="AN1886" s="12">
        <f t="shared" si="236"/>
        <v>598.68239842648404</v>
      </c>
      <c r="AO1886" s="13">
        <f t="shared" si="237"/>
        <v>0.23947295937059362</v>
      </c>
      <c r="AP1886" s="16">
        <v>2500</v>
      </c>
      <c r="AQ1886" s="16">
        <v>1754.2928816019321</v>
      </c>
      <c r="AR1886" s="16">
        <f t="shared" si="238"/>
        <v>745.70711839806791</v>
      </c>
      <c r="AS1886" s="17">
        <f t="shared" si="232"/>
        <v>0.29828284735922717</v>
      </c>
      <c r="AT1886" s="20">
        <v>2500</v>
      </c>
      <c r="AU1886" s="20">
        <v>1638.917846679688</v>
      </c>
      <c r="AV1886" s="20">
        <f t="shared" si="233"/>
        <v>861.08215332031205</v>
      </c>
      <c r="AW1886" s="21">
        <f t="shared" si="239"/>
        <v>0.34443286132812484</v>
      </c>
    </row>
    <row r="1887" spans="1:49" x14ac:dyDescent="0.25">
      <c r="A1887" t="s">
        <v>128</v>
      </c>
      <c r="B1887" t="s">
        <v>210</v>
      </c>
      <c r="C1887">
        <v>94356</v>
      </c>
      <c r="D1887">
        <v>2013</v>
      </c>
      <c r="E1887" t="s">
        <v>213</v>
      </c>
      <c r="F1887" t="s">
        <v>296</v>
      </c>
      <c r="I1887">
        <v>6</v>
      </c>
      <c r="J1887" t="s">
        <v>135</v>
      </c>
      <c r="K1887">
        <v>4</v>
      </c>
      <c r="L1887" t="s">
        <v>44</v>
      </c>
      <c r="M1887">
        <v>3.7</v>
      </c>
      <c r="N1887" t="s">
        <v>44</v>
      </c>
      <c r="O1887" t="s">
        <v>46</v>
      </c>
      <c r="Q1887" t="s">
        <v>47</v>
      </c>
      <c r="R1887" t="s">
        <v>123</v>
      </c>
      <c r="S1887" t="s">
        <v>93</v>
      </c>
      <c r="U1887" t="s">
        <v>50</v>
      </c>
      <c r="V1887" t="s">
        <v>76</v>
      </c>
      <c r="X1887" t="s">
        <v>125</v>
      </c>
      <c r="Y1887" t="s">
        <v>54</v>
      </c>
      <c r="AA1887">
        <v>0</v>
      </c>
      <c r="AB1887" t="s">
        <v>79</v>
      </c>
      <c r="AC1887" t="s">
        <v>127</v>
      </c>
      <c r="AD1887">
        <v>36</v>
      </c>
      <c r="AE1887">
        <v>9</v>
      </c>
      <c r="AF1887">
        <v>3</v>
      </c>
      <c r="AG1887">
        <v>2025</v>
      </c>
      <c r="AH1887" s="2">
        <v>3200</v>
      </c>
      <c r="AI1887" s="2">
        <v>5567.52001953125</v>
      </c>
      <c r="AJ1887" s="2">
        <f t="shared" si="234"/>
        <v>2367.52001953125</v>
      </c>
      <c r="AK1887" s="6">
        <f t="shared" si="235"/>
        <v>0.73985000610351559</v>
      </c>
      <c r="AL1887" s="12">
        <v>3200</v>
      </c>
      <c r="AM1887" s="12">
        <v>6251.8148683452328</v>
      </c>
      <c r="AN1887" s="12">
        <f t="shared" si="236"/>
        <v>3051.8148683452328</v>
      </c>
      <c r="AO1887" s="13">
        <f t="shared" si="237"/>
        <v>0.95369214635788524</v>
      </c>
      <c r="AP1887" s="16">
        <v>3200</v>
      </c>
      <c r="AQ1887" s="16">
        <v>5462.4751703606798</v>
      </c>
      <c r="AR1887" s="16">
        <f t="shared" si="238"/>
        <v>2262.4751703606798</v>
      </c>
      <c r="AS1887" s="17">
        <f t="shared" si="232"/>
        <v>0.70702349073771242</v>
      </c>
      <c r="AT1887" s="20">
        <v>3200</v>
      </c>
      <c r="AU1887" s="20">
        <v>5722.3984375</v>
      </c>
      <c r="AV1887" s="20">
        <f t="shared" si="233"/>
        <v>2522.3984375</v>
      </c>
      <c r="AW1887" s="21">
        <f t="shared" si="239"/>
        <v>0.78824951171875002</v>
      </c>
    </row>
    <row r="1888" spans="1:49" x14ac:dyDescent="0.25">
      <c r="A1888" t="s">
        <v>81</v>
      </c>
      <c r="B1888" t="s">
        <v>82</v>
      </c>
      <c r="C1888">
        <v>174119</v>
      </c>
      <c r="D1888">
        <v>2012</v>
      </c>
      <c r="E1888" t="s">
        <v>166</v>
      </c>
      <c r="F1888" t="s">
        <v>223</v>
      </c>
      <c r="G1888" t="s">
        <v>1511</v>
      </c>
      <c r="I1888">
        <v>6</v>
      </c>
      <c r="J1888" t="s">
        <v>135</v>
      </c>
      <c r="K1888">
        <v>4</v>
      </c>
      <c r="L1888" t="s">
        <v>44</v>
      </c>
      <c r="M1888">
        <v>3.5</v>
      </c>
      <c r="N1888" t="s">
        <v>45</v>
      </c>
      <c r="O1888" t="s">
        <v>46</v>
      </c>
      <c r="Q1888" t="s">
        <v>62</v>
      </c>
      <c r="R1888" t="s">
        <v>225</v>
      </c>
      <c r="T1888">
        <v>248</v>
      </c>
      <c r="U1888" t="s">
        <v>50</v>
      </c>
      <c r="V1888" t="s">
        <v>76</v>
      </c>
      <c r="W1888" t="s">
        <v>226</v>
      </c>
      <c r="X1888" t="s">
        <v>94</v>
      </c>
      <c r="Y1888" t="s">
        <v>78</v>
      </c>
      <c r="AA1888">
        <v>0</v>
      </c>
      <c r="AB1888" t="s">
        <v>79</v>
      </c>
      <c r="AC1888" t="s">
        <v>225</v>
      </c>
      <c r="AD1888">
        <v>36</v>
      </c>
      <c r="AE1888">
        <v>9</v>
      </c>
      <c r="AF1888">
        <v>3</v>
      </c>
      <c r="AG1888">
        <v>2025</v>
      </c>
      <c r="AH1888" s="2">
        <v>3000</v>
      </c>
      <c r="AI1888" s="2">
        <v>2915.623291015625</v>
      </c>
      <c r="AJ1888" s="2">
        <f t="shared" si="234"/>
        <v>84.376708984375</v>
      </c>
      <c r="AK1888" s="6">
        <f t="shared" si="235"/>
        <v>2.8125569661458332E-2</v>
      </c>
      <c r="AL1888" s="12">
        <v>3000</v>
      </c>
      <c r="AM1888" s="12">
        <v>2595.338717231406</v>
      </c>
      <c r="AN1888" s="12">
        <f t="shared" si="236"/>
        <v>404.66128276859399</v>
      </c>
      <c r="AO1888" s="13">
        <f t="shared" si="237"/>
        <v>0.13488709425619799</v>
      </c>
      <c r="AP1888" s="16">
        <v>3000</v>
      </c>
      <c r="AQ1888" s="16">
        <v>2118.9675733889699</v>
      </c>
      <c r="AR1888" s="16">
        <f t="shared" si="238"/>
        <v>881.03242661103013</v>
      </c>
      <c r="AS1888" s="17">
        <f t="shared" si="232"/>
        <v>0.29367747553701007</v>
      </c>
      <c r="AT1888" s="20">
        <v>3000</v>
      </c>
      <c r="AU1888" s="20">
        <v>2906.759765625</v>
      </c>
      <c r="AV1888" s="20">
        <f t="shared" si="233"/>
        <v>93.240234375</v>
      </c>
      <c r="AW1888" s="21">
        <f t="shared" si="239"/>
        <v>3.1080078125E-2</v>
      </c>
    </row>
    <row r="1889" spans="1:49" x14ac:dyDescent="0.25">
      <c r="A1889" t="s">
        <v>38</v>
      </c>
      <c r="B1889" t="s">
        <v>96</v>
      </c>
      <c r="C1889">
        <v>145678</v>
      </c>
      <c r="D1889">
        <v>2013</v>
      </c>
      <c r="E1889" t="s">
        <v>88</v>
      </c>
      <c r="F1889" t="s">
        <v>89</v>
      </c>
      <c r="G1889" t="s">
        <v>956</v>
      </c>
      <c r="I1889">
        <v>8</v>
      </c>
      <c r="J1889" t="s">
        <v>106</v>
      </c>
      <c r="K1889">
        <v>4</v>
      </c>
      <c r="L1889" t="s">
        <v>44</v>
      </c>
      <c r="M1889">
        <v>5.7</v>
      </c>
      <c r="N1889" t="s">
        <v>73</v>
      </c>
      <c r="O1889" t="s">
        <v>190</v>
      </c>
      <c r="P1889">
        <v>2</v>
      </c>
      <c r="Q1889" t="s">
        <v>74</v>
      </c>
      <c r="R1889" t="s">
        <v>92</v>
      </c>
      <c r="S1889" t="s">
        <v>49</v>
      </c>
      <c r="U1889" t="s">
        <v>50</v>
      </c>
      <c r="X1889" t="s">
        <v>94</v>
      </c>
      <c r="Y1889" t="s">
        <v>78</v>
      </c>
      <c r="AA1889">
        <v>0</v>
      </c>
      <c r="AB1889" t="s">
        <v>79</v>
      </c>
      <c r="AC1889" t="s">
        <v>95</v>
      </c>
      <c r="AD1889">
        <v>36</v>
      </c>
      <c r="AE1889">
        <v>9</v>
      </c>
      <c r="AF1889">
        <v>3</v>
      </c>
      <c r="AG1889">
        <v>2025</v>
      </c>
      <c r="AH1889" s="2">
        <v>4000</v>
      </c>
      <c r="AI1889" s="2">
        <v>3010.107421875</v>
      </c>
      <c r="AJ1889" s="2">
        <f t="shared" si="234"/>
        <v>989.892578125</v>
      </c>
      <c r="AK1889" s="6">
        <f t="shared" si="235"/>
        <v>0.24747314453124999</v>
      </c>
      <c r="AL1889" s="12">
        <v>4000</v>
      </c>
      <c r="AM1889" s="12">
        <v>2223.3956994591699</v>
      </c>
      <c r="AN1889" s="12">
        <f t="shared" si="236"/>
        <v>1776.6043005408301</v>
      </c>
      <c r="AO1889" s="13">
        <f t="shared" si="237"/>
        <v>0.44415107513520752</v>
      </c>
      <c r="AP1889" s="16">
        <v>4000</v>
      </c>
      <c r="AQ1889" s="16">
        <v>2822.9929587011388</v>
      </c>
      <c r="AR1889" s="16">
        <f t="shared" si="238"/>
        <v>1177.0070412988612</v>
      </c>
      <c r="AS1889" s="17">
        <f t="shared" si="232"/>
        <v>0.29425176032471528</v>
      </c>
      <c r="AT1889" s="20">
        <v>4000</v>
      </c>
      <c r="AU1889" s="20">
        <v>2963.67041015625</v>
      </c>
      <c r="AV1889" s="20">
        <f t="shared" si="233"/>
        <v>1036.32958984375</v>
      </c>
      <c r="AW1889" s="21">
        <f t="shared" si="239"/>
        <v>0.25908239746093747</v>
      </c>
    </row>
    <row r="1890" spans="1:49" x14ac:dyDescent="0.25">
      <c r="A1890" t="s">
        <v>81</v>
      </c>
      <c r="B1890" t="s">
        <v>82</v>
      </c>
      <c r="C1890">
        <v>140924</v>
      </c>
      <c r="D1890">
        <v>2015</v>
      </c>
      <c r="E1890" t="s">
        <v>464</v>
      </c>
      <c r="F1890" t="s">
        <v>465</v>
      </c>
      <c r="G1890" t="s">
        <v>1535</v>
      </c>
      <c r="I1890">
        <v>4</v>
      </c>
      <c r="J1890" t="s">
        <v>61</v>
      </c>
      <c r="K1890">
        <v>4</v>
      </c>
      <c r="L1890" t="s">
        <v>44</v>
      </c>
      <c r="M1890">
        <v>2</v>
      </c>
      <c r="N1890" t="s">
        <v>91</v>
      </c>
      <c r="O1890" t="s">
        <v>46</v>
      </c>
      <c r="Q1890" t="s">
        <v>62</v>
      </c>
      <c r="R1890" t="s">
        <v>63</v>
      </c>
      <c r="T1890">
        <v>240</v>
      </c>
      <c r="U1890" t="s">
        <v>50</v>
      </c>
      <c r="V1890" t="s">
        <v>51</v>
      </c>
      <c r="W1890" t="s">
        <v>1536</v>
      </c>
      <c r="X1890" t="s">
        <v>141</v>
      </c>
      <c r="Y1890" t="s">
        <v>467</v>
      </c>
      <c r="AA1890">
        <v>0</v>
      </c>
      <c r="AB1890" t="s">
        <v>79</v>
      </c>
      <c r="AC1890" t="s">
        <v>87</v>
      </c>
      <c r="AD1890">
        <v>36</v>
      </c>
      <c r="AE1890">
        <v>9</v>
      </c>
      <c r="AF1890">
        <v>3</v>
      </c>
      <c r="AG1890">
        <v>2025</v>
      </c>
      <c r="AH1890" s="2">
        <v>6200</v>
      </c>
      <c r="AI1890" s="2">
        <v>3974.378173828125</v>
      </c>
      <c r="AJ1890" s="2">
        <f t="shared" si="234"/>
        <v>2225.621826171875</v>
      </c>
      <c r="AK1890" s="6">
        <f t="shared" si="235"/>
        <v>0.3589712622857863</v>
      </c>
      <c r="AL1890" s="12">
        <v>6200</v>
      </c>
      <c r="AM1890" s="12">
        <v>3648.5209433410828</v>
      </c>
      <c r="AN1890" s="12">
        <f t="shared" si="236"/>
        <v>2551.4790566589172</v>
      </c>
      <c r="AO1890" s="13">
        <f t="shared" si="237"/>
        <v>0.41152888010627697</v>
      </c>
      <c r="AP1890" s="16">
        <v>6200</v>
      </c>
      <c r="AQ1890" s="16">
        <v>3274.5549845789178</v>
      </c>
      <c r="AR1890" s="16">
        <f t="shared" si="238"/>
        <v>2925.4450154210822</v>
      </c>
      <c r="AS1890" s="17">
        <f t="shared" si="232"/>
        <v>0.47184597022920682</v>
      </c>
      <c r="AT1890" s="20">
        <v>6200</v>
      </c>
      <c r="AU1890" s="20">
        <v>3959.820068359375</v>
      </c>
      <c r="AV1890" s="20">
        <f t="shared" si="233"/>
        <v>2240.179931640625</v>
      </c>
      <c r="AW1890" s="21">
        <f t="shared" si="239"/>
        <v>0.36131934381300401</v>
      </c>
    </row>
    <row r="1891" spans="1:49" x14ac:dyDescent="0.25">
      <c r="A1891" t="s">
        <v>38</v>
      </c>
      <c r="B1891" t="s">
        <v>96</v>
      </c>
      <c r="C1891">
        <v>95630</v>
      </c>
      <c r="D1891">
        <v>2019</v>
      </c>
      <c r="E1891" t="s">
        <v>345</v>
      </c>
      <c r="F1891" t="s">
        <v>1037</v>
      </c>
      <c r="G1891" t="s">
        <v>1450</v>
      </c>
      <c r="I1891">
        <v>4</v>
      </c>
      <c r="J1891" t="s">
        <v>61</v>
      </c>
      <c r="K1891">
        <v>4</v>
      </c>
      <c r="L1891" t="s">
        <v>44</v>
      </c>
      <c r="M1891">
        <v>2</v>
      </c>
      <c r="N1891" t="s">
        <v>44</v>
      </c>
      <c r="O1891" t="s">
        <v>100</v>
      </c>
      <c r="P1891">
        <v>3</v>
      </c>
      <c r="Q1891" t="s">
        <v>62</v>
      </c>
      <c r="R1891" t="s">
        <v>63</v>
      </c>
      <c r="S1891" t="s">
        <v>85</v>
      </c>
      <c r="T1891">
        <v>228</v>
      </c>
      <c r="U1891" t="s">
        <v>50</v>
      </c>
      <c r="X1891" t="s">
        <v>65</v>
      </c>
      <c r="Y1891" t="s">
        <v>137</v>
      </c>
      <c r="AA1891">
        <v>0</v>
      </c>
      <c r="AB1891" t="s">
        <v>79</v>
      </c>
      <c r="AC1891" t="s">
        <v>87</v>
      </c>
      <c r="AD1891">
        <v>36</v>
      </c>
      <c r="AE1891">
        <v>9</v>
      </c>
      <c r="AF1891">
        <v>3</v>
      </c>
      <c r="AG1891">
        <v>2025</v>
      </c>
      <c r="AH1891" s="2">
        <v>5000</v>
      </c>
      <c r="AI1891" s="2">
        <v>5781.62451171875</v>
      </c>
      <c r="AJ1891" s="2">
        <f t="shared" si="234"/>
        <v>781.62451171875</v>
      </c>
      <c r="AK1891" s="6">
        <f t="shared" si="235"/>
        <v>0.15632490234374999</v>
      </c>
      <c r="AL1891" s="12">
        <v>5000</v>
      </c>
      <c r="AM1891" s="12">
        <v>5630.9158291401773</v>
      </c>
      <c r="AN1891" s="12">
        <f t="shared" si="236"/>
        <v>630.91582914017727</v>
      </c>
      <c r="AO1891" s="13">
        <f t="shared" si="237"/>
        <v>0.12618316582803546</v>
      </c>
      <c r="AP1891" s="16">
        <v>5000</v>
      </c>
      <c r="AQ1891" s="16">
        <v>5237.160932757246</v>
      </c>
      <c r="AR1891" s="16">
        <f t="shared" si="238"/>
        <v>237.16093275724597</v>
      </c>
      <c r="AS1891" s="17">
        <f t="shared" si="232"/>
        <v>4.7432186551449193E-2</v>
      </c>
      <c r="AT1891" s="20">
        <v>5000</v>
      </c>
      <c r="AU1891" s="20">
        <v>5851.373046875</v>
      </c>
      <c r="AV1891" s="20">
        <f t="shared" si="233"/>
        <v>851.373046875</v>
      </c>
      <c r="AW1891" s="21">
        <f t="shared" si="239"/>
        <v>0.170274609375</v>
      </c>
    </row>
    <row r="1892" spans="1:49" x14ac:dyDescent="0.25">
      <c r="A1892" t="s">
        <v>38</v>
      </c>
      <c r="B1892" t="s">
        <v>96</v>
      </c>
      <c r="C1892">
        <v>174363</v>
      </c>
      <c r="D1892">
        <v>2015</v>
      </c>
      <c r="E1892" t="s">
        <v>116</v>
      </c>
      <c r="F1892" t="s">
        <v>237</v>
      </c>
      <c r="G1892" t="s">
        <v>224</v>
      </c>
      <c r="I1892">
        <v>6</v>
      </c>
      <c r="J1892" t="s">
        <v>106</v>
      </c>
      <c r="K1892">
        <v>4</v>
      </c>
      <c r="L1892" t="s">
        <v>44</v>
      </c>
      <c r="M1892">
        <v>3.6</v>
      </c>
      <c r="N1892" t="s">
        <v>73</v>
      </c>
      <c r="O1892" t="s">
        <v>46</v>
      </c>
      <c r="P1892">
        <v>2</v>
      </c>
      <c r="Q1892" t="s">
        <v>47</v>
      </c>
      <c r="R1892" t="s">
        <v>123</v>
      </c>
      <c r="S1892" t="s">
        <v>179</v>
      </c>
      <c r="T1892">
        <v>292</v>
      </c>
      <c r="U1892" t="s">
        <v>50</v>
      </c>
      <c r="V1892" t="s">
        <v>76</v>
      </c>
      <c r="X1892" t="s">
        <v>125</v>
      </c>
      <c r="Y1892" t="s">
        <v>103</v>
      </c>
      <c r="AA1892">
        <v>0</v>
      </c>
      <c r="AB1892" t="s">
        <v>79</v>
      </c>
      <c r="AC1892" t="s">
        <v>127</v>
      </c>
      <c r="AD1892">
        <v>36</v>
      </c>
      <c r="AE1892">
        <v>9</v>
      </c>
      <c r="AF1892">
        <v>3</v>
      </c>
      <c r="AG1892">
        <v>2025</v>
      </c>
      <c r="AH1892" s="2">
        <v>4000</v>
      </c>
      <c r="AI1892" s="2">
        <v>2545.751953125</v>
      </c>
      <c r="AJ1892" s="2">
        <f t="shared" si="234"/>
        <v>1454.248046875</v>
      </c>
      <c r="AK1892" s="6">
        <f t="shared" si="235"/>
        <v>0.36356201171875002</v>
      </c>
      <c r="AL1892" s="12">
        <v>4000</v>
      </c>
      <c r="AM1892" s="12">
        <v>2838.5286721225011</v>
      </c>
      <c r="AN1892" s="12">
        <f t="shared" si="236"/>
        <v>1161.4713278774989</v>
      </c>
      <c r="AO1892" s="13">
        <f t="shared" si="237"/>
        <v>0.29036783196937471</v>
      </c>
      <c r="AP1892" s="16">
        <v>4000</v>
      </c>
      <c r="AQ1892" s="16">
        <v>2685.6288449092181</v>
      </c>
      <c r="AR1892" s="16">
        <f t="shared" si="238"/>
        <v>1314.3711550907819</v>
      </c>
      <c r="AS1892" s="17">
        <f t="shared" si="232"/>
        <v>0.32859278877269549</v>
      </c>
      <c r="AT1892" s="20">
        <v>4000</v>
      </c>
      <c r="AU1892" s="20">
        <v>2540.00830078125</v>
      </c>
      <c r="AV1892" s="20">
        <f t="shared" si="233"/>
        <v>1459.99169921875</v>
      </c>
      <c r="AW1892" s="21">
        <f t="shared" si="239"/>
        <v>0.36499792480468751</v>
      </c>
    </row>
    <row r="1893" spans="1:49" x14ac:dyDescent="0.25">
      <c r="A1893" t="s">
        <v>81</v>
      </c>
      <c r="B1893" t="s">
        <v>82</v>
      </c>
      <c r="C1893">
        <v>119419</v>
      </c>
      <c r="D1893">
        <v>2013</v>
      </c>
      <c r="E1893" t="s">
        <v>146</v>
      </c>
      <c r="F1893" t="s">
        <v>451</v>
      </c>
      <c r="I1893">
        <v>4</v>
      </c>
      <c r="J1893" t="s">
        <v>106</v>
      </c>
      <c r="K1893">
        <v>4</v>
      </c>
      <c r="L1893" t="s">
        <v>44</v>
      </c>
      <c r="M1893">
        <v>1.6</v>
      </c>
      <c r="N1893" t="s">
        <v>45</v>
      </c>
      <c r="O1893" t="s">
        <v>46</v>
      </c>
      <c r="Q1893" t="s">
        <v>47</v>
      </c>
      <c r="R1893" t="s">
        <v>123</v>
      </c>
      <c r="S1893" t="s">
        <v>49</v>
      </c>
      <c r="U1893" t="s">
        <v>50</v>
      </c>
      <c r="X1893" t="s">
        <v>125</v>
      </c>
      <c r="Y1893" t="s">
        <v>126</v>
      </c>
      <c r="AA1893">
        <v>0</v>
      </c>
      <c r="AB1893" t="s">
        <v>79</v>
      </c>
      <c r="AC1893" t="s">
        <v>127</v>
      </c>
      <c r="AD1893">
        <v>36</v>
      </c>
      <c r="AE1893">
        <v>9</v>
      </c>
      <c r="AF1893">
        <v>3</v>
      </c>
      <c r="AG1893">
        <v>2025</v>
      </c>
      <c r="AH1893" s="2">
        <v>800</v>
      </c>
      <c r="AI1893" s="2">
        <v>849.8922119140625</v>
      </c>
      <c r="AJ1893" s="2">
        <f t="shared" si="234"/>
        <v>49.8922119140625</v>
      </c>
      <c r="AK1893" s="6">
        <f t="shared" si="235"/>
        <v>6.2365264892578126E-2</v>
      </c>
      <c r="AL1893" s="12">
        <v>800</v>
      </c>
      <c r="AM1893" s="12">
        <v>1514.1164431445741</v>
      </c>
      <c r="AN1893" s="12">
        <f t="shared" si="236"/>
        <v>714.11644314457408</v>
      </c>
      <c r="AO1893" s="13">
        <f t="shared" si="237"/>
        <v>0.89264555393071765</v>
      </c>
      <c r="AP1893" s="16">
        <v>800</v>
      </c>
      <c r="AQ1893" s="16">
        <v>1189.6868687838951</v>
      </c>
      <c r="AR1893" s="16">
        <f t="shared" si="238"/>
        <v>389.68686878389508</v>
      </c>
      <c r="AS1893" s="17">
        <f t="shared" si="232"/>
        <v>0.48710858597986884</v>
      </c>
      <c r="AT1893" s="20">
        <v>800</v>
      </c>
      <c r="AU1893" s="20">
        <v>910.27532958984375</v>
      </c>
      <c r="AV1893" s="20">
        <f t="shared" si="233"/>
        <v>110.27532958984375</v>
      </c>
      <c r="AW1893" s="21">
        <f t="shared" si="239"/>
        <v>0.13784416198730468</v>
      </c>
    </row>
    <row r="1894" spans="1:49" x14ac:dyDescent="0.25">
      <c r="A1894" t="s">
        <v>128</v>
      </c>
      <c r="B1894" t="s">
        <v>129</v>
      </c>
      <c r="C1894">
        <v>131930</v>
      </c>
      <c r="D1894">
        <v>2017</v>
      </c>
      <c r="E1894" t="s">
        <v>116</v>
      </c>
      <c r="F1894" t="s">
        <v>943</v>
      </c>
      <c r="G1894" t="s">
        <v>396</v>
      </c>
      <c r="H1894" t="s">
        <v>871</v>
      </c>
      <c r="I1894">
        <v>6</v>
      </c>
      <c r="J1894" t="s">
        <v>61</v>
      </c>
      <c r="K1894">
        <v>4</v>
      </c>
      <c r="L1894" t="s">
        <v>44</v>
      </c>
      <c r="M1894">
        <v>3.6</v>
      </c>
      <c r="N1894" t="s">
        <v>45</v>
      </c>
      <c r="Q1894" t="s">
        <v>62</v>
      </c>
      <c r="R1894" t="s">
        <v>225</v>
      </c>
      <c r="S1894" t="s">
        <v>101</v>
      </c>
      <c r="T1894">
        <v>283</v>
      </c>
      <c r="U1894" t="s">
        <v>50</v>
      </c>
      <c r="V1894" t="s">
        <v>76</v>
      </c>
      <c r="X1894" t="s">
        <v>94</v>
      </c>
      <c r="Y1894" t="s">
        <v>103</v>
      </c>
      <c r="Z1894">
        <v>31395</v>
      </c>
      <c r="AA1894">
        <v>0</v>
      </c>
      <c r="AB1894" t="s">
        <v>79</v>
      </c>
      <c r="AC1894" t="s">
        <v>225</v>
      </c>
      <c r="AD1894">
        <v>36</v>
      </c>
      <c r="AE1894">
        <v>9</v>
      </c>
      <c r="AF1894">
        <v>3</v>
      </c>
      <c r="AG1894">
        <v>2025</v>
      </c>
      <c r="AH1894" s="2">
        <v>1100</v>
      </c>
      <c r="AI1894" s="2">
        <v>3772.16015625</v>
      </c>
      <c r="AJ1894" s="2">
        <f t="shared" si="234"/>
        <v>2672.16015625</v>
      </c>
      <c r="AK1894" s="6">
        <f t="shared" si="235"/>
        <v>2.4292365056818181</v>
      </c>
      <c r="AL1894" s="12">
        <v>1100</v>
      </c>
      <c r="AM1894" s="12">
        <v>4700.7134478178323</v>
      </c>
      <c r="AN1894" s="12">
        <f t="shared" si="236"/>
        <v>3600.7134478178323</v>
      </c>
      <c r="AO1894" s="13">
        <f t="shared" si="237"/>
        <v>3.2733758616525748</v>
      </c>
      <c r="AP1894" s="16">
        <v>1100</v>
      </c>
      <c r="AQ1894" s="16">
        <v>3374.901809540384</v>
      </c>
      <c r="AR1894" s="16">
        <f t="shared" si="238"/>
        <v>2274.901809540384</v>
      </c>
      <c r="AS1894" s="17">
        <f t="shared" si="232"/>
        <v>2.0680925541276216</v>
      </c>
      <c r="AT1894" s="20">
        <v>1100</v>
      </c>
      <c r="AU1894" s="20">
        <v>3875.45458984375</v>
      </c>
      <c r="AV1894" s="20">
        <f t="shared" si="233"/>
        <v>2775.45458984375</v>
      </c>
      <c r="AW1894" s="21">
        <f t="shared" si="239"/>
        <v>2.5231405362215908</v>
      </c>
    </row>
    <row r="1895" spans="1:49" x14ac:dyDescent="0.25">
      <c r="A1895" t="s">
        <v>38</v>
      </c>
      <c r="B1895" t="s">
        <v>96</v>
      </c>
      <c r="C1895">
        <v>32528</v>
      </c>
      <c r="D1895">
        <v>2021</v>
      </c>
      <c r="E1895" t="s">
        <v>58</v>
      </c>
      <c r="F1895" t="s">
        <v>243</v>
      </c>
      <c r="G1895" t="s">
        <v>1199</v>
      </c>
      <c r="I1895">
        <v>4</v>
      </c>
      <c r="J1895" t="s">
        <v>135</v>
      </c>
      <c r="K1895">
        <v>4</v>
      </c>
      <c r="L1895" t="s">
        <v>44</v>
      </c>
      <c r="M1895">
        <v>2</v>
      </c>
      <c r="N1895" t="s">
        <v>45</v>
      </c>
      <c r="O1895" t="s">
        <v>46</v>
      </c>
      <c r="P1895">
        <v>3</v>
      </c>
      <c r="Q1895" t="s">
        <v>47</v>
      </c>
      <c r="R1895" t="s">
        <v>123</v>
      </c>
      <c r="S1895" t="s">
        <v>101</v>
      </c>
      <c r="T1895">
        <v>147</v>
      </c>
      <c r="U1895" t="s">
        <v>50</v>
      </c>
      <c r="W1895" t="s">
        <v>463</v>
      </c>
      <c r="X1895" t="s">
        <v>125</v>
      </c>
      <c r="Y1895" t="s">
        <v>126</v>
      </c>
      <c r="AA1895">
        <v>0</v>
      </c>
      <c r="AB1895" t="s">
        <v>79</v>
      </c>
      <c r="AC1895" t="s">
        <v>127</v>
      </c>
      <c r="AD1895">
        <v>36</v>
      </c>
      <c r="AE1895">
        <v>9</v>
      </c>
      <c r="AF1895">
        <v>3</v>
      </c>
      <c r="AG1895">
        <v>2025</v>
      </c>
      <c r="AH1895" s="2">
        <v>11500</v>
      </c>
      <c r="AI1895" s="2">
        <v>12413.3232421875</v>
      </c>
      <c r="AJ1895" s="2">
        <f t="shared" si="234"/>
        <v>913.3232421875</v>
      </c>
      <c r="AK1895" s="6">
        <f t="shared" si="235"/>
        <v>7.9419412364130429E-2</v>
      </c>
      <c r="AL1895" s="12">
        <v>11500</v>
      </c>
      <c r="AM1895" s="12">
        <v>13425.45456536949</v>
      </c>
      <c r="AN1895" s="12">
        <f t="shared" si="236"/>
        <v>1925.4545653694895</v>
      </c>
      <c r="AO1895" s="13">
        <f t="shared" si="237"/>
        <v>0.16743083177125995</v>
      </c>
      <c r="AP1895" s="16">
        <v>11500</v>
      </c>
      <c r="AQ1895" s="16">
        <v>10688.570370901791</v>
      </c>
      <c r="AR1895" s="16">
        <f t="shared" si="238"/>
        <v>811.42962909820926</v>
      </c>
      <c r="AS1895" s="17">
        <f t="shared" si="232"/>
        <v>7.0559098182452984E-2</v>
      </c>
      <c r="AT1895" s="20">
        <v>11500</v>
      </c>
      <c r="AU1895" s="20">
        <v>12714.5576171875</v>
      </c>
      <c r="AV1895" s="20">
        <f t="shared" si="233"/>
        <v>1214.5576171875</v>
      </c>
      <c r="AW1895" s="21">
        <f t="shared" si="239"/>
        <v>0.1056137058423913</v>
      </c>
    </row>
    <row r="1896" spans="1:49" x14ac:dyDescent="0.25">
      <c r="A1896" t="s">
        <v>38</v>
      </c>
      <c r="B1896" t="s">
        <v>96</v>
      </c>
      <c r="C1896">
        <v>106021</v>
      </c>
      <c r="D1896">
        <v>2019</v>
      </c>
      <c r="E1896" t="s">
        <v>97</v>
      </c>
      <c r="F1896" t="s">
        <v>470</v>
      </c>
      <c r="G1896" t="s">
        <v>513</v>
      </c>
      <c r="I1896">
        <v>4</v>
      </c>
      <c r="J1896" t="s">
        <v>43</v>
      </c>
      <c r="K1896">
        <v>4</v>
      </c>
      <c r="L1896" t="s">
        <v>44</v>
      </c>
      <c r="M1896">
        <v>1.5</v>
      </c>
      <c r="N1896" t="s">
        <v>45</v>
      </c>
      <c r="O1896" t="s">
        <v>46</v>
      </c>
      <c r="P1896">
        <v>3</v>
      </c>
      <c r="Q1896" t="s">
        <v>47</v>
      </c>
      <c r="R1896" t="s">
        <v>123</v>
      </c>
      <c r="U1896" t="s">
        <v>50</v>
      </c>
      <c r="V1896" t="s">
        <v>51</v>
      </c>
      <c r="W1896" t="s">
        <v>687</v>
      </c>
      <c r="X1896" t="s">
        <v>125</v>
      </c>
      <c r="Y1896" t="s">
        <v>78</v>
      </c>
      <c r="Z1896">
        <v>27495</v>
      </c>
      <c r="AA1896">
        <v>0</v>
      </c>
      <c r="AB1896" t="s">
        <v>79</v>
      </c>
      <c r="AC1896" t="s">
        <v>127</v>
      </c>
      <c r="AD1896">
        <v>36</v>
      </c>
      <c r="AE1896">
        <v>9</v>
      </c>
      <c r="AF1896">
        <v>3</v>
      </c>
      <c r="AG1896">
        <v>2025</v>
      </c>
      <c r="AH1896" s="2">
        <v>7000</v>
      </c>
      <c r="AI1896" s="2">
        <v>6437.9736328125</v>
      </c>
      <c r="AJ1896" s="2">
        <f t="shared" si="234"/>
        <v>562.0263671875</v>
      </c>
      <c r="AK1896" s="6">
        <f t="shared" si="235"/>
        <v>8.0289481026785708E-2</v>
      </c>
      <c r="AL1896" s="12">
        <v>7000</v>
      </c>
      <c r="AM1896" s="12">
        <v>7192.119516824222</v>
      </c>
      <c r="AN1896" s="12">
        <f t="shared" si="236"/>
        <v>192.11951682422205</v>
      </c>
      <c r="AO1896" s="13">
        <f t="shared" si="237"/>
        <v>2.7445645260603148E-2</v>
      </c>
      <c r="AP1896" s="16">
        <v>7000</v>
      </c>
      <c r="AQ1896" s="16">
        <v>6350.6513745259417</v>
      </c>
      <c r="AR1896" s="16">
        <f t="shared" si="238"/>
        <v>649.34862547405828</v>
      </c>
      <c r="AS1896" s="17">
        <f t="shared" si="232"/>
        <v>9.2764089353436899E-2</v>
      </c>
      <c r="AT1896" s="20">
        <v>7000</v>
      </c>
      <c r="AU1896" s="20">
        <v>6636.78271484375</v>
      </c>
      <c r="AV1896" s="20">
        <f t="shared" si="233"/>
        <v>363.21728515625</v>
      </c>
      <c r="AW1896" s="21">
        <f t="shared" si="239"/>
        <v>5.1888183593749998E-2</v>
      </c>
    </row>
    <row r="1897" spans="1:49" x14ac:dyDescent="0.25">
      <c r="A1897" t="s">
        <v>38</v>
      </c>
      <c r="B1897" t="s">
        <v>96</v>
      </c>
      <c r="C1897">
        <v>102600</v>
      </c>
      <c r="D1897">
        <v>2019</v>
      </c>
      <c r="E1897" t="s">
        <v>58</v>
      </c>
      <c r="F1897" t="s">
        <v>243</v>
      </c>
      <c r="G1897" t="s">
        <v>1261</v>
      </c>
      <c r="I1897">
        <v>4</v>
      </c>
      <c r="J1897" t="s">
        <v>72</v>
      </c>
      <c r="K1897">
        <v>4</v>
      </c>
      <c r="L1897" t="s">
        <v>44</v>
      </c>
      <c r="M1897">
        <v>2</v>
      </c>
      <c r="N1897" t="s">
        <v>45</v>
      </c>
      <c r="O1897" t="s">
        <v>100</v>
      </c>
      <c r="Q1897" t="s">
        <v>47</v>
      </c>
      <c r="R1897" t="s">
        <v>123</v>
      </c>
      <c r="T1897">
        <v>147</v>
      </c>
      <c r="U1897" t="s">
        <v>50</v>
      </c>
      <c r="W1897" t="s">
        <v>463</v>
      </c>
      <c r="X1897" t="s">
        <v>125</v>
      </c>
      <c r="Y1897" t="s">
        <v>126</v>
      </c>
      <c r="AA1897">
        <v>0</v>
      </c>
      <c r="AB1897" t="s">
        <v>79</v>
      </c>
      <c r="AC1897" t="s">
        <v>127</v>
      </c>
      <c r="AD1897">
        <v>36</v>
      </c>
      <c r="AE1897">
        <v>9</v>
      </c>
      <c r="AF1897">
        <v>3</v>
      </c>
      <c r="AG1897">
        <v>2025</v>
      </c>
      <c r="AH1897" s="2">
        <v>4500</v>
      </c>
      <c r="AI1897" s="2">
        <v>2053.219482421875</v>
      </c>
      <c r="AJ1897" s="2">
        <f t="shared" si="234"/>
        <v>2446.780517578125</v>
      </c>
      <c r="AK1897" s="6">
        <f t="shared" si="235"/>
        <v>0.54372900390625001</v>
      </c>
      <c r="AL1897" s="12">
        <v>4500</v>
      </c>
      <c r="AM1897" s="12">
        <v>2711.0572790420679</v>
      </c>
      <c r="AN1897" s="12">
        <f t="shared" si="236"/>
        <v>1788.9427209579321</v>
      </c>
      <c r="AO1897" s="13">
        <f t="shared" si="237"/>
        <v>0.39754282687954046</v>
      </c>
      <c r="AP1897" s="16">
        <v>4500</v>
      </c>
      <c r="AQ1897" s="16">
        <v>2279.4322601211788</v>
      </c>
      <c r="AR1897" s="16">
        <f t="shared" si="238"/>
        <v>2220.5677398788212</v>
      </c>
      <c r="AS1897" s="17">
        <f t="shared" si="232"/>
        <v>0.49345949775084913</v>
      </c>
      <c r="AT1897" s="20">
        <v>4500</v>
      </c>
      <c r="AU1897" s="20">
        <v>2095.696044921875</v>
      </c>
      <c r="AV1897" s="20">
        <f t="shared" si="233"/>
        <v>2404.303955078125</v>
      </c>
      <c r="AW1897" s="21">
        <f t="shared" si="239"/>
        <v>0.53428976779513893</v>
      </c>
    </row>
    <row r="1898" spans="1:49" x14ac:dyDescent="0.25">
      <c r="A1898" t="s">
        <v>38</v>
      </c>
      <c r="B1898" t="s">
        <v>1018</v>
      </c>
      <c r="C1898">
        <v>78856</v>
      </c>
      <c r="D1898">
        <v>2020</v>
      </c>
      <c r="E1898" t="s">
        <v>341</v>
      </c>
      <c r="F1898" t="s">
        <v>574</v>
      </c>
      <c r="G1898" t="s">
        <v>575</v>
      </c>
      <c r="I1898">
        <v>6</v>
      </c>
      <c r="J1898" t="s">
        <v>61</v>
      </c>
      <c r="K1898">
        <v>4</v>
      </c>
      <c r="L1898" t="s">
        <v>44</v>
      </c>
      <c r="M1898">
        <v>3.6</v>
      </c>
      <c r="N1898" t="s">
        <v>45</v>
      </c>
      <c r="Q1898" t="s">
        <v>62</v>
      </c>
      <c r="R1898" t="s">
        <v>63</v>
      </c>
      <c r="S1898" t="s">
        <v>101</v>
      </c>
      <c r="U1898" t="s">
        <v>50</v>
      </c>
      <c r="V1898" t="s">
        <v>76</v>
      </c>
      <c r="W1898" t="s">
        <v>576</v>
      </c>
      <c r="X1898" t="s">
        <v>94</v>
      </c>
      <c r="Y1898" t="s">
        <v>78</v>
      </c>
      <c r="Z1898">
        <v>42000</v>
      </c>
      <c r="AA1898">
        <v>0</v>
      </c>
      <c r="AB1898" t="s">
        <v>79</v>
      </c>
      <c r="AC1898" t="s">
        <v>109</v>
      </c>
      <c r="AD1898">
        <v>36</v>
      </c>
      <c r="AE1898">
        <v>9</v>
      </c>
      <c r="AF1898">
        <v>3</v>
      </c>
      <c r="AG1898">
        <v>2025</v>
      </c>
      <c r="AH1898" s="2">
        <v>17700</v>
      </c>
      <c r="AI1898" s="2">
        <v>19461.1796875</v>
      </c>
      <c r="AJ1898" s="2">
        <f t="shared" si="234"/>
        <v>1761.1796875</v>
      </c>
      <c r="AK1898" s="6">
        <f t="shared" si="235"/>
        <v>9.9501677259887011E-2</v>
      </c>
      <c r="AL1898" s="12">
        <v>17700</v>
      </c>
      <c r="AM1898" s="12">
        <v>17665.26376984128</v>
      </c>
      <c r="AN1898" s="12">
        <f t="shared" si="236"/>
        <v>34.736230158719991</v>
      </c>
      <c r="AO1898" s="13">
        <f t="shared" si="237"/>
        <v>1.9624988790237284E-3</v>
      </c>
      <c r="AP1898" s="16">
        <v>17700</v>
      </c>
      <c r="AQ1898" s="16">
        <v>18075.538111247461</v>
      </c>
      <c r="AR1898" s="16">
        <f t="shared" si="238"/>
        <v>375.53811124746062</v>
      </c>
      <c r="AS1898" s="17">
        <f t="shared" si="232"/>
        <v>2.1216842443359356E-2</v>
      </c>
      <c r="AT1898" s="20">
        <v>17700</v>
      </c>
      <c r="AU1898" s="20">
        <v>18986.638671875</v>
      </c>
      <c r="AV1898" s="20">
        <f t="shared" si="233"/>
        <v>1286.638671875</v>
      </c>
      <c r="AW1898" s="21">
        <f t="shared" si="239"/>
        <v>7.269145038841808E-2</v>
      </c>
    </row>
    <row r="1899" spans="1:49" x14ac:dyDescent="0.25">
      <c r="A1899" t="s">
        <v>38</v>
      </c>
      <c r="B1899" t="s">
        <v>110</v>
      </c>
      <c r="C1899">
        <v>44000</v>
      </c>
      <c r="D1899">
        <v>2021</v>
      </c>
      <c r="E1899" t="s">
        <v>69</v>
      </c>
      <c r="F1899" t="s">
        <v>1341</v>
      </c>
      <c r="G1899" t="s">
        <v>1330</v>
      </c>
      <c r="I1899">
        <v>8</v>
      </c>
      <c r="J1899" t="s">
        <v>72</v>
      </c>
      <c r="K1899">
        <v>4</v>
      </c>
      <c r="L1899" t="s">
        <v>371</v>
      </c>
      <c r="M1899">
        <v>6.7</v>
      </c>
      <c r="N1899" t="s">
        <v>91</v>
      </c>
      <c r="Q1899" t="s">
        <v>74</v>
      </c>
      <c r="R1899" t="s">
        <v>92</v>
      </c>
      <c r="S1899" t="s">
        <v>93</v>
      </c>
      <c r="T1899">
        <v>440</v>
      </c>
      <c r="U1899" t="s">
        <v>229</v>
      </c>
      <c r="V1899" t="s">
        <v>76</v>
      </c>
      <c r="X1899" t="s">
        <v>260</v>
      </c>
      <c r="Y1899" t="s">
        <v>78</v>
      </c>
      <c r="AA1899">
        <v>0</v>
      </c>
      <c r="AB1899" t="s">
        <v>79</v>
      </c>
      <c r="AC1899" t="s">
        <v>261</v>
      </c>
      <c r="AD1899">
        <v>36</v>
      </c>
      <c r="AE1899">
        <v>9</v>
      </c>
      <c r="AF1899">
        <v>3</v>
      </c>
      <c r="AG1899">
        <v>2025</v>
      </c>
      <c r="AH1899" s="2">
        <v>102500</v>
      </c>
      <c r="AI1899" s="2">
        <v>72141.078125</v>
      </c>
      <c r="AJ1899" s="2">
        <f t="shared" si="234"/>
        <v>30358.921875</v>
      </c>
      <c r="AK1899" s="6">
        <f t="shared" si="235"/>
        <v>0.2961846036585366</v>
      </c>
      <c r="AL1899" s="12">
        <v>102500</v>
      </c>
      <c r="AM1899" s="12">
        <v>60171.574212123473</v>
      </c>
      <c r="AN1899" s="12">
        <f t="shared" si="236"/>
        <v>42328.425787876527</v>
      </c>
      <c r="AO1899" s="13">
        <f t="shared" si="237"/>
        <v>0.41296025158903932</v>
      </c>
      <c r="AP1899" s="16">
        <v>102500</v>
      </c>
      <c r="AQ1899" s="16">
        <v>67179.887958917956</v>
      </c>
      <c r="AR1899" s="16">
        <f t="shared" si="238"/>
        <v>35320.112041082044</v>
      </c>
      <c r="AS1899" s="17">
        <f t="shared" si="232"/>
        <v>0.34458645893738582</v>
      </c>
      <c r="AT1899" s="20">
        <v>102500</v>
      </c>
      <c r="AU1899" s="20">
        <v>75029.921875</v>
      </c>
      <c r="AV1899" s="20">
        <f t="shared" si="233"/>
        <v>27470.078125</v>
      </c>
      <c r="AW1899" s="21">
        <f t="shared" si="239"/>
        <v>0.26800076219512198</v>
      </c>
    </row>
    <row r="1900" spans="1:49" x14ac:dyDescent="0.25">
      <c r="A1900" t="s">
        <v>38</v>
      </c>
      <c r="B1900" t="s">
        <v>68</v>
      </c>
      <c r="C1900">
        <v>78626</v>
      </c>
      <c r="D1900">
        <v>2017</v>
      </c>
      <c r="E1900" t="s">
        <v>97</v>
      </c>
      <c r="F1900" t="s">
        <v>154</v>
      </c>
      <c r="G1900" t="s">
        <v>797</v>
      </c>
      <c r="I1900">
        <v>6</v>
      </c>
      <c r="J1900" t="s">
        <v>135</v>
      </c>
      <c r="K1900">
        <v>4</v>
      </c>
      <c r="L1900" t="s">
        <v>44</v>
      </c>
      <c r="M1900">
        <v>3.6</v>
      </c>
      <c r="N1900" t="s">
        <v>73</v>
      </c>
      <c r="O1900" t="s">
        <v>46</v>
      </c>
      <c r="P1900">
        <v>4</v>
      </c>
      <c r="Q1900" t="s">
        <v>74</v>
      </c>
      <c r="R1900" t="s">
        <v>92</v>
      </c>
      <c r="S1900" t="s">
        <v>49</v>
      </c>
      <c r="U1900" t="s">
        <v>50</v>
      </c>
      <c r="V1900" t="s">
        <v>76</v>
      </c>
      <c r="W1900" t="s">
        <v>461</v>
      </c>
      <c r="X1900" t="s">
        <v>141</v>
      </c>
      <c r="Y1900" t="s">
        <v>78</v>
      </c>
      <c r="Z1900">
        <v>31230</v>
      </c>
      <c r="AA1900">
        <v>0</v>
      </c>
      <c r="AB1900" t="s">
        <v>79</v>
      </c>
      <c r="AC1900" t="s">
        <v>95</v>
      </c>
      <c r="AD1900">
        <v>36</v>
      </c>
      <c r="AE1900">
        <v>9</v>
      </c>
      <c r="AF1900">
        <v>3</v>
      </c>
      <c r="AG1900">
        <v>2025</v>
      </c>
      <c r="AH1900" s="2">
        <v>17500</v>
      </c>
      <c r="AI1900" s="2">
        <v>15551.8251953125</v>
      </c>
      <c r="AJ1900" s="2">
        <f t="shared" si="234"/>
        <v>1948.1748046875</v>
      </c>
      <c r="AK1900" s="6">
        <f t="shared" si="235"/>
        <v>0.11132427455357143</v>
      </c>
      <c r="AL1900" s="12">
        <v>17500</v>
      </c>
      <c r="AM1900" s="12">
        <v>14712.61786248944</v>
      </c>
      <c r="AN1900" s="12">
        <f t="shared" si="236"/>
        <v>2787.3821375105599</v>
      </c>
      <c r="AO1900" s="13">
        <f t="shared" si="237"/>
        <v>0.15927897928631771</v>
      </c>
      <c r="AP1900" s="16">
        <v>17500</v>
      </c>
      <c r="AQ1900" s="16">
        <v>16018.995612487661</v>
      </c>
      <c r="AR1900" s="16">
        <f t="shared" si="238"/>
        <v>1481.0043875123392</v>
      </c>
      <c r="AS1900" s="17">
        <f t="shared" si="232"/>
        <v>8.4628822143562238E-2</v>
      </c>
      <c r="AT1900" s="20">
        <v>17500</v>
      </c>
      <c r="AU1900" s="20">
        <v>15190.26953125</v>
      </c>
      <c r="AV1900" s="20">
        <f t="shared" si="233"/>
        <v>2309.73046875</v>
      </c>
      <c r="AW1900" s="21">
        <f t="shared" si="239"/>
        <v>0.13198459821428571</v>
      </c>
    </row>
    <row r="1901" spans="1:49" x14ac:dyDescent="0.25">
      <c r="A1901" t="s">
        <v>38</v>
      </c>
      <c r="B1901" t="s">
        <v>68</v>
      </c>
      <c r="C1901">
        <v>190815</v>
      </c>
      <c r="D1901">
        <v>2013</v>
      </c>
      <c r="E1901" t="s">
        <v>69</v>
      </c>
      <c r="F1901" t="s">
        <v>104</v>
      </c>
      <c r="H1901" t="s">
        <v>1537</v>
      </c>
      <c r="I1901">
        <v>8</v>
      </c>
      <c r="J1901" t="s">
        <v>72</v>
      </c>
      <c r="K1901">
        <v>4</v>
      </c>
      <c r="L1901" t="s">
        <v>44</v>
      </c>
      <c r="M1901">
        <v>5.4</v>
      </c>
      <c r="N1901" t="s">
        <v>73</v>
      </c>
      <c r="O1901" t="s">
        <v>46</v>
      </c>
      <c r="Q1901" t="s">
        <v>62</v>
      </c>
      <c r="R1901" t="s">
        <v>63</v>
      </c>
      <c r="S1901" t="s">
        <v>49</v>
      </c>
      <c r="T1901">
        <v>310</v>
      </c>
      <c r="U1901" t="s">
        <v>50</v>
      </c>
      <c r="V1901" t="s">
        <v>76</v>
      </c>
      <c r="X1901" t="s">
        <v>108</v>
      </c>
      <c r="Y1901" t="s">
        <v>78</v>
      </c>
      <c r="AA1901">
        <v>0</v>
      </c>
      <c r="AB1901" t="s">
        <v>79</v>
      </c>
      <c r="AC1901" t="s">
        <v>87</v>
      </c>
      <c r="AD1901">
        <v>36</v>
      </c>
      <c r="AE1901">
        <v>9</v>
      </c>
      <c r="AF1901">
        <v>3</v>
      </c>
      <c r="AG1901">
        <v>2025</v>
      </c>
      <c r="AH1901" s="2">
        <v>1000</v>
      </c>
      <c r="AI1901" s="2">
        <v>2950.85498046875</v>
      </c>
      <c r="AJ1901" s="2">
        <f t="shared" si="234"/>
        <v>1950.85498046875</v>
      </c>
      <c r="AK1901" s="6">
        <f t="shared" si="235"/>
        <v>1.9508549804687501</v>
      </c>
      <c r="AL1901" s="12">
        <v>1000</v>
      </c>
      <c r="AM1901" s="12">
        <v>3443.931428985893</v>
      </c>
      <c r="AN1901" s="12">
        <f t="shared" si="236"/>
        <v>2443.931428985893</v>
      </c>
      <c r="AO1901" s="13">
        <f t="shared" si="237"/>
        <v>2.4439314289858931</v>
      </c>
      <c r="AP1901" s="16">
        <v>1000</v>
      </c>
      <c r="AQ1901" s="16">
        <v>2674.2835303319098</v>
      </c>
      <c r="AR1901" s="16">
        <f t="shared" si="238"/>
        <v>1674.2835303319098</v>
      </c>
      <c r="AS1901" s="17">
        <f t="shared" si="232"/>
        <v>1.6742835303319097</v>
      </c>
      <c r="AT1901" s="20">
        <v>1000</v>
      </c>
      <c r="AU1901" s="20">
        <v>3018.345703125</v>
      </c>
      <c r="AV1901" s="20">
        <f t="shared" si="233"/>
        <v>2018.345703125</v>
      </c>
      <c r="AW1901" s="21">
        <f t="shared" si="239"/>
        <v>2.0183457031250001</v>
      </c>
    </row>
    <row r="1902" spans="1:49" x14ac:dyDescent="0.25">
      <c r="A1902" t="s">
        <v>128</v>
      </c>
      <c r="B1902" t="s">
        <v>129</v>
      </c>
      <c r="C1902">
        <v>107919</v>
      </c>
      <c r="D1902">
        <v>2015</v>
      </c>
      <c r="E1902" t="s">
        <v>146</v>
      </c>
      <c r="F1902" t="s">
        <v>232</v>
      </c>
      <c r="I1902">
        <v>6</v>
      </c>
      <c r="J1902" t="s">
        <v>61</v>
      </c>
      <c r="K1902">
        <v>4</v>
      </c>
      <c r="L1902" t="s">
        <v>44</v>
      </c>
      <c r="M1902">
        <v>3.5</v>
      </c>
      <c r="N1902" t="s">
        <v>45</v>
      </c>
      <c r="Q1902" t="s">
        <v>62</v>
      </c>
      <c r="R1902" t="s">
        <v>148</v>
      </c>
      <c r="S1902" t="s">
        <v>49</v>
      </c>
      <c r="U1902" t="s">
        <v>50</v>
      </c>
      <c r="X1902" t="s">
        <v>141</v>
      </c>
      <c r="Y1902" t="s">
        <v>78</v>
      </c>
      <c r="AA1902">
        <v>0</v>
      </c>
      <c r="AB1902" t="s">
        <v>79</v>
      </c>
      <c r="AC1902" t="s">
        <v>87</v>
      </c>
      <c r="AD1902">
        <v>36</v>
      </c>
      <c r="AE1902">
        <v>9</v>
      </c>
      <c r="AF1902">
        <v>3</v>
      </c>
      <c r="AG1902">
        <v>2025</v>
      </c>
      <c r="AH1902" s="2">
        <v>6900</v>
      </c>
      <c r="AI1902" s="2">
        <v>5752.1298828125</v>
      </c>
      <c r="AJ1902" s="2">
        <f t="shared" si="234"/>
        <v>1147.8701171875</v>
      </c>
      <c r="AK1902" s="6">
        <f t="shared" si="235"/>
        <v>0.16635798799818841</v>
      </c>
      <c r="AL1902" s="12">
        <v>6900</v>
      </c>
      <c r="AM1902" s="12">
        <v>5040.0077040086144</v>
      </c>
      <c r="AN1902" s="12">
        <f t="shared" si="236"/>
        <v>1859.9922959913856</v>
      </c>
      <c r="AO1902" s="13">
        <f t="shared" si="237"/>
        <v>0.26956410086831678</v>
      </c>
      <c r="AP1902" s="16">
        <v>6900</v>
      </c>
      <c r="AQ1902" s="16">
        <v>4820.8721568918509</v>
      </c>
      <c r="AR1902" s="16">
        <f t="shared" si="238"/>
        <v>2079.1278431081491</v>
      </c>
      <c r="AS1902" s="17">
        <f t="shared" si="232"/>
        <v>0.30132287581277523</v>
      </c>
      <c r="AT1902" s="20">
        <v>6900</v>
      </c>
      <c r="AU1902" s="20">
        <v>5798.80615234375</v>
      </c>
      <c r="AV1902" s="20">
        <f t="shared" si="233"/>
        <v>1101.19384765625</v>
      </c>
      <c r="AW1902" s="21">
        <f t="shared" si="239"/>
        <v>0.159593311254529</v>
      </c>
    </row>
    <row r="1903" spans="1:49" x14ac:dyDescent="0.25">
      <c r="A1903" t="s">
        <v>81</v>
      </c>
      <c r="B1903" t="s">
        <v>82</v>
      </c>
      <c r="C1903">
        <v>128004</v>
      </c>
      <c r="D1903">
        <v>2013</v>
      </c>
      <c r="E1903" t="s">
        <v>132</v>
      </c>
      <c r="F1903" t="s">
        <v>1538</v>
      </c>
      <c r="G1903" t="s">
        <v>1539</v>
      </c>
      <c r="H1903" t="s">
        <v>1540</v>
      </c>
      <c r="I1903">
        <v>8</v>
      </c>
      <c r="J1903" t="s">
        <v>106</v>
      </c>
      <c r="K1903">
        <v>4</v>
      </c>
      <c r="L1903" t="s">
        <v>44</v>
      </c>
      <c r="M1903">
        <v>5.5</v>
      </c>
      <c r="N1903" t="s">
        <v>73</v>
      </c>
      <c r="O1903" t="s">
        <v>46</v>
      </c>
      <c r="Q1903" t="s">
        <v>47</v>
      </c>
      <c r="R1903" t="s">
        <v>123</v>
      </c>
      <c r="U1903" t="s">
        <v>50</v>
      </c>
      <c r="V1903" t="s">
        <v>76</v>
      </c>
      <c r="X1903" t="s">
        <v>125</v>
      </c>
      <c r="Y1903" t="s">
        <v>137</v>
      </c>
      <c r="AA1903">
        <v>0</v>
      </c>
      <c r="AB1903" t="s">
        <v>79</v>
      </c>
      <c r="AC1903" t="s">
        <v>127</v>
      </c>
      <c r="AD1903">
        <v>36</v>
      </c>
      <c r="AE1903">
        <v>9</v>
      </c>
      <c r="AF1903">
        <v>3</v>
      </c>
      <c r="AG1903">
        <v>2025</v>
      </c>
      <c r="AH1903" s="2">
        <v>10400</v>
      </c>
      <c r="AI1903" s="2">
        <v>5993.490234375</v>
      </c>
      <c r="AJ1903" s="2">
        <f t="shared" si="234"/>
        <v>4406.509765625</v>
      </c>
      <c r="AK1903" s="6">
        <f t="shared" si="235"/>
        <v>0.42370286207932695</v>
      </c>
      <c r="AL1903" s="12">
        <v>10400</v>
      </c>
      <c r="AM1903" s="12">
        <v>4518.7370361681487</v>
      </c>
      <c r="AN1903" s="12">
        <f t="shared" si="236"/>
        <v>5881.2629638318513</v>
      </c>
      <c r="AO1903" s="13">
        <f t="shared" si="237"/>
        <v>0.56550605421460109</v>
      </c>
      <c r="AP1903" s="16">
        <v>10400</v>
      </c>
      <c r="AQ1903" s="16">
        <v>5387.0745658184578</v>
      </c>
      <c r="AR1903" s="16">
        <f t="shared" si="238"/>
        <v>5012.9254341815422</v>
      </c>
      <c r="AS1903" s="17">
        <f t="shared" si="232"/>
        <v>0.48201206097899446</v>
      </c>
      <c r="AT1903" s="20">
        <v>10400</v>
      </c>
      <c r="AU1903" s="20">
        <v>5857.4541015625</v>
      </c>
      <c r="AV1903" s="20">
        <f t="shared" si="233"/>
        <v>4542.5458984375</v>
      </c>
      <c r="AW1903" s="21">
        <f t="shared" si="239"/>
        <v>0.43678325946514424</v>
      </c>
    </row>
    <row r="1904" spans="1:49" x14ac:dyDescent="0.25">
      <c r="A1904" t="s">
        <v>114</v>
      </c>
      <c r="B1904" t="s">
        <v>115</v>
      </c>
      <c r="C1904">
        <v>241158</v>
      </c>
      <c r="D1904">
        <v>2013</v>
      </c>
      <c r="E1904" t="s">
        <v>174</v>
      </c>
      <c r="F1904" t="s">
        <v>254</v>
      </c>
      <c r="H1904" t="s">
        <v>626</v>
      </c>
      <c r="I1904">
        <v>4</v>
      </c>
      <c r="J1904" t="s">
        <v>135</v>
      </c>
      <c r="K1904">
        <v>4</v>
      </c>
      <c r="L1904" t="s">
        <v>44</v>
      </c>
      <c r="M1904">
        <v>2.4</v>
      </c>
      <c r="N1904" t="s">
        <v>45</v>
      </c>
      <c r="O1904" t="s">
        <v>46</v>
      </c>
      <c r="Q1904" t="s">
        <v>62</v>
      </c>
      <c r="R1904" t="s">
        <v>63</v>
      </c>
      <c r="S1904" t="s">
        <v>101</v>
      </c>
      <c r="U1904" t="s">
        <v>50</v>
      </c>
      <c r="W1904" t="s">
        <v>479</v>
      </c>
      <c r="X1904" t="s">
        <v>65</v>
      </c>
      <c r="Y1904" t="s">
        <v>103</v>
      </c>
      <c r="AA1904">
        <v>0</v>
      </c>
      <c r="AB1904" t="s">
        <v>79</v>
      </c>
      <c r="AC1904" t="s">
        <v>87</v>
      </c>
      <c r="AD1904">
        <v>36</v>
      </c>
      <c r="AE1904">
        <v>9</v>
      </c>
      <c r="AF1904">
        <v>3</v>
      </c>
      <c r="AG1904">
        <v>2025</v>
      </c>
      <c r="AH1904" s="2">
        <v>900</v>
      </c>
      <c r="AI1904" s="2">
        <v>1247.309692382812</v>
      </c>
      <c r="AJ1904" s="2">
        <f t="shared" si="234"/>
        <v>347.30969238281205</v>
      </c>
      <c r="AK1904" s="6">
        <f t="shared" si="235"/>
        <v>0.3858996582031245</v>
      </c>
      <c r="AL1904" s="12">
        <v>900</v>
      </c>
      <c r="AM1904" s="12">
        <v>1448.2458047852649</v>
      </c>
      <c r="AN1904" s="12">
        <f t="shared" si="236"/>
        <v>548.24580478526491</v>
      </c>
      <c r="AO1904" s="13">
        <f t="shared" si="237"/>
        <v>0.60916200531696096</v>
      </c>
      <c r="AP1904" s="16">
        <v>900</v>
      </c>
      <c r="AQ1904" s="16">
        <v>1026.182039488845</v>
      </c>
      <c r="AR1904" s="16">
        <f t="shared" si="238"/>
        <v>126.18203948884502</v>
      </c>
      <c r="AS1904" s="17">
        <f t="shared" si="232"/>
        <v>0.14020226609871669</v>
      </c>
      <c r="AT1904" s="20">
        <v>900</v>
      </c>
      <c r="AU1904" s="20">
        <v>1229.153076171875</v>
      </c>
      <c r="AV1904" s="20">
        <f t="shared" si="233"/>
        <v>329.153076171875</v>
      </c>
      <c r="AW1904" s="21">
        <f t="shared" si="239"/>
        <v>0.3657256401909722</v>
      </c>
    </row>
    <row r="1905" spans="1:49" x14ac:dyDescent="0.25">
      <c r="A1905" t="s">
        <v>38</v>
      </c>
      <c r="B1905" t="s">
        <v>68</v>
      </c>
      <c r="C1905">
        <v>86047</v>
      </c>
      <c r="D1905">
        <v>2019</v>
      </c>
      <c r="E1905" t="s">
        <v>69</v>
      </c>
      <c r="F1905" t="s">
        <v>250</v>
      </c>
      <c r="H1905" t="s">
        <v>285</v>
      </c>
      <c r="I1905">
        <v>4</v>
      </c>
      <c r="J1905" t="s">
        <v>43</v>
      </c>
      <c r="K1905">
        <v>4</v>
      </c>
      <c r="L1905" t="s">
        <v>44</v>
      </c>
      <c r="M1905">
        <v>1.5</v>
      </c>
      <c r="N1905" t="s">
        <v>91</v>
      </c>
      <c r="O1905" t="s">
        <v>46</v>
      </c>
      <c r="P1905">
        <v>4</v>
      </c>
      <c r="Q1905" t="s">
        <v>62</v>
      </c>
      <c r="R1905" t="s">
        <v>63</v>
      </c>
      <c r="S1905" t="s">
        <v>93</v>
      </c>
      <c r="T1905">
        <v>170</v>
      </c>
      <c r="U1905" t="s">
        <v>50</v>
      </c>
      <c r="V1905" t="s">
        <v>51</v>
      </c>
      <c r="W1905" t="s">
        <v>598</v>
      </c>
      <c r="X1905" t="s">
        <v>65</v>
      </c>
      <c r="Y1905" t="s">
        <v>78</v>
      </c>
      <c r="Z1905">
        <v>29945</v>
      </c>
      <c r="AA1905">
        <v>0</v>
      </c>
      <c r="AB1905" t="s">
        <v>79</v>
      </c>
      <c r="AC1905" t="s">
        <v>87</v>
      </c>
      <c r="AD1905">
        <v>36</v>
      </c>
      <c r="AE1905">
        <v>9</v>
      </c>
      <c r="AF1905">
        <v>3</v>
      </c>
      <c r="AG1905">
        <v>2025</v>
      </c>
      <c r="AH1905" s="2">
        <v>8800</v>
      </c>
      <c r="AI1905" s="2">
        <v>10293.7900390625</v>
      </c>
      <c r="AJ1905" s="2">
        <f t="shared" si="234"/>
        <v>1493.7900390625</v>
      </c>
      <c r="AK1905" s="6">
        <f t="shared" si="235"/>
        <v>0.16974886807528408</v>
      </c>
      <c r="AL1905" s="12">
        <v>8800</v>
      </c>
      <c r="AM1905" s="12">
        <v>11974.83787302744</v>
      </c>
      <c r="AN1905" s="12">
        <f t="shared" si="236"/>
        <v>3174.8378730274399</v>
      </c>
      <c r="AO1905" s="13">
        <f t="shared" si="237"/>
        <v>0.36077703102584546</v>
      </c>
      <c r="AP1905" s="16">
        <v>8800</v>
      </c>
      <c r="AQ1905" s="16">
        <v>9084.3584172386982</v>
      </c>
      <c r="AR1905" s="16">
        <f t="shared" si="238"/>
        <v>284.35841723869817</v>
      </c>
      <c r="AS1905" s="17">
        <f t="shared" si="232"/>
        <v>3.2313456504397521E-2</v>
      </c>
      <c r="AT1905" s="20">
        <v>8800</v>
      </c>
      <c r="AU1905" s="20">
        <v>10805.693359375</v>
      </c>
      <c r="AV1905" s="20">
        <f t="shared" si="233"/>
        <v>2005.693359375</v>
      </c>
      <c r="AW1905" s="21">
        <f t="shared" si="239"/>
        <v>0.22791969992897726</v>
      </c>
    </row>
    <row r="1906" spans="1:49" x14ac:dyDescent="0.25">
      <c r="A1906" t="s">
        <v>38</v>
      </c>
      <c r="B1906" t="s">
        <v>96</v>
      </c>
      <c r="C1906">
        <v>140086</v>
      </c>
      <c r="D1906">
        <v>2018</v>
      </c>
      <c r="E1906" t="s">
        <v>40</v>
      </c>
      <c r="F1906" t="s">
        <v>524</v>
      </c>
      <c r="G1906" t="s">
        <v>1455</v>
      </c>
      <c r="H1906" t="s">
        <v>825</v>
      </c>
      <c r="I1906">
        <v>6</v>
      </c>
      <c r="J1906" t="s">
        <v>72</v>
      </c>
      <c r="K1906">
        <v>4</v>
      </c>
      <c r="L1906" t="s">
        <v>44</v>
      </c>
      <c r="M1906">
        <v>3.5</v>
      </c>
      <c r="N1906" t="s">
        <v>45</v>
      </c>
      <c r="O1906" t="s">
        <v>46</v>
      </c>
      <c r="P1906">
        <v>4</v>
      </c>
      <c r="Q1906" t="s">
        <v>47</v>
      </c>
      <c r="R1906" t="s">
        <v>123</v>
      </c>
      <c r="S1906" t="s">
        <v>49</v>
      </c>
      <c r="T1906">
        <v>268</v>
      </c>
      <c r="U1906" t="s">
        <v>50</v>
      </c>
      <c r="V1906" t="s">
        <v>76</v>
      </c>
      <c r="W1906" t="s">
        <v>290</v>
      </c>
      <c r="X1906" t="s">
        <v>125</v>
      </c>
      <c r="Y1906" t="s">
        <v>78</v>
      </c>
      <c r="Z1906">
        <v>33500</v>
      </c>
      <c r="AA1906">
        <v>0</v>
      </c>
      <c r="AB1906" t="s">
        <v>79</v>
      </c>
      <c r="AC1906" t="s">
        <v>127</v>
      </c>
      <c r="AD1906">
        <v>36</v>
      </c>
      <c r="AE1906">
        <v>9</v>
      </c>
      <c r="AF1906">
        <v>3</v>
      </c>
      <c r="AG1906">
        <v>2025</v>
      </c>
      <c r="AH1906" s="2">
        <v>10000</v>
      </c>
      <c r="AI1906" s="2">
        <v>9122.505859375</v>
      </c>
      <c r="AJ1906" s="2">
        <f t="shared" si="234"/>
        <v>877.494140625</v>
      </c>
      <c r="AK1906" s="6">
        <f t="shared" si="235"/>
        <v>8.7749414062500003E-2</v>
      </c>
      <c r="AL1906" s="12">
        <v>10000</v>
      </c>
      <c r="AM1906" s="12">
        <v>10120.998311390311</v>
      </c>
      <c r="AN1906" s="12">
        <f t="shared" si="236"/>
        <v>120.99831139031085</v>
      </c>
      <c r="AO1906" s="13">
        <f t="shared" si="237"/>
        <v>1.2099831139031085E-2</v>
      </c>
      <c r="AP1906" s="16">
        <v>10000</v>
      </c>
      <c r="AQ1906" s="16">
        <v>8375.5084611105049</v>
      </c>
      <c r="AR1906" s="16">
        <f t="shared" si="238"/>
        <v>1624.4915388894951</v>
      </c>
      <c r="AS1906" s="17">
        <f t="shared" si="232"/>
        <v>0.16244915388894951</v>
      </c>
      <c r="AT1906" s="20">
        <v>10000</v>
      </c>
      <c r="AU1906" s="20">
        <v>9391.6357421875</v>
      </c>
      <c r="AV1906" s="20">
        <f t="shared" si="233"/>
        <v>608.3642578125</v>
      </c>
      <c r="AW1906" s="21">
        <f t="shared" si="239"/>
        <v>6.0836425781250002E-2</v>
      </c>
    </row>
    <row r="1907" spans="1:49" x14ac:dyDescent="0.25">
      <c r="A1907" t="s">
        <v>38</v>
      </c>
      <c r="B1907" t="s">
        <v>39</v>
      </c>
      <c r="C1907">
        <v>135598</v>
      </c>
      <c r="D1907">
        <v>2011</v>
      </c>
      <c r="E1907" t="s">
        <v>116</v>
      </c>
      <c r="F1907" t="s">
        <v>697</v>
      </c>
      <c r="G1907" t="s">
        <v>89</v>
      </c>
      <c r="H1907" t="s">
        <v>1268</v>
      </c>
      <c r="I1907">
        <v>8</v>
      </c>
      <c r="J1907" t="s">
        <v>135</v>
      </c>
      <c r="K1907">
        <v>4</v>
      </c>
      <c r="L1907" t="s">
        <v>44</v>
      </c>
      <c r="M1907">
        <v>5.7</v>
      </c>
      <c r="N1907" t="s">
        <v>91</v>
      </c>
      <c r="O1907" t="s">
        <v>46</v>
      </c>
      <c r="P1907">
        <v>2</v>
      </c>
      <c r="Q1907" t="s">
        <v>74</v>
      </c>
      <c r="R1907" t="s">
        <v>92</v>
      </c>
      <c r="S1907" t="s">
        <v>93</v>
      </c>
      <c r="U1907" t="s">
        <v>50</v>
      </c>
      <c r="X1907" t="s">
        <v>94</v>
      </c>
      <c r="Y1907" t="s">
        <v>78</v>
      </c>
      <c r="AA1907">
        <v>0</v>
      </c>
      <c r="AB1907" t="s">
        <v>79</v>
      </c>
      <c r="AC1907" t="s">
        <v>95</v>
      </c>
      <c r="AD1907">
        <v>36</v>
      </c>
      <c r="AE1907">
        <v>9</v>
      </c>
      <c r="AF1907">
        <v>3</v>
      </c>
      <c r="AG1907">
        <v>2025</v>
      </c>
      <c r="AH1907" s="2">
        <v>3100</v>
      </c>
      <c r="AI1907" s="2">
        <v>4491.09814453125</v>
      </c>
      <c r="AJ1907" s="2">
        <f t="shared" si="234"/>
        <v>1391.09814453125</v>
      </c>
      <c r="AK1907" s="6">
        <f t="shared" si="235"/>
        <v>0.44874133694556451</v>
      </c>
      <c r="AL1907" s="12">
        <v>3100</v>
      </c>
      <c r="AM1907" s="12">
        <v>4545.514383749477</v>
      </c>
      <c r="AN1907" s="12">
        <f t="shared" si="236"/>
        <v>1445.514383749477</v>
      </c>
      <c r="AO1907" s="13">
        <f t="shared" si="237"/>
        <v>0.46629496249983132</v>
      </c>
      <c r="AP1907" s="16">
        <v>3100</v>
      </c>
      <c r="AQ1907" s="16">
        <v>4191.9271154102016</v>
      </c>
      <c r="AR1907" s="16">
        <f t="shared" si="238"/>
        <v>1091.9271154102016</v>
      </c>
      <c r="AS1907" s="17">
        <f t="shared" si="232"/>
        <v>0.35223455335812953</v>
      </c>
      <c r="AT1907" s="20">
        <v>3100</v>
      </c>
      <c r="AU1907" s="20">
        <v>4593.91650390625</v>
      </c>
      <c r="AV1907" s="20">
        <f t="shared" si="233"/>
        <v>1493.91650390625</v>
      </c>
      <c r="AW1907" s="21">
        <f t="shared" si="239"/>
        <v>0.48190854964717744</v>
      </c>
    </row>
    <row r="1908" spans="1:49" x14ac:dyDescent="0.25">
      <c r="A1908" t="s">
        <v>38</v>
      </c>
      <c r="B1908" t="s">
        <v>96</v>
      </c>
      <c r="C1908">
        <v>136760</v>
      </c>
      <c r="D1908">
        <v>2018</v>
      </c>
      <c r="E1908" t="s">
        <v>97</v>
      </c>
      <c r="F1908" t="s">
        <v>159</v>
      </c>
      <c r="G1908" t="s">
        <v>432</v>
      </c>
      <c r="H1908" t="s">
        <v>312</v>
      </c>
      <c r="I1908">
        <v>8</v>
      </c>
      <c r="J1908" t="s">
        <v>61</v>
      </c>
      <c r="K1908">
        <v>4</v>
      </c>
      <c r="L1908" t="s">
        <v>44</v>
      </c>
      <c r="M1908">
        <v>6.6</v>
      </c>
      <c r="N1908" t="s">
        <v>91</v>
      </c>
      <c r="O1908" t="s">
        <v>46</v>
      </c>
      <c r="Q1908" t="s">
        <v>74</v>
      </c>
      <c r="R1908" t="s">
        <v>92</v>
      </c>
      <c r="S1908" t="s">
        <v>93</v>
      </c>
      <c r="U1908" t="s">
        <v>229</v>
      </c>
      <c r="V1908" t="s">
        <v>76</v>
      </c>
      <c r="W1908" t="s">
        <v>549</v>
      </c>
      <c r="X1908" t="s">
        <v>230</v>
      </c>
      <c r="Y1908" t="s">
        <v>78</v>
      </c>
      <c r="AA1908">
        <v>0</v>
      </c>
      <c r="AB1908" t="s">
        <v>79</v>
      </c>
      <c r="AC1908" t="s">
        <v>95</v>
      </c>
      <c r="AD1908">
        <v>36</v>
      </c>
      <c r="AE1908">
        <v>9</v>
      </c>
      <c r="AF1908">
        <v>3</v>
      </c>
      <c r="AG1908">
        <v>2025</v>
      </c>
      <c r="AH1908" s="2">
        <v>34000</v>
      </c>
      <c r="AI1908" s="2">
        <v>31401.5625</v>
      </c>
      <c r="AJ1908" s="2">
        <f t="shared" si="234"/>
        <v>2598.4375</v>
      </c>
      <c r="AK1908" s="6">
        <f t="shared" si="235"/>
        <v>7.6424632352941183E-2</v>
      </c>
      <c r="AL1908" s="12">
        <v>34000</v>
      </c>
      <c r="AM1908" s="12">
        <v>24224.169760211538</v>
      </c>
      <c r="AN1908" s="12">
        <f t="shared" si="236"/>
        <v>9775.8302397884618</v>
      </c>
      <c r="AO1908" s="13">
        <f t="shared" si="237"/>
        <v>0.28752441881730773</v>
      </c>
      <c r="AP1908" s="16">
        <v>34000</v>
      </c>
      <c r="AQ1908" s="16">
        <v>28186.546789088541</v>
      </c>
      <c r="AR1908" s="16">
        <f t="shared" si="238"/>
        <v>5813.4532109114589</v>
      </c>
      <c r="AS1908" s="17">
        <f t="shared" si="232"/>
        <v>0.17098391796798409</v>
      </c>
      <c r="AT1908" s="20">
        <v>34000</v>
      </c>
      <c r="AU1908" s="20">
        <v>30369.791015625</v>
      </c>
      <c r="AV1908" s="20">
        <f t="shared" si="233"/>
        <v>3630.208984375</v>
      </c>
      <c r="AW1908" s="21">
        <f t="shared" si="239"/>
        <v>0.10677085248161765</v>
      </c>
    </row>
    <row r="1909" spans="1:49" x14ac:dyDescent="0.25">
      <c r="A1909" t="s">
        <v>114</v>
      </c>
      <c r="B1909" t="s">
        <v>340</v>
      </c>
      <c r="C1909">
        <v>34703</v>
      </c>
      <c r="D1909">
        <v>2000</v>
      </c>
      <c r="E1909" t="s">
        <v>166</v>
      </c>
      <c r="F1909" t="s">
        <v>1541</v>
      </c>
      <c r="I1909">
        <v>6</v>
      </c>
      <c r="J1909" t="s">
        <v>43</v>
      </c>
      <c r="L1909" t="s">
        <v>44</v>
      </c>
      <c r="M1909">
        <v>1.52</v>
      </c>
      <c r="N1909" t="s">
        <v>73</v>
      </c>
      <c r="P1909">
        <v>2</v>
      </c>
      <c r="Q1909" t="s">
        <v>1542</v>
      </c>
      <c r="R1909" t="s">
        <v>1543</v>
      </c>
      <c r="T1909">
        <v>107</v>
      </c>
      <c r="U1909" t="s">
        <v>50</v>
      </c>
      <c r="X1909" t="s">
        <v>1544</v>
      </c>
      <c r="Y1909" t="s">
        <v>78</v>
      </c>
      <c r="AA1909">
        <v>0</v>
      </c>
      <c r="AB1909" t="s">
        <v>79</v>
      </c>
      <c r="AC1909" t="s">
        <v>886</v>
      </c>
      <c r="AD1909">
        <v>36</v>
      </c>
      <c r="AE1909">
        <v>9</v>
      </c>
      <c r="AF1909">
        <v>3</v>
      </c>
      <c r="AG1909">
        <v>2025</v>
      </c>
      <c r="AH1909" s="2">
        <v>300</v>
      </c>
      <c r="AI1909" s="2">
        <v>981.5296630859375</v>
      </c>
      <c r="AJ1909" s="2">
        <f t="shared" si="234"/>
        <v>681.5296630859375</v>
      </c>
      <c r="AK1909" s="6">
        <f t="shared" si="235"/>
        <v>2.2717655436197917</v>
      </c>
      <c r="AL1909" s="12">
        <v>300</v>
      </c>
      <c r="AM1909" s="12">
        <v>1396.3111253159479</v>
      </c>
      <c r="AN1909" s="12">
        <f t="shared" si="236"/>
        <v>1096.3111253159479</v>
      </c>
      <c r="AO1909" s="13">
        <f t="shared" si="237"/>
        <v>3.6543704177198264</v>
      </c>
      <c r="AP1909" s="16">
        <v>300</v>
      </c>
      <c r="AQ1909" s="16">
        <v>1291.995022930334</v>
      </c>
      <c r="AR1909" s="16">
        <f t="shared" si="238"/>
        <v>991.99502293033402</v>
      </c>
      <c r="AS1909" s="17">
        <f t="shared" si="232"/>
        <v>3.3066500764344466</v>
      </c>
      <c r="AT1909" s="20">
        <v>300</v>
      </c>
      <c r="AU1909" s="20">
        <v>978.32513427734375</v>
      </c>
      <c r="AV1909" s="20">
        <f t="shared" si="233"/>
        <v>678.32513427734375</v>
      </c>
      <c r="AW1909" s="21">
        <f t="shared" si="239"/>
        <v>2.261083780924479</v>
      </c>
    </row>
    <row r="1910" spans="1:49" x14ac:dyDescent="0.25">
      <c r="A1910" t="s">
        <v>38</v>
      </c>
      <c r="B1910" t="s">
        <v>110</v>
      </c>
      <c r="C1910">
        <v>207752</v>
      </c>
      <c r="D1910">
        <v>2006</v>
      </c>
      <c r="E1910" t="s">
        <v>174</v>
      </c>
      <c r="F1910" t="s">
        <v>774</v>
      </c>
      <c r="H1910" t="s">
        <v>89</v>
      </c>
      <c r="I1910">
        <v>8</v>
      </c>
      <c r="J1910" t="s">
        <v>72</v>
      </c>
      <c r="K1910">
        <v>4</v>
      </c>
      <c r="L1910" t="s">
        <v>44</v>
      </c>
      <c r="M1910">
        <v>5.3</v>
      </c>
      <c r="N1910" t="s">
        <v>73</v>
      </c>
      <c r="Q1910" t="s">
        <v>62</v>
      </c>
      <c r="R1910" t="s">
        <v>63</v>
      </c>
      <c r="S1910" t="s">
        <v>49</v>
      </c>
      <c r="U1910" t="s">
        <v>180</v>
      </c>
      <c r="V1910" t="s">
        <v>76</v>
      </c>
      <c r="W1910" t="s">
        <v>1200</v>
      </c>
      <c r="X1910" t="s">
        <v>94</v>
      </c>
      <c r="Y1910" t="s">
        <v>78</v>
      </c>
      <c r="AA1910">
        <v>1</v>
      </c>
      <c r="AB1910" t="s">
        <v>55</v>
      </c>
      <c r="AC1910" t="s">
        <v>67</v>
      </c>
      <c r="AD1910">
        <v>36</v>
      </c>
      <c r="AE1910">
        <v>9</v>
      </c>
      <c r="AF1910">
        <v>3</v>
      </c>
      <c r="AG1910">
        <v>2025</v>
      </c>
      <c r="AH1910" s="2">
        <v>1800</v>
      </c>
      <c r="AI1910" s="2">
        <v>1277.725708007812</v>
      </c>
      <c r="AJ1910" s="2">
        <f t="shared" si="234"/>
        <v>522.27429199218795</v>
      </c>
      <c r="AK1910" s="6">
        <f t="shared" si="235"/>
        <v>0.29015238444010444</v>
      </c>
      <c r="AL1910" s="12">
        <v>1800</v>
      </c>
      <c r="AM1910" s="12">
        <v>1428.8775750600259</v>
      </c>
      <c r="AN1910" s="12">
        <f t="shared" si="236"/>
        <v>371.12242493997405</v>
      </c>
      <c r="AO1910" s="13">
        <f t="shared" si="237"/>
        <v>0.20617912496665225</v>
      </c>
      <c r="AP1910" s="16">
        <v>1800</v>
      </c>
      <c r="AQ1910" s="16">
        <v>1300.486358588849</v>
      </c>
      <c r="AR1910" s="16">
        <f t="shared" si="238"/>
        <v>499.51364141115096</v>
      </c>
      <c r="AS1910" s="17">
        <f t="shared" si="232"/>
        <v>0.27750757856175051</v>
      </c>
      <c r="AT1910" s="20">
        <v>1800</v>
      </c>
      <c r="AU1910" s="20">
        <v>1271.897094726562</v>
      </c>
      <c r="AV1910" s="20">
        <f t="shared" si="233"/>
        <v>528.10290527343795</v>
      </c>
      <c r="AW1910" s="21">
        <f t="shared" si="239"/>
        <v>0.29339050292968777</v>
      </c>
    </row>
    <row r="1911" spans="1:49" x14ac:dyDescent="0.25">
      <c r="A1911" t="s">
        <v>38</v>
      </c>
      <c r="B1911" t="s">
        <v>96</v>
      </c>
      <c r="C1911">
        <v>239397</v>
      </c>
      <c r="D1911">
        <v>2010</v>
      </c>
      <c r="E1911" t="s">
        <v>286</v>
      </c>
      <c r="F1911" t="s">
        <v>1122</v>
      </c>
      <c r="G1911" t="s">
        <v>1227</v>
      </c>
      <c r="H1911" t="s">
        <v>1228</v>
      </c>
      <c r="I1911">
        <v>6</v>
      </c>
      <c r="J1911" t="s">
        <v>72</v>
      </c>
      <c r="K1911">
        <v>4</v>
      </c>
      <c r="L1911" t="s">
        <v>44</v>
      </c>
      <c r="M1911">
        <v>2.5</v>
      </c>
      <c r="N1911" t="s">
        <v>73</v>
      </c>
      <c r="O1911" t="s">
        <v>100</v>
      </c>
      <c r="Q1911" t="s">
        <v>47</v>
      </c>
      <c r="R1911" t="s">
        <v>123</v>
      </c>
      <c r="S1911" t="s">
        <v>49</v>
      </c>
      <c r="T1911">
        <v>236</v>
      </c>
      <c r="U1911" t="s">
        <v>50</v>
      </c>
      <c r="V1911" t="s">
        <v>76</v>
      </c>
      <c r="W1911" t="s">
        <v>1124</v>
      </c>
      <c r="X1911" t="s">
        <v>125</v>
      </c>
      <c r="Y1911" t="s">
        <v>54</v>
      </c>
      <c r="AA1911">
        <v>0</v>
      </c>
      <c r="AB1911" t="s">
        <v>79</v>
      </c>
      <c r="AC1911" t="s">
        <v>127</v>
      </c>
      <c r="AD1911">
        <v>36</v>
      </c>
      <c r="AE1911">
        <v>9</v>
      </c>
      <c r="AF1911">
        <v>3</v>
      </c>
      <c r="AG1911">
        <v>2025</v>
      </c>
      <c r="AH1911" s="2">
        <v>400</v>
      </c>
      <c r="AI1911" s="2">
        <v>870.74285888671875</v>
      </c>
      <c r="AJ1911" s="2">
        <f t="shared" si="234"/>
        <v>470.74285888671875</v>
      </c>
      <c r="AK1911" s="6">
        <f t="shared" si="235"/>
        <v>1.1768571472167968</v>
      </c>
      <c r="AL1911" s="12">
        <v>400</v>
      </c>
      <c r="AM1911" s="12">
        <v>1057.618732139847</v>
      </c>
      <c r="AN1911" s="12">
        <f t="shared" si="236"/>
        <v>657.618732139847</v>
      </c>
      <c r="AO1911" s="13">
        <f t="shared" si="237"/>
        <v>1.6440468303496174</v>
      </c>
      <c r="AP1911" s="16">
        <v>400</v>
      </c>
      <c r="AQ1911" s="16">
        <v>825.50775628302119</v>
      </c>
      <c r="AR1911" s="16">
        <f t="shared" si="238"/>
        <v>425.50775628302119</v>
      </c>
      <c r="AS1911" s="17">
        <f t="shared" si="232"/>
        <v>1.0637693907075529</v>
      </c>
      <c r="AT1911" s="20">
        <v>400</v>
      </c>
      <c r="AU1911" s="20">
        <v>871.989501953125</v>
      </c>
      <c r="AV1911" s="20">
        <f t="shared" si="233"/>
        <v>471.989501953125</v>
      </c>
      <c r="AW1911" s="21">
        <f t="shared" si="239"/>
        <v>1.1799737548828124</v>
      </c>
    </row>
    <row r="1912" spans="1:49" x14ac:dyDescent="0.25">
      <c r="A1912" t="s">
        <v>38</v>
      </c>
      <c r="B1912" t="s">
        <v>96</v>
      </c>
      <c r="C1912">
        <v>50207</v>
      </c>
      <c r="D1912">
        <v>2024</v>
      </c>
      <c r="E1912" t="s">
        <v>142</v>
      </c>
      <c r="F1912" t="s">
        <v>1025</v>
      </c>
      <c r="H1912" t="s">
        <v>118</v>
      </c>
      <c r="I1912">
        <v>6</v>
      </c>
      <c r="J1912" t="s">
        <v>106</v>
      </c>
      <c r="K1912">
        <v>4</v>
      </c>
      <c r="L1912" t="s">
        <v>44</v>
      </c>
      <c r="M1912">
        <v>3.6</v>
      </c>
      <c r="N1912" t="s">
        <v>91</v>
      </c>
      <c r="O1912" t="s">
        <v>46</v>
      </c>
      <c r="P1912">
        <v>4</v>
      </c>
      <c r="Q1912" t="s">
        <v>62</v>
      </c>
      <c r="R1912" t="s">
        <v>63</v>
      </c>
      <c r="S1912" t="s">
        <v>93</v>
      </c>
      <c r="T1912">
        <v>293</v>
      </c>
      <c r="U1912" t="s">
        <v>50</v>
      </c>
      <c r="V1912" t="s">
        <v>76</v>
      </c>
      <c r="X1912" t="s">
        <v>94</v>
      </c>
      <c r="Y1912" t="s">
        <v>78</v>
      </c>
      <c r="AA1912">
        <v>0</v>
      </c>
      <c r="AB1912" t="s">
        <v>79</v>
      </c>
      <c r="AC1912" t="s">
        <v>109</v>
      </c>
      <c r="AD1912">
        <v>36</v>
      </c>
      <c r="AE1912">
        <v>9</v>
      </c>
      <c r="AF1912">
        <v>3</v>
      </c>
      <c r="AG1912">
        <v>2025</v>
      </c>
      <c r="AH1912" s="2">
        <v>28500</v>
      </c>
      <c r="AI1912" s="2">
        <v>28668.330078125</v>
      </c>
      <c r="AJ1912" s="2">
        <f t="shared" si="234"/>
        <v>168.330078125</v>
      </c>
      <c r="AK1912" s="6">
        <f t="shared" si="235"/>
        <v>5.9063185307017541E-3</v>
      </c>
      <c r="AL1912" s="12">
        <v>28500</v>
      </c>
      <c r="AM1912" s="12">
        <v>33673.273135973359</v>
      </c>
      <c r="AN1912" s="12">
        <f t="shared" si="236"/>
        <v>5173.2731359733589</v>
      </c>
      <c r="AO1912" s="13">
        <f t="shared" si="237"/>
        <v>0.18151835564818802</v>
      </c>
      <c r="AP1912" s="16">
        <v>28500</v>
      </c>
      <c r="AQ1912" s="16">
        <v>31046.1913033237</v>
      </c>
      <c r="AR1912" s="16">
        <f t="shared" si="238"/>
        <v>2546.1913033236997</v>
      </c>
      <c r="AS1912" s="17">
        <f t="shared" si="232"/>
        <v>8.9340045730656126E-2</v>
      </c>
      <c r="AT1912" s="20">
        <v>28500</v>
      </c>
      <c r="AU1912" s="20">
        <v>29146.3125</v>
      </c>
      <c r="AV1912" s="20">
        <f t="shared" si="233"/>
        <v>646.3125</v>
      </c>
      <c r="AW1912" s="21">
        <f t="shared" si="239"/>
        <v>2.2677631578947369E-2</v>
      </c>
    </row>
    <row r="1913" spans="1:49" x14ac:dyDescent="0.25">
      <c r="A1913" t="s">
        <v>38</v>
      </c>
      <c r="B1913" t="s">
        <v>110</v>
      </c>
      <c r="C1913">
        <v>65009</v>
      </c>
      <c r="D1913">
        <v>2021</v>
      </c>
      <c r="E1913" t="s">
        <v>40</v>
      </c>
      <c r="F1913" t="s">
        <v>550</v>
      </c>
      <c r="G1913" t="s">
        <v>572</v>
      </c>
      <c r="H1913" t="s">
        <v>1545</v>
      </c>
      <c r="I1913">
        <v>6</v>
      </c>
      <c r="J1913" t="s">
        <v>599</v>
      </c>
      <c r="K1913">
        <v>4</v>
      </c>
      <c r="L1913" t="s">
        <v>44</v>
      </c>
      <c r="M1913">
        <v>3.5</v>
      </c>
      <c r="N1913" t="s">
        <v>45</v>
      </c>
      <c r="Q1913" t="s">
        <v>62</v>
      </c>
      <c r="R1913" t="s">
        <v>63</v>
      </c>
      <c r="S1913" t="s">
        <v>49</v>
      </c>
      <c r="T1913">
        <v>295</v>
      </c>
      <c r="U1913" t="s">
        <v>50</v>
      </c>
      <c r="V1913" t="s">
        <v>76</v>
      </c>
      <c r="W1913" t="s">
        <v>152</v>
      </c>
      <c r="X1913" t="s">
        <v>141</v>
      </c>
      <c r="Y1913" t="s">
        <v>78</v>
      </c>
      <c r="Z1913">
        <v>37285</v>
      </c>
      <c r="AA1913">
        <v>0</v>
      </c>
      <c r="AB1913" t="s">
        <v>79</v>
      </c>
      <c r="AC1913" t="s">
        <v>109</v>
      </c>
      <c r="AD1913">
        <v>36</v>
      </c>
      <c r="AE1913">
        <v>9</v>
      </c>
      <c r="AF1913">
        <v>3</v>
      </c>
      <c r="AG1913">
        <v>2025</v>
      </c>
      <c r="AH1913" s="2">
        <v>23600</v>
      </c>
      <c r="AI1913" s="2">
        <v>21264.287109375</v>
      </c>
      <c r="AJ1913" s="2">
        <f t="shared" si="234"/>
        <v>2335.712890625</v>
      </c>
      <c r="AK1913" s="6">
        <f t="shared" si="235"/>
        <v>9.8970885195974578E-2</v>
      </c>
      <c r="AL1913" s="12">
        <v>23600</v>
      </c>
      <c r="AM1913" s="12">
        <v>21829.898212298041</v>
      </c>
      <c r="AN1913" s="12">
        <f t="shared" si="236"/>
        <v>1770.1017877019585</v>
      </c>
      <c r="AO1913" s="13">
        <f t="shared" si="237"/>
        <v>7.5004313038218584E-2</v>
      </c>
      <c r="AP1913" s="16">
        <v>23600</v>
      </c>
      <c r="AQ1913" s="16">
        <v>20681.149656558311</v>
      </c>
      <c r="AR1913" s="16">
        <f t="shared" si="238"/>
        <v>2918.8503434416889</v>
      </c>
      <c r="AS1913" s="17">
        <f t="shared" si="232"/>
        <v>0.12368009929837664</v>
      </c>
      <c r="AT1913" s="20">
        <v>23600</v>
      </c>
      <c r="AU1913" s="20">
        <v>21110.67578125</v>
      </c>
      <c r="AV1913" s="20">
        <f t="shared" si="233"/>
        <v>2489.32421875</v>
      </c>
      <c r="AW1913" s="21">
        <f t="shared" si="239"/>
        <v>0.10547983977754237</v>
      </c>
    </row>
    <row r="1914" spans="1:49" x14ac:dyDescent="0.25">
      <c r="A1914" t="s">
        <v>128</v>
      </c>
      <c r="B1914" t="s">
        <v>129</v>
      </c>
      <c r="C1914">
        <v>113398</v>
      </c>
      <c r="D1914">
        <v>2018</v>
      </c>
      <c r="E1914" t="s">
        <v>69</v>
      </c>
      <c r="F1914" t="s">
        <v>394</v>
      </c>
      <c r="H1914" t="s">
        <v>1546</v>
      </c>
      <c r="I1914">
        <v>4</v>
      </c>
      <c r="J1914" t="s">
        <v>72</v>
      </c>
      <c r="K1914">
        <v>4</v>
      </c>
      <c r="L1914" t="s">
        <v>44</v>
      </c>
      <c r="M1914">
        <v>2</v>
      </c>
      <c r="N1914" t="s">
        <v>45</v>
      </c>
      <c r="O1914" t="s">
        <v>46</v>
      </c>
      <c r="P1914">
        <v>4</v>
      </c>
      <c r="Q1914" t="s">
        <v>47</v>
      </c>
      <c r="R1914" t="s">
        <v>123</v>
      </c>
      <c r="S1914" t="s">
        <v>101</v>
      </c>
      <c r="T1914">
        <v>188</v>
      </c>
      <c r="U1914" t="s">
        <v>50</v>
      </c>
      <c r="V1914" t="s">
        <v>51</v>
      </c>
      <c r="W1914" t="s">
        <v>1547</v>
      </c>
      <c r="X1914" t="s">
        <v>125</v>
      </c>
      <c r="Y1914" t="s">
        <v>126</v>
      </c>
      <c r="Z1914">
        <v>26340</v>
      </c>
      <c r="AA1914">
        <v>1</v>
      </c>
      <c r="AB1914" t="s">
        <v>55</v>
      </c>
      <c r="AC1914" t="s">
        <v>393</v>
      </c>
      <c r="AD1914">
        <v>36</v>
      </c>
      <c r="AE1914">
        <v>9</v>
      </c>
      <c r="AF1914">
        <v>3</v>
      </c>
      <c r="AG1914">
        <v>2025</v>
      </c>
      <c r="AH1914" s="2">
        <v>4600</v>
      </c>
      <c r="AI1914" s="2">
        <v>8011.03369140625</v>
      </c>
      <c r="AJ1914" s="2">
        <f t="shared" si="234"/>
        <v>3411.03369140625</v>
      </c>
      <c r="AK1914" s="6">
        <f t="shared" si="235"/>
        <v>0.74152906334918478</v>
      </c>
      <c r="AL1914" s="12">
        <v>4600</v>
      </c>
      <c r="AM1914" s="12">
        <v>7206.3118619943316</v>
      </c>
      <c r="AN1914" s="12">
        <f t="shared" si="236"/>
        <v>2606.3118619943316</v>
      </c>
      <c r="AO1914" s="13">
        <f t="shared" si="237"/>
        <v>0.56658953521615907</v>
      </c>
      <c r="AP1914" s="16">
        <v>4600</v>
      </c>
      <c r="AQ1914" s="16">
        <v>5467.9285763058697</v>
      </c>
      <c r="AR1914" s="16">
        <f t="shared" si="238"/>
        <v>867.92857630586968</v>
      </c>
      <c r="AS1914" s="17">
        <f t="shared" si="232"/>
        <v>0.18868012528388473</v>
      </c>
      <c r="AT1914" s="20">
        <v>4600</v>
      </c>
      <c r="AU1914" s="20">
        <v>8018.3798828125</v>
      </c>
      <c r="AV1914" s="20">
        <f t="shared" si="233"/>
        <v>3418.3798828125</v>
      </c>
      <c r="AW1914" s="21">
        <f t="shared" si="239"/>
        <v>0.74312606148097826</v>
      </c>
    </row>
    <row r="1915" spans="1:49" x14ac:dyDescent="0.25">
      <c r="A1915" t="s">
        <v>38</v>
      </c>
      <c r="B1915" t="s">
        <v>96</v>
      </c>
      <c r="C1915">
        <v>146836</v>
      </c>
      <c r="D1915">
        <v>2015</v>
      </c>
      <c r="E1915" t="s">
        <v>69</v>
      </c>
      <c r="F1915" t="s">
        <v>394</v>
      </c>
      <c r="H1915" t="s">
        <v>447</v>
      </c>
      <c r="I1915">
        <v>4</v>
      </c>
      <c r="J1915" t="s">
        <v>135</v>
      </c>
      <c r="K1915">
        <v>4</v>
      </c>
      <c r="L1915" t="s">
        <v>44</v>
      </c>
      <c r="M1915">
        <v>2</v>
      </c>
      <c r="N1915" t="s">
        <v>45</v>
      </c>
      <c r="O1915" t="s">
        <v>46</v>
      </c>
      <c r="P1915">
        <v>2</v>
      </c>
      <c r="Q1915" t="s">
        <v>47</v>
      </c>
      <c r="R1915" t="s">
        <v>123</v>
      </c>
      <c r="S1915" t="s">
        <v>101</v>
      </c>
      <c r="T1915">
        <v>240</v>
      </c>
      <c r="U1915" t="s">
        <v>50</v>
      </c>
      <c r="V1915" t="s">
        <v>51</v>
      </c>
      <c r="X1915" t="s">
        <v>125</v>
      </c>
      <c r="Y1915" t="s">
        <v>126</v>
      </c>
      <c r="AA1915">
        <v>0</v>
      </c>
      <c r="AB1915" t="s">
        <v>79</v>
      </c>
      <c r="AC1915" t="s">
        <v>127</v>
      </c>
      <c r="AD1915">
        <v>36</v>
      </c>
      <c r="AE1915">
        <v>9</v>
      </c>
      <c r="AF1915">
        <v>3</v>
      </c>
      <c r="AG1915">
        <v>2025</v>
      </c>
      <c r="AH1915" s="2">
        <v>1700</v>
      </c>
      <c r="AI1915" s="2">
        <v>2514.57080078125</v>
      </c>
      <c r="AJ1915" s="2">
        <f t="shared" si="234"/>
        <v>814.57080078125</v>
      </c>
      <c r="AK1915" s="6">
        <f t="shared" si="235"/>
        <v>0.47915929457720591</v>
      </c>
      <c r="AL1915" s="12">
        <v>1700</v>
      </c>
      <c r="AM1915" s="12">
        <v>2197.8818463748521</v>
      </c>
      <c r="AN1915" s="12">
        <f t="shared" si="236"/>
        <v>497.8818463748521</v>
      </c>
      <c r="AO1915" s="13">
        <f t="shared" si="237"/>
        <v>0.29287167433814831</v>
      </c>
      <c r="AP1915" s="16">
        <v>1700</v>
      </c>
      <c r="AQ1915" s="16">
        <v>2096.4398990707609</v>
      </c>
      <c r="AR1915" s="16">
        <f t="shared" si="238"/>
        <v>396.43989907076093</v>
      </c>
      <c r="AS1915" s="17">
        <f t="shared" si="232"/>
        <v>0.23319994062985938</v>
      </c>
      <c r="AT1915" s="20">
        <v>1700</v>
      </c>
      <c r="AU1915" s="20">
        <v>2493.60595703125</v>
      </c>
      <c r="AV1915" s="20">
        <f t="shared" si="233"/>
        <v>793.60595703125</v>
      </c>
      <c r="AW1915" s="21">
        <f t="shared" si="239"/>
        <v>0.46682703354779409</v>
      </c>
    </row>
    <row r="1916" spans="1:49" x14ac:dyDescent="0.25">
      <c r="A1916" t="s">
        <v>128</v>
      </c>
      <c r="B1916" t="s">
        <v>129</v>
      </c>
      <c r="C1916">
        <v>111640</v>
      </c>
      <c r="D1916">
        <v>2014</v>
      </c>
      <c r="E1916" t="s">
        <v>305</v>
      </c>
      <c r="F1916" t="s">
        <v>1153</v>
      </c>
      <c r="H1916" t="s">
        <v>807</v>
      </c>
      <c r="I1916">
        <v>4</v>
      </c>
      <c r="J1916" t="s">
        <v>217</v>
      </c>
      <c r="K1916">
        <v>4</v>
      </c>
      <c r="L1916" t="s">
        <v>44</v>
      </c>
      <c r="M1916">
        <v>2</v>
      </c>
      <c r="N1916" t="s">
        <v>45</v>
      </c>
      <c r="O1916" t="s">
        <v>46</v>
      </c>
      <c r="Q1916" t="s">
        <v>47</v>
      </c>
      <c r="R1916" t="s">
        <v>123</v>
      </c>
      <c r="S1916" t="s">
        <v>101</v>
      </c>
      <c r="T1916">
        <v>240</v>
      </c>
      <c r="U1916" t="s">
        <v>50</v>
      </c>
      <c r="V1916" t="s">
        <v>51</v>
      </c>
      <c r="X1916" t="s">
        <v>125</v>
      </c>
      <c r="Y1916" t="s">
        <v>126</v>
      </c>
      <c r="AA1916">
        <v>0</v>
      </c>
      <c r="AB1916" t="s">
        <v>79</v>
      </c>
      <c r="AC1916" t="s">
        <v>127</v>
      </c>
      <c r="AD1916">
        <v>36</v>
      </c>
      <c r="AE1916">
        <v>9</v>
      </c>
      <c r="AF1916">
        <v>3</v>
      </c>
      <c r="AG1916">
        <v>2025</v>
      </c>
      <c r="AH1916" s="2">
        <v>6800</v>
      </c>
      <c r="AI1916" s="2">
        <v>3602.555419921875</v>
      </c>
      <c r="AJ1916" s="2">
        <f t="shared" si="234"/>
        <v>3197.444580078125</v>
      </c>
      <c r="AK1916" s="6">
        <f t="shared" si="235"/>
        <v>0.4702124382467831</v>
      </c>
      <c r="AL1916" s="12">
        <v>6800</v>
      </c>
      <c r="AM1916" s="12">
        <v>3261.0824985471818</v>
      </c>
      <c r="AN1916" s="12">
        <f t="shared" si="236"/>
        <v>3538.9175014528182</v>
      </c>
      <c r="AO1916" s="13">
        <f t="shared" si="237"/>
        <v>0.52042904433129678</v>
      </c>
      <c r="AP1916" s="16">
        <v>6800</v>
      </c>
      <c r="AQ1916" s="16">
        <v>3000.6903132298189</v>
      </c>
      <c r="AR1916" s="16">
        <f t="shared" si="238"/>
        <v>3799.3096867701811</v>
      </c>
      <c r="AS1916" s="17">
        <f t="shared" si="232"/>
        <v>0.55872201276032074</v>
      </c>
      <c r="AT1916" s="20">
        <v>6800</v>
      </c>
      <c r="AU1916" s="20">
        <v>3591.273681640625</v>
      </c>
      <c r="AV1916" s="20">
        <f t="shared" si="233"/>
        <v>3208.726318359375</v>
      </c>
      <c r="AW1916" s="21">
        <f t="shared" si="239"/>
        <v>0.47187151740579042</v>
      </c>
    </row>
    <row r="1917" spans="1:49" x14ac:dyDescent="0.25">
      <c r="A1917" t="s">
        <v>114</v>
      </c>
      <c r="B1917" t="s">
        <v>340</v>
      </c>
      <c r="C1917">
        <v>199297</v>
      </c>
      <c r="D1917">
        <v>2006</v>
      </c>
      <c r="E1917" t="s">
        <v>40</v>
      </c>
      <c r="F1917" t="s">
        <v>643</v>
      </c>
      <c r="G1917" t="s">
        <v>572</v>
      </c>
      <c r="H1917" t="s">
        <v>1118</v>
      </c>
      <c r="I1917">
        <v>6</v>
      </c>
      <c r="J1917" t="s">
        <v>43</v>
      </c>
      <c r="K1917">
        <v>4</v>
      </c>
      <c r="L1917" t="s">
        <v>44</v>
      </c>
      <c r="M1917">
        <v>3.3</v>
      </c>
      <c r="N1917" t="s">
        <v>45</v>
      </c>
      <c r="O1917" t="s">
        <v>46</v>
      </c>
      <c r="P1917">
        <v>2</v>
      </c>
      <c r="Q1917" t="s">
        <v>62</v>
      </c>
      <c r="R1917" t="s">
        <v>225</v>
      </c>
      <c r="S1917" t="s">
        <v>49</v>
      </c>
      <c r="T1917">
        <v>215</v>
      </c>
      <c r="U1917" t="s">
        <v>50</v>
      </c>
      <c r="V1917" t="s">
        <v>76</v>
      </c>
      <c r="W1917" t="s">
        <v>1119</v>
      </c>
      <c r="X1917" t="s">
        <v>141</v>
      </c>
      <c r="Y1917" t="s">
        <v>78</v>
      </c>
      <c r="AA1917">
        <v>0</v>
      </c>
      <c r="AB1917" t="s">
        <v>79</v>
      </c>
      <c r="AC1917" t="s">
        <v>225</v>
      </c>
      <c r="AD1917">
        <v>36</v>
      </c>
      <c r="AE1917">
        <v>9</v>
      </c>
      <c r="AF1917">
        <v>3</v>
      </c>
      <c r="AG1917">
        <v>2025</v>
      </c>
      <c r="AH1917" s="2">
        <v>600</v>
      </c>
      <c r="AI1917" s="2">
        <v>886.2310791015625</v>
      </c>
      <c r="AJ1917" s="2">
        <f t="shared" si="234"/>
        <v>286.2310791015625</v>
      </c>
      <c r="AK1917" s="6">
        <f t="shared" si="235"/>
        <v>0.47705179850260415</v>
      </c>
      <c r="AL1917" s="12">
        <v>600</v>
      </c>
      <c r="AM1917" s="12">
        <v>807.22209960722591</v>
      </c>
      <c r="AN1917" s="12">
        <f t="shared" si="236"/>
        <v>207.22209960722591</v>
      </c>
      <c r="AO1917" s="13">
        <f t="shared" si="237"/>
        <v>0.34537016601204318</v>
      </c>
      <c r="AP1917" s="16">
        <v>600</v>
      </c>
      <c r="AQ1917" s="16">
        <v>757.42758367121223</v>
      </c>
      <c r="AR1917" s="16">
        <f t="shared" si="238"/>
        <v>157.42758367121223</v>
      </c>
      <c r="AS1917" s="17">
        <f t="shared" si="232"/>
        <v>0.26237930611868704</v>
      </c>
      <c r="AT1917" s="20">
        <v>600</v>
      </c>
      <c r="AU1917" s="20">
        <v>820.258056640625</v>
      </c>
      <c r="AV1917" s="20">
        <f t="shared" si="233"/>
        <v>220.258056640625</v>
      </c>
      <c r="AW1917" s="21">
        <f t="shared" si="239"/>
        <v>0.36709676106770833</v>
      </c>
    </row>
    <row r="1918" spans="1:49" x14ac:dyDescent="0.25">
      <c r="A1918" t="s">
        <v>38</v>
      </c>
      <c r="B1918" t="s">
        <v>39</v>
      </c>
      <c r="C1918">
        <v>84055</v>
      </c>
      <c r="D1918">
        <v>2022</v>
      </c>
      <c r="E1918" t="s">
        <v>40</v>
      </c>
      <c r="F1918" t="s">
        <v>297</v>
      </c>
      <c r="G1918" t="s">
        <v>572</v>
      </c>
      <c r="H1918" t="s">
        <v>1548</v>
      </c>
      <c r="I1918">
        <v>4</v>
      </c>
      <c r="J1918" t="s">
        <v>106</v>
      </c>
      <c r="K1918">
        <v>4</v>
      </c>
      <c r="L1918" t="s">
        <v>44</v>
      </c>
      <c r="M1918">
        <v>2.5</v>
      </c>
      <c r="N1918" t="s">
        <v>45</v>
      </c>
      <c r="O1918" t="s">
        <v>46</v>
      </c>
      <c r="P1918">
        <v>2</v>
      </c>
      <c r="Q1918" t="s">
        <v>47</v>
      </c>
      <c r="R1918" t="s">
        <v>123</v>
      </c>
      <c r="S1918" t="s">
        <v>49</v>
      </c>
      <c r="T1918">
        <v>202</v>
      </c>
      <c r="U1918" t="s">
        <v>50</v>
      </c>
      <c r="V1918" t="s">
        <v>51</v>
      </c>
      <c r="W1918" t="s">
        <v>449</v>
      </c>
      <c r="X1918" t="s">
        <v>125</v>
      </c>
      <c r="Y1918" t="s">
        <v>78</v>
      </c>
      <c r="AA1918">
        <v>0</v>
      </c>
      <c r="AB1918" t="s">
        <v>79</v>
      </c>
      <c r="AC1918" t="s">
        <v>127</v>
      </c>
      <c r="AD1918">
        <v>36</v>
      </c>
      <c r="AE1918">
        <v>9</v>
      </c>
      <c r="AF1918">
        <v>3</v>
      </c>
      <c r="AG1918">
        <v>2025</v>
      </c>
      <c r="AH1918" s="2">
        <v>13900</v>
      </c>
      <c r="AI1918" s="2">
        <v>10656.115234375</v>
      </c>
      <c r="AJ1918" s="2">
        <f t="shared" si="234"/>
        <v>3243.884765625</v>
      </c>
      <c r="AK1918" s="6">
        <f t="shared" si="235"/>
        <v>0.23337300472122302</v>
      </c>
      <c r="AL1918" s="12">
        <v>13900</v>
      </c>
      <c r="AM1918" s="12">
        <v>11275.645274320559</v>
      </c>
      <c r="AN1918" s="12">
        <f t="shared" si="236"/>
        <v>2624.3547256794409</v>
      </c>
      <c r="AO1918" s="13">
        <f t="shared" si="237"/>
        <v>0.1888024982503195</v>
      </c>
      <c r="AP1918" s="16">
        <v>13900</v>
      </c>
      <c r="AQ1918" s="16">
        <v>10874.04197482553</v>
      </c>
      <c r="AR1918" s="16">
        <f t="shared" si="238"/>
        <v>3025.9580251744701</v>
      </c>
      <c r="AS1918" s="17">
        <f t="shared" si="232"/>
        <v>0.21769482195499784</v>
      </c>
      <c r="AT1918" s="20">
        <v>13900</v>
      </c>
      <c r="AU1918" s="20">
        <v>10856.0732421875</v>
      </c>
      <c r="AV1918" s="20">
        <f t="shared" si="233"/>
        <v>3043.9267578125</v>
      </c>
      <c r="AW1918" s="21">
        <f t="shared" si="239"/>
        <v>0.21898753653327338</v>
      </c>
    </row>
    <row r="1919" spans="1:49" x14ac:dyDescent="0.25">
      <c r="A1919" t="s">
        <v>38</v>
      </c>
      <c r="B1919" t="s">
        <v>39</v>
      </c>
      <c r="C1919">
        <v>66426</v>
      </c>
      <c r="D1919">
        <v>2020</v>
      </c>
      <c r="E1919" t="s">
        <v>69</v>
      </c>
      <c r="F1919" t="s">
        <v>416</v>
      </c>
      <c r="H1919" t="s">
        <v>105</v>
      </c>
      <c r="I1919">
        <v>6</v>
      </c>
      <c r="J1919" t="s">
        <v>61</v>
      </c>
      <c r="K1919">
        <v>4</v>
      </c>
      <c r="L1919" t="s">
        <v>44</v>
      </c>
      <c r="M1919">
        <v>3.5</v>
      </c>
      <c r="N1919" t="s">
        <v>73</v>
      </c>
      <c r="O1919" t="s">
        <v>46</v>
      </c>
      <c r="Q1919" t="s">
        <v>62</v>
      </c>
      <c r="R1919" t="s">
        <v>63</v>
      </c>
      <c r="S1919" t="s">
        <v>49</v>
      </c>
      <c r="T1919">
        <v>310</v>
      </c>
      <c r="U1919" t="s">
        <v>50</v>
      </c>
      <c r="V1919" t="s">
        <v>76</v>
      </c>
      <c r="W1919" t="s">
        <v>107</v>
      </c>
      <c r="X1919" t="s">
        <v>108</v>
      </c>
      <c r="Y1919" t="s">
        <v>78</v>
      </c>
      <c r="AA1919">
        <v>0</v>
      </c>
      <c r="AB1919" t="s">
        <v>79</v>
      </c>
      <c r="AC1919" t="s">
        <v>109</v>
      </c>
      <c r="AD1919">
        <v>36</v>
      </c>
      <c r="AE1919">
        <v>9</v>
      </c>
      <c r="AF1919">
        <v>3</v>
      </c>
      <c r="AG1919">
        <v>2025</v>
      </c>
      <c r="AH1919" s="2">
        <v>23000</v>
      </c>
      <c r="AI1919" s="2">
        <v>24880.06640625</v>
      </c>
      <c r="AJ1919" s="2">
        <f t="shared" si="234"/>
        <v>1880.06640625</v>
      </c>
      <c r="AK1919" s="6">
        <f t="shared" si="235"/>
        <v>8.1742017663043481E-2</v>
      </c>
      <c r="AL1919" s="12">
        <v>23000</v>
      </c>
      <c r="AM1919" s="12">
        <v>27076.058889869819</v>
      </c>
      <c r="AN1919" s="12">
        <f t="shared" si="236"/>
        <v>4076.0588898698188</v>
      </c>
      <c r="AO1919" s="13">
        <f t="shared" si="237"/>
        <v>0.17721995173347038</v>
      </c>
      <c r="AP1919" s="16">
        <v>23000</v>
      </c>
      <c r="AQ1919" s="16">
        <v>26648.398323326572</v>
      </c>
      <c r="AR1919" s="16">
        <f t="shared" si="238"/>
        <v>3648.3983233265717</v>
      </c>
      <c r="AS1919" s="17">
        <f t="shared" si="232"/>
        <v>0.15862601405767704</v>
      </c>
      <c r="AT1919" s="20">
        <v>23000</v>
      </c>
      <c r="AU1919" s="20">
        <v>25146.865234375</v>
      </c>
      <c r="AV1919" s="20">
        <f t="shared" si="233"/>
        <v>2146.865234375</v>
      </c>
      <c r="AW1919" s="21">
        <f t="shared" si="239"/>
        <v>9.334196671195652E-2</v>
      </c>
    </row>
    <row r="1920" spans="1:49" x14ac:dyDescent="0.25">
      <c r="A1920" t="s">
        <v>38</v>
      </c>
      <c r="B1920" t="s">
        <v>96</v>
      </c>
      <c r="C1920">
        <v>40705</v>
      </c>
      <c r="D1920">
        <v>2024</v>
      </c>
      <c r="E1920" t="s">
        <v>40</v>
      </c>
      <c r="F1920" t="s">
        <v>182</v>
      </c>
      <c r="G1920" t="s">
        <v>183</v>
      </c>
      <c r="H1920" t="s">
        <v>184</v>
      </c>
      <c r="I1920">
        <v>6</v>
      </c>
      <c r="J1920" t="s">
        <v>72</v>
      </c>
      <c r="K1920">
        <v>4</v>
      </c>
      <c r="L1920" t="s">
        <v>44</v>
      </c>
      <c r="M1920">
        <v>4</v>
      </c>
      <c r="N1920" t="s">
        <v>91</v>
      </c>
      <c r="O1920" t="s">
        <v>46</v>
      </c>
      <c r="P1920">
        <v>5</v>
      </c>
      <c r="Q1920" t="s">
        <v>62</v>
      </c>
      <c r="R1920" t="s">
        <v>63</v>
      </c>
      <c r="S1920" t="s">
        <v>93</v>
      </c>
      <c r="T1920">
        <v>270</v>
      </c>
      <c r="U1920" t="s">
        <v>50</v>
      </c>
      <c r="V1920" t="s">
        <v>76</v>
      </c>
      <c r="W1920" t="s">
        <v>185</v>
      </c>
      <c r="X1920" t="s">
        <v>94</v>
      </c>
      <c r="Y1920" t="s">
        <v>54</v>
      </c>
      <c r="AA1920">
        <v>0</v>
      </c>
      <c r="AB1920" t="s">
        <v>79</v>
      </c>
      <c r="AC1920" t="s">
        <v>87</v>
      </c>
      <c r="AD1920">
        <v>36</v>
      </c>
      <c r="AE1920">
        <v>9</v>
      </c>
      <c r="AF1920">
        <v>3</v>
      </c>
      <c r="AG1920">
        <v>2025</v>
      </c>
      <c r="AH1920" s="2">
        <v>37500</v>
      </c>
      <c r="AI1920" s="2">
        <v>37407.546875</v>
      </c>
      <c r="AJ1920" s="2">
        <f t="shared" si="234"/>
        <v>92.453125</v>
      </c>
      <c r="AK1920" s="6">
        <f t="shared" si="235"/>
        <v>2.4654166666666665E-3</v>
      </c>
      <c r="AL1920" s="12">
        <v>37500</v>
      </c>
      <c r="AM1920" s="12">
        <v>36776.633113609612</v>
      </c>
      <c r="AN1920" s="12">
        <f t="shared" si="236"/>
        <v>723.36688639038766</v>
      </c>
      <c r="AO1920" s="13">
        <f t="shared" si="237"/>
        <v>1.9289783637077004E-2</v>
      </c>
      <c r="AP1920" s="16">
        <v>37500</v>
      </c>
      <c r="AQ1920" s="16">
        <v>37297.783302863652</v>
      </c>
      <c r="AR1920" s="16">
        <f t="shared" si="238"/>
        <v>202.21669713634765</v>
      </c>
      <c r="AS1920" s="17">
        <f t="shared" si="232"/>
        <v>5.3924452569692706E-3</v>
      </c>
      <c r="AT1920" s="20">
        <v>37500</v>
      </c>
      <c r="AU1920" s="20">
        <v>37678.265625</v>
      </c>
      <c r="AV1920" s="20">
        <f t="shared" si="233"/>
        <v>178.265625</v>
      </c>
      <c r="AW1920" s="21">
        <f t="shared" si="239"/>
        <v>4.7537500000000002E-3</v>
      </c>
    </row>
    <row r="1921" spans="1:49" x14ac:dyDescent="0.25">
      <c r="A1921" t="s">
        <v>38</v>
      </c>
      <c r="B1921" t="s">
        <v>110</v>
      </c>
      <c r="C1921">
        <v>126987</v>
      </c>
      <c r="D1921">
        <v>2018</v>
      </c>
      <c r="E1921" t="s">
        <v>119</v>
      </c>
      <c r="F1921" t="s">
        <v>958</v>
      </c>
      <c r="G1921" t="s">
        <v>1454</v>
      </c>
      <c r="I1921">
        <v>4</v>
      </c>
      <c r="J1921" t="s">
        <v>43</v>
      </c>
      <c r="K1921">
        <v>4</v>
      </c>
      <c r="L1921" t="s">
        <v>44</v>
      </c>
      <c r="M1921">
        <v>2</v>
      </c>
      <c r="N1921" t="s">
        <v>45</v>
      </c>
      <c r="Q1921" t="s">
        <v>62</v>
      </c>
      <c r="R1921" t="s">
        <v>63</v>
      </c>
      <c r="S1921" t="s">
        <v>101</v>
      </c>
      <c r="T1921">
        <v>184</v>
      </c>
      <c r="U1921" t="s">
        <v>50</v>
      </c>
      <c r="X1921" t="s">
        <v>141</v>
      </c>
      <c r="Y1921" t="s">
        <v>126</v>
      </c>
      <c r="Z1921">
        <v>26750</v>
      </c>
      <c r="AA1921">
        <v>0</v>
      </c>
      <c r="AB1921" t="s">
        <v>79</v>
      </c>
      <c r="AC1921" t="s">
        <v>109</v>
      </c>
      <c r="AD1921">
        <v>36</v>
      </c>
      <c r="AE1921">
        <v>9</v>
      </c>
      <c r="AF1921">
        <v>3</v>
      </c>
      <c r="AG1921">
        <v>2025</v>
      </c>
      <c r="AH1921" s="2">
        <v>7200</v>
      </c>
      <c r="AI1921" s="2">
        <v>4388.005859375</v>
      </c>
      <c r="AJ1921" s="2">
        <f t="shared" si="234"/>
        <v>2811.994140625</v>
      </c>
      <c r="AK1921" s="6">
        <f t="shared" si="235"/>
        <v>0.39055474175347221</v>
      </c>
      <c r="AL1921" s="12">
        <v>7200</v>
      </c>
      <c r="AM1921" s="12">
        <v>4186.0909996376504</v>
      </c>
      <c r="AN1921" s="12">
        <f t="shared" si="236"/>
        <v>3013.9090003623496</v>
      </c>
      <c r="AO1921" s="13">
        <f t="shared" si="237"/>
        <v>0.41859847227254854</v>
      </c>
      <c r="AP1921" s="16">
        <v>7200</v>
      </c>
      <c r="AQ1921" s="16">
        <v>4576.3295206736339</v>
      </c>
      <c r="AR1921" s="16">
        <f t="shared" si="238"/>
        <v>2623.6704793263661</v>
      </c>
      <c r="AS1921" s="17">
        <f t="shared" si="232"/>
        <v>0.36439867768421752</v>
      </c>
      <c r="AT1921" s="20">
        <v>7200</v>
      </c>
      <c r="AU1921" s="20">
        <v>4426.99169921875</v>
      </c>
      <c r="AV1921" s="20">
        <f t="shared" si="233"/>
        <v>2773.00830078125</v>
      </c>
      <c r="AW1921" s="21">
        <f t="shared" si="239"/>
        <v>0.38514004177517364</v>
      </c>
    </row>
    <row r="1922" spans="1:49" x14ac:dyDescent="0.25">
      <c r="A1922" t="s">
        <v>128</v>
      </c>
      <c r="B1922" t="s">
        <v>129</v>
      </c>
      <c r="C1922">
        <v>193695</v>
      </c>
      <c r="D1922">
        <v>2008</v>
      </c>
      <c r="E1922" t="s">
        <v>305</v>
      </c>
      <c r="F1922" t="s">
        <v>1057</v>
      </c>
      <c r="I1922">
        <v>8</v>
      </c>
      <c r="J1922" t="s">
        <v>178</v>
      </c>
      <c r="K1922">
        <v>4</v>
      </c>
      <c r="L1922" t="s">
        <v>44</v>
      </c>
      <c r="M1922">
        <v>5.4</v>
      </c>
      <c r="N1922" t="s">
        <v>73</v>
      </c>
      <c r="O1922" t="s">
        <v>46</v>
      </c>
      <c r="Q1922" t="s">
        <v>62</v>
      </c>
      <c r="R1922" t="s">
        <v>63</v>
      </c>
      <c r="S1922" t="s">
        <v>49</v>
      </c>
      <c r="T1922">
        <v>300</v>
      </c>
      <c r="U1922" t="s">
        <v>50</v>
      </c>
      <c r="V1922" t="s">
        <v>76</v>
      </c>
      <c r="X1922" t="s">
        <v>108</v>
      </c>
      <c r="Y1922" t="s">
        <v>78</v>
      </c>
      <c r="AA1922">
        <v>0</v>
      </c>
      <c r="AB1922" t="s">
        <v>79</v>
      </c>
      <c r="AC1922" t="s">
        <v>87</v>
      </c>
      <c r="AD1922">
        <v>36</v>
      </c>
      <c r="AE1922">
        <v>9</v>
      </c>
      <c r="AF1922">
        <v>3</v>
      </c>
      <c r="AG1922">
        <v>2025</v>
      </c>
      <c r="AH1922" s="2">
        <v>600</v>
      </c>
      <c r="AI1922" s="2">
        <v>1924.615966796875</v>
      </c>
      <c r="AJ1922" s="2">
        <f t="shared" si="234"/>
        <v>1324.615966796875</v>
      </c>
      <c r="AK1922" s="6">
        <f t="shared" si="235"/>
        <v>2.2076932779947915</v>
      </c>
      <c r="AL1922" s="12">
        <v>600</v>
      </c>
      <c r="AM1922" s="12">
        <v>1635.770554336852</v>
      </c>
      <c r="AN1922" s="12">
        <f t="shared" si="236"/>
        <v>1035.770554336852</v>
      </c>
      <c r="AO1922" s="13">
        <f t="shared" si="237"/>
        <v>1.7262842572280868</v>
      </c>
      <c r="AP1922" s="16">
        <v>600</v>
      </c>
      <c r="AQ1922" s="16">
        <v>1242.5043291279021</v>
      </c>
      <c r="AR1922" s="16">
        <f t="shared" si="238"/>
        <v>642.50432912790211</v>
      </c>
      <c r="AS1922" s="17">
        <f t="shared" si="232"/>
        <v>1.0708405485465036</v>
      </c>
      <c r="AT1922" s="20">
        <v>600</v>
      </c>
      <c r="AU1922" s="20">
        <v>1892.985595703125</v>
      </c>
      <c r="AV1922" s="20">
        <f t="shared" si="233"/>
        <v>1292.985595703125</v>
      </c>
      <c r="AW1922" s="21">
        <f t="shared" si="239"/>
        <v>2.1549759928385415</v>
      </c>
    </row>
    <row r="1923" spans="1:49" x14ac:dyDescent="0.25">
      <c r="A1923" t="s">
        <v>114</v>
      </c>
      <c r="B1923" t="s">
        <v>340</v>
      </c>
      <c r="C1923">
        <v>202137</v>
      </c>
      <c r="D1923">
        <v>2000</v>
      </c>
      <c r="E1923" t="s">
        <v>142</v>
      </c>
      <c r="F1923" t="s">
        <v>373</v>
      </c>
      <c r="G1923" t="s">
        <v>398</v>
      </c>
      <c r="I1923">
        <v>6</v>
      </c>
      <c r="J1923" t="s">
        <v>43</v>
      </c>
      <c r="K1923">
        <v>4</v>
      </c>
      <c r="L1923" t="s">
        <v>44</v>
      </c>
      <c r="M1923">
        <v>4</v>
      </c>
      <c r="N1923" t="s">
        <v>91</v>
      </c>
      <c r="O1923" t="s">
        <v>190</v>
      </c>
      <c r="P1923">
        <v>3</v>
      </c>
      <c r="Q1923" t="s">
        <v>62</v>
      </c>
      <c r="R1923" t="s">
        <v>63</v>
      </c>
      <c r="S1923" t="s">
        <v>93</v>
      </c>
      <c r="U1923" t="s">
        <v>50</v>
      </c>
      <c r="V1923" t="s">
        <v>76</v>
      </c>
      <c r="X1923" t="s">
        <v>141</v>
      </c>
      <c r="Y1923" t="s">
        <v>78</v>
      </c>
      <c r="AA1923">
        <v>0</v>
      </c>
      <c r="AB1923" t="s">
        <v>79</v>
      </c>
      <c r="AC1923" t="s">
        <v>87</v>
      </c>
      <c r="AD1923">
        <v>36</v>
      </c>
      <c r="AE1923">
        <v>9</v>
      </c>
      <c r="AF1923">
        <v>3</v>
      </c>
      <c r="AG1923">
        <v>2025</v>
      </c>
      <c r="AH1923" s="2">
        <v>1100</v>
      </c>
      <c r="AI1923" s="2">
        <v>346.69064331054688</v>
      </c>
      <c r="AJ1923" s="2">
        <f t="shared" si="234"/>
        <v>753.30935668945313</v>
      </c>
      <c r="AK1923" s="6">
        <f t="shared" si="235"/>
        <v>0.68482668789950285</v>
      </c>
      <c r="AL1923" s="12">
        <v>1100</v>
      </c>
      <c r="AM1923" s="12">
        <v>312.12239573040227</v>
      </c>
      <c r="AN1923" s="12">
        <f t="shared" si="236"/>
        <v>787.87760426959767</v>
      </c>
      <c r="AO1923" s="13">
        <f t="shared" si="237"/>
        <v>0.71625236751781607</v>
      </c>
      <c r="AP1923" s="16">
        <v>1100</v>
      </c>
      <c r="AQ1923" s="16">
        <v>324.18532778030709</v>
      </c>
      <c r="AR1923" s="16">
        <f t="shared" si="238"/>
        <v>775.81467221969297</v>
      </c>
      <c r="AS1923" s="17">
        <f t="shared" ref="AS1923:AS1986" si="240">ABS($AH1923-AQ1923)/$AH1923</f>
        <v>0.70528606565426633</v>
      </c>
      <c r="AT1923" s="20">
        <v>1100</v>
      </c>
      <c r="AU1923" s="20">
        <v>460.00308227539063</v>
      </c>
      <c r="AV1923" s="20">
        <f t="shared" ref="AV1923:AV1986" si="241">ABS(AT1923-AU1923)</f>
        <v>639.99691772460938</v>
      </c>
      <c r="AW1923" s="21">
        <f t="shared" si="239"/>
        <v>0.58181537974964492</v>
      </c>
    </row>
    <row r="1924" spans="1:49" x14ac:dyDescent="0.25">
      <c r="A1924" t="s">
        <v>38</v>
      </c>
      <c r="B1924" t="s">
        <v>96</v>
      </c>
      <c r="C1924">
        <v>146990</v>
      </c>
      <c r="D1924">
        <v>2017</v>
      </c>
      <c r="E1924" t="s">
        <v>174</v>
      </c>
      <c r="F1924" t="s">
        <v>314</v>
      </c>
      <c r="G1924" t="s">
        <v>176</v>
      </c>
      <c r="H1924" t="s">
        <v>89</v>
      </c>
      <c r="I1924">
        <v>8</v>
      </c>
      <c r="J1924" t="s">
        <v>122</v>
      </c>
      <c r="K1924">
        <v>4</v>
      </c>
      <c r="L1924" t="s">
        <v>44</v>
      </c>
      <c r="M1924">
        <v>5.3</v>
      </c>
      <c r="N1924" t="s">
        <v>73</v>
      </c>
      <c r="O1924" t="s">
        <v>46</v>
      </c>
      <c r="Q1924" t="s">
        <v>74</v>
      </c>
      <c r="R1924" t="s">
        <v>92</v>
      </c>
      <c r="S1924" t="s">
        <v>49</v>
      </c>
      <c r="U1924" t="s">
        <v>50</v>
      </c>
      <c r="W1924" t="s">
        <v>459</v>
      </c>
      <c r="X1924" t="s">
        <v>94</v>
      </c>
      <c r="Y1924" t="s">
        <v>126</v>
      </c>
      <c r="Z1924">
        <v>44890</v>
      </c>
      <c r="AA1924">
        <v>0</v>
      </c>
      <c r="AB1924" t="s">
        <v>79</v>
      </c>
      <c r="AC1924" t="s">
        <v>95</v>
      </c>
      <c r="AD1924">
        <v>36</v>
      </c>
      <c r="AE1924">
        <v>9</v>
      </c>
      <c r="AF1924">
        <v>3</v>
      </c>
      <c r="AG1924">
        <v>2025</v>
      </c>
      <c r="AH1924" s="2">
        <v>14750</v>
      </c>
      <c r="AI1924" s="2">
        <v>14782.033203125</v>
      </c>
      <c r="AJ1924" s="2">
        <f t="shared" ref="AJ1924:AJ1987" si="242">ABS(AH1924-AI1924)</f>
        <v>32.033203125</v>
      </c>
      <c r="AK1924" s="6">
        <f t="shared" ref="AK1924:AK1987" si="243">ABS($AH1924-AI1924)/$AH1924</f>
        <v>2.1717425847457626E-3</v>
      </c>
      <c r="AL1924" s="12">
        <v>14750</v>
      </c>
      <c r="AM1924" s="12">
        <v>14167.36847916748</v>
      </c>
      <c r="AN1924" s="12">
        <f t="shared" ref="AN1924:AN1987" si="244">ABS(AL1924-AM1924)</f>
        <v>582.63152083251953</v>
      </c>
      <c r="AO1924" s="13">
        <f t="shared" ref="AO1924:AO1987" si="245">ABS($AH1924-AM1924)/$AH1924</f>
        <v>3.9500442090340308E-2</v>
      </c>
      <c r="AP1924" s="16">
        <v>14750</v>
      </c>
      <c r="AQ1924" s="16">
        <v>14627.940301514131</v>
      </c>
      <c r="AR1924" s="16">
        <f t="shared" ref="AR1924:AR1987" si="246">ABS(AP1924-AQ1924)</f>
        <v>122.05969848586938</v>
      </c>
      <c r="AS1924" s="17">
        <f t="shared" si="240"/>
        <v>8.2752337956521604E-3</v>
      </c>
      <c r="AT1924" s="20">
        <v>14750</v>
      </c>
      <c r="AU1924" s="20">
        <v>14564.8681640625</v>
      </c>
      <c r="AV1924" s="20">
        <f t="shared" si="241"/>
        <v>185.1318359375</v>
      </c>
      <c r="AW1924" s="21">
        <f t="shared" ref="AW1924:AW1987" si="247">ABS($AH1924-AU1924)/$AH1924</f>
        <v>1.2551310911016949E-2</v>
      </c>
    </row>
    <row r="1925" spans="1:49" x14ac:dyDescent="0.25">
      <c r="A1925" t="s">
        <v>38</v>
      </c>
      <c r="B1925" t="s">
        <v>96</v>
      </c>
      <c r="C1925">
        <v>145209</v>
      </c>
      <c r="D1925">
        <v>2018</v>
      </c>
      <c r="E1925" t="s">
        <v>166</v>
      </c>
      <c r="F1925" t="s">
        <v>562</v>
      </c>
      <c r="G1925" t="s">
        <v>581</v>
      </c>
      <c r="I1925">
        <v>4</v>
      </c>
      <c r="J1925" t="s">
        <v>135</v>
      </c>
      <c r="K1925">
        <v>4</v>
      </c>
      <c r="L1925" t="s">
        <v>44</v>
      </c>
      <c r="M1925">
        <v>1.5</v>
      </c>
      <c r="N1925" t="s">
        <v>45</v>
      </c>
      <c r="O1925" t="s">
        <v>46</v>
      </c>
      <c r="P1925">
        <v>3</v>
      </c>
      <c r="Q1925" t="s">
        <v>47</v>
      </c>
      <c r="R1925" t="s">
        <v>123</v>
      </c>
      <c r="S1925" t="s">
        <v>49</v>
      </c>
      <c r="T1925">
        <v>192</v>
      </c>
      <c r="U1925" t="s">
        <v>50</v>
      </c>
      <c r="V1925" t="s">
        <v>51</v>
      </c>
      <c r="W1925" t="s">
        <v>249</v>
      </c>
      <c r="X1925" t="s">
        <v>65</v>
      </c>
      <c r="Y1925" t="s">
        <v>78</v>
      </c>
      <c r="Z1925">
        <v>29970</v>
      </c>
      <c r="AA1925">
        <v>0</v>
      </c>
      <c r="AB1925" t="s">
        <v>79</v>
      </c>
      <c r="AC1925" t="s">
        <v>127</v>
      </c>
      <c r="AD1925">
        <v>36</v>
      </c>
      <c r="AE1925">
        <v>9</v>
      </c>
      <c r="AF1925">
        <v>3</v>
      </c>
      <c r="AG1925">
        <v>2025</v>
      </c>
      <c r="AH1925" s="2">
        <v>9000</v>
      </c>
      <c r="AI1925" s="2">
        <v>10279.583984375</v>
      </c>
      <c r="AJ1925" s="2">
        <f t="shared" si="242"/>
        <v>1279.583984375</v>
      </c>
      <c r="AK1925" s="6">
        <f t="shared" si="243"/>
        <v>0.14217599826388888</v>
      </c>
      <c r="AL1925" s="12">
        <v>9000</v>
      </c>
      <c r="AM1925" s="12">
        <v>8580.7791742739555</v>
      </c>
      <c r="AN1925" s="12">
        <f t="shared" si="244"/>
        <v>419.2208257260445</v>
      </c>
      <c r="AO1925" s="13">
        <f t="shared" si="245"/>
        <v>4.6580091747338279E-2</v>
      </c>
      <c r="AP1925" s="16">
        <v>9000</v>
      </c>
      <c r="AQ1925" s="16">
        <v>7018.4129366491952</v>
      </c>
      <c r="AR1925" s="16">
        <f t="shared" si="246"/>
        <v>1981.5870633508048</v>
      </c>
      <c r="AS1925" s="17">
        <f t="shared" si="240"/>
        <v>0.22017634037231165</v>
      </c>
      <c r="AT1925" s="20">
        <v>9000</v>
      </c>
      <c r="AU1925" s="20">
        <v>10118.2294921875</v>
      </c>
      <c r="AV1925" s="20">
        <f t="shared" si="241"/>
        <v>1118.2294921875</v>
      </c>
      <c r="AW1925" s="21">
        <f t="shared" si="247"/>
        <v>0.12424772135416666</v>
      </c>
    </row>
    <row r="1926" spans="1:49" x14ac:dyDescent="0.25">
      <c r="A1926" t="s">
        <v>38</v>
      </c>
      <c r="B1926" t="s">
        <v>96</v>
      </c>
      <c r="C1926">
        <v>140497</v>
      </c>
      <c r="D1926">
        <v>2010</v>
      </c>
      <c r="E1926" t="s">
        <v>116</v>
      </c>
      <c r="F1926" t="s">
        <v>697</v>
      </c>
      <c r="G1926" t="s">
        <v>89</v>
      </c>
      <c r="H1926" t="s">
        <v>1202</v>
      </c>
      <c r="I1926">
        <v>8</v>
      </c>
      <c r="J1926" t="s">
        <v>135</v>
      </c>
      <c r="K1926">
        <v>4</v>
      </c>
      <c r="L1926" t="s">
        <v>44</v>
      </c>
      <c r="M1926">
        <v>4.7</v>
      </c>
      <c r="N1926" t="s">
        <v>73</v>
      </c>
      <c r="O1926" t="s">
        <v>46</v>
      </c>
      <c r="Q1926" t="s">
        <v>74</v>
      </c>
      <c r="R1926" t="s">
        <v>92</v>
      </c>
      <c r="S1926" t="s">
        <v>49</v>
      </c>
      <c r="U1926" t="s">
        <v>50</v>
      </c>
      <c r="X1926" t="s">
        <v>94</v>
      </c>
      <c r="Y1926" t="s">
        <v>78</v>
      </c>
      <c r="AA1926">
        <v>0</v>
      </c>
      <c r="AB1926" t="s">
        <v>79</v>
      </c>
      <c r="AC1926" t="s">
        <v>95</v>
      </c>
      <c r="AD1926">
        <v>36</v>
      </c>
      <c r="AE1926">
        <v>9</v>
      </c>
      <c r="AF1926">
        <v>3</v>
      </c>
      <c r="AG1926">
        <v>2025</v>
      </c>
      <c r="AH1926" s="2">
        <v>4000</v>
      </c>
      <c r="AI1926" s="2">
        <v>5164.173828125</v>
      </c>
      <c r="AJ1926" s="2">
        <f t="shared" si="242"/>
        <v>1164.173828125</v>
      </c>
      <c r="AK1926" s="6">
        <f t="shared" si="243"/>
        <v>0.29104345703125001</v>
      </c>
      <c r="AL1926" s="12">
        <v>4000</v>
      </c>
      <c r="AM1926" s="12">
        <v>4633.6207309608126</v>
      </c>
      <c r="AN1926" s="12">
        <f t="shared" si="244"/>
        <v>633.62073096081258</v>
      </c>
      <c r="AO1926" s="13">
        <f t="shared" si="245"/>
        <v>0.15840518274020315</v>
      </c>
      <c r="AP1926" s="16">
        <v>4000</v>
      </c>
      <c r="AQ1926" s="16">
        <v>4468.3530904185855</v>
      </c>
      <c r="AR1926" s="16">
        <f t="shared" si="246"/>
        <v>468.35309041858545</v>
      </c>
      <c r="AS1926" s="17">
        <f t="shared" si="240"/>
        <v>0.11708827260464637</v>
      </c>
      <c r="AT1926" s="20">
        <v>4000</v>
      </c>
      <c r="AU1926" s="20">
        <v>5144.93017578125</v>
      </c>
      <c r="AV1926" s="20">
        <f t="shared" si="241"/>
        <v>1144.93017578125</v>
      </c>
      <c r="AW1926" s="21">
        <f t="shared" si="247"/>
        <v>0.2862325439453125</v>
      </c>
    </row>
    <row r="1927" spans="1:49" x14ac:dyDescent="0.25">
      <c r="A1927" t="s">
        <v>38</v>
      </c>
      <c r="B1927" t="s">
        <v>39</v>
      </c>
      <c r="C1927">
        <v>722</v>
      </c>
      <c r="D1927">
        <v>2020</v>
      </c>
      <c r="E1927" t="s">
        <v>1549</v>
      </c>
      <c r="F1927" t="s">
        <v>1550</v>
      </c>
      <c r="G1927" t="s">
        <v>1551</v>
      </c>
      <c r="H1927" t="s">
        <v>1552</v>
      </c>
      <c r="I1927">
        <v>2</v>
      </c>
      <c r="J1927" t="s">
        <v>61</v>
      </c>
      <c r="L1927" t="s">
        <v>44</v>
      </c>
      <c r="M1927">
        <v>0.97599999999999998</v>
      </c>
      <c r="N1927" t="s">
        <v>91</v>
      </c>
      <c r="O1927" t="s">
        <v>46</v>
      </c>
      <c r="P1927">
        <v>4</v>
      </c>
      <c r="Q1927" t="s">
        <v>1542</v>
      </c>
      <c r="R1927" t="s">
        <v>1553</v>
      </c>
      <c r="U1927" t="s">
        <v>50</v>
      </c>
      <c r="V1927" t="s">
        <v>76</v>
      </c>
      <c r="W1927" t="s">
        <v>1554</v>
      </c>
      <c r="X1927" t="s">
        <v>1544</v>
      </c>
      <c r="Y1927" t="s">
        <v>126</v>
      </c>
      <c r="AA1927">
        <v>0</v>
      </c>
      <c r="AB1927" t="s">
        <v>79</v>
      </c>
      <c r="AC1927" t="s">
        <v>886</v>
      </c>
      <c r="AD1927">
        <v>36</v>
      </c>
      <c r="AE1927">
        <v>9</v>
      </c>
      <c r="AF1927">
        <v>3</v>
      </c>
      <c r="AG1927">
        <v>2025</v>
      </c>
      <c r="AH1927" s="2">
        <v>5700</v>
      </c>
      <c r="AI1927" s="2">
        <v>6880.8134765625</v>
      </c>
      <c r="AJ1927" s="2">
        <f t="shared" si="242"/>
        <v>1180.8134765625</v>
      </c>
      <c r="AK1927" s="6">
        <f t="shared" si="243"/>
        <v>0.20716025904605262</v>
      </c>
      <c r="AL1927" s="12">
        <v>5700</v>
      </c>
      <c r="AM1927" s="12">
        <v>9959.6149603384365</v>
      </c>
      <c r="AN1927" s="12">
        <f t="shared" si="244"/>
        <v>4259.6149603384365</v>
      </c>
      <c r="AO1927" s="13">
        <f t="shared" si="245"/>
        <v>0.7473008702348134</v>
      </c>
      <c r="AP1927" s="16">
        <v>5700</v>
      </c>
      <c r="AQ1927" s="16">
        <v>6736.9009732545101</v>
      </c>
      <c r="AR1927" s="16">
        <f t="shared" si="246"/>
        <v>1036.9009732545101</v>
      </c>
      <c r="AS1927" s="17">
        <f t="shared" si="240"/>
        <v>0.18191245144815965</v>
      </c>
      <c r="AT1927" s="20">
        <v>5700</v>
      </c>
      <c r="AU1927" s="20">
        <v>7317.0341796875</v>
      </c>
      <c r="AV1927" s="20">
        <f t="shared" si="241"/>
        <v>1617.0341796875</v>
      </c>
      <c r="AW1927" s="21">
        <f t="shared" si="247"/>
        <v>0.28369020696271929</v>
      </c>
    </row>
    <row r="1928" spans="1:49" x14ac:dyDescent="0.25">
      <c r="A1928" t="s">
        <v>128</v>
      </c>
      <c r="B1928" t="s">
        <v>129</v>
      </c>
      <c r="C1928">
        <v>113247</v>
      </c>
      <c r="D1928">
        <v>2017</v>
      </c>
      <c r="E1928" t="s">
        <v>97</v>
      </c>
      <c r="F1928" t="s">
        <v>198</v>
      </c>
      <c r="G1928" t="s">
        <v>130</v>
      </c>
      <c r="I1928">
        <v>6</v>
      </c>
      <c r="J1928" t="s">
        <v>106</v>
      </c>
      <c r="K1928">
        <v>4</v>
      </c>
      <c r="L1928" t="s">
        <v>44</v>
      </c>
      <c r="M1928">
        <v>3.6</v>
      </c>
      <c r="N1928" t="s">
        <v>45</v>
      </c>
      <c r="Q1928" t="s">
        <v>62</v>
      </c>
      <c r="R1928" t="s">
        <v>63</v>
      </c>
      <c r="S1928" t="s">
        <v>101</v>
      </c>
      <c r="U1928" t="s">
        <v>50</v>
      </c>
      <c r="V1928" t="s">
        <v>76</v>
      </c>
      <c r="W1928" t="s">
        <v>788</v>
      </c>
      <c r="X1928" t="s">
        <v>94</v>
      </c>
      <c r="Y1928" t="s">
        <v>78</v>
      </c>
      <c r="Z1928">
        <v>26750</v>
      </c>
      <c r="AA1928">
        <v>0</v>
      </c>
      <c r="AB1928" t="s">
        <v>79</v>
      </c>
      <c r="AC1928" t="s">
        <v>109</v>
      </c>
      <c r="AD1928">
        <v>36</v>
      </c>
      <c r="AE1928">
        <v>9</v>
      </c>
      <c r="AF1928">
        <v>3</v>
      </c>
      <c r="AG1928">
        <v>2025</v>
      </c>
      <c r="AH1928" s="2">
        <v>7600</v>
      </c>
      <c r="AI1928" s="2">
        <v>6784.4990234375</v>
      </c>
      <c r="AJ1928" s="2">
        <f t="shared" si="242"/>
        <v>815.5009765625</v>
      </c>
      <c r="AK1928" s="6">
        <f t="shared" si="243"/>
        <v>0.10730276007401315</v>
      </c>
      <c r="AL1928" s="12">
        <v>7600</v>
      </c>
      <c r="AM1928" s="12">
        <v>6694.2870331819013</v>
      </c>
      <c r="AN1928" s="12">
        <f t="shared" si="244"/>
        <v>905.71296681809872</v>
      </c>
      <c r="AO1928" s="13">
        <f t="shared" si="245"/>
        <v>0.1191727587918551</v>
      </c>
      <c r="AP1928" s="16">
        <v>7600</v>
      </c>
      <c r="AQ1928" s="16">
        <v>5422.9510472926841</v>
      </c>
      <c r="AR1928" s="16">
        <f t="shared" si="246"/>
        <v>2177.0489527073159</v>
      </c>
      <c r="AS1928" s="17">
        <f t="shared" si="240"/>
        <v>0.28645380956675209</v>
      </c>
      <c r="AT1928" s="20">
        <v>7600</v>
      </c>
      <c r="AU1928" s="20">
        <v>6809.3681640625</v>
      </c>
      <c r="AV1928" s="20">
        <f t="shared" si="241"/>
        <v>790.6318359375</v>
      </c>
      <c r="AW1928" s="21">
        <f t="shared" si="247"/>
        <v>0.10403050472861843</v>
      </c>
    </row>
    <row r="1929" spans="1:49" x14ac:dyDescent="0.25">
      <c r="A1929" t="s">
        <v>38</v>
      </c>
      <c r="B1929" t="s">
        <v>68</v>
      </c>
      <c r="C1929">
        <v>118015</v>
      </c>
      <c r="D1929">
        <v>2019</v>
      </c>
      <c r="E1929" t="s">
        <v>142</v>
      </c>
      <c r="F1929" t="s">
        <v>143</v>
      </c>
      <c r="H1929" t="s">
        <v>816</v>
      </c>
      <c r="I1929">
        <v>4</v>
      </c>
      <c r="J1929" t="s">
        <v>72</v>
      </c>
      <c r="K1929">
        <v>4</v>
      </c>
      <c r="L1929" t="s">
        <v>44</v>
      </c>
      <c r="M1929">
        <v>2.4</v>
      </c>
      <c r="N1929" t="s">
        <v>45</v>
      </c>
      <c r="O1929" t="s">
        <v>46</v>
      </c>
      <c r="P1929">
        <v>4</v>
      </c>
      <c r="Q1929" t="s">
        <v>62</v>
      </c>
      <c r="R1929" t="s">
        <v>63</v>
      </c>
      <c r="S1929" t="s">
        <v>49</v>
      </c>
      <c r="T1929">
        <v>184</v>
      </c>
      <c r="U1929" t="s">
        <v>50</v>
      </c>
      <c r="V1929" t="s">
        <v>51</v>
      </c>
      <c r="X1929" t="s">
        <v>141</v>
      </c>
      <c r="Y1929" t="s">
        <v>78</v>
      </c>
      <c r="Z1929">
        <v>25740</v>
      </c>
      <c r="AA1929">
        <v>0</v>
      </c>
      <c r="AB1929" t="s">
        <v>79</v>
      </c>
      <c r="AC1929" t="s">
        <v>87</v>
      </c>
      <c r="AD1929">
        <v>36</v>
      </c>
      <c r="AE1929">
        <v>9</v>
      </c>
      <c r="AF1929">
        <v>3</v>
      </c>
      <c r="AG1929">
        <v>2025</v>
      </c>
      <c r="AH1929" s="2">
        <v>8300</v>
      </c>
      <c r="AI1929" s="2">
        <v>8725.44921875</v>
      </c>
      <c r="AJ1929" s="2">
        <f t="shared" si="242"/>
        <v>425.44921875</v>
      </c>
      <c r="AK1929" s="6">
        <f t="shared" si="243"/>
        <v>5.1258942018072289E-2</v>
      </c>
      <c r="AL1929" s="12">
        <v>8300</v>
      </c>
      <c r="AM1929" s="12">
        <v>7854.2681838713761</v>
      </c>
      <c r="AN1929" s="12">
        <f t="shared" si="244"/>
        <v>445.7318161286239</v>
      </c>
      <c r="AO1929" s="13">
        <f t="shared" si="245"/>
        <v>5.3702628449231793E-2</v>
      </c>
      <c r="AP1929" s="16">
        <v>8300</v>
      </c>
      <c r="AQ1929" s="16">
        <v>7483.9162952346196</v>
      </c>
      <c r="AR1929" s="16">
        <f t="shared" si="246"/>
        <v>816.08370476538039</v>
      </c>
      <c r="AS1929" s="17">
        <f t="shared" si="240"/>
        <v>9.8323337923539811E-2</v>
      </c>
      <c r="AT1929" s="20">
        <v>8300</v>
      </c>
      <c r="AU1929" s="20">
        <v>8606.404296875</v>
      </c>
      <c r="AV1929" s="20">
        <f t="shared" si="241"/>
        <v>306.404296875</v>
      </c>
      <c r="AW1929" s="21">
        <f t="shared" si="247"/>
        <v>3.6916180346385545E-2</v>
      </c>
    </row>
    <row r="1930" spans="1:49" x14ac:dyDescent="0.25">
      <c r="A1930" t="s">
        <v>38</v>
      </c>
      <c r="B1930" t="s">
        <v>110</v>
      </c>
      <c r="C1930">
        <v>145091</v>
      </c>
      <c r="D1930">
        <v>2014</v>
      </c>
      <c r="E1930" t="s">
        <v>166</v>
      </c>
      <c r="F1930" t="s">
        <v>1344</v>
      </c>
      <c r="G1930" t="s">
        <v>1555</v>
      </c>
      <c r="I1930">
        <v>6</v>
      </c>
      <c r="J1930" t="s">
        <v>61</v>
      </c>
      <c r="K1930">
        <v>4</v>
      </c>
      <c r="L1930" t="s">
        <v>44</v>
      </c>
      <c r="M1930">
        <v>3.5</v>
      </c>
      <c r="N1930" t="s">
        <v>45</v>
      </c>
      <c r="O1930" t="s">
        <v>46</v>
      </c>
      <c r="Q1930" t="s">
        <v>62</v>
      </c>
      <c r="R1930" t="s">
        <v>63</v>
      </c>
      <c r="S1930" t="s">
        <v>49</v>
      </c>
      <c r="T1930">
        <v>278</v>
      </c>
      <c r="U1930" t="s">
        <v>50</v>
      </c>
      <c r="V1930" t="s">
        <v>76</v>
      </c>
      <c r="W1930" t="s">
        <v>671</v>
      </c>
      <c r="X1930" t="s">
        <v>65</v>
      </c>
      <c r="Y1930" t="s">
        <v>78</v>
      </c>
      <c r="AA1930">
        <v>0</v>
      </c>
      <c r="AB1930" t="s">
        <v>79</v>
      </c>
      <c r="AC1930" t="s">
        <v>87</v>
      </c>
      <c r="AD1930">
        <v>36</v>
      </c>
      <c r="AE1930">
        <v>9</v>
      </c>
      <c r="AF1930">
        <v>3</v>
      </c>
      <c r="AG1930">
        <v>2025</v>
      </c>
      <c r="AH1930" s="2">
        <v>3200</v>
      </c>
      <c r="AI1930" s="2">
        <v>5743.955078125</v>
      </c>
      <c r="AJ1930" s="2">
        <f t="shared" si="242"/>
        <v>2543.955078125</v>
      </c>
      <c r="AK1930" s="6">
        <f t="shared" si="243"/>
        <v>0.79498596191406246</v>
      </c>
      <c r="AL1930" s="12">
        <v>3200</v>
      </c>
      <c r="AM1930" s="12">
        <v>5385.036530198252</v>
      </c>
      <c r="AN1930" s="12">
        <f t="shared" si="244"/>
        <v>2185.036530198252</v>
      </c>
      <c r="AO1930" s="13">
        <f t="shared" si="245"/>
        <v>0.68282391568695378</v>
      </c>
      <c r="AP1930" s="16">
        <v>3200</v>
      </c>
      <c r="AQ1930" s="16">
        <v>4133.1003220620514</v>
      </c>
      <c r="AR1930" s="16">
        <f t="shared" si="246"/>
        <v>933.10032206205142</v>
      </c>
      <c r="AS1930" s="17">
        <f t="shared" si="240"/>
        <v>0.29159385064439108</v>
      </c>
      <c r="AT1930" s="20">
        <v>3200</v>
      </c>
      <c r="AU1930" s="20">
        <v>5810.5107421875</v>
      </c>
      <c r="AV1930" s="20">
        <f t="shared" si="241"/>
        <v>2610.5107421875</v>
      </c>
      <c r="AW1930" s="21">
        <f t="shared" si="247"/>
        <v>0.81578460693359378</v>
      </c>
    </row>
    <row r="1931" spans="1:49" x14ac:dyDescent="0.25">
      <c r="A1931" t="s">
        <v>128</v>
      </c>
      <c r="B1931" t="s">
        <v>210</v>
      </c>
      <c r="C1931">
        <v>31178</v>
      </c>
      <c r="D1931">
        <v>2024</v>
      </c>
      <c r="E1931" t="s">
        <v>146</v>
      </c>
      <c r="F1931" t="s">
        <v>334</v>
      </c>
      <c r="G1931" t="s">
        <v>716</v>
      </c>
      <c r="I1931">
        <v>4</v>
      </c>
      <c r="J1931" t="s">
        <v>72</v>
      </c>
      <c r="K1931">
        <v>4</v>
      </c>
      <c r="L1931" t="s">
        <v>44</v>
      </c>
      <c r="M1931">
        <v>2.5</v>
      </c>
      <c r="N1931" t="s">
        <v>45</v>
      </c>
      <c r="O1931" t="s">
        <v>46</v>
      </c>
      <c r="Q1931" t="s">
        <v>47</v>
      </c>
      <c r="R1931" t="s">
        <v>123</v>
      </c>
      <c r="S1931" t="s">
        <v>49</v>
      </c>
      <c r="U1931" t="s">
        <v>50</v>
      </c>
      <c r="X1931" t="s">
        <v>65</v>
      </c>
      <c r="Y1931" t="s">
        <v>78</v>
      </c>
      <c r="AA1931">
        <v>0</v>
      </c>
      <c r="AB1931" t="s">
        <v>79</v>
      </c>
      <c r="AC1931" t="s">
        <v>127</v>
      </c>
      <c r="AD1931">
        <v>36</v>
      </c>
      <c r="AE1931">
        <v>9</v>
      </c>
      <c r="AF1931">
        <v>3</v>
      </c>
      <c r="AG1931">
        <v>2025</v>
      </c>
      <c r="AH1931" s="2">
        <v>20900</v>
      </c>
      <c r="AI1931" s="2">
        <v>19580.81640625</v>
      </c>
      <c r="AJ1931" s="2">
        <f t="shared" si="242"/>
        <v>1319.18359375</v>
      </c>
      <c r="AK1931" s="6">
        <f t="shared" si="243"/>
        <v>6.3118832236842101E-2</v>
      </c>
      <c r="AL1931" s="12">
        <v>20900</v>
      </c>
      <c r="AM1931" s="12">
        <v>19422.751483201751</v>
      </c>
      <c r="AN1931" s="12">
        <f t="shared" si="244"/>
        <v>1477.2485167982486</v>
      </c>
      <c r="AO1931" s="13">
        <f t="shared" si="245"/>
        <v>7.06817472152272E-2</v>
      </c>
      <c r="AP1931" s="16">
        <v>20900</v>
      </c>
      <c r="AQ1931" s="16">
        <v>18761.718181096428</v>
      </c>
      <c r="AR1931" s="16">
        <f t="shared" si="246"/>
        <v>2138.2818189035715</v>
      </c>
      <c r="AS1931" s="17">
        <f t="shared" si="240"/>
        <v>0.10231013487576897</v>
      </c>
      <c r="AT1931" s="20">
        <v>20900</v>
      </c>
      <c r="AU1931" s="20">
        <v>19382.068359375</v>
      </c>
      <c r="AV1931" s="20">
        <f t="shared" si="241"/>
        <v>1517.931640625</v>
      </c>
      <c r="AW1931" s="21">
        <f t="shared" si="247"/>
        <v>7.2628308163875596E-2</v>
      </c>
    </row>
    <row r="1932" spans="1:49" x14ac:dyDescent="0.25">
      <c r="A1932" t="s">
        <v>128</v>
      </c>
      <c r="B1932" t="s">
        <v>129</v>
      </c>
      <c r="C1932">
        <v>136884</v>
      </c>
      <c r="D1932">
        <v>2014</v>
      </c>
      <c r="E1932" t="s">
        <v>97</v>
      </c>
      <c r="F1932" t="s">
        <v>159</v>
      </c>
      <c r="G1932" t="s">
        <v>155</v>
      </c>
      <c r="H1932" t="s">
        <v>89</v>
      </c>
      <c r="I1932">
        <v>8</v>
      </c>
      <c r="J1932" t="s">
        <v>135</v>
      </c>
      <c r="K1932">
        <v>4</v>
      </c>
      <c r="L1932" t="s">
        <v>44</v>
      </c>
      <c r="M1932">
        <v>5.3</v>
      </c>
      <c r="N1932" t="s">
        <v>73</v>
      </c>
      <c r="O1932" t="s">
        <v>46</v>
      </c>
      <c r="P1932">
        <v>3</v>
      </c>
      <c r="Q1932" t="s">
        <v>74</v>
      </c>
      <c r="R1932" t="s">
        <v>92</v>
      </c>
      <c r="S1932" t="s">
        <v>49</v>
      </c>
      <c r="U1932" t="s">
        <v>50</v>
      </c>
      <c r="W1932" t="s">
        <v>712</v>
      </c>
      <c r="X1932" t="s">
        <v>94</v>
      </c>
      <c r="Y1932" t="s">
        <v>126</v>
      </c>
      <c r="AA1932">
        <v>0</v>
      </c>
      <c r="AB1932" t="s">
        <v>79</v>
      </c>
      <c r="AC1932" t="s">
        <v>95</v>
      </c>
      <c r="AD1932">
        <v>36</v>
      </c>
      <c r="AE1932">
        <v>9</v>
      </c>
      <c r="AF1932">
        <v>3</v>
      </c>
      <c r="AG1932">
        <v>2025</v>
      </c>
      <c r="AH1932" s="2">
        <v>9000</v>
      </c>
      <c r="AI1932" s="2">
        <v>9171.947265625</v>
      </c>
      <c r="AJ1932" s="2">
        <f t="shared" si="242"/>
        <v>171.947265625</v>
      </c>
      <c r="AK1932" s="6">
        <f t="shared" si="243"/>
        <v>1.910525173611111E-2</v>
      </c>
      <c r="AL1932" s="12">
        <v>9000</v>
      </c>
      <c r="AM1932" s="12">
        <v>9669.2899677483383</v>
      </c>
      <c r="AN1932" s="12">
        <f t="shared" si="244"/>
        <v>669.28996774833831</v>
      </c>
      <c r="AO1932" s="13">
        <f t="shared" si="245"/>
        <v>7.4365551972037591E-2</v>
      </c>
      <c r="AP1932" s="16">
        <v>9000</v>
      </c>
      <c r="AQ1932" s="16">
        <v>7461.848437221719</v>
      </c>
      <c r="AR1932" s="16">
        <f t="shared" si="246"/>
        <v>1538.151562778281</v>
      </c>
      <c r="AS1932" s="17">
        <f t="shared" si="240"/>
        <v>0.17090572919758679</v>
      </c>
      <c r="AT1932" s="20">
        <v>9000</v>
      </c>
      <c r="AU1932" s="20">
        <v>9330.939453125</v>
      </c>
      <c r="AV1932" s="20">
        <f t="shared" si="241"/>
        <v>330.939453125</v>
      </c>
      <c r="AW1932" s="21">
        <f t="shared" si="247"/>
        <v>3.6771050347222223E-2</v>
      </c>
    </row>
    <row r="1933" spans="1:49" x14ac:dyDescent="0.25">
      <c r="A1933" t="s">
        <v>38</v>
      </c>
      <c r="B1933" t="s">
        <v>39</v>
      </c>
      <c r="C1933">
        <v>229849</v>
      </c>
      <c r="D1933">
        <v>2013</v>
      </c>
      <c r="E1933" t="s">
        <v>88</v>
      </c>
      <c r="F1933" t="s">
        <v>312</v>
      </c>
      <c r="G1933" t="s">
        <v>176</v>
      </c>
      <c r="I1933">
        <v>6</v>
      </c>
      <c r="J1933" t="s">
        <v>72</v>
      </c>
      <c r="K1933">
        <v>4</v>
      </c>
      <c r="L1933" t="s">
        <v>44</v>
      </c>
      <c r="M1933">
        <v>6.7</v>
      </c>
      <c r="N1933" t="s">
        <v>91</v>
      </c>
      <c r="O1933" t="s">
        <v>46</v>
      </c>
      <c r="Q1933" t="s">
        <v>74</v>
      </c>
      <c r="R1933" t="s">
        <v>92</v>
      </c>
      <c r="S1933" t="s">
        <v>93</v>
      </c>
      <c r="U1933" t="s">
        <v>229</v>
      </c>
      <c r="X1933" t="s">
        <v>230</v>
      </c>
      <c r="Y1933" t="s">
        <v>126</v>
      </c>
      <c r="AA1933">
        <v>0</v>
      </c>
      <c r="AB1933" t="s">
        <v>79</v>
      </c>
      <c r="AC1933" t="s">
        <v>95</v>
      </c>
      <c r="AD1933">
        <v>36</v>
      </c>
      <c r="AE1933">
        <v>9</v>
      </c>
      <c r="AF1933">
        <v>3</v>
      </c>
      <c r="AG1933">
        <v>2025</v>
      </c>
      <c r="AH1933" s="2">
        <v>16100</v>
      </c>
      <c r="AI1933" s="2">
        <v>14415.806640625</v>
      </c>
      <c r="AJ1933" s="2">
        <f t="shared" si="242"/>
        <v>1684.193359375</v>
      </c>
      <c r="AK1933" s="6">
        <f t="shared" si="243"/>
        <v>0.10460828319099379</v>
      </c>
      <c r="AL1933" s="12">
        <v>16100</v>
      </c>
      <c r="AM1933" s="12">
        <v>9891.7682175393857</v>
      </c>
      <c r="AN1933" s="12">
        <f t="shared" si="244"/>
        <v>6208.2317824606143</v>
      </c>
      <c r="AO1933" s="13">
        <f t="shared" si="245"/>
        <v>0.38560445853792635</v>
      </c>
      <c r="AP1933" s="16">
        <v>16100</v>
      </c>
      <c r="AQ1933" s="16">
        <v>11954.34988356736</v>
      </c>
      <c r="AR1933" s="16">
        <f t="shared" si="246"/>
        <v>4145.6501164326401</v>
      </c>
      <c r="AS1933" s="17">
        <f t="shared" si="240"/>
        <v>0.25749379605171679</v>
      </c>
      <c r="AT1933" s="20">
        <v>16100</v>
      </c>
      <c r="AU1933" s="20">
        <v>13560.171875</v>
      </c>
      <c r="AV1933" s="20">
        <f t="shared" si="241"/>
        <v>2539.828125</v>
      </c>
      <c r="AW1933" s="21">
        <f t="shared" si="247"/>
        <v>0.15775329968944099</v>
      </c>
    </row>
    <row r="1934" spans="1:49" x14ac:dyDescent="0.25">
      <c r="A1934" t="s">
        <v>128</v>
      </c>
      <c r="B1934" t="s">
        <v>129</v>
      </c>
      <c r="C1934">
        <v>126570</v>
      </c>
      <c r="D1934">
        <v>2012</v>
      </c>
      <c r="E1934" t="s">
        <v>399</v>
      </c>
      <c r="F1934" t="s">
        <v>400</v>
      </c>
      <c r="G1934" t="s">
        <v>457</v>
      </c>
      <c r="I1934">
        <v>4</v>
      </c>
      <c r="J1934" t="s">
        <v>106</v>
      </c>
      <c r="K1934">
        <v>4</v>
      </c>
      <c r="L1934" t="s">
        <v>44</v>
      </c>
      <c r="M1934">
        <v>2</v>
      </c>
      <c r="N1934" t="s">
        <v>44</v>
      </c>
      <c r="Q1934" t="s">
        <v>47</v>
      </c>
      <c r="R1934" t="s">
        <v>757</v>
      </c>
      <c r="X1934" t="s">
        <v>125</v>
      </c>
      <c r="Y1934" t="s">
        <v>54</v>
      </c>
      <c r="AA1934">
        <v>0</v>
      </c>
      <c r="AB1934" t="s">
        <v>79</v>
      </c>
      <c r="AC1934" t="s">
        <v>757</v>
      </c>
      <c r="AD1934">
        <v>36</v>
      </c>
      <c r="AE1934">
        <v>9</v>
      </c>
      <c r="AF1934">
        <v>3</v>
      </c>
      <c r="AG1934">
        <v>2025</v>
      </c>
      <c r="AH1934" s="2">
        <v>3700</v>
      </c>
      <c r="AI1934" s="2">
        <v>2250.22705078125</v>
      </c>
      <c r="AJ1934" s="2">
        <f t="shared" si="242"/>
        <v>1449.77294921875</v>
      </c>
      <c r="AK1934" s="6">
        <f t="shared" si="243"/>
        <v>0.39183052681587838</v>
      </c>
      <c r="AL1934" s="12">
        <v>3700</v>
      </c>
      <c r="AM1934" s="12">
        <v>2236.8862500157952</v>
      </c>
      <c r="AN1934" s="12">
        <f t="shared" si="244"/>
        <v>1463.1137499842048</v>
      </c>
      <c r="AO1934" s="13">
        <f t="shared" si="245"/>
        <v>0.39543614864437965</v>
      </c>
      <c r="AP1934" s="16">
        <v>3700</v>
      </c>
      <c r="AQ1934" s="16">
        <v>2357.5180833718091</v>
      </c>
      <c r="AR1934" s="16">
        <f t="shared" si="246"/>
        <v>1342.4819166281909</v>
      </c>
      <c r="AS1934" s="17">
        <f t="shared" si="240"/>
        <v>0.36283295044005159</v>
      </c>
      <c r="AT1934" s="20">
        <v>3700</v>
      </c>
      <c r="AU1934" s="20">
        <v>2237.162353515625</v>
      </c>
      <c r="AV1934" s="20">
        <f t="shared" si="241"/>
        <v>1462.837646484375</v>
      </c>
      <c r="AW1934" s="21">
        <f t="shared" si="247"/>
        <v>0.39536152607685809</v>
      </c>
    </row>
    <row r="1935" spans="1:49" x14ac:dyDescent="0.25">
      <c r="A1935" t="s">
        <v>128</v>
      </c>
      <c r="B1935" t="s">
        <v>129</v>
      </c>
      <c r="C1935">
        <v>126007</v>
      </c>
      <c r="D1935">
        <v>2016</v>
      </c>
      <c r="E1935" t="s">
        <v>69</v>
      </c>
      <c r="F1935" t="s">
        <v>250</v>
      </c>
      <c r="H1935" t="s">
        <v>224</v>
      </c>
      <c r="I1935">
        <v>4</v>
      </c>
      <c r="J1935" t="s">
        <v>135</v>
      </c>
      <c r="K1935">
        <v>4</v>
      </c>
      <c r="L1935" t="s">
        <v>44</v>
      </c>
      <c r="M1935">
        <v>1.6</v>
      </c>
      <c r="N1935" t="s">
        <v>45</v>
      </c>
      <c r="Q1935" t="s">
        <v>62</v>
      </c>
      <c r="R1935" t="s">
        <v>63</v>
      </c>
      <c r="S1935" t="s">
        <v>49</v>
      </c>
      <c r="T1935">
        <v>178</v>
      </c>
      <c r="U1935" t="s">
        <v>50</v>
      </c>
      <c r="V1935" t="s">
        <v>51</v>
      </c>
      <c r="X1935" t="s">
        <v>65</v>
      </c>
      <c r="Y1935" t="s">
        <v>78</v>
      </c>
      <c r="AA1935">
        <v>0</v>
      </c>
      <c r="AB1935" t="s">
        <v>79</v>
      </c>
      <c r="AC1935" t="s">
        <v>87</v>
      </c>
      <c r="AD1935">
        <v>36</v>
      </c>
      <c r="AE1935">
        <v>9</v>
      </c>
      <c r="AF1935">
        <v>3</v>
      </c>
      <c r="AG1935">
        <v>2025</v>
      </c>
      <c r="AH1935" s="2">
        <v>6600</v>
      </c>
      <c r="AI1935" s="2">
        <v>3074.806640625</v>
      </c>
      <c r="AJ1935" s="2">
        <f t="shared" si="242"/>
        <v>3525.193359375</v>
      </c>
      <c r="AK1935" s="6">
        <f t="shared" si="243"/>
        <v>0.53412020596590915</v>
      </c>
      <c r="AL1935" s="12">
        <v>6600</v>
      </c>
      <c r="AM1935" s="12">
        <v>3674.3972477699472</v>
      </c>
      <c r="AN1935" s="12">
        <f t="shared" si="244"/>
        <v>2925.6027522300528</v>
      </c>
      <c r="AO1935" s="13">
        <f t="shared" si="245"/>
        <v>0.44327314427728071</v>
      </c>
      <c r="AP1935" s="16">
        <v>6600</v>
      </c>
      <c r="AQ1935" s="16">
        <v>2885.3122614446711</v>
      </c>
      <c r="AR1935" s="16">
        <f t="shared" si="246"/>
        <v>3714.6877385553289</v>
      </c>
      <c r="AS1935" s="17">
        <f t="shared" si="240"/>
        <v>0.56283147553868618</v>
      </c>
      <c r="AT1935" s="20">
        <v>6600</v>
      </c>
      <c r="AU1935" s="20">
        <v>3140.281982421875</v>
      </c>
      <c r="AV1935" s="20">
        <f t="shared" si="241"/>
        <v>3459.718017578125</v>
      </c>
      <c r="AW1935" s="21">
        <f t="shared" si="247"/>
        <v>0.52419969963304924</v>
      </c>
    </row>
    <row r="1936" spans="1:49" x14ac:dyDescent="0.25">
      <c r="A1936" t="s">
        <v>38</v>
      </c>
      <c r="B1936" t="s">
        <v>68</v>
      </c>
      <c r="C1936">
        <v>14890</v>
      </c>
      <c r="D1936">
        <v>2024</v>
      </c>
      <c r="E1936" t="s">
        <v>69</v>
      </c>
      <c r="F1936" t="s">
        <v>70</v>
      </c>
      <c r="G1936" t="s">
        <v>1447</v>
      </c>
      <c r="H1936" t="s">
        <v>71</v>
      </c>
      <c r="I1936">
        <v>6</v>
      </c>
      <c r="J1936" t="s">
        <v>72</v>
      </c>
      <c r="K1936">
        <v>3</v>
      </c>
      <c r="L1936" t="s">
        <v>44</v>
      </c>
      <c r="M1936">
        <v>3.5</v>
      </c>
      <c r="N1936" t="s">
        <v>73</v>
      </c>
      <c r="O1936" t="s">
        <v>46</v>
      </c>
      <c r="P1936">
        <v>4</v>
      </c>
      <c r="Q1936" t="s">
        <v>74</v>
      </c>
      <c r="R1936" t="s">
        <v>75</v>
      </c>
      <c r="S1936" t="s">
        <v>179</v>
      </c>
      <c r="U1936" t="s">
        <v>50</v>
      </c>
      <c r="V1936" t="s">
        <v>76</v>
      </c>
      <c r="W1936" t="s">
        <v>640</v>
      </c>
      <c r="X1936" t="s">
        <v>230</v>
      </c>
      <c r="Y1936" t="s">
        <v>78</v>
      </c>
      <c r="AA1936">
        <v>0</v>
      </c>
      <c r="AB1936" t="s">
        <v>79</v>
      </c>
      <c r="AC1936" t="s">
        <v>80</v>
      </c>
      <c r="AD1936">
        <v>36</v>
      </c>
      <c r="AE1936">
        <v>9</v>
      </c>
      <c r="AF1936">
        <v>3</v>
      </c>
      <c r="AG1936">
        <v>2025</v>
      </c>
      <c r="AH1936" s="2">
        <v>29600</v>
      </c>
      <c r="AI1936" s="2">
        <v>33787.65234375</v>
      </c>
      <c r="AJ1936" s="2">
        <f t="shared" si="242"/>
        <v>4187.65234375</v>
      </c>
      <c r="AK1936" s="6">
        <f t="shared" si="243"/>
        <v>0.14147474134290541</v>
      </c>
      <c r="AL1936" s="12">
        <v>29600</v>
      </c>
      <c r="AM1936" s="12">
        <v>37205.236691239028</v>
      </c>
      <c r="AN1936" s="12">
        <f t="shared" si="244"/>
        <v>7605.236691239028</v>
      </c>
      <c r="AO1936" s="13">
        <f t="shared" si="245"/>
        <v>0.2569336720013185</v>
      </c>
      <c r="AP1936" s="16">
        <v>29600</v>
      </c>
      <c r="AQ1936" s="16">
        <v>35852.584982400323</v>
      </c>
      <c r="AR1936" s="16">
        <f t="shared" si="246"/>
        <v>6252.5849824003235</v>
      </c>
      <c r="AS1936" s="17">
        <f t="shared" si="240"/>
        <v>0.21123597913514605</v>
      </c>
      <c r="AT1936" s="20">
        <v>29600</v>
      </c>
      <c r="AU1936" s="20">
        <v>33791.48828125</v>
      </c>
      <c r="AV1936" s="20">
        <f t="shared" si="241"/>
        <v>4191.48828125</v>
      </c>
      <c r="AW1936" s="21">
        <f t="shared" si="247"/>
        <v>0.14160433382601351</v>
      </c>
    </row>
    <row r="1937" spans="1:49" x14ac:dyDescent="0.25">
      <c r="A1937" t="s">
        <v>38</v>
      </c>
      <c r="B1937" t="s">
        <v>96</v>
      </c>
      <c r="C1937">
        <v>115357</v>
      </c>
      <c r="D1937">
        <v>2020</v>
      </c>
      <c r="E1937" t="s">
        <v>69</v>
      </c>
      <c r="F1937" t="s">
        <v>104</v>
      </c>
      <c r="H1937" t="s">
        <v>118</v>
      </c>
      <c r="I1937">
        <v>6</v>
      </c>
      <c r="J1937" t="s">
        <v>61</v>
      </c>
      <c r="K1937">
        <v>4</v>
      </c>
      <c r="L1937" t="s">
        <v>44</v>
      </c>
      <c r="M1937">
        <v>3.5</v>
      </c>
      <c r="N1937" t="s">
        <v>73</v>
      </c>
      <c r="O1937" t="s">
        <v>46</v>
      </c>
      <c r="P1937">
        <v>2</v>
      </c>
      <c r="Q1937" t="s">
        <v>62</v>
      </c>
      <c r="R1937" t="s">
        <v>63</v>
      </c>
      <c r="S1937" t="s">
        <v>49</v>
      </c>
      <c r="T1937">
        <v>310</v>
      </c>
      <c r="U1937" t="s">
        <v>50</v>
      </c>
      <c r="V1937" t="s">
        <v>76</v>
      </c>
      <c r="W1937" t="s">
        <v>107</v>
      </c>
      <c r="X1937" t="s">
        <v>108</v>
      </c>
      <c r="Y1937" t="s">
        <v>78</v>
      </c>
      <c r="AA1937">
        <v>0</v>
      </c>
      <c r="AB1937" t="s">
        <v>79</v>
      </c>
      <c r="AC1937" t="s">
        <v>109</v>
      </c>
      <c r="AD1937">
        <v>36</v>
      </c>
      <c r="AE1937">
        <v>9</v>
      </c>
      <c r="AF1937">
        <v>3</v>
      </c>
      <c r="AG1937">
        <v>2025</v>
      </c>
      <c r="AH1937" s="2">
        <v>14200</v>
      </c>
      <c r="AI1937" s="2">
        <v>14491.099609375</v>
      </c>
      <c r="AJ1937" s="2">
        <f t="shared" si="242"/>
        <v>291.099609375</v>
      </c>
      <c r="AK1937" s="6">
        <f t="shared" si="243"/>
        <v>2.0499972491197182E-2</v>
      </c>
      <c r="AL1937" s="12">
        <v>14200</v>
      </c>
      <c r="AM1937" s="12">
        <v>13179.39925268558</v>
      </c>
      <c r="AN1937" s="12">
        <f t="shared" si="244"/>
        <v>1020.60074731442</v>
      </c>
      <c r="AO1937" s="13">
        <f t="shared" si="245"/>
        <v>7.1873292064395772E-2</v>
      </c>
      <c r="AP1937" s="16">
        <v>14200</v>
      </c>
      <c r="AQ1937" s="16">
        <v>12047.645795552729</v>
      </c>
      <c r="AR1937" s="16">
        <f t="shared" si="246"/>
        <v>2152.3542044472706</v>
      </c>
      <c r="AS1937" s="17">
        <f t="shared" si="240"/>
        <v>0.1515742397498078</v>
      </c>
      <c r="AT1937" s="20">
        <v>14200</v>
      </c>
      <c r="AU1937" s="20">
        <v>14058.2236328125</v>
      </c>
      <c r="AV1937" s="20">
        <f t="shared" si="241"/>
        <v>141.7763671875</v>
      </c>
      <c r="AW1937" s="21">
        <f t="shared" si="247"/>
        <v>9.9842512103873234E-3</v>
      </c>
    </row>
    <row r="1938" spans="1:49" x14ac:dyDescent="0.25">
      <c r="A1938" t="s">
        <v>38</v>
      </c>
      <c r="B1938" t="s">
        <v>68</v>
      </c>
      <c r="C1938">
        <v>68186</v>
      </c>
      <c r="D1938">
        <v>2023</v>
      </c>
      <c r="E1938" t="s">
        <v>97</v>
      </c>
      <c r="F1938" t="s">
        <v>470</v>
      </c>
      <c r="G1938" t="s">
        <v>513</v>
      </c>
      <c r="I1938">
        <v>4</v>
      </c>
      <c r="J1938" t="s">
        <v>135</v>
      </c>
      <c r="K1938">
        <v>4</v>
      </c>
      <c r="L1938" t="s">
        <v>44</v>
      </c>
      <c r="M1938">
        <v>1.5</v>
      </c>
      <c r="N1938" t="s">
        <v>45</v>
      </c>
      <c r="O1938" t="s">
        <v>46</v>
      </c>
      <c r="P1938">
        <v>3</v>
      </c>
      <c r="Q1938" t="s">
        <v>47</v>
      </c>
      <c r="R1938" t="s">
        <v>123</v>
      </c>
      <c r="U1938" t="s">
        <v>50</v>
      </c>
      <c r="V1938" t="s">
        <v>51</v>
      </c>
      <c r="W1938" t="s">
        <v>751</v>
      </c>
      <c r="X1938" t="s">
        <v>125</v>
      </c>
      <c r="Y1938" t="s">
        <v>78</v>
      </c>
      <c r="AA1938">
        <v>0</v>
      </c>
      <c r="AB1938" t="s">
        <v>79</v>
      </c>
      <c r="AC1938" t="s">
        <v>127</v>
      </c>
      <c r="AD1938">
        <v>36</v>
      </c>
      <c r="AE1938">
        <v>9</v>
      </c>
      <c r="AF1938">
        <v>3</v>
      </c>
      <c r="AG1938">
        <v>2025</v>
      </c>
      <c r="AH1938" s="2">
        <v>12750</v>
      </c>
      <c r="AI1938" s="2">
        <v>15053.8193359375</v>
      </c>
      <c r="AJ1938" s="2">
        <f t="shared" si="242"/>
        <v>2303.8193359375</v>
      </c>
      <c r="AK1938" s="6">
        <f t="shared" si="243"/>
        <v>0.18069171262254902</v>
      </c>
      <c r="AL1938" s="12">
        <v>12750</v>
      </c>
      <c r="AM1938" s="12">
        <v>15675.7478495059</v>
      </c>
      <c r="AN1938" s="12">
        <f t="shared" si="244"/>
        <v>2925.7478495059004</v>
      </c>
      <c r="AO1938" s="13">
        <f t="shared" si="245"/>
        <v>0.22947041956909023</v>
      </c>
      <c r="AP1938" s="16">
        <v>12750</v>
      </c>
      <c r="AQ1938" s="16">
        <v>12565.4700048058</v>
      </c>
      <c r="AR1938" s="16">
        <f t="shared" si="246"/>
        <v>184.52999519419973</v>
      </c>
      <c r="AS1938" s="17">
        <f t="shared" si="240"/>
        <v>1.4472940799545076E-2</v>
      </c>
      <c r="AT1938" s="20">
        <v>12750</v>
      </c>
      <c r="AU1938" s="20">
        <v>15066.4443359375</v>
      </c>
      <c r="AV1938" s="20">
        <f t="shared" si="241"/>
        <v>2316.4443359375</v>
      </c>
      <c r="AW1938" s="21">
        <f t="shared" si="247"/>
        <v>0.18168190870098039</v>
      </c>
    </row>
    <row r="1939" spans="1:49" x14ac:dyDescent="0.25">
      <c r="A1939" t="s">
        <v>38</v>
      </c>
      <c r="B1939" t="s">
        <v>110</v>
      </c>
      <c r="C1939">
        <v>154354</v>
      </c>
      <c r="D1939">
        <v>2015</v>
      </c>
      <c r="E1939" t="s">
        <v>146</v>
      </c>
      <c r="F1939" t="s">
        <v>302</v>
      </c>
      <c r="I1939">
        <v>6</v>
      </c>
      <c r="J1939" t="s">
        <v>72</v>
      </c>
      <c r="K1939">
        <v>4</v>
      </c>
      <c r="L1939" t="s">
        <v>44</v>
      </c>
      <c r="M1939">
        <v>3.5</v>
      </c>
      <c r="N1939" t="s">
        <v>45</v>
      </c>
      <c r="O1939" t="s">
        <v>789</v>
      </c>
      <c r="P1939">
        <v>3</v>
      </c>
      <c r="Q1939" t="s">
        <v>62</v>
      </c>
      <c r="R1939" t="s">
        <v>148</v>
      </c>
      <c r="S1939" t="s">
        <v>49</v>
      </c>
      <c r="U1939" t="s">
        <v>50</v>
      </c>
      <c r="X1939" t="s">
        <v>141</v>
      </c>
      <c r="Y1939" t="s">
        <v>78</v>
      </c>
      <c r="AA1939">
        <v>0</v>
      </c>
      <c r="AB1939" t="s">
        <v>79</v>
      </c>
      <c r="AC1939" t="s">
        <v>87</v>
      </c>
      <c r="AD1939">
        <v>36</v>
      </c>
      <c r="AE1939">
        <v>9</v>
      </c>
      <c r="AF1939">
        <v>3</v>
      </c>
      <c r="AG1939">
        <v>2025</v>
      </c>
      <c r="AH1939" s="2">
        <v>2000</v>
      </c>
      <c r="AI1939" s="2">
        <v>1876.737182617188</v>
      </c>
      <c r="AJ1939" s="2">
        <f t="shared" si="242"/>
        <v>123.26281738281205</v>
      </c>
      <c r="AK1939" s="6">
        <f t="shared" si="243"/>
        <v>6.1631408691406021E-2</v>
      </c>
      <c r="AL1939" s="12">
        <v>2000</v>
      </c>
      <c r="AM1939" s="12">
        <v>1636.419602210012</v>
      </c>
      <c r="AN1939" s="12">
        <f t="shared" si="244"/>
        <v>363.58039778998796</v>
      </c>
      <c r="AO1939" s="13">
        <f t="shared" si="245"/>
        <v>0.18179019889499398</v>
      </c>
      <c r="AP1939" s="16">
        <v>2000</v>
      </c>
      <c r="AQ1939" s="16">
        <v>1535.528438680301</v>
      </c>
      <c r="AR1939" s="16">
        <f t="shared" si="246"/>
        <v>464.47156131969905</v>
      </c>
      <c r="AS1939" s="17">
        <f t="shared" si="240"/>
        <v>0.23223578065984951</v>
      </c>
      <c r="AT1939" s="20">
        <v>2000</v>
      </c>
      <c r="AU1939" s="20">
        <v>1850.934204101562</v>
      </c>
      <c r="AV1939" s="20">
        <f t="shared" si="241"/>
        <v>149.06579589843795</v>
      </c>
      <c r="AW1939" s="21">
        <f t="shared" si="247"/>
        <v>7.4532897949218982E-2</v>
      </c>
    </row>
    <row r="1940" spans="1:49" x14ac:dyDescent="0.25">
      <c r="A1940" t="s">
        <v>38</v>
      </c>
      <c r="B1940" t="s">
        <v>96</v>
      </c>
      <c r="C1940">
        <v>50015</v>
      </c>
      <c r="D1940">
        <v>2024</v>
      </c>
      <c r="E1940" t="s">
        <v>40</v>
      </c>
      <c r="F1940" t="s">
        <v>485</v>
      </c>
      <c r="H1940" t="s">
        <v>486</v>
      </c>
      <c r="I1940">
        <v>4</v>
      </c>
      <c r="J1940" t="s">
        <v>106</v>
      </c>
      <c r="K1940">
        <v>4</v>
      </c>
      <c r="L1940" t="s">
        <v>44</v>
      </c>
      <c r="M1940">
        <v>2.4</v>
      </c>
      <c r="N1940" t="s">
        <v>44</v>
      </c>
      <c r="O1940" t="s">
        <v>46</v>
      </c>
      <c r="P1940">
        <v>4</v>
      </c>
      <c r="Q1940" t="s">
        <v>62</v>
      </c>
      <c r="R1940" t="s">
        <v>63</v>
      </c>
      <c r="S1940" t="s">
        <v>93</v>
      </c>
      <c r="T1940">
        <v>265</v>
      </c>
      <c r="U1940" t="s">
        <v>50</v>
      </c>
      <c r="V1940" t="s">
        <v>51</v>
      </c>
      <c r="W1940" t="s">
        <v>617</v>
      </c>
      <c r="X1940" t="s">
        <v>94</v>
      </c>
      <c r="Y1940" t="s">
        <v>78</v>
      </c>
      <c r="AA1940">
        <v>0</v>
      </c>
      <c r="AB1940" t="s">
        <v>79</v>
      </c>
      <c r="AC1940" t="s">
        <v>109</v>
      </c>
      <c r="AD1940">
        <v>36</v>
      </c>
      <c r="AE1940">
        <v>9</v>
      </c>
      <c r="AF1940">
        <v>3</v>
      </c>
      <c r="AG1940">
        <v>2025</v>
      </c>
      <c r="AH1940" s="2">
        <v>37250</v>
      </c>
      <c r="AI1940" s="2">
        <v>28257.654296875</v>
      </c>
      <c r="AJ1940" s="2">
        <f t="shared" si="242"/>
        <v>8992.345703125</v>
      </c>
      <c r="AK1940" s="6">
        <f t="shared" si="243"/>
        <v>0.24140525377516778</v>
      </c>
      <c r="AL1940" s="12">
        <v>37250</v>
      </c>
      <c r="AM1940" s="12">
        <v>31554.90628695998</v>
      </c>
      <c r="AN1940" s="12">
        <f t="shared" si="244"/>
        <v>5695.0937130400198</v>
      </c>
      <c r="AO1940" s="13">
        <f t="shared" si="245"/>
        <v>0.15288842182657772</v>
      </c>
      <c r="AP1940" s="16">
        <v>37250</v>
      </c>
      <c r="AQ1940" s="16">
        <v>31351.504747331928</v>
      </c>
      <c r="AR1940" s="16">
        <f t="shared" si="246"/>
        <v>5898.4952526680718</v>
      </c>
      <c r="AS1940" s="17">
        <f t="shared" si="240"/>
        <v>0.15834886584343816</v>
      </c>
      <c r="AT1940" s="20">
        <v>37250</v>
      </c>
      <c r="AU1940" s="20">
        <v>28384.22265625</v>
      </c>
      <c r="AV1940" s="20">
        <f t="shared" si="241"/>
        <v>8865.77734375</v>
      </c>
      <c r="AW1940" s="21">
        <f t="shared" si="247"/>
        <v>0.23800744546979866</v>
      </c>
    </row>
    <row r="1941" spans="1:49" x14ac:dyDescent="0.25">
      <c r="A1941" t="s">
        <v>81</v>
      </c>
      <c r="B1941" t="s">
        <v>82</v>
      </c>
      <c r="C1941">
        <v>119933</v>
      </c>
      <c r="D1941">
        <v>2008</v>
      </c>
      <c r="E1941" t="s">
        <v>213</v>
      </c>
      <c r="F1941" t="s">
        <v>552</v>
      </c>
      <c r="I1941">
        <v>6</v>
      </c>
      <c r="J1941" t="s">
        <v>43</v>
      </c>
      <c r="K1941">
        <v>4</v>
      </c>
      <c r="L1941" t="s">
        <v>44</v>
      </c>
      <c r="M1941">
        <v>3.5</v>
      </c>
      <c r="N1941" t="s">
        <v>44</v>
      </c>
      <c r="O1941" t="s">
        <v>46</v>
      </c>
      <c r="Q1941" t="s">
        <v>47</v>
      </c>
      <c r="R1941" t="s">
        <v>123</v>
      </c>
      <c r="S1941" t="s">
        <v>93</v>
      </c>
      <c r="U1941" t="s">
        <v>50</v>
      </c>
      <c r="X1941" t="s">
        <v>125</v>
      </c>
      <c r="Y1941" t="s">
        <v>54</v>
      </c>
      <c r="AA1941">
        <v>0</v>
      </c>
      <c r="AB1941" t="s">
        <v>79</v>
      </c>
      <c r="AC1941" t="s">
        <v>127</v>
      </c>
      <c r="AD1941">
        <v>36</v>
      </c>
      <c r="AE1941">
        <v>9</v>
      </c>
      <c r="AF1941">
        <v>3</v>
      </c>
      <c r="AG1941">
        <v>2025</v>
      </c>
      <c r="AH1941" s="2">
        <v>1500</v>
      </c>
      <c r="AI1941" s="2">
        <v>1793.459838867188</v>
      </c>
      <c r="AJ1941" s="2">
        <f t="shared" si="242"/>
        <v>293.45983886718795</v>
      </c>
      <c r="AK1941" s="6">
        <f t="shared" si="243"/>
        <v>0.19563989257812531</v>
      </c>
      <c r="AL1941" s="12">
        <v>1500</v>
      </c>
      <c r="AM1941" s="12">
        <v>1908.6047138100209</v>
      </c>
      <c r="AN1941" s="12">
        <f t="shared" si="244"/>
        <v>408.60471381002094</v>
      </c>
      <c r="AO1941" s="13">
        <f t="shared" si="245"/>
        <v>0.27240314254001396</v>
      </c>
      <c r="AP1941" s="16">
        <v>1500</v>
      </c>
      <c r="AQ1941" s="16">
        <v>1477.6930646873791</v>
      </c>
      <c r="AR1941" s="16">
        <f t="shared" si="246"/>
        <v>22.306935312620908</v>
      </c>
      <c r="AS1941" s="17">
        <f t="shared" si="240"/>
        <v>1.4871290208413939E-2</v>
      </c>
      <c r="AT1941" s="20">
        <v>1500</v>
      </c>
      <c r="AU1941" s="20">
        <v>1788.581420898438</v>
      </c>
      <c r="AV1941" s="20">
        <f t="shared" si="241"/>
        <v>288.58142089843795</v>
      </c>
      <c r="AW1941" s="21">
        <f t="shared" si="247"/>
        <v>0.19238761393229198</v>
      </c>
    </row>
    <row r="1942" spans="1:49" x14ac:dyDescent="0.25">
      <c r="A1942" t="s">
        <v>114</v>
      </c>
      <c r="B1942" t="s">
        <v>340</v>
      </c>
      <c r="C1942">
        <v>87552</v>
      </c>
      <c r="D1942">
        <v>2021</v>
      </c>
      <c r="E1942" t="s">
        <v>97</v>
      </c>
      <c r="F1942" t="s">
        <v>98</v>
      </c>
      <c r="G1942" t="s">
        <v>1262</v>
      </c>
      <c r="I1942">
        <v>4</v>
      </c>
      <c r="J1942" t="s">
        <v>43</v>
      </c>
      <c r="K1942">
        <v>4</v>
      </c>
      <c r="L1942" t="s">
        <v>44</v>
      </c>
      <c r="M1942">
        <v>1.5</v>
      </c>
      <c r="N1942" t="s">
        <v>45</v>
      </c>
      <c r="O1942" t="s">
        <v>655</v>
      </c>
      <c r="P1942">
        <v>1</v>
      </c>
      <c r="Q1942" t="s">
        <v>62</v>
      </c>
      <c r="R1942" t="s">
        <v>63</v>
      </c>
      <c r="S1942" t="s">
        <v>101</v>
      </c>
      <c r="U1942" t="s">
        <v>50</v>
      </c>
      <c r="V1942" t="s">
        <v>51</v>
      </c>
      <c r="W1942" t="s">
        <v>255</v>
      </c>
      <c r="X1942" t="s">
        <v>65</v>
      </c>
      <c r="Y1942" t="s">
        <v>126</v>
      </c>
      <c r="AA1942">
        <v>0</v>
      </c>
      <c r="AB1942" t="s">
        <v>79</v>
      </c>
      <c r="AC1942" t="s">
        <v>87</v>
      </c>
      <c r="AD1942">
        <v>36</v>
      </c>
      <c r="AE1942">
        <v>9</v>
      </c>
      <c r="AF1942">
        <v>3</v>
      </c>
      <c r="AG1942">
        <v>2025</v>
      </c>
      <c r="AH1942" s="2">
        <v>3800</v>
      </c>
      <c r="AI1942" s="2">
        <v>4929.02099609375</v>
      </c>
      <c r="AJ1942" s="2">
        <f t="shared" si="242"/>
        <v>1129.02099609375</v>
      </c>
      <c r="AK1942" s="6">
        <f t="shared" si="243"/>
        <v>0.29711078844572369</v>
      </c>
      <c r="AL1942" s="12">
        <v>3800</v>
      </c>
      <c r="AM1942" s="12">
        <v>5647.7194281344346</v>
      </c>
      <c r="AN1942" s="12">
        <f t="shared" si="244"/>
        <v>1847.7194281344346</v>
      </c>
      <c r="AO1942" s="13">
        <f t="shared" si="245"/>
        <v>0.4862419547722196</v>
      </c>
      <c r="AP1942" s="16">
        <v>3800</v>
      </c>
      <c r="AQ1942" s="16">
        <v>5417.1660570017284</v>
      </c>
      <c r="AR1942" s="16">
        <f t="shared" si="246"/>
        <v>1617.1660570017284</v>
      </c>
      <c r="AS1942" s="17">
        <f t="shared" si="240"/>
        <v>0.42557001500045483</v>
      </c>
      <c r="AT1942" s="20">
        <v>3800</v>
      </c>
      <c r="AU1942" s="20">
        <v>5020.78955078125</v>
      </c>
      <c r="AV1942" s="20">
        <f t="shared" si="241"/>
        <v>1220.78955078125</v>
      </c>
      <c r="AW1942" s="21">
        <f t="shared" si="247"/>
        <v>0.32126040810032896</v>
      </c>
    </row>
    <row r="1943" spans="1:49" x14ac:dyDescent="0.25">
      <c r="A1943" t="s">
        <v>38</v>
      </c>
      <c r="B1943" t="s">
        <v>110</v>
      </c>
      <c r="C1943">
        <v>196831</v>
      </c>
      <c r="D1943">
        <v>2020</v>
      </c>
      <c r="E1943" t="s">
        <v>40</v>
      </c>
      <c r="F1943" t="s">
        <v>201</v>
      </c>
      <c r="G1943" t="s">
        <v>572</v>
      </c>
      <c r="H1943" t="s">
        <v>692</v>
      </c>
      <c r="I1943">
        <v>4</v>
      </c>
      <c r="J1943" t="s">
        <v>43</v>
      </c>
      <c r="K1943">
        <v>4</v>
      </c>
      <c r="L1943" t="s">
        <v>44</v>
      </c>
      <c r="M1943">
        <v>1.8</v>
      </c>
      <c r="N1943" t="s">
        <v>45</v>
      </c>
      <c r="O1943" t="s">
        <v>46</v>
      </c>
      <c r="P1943">
        <v>3</v>
      </c>
      <c r="Q1943" t="s">
        <v>47</v>
      </c>
      <c r="R1943" t="s">
        <v>123</v>
      </c>
      <c r="S1943" t="s">
        <v>49</v>
      </c>
      <c r="T1943">
        <v>139</v>
      </c>
      <c r="U1943" t="s">
        <v>50</v>
      </c>
      <c r="V1943" t="s">
        <v>51</v>
      </c>
      <c r="W1943" t="s">
        <v>693</v>
      </c>
      <c r="X1943" t="s">
        <v>125</v>
      </c>
      <c r="Y1943" t="s">
        <v>78</v>
      </c>
      <c r="AA1943">
        <v>0</v>
      </c>
      <c r="AB1943" t="s">
        <v>79</v>
      </c>
      <c r="AC1943" t="s">
        <v>127</v>
      </c>
      <c r="AD1943">
        <v>36</v>
      </c>
      <c r="AE1943">
        <v>9</v>
      </c>
      <c r="AF1943">
        <v>3</v>
      </c>
      <c r="AG1943">
        <v>2025</v>
      </c>
      <c r="AH1943" s="2">
        <v>7400</v>
      </c>
      <c r="AI1943" s="2">
        <v>3593.350341796875</v>
      </c>
      <c r="AJ1943" s="2">
        <f t="shared" si="242"/>
        <v>3806.649658203125</v>
      </c>
      <c r="AK1943" s="6">
        <f t="shared" si="243"/>
        <v>0.51441211597339531</v>
      </c>
      <c r="AL1943" s="12">
        <v>7400</v>
      </c>
      <c r="AM1943" s="12">
        <v>4697.9469056750258</v>
      </c>
      <c r="AN1943" s="12">
        <f t="shared" si="244"/>
        <v>2702.0530943249742</v>
      </c>
      <c r="AO1943" s="13">
        <f t="shared" si="245"/>
        <v>0.36514231004391545</v>
      </c>
      <c r="AP1943" s="16">
        <v>7400</v>
      </c>
      <c r="AQ1943" s="16">
        <v>4287.9402769711378</v>
      </c>
      <c r="AR1943" s="16">
        <f t="shared" si="246"/>
        <v>3112.0597230288622</v>
      </c>
      <c r="AS1943" s="17">
        <f t="shared" si="240"/>
        <v>0.4205486112201165</v>
      </c>
      <c r="AT1943" s="20">
        <v>7400</v>
      </c>
      <c r="AU1943" s="20">
        <v>3668.299560546875</v>
      </c>
      <c r="AV1943" s="20">
        <f t="shared" si="241"/>
        <v>3731.700439453125</v>
      </c>
      <c r="AW1943" s="21">
        <f t="shared" si="247"/>
        <v>0.50428384316934116</v>
      </c>
    </row>
    <row r="1944" spans="1:49" x14ac:dyDescent="0.25">
      <c r="A1944" t="s">
        <v>38</v>
      </c>
      <c r="B1944" t="s">
        <v>96</v>
      </c>
      <c r="C1944">
        <v>105188</v>
      </c>
      <c r="D1944">
        <v>2015</v>
      </c>
      <c r="E1944" t="s">
        <v>166</v>
      </c>
      <c r="F1944" t="s">
        <v>562</v>
      </c>
      <c r="G1944" t="s">
        <v>240</v>
      </c>
      <c r="I1944">
        <v>4</v>
      </c>
      <c r="J1944" t="s">
        <v>61</v>
      </c>
      <c r="K1944">
        <v>4</v>
      </c>
      <c r="L1944" t="s">
        <v>44</v>
      </c>
      <c r="M1944">
        <v>2.4</v>
      </c>
      <c r="N1944" t="s">
        <v>45</v>
      </c>
      <c r="O1944" t="s">
        <v>46</v>
      </c>
      <c r="Q1944" t="s">
        <v>47</v>
      </c>
      <c r="R1944" t="s">
        <v>123</v>
      </c>
      <c r="T1944">
        <v>185</v>
      </c>
      <c r="U1944" t="s">
        <v>50</v>
      </c>
      <c r="V1944" t="s">
        <v>51</v>
      </c>
      <c r="W1944" t="s">
        <v>614</v>
      </c>
      <c r="X1944" t="s">
        <v>65</v>
      </c>
      <c r="Y1944" t="s">
        <v>78</v>
      </c>
      <c r="AA1944">
        <v>0</v>
      </c>
      <c r="AB1944" t="s">
        <v>79</v>
      </c>
      <c r="AC1944" t="s">
        <v>127</v>
      </c>
      <c r="AD1944">
        <v>36</v>
      </c>
      <c r="AE1944">
        <v>9</v>
      </c>
      <c r="AF1944">
        <v>3</v>
      </c>
      <c r="AG1944">
        <v>2025</v>
      </c>
      <c r="AH1944" s="2">
        <v>7700</v>
      </c>
      <c r="AI1944" s="2">
        <v>9287.2294921875</v>
      </c>
      <c r="AJ1944" s="2">
        <f t="shared" si="242"/>
        <v>1587.2294921875</v>
      </c>
      <c r="AK1944" s="6">
        <f t="shared" si="243"/>
        <v>0.20613370028409092</v>
      </c>
      <c r="AL1944" s="12">
        <v>7700</v>
      </c>
      <c r="AM1944" s="12">
        <v>8730.7015260480839</v>
      </c>
      <c r="AN1944" s="12">
        <f t="shared" si="244"/>
        <v>1030.7015260480839</v>
      </c>
      <c r="AO1944" s="13">
        <f t="shared" si="245"/>
        <v>0.13385734104520569</v>
      </c>
      <c r="AP1944" s="16">
        <v>7700</v>
      </c>
      <c r="AQ1944" s="16">
        <v>6823.8108881342187</v>
      </c>
      <c r="AR1944" s="16">
        <f t="shared" si="246"/>
        <v>876.18911186578134</v>
      </c>
      <c r="AS1944" s="17">
        <f t="shared" si="240"/>
        <v>0.11379079374880277</v>
      </c>
      <c r="AT1944" s="20">
        <v>7700</v>
      </c>
      <c r="AU1944" s="20">
        <v>9209.1396484375</v>
      </c>
      <c r="AV1944" s="20">
        <f t="shared" si="241"/>
        <v>1509.1396484375</v>
      </c>
      <c r="AW1944" s="21">
        <f t="shared" si="247"/>
        <v>0.19599216213474027</v>
      </c>
    </row>
    <row r="1945" spans="1:49" x14ac:dyDescent="0.25">
      <c r="A1945" t="s">
        <v>38</v>
      </c>
      <c r="B1945" t="s">
        <v>39</v>
      </c>
      <c r="C1945">
        <v>134650</v>
      </c>
      <c r="D1945">
        <v>2019</v>
      </c>
      <c r="E1945" t="s">
        <v>69</v>
      </c>
      <c r="F1945" t="s">
        <v>394</v>
      </c>
      <c r="H1945" t="s">
        <v>190</v>
      </c>
      <c r="I1945">
        <v>4</v>
      </c>
      <c r="J1945" t="s">
        <v>61</v>
      </c>
      <c r="K1945">
        <v>4</v>
      </c>
      <c r="L1945" t="s">
        <v>44</v>
      </c>
      <c r="M1945">
        <v>2.5</v>
      </c>
      <c r="N1945" t="s">
        <v>45</v>
      </c>
      <c r="O1945" t="s">
        <v>46</v>
      </c>
      <c r="Q1945" t="s">
        <v>47</v>
      </c>
      <c r="R1945" t="s">
        <v>123</v>
      </c>
      <c r="T1945">
        <v>175</v>
      </c>
      <c r="U1945" t="s">
        <v>50</v>
      </c>
      <c r="V1945" t="s">
        <v>51</v>
      </c>
      <c r="X1945" t="s">
        <v>125</v>
      </c>
      <c r="Y1945" t="s">
        <v>126</v>
      </c>
      <c r="Z1945">
        <v>22840</v>
      </c>
      <c r="AA1945">
        <v>0</v>
      </c>
      <c r="AB1945" t="s">
        <v>79</v>
      </c>
      <c r="AC1945" t="s">
        <v>127</v>
      </c>
      <c r="AD1945">
        <v>36</v>
      </c>
      <c r="AE1945">
        <v>9</v>
      </c>
      <c r="AF1945">
        <v>3</v>
      </c>
      <c r="AG1945">
        <v>2025</v>
      </c>
      <c r="AH1945" s="2">
        <v>2400</v>
      </c>
      <c r="AI1945" s="2">
        <v>4656.5693359375</v>
      </c>
      <c r="AJ1945" s="2">
        <f t="shared" si="242"/>
        <v>2256.5693359375</v>
      </c>
      <c r="AK1945" s="6">
        <f t="shared" si="243"/>
        <v>0.94023722330729165</v>
      </c>
      <c r="AL1945" s="12">
        <v>2400</v>
      </c>
      <c r="AM1945" s="12">
        <v>5335.3828749688737</v>
      </c>
      <c r="AN1945" s="12">
        <f t="shared" si="244"/>
        <v>2935.3828749688737</v>
      </c>
      <c r="AO1945" s="13">
        <f t="shared" si="245"/>
        <v>1.2230761979036975</v>
      </c>
      <c r="AP1945" s="16">
        <v>2400</v>
      </c>
      <c r="AQ1945" s="16">
        <v>3997.789358161087</v>
      </c>
      <c r="AR1945" s="16">
        <f t="shared" si="246"/>
        <v>1597.789358161087</v>
      </c>
      <c r="AS1945" s="17">
        <f t="shared" si="240"/>
        <v>0.66574556590045286</v>
      </c>
      <c r="AT1945" s="20">
        <v>2400</v>
      </c>
      <c r="AU1945" s="20">
        <v>4726.59619140625</v>
      </c>
      <c r="AV1945" s="20">
        <f t="shared" si="241"/>
        <v>2326.59619140625</v>
      </c>
      <c r="AW1945" s="21">
        <f t="shared" si="247"/>
        <v>0.96941507975260421</v>
      </c>
    </row>
    <row r="1946" spans="1:49" x14ac:dyDescent="0.25">
      <c r="A1946" t="s">
        <v>128</v>
      </c>
      <c r="B1946" t="s">
        <v>129</v>
      </c>
      <c r="C1946">
        <v>96348</v>
      </c>
      <c r="D1946">
        <v>2012</v>
      </c>
      <c r="E1946" t="s">
        <v>413</v>
      </c>
      <c r="F1946" t="s">
        <v>1556</v>
      </c>
      <c r="G1946" t="s">
        <v>1557</v>
      </c>
      <c r="H1946" t="s">
        <v>1558</v>
      </c>
      <c r="I1946">
        <v>4</v>
      </c>
      <c r="J1946" t="s">
        <v>72</v>
      </c>
      <c r="K1946">
        <v>4</v>
      </c>
      <c r="L1946" t="s">
        <v>44</v>
      </c>
      <c r="M1946">
        <v>2.4</v>
      </c>
      <c r="N1946" t="s">
        <v>73</v>
      </c>
      <c r="O1946" t="s">
        <v>46</v>
      </c>
      <c r="Q1946" t="s">
        <v>62</v>
      </c>
      <c r="R1946" t="s">
        <v>63</v>
      </c>
      <c r="S1946" t="s">
        <v>179</v>
      </c>
      <c r="X1946" t="s">
        <v>125</v>
      </c>
      <c r="Y1946" t="s">
        <v>54</v>
      </c>
      <c r="AA1946">
        <v>0</v>
      </c>
      <c r="AB1946" t="s">
        <v>79</v>
      </c>
      <c r="AC1946" t="s">
        <v>87</v>
      </c>
      <c r="AD1946">
        <v>36</v>
      </c>
      <c r="AE1946">
        <v>9</v>
      </c>
      <c r="AF1946">
        <v>3</v>
      </c>
      <c r="AG1946">
        <v>2025</v>
      </c>
      <c r="AH1946" s="2">
        <v>2100</v>
      </c>
      <c r="AI1946" s="2">
        <v>2464.97216796875</v>
      </c>
      <c r="AJ1946" s="2">
        <f t="shared" si="242"/>
        <v>364.97216796875</v>
      </c>
      <c r="AK1946" s="6">
        <f t="shared" si="243"/>
        <v>0.17379627046130952</v>
      </c>
      <c r="AL1946" s="12">
        <v>2100</v>
      </c>
      <c r="AM1946" s="12">
        <v>2517.3980183626099</v>
      </c>
      <c r="AN1946" s="12">
        <f t="shared" si="244"/>
        <v>417.39801836260995</v>
      </c>
      <c r="AO1946" s="13">
        <f t="shared" si="245"/>
        <v>0.19876096112505234</v>
      </c>
      <c r="AP1946" s="16">
        <v>2100</v>
      </c>
      <c r="AQ1946" s="16">
        <v>1885.0379391891261</v>
      </c>
      <c r="AR1946" s="16">
        <f t="shared" si="246"/>
        <v>214.96206081087394</v>
      </c>
      <c r="AS1946" s="17">
        <f t="shared" si="240"/>
        <v>0.10236288610041616</v>
      </c>
      <c r="AT1946" s="20">
        <v>2100</v>
      </c>
      <c r="AU1946" s="20">
        <v>2466.126953125</v>
      </c>
      <c r="AV1946" s="20">
        <f t="shared" si="241"/>
        <v>366.126953125</v>
      </c>
      <c r="AW1946" s="21">
        <f t="shared" si="247"/>
        <v>0.17434616815476189</v>
      </c>
    </row>
    <row r="1947" spans="1:49" x14ac:dyDescent="0.25">
      <c r="A1947" t="s">
        <v>38</v>
      </c>
      <c r="B1947" t="s">
        <v>110</v>
      </c>
      <c r="C1947">
        <v>137832</v>
      </c>
      <c r="D1947">
        <v>2011</v>
      </c>
      <c r="E1947" t="s">
        <v>146</v>
      </c>
      <c r="F1947" t="s">
        <v>147</v>
      </c>
      <c r="I1947">
        <v>4</v>
      </c>
      <c r="J1947" t="s">
        <v>43</v>
      </c>
      <c r="K1947">
        <v>4</v>
      </c>
      <c r="L1947" t="s">
        <v>44</v>
      </c>
      <c r="M1947">
        <v>2.5</v>
      </c>
      <c r="N1947" t="s">
        <v>45</v>
      </c>
      <c r="Q1947" t="s">
        <v>62</v>
      </c>
      <c r="R1947" t="s">
        <v>148</v>
      </c>
      <c r="S1947" t="s">
        <v>49</v>
      </c>
      <c r="U1947" t="s">
        <v>50</v>
      </c>
      <c r="X1947" t="s">
        <v>65</v>
      </c>
      <c r="Y1947" t="s">
        <v>54</v>
      </c>
      <c r="AA1947">
        <v>0</v>
      </c>
      <c r="AB1947" t="s">
        <v>79</v>
      </c>
      <c r="AC1947" t="s">
        <v>87</v>
      </c>
      <c r="AD1947">
        <v>36</v>
      </c>
      <c r="AE1947">
        <v>9</v>
      </c>
      <c r="AF1947">
        <v>3</v>
      </c>
      <c r="AG1947">
        <v>2025</v>
      </c>
      <c r="AH1947" s="2">
        <v>1400</v>
      </c>
      <c r="AI1947" s="2">
        <v>1409.705688476562</v>
      </c>
      <c r="AJ1947" s="2">
        <f t="shared" si="242"/>
        <v>9.7056884765620453</v>
      </c>
      <c r="AK1947" s="6">
        <f t="shared" si="243"/>
        <v>6.9326346261157469E-3</v>
      </c>
      <c r="AL1947" s="12">
        <v>1400</v>
      </c>
      <c r="AM1947" s="12">
        <v>1723.1092585243509</v>
      </c>
      <c r="AN1947" s="12">
        <f t="shared" si="244"/>
        <v>323.10925852435093</v>
      </c>
      <c r="AO1947" s="13">
        <f t="shared" si="245"/>
        <v>0.23079232751739354</v>
      </c>
      <c r="AP1947" s="16">
        <v>1400</v>
      </c>
      <c r="AQ1947" s="16">
        <v>1504.351718556889</v>
      </c>
      <c r="AR1947" s="16">
        <f t="shared" si="246"/>
        <v>104.35171855688895</v>
      </c>
      <c r="AS1947" s="17">
        <f t="shared" si="240"/>
        <v>7.4536941826349248E-2</v>
      </c>
      <c r="AT1947" s="20">
        <v>1400</v>
      </c>
      <c r="AU1947" s="20">
        <v>1416.93798828125</v>
      </c>
      <c r="AV1947" s="20">
        <f t="shared" si="241"/>
        <v>16.93798828125</v>
      </c>
      <c r="AW1947" s="21">
        <f t="shared" si="247"/>
        <v>1.2098563058035715E-2</v>
      </c>
    </row>
    <row r="1948" spans="1:49" x14ac:dyDescent="0.25">
      <c r="A1948" t="s">
        <v>38</v>
      </c>
      <c r="B1948" t="s">
        <v>96</v>
      </c>
      <c r="C1948">
        <v>9596</v>
      </c>
      <c r="D1948">
        <v>2025</v>
      </c>
      <c r="E1948" t="s">
        <v>97</v>
      </c>
      <c r="F1948" t="s">
        <v>98</v>
      </c>
      <c r="G1948" t="s">
        <v>130</v>
      </c>
      <c r="I1948">
        <v>4</v>
      </c>
      <c r="J1948" t="s">
        <v>72</v>
      </c>
      <c r="K1948">
        <v>4</v>
      </c>
      <c r="L1948" t="s">
        <v>44</v>
      </c>
      <c r="M1948">
        <v>1.5</v>
      </c>
      <c r="N1948" t="s">
        <v>45</v>
      </c>
      <c r="O1948" t="s">
        <v>46</v>
      </c>
      <c r="P1948">
        <v>5</v>
      </c>
      <c r="Q1948" t="s">
        <v>62</v>
      </c>
      <c r="R1948" t="s">
        <v>63</v>
      </c>
      <c r="S1948" t="s">
        <v>101</v>
      </c>
      <c r="U1948" t="s">
        <v>50</v>
      </c>
      <c r="V1948" t="s">
        <v>51</v>
      </c>
      <c r="W1948" t="s">
        <v>283</v>
      </c>
      <c r="X1948" t="s">
        <v>65</v>
      </c>
      <c r="Y1948" t="s">
        <v>126</v>
      </c>
      <c r="AA1948">
        <v>0</v>
      </c>
      <c r="AB1948" t="s">
        <v>79</v>
      </c>
      <c r="AC1948" t="s">
        <v>87</v>
      </c>
      <c r="AD1948">
        <v>36</v>
      </c>
      <c r="AE1948">
        <v>9</v>
      </c>
      <c r="AF1948">
        <v>3</v>
      </c>
      <c r="AG1948">
        <v>2025</v>
      </c>
      <c r="AH1948" s="2">
        <v>26000</v>
      </c>
      <c r="AI1948" s="2">
        <v>23148.5859375</v>
      </c>
      <c r="AJ1948" s="2">
        <f t="shared" si="242"/>
        <v>2851.4140625</v>
      </c>
      <c r="AK1948" s="6">
        <f t="shared" si="243"/>
        <v>0.10966977163461539</v>
      </c>
      <c r="AL1948" s="12">
        <v>26000</v>
      </c>
      <c r="AM1948" s="12">
        <v>23595.92492851365</v>
      </c>
      <c r="AN1948" s="12">
        <f t="shared" si="244"/>
        <v>2404.0750714863498</v>
      </c>
      <c r="AO1948" s="13">
        <f t="shared" si="245"/>
        <v>9.2464425826398064E-2</v>
      </c>
      <c r="AP1948" s="16">
        <v>26000</v>
      </c>
      <c r="AQ1948" s="16">
        <v>21598.680536541229</v>
      </c>
      <c r="AR1948" s="16">
        <f t="shared" si="246"/>
        <v>4401.3194634587708</v>
      </c>
      <c r="AS1948" s="17">
        <f t="shared" si="240"/>
        <v>0.16928151782533735</v>
      </c>
      <c r="AT1948" s="20">
        <v>26000</v>
      </c>
      <c r="AU1948" s="20">
        <v>22950.0859375</v>
      </c>
      <c r="AV1948" s="20">
        <f t="shared" si="241"/>
        <v>3049.9140625</v>
      </c>
      <c r="AW1948" s="21">
        <f t="shared" si="247"/>
        <v>0.11730438701923077</v>
      </c>
    </row>
    <row r="1949" spans="1:49" x14ac:dyDescent="0.25">
      <c r="A1949" t="s">
        <v>128</v>
      </c>
      <c r="B1949" t="s">
        <v>129</v>
      </c>
      <c r="C1949">
        <v>202020</v>
      </c>
      <c r="D1949">
        <v>2006</v>
      </c>
      <c r="E1949" t="s">
        <v>142</v>
      </c>
      <c r="F1949" t="s">
        <v>373</v>
      </c>
      <c r="G1949" t="s">
        <v>398</v>
      </c>
      <c r="H1949" t="s">
        <v>375</v>
      </c>
      <c r="I1949">
        <v>6</v>
      </c>
      <c r="J1949" t="s">
        <v>61</v>
      </c>
      <c r="K1949">
        <v>4</v>
      </c>
      <c r="L1949" t="s">
        <v>44</v>
      </c>
      <c r="M1949">
        <v>3.7</v>
      </c>
      <c r="N1949" t="s">
        <v>73</v>
      </c>
      <c r="O1949" t="s">
        <v>190</v>
      </c>
      <c r="P1949">
        <v>1</v>
      </c>
      <c r="Q1949" t="s">
        <v>62</v>
      </c>
      <c r="R1949" t="s">
        <v>63</v>
      </c>
      <c r="S1949" t="s">
        <v>49</v>
      </c>
      <c r="U1949" t="s">
        <v>50</v>
      </c>
      <c r="V1949" t="s">
        <v>76</v>
      </c>
      <c r="W1949" t="s">
        <v>1559</v>
      </c>
      <c r="X1949" t="s">
        <v>141</v>
      </c>
      <c r="Y1949" t="s">
        <v>78</v>
      </c>
      <c r="AA1949">
        <v>0</v>
      </c>
      <c r="AB1949" t="s">
        <v>79</v>
      </c>
      <c r="AC1949" t="s">
        <v>87</v>
      </c>
      <c r="AD1949">
        <v>36</v>
      </c>
      <c r="AE1949">
        <v>9</v>
      </c>
      <c r="AF1949">
        <v>3</v>
      </c>
      <c r="AG1949">
        <v>2025</v>
      </c>
      <c r="AH1949" s="2">
        <v>400</v>
      </c>
      <c r="AI1949" s="2">
        <v>400.44229125976563</v>
      </c>
      <c r="AJ1949" s="2">
        <f t="shared" si="242"/>
        <v>0.442291259765625</v>
      </c>
      <c r="AK1949" s="6">
        <f t="shared" si="243"/>
        <v>1.1057281494140626E-3</v>
      </c>
      <c r="AL1949" s="12">
        <v>400</v>
      </c>
      <c r="AM1949" s="12">
        <v>337.05668369538802</v>
      </c>
      <c r="AN1949" s="12">
        <f t="shared" si="244"/>
        <v>62.943316304611983</v>
      </c>
      <c r="AO1949" s="13">
        <f t="shared" si="245"/>
        <v>0.15735829076152996</v>
      </c>
      <c r="AP1949" s="16">
        <v>400</v>
      </c>
      <c r="AQ1949" s="16">
        <v>291.36730859202862</v>
      </c>
      <c r="AR1949" s="16">
        <f t="shared" si="246"/>
        <v>108.63269140797138</v>
      </c>
      <c r="AS1949" s="17">
        <f t="shared" si="240"/>
        <v>0.27158172851992846</v>
      </c>
      <c r="AT1949" s="20">
        <v>400</v>
      </c>
      <c r="AU1949" s="20">
        <v>460.00308227539063</v>
      </c>
      <c r="AV1949" s="20">
        <f t="shared" si="241"/>
        <v>60.003082275390625</v>
      </c>
      <c r="AW1949" s="21">
        <f t="shared" si="247"/>
        <v>0.15000770568847657</v>
      </c>
    </row>
    <row r="1950" spans="1:49" x14ac:dyDescent="0.25">
      <c r="A1950" t="s">
        <v>128</v>
      </c>
      <c r="B1950" t="s">
        <v>210</v>
      </c>
      <c r="C1950">
        <v>108590</v>
      </c>
      <c r="D1950">
        <v>2016</v>
      </c>
      <c r="E1950" t="s">
        <v>69</v>
      </c>
      <c r="F1950" t="s">
        <v>690</v>
      </c>
      <c r="G1950" t="s">
        <v>956</v>
      </c>
      <c r="I1950">
        <v>4</v>
      </c>
      <c r="J1950" t="s">
        <v>61</v>
      </c>
      <c r="K1950">
        <v>4</v>
      </c>
      <c r="L1950" t="s">
        <v>402</v>
      </c>
      <c r="M1950">
        <v>2</v>
      </c>
      <c r="N1950" t="s">
        <v>45</v>
      </c>
      <c r="O1950" t="s">
        <v>46</v>
      </c>
      <c r="Q1950" t="s">
        <v>47</v>
      </c>
      <c r="R1950" t="s">
        <v>48</v>
      </c>
      <c r="T1950">
        <v>252</v>
      </c>
      <c r="U1950" t="s">
        <v>50</v>
      </c>
      <c r="V1950" t="s">
        <v>51</v>
      </c>
      <c r="X1950" t="s">
        <v>125</v>
      </c>
      <c r="Y1950" t="s">
        <v>78</v>
      </c>
      <c r="AA1950">
        <v>0</v>
      </c>
      <c r="AB1950" t="s">
        <v>79</v>
      </c>
      <c r="AC1950" t="s">
        <v>359</v>
      </c>
      <c r="AD1950">
        <v>36</v>
      </c>
      <c r="AE1950">
        <v>9</v>
      </c>
      <c r="AF1950">
        <v>3</v>
      </c>
      <c r="AG1950">
        <v>2025</v>
      </c>
      <c r="AH1950" s="2">
        <v>2500</v>
      </c>
      <c r="AI1950" s="2">
        <v>5457.904296875</v>
      </c>
      <c r="AJ1950" s="2">
        <f t="shared" si="242"/>
        <v>2957.904296875</v>
      </c>
      <c r="AK1950" s="6">
        <f t="shared" si="243"/>
        <v>1.1831617187500001</v>
      </c>
      <c r="AL1950" s="12">
        <v>2500</v>
      </c>
      <c r="AM1950" s="12">
        <v>5456.2649852031827</v>
      </c>
      <c r="AN1950" s="12">
        <f t="shared" si="244"/>
        <v>2956.2649852031827</v>
      </c>
      <c r="AO1950" s="13">
        <f t="shared" si="245"/>
        <v>1.182505994081273</v>
      </c>
      <c r="AP1950" s="16">
        <v>2500</v>
      </c>
      <c r="AQ1950" s="16">
        <v>4814.7733956651618</v>
      </c>
      <c r="AR1950" s="16">
        <f t="shared" si="246"/>
        <v>2314.7733956651618</v>
      </c>
      <c r="AS1950" s="17">
        <f t="shared" si="240"/>
        <v>0.92590935826606469</v>
      </c>
      <c r="AT1950" s="20">
        <v>2500</v>
      </c>
      <c r="AU1950" s="20">
        <v>5525.58203125</v>
      </c>
      <c r="AV1950" s="20">
        <f t="shared" si="241"/>
        <v>3025.58203125</v>
      </c>
      <c r="AW1950" s="21">
        <f t="shared" si="247"/>
        <v>1.2102328124999999</v>
      </c>
    </row>
    <row r="1951" spans="1:49" x14ac:dyDescent="0.25">
      <c r="A1951" t="s">
        <v>38</v>
      </c>
      <c r="B1951" t="s">
        <v>39</v>
      </c>
      <c r="C1951">
        <v>142643</v>
      </c>
      <c r="D1951">
        <v>2016</v>
      </c>
      <c r="E1951" t="s">
        <v>58</v>
      </c>
      <c r="F1951" t="s">
        <v>220</v>
      </c>
      <c r="G1951" t="s">
        <v>248</v>
      </c>
      <c r="I1951">
        <v>4</v>
      </c>
      <c r="J1951" t="s">
        <v>61</v>
      </c>
      <c r="K1951">
        <v>4</v>
      </c>
      <c r="L1951" t="s">
        <v>44</v>
      </c>
      <c r="M1951">
        <v>2</v>
      </c>
      <c r="N1951" t="s">
        <v>45</v>
      </c>
      <c r="O1951" t="s">
        <v>190</v>
      </c>
      <c r="P1951">
        <v>1</v>
      </c>
      <c r="Q1951" t="s">
        <v>62</v>
      </c>
      <c r="R1951" t="s">
        <v>63</v>
      </c>
      <c r="S1951" t="s">
        <v>49</v>
      </c>
      <c r="U1951" t="s">
        <v>50</v>
      </c>
      <c r="W1951" t="s">
        <v>1560</v>
      </c>
      <c r="X1951" t="s">
        <v>141</v>
      </c>
      <c r="Y1951" t="s">
        <v>78</v>
      </c>
      <c r="AA1951">
        <v>0</v>
      </c>
      <c r="AB1951" t="s">
        <v>79</v>
      </c>
      <c r="AC1951" t="s">
        <v>87</v>
      </c>
      <c r="AD1951">
        <v>36</v>
      </c>
      <c r="AE1951">
        <v>9</v>
      </c>
      <c r="AF1951">
        <v>3</v>
      </c>
      <c r="AG1951">
        <v>2025</v>
      </c>
      <c r="AH1951" s="2">
        <v>2800</v>
      </c>
      <c r="AI1951" s="2">
        <v>1411.758178710938</v>
      </c>
      <c r="AJ1951" s="2">
        <f t="shared" si="242"/>
        <v>1388.241821289062</v>
      </c>
      <c r="AK1951" s="6">
        <f t="shared" si="243"/>
        <v>0.4958006504603793</v>
      </c>
      <c r="AL1951" s="12">
        <v>2800</v>
      </c>
      <c r="AM1951" s="12">
        <v>1467.378208707664</v>
      </c>
      <c r="AN1951" s="12">
        <f t="shared" si="244"/>
        <v>1332.621791292336</v>
      </c>
      <c r="AO1951" s="13">
        <f t="shared" si="245"/>
        <v>0.47593635403297713</v>
      </c>
      <c r="AP1951" s="16">
        <v>2800</v>
      </c>
      <c r="AQ1951" s="16">
        <v>1310.5059764672551</v>
      </c>
      <c r="AR1951" s="16">
        <f t="shared" si="246"/>
        <v>1489.4940235327449</v>
      </c>
      <c r="AS1951" s="17">
        <f t="shared" si="240"/>
        <v>0.53196215126169466</v>
      </c>
      <c r="AT1951" s="20">
        <v>2800</v>
      </c>
      <c r="AU1951" s="20">
        <v>1407.353271484375</v>
      </c>
      <c r="AV1951" s="20">
        <f t="shared" si="241"/>
        <v>1392.646728515625</v>
      </c>
      <c r="AW1951" s="21">
        <f t="shared" si="247"/>
        <v>0.49737383161272319</v>
      </c>
    </row>
    <row r="1952" spans="1:49" x14ac:dyDescent="0.25">
      <c r="A1952" t="s">
        <v>38</v>
      </c>
      <c r="B1952" t="s">
        <v>39</v>
      </c>
      <c r="C1952">
        <v>244611</v>
      </c>
      <c r="D1952">
        <v>2008</v>
      </c>
      <c r="E1952" t="s">
        <v>166</v>
      </c>
      <c r="F1952" t="s">
        <v>167</v>
      </c>
      <c r="G1952" t="s">
        <v>224</v>
      </c>
      <c r="I1952">
        <v>6</v>
      </c>
      <c r="J1952" t="s">
        <v>61</v>
      </c>
      <c r="K1952">
        <v>4</v>
      </c>
      <c r="L1952" t="s">
        <v>44</v>
      </c>
      <c r="M1952">
        <v>3.5</v>
      </c>
      <c r="N1952" t="s">
        <v>45</v>
      </c>
      <c r="O1952" t="s">
        <v>46</v>
      </c>
      <c r="Q1952" t="s">
        <v>62</v>
      </c>
      <c r="R1952" t="s">
        <v>63</v>
      </c>
      <c r="S1952" t="s">
        <v>101</v>
      </c>
      <c r="T1952">
        <v>244</v>
      </c>
      <c r="U1952" t="s">
        <v>50</v>
      </c>
      <c r="V1952" t="s">
        <v>76</v>
      </c>
      <c r="W1952" t="s">
        <v>986</v>
      </c>
      <c r="X1952" t="s">
        <v>141</v>
      </c>
      <c r="Y1952" t="s">
        <v>78</v>
      </c>
      <c r="AA1952">
        <v>0</v>
      </c>
      <c r="AB1952" t="s">
        <v>79</v>
      </c>
      <c r="AC1952" t="s">
        <v>87</v>
      </c>
      <c r="AD1952">
        <v>36</v>
      </c>
      <c r="AE1952">
        <v>9</v>
      </c>
      <c r="AF1952">
        <v>3</v>
      </c>
      <c r="AG1952">
        <v>2025</v>
      </c>
      <c r="AH1952" s="2">
        <v>1500</v>
      </c>
      <c r="AI1952" s="2">
        <v>1167.61474609375</v>
      </c>
      <c r="AJ1952" s="2">
        <f t="shared" si="242"/>
        <v>332.38525390625</v>
      </c>
      <c r="AK1952" s="6">
        <f t="shared" si="243"/>
        <v>0.22159016927083333</v>
      </c>
      <c r="AL1952" s="12">
        <v>1500</v>
      </c>
      <c r="AM1952" s="12">
        <v>1356.388353705735</v>
      </c>
      <c r="AN1952" s="12">
        <f t="shared" si="244"/>
        <v>143.61164629426503</v>
      </c>
      <c r="AO1952" s="13">
        <f t="shared" si="245"/>
        <v>9.5741097529510016E-2</v>
      </c>
      <c r="AP1952" s="16">
        <v>1500</v>
      </c>
      <c r="AQ1952" s="16">
        <v>1062.013118273919</v>
      </c>
      <c r="AR1952" s="16">
        <f t="shared" si="246"/>
        <v>437.98688172608104</v>
      </c>
      <c r="AS1952" s="17">
        <f t="shared" si="240"/>
        <v>0.29199125448405405</v>
      </c>
      <c r="AT1952" s="20">
        <v>1500</v>
      </c>
      <c r="AU1952" s="20">
        <v>1170.40478515625</v>
      </c>
      <c r="AV1952" s="20">
        <f t="shared" si="241"/>
        <v>329.59521484375</v>
      </c>
      <c r="AW1952" s="21">
        <f t="shared" si="247"/>
        <v>0.21973014322916667</v>
      </c>
    </row>
    <row r="1953" spans="1:49" x14ac:dyDescent="0.25">
      <c r="A1953" t="s">
        <v>38</v>
      </c>
      <c r="B1953" t="s">
        <v>110</v>
      </c>
      <c r="C1953">
        <v>67659</v>
      </c>
      <c r="D1953">
        <v>2019</v>
      </c>
      <c r="E1953" t="s">
        <v>69</v>
      </c>
      <c r="F1953" t="s">
        <v>873</v>
      </c>
      <c r="G1953" t="s">
        <v>285</v>
      </c>
      <c r="I1953">
        <v>4</v>
      </c>
      <c r="J1953" t="s">
        <v>72</v>
      </c>
      <c r="K1953">
        <v>4</v>
      </c>
      <c r="L1953" t="s">
        <v>44</v>
      </c>
      <c r="M1953">
        <v>2</v>
      </c>
      <c r="N1953" t="s">
        <v>45</v>
      </c>
      <c r="O1953" t="s">
        <v>46</v>
      </c>
      <c r="P1953">
        <v>3</v>
      </c>
      <c r="Q1953" t="s">
        <v>62</v>
      </c>
      <c r="R1953" t="s">
        <v>63</v>
      </c>
      <c r="S1953" t="s">
        <v>101</v>
      </c>
      <c r="T1953">
        <v>245</v>
      </c>
      <c r="U1953" t="s">
        <v>50</v>
      </c>
      <c r="V1953" t="s">
        <v>51</v>
      </c>
      <c r="W1953" t="s">
        <v>1073</v>
      </c>
      <c r="X1953" t="s">
        <v>141</v>
      </c>
      <c r="Y1953" t="s">
        <v>103</v>
      </c>
      <c r="Z1953">
        <v>33300</v>
      </c>
      <c r="AA1953">
        <v>0</v>
      </c>
      <c r="AB1953" t="s">
        <v>79</v>
      </c>
      <c r="AC1953" t="s">
        <v>87</v>
      </c>
      <c r="AD1953">
        <v>36</v>
      </c>
      <c r="AE1953">
        <v>9</v>
      </c>
      <c r="AF1953">
        <v>3</v>
      </c>
      <c r="AG1953">
        <v>2025</v>
      </c>
      <c r="AH1953" s="2">
        <v>9100</v>
      </c>
      <c r="AI1953" s="2">
        <v>12530.955078125</v>
      </c>
      <c r="AJ1953" s="2">
        <f t="shared" si="242"/>
        <v>3430.955078125</v>
      </c>
      <c r="AK1953" s="6">
        <f t="shared" si="243"/>
        <v>0.37702803056318679</v>
      </c>
      <c r="AL1953" s="12">
        <v>9100</v>
      </c>
      <c r="AM1953" s="12">
        <v>12397.23822946622</v>
      </c>
      <c r="AN1953" s="12">
        <f t="shared" si="244"/>
        <v>3297.2382294662202</v>
      </c>
      <c r="AO1953" s="13">
        <f t="shared" si="245"/>
        <v>0.3623338713699143</v>
      </c>
      <c r="AP1953" s="16">
        <v>9100</v>
      </c>
      <c r="AQ1953" s="16">
        <v>10110.349534662309</v>
      </c>
      <c r="AR1953" s="16">
        <f t="shared" si="246"/>
        <v>1010.3495346623095</v>
      </c>
      <c r="AS1953" s="17">
        <f t="shared" si="240"/>
        <v>0.11102742139146257</v>
      </c>
      <c r="AT1953" s="20">
        <v>9100</v>
      </c>
      <c r="AU1953" s="20">
        <v>12453.9501953125</v>
      </c>
      <c r="AV1953" s="20">
        <f t="shared" si="241"/>
        <v>3353.9501953125</v>
      </c>
      <c r="AW1953" s="21">
        <f t="shared" si="247"/>
        <v>0.36856595552884613</v>
      </c>
    </row>
    <row r="1954" spans="1:49" x14ac:dyDescent="0.25">
      <c r="A1954" t="s">
        <v>38</v>
      </c>
      <c r="B1954" t="s">
        <v>96</v>
      </c>
      <c r="C1954">
        <v>78031</v>
      </c>
      <c r="D1954">
        <v>2018</v>
      </c>
      <c r="E1954" t="s">
        <v>174</v>
      </c>
      <c r="F1954" t="s">
        <v>1561</v>
      </c>
      <c r="G1954" t="s">
        <v>315</v>
      </c>
      <c r="I1954">
        <v>6</v>
      </c>
      <c r="J1954" t="s">
        <v>135</v>
      </c>
      <c r="K1954">
        <v>4</v>
      </c>
      <c r="L1954" t="s">
        <v>44</v>
      </c>
      <c r="M1954">
        <v>3.6</v>
      </c>
      <c r="N1954" t="s">
        <v>73</v>
      </c>
      <c r="O1954" t="s">
        <v>46</v>
      </c>
      <c r="P1954">
        <v>4</v>
      </c>
      <c r="Q1954" t="s">
        <v>74</v>
      </c>
      <c r="R1954" t="s">
        <v>92</v>
      </c>
      <c r="S1954" t="s">
        <v>49</v>
      </c>
      <c r="U1954" t="s">
        <v>50</v>
      </c>
      <c r="V1954" t="s">
        <v>76</v>
      </c>
      <c r="W1954" t="s">
        <v>1562</v>
      </c>
      <c r="X1954" t="s">
        <v>141</v>
      </c>
      <c r="Y1954" t="s">
        <v>78</v>
      </c>
      <c r="Z1954">
        <v>31995</v>
      </c>
      <c r="AA1954">
        <v>0</v>
      </c>
      <c r="AB1954" t="s">
        <v>79</v>
      </c>
      <c r="AC1954" t="s">
        <v>95</v>
      </c>
      <c r="AD1954">
        <v>36</v>
      </c>
      <c r="AE1954">
        <v>9</v>
      </c>
      <c r="AF1954">
        <v>3</v>
      </c>
      <c r="AG1954">
        <v>2025</v>
      </c>
      <c r="AH1954" s="2">
        <v>16000</v>
      </c>
      <c r="AI1954" s="2">
        <v>16623.65625</v>
      </c>
      <c r="AJ1954" s="2">
        <f t="shared" si="242"/>
        <v>623.65625</v>
      </c>
      <c r="AK1954" s="6">
        <f t="shared" si="243"/>
        <v>3.8978515625000001E-2</v>
      </c>
      <c r="AL1954" s="12">
        <v>16000</v>
      </c>
      <c r="AM1954" s="12">
        <v>15617.154241486491</v>
      </c>
      <c r="AN1954" s="12">
        <f t="shared" si="244"/>
        <v>382.84575851350928</v>
      </c>
      <c r="AO1954" s="13">
        <f t="shared" si="245"/>
        <v>2.3927859907094329E-2</v>
      </c>
      <c r="AP1954" s="16">
        <v>16000</v>
      </c>
      <c r="AQ1954" s="16">
        <v>16388.43832978309</v>
      </c>
      <c r="AR1954" s="16">
        <f t="shared" si="246"/>
        <v>388.43832978309001</v>
      </c>
      <c r="AS1954" s="17">
        <f t="shared" si="240"/>
        <v>2.4277395611443126E-2</v>
      </c>
      <c r="AT1954" s="20">
        <v>16000</v>
      </c>
      <c r="AU1954" s="20">
        <v>16161.49609375</v>
      </c>
      <c r="AV1954" s="20">
        <f t="shared" si="241"/>
        <v>161.49609375</v>
      </c>
      <c r="AW1954" s="21">
        <f t="shared" si="247"/>
        <v>1.0093505859375001E-2</v>
      </c>
    </row>
    <row r="1955" spans="1:49" x14ac:dyDescent="0.25">
      <c r="A1955" t="s">
        <v>38</v>
      </c>
      <c r="B1955" t="s">
        <v>68</v>
      </c>
      <c r="C1955">
        <v>210338</v>
      </c>
      <c r="D1955">
        <v>2014</v>
      </c>
      <c r="E1955" t="s">
        <v>40</v>
      </c>
      <c r="F1955" t="s">
        <v>182</v>
      </c>
      <c r="G1955" t="s">
        <v>112</v>
      </c>
      <c r="H1955" t="s">
        <v>869</v>
      </c>
      <c r="I1955">
        <v>6</v>
      </c>
      <c r="J1955" t="s">
        <v>135</v>
      </c>
      <c r="K1955">
        <v>4</v>
      </c>
      <c r="L1955" t="s">
        <v>44</v>
      </c>
      <c r="M1955">
        <v>4</v>
      </c>
      <c r="N1955" t="s">
        <v>73</v>
      </c>
      <c r="O1955" t="s">
        <v>46</v>
      </c>
      <c r="P1955">
        <v>4</v>
      </c>
      <c r="Q1955" t="s">
        <v>62</v>
      </c>
      <c r="R1955" t="s">
        <v>63</v>
      </c>
      <c r="S1955" t="s">
        <v>49</v>
      </c>
      <c r="T1955">
        <v>270</v>
      </c>
      <c r="U1955" t="s">
        <v>50</v>
      </c>
      <c r="V1955" t="s">
        <v>76</v>
      </c>
      <c r="W1955" t="s">
        <v>185</v>
      </c>
      <c r="X1955" t="s">
        <v>94</v>
      </c>
      <c r="Y1955" t="s">
        <v>54</v>
      </c>
      <c r="AA1955">
        <v>0</v>
      </c>
      <c r="AB1955" t="s">
        <v>79</v>
      </c>
      <c r="AC1955" t="s">
        <v>87</v>
      </c>
      <c r="AD1955">
        <v>36</v>
      </c>
      <c r="AE1955">
        <v>9</v>
      </c>
      <c r="AF1955">
        <v>3</v>
      </c>
      <c r="AG1955">
        <v>2025</v>
      </c>
      <c r="AH1955" s="2">
        <v>10000</v>
      </c>
      <c r="AI1955" s="2">
        <v>11815.009765625</v>
      </c>
      <c r="AJ1955" s="2">
        <f t="shared" si="242"/>
        <v>1815.009765625</v>
      </c>
      <c r="AK1955" s="6">
        <f t="shared" si="243"/>
        <v>0.1815009765625</v>
      </c>
      <c r="AL1955" s="12">
        <v>10000</v>
      </c>
      <c r="AM1955" s="12">
        <v>7310.2612399345971</v>
      </c>
      <c r="AN1955" s="12">
        <f t="shared" si="244"/>
        <v>2689.7387600654029</v>
      </c>
      <c r="AO1955" s="13">
        <f t="shared" si="245"/>
        <v>0.26897387600654027</v>
      </c>
      <c r="AP1955" s="16">
        <v>10000</v>
      </c>
      <c r="AQ1955" s="16">
        <v>5770.2273967544443</v>
      </c>
      <c r="AR1955" s="16">
        <f t="shared" si="246"/>
        <v>4229.7726032455557</v>
      </c>
      <c r="AS1955" s="17">
        <f t="shared" si="240"/>
        <v>0.42297726032455557</v>
      </c>
      <c r="AT1955" s="20">
        <v>10000</v>
      </c>
      <c r="AU1955" s="20">
        <v>11284.328125</v>
      </c>
      <c r="AV1955" s="20">
        <f t="shared" si="241"/>
        <v>1284.328125</v>
      </c>
      <c r="AW1955" s="21">
        <f t="shared" si="247"/>
        <v>0.12843281249999999</v>
      </c>
    </row>
    <row r="1956" spans="1:49" x14ac:dyDescent="0.25">
      <c r="A1956" t="s">
        <v>38</v>
      </c>
      <c r="B1956" t="s">
        <v>96</v>
      </c>
      <c r="C1956">
        <v>184654</v>
      </c>
      <c r="D1956">
        <v>2008</v>
      </c>
      <c r="E1956" t="s">
        <v>40</v>
      </c>
      <c r="F1956" t="s">
        <v>215</v>
      </c>
      <c r="G1956" t="s">
        <v>150</v>
      </c>
      <c r="H1956" t="s">
        <v>1229</v>
      </c>
      <c r="I1956">
        <v>8</v>
      </c>
      <c r="J1956" t="s">
        <v>43</v>
      </c>
      <c r="K1956">
        <v>4</v>
      </c>
      <c r="L1956" t="s">
        <v>44</v>
      </c>
      <c r="M1956">
        <v>5.7</v>
      </c>
      <c r="N1956" t="s">
        <v>91</v>
      </c>
      <c r="O1956" t="s">
        <v>46</v>
      </c>
      <c r="Q1956" t="s">
        <v>74</v>
      </c>
      <c r="R1956" t="s">
        <v>92</v>
      </c>
      <c r="S1956" t="s">
        <v>93</v>
      </c>
      <c r="T1956">
        <v>381</v>
      </c>
      <c r="U1956" t="s">
        <v>50</v>
      </c>
      <c r="V1956" t="s">
        <v>76</v>
      </c>
      <c r="W1956" t="s">
        <v>763</v>
      </c>
      <c r="X1956" t="s">
        <v>219</v>
      </c>
      <c r="Y1956" t="s">
        <v>78</v>
      </c>
      <c r="AA1956">
        <v>0</v>
      </c>
      <c r="AB1956" t="s">
        <v>79</v>
      </c>
      <c r="AC1956" t="s">
        <v>95</v>
      </c>
      <c r="AD1956">
        <v>36</v>
      </c>
      <c r="AE1956">
        <v>9</v>
      </c>
      <c r="AF1956">
        <v>3</v>
      </c>
      <c r="AG1956">
        <v>2025</v>
      </c>
      <c r="AH1956" s="2">
        <v>7600</v>
      </c>
      <c r="AI1956" s="2">
        <v>5552.416015625</v>
      </c>
      <c r="AJ1956" s="2">
        <f t="shared" si="242"/>
        <v>2047.583984375</v>
      </c>
      <c r="AK1956" s="6">
        <f t="shared" si="243"/>
        <v>0.26941894531249999</v>
      </c>
      <c r="AL1956" s="12">
        <v>7600</v>
      </c>
      <c r="AM1956" s="12">
        <v>5416.3270335237476</v>
      </c>
      <c r="AN1956" s="12">
        <f t="shared" si="244"/>
        <v>2183.6729664762524</v>
      </c>
      <c r="AO1956" s="13">
        <f t="shared" si="245"/>
        <v>0.28732539032582272</v>
      </c>
      <c r="AP1956" s="16">
        <v>7600</v>
      </c>
      <c r="AQ1956" s="16">
        <v>4887.3372149804909</v>
      </c>
      <c r="AR1956" s="16">
        <f t="shared" si="246"/>
        <v>2712.6627850195091</v>
      </c>
      <c r="AS1956" s="17">
        <f t="shared" si="240"/>
        <v>0.35692931381835646</v>
      </c>
      <c r="AT1956" s="20">
        <v>7600</v>
      </c>
      <c r="AU1956" s="20">
        <v>5595.107421875</v>
      </c>
      <c r="AV1956" s="20">
        <f t="shared" si="241"/>
        <v>2004.892578125</v>
      </c>
      <c r="AW1956" s="21">
        <f t="shared" si="247"/>
        <v>0.26380165501644737</v>
      </c>
    </row>
    <row r="1957" spans="1:49" x14ac:dyDescent="0.25">
      <c r="A1957" t="s">
        <v>128</v>
      </c>
      <c r="B1957" t="s">
        <v>129</v>
      </c>
      <c r="C1957">
        <v>171485</v>
      </c>
      <c r="D1957">
        <v>2012</v>
      </c>
      <c r="E1957" t="s">
        <v>116</v>
      </c>
      <c r="F1957" t="s">
        <v>237</v>
      </c>
      <c r="G1957" t="s">
        <v>396</v>
      </c>
      <c r="I1957">
        <v>6</v>
      </c>
      <c r="J1957" t="s">
        <v>43</v>
      </c>
      <c r="K1957">
        <v>4</v>
      </c>
      <c r="L1957" t="s">
        <v>44</v>
      </c>
      <c r="M1957">
        <v>3.6</v>
      </c>
      <c r="N1957" t="s">
        <v>73</v>
      </c>
      <c r="Q1957" t="s">
        <v>47</v>
      </c>
      <c r="R1957" t="s">
        <v>123</v>
      </c>
      <c r="S1957" t="s">
        <v>179</v>
      </c>
      <c r="T1957">
        <v>292</v>
      </c>
      <c r="U1957" t="s">
        <v>50</v>
      </c>
      <c r="V1957" t="s">
        <v>76</v>
      </c>
      <c r="X1957" t="s">
        <v>125</v>
      </c>
      <c r="Y1957" t="s">
        <v>103</v>
      </c>
      <c r="AA1957">
        <v>0</v>
      </c>
      <c r="AB1957" t="s">
        <v>79</v>
      </c>
      <c r="AC1957" t="s">
        <v>127</v>
      </c>
      <c r="AD1957">
        <v>36</v>
      </c>
      <c r="AE1957">
        <v>9</v>
      </c>
      <c r="AF1957">
        <v>3</v>
      </c>
      <c r="AG1957">
        <v>2025</v>
      </c>
      <c r="AH1957" s="2">
        <v>2800</v>
      </c>
      <c r="AI1957" s="2">
        <v>1900.490112304688</v>
      </c>
      <c r="AJ1957" s="2">
        <f t="shared" si="242"/>
        <v>899.50988769531205</v>
      </c>
      <c r="AK1957" s="6">
        <f t="shared" si="243"/>
        <v>0.32125353131975432</v>
      </c>
      <c r="AL1957" s="12">
        <v>2800</v>
      </c>
      <c r="AM1957" s="12">
        <v>2183.452883213035</v>
      </c>
      <c r="AN1957" s="12">
        <f t="shared" si="244"/>
        <v>616.54711678696503</v>
      </c>
      <c r="AO1957" s="13">
        <f t="shared" si="245"/>
        <v>0.22019539885248751</v>
      </c>
      <c r="AP1957" s="16">
        <v>2800</v>
      </c>
      <c r="AQ1957" s="16">
        <v>2203.445020284606</v>
      </c>
      <c r="AR1957" s="16">
        <f t="shared" si="246"/>
        <v>596.55497971539398</v>
      </c>
      <c r="AS1957" s="17">
        <f t="shared" si="240"/>
        <v>0.21305534989835501</v>
      </c>
      <c r="AT1957" s="20">
        <v>2800</v>
      </c>
      <c r="AU1957" s="20">
        <v>1908.531372070312</v>
      </c>
      <c r="AV1957" s="20">
        <f t="shared" si="241"/>
        <v>891.46862792968795</v>
      </c>
      <c r="AW1957" s="21">
        <f t="shared" si="247"/>
        <v>0.3183816528320314</v>
      </c>
    </row>
    <row r="1958" spans="1:49" x14ac:dyDescent="0.25">
      <c r="A1958" t="s">
        <v>38</v>
      </c>
      <c r="B1958" t="s">
        <v>110</v>
      </c>
      <c r="C1958">
        <v>64351</v>
      </c>
      <c r="D1958">
        <v>2018</v>
      </c>
      <c r="E1958" t="s">
        <v>40</v>
      </c>
      <c r="F1958" t="s">
        <v>201</v>
      </c>
      <c r="G1958" t="s">
        <v>1106</v>
      </c>
      <c r="H1958" t="s">
        <v>203</v>
      </c>
      <c r="I1958">
        <v>4</v>
      </c>
      <c r="J1958" t="s">
        <v>61</v>
      </c>
      <c r="K1958">
        <v>4</v>
      </c>
      <c r="L1958" t="s">
        <v>44</v>
      </c>
      <c r="M1958">
        <v>1.8</v>
      </c>
      <c r="N1958" t="s">
        <v>45</v>
      </c>
      <c r="O1958" t="s">
        <v>46</v>
      </c>
      <c r="P1958">
        <v>3</v>
      </c>
      <c r="Q1958" t="s">
        <v>47</v>
      </c>
      <c r="R1958" t="s">
        <v>123</v>
      </c>
      <c r="S1958" t="s">
        <v>49</v>
      </c>
      <c r="T1958">
        <v>132</v>
      </c>
      <c r="U1958" t="s">
        <v>50</v>
      </c>
      <c r="V1958" t="s">
        <v>51</v>
      </c>
      <c r="W1958" t="s">
        <v>204</v>
      </c>
      <c r="X1958" t="s">
        <v>125</v>
      </c>
      <c r="Y1958" t="s">
        <v>78</v>
      </c>
      <c r="Z1958">
        <v>18600</v>
      </c>
      <c r="AA1958">
        <v>0</v>
      </c>
      <c r="AB1958" t="s">
        <v>79</v>
      </c>
      <c r="AC1958" t="s">
        <v>127</v>
      </c>
      <c r="AD1958">
        <v>36</v>
      </c>
      <c r="AE1958">
        <v>9</v>
      </c>
      <c r="AF1958">
        <v>3</v>
      </c>
      <c r="AG1958">
        <v>2025</v>
      </c>
      <c r="AH1958" s="2">
        <v>12500</v>
      </c>
      <c r="AI1958" s="2">
        <v>7289.1298828125</v>
      </c>
      <c r="AJ1958" s="2">
        <f t="shared" si="242"/>
        <v>5210.8701171875</v>
      </c>
      <c r="AK1958" s="6">
        <f t="shared" si="243"/>
        <v>0.41686960937500001</v>
      </c>
      <c r="AL1958" s="12">
        <v>12500</v>
      </c>
      <c r="AM1958" s="12">
        <v>8615.0240740351128</v>
      </c>
      <c r="AN1958" s="12">
        <f t="shared" si="244"/>
        <v>3884.9759259648872</v>
      </c>
      <c r="AO1958" s="13">
        <f t="shared" si="245"/>
        <v>0.31079807407719096</v>
      </c>
      <c r="AP1958" s="16">
        <v>12500</v>
      </c>
      <c r="AQ1958" s="16">
        <v>8795.3618027607754</v>
      </c>
      <c r="AR1958" s="16">
        <f t="shared" si="246"/>
        <v>3704.6381972392246</v>
      </c>
      <c r="AS1958" s="17">
        <f t="shared" si="240"/>
        <v>0.29637105577913797</v>
      </c>
      <c r="AT1958" s="20">
        <v>12500</v>
      </c>
      <c r="AU1958" s="20">
        <v>7527.5546875</v>
      </c>
      <c r="AV1958" s="20">
        <f t="shared" si="241"/>
        <v>4972.4453125</v>
      </c>
      <c r="AW1958" s="21">
        <f t="shared" si="247"/>
        <v>0.39779562499999999</v>
      </c>
    </row>
    <row r="1959" spans="1:49" x14ac:dyDescent="0.25">
      <c r="A1959" t="s">
        <v>114</v>
      </c>
      <c r="B1959" t="s">
        <v>340</v>
      </c>
      <c r="C1959">
        <v>217739</v>
      </c>
      <c r="D1959">
        <v>2007</v>
      </c>
      <c r="E1959" t="s">
        <v>97</v>
      </c>
      <c r="F1959" t="s">
        <v>706</v>
      </c>
      <c r="G1959" t="s">
        <v>199</v>
      </c>
      <c r="H1959" t="s">
        <v>177</v>
      </c>
      <c r="I1959">
        <v>8</v>
      </c>
      <c r="J1959" t="s">
        <v>43</v>
      </c>
      <c r="K1959">
        <v>4</v>
      </c>
      <c r="L1959" t="s">
        <v>44</v>
      </c>
      <c r="M1959">
        <v>5.3</v>
      </c>
      <c r="N1959" t="s">
        <v>73</v>
      </c>
      <c r="O1959" t="s">
        <v>46</v>
      </c>
      <c r="P1959">
        <v>2</v>
      </c>
      <c r="Q1959" t="s">
        <v>62</v>
      </c>
      <c r="R1959" t="s">
        <v>707</v>
      </c>
      <c r="S1959" t="s">
        <v>49</v>
      </c>
      <c r="U1959" t="s">
        <v>180</v>
      </c>
      <c r="V1959" t="s">
        <v>76</v>
      </c>
      <c r="W1959" t="s">
        <v>421</v>
      </c>
      <c r="X1959" t="s">
        <v>94</v>
      </c>
      <c r="Y1959" t="s">
        <v>126</v>
      </c>
      <c r="AA1959">
        <v>0</v>
      </c>
      <c r="AB1959" t="s">
        <v>79</v>
      </c>
      <c r="AC1959" t="s">
        <v>87</v>
      </c>
      <c r="AD1959">
        <v>36</v>
      </c>
      <c r="AE1959">
        <v>9</v>
      </c>
      <c r="AF1959">
        <v>3</v>
      </c>
      <c r="AG1959">
        <v>2025</v>
      </c>
      <c r="AH1959" s="2">
        <v>1300</v>
      </c>
      <c r="AI1959" s="2">
        <v>1244.942260742188</v>
      </c>
      <c r="AJ1959" s="2">
        <f t="shared" si="242"/>
        <v>55.057739257812045</v>
      </c>
      <c r="AK1959" s="6">
        <f t="shared" si="243"/>
        <v>4.2352107121393881E-2</v>
      </c>
      <c r="AL1959" s="12">
        <v>1300</v>
      </c>
      <c r="AM1959" s="12">
        <v>1386.4755939597901</v>
      </c>
      <c r="AN1959" s="12">
        <f t="shared" si="244"/>
        <v>86.475593959790103</v>
      </c>
      <c r="AO1959" s="13">
        <f t="shared" si="245"/>
        <v>6.6519687661377003E-2</v>
      </c>
      <c r="AP1959" s="16">
        <v>1300</v>
      </c>
      <c r="AQ1959" s="16">
        <v>1428.5984263133371</v>
      </c>
      <c r="AR1959" s="16">
        <f t="shared" si="246"/>
        <v>128.59842631333709</v>
      </c>
      <c r="AS1959" s="17">
        <f t="shared" si="240"/>
        <v>9.8921866394874686E-2</v>
      </c>
      <c r="AT1959" s="20">
        <v>1300</v>
      </c>
      <c r="AU1959" s="20">
        <v>1225.991943359375</v>
      </c>
      <c r="AV1959" s="20">
        <f t="shared" si="241"/>
        <v>74.008056640625</v>
      </c>
      <c r="AW1959" s="21">
        <f t="shared" si="247"/>
        <v>5.6929274338942307E-2</v>
      </c>
    </row>
    <row r="1960" spans="1:49" x14ac:dyDescent="0.25">
      <c r="A1960" t="s">
        <v>38</v>
      </c>
      <c r="B1960" t="s">
        <v>39</v>
      </c>
      <c r="C1960">
        <v>121675</v>
      </c>
      <c r="D1960">
        <v>2017</v>
      </c>
      <c r="E1960" t="s">
        <v>69</v>
      </c>
      <c r="F1960" t="s">
        <v>231</v>
      </c>
      <c r="G1960" t="s">
        <v>764</v>
      </c>
      <c r="I1960">
        <v>8</v>
      </c>
      <c r="J1960" t="s">
        <v>61</v>
      </c>
      <c r="K1960">
        <v>4</v>
      </c>
      <c r="L1960" t="s">
        <v>44</v>
      </c>
      <c r="M1960">
        <v>5</v>
      </c>
      <c r="N1960" t="s">
        <v>73</v>
      </c>
      <c r="O1960" t="s">
        <v>46</v>
      </c>
      <c r="Q1960" t="s">
        <v>74</v>
      </c>
      <c r="R1960" t="s">
        <v>92</v>
      </c>
      <c r="S1960" t="s">
        <v>49</v>
      </c>
      <c r="T1960">
        <v>386</v>
      </c>
      <c r="U1960" t="s">
        <v>50</v>
      </c>
      <c r="V1960" t="s">
        <v>76</v>
      </c>
      <c r="W1960" t="s">
        <v>387</v>
      </c>
      <c r="X1960" t="s">
        <v>94</v>
      </c>
      <c r="Y1960" t="s">
        <v>78</v>
      </c>
      <c r="Z1960">
        <v>33650</v>
      </c>
      <c r="AA1960">
        <v>0</v>
      </c>
      <c r="AB1960" t="s">
        <v>79</v>
      </c>
      <c r="AC1960" t="s">
        <v>95</v>
      </c>
      <c r="AD1960">
        <v>36</v>
      </c>
      <c r="AE1960">
        <v>9</v>
      </c>
      <c r="AF1960">
        <v>3</v>
      </c>
      <c r="AG1960">
        <v>2025</v>
      </c>
      <c r="AH1960" s="2">
        <v>15000</v>
      </c>
      <c r="AI1960" s="2">
        <v>12536.7646484375</v>
      </c>
      <c r="AJ1960" s="2">
        <f t="shared" si="242"/>
        <v>2463.2353515625</v>
      </c>
      <c r="AK1960" s="6">
        <f t="shared" si="243"/>
        <v>0.16421569010416667</v>
      </c>
      <c r="AL1960" s="12">
        <v>15000</v>
      </c>
      <c r="AM1960" s="12">
        <v>12798.082606441951</v>
      </c>
      <c r="AN1960" s="12">
        <f t="shared" si="244"/>
        <v>2201.9173935580493</v>
      </c>
      <c r="AO1960" s="13">
        <f t="shared" si="245"/>
        <v>0.14679449290386995</v>
      </c>
      <c r="AP1960" s="16">
        <v>15000</v>
      </c>
      <c r="AQ1960" s="16">
        <v>13161.367899300951</v>
      </c>
      <c r="AR1960" s="16">
        <f t="shared" si="246"/>
        <v>1838.6321006990493</v>
      </c>
      <c r="AS1960" s="17">
        <f t="shared" si="240"/>
        <v>0.12257547337993661</v>
      </c>
      <c r="AT1960" s="20">
        <v>15000</v>
      </c>
      <c r="AU1960" s="20">
        <v>12534.9111328125</v>
      </c>
      <c r="AV1960" s="20">
        <f t="shared" si="241"/>
        <v>2465.0888671875</v>
      </c>
      <c r="AW1960" s="21">
        <f t="shared" si="247"/>
        <v>0.1643392578125</v>
      </c>
    </row>
    <row r="1961" spans="1:49" x14ac:dyDescent="0.25">
      <c r="A1961" t="s">
        <v>38</v>
      </c>
      <c r="B1961" t="s">
        <v>110</v>
      </c>
      <c r="C1961">
        <v>130564</v>
      </c>
      <c r="D1961">
        <v>2019</v>
      </c>
      <c r="E1961" t="s">
        <v>341</v>
      </c>
      <c r="F1961" t="s">
        <v>574</v>
      </c>
      <c r="H1961" t="s">
        <v>1563</v>
      </c>
      <c r="I1961">
        <v>6</v>
      </c>
      <c r="J1961" t="s">
        <v>72</v>
      </c>
      <c r="K1961">
        <v>4</v>
      </c>
      <c r="L1961" t="s">
        <v>44</v>
      </c>
      <c r="M1961">
        <v>3.6</v>
      </c>
      <c r="N1961" t="s">
        <v>45</v>
      </c>
      <c r="Q1961" t="s">
        <v>62</v>
      </c>
      <c r="R1961" t="s">
        <v>63</v>
      </c>
      <c r="S1961" t="s">
        <v>101</v>
      </c>
      <c r="U1961" t="s">
        <v>50</v>
      </c>
      <c r="V1961" t="s">
        <v>76</v>
      </c>
      <c r="W1961" t="s">
        <v>576</v>
      </c>
      <c r="X1961" t="s">
        <v>94</v>
      </c>
      <c r="Y1961" t="s">
        <v>78</v>
      </c>
      <c r="Z1961">
        <v>42000</v>
      </c>
      <c r="AA1961">
        <v>0</v>
      </c>
      <c r="AB1961" t="s">
        <v>79</v>
      </c>
      <c r="AC1961" t="s">
        <v>109</v>
      </c>
      <c r="AD1961">
        <v>36</v>
      </c>
      <c r="AE1961">
        <v>9</v>
      </c>
      <c r="AF1961">
        <v>3</v>
      </c>
      <c r="AG1961">
        <v>2025</v>
      </c>
      <c r="AH1961" s="2">
        <v>7000</v>
      </c>
      <c r="AI1961" s="2">
        <v>8516.80078125</v>
      </c>
      <c r="AJ1961" s="2">
        <f t="shared" si="242"/>
        <v>1516.80078125</v>
      </c>
      <c r="AK1961" s="6">
        <f t="shared" si="243"/>
        <v>0.21668582589285715</v>
      </c>
      <c r="AL1961" s="12">
        <v>7000</v>
      </c>
      <c r="AM1961" s="12">
        <v>8178.8976652906886</v>
      </c>
      <c r="AN1961" s="12">
        <f t="shared" si="244"/>
        <v>1178.8976652906886</v>
      </c>
      <c r="AO1961" s="13">
        <f t="shared" si="245"/>
        <v>0.16841395218438407</v>
      </c>
      <c r="AP1961" s="16">
        <v>7000</v>
      </c>
      <c r="AQ1961" s="16">
        <v>7656.8578204381201</v>
      </c>
      <c r="AR1961" s="16">
        <f t="shared" si="246"/>
        <v>656.85782043812014</v>
      </c>
      <c r="AS1961" s="17">
        <f t="shared" si="240"/>
        <v>9.3836831491160025E-2</v>
      </c>
      <c r="AT1961" s="20">
        <v>7000</v>
      </c>
      <c r="AU1961" s="20">
        <v>8583.0087890625</v>
      </c>
      <c r="AV1961" s="20">
        <f t="shared" si="241"/>
        <v>1583.0087890625</v>
      </c>
      <c r="AW1961" s="21">
        <f t="shared" si="247"/>
        <v>0.22614411272321427</v>
      </c>
    </row>
    <row r="1962" spans="1:49" x14ac:dyDescent="0.25">
      <c r="A1962" t="s">
        <v>128</v>
      </c>
      <c r="B1962" t="s">
        <v>129</v>
      </c>
      <c r="C1962">
        <v>116721</v>
      </c>
      <c r="D1962">
        <v>2016</v>
      </c>
      <c r="E1962" t="s">
        <v>341</v>
      </c>
      <c r="F1962" t="s">
        <v>574</v>
      </c>
      <c r="G1962" t="s">
        <v>1014</v>
      </c>
      <c r="I1962">
        <v>6</v>
      </c>
      <c r="J1962" t="s">
        <v>106</v>
      </c>
      <c r="K1962">
        <v>4</v>
      </c>
      <c r="L1962" t="s">
        <v>44</v>
      </c>
      <c r="M1962">
        <v>3.6</v>
      </c>
      <c r="N1962" t="s">
        <v>45</v>
      </c>
      <c r="Q1962" t="s">
        <v>62</v>
      </c>
      <c r="R1962" t="s">
        <v>63</v>
      </c>
      <c r="S1962" t="s">
        <v>101</v>
      </c>
      <c r="U1962" t="s">
        <v>50</v>
      </c>
      <c r="V1962" t="s">
        <v>76</v>
      </c>
      <c r="W1962" t="s">
        <v>591</v>
      </c>
      <c r="X1962" t="s">
        <v>94</v>
      </c>
      <c r="Y1962" t="s">
        <v>78</v>
      </c>
      <c r="AA1962">
        <v>0</v>
      </c>
      <c r="AB1962" t="s">
        <v>79</v>
      </c>
      <c r="AC1962" t="s">
        <v>87</v>
      </c>
      <c r="AD1962">
        <v>36</v>
      </c>
      <c r="AE1962">
        <v>9</v>
      </c>
      <c r="AF1962">
        <v>3</v>
      </c>
      <c r="AG1962">
        <v>2025</v>
      </c>
      <c r="AH1962" s="2">
        <v>8000</v>
      </c>
      <c r="AI1962" s="2">
        <v>6139.37451171875</v>
      </c>
      <c r="AJ1962" s="2">
        <f t="shared" si="242"/>
        <v>1860.62548828125</v>
      </c>
      <c r="AK1962" s="6">
        <f t="shared" si="243"/>
        <v>0.23257818603515626</v>
      </c>
      <c r="AL1962" s="12">
        <v>8000</v>
      </c>
      <c r="AM1962" s="12">
        <v>5855.6767869042369</v>
      </c>
      <c r="AN1962" s="12">
        <f t="shared" si="244"/>
        <v>2144.3232130957631</v>
      </c>
      <c r="AO1962" s="13">
        <f t="shared" si="245"/>
        <v>0.2680404016369704</v>
      </c>
      <c r="AP1962" s="16">
        <v>8000</v>
      </c>
      <c r="AQ1962" s="16">
        <v>5508.1133309487823</v>
      </c>
      <c r="AR1962" s="16">
        <f t="shared" si="246"/>
        <v>2491.8866690512177</v>
      </c>
      <c r="AS1962" s="17">
        <f t="shared" si="240"/>
        <v>0.3114858336314022</v>
      </c>
      <c r="AT1962" s="20">
        <v>8000</v>
      </c>
      <c r="AU1962" s="20">
        <v>6139.6669921875</v>
      </c>
      <c r="AV1962" s="20">
        <f t="shared" si="241"/>
        <v>1860.3330078125</v>
      </c>
      <c r="AW1962" s="21">
        <f t="shared" si="247"/>
        <v>0.2325416259765625</v>
      </c>
    </row>
    <row r="1963" spans="1:49" x14ac:dyDescent="0.25">
      <c r="A1963" t="s">
        <v>38</v>
      </c>
      <c r="B1963" t="s">
        <v>39</v>
      </c>
      <c r="C1963">
        <v>93274</v>
      </c>
      <c r="D1963">
        <v>2016</v>
      </c>
      <c r="E1963" t="s">
        <v>69</v>
      </c>
      <c r="F1963" t="s">
        <v>157</v>
      </c>
      <c r="G1963" t="s">
        <v>118</v>
      </c>
      <c r="I1963">
        <v>6</v>
      </c>
      <c r="J1963" t="s">
        <v>72</v>
      </c>
      <c r="K1963">
        <v>4</v>
      </c>
      <c r="L1963" t="s">
        <v>44</v>
      </c>
      <c r="M1963">
        <v>3.5</v>
      </c>
      <c r="N1963" t="s">
        <v>45</v>
      </c>
      <c r="O1963" t="s">
        <v>46</v>
      </c>
      <c r="Q1963" t="s">
        <v>62</v>
      </c>
      <c r="R1963" t="s">
        <v>63</v>
      </c>
      <c r="S1963" t="s">
        <v>101</v>
      </c>
      <c r="T1963">
        <v>290</v>
      </c>
      <c r="U1963" t="s">
        <v>50</v>
      </c>
      <c r="V1963" t="s">
        <v>76</v>
      </c>
      <c r="X1963" t="s">
        <v>94</v>
      </c>
      <c r="Y1963" t="s">
        <v>78</v>
      </c>
      <c r="AA1963">
        <v>0</v>
      </c>
      <c r="AB1963" t="s">
        <v>79</v>
      </c>
      <c r="AC1963" t="s">
        <v>87</v>
      </c>
      <c r="AD1963">
        <v>36</v>
      </c>
      <c r="AE1963">
        <v>9</v>
      </c>
      <c r="AF1963">
        <v>3</v>
      </c>
      <c r="AG1963">
        <v>2025</v>
      </c>
      <c r="AH1963" s="2">
        <v>10300</v>
      </c>
      <c r="AI1963" s="2">
        <v>11145.90625</v>
      </c>
      <c r="AJ1963" s="2">
        <f t="shared" si="242"/>
        <v>845.90625</v>
      </c>
      <c r="AK1963" s="6">
        <f t="shared" si="243"/>
        <v>8.2126820388349508E-2</v>
      </c>
      <c r="AL1963" s="12">
        <v>10300</v>
      </c>
      <c r="AM1963" s="12">
        <v>10709.692958463491</v>
      </c>
      <c r="AN1963" s="12">
        <f t="shared" si="244"/>
        <v>409.69295846349087</v>
      </c>
      <c r="AO1963" s="13">
        <f t="shared" si="245"/>
        <v>3.9776015384804936E-2</v>
      </c>
      <c r="AP1963" s="16">
        <v>10300</v>
      </c>
      <c r="AQ1963" s="16">
        <v>9258.7003894357877</v>
      </c>
      <c r="AR1963" s="16">
        <f t="shared" si="246"/>
        <v>1041.2996105642123</v>
      </c>
      <c r="AS1963" s="17">
        <f t="shared" si="240"/>
        <v>0.101097049569341</v>
      </c>
      <c r="AT1963" s="20">
        <v>10300</v>
      </c>
      <c r="AU1963" s="20">
        <v>11151.8720703125</v>
      </c>
      <c r="AV1963" s="20">
        <f t="shared" si="241"/>
        <v>851.8720703125</v>
      </c>
      <c r="AW1963" s="21">
        <f t="shared" si="247"/>
        <v>8.2706026243932043E-2</v>
      </c>
    </row>
    <row r="1964" spans="1:49" x14ac:dyDescent="0.25">
      <c r="A1964" t="s">
        <v>114</v>
      </c>
      <c r="B1964" t="s">
        <v>340</v>
      </c>
      <c r="C1964">
        <v>167442</v>
      </c>
      <c r="D1964">
        <v>2013</v>
      </c>
      <c r="E1964" t="s">
        <v>69</v>
      </c>
      <c r="F1964" t="s">
        <v>250</v>
      </c>
      <c r="H1964" t="s">
        <v>224</v>
      </c>
      <c r="I1964">
        <v>4</v>
      </c>
      <c r="J1964" t="s">
        <v>72</v>
      </c>
      <c r="K1964">
        <v>4</v>
      </c>
      <c r="L1964" t="s">
        <v>44</v>
      </c>
      <c r="M1964">
        <v>1.6</v>
      </c>
      <c r="N1964" t="s">
        <v>45</v>
      </c>
      <c r="O1964" t="s">
        <v>46</v>
      </c>
      <c r="P1964">
        <v>3</v>
      </c>
      <c r="Q1964" t="s">
        <v>62</v>
      </c>
      <c r="R1964" t="s">
        <v>63</v>
      </c>
      <c r="S1964" t="s">
        <v>49</v>
      </c>
      <c r="T1964">
        <v>178</v>
      </c>
      <c r="U1964" t="s">
        <v>50</v>
      </c>
      <c r="V1964" t="s">
        <v>51</v>
      </c>
      <c r="X1964" t="s">
        <v>65</v>
      </c>
      <c r="Y1964" t="s">
        <v>78</v>
      </c>
      <c r="AA1964">
        <v>0</v>
      </c>
      <c r="AB1964" t="s">
        <v>79</v>
      </c>
      <c r="AC1964" t="s">
        <v>87</v>
      </c>
      <c r="AD1964">
        <v>36</v>
      </c>
      <c r="AE1964">
        <v>9</v>
      </c>
      <c r="AF1964">
        <v>3</v>
      </c>
      <c r="AG1964">
        <v>2025</v>
      </c>
      <c r="AH1964" s="2">
        <v>1300</v>
      </c>
      <c r="AI1964" s="2">
        <v>1486.507568359375</v>
      </c>
      <c r="AJ1964" s="2">
        <f t="shared" si="242"/>
        <v>186.507568359375</v>
      </c>
      <c r="AK1964" s="6">
        <f t="shared" si="243"/>
        <v>0.1434673602764423</v>
      </c>
      <c r="AL1964" s="12">
        <v>1300</v>
      </c>
      <c r="AM1964" s="12">
        <v>1600.945881341386</v>
      </c>
      <c r="AN1964" s="12">
        <f t="shared" si="244"/>
        <v>300.94588134138598</v>
      </c>
      <c r="AO1964" s="13">
        <f t="shared" si="245"/>
        <v>0.23149683180106614</v>
      </c>
      <c r="AP1964" s="16">
        <v>1300</v>
      </c>
      <c r="AQ1964" s="16">
        <v>1405.175436007067</v>
      </c>
      <c r="AR1964" s="16">
        <f t="shared" si="246"/>
        <v>105.17543600706699</v>
      </c>
      <c r="AS1964" s="17">
        <f t="shared" si="240"/>
        <v>8.0904181543897682E-2</v>
      </c>
      <c r="AT1964" s="20">
        <v>1300</v>
      </c>
      <c r="AU1964" s="20">
        <v>1489.906860351562</v>
      </c>
      <c r="AV1964" s="20">
        <f t="shared" si="241"/>
        <v>189.90686035156205</v>
      </c>
      <c r="AW1964" s="21">
        <f t="shared" si="247"/>
        <v>0.14608220027043234</v>
      </c>
    </row>
    <row r="1965" spans="1:49" x14ac:dyDescent="0.25">
      <c r="A1965" t="s">
        <v>81</v>
      </c>
      <c r="B1965" t="s">
        <v>82</v>
      </c>
      <c r="C1965">
        <v>204554</v>
      </c>
      <c r="D1965">
        <v>2015</v>
      </c>
      <c r="E1965" t="s">
        <v>40</v>
      </c>
      <c r="F1965" t="s">
        <v>550</v>
      </c>
      <c r="G1965" t="s">
        <v>721</v>
      </c>
      <c r="H1965" t="s">
        <v>722</v>
      </c>
      <c r="I1965">
        <v>6</v>
      </c>
      <c r="J1965" t="s">
        <v>135</v>
      </c>
      <c r="K1965">
        <v>4</v>
      </c>
      <c r="L1965" t="s">
        <v>44</v>
      </c>
      <c r="M1965">
        <v>3.5</v>
      </c>
      <c r="N1965" t="s">
        <v>44</v>
      </c>
      <c r="O1965" t="s">
        <v>46</v>
      </c>
      <c r="Q1965" t="s">
        <v>62</v>
      </c>
      <c r="R1965" t="s">
        <v>63</v>
      </c>
      <c r="S1965" t="s">
        <v>93</v>
      </c>
      <c r="T1965">
        <v>231</v>
      </c>
      <c r="U1965" t="s">
        <v>50</v>
      </c>
      <c r="V1965" t="s">
        <v>76</v>
      </c>
      <c r="W1965" t="s">
        <v>290</v>
      </c>
      <c r="X1965" t="s">
        <v>141</v>
      </c>
      <c r="Y1965" t="s">
        <v>78</v>
      </c>
      <c r="AA1965">
        <v>0</v>
      </c>
      <c r="AB1965" t="s">
        <v>79</v>
      </c>
      <c r="AC1965" t="s">
        <v>87</v>
      </c>
      <c r="AD1965">
        <v>36</v>
      </c>
      <c r="AE1965">
        <v>9</v>
      </c>
      <c r="AF1965">
        <v>3</v>
      </c>
      <c r="AG1965">
        <v>2025</v>
      </c>
      <c r="AH1965" s="2">
        <v>9200</v>
      </c>
      <c r="AI1965" s="2">
        <v>4386.21044921875</v>
      </c>
      <c r="AJ1965" s="2">
        <f t="shared" si="242"/>
        <v>4813.78955078125</v>
      </c>
      <c r="AK1965" s="6">
        <f t="shared" si="243"/>
        <v>0.52323799465013587</v>
      </c>
      <c r="AL1965" s="12">
        <v>9200</v>
      </c>
      <c r="AM1965" s="12">
        <v>4479.1886659328666</v>
      </c>
      <c r="AN1965" s="12">
        <f t="shared" si="244"/>
        <v>4720.8113340671334</v>
      </c>
      <c r="AO1965" s="13">
        <f t="shared" si="245"/>
        <v>0.51313166674642752</v>
      </c>
      <c r="AP1965" s="16">
        <v>9200</v>
      </c>
      <c r="AQ1965" s="16">
        <v>4138.8777196826786</v>
      </c>
      <c r="AR1965" s="16">
        <f t="shared" si="246"/>
        <v>5061.1222803173214</v>
      </c>
      <c r="AS1965" s="17">
        <f t="shared" si="240"/>
        <v>0.55012198699101322</v>
      </c>
      <c r="AT1965" s="20">
        <v>9200</v>
      </c>
      <c r="AU1965" s="20">
        <v>4456.01708984375</v>
      </c>
      <c r="AV1965" s="20">
        <f t="shared" si="241"/>
        <v>4743.98291015625</v>
      </c>
      <c r="AW1965" s="21">
        <f t="shared" si="247"/>
        <v>0.51565031632133151</v>
      </c>
    </row>
    <row r="1966" spans="1:49" x14ac:dyDescent="0.25">
      <c r="A1966" t="s">
        <v>128</v>
      </c>
      <c r="B1966" t="s">
        <v>129</v>
      </c>
      <c r="C1966">
        <v>196572</v>
      </c>
      <c r="D1966">
        <v>2011</v>
      </c>
      <c r="E1966" t="s">
        <v>166</v>
      </c>
      <c r="F1966" t="s">
        <v>247</v>
      </c>
      <c r="G1966" t="s">
        <v>240</v>
      </c>
      <c r="I1966">
        <v>4</v>
      </c>
      <c r="J1966" t="s">
        <v>72</v>
      </c>
      <c r="K1966">
        <v>4</v>
      </c>
      <c r="L1966" t="s">
        <v>44</v>
      </c>
      <c r="M1966">
        <v>2.4</v>
      </c>
      <c r="N1966" t="s">
        <v>45</v>
      </c>
      <c r="Q1966" t="s">
        <v>62</v>
      </c>
      <c r="R1966" t="s">
        <v>63</v>
      </c>
      <c r="S1966" t="s">
        <v>49</v>
      </c>
      <c r="T1966">
        <v>180</v>
      </c>
      <c r="U1966" t="s">
        <v>50</v>
      </c>
      <c r="V1966" t="s">
        <v>51</v>
      </c>
      <c r="W1966" t="s">
        <v>582</v>
      </c>
      <c r="X1966" t="s">
        <v>65</v>
      </c>
      <c r="Y1966" t="s">
        <v>126</v>
      </c>
      <c r="AA1966">
        <v>0</v>
      </c>
      <c r="AB1966" t="s">
        <v>79</v>
      </c>
      <c r="AC1966" t="s">
        <v>87</v>
      </c>
      <c r="AD1966">
        <v>36</v>
      </c>
      <c r="AE1966">
        <v>9</v>
      </c>
      <c r="AF1966">
        <v>3</v>
      </c>
      <c r="AG1966">
        <v>2025</v>
      </c>
      <c r="AH1966" s="2">
        <v>2600</v>
      </c>
      <c r="AI1966" s="2">
        <v>2447.5966796875</v>
      </c>
      <c r="AJ1966" s="2">
        <f t="shared" si="242"/>
        <v>152.4033203125</v>
      </c>
      <c r="AK1966" s="6">
        <f t="shared" si="243"/>
        <v>5.8616661658653847E-2</v>
      </c>
      <c r="AL1966" s="12">
        <v>2600</v>
      </c>
      <c r="AM1966" s="12">
        <v>2493.081647823094</v>
      </c>
      <c r="AN1966" s="12">
        <f t="shared" si="244"/>
        <v>106.91835217690596</v>
      </c>
      <c r="AO1966" s="13">
        <f t="shared" si="245"/>
        <v>4.1122443144963827E-2</v>
      </c>
      <c r="AP1966" s="16">
        <v>2600</v>
      </c>
      <c r="AQ1966" s="16">
        <v>1966.309502487675</v>
      </c>
      <c r="AR1966" s="16">
        <f t="shared" si="246"/>
        <v>633.69049751232501</v>
      </c>
      <c r="AS1966" s="17">
        <f t="shared" si="240"/>
        <v>0.2437271144278173</v>
      </c>
      <c r="AT1966" s="20">
        <v>2600</v>
      </c>
      <c r="AU1966" s="20">
        <v>2466.126953125</v>
      </c>
      <c r="AV1966" s="20">
        <f t="shared" si="241"/>
        <v>133.873046875</v>
      </c>
      <c r="AW1966" s="21">
        <f t="shared" si="247"/>
        <v>5.1489633413461536E-2</v>
      </c>
    </row>
    <row r="1967" spans="1:49" x14ac:dyDescent="0.25">
      <c r="A1967" t="s">
        <v>38</v>
      </c>
      <c r="B1967" t="s">
        <v>110</v>
      </c>
      <c r="C1967">
        <v>148301</v>
      </c>
      <c r="D1967">
        <v>2011</v>
      </c>
      <c r="E1967" t="s">
        <v>69</v>
      </c>
      <c r="F1967" t="s">
        <v>284</v>
      </c>
      <c r="G1967" t="s">
        <v>118</v>
      </c>
      <c r="I1967">
        <v>6</v>
      </c>
      <c r="J1967" t="s">
        <v>43</v>
      </c>
      <c r="K1967">
        <v>4</v>
      </c>
      <c r="L1967" t="s">
        <v>44</v>
      </c>
      <c r="M1967">
        <v>3.5</v>
      </c>
      <c r="N1967" t="s">
        <v>44</v>
      </c>
      <c r="Q1967" t="s">
        <v>62</v>
      </c>
      <c r="R1967" t="s">
        <v>63</v>
      </c>
      <c r="S1967" t="s">
        <v>85</v>
      </c>
      <c r="T1967">
        <v>355</v>
      </c>
      <c r="U1967" t="s">
        <v>50</v>
      </c>
      <c r="V1967" t="s">
        <v>76</v>
      </c>
      <c r="X1967" t="s">
        <v>94</v>
      </c>
      <c r="Y1967" t="s">
        <v>103</v>
      </c>
      <c r="AA1967">
        <v>0</v>
      </c>
      <c r="AB1967" t="s">
        <v>79</v>
      </c>
      <c r="AC1967" t="s">
        <v>87</v>
      </c>
      <c r="AD1967">
        <v>36</v>
      </c>
      <c r="AE1967">
        <v>9</v>
      </c>
      <c r="AF1967">
        <v>3</v>
      </c>
      <c r="AG1967">
        <v>2025</v>
      </c>
      <c r="AH1967" s="2">
        <v>1200</v>
      </c>
      <c r="AI1967" s="2">
        <v>2493.9248046875</v>
      </c>
      <c r="AJ1967" s="2">
        <f t="shared" si="242"/>
        <v>1293.9248046875</v>
      </c>
      <c r="AK1967" s="6">
        <f t="shared" si="243"/>
        <v>1.0782706705729166</v>
      </c>
      <c r="AL1967" s="12">
        <v>1200</v>
      </c>
      <c r="AM1967" s="12">
        <v>2944.1248623126971</v>
      </c>
      <c r="AN1967" s="12">
        <f t="shared" si="244"/>
        <v>1744.1248623126971</v>
      </c>
      <c r="AO1967" s="13">
        <f t="shared" si="245"/>
        <v>1.4534373852605809</v>
      </c>
      <c r="AP1967" s="16">
        <v>1200</v>
      </c>
      <c r="AQ1967" s="16">
        <v>2289.181023686634</v>
      </c>
      <c r="AR1967" s="16">
        <f t="shared" si="246"/>
        <v>1089.181023686634</v>
      </c>
      <c r="AS1967" s="17">
        <f t="shared" si="240"/>
        <v>0.90765085307219506</v>
      </c>
      <c r="AT1967" s="20">
        <v>1200</v>
      </c>
      <c r="AU1967" s="20">
        <v>2520.761962890625</v>
      </c>
      <c r="AV1967" s="20">
        <f t="shared" si="241"/>
        <v>1320.761962890625</v>
      </c>
      <c r="AW1967" s="21">
        <f t="shared" si="247"/>
        <v>1.1006349690755208</v>
      </c>
    </row>
    <row r="1968" spans="1:49" x14ac:dyDescent="0.25">
      <c r="A1968" t="s">
        <v>38</v>
      </c>
      <c r="B1968" t="s">
        <v>39</v>
      </c>
      <c r="C1968">
        <v>22087</v>
      </c>
      <c r="D1968">
        <v>2023</v>
      </c>
      <c r="E1968" t="s">
        <v>40</v>
      </c>
      <c r="F1968" t="s">
        <v>149</v>
      </c>
      <c r="G1968" t="s">
        <v>150</v>
      </c>
      <c r="H1968" t="s">
        <v>1564</v>
      </c>
      <c r="I1968">
        <v>6</v>
      </c>
      <c r="J1968" t="s">
        <v>72</v>
      </c>
      <c r="K1968">
        <v>4</v>
      </c>
      <c r="L1968" t="s">
        <v>44</v>
      </c>
      <c r="M1968">
        <v>3.5</v>
      </c>
      <c r="N1968" t="s">
        <v>91</v>
      </c>
      <c r="O1968" t="s">
        <v>46</v>
      </c>
      <c r="Q1968" t="s">
        <v>74</v>
      </c>
      <c r="R1968" t="s">
        <v>92</v>
      </c>
      <c r="S1968" t="s">
        <v>93</v>
      </c>
      <c r="T1968">
        <v>278</v>
      </c>
      <c r="U1968" t="s">
        <v>50</v>
      </c>
      <c r="V1968" t="s">
        <v>76</v>
      </c>
      <c r="W1968" t="s">
        <v>152</v>
      </c>
      <c r="X1968" t="s">
        <v>141</v>
      </c>
      <c r="Y1968" t="s">
        <v>126</v>
      </c>
      <c r="AA1968">
        <v>0</v>
      </c>
      <c r="AB1968" t="s">
        <v>79</v>
      </c>
      <c r="AC1968" t="s">
        <v>95</v>
      </c>
      <c r="AD1968">
        <v>36</v>
      </c>
      <c r="AE1968">
        <v>9</v>
      </c>
      <c r="AF1968">
        <v>3</v>
      </c>
      <c r="AG1968">
        <v>2025</v>
      </c>
      <c r="AH1968" s="2">
        <v>29100</v>
      </c>
      <c r="AI1968" s="2">
        <v>35709.9453125</v>
      </c>
      <c r="AJ1968" s="2">
        <f t="shared" si="242"/>
        <v>6609.9453125</v>
      </c>
      <c r="AK1968" s="6">
        <f t="shared" si="243"/>
        <v>0.22714588702749142</v>
      </c>
      <c r="AL1968" s="12">
        <v>29100</v>
      </c>
      <c r="AM1968" s="12">
        <v>34382.105105673218</v>
      </c>
      <c r="AN1968" s="12">
        <f t="shared" si="244"/>
        <v>5282.1051056732176</v>
      </c>
      <c r="AO1968" s="13">
        <f t="shared" si="245"/>
        <v>0.18151563937021367</v>
      </c>
      <c r="AP1968" s="16">
        <v>29100</v>
      </c>
      <c r="AQ1968" s="16">
        <v>33331.731731017702</v>
      </c>
      <c r="AR1968" s="16">
        <f t="shared" si="246"/>
        <v>4231.7317310177023</v>
      </c>
      <c r="AS1968" s="17">
        <f t="shared" si="240"/>
        <v>0.14542033439923374</v>
      </c>
      <c r="AT1968" s="20">
        <v>29100</v>
      </c>
      <c r="AU1968" s="20">
        <v>35292.25</v>
      </c>
      <c r="AV1968" s="20">
        <f t="shared" si="241"/>
        <v>6192.25</v>
      </c>
      <c r="AW1968" s="21">
        <f t="shared" si="247"/>
        <v>0.21279209621993128</v>
      </c>
    </row>
    <row r="1969" spans="1:49" x14ac:dyDescent="0.25">
      <c r="A1969" t="s">
        <v>38</v>
      </c>
      <c r="B1969" t="s">
        <v>39</v>
      </c>
      <c r="C1969">
        <v>66558</v>
      </c>
      <c r="D1969">
        <v>2013</v>
      </c>
      <c r="E1969" t="s">
        <v>97</v>
      </c>
      <c r="F1969" t="s">
        <v>1245</v>
      </c>
      <c r="G1969" t="s">
        <v>155</v>
      </c>
      <c r="I1969">
        <v>4</v>
      </c>
      <c r="J1969" t="s">
        <v>135</v>
      </c>
      <c r="K1969">
        <v>4</v>
      </c>
      <c r="L1969" t="s">
        <v>44</v>
      </c>
      <c r="M1969">
        <v>1.4</v>
      </c>
      <c r="N1969" t="s">
        <v>45</v>
      </c>
      <c r="O1969" t="s">
        <v>46</v>
      </c>
      <c r="Q1969" t="s">
        <v>47</v>
      </c>
      <c r="R1969" t="s">
        <v>123</v>
      </c>
      <c r="U1969" t="s">
        <v>50</v>
      </c>
      <c r="V1969" t="s">
        <v>51</v>
      </c>
      <c r="W1969" t="s">
        <v>381</v>
      </c>
      <c r="X1969" t="s">
        <v>125</v>
      </c>
      <c r="Y1969" t="s">
        <v>78</v>
      </c>
      <c r="AA1969">
        <v>0</v>
      </c>
      <c r="AB1969" t="s">
        <v>79</v>
      </c>
      <c r="AC1969" t="s">
        <v>127</v>
      </c>
      <c r="AD1969">
        <v>36</v>
      </c>
      <c r="AE1969">
        <v>9</v>
      </c>
      <c r="AF1969">
        <v>3</v>
      </c>
      <c r="AG1969">
        <v>2025</v>
      </c>
      <c r="AH1969" s="2">
        <v>2900</v>
      </c>
      <c r="AI1969" s="2">
        <v>3692.415283203125</v>
      </c>
      <c r="AJ1969" s="2">
        <f t="shared" si="242"/>
        <v>792.415283203125</v>
      </c>
      <c r="AK1969" s="6">
        <f t="shared" si="243"/>
        <v>0.27324664938038795</v>
      </c>
      <c r="AL1969" s="12">
        <v>2900</v>
      </c>
      <c r="AM1969" s="12">
        <v>3767.8271600346702</v>
      </c>
      <c r="AN1969" s="12">
        <f t="shared" si="244"/>
        <v>867.82716003467021</v>
      </c>
      <c r="AO1969" s="13">
        <f t="shared" si="245"/>
        <v>0.29925074483954145</v>
      </c>
      <c r="AP1969" s="16">
        <v>2900</v>
      </c>
      <c r="AQ1969" s="16">
        <v>3065.4078395161391</v>
      </c>
      <c r="AR1969" s="16">
        <f t="shared" si="246"/>
        <v>165.40783951613912</v>
      </c>
      <c r="AS1969" s="17">
        <f t="shared" si="240"/>
        <v>5.7037186040047975E-2</v>
      </c>
      <c r="AT1969" s="20">
        <v>2900</v>
      </c>
      <c r="AU1969" s="20">
        <v>3742.197509765625</v>
      </c>
      <c r="AV1969" s="20">
        <f t="shared" si="241"/>
        <v>842.197509765625</v>
      </c>
      <c r="AW1969" s="21">
        <f t="shared" si="247"/>
        <v>0.29041293440193966</v>
      </c>
    </row>
    <row r="1970" spans="1:49" x14ac:dyDescent="0.25">
      <c r="A1970" t="s">
        <v>128</v>
      </c>
      <c r="B1970" t="s">
        <v>210</v>
      </c>
      <c r="C1970">
        <v>39730</v>
      </c>
      <c r="D1970">
        <v>2022</v>
      </c>
      <c r="E1970" t="s">
        <v>132</v>
      </c>
      <c r="F1970" t="s">
        <v>1064</v>
      </c>
      <c r="H1970" t="s">
        <v>1565</v>
      </c>
      <c r="I1970">
        <v>6</v>
      </c>
      <c r="J1970" t="s">
        <v>72</v>
      </c>
      <c r="K1970">
        <v>4</v>
      </c>
      <c r="L1970" t="s">
        <v>44</v>
      </c>
      <c r="M1970">
        <v>3</v>
      </c>
      <c r="N1970" t="s">
        <v>44</v>
      </c>
      <c r="O1970" t="s">
        <v>46</v>
      </c>
      <c r="Q1970" t="s">
        <v>47</v>
      </c>
      <c r="R1970" t="s">
        <v>123</v>
      </c>
      <c r="S1970" t="s">
        <v>85</v>
      </c>
      <c r="T1970">
        <v>429</v>
      </c>
      <c r="U1970" t="s">
        <v>50</v>
      </c>
      <c r="V1970" t="s">
        <v>76</v>
      </c>
      <c r="W1970" t="s">
        <v>136</v>
      </c>
      <c r="X1970" t="s">
        <v>141</v>
      </c>
      <c r="Y1970" t="s">
        <v>137</v>
      </c>
      <c r="AA1970">
        <v>0</v>
      </c>
      <c r="AB1970" t="s">
        <v>79</v>
      </c>
      <c r="AC1970" t="s">
        <v>127</v>
      </c>
      <c r="AD1970">
        <v>36</v>
      </c>
      <c r="AE1970">
        <v>9</v>
      </c>
      <c r="AF1970">
        <v>3</v>
      </c>
      <c r="AG1970">
        <v>2025</v>
      </c>
      <c r="AH1970" s="2">
        <v>63000</v>
      </c>
      <c r="AI1970" s="2">
        <v>51146.3203125</v>
      </c>
      <c r="AJ1970" s="2">
        <f t="shared" si="242"/>
        <v>11853.6796875</v>
      </c>
      <c r="AK1970" s="6">
        <f t="shared" si="243"/>
        <v>0.18815364583333333</v>
      </c>
      <c r="AL1970" s="12">
        <v>63000</v>
      </c>
      <c r="AM1970" s="12">
        <v>44688.813282388808</v>
      </c>
      <c r="AN1970" s="12">
        <f t="shared" si="244"/>
        <v>18311.186717611192</v>
      </c>
      <c r="AO1970" s="13">
        <f t="shared" si="245"/>
        <v>0.29065375742239985</v>
      </c>
      <c r="AP1970" s="16">
        <v>63000</v>
      </c>
      <c r="AQ1970" s="16">
        <v>47651.142083882311</v>
      </c>
      <c r="AR1970" s="16">
        <f t="shared" si="246"/>
        <v>15348.857916117689</v>
      </c>
      <c r="AS1970" s="17">
        <f t="shared" si="240"/>
        <v>0.24363266533520142</v>
      </c>
      <c r="AT1970" s="20">
        <v>63000</v>
      </c>
      <c r="AU1970" s="20">
        <v>48251.8984375</v>
      </c>
      <c r="AV1970" s="20">
        <f t="shared" si="241"/>
        <v>14748.1015625</v>
      </c>
      <c r="AW1970" s="21">
        <f t="shared" si="247"/>
        <v>0.2340968501984127</v>
      </c>
    </row>
    <row r="1971" spans="1:49" x14ac:dyDescent="0.25">
      <c r="A1971" t="s">
        <v>38</v>
      </c>
      <c r="B1971" t="s">
        <v>110</v>
      </c>
      <c r="C1971">
        <v>132063</v>
      </c>
      <c r="D1971">
        <v>2006</v>
      </c>
      <c r="E1971" t="s">
        <v>69</v>
      </c>
      <c r="F1971" t="s">
        <v>672</v>
      </c>
      <c r="G1971" t="s">
        <v>1566</v>
      </c>
      <c r="I1971">
        <v>6</v>
      </c>
      <c r="J1971" t="s">
        <v>135</v>
      </c>
      <c r="K1971">
        <v>2</v>
      </c>
      <c r="L1971" t="s">
        <v>44</v>
      </c>
      <c r="M1971">
        <v>3</v>
      </c>
      <c r="N1971" t="s">
        <v>73</v>
      </c>
      <c r="Q1971" t="s">
        <v>74</v>
      </c>
      <c r="R1971" t="s">
        <v>92</v>
      </c>
      <c r="S1971" t="s">
        <v>49</v>
      </c>
      <c r="T1971">
        <v>148</v>
      </c>
      <c r="U1971" t="s">
        <v>50</v>
      </c>
      <c r="V1971" t="s">
        <v>76</v>
      </c>
      <c r="X1971" t="s">
        <v>65</v>
      </c>
      <c r="Y1971" t="s">
        <v>78</v>
      </c>
      <c r="AA1971">
        <v>0</v>
      </c>
      <c r="AB1971" t="s">
        <v>79</v>
      </c>
      <c r="AC1971" t="s">
        <v>95</v>
      </c>
      <c r="AD1971">
        <v>36</v>
      </c>
      <c r="AE1971">
        <v>9</v>
      </c>
      <c r="AF1971">
        <v>3</v>
      </c>
      <c r="AG1971">
        <v>2025</v>
      </c>
      <c r="AH1971" s="2">
        <v>5800</v>
      </c>
      <c r="AI1971" s="2">
        <v>2930.3369140625</v>
      </c>
      <c r="AJ1971" s="2">
        <f t="shared" si="242"/>
        <v>2869.6630859375</v>
      </c>
      <c r="AK1971" s="6">
        <f t="shared" si="243"/>
        <v>0.49476949757543104</v>
      </c>
      <c r="AL1971" s="12">
        <v>5800</v>
      </c>
      <c r="AM1971" s="12">
        <v>2438.570455263799</v>
      </c>
      <c r="AN1971" s="12">
        <f t="shared" si="244"/>
        <v>3361.429544736201</v>
      </c>
      <c r="AO1971" s="13">
        <f t="shared" si="245"/>
        <v>0.57955681805796566</v>
      </c>
      <c r="AP1971" s="16">
        <v>5800</v>
      </c>
      <c r="AQ1971" s="16">
        <v>2146.0428325025832</v>
      </c>
      <c r="AR1971" s="16">
        <f t="shared" si="246"/>
        <v>3653.9571674974168</v>
      </c>
      <c r="AS1971" s="17">
        <f t="shared" si="240"/>
        <v>0.62999261508576154</v>
      </c>
      <c r="AT1971" s="20">
        <v>5800</v>
      </c>
      <c r="AU1971" s="20">
        <v>2909.614501953125</v>
      </c>
      <c r="AV1971" s="20">
        <f t="shared" si="241"/>
        <v>2890.385498046875</v>
      </c>
      <c r="AW1971" s="21">
        <f t="shared" si="247"/>
        <v>0.4983423272494612</v>
      </c>
    </row>
    <row r="1972" spans="1:49" x14ac:dyDescent="0.25">
      <c r="A1972" t="s">
        <v>128</v>
      </c>
      <c r="B1972" t="s">
        <v>309</v>
      </c>
      <c r="C1972">
        <v>39414</v>
      </c>
      <c r="D1972">
        <v>2021</v>
      </c>
      <c r="E1972" t="s">
        <v>97</v>
      </c>
      <c r="F1972" t="s">
        <v>154</v>
      </c>
      <c r="G1972" t="s">
        <v>155</v>
      </c>
      <c r="I1972">
        <v>4</v>
      </c>
      <c r="J1972" t="s">
        <v>72</v>
      </c>
      <c r="K1972">
        <v>2</v>
      </c>
      <c r="L1972" t="s">
        <v>44</v>
      </c>
      <c r="M1972">
        <v>2.5</v>
      </c>
      <c r="N1972" t="s">
        <v>73</v>
      </c>
      <c r="O1972" t="s">
        <v>46</v>
      </c>
      <c r="P1972">
        <v>2</v>
      </c>
      <c r="Q1972" t="s">
        <v>74</v>
      </c>
      <c r="R1972" t="s">
        <v>92</v>
      </c>
      <c r="S1972" t="s">
        <v>49</v>
      </c>
      <c r="U1972" t="s">
        <v>50</v>
      </c>
      <c r="V1972" t="s">
        <v>51</v>
      </c>
      <c r="W1972" t="s">
        <v>976</v>
      </c>
      <c r="X1972" t="s">
        <v>141</v>
      </c>
      <c r="Y1972" t="s">
        <v>78</v>
      </c>
      <c r="AA1972">
        <v>0</v>
      </c>
      <c r="AB1972" t="s">
        <v>79</v>
      </c>
      <c r="AC1972" t="s">
        <v>95</v>
      </c>
      <c r="AD1972">
        <v>36</v>
      </c>
      <c r="AE1972">
        <v>9</v>
      </c>
      <c r="AF1972">
        <v>3</v>
      </c>
      <c r="AG1972">
        <v>2025</v>
      </c>
      <c r="AH1972" s="2">
        <v>15000</v>
      </c>
      <c r="AI1972" s="2">
        <v>18786.51953125</v>
      </c>
      <c r="AJ1972" s="2">
        <f t="shared" si="242"/>
        <v>3786.51953125</v>
      </c>
      <c r="AK1972" s="6">
        <f t="shared" si="243"/>
        <v>0.25243463541666666</v>
      </c>
      <c r="AL1972" s="12">
        <v>15000</v>
      </c>
      <c r="AM1972" s="12">
        <v>16682.986844807219</v>
      </c>
      <c r="AN1972" s="12">
        <f t="shared" si="244"/>
        <v>1682.9868448072193</v>
      </c>
      <c r="AO1972" s="13">
        <f t="shared" si="245"/>
        <v>0.11219912298714796</v>
      </c>
      <c r="AP1972" s="16">
        <v>15000</v>
      </c>
      <c r="AQ1972" s="16">
        <v>15200.60380502762</v>
      </c>
      <c r="AR1972" s="16">
        <f t="shared" si="246"/>
        <v>200.60380502762018</v>
      </c>
      <c r="AS1972" s="17">
        <f t="shared" si="240"/>
        <v>1.3373587001841346E-2</v>
      </c>
      <c r="AT1972" s="20">
        <v>15000</v>
      </c>
      <c r="AU1972" s="20">
        <v>18208.28125</v>
      </c>
      <c r="AV1972" s="20">
        <f t="shared" si="241"/>
        <v>3208.28125</v>
      </c>
      <c r="AW1972" s="21">
        <f t="shared" si="247"/>
        <v>0.21388541666666666</v>
      </c>
    </row>
    <row r="1973" spans="1:49" x14ac:dyDescent="0.25">
      <c r="A1973" t="s">
        <v>38</v>
      </c>
      <c r="B1973" t="s">
        <v>39</v>
      </c>
      <c r="C1973">
        <v>120631</v>
      </c>
      <c r="D1973">
        <v>2021</v>
      </c>
      <c r="E1973" t="s">
        <v>58</v>
      </c>
      <c r="F1973" t="s">
        <v>239</v>
      </c>
      <c r="G1973" t="s">
        <v>240</v>
      </c>
      <c r="I1973">
        <v>4</v>
      </c>
      <c r="J1973" t="s">
        <v>135</v>
      </c>
      <c r="K1973">
        <v>4</v>
      </c>
      <c r="L1973" t="s">
        <v>44</v>
      </c>
      <c r="M1973">
        <v>2.4</v>
      </c>
      <c r="N1973" t="s">
        <v>45</v>
      </c>
      <c r="O1973" t="s">
        <v>46</v>
      </c>
      <c r="Q1973" t="s">
        <v>62</v>
      </c>
      <c r="R1973" t="s">
        <v>63</v>
      </c>
      <c r="S1973" t="s">
        <v>49</v>
      </c>
      <c r="T1973">
        <v>181</v>
      </c>
      <c r="U1973" t="s">
        <v>50</v>
      </c>
      <c r="W1973" t="s">
        <v>1567</v>
      </c>
      <c r="X1973" t="s">
        <v>65</v>
      </c>
      <c r="Y1973" t="s">
        <v>66</v>
      </c>
      <c r="Z1973">
        <v>24090</v>
      </c>
      <c r="AA1973">
        <v>0</v>
      </c>
      <c r="AB1973" t="s">
        <v>79</v>
      </c>
      <c r="AC1973" t="s">
        <v>87</v>
      </c>
      <c r="AD1973">
        <v>36</v>
      </c>
      <c r="AE1973">
        <v>9</v>
      </c>
      <c r="AF1973">
        <v>3</v>
      </c>
      <c r="AG1973">
        <v>2025</v>
      </c>
      <c r="AH1973" s="2">
        <v>7000</v>
      </c>
      <c r="AI1973" s="2">
        <v>9785.3193359375</v>
      </c>
      <c r="AJ1973" s="2">
        <f t="shared" si="242"/>
        <v>2785.3193359375</v>
      </c>
      <c r="AK1973" s="6">
        <f t="shared" si="243"/>
        <v>0.39790276227678573</v>
      </c>
      <c r="AL1973" s="12">
        <v>7000</v>
      </c>
      <c r="AM1973" s="12">
        <v>8344.2039122558836</v>
      </c>
      <c r="AN1973" s="12">
        <f t="shared" si="244"/>
        <v>1344.2039122558836</v>
      </c>
      <c r="AO1973" s="13">
        <f t="shared" si="245"/>
        <v>0.19202913032226909</v>
      </c>
      <c r="AP1973" s="16">
        <v>7000</v>
      </c>
      <c r="AQ1973" s="16">
        <v>8589.2721052640773</v>
      </c>
      <c r="AR1973" s="16">
        <f t="shared" si="246"/>
        <v>1589.2721052640773</v>
      </c>
      <c r="AS1973" s="17">
        <f t="shared" si="240"/>
        <v>0.22703887218058247</v>
      </c>
      <c r="AT1973" s="20">
        <v>7000</v>
      </c>
      <c r="AU1973" s="20">
        <v>9608.3251953125</v>
      </c>
      <c r="AV1973" s="20">
        <f t="shared" si="241"/>
        <v>2608.3251953125</v>
      </c>
      <c r="AW1973" s="21">
        <f t="shared" si="247"/>
        <v>0.37261788504464288</v>
      </c>
    </row>
    <row r="1974" spans="1:49" x14ac:dyDescent="0.25">
      <c r="A1974" t="s">
        <v>38</v>
      </c>
      <c r="B1974" t="s">
        <v>110</v>
      </c>
      <c r="C1974">
        <v>193014</v>
      </c>
      <c r="D1974">
        <v>2018</v>
      </c>
      <c r="E1974" t="s">
        <v>146</v>
      </c>
      <c r="F1974" t="s">
        <v>147</v>
      </c>
      <c r="I1974">
        <v>4</v>
      </c>
      <c r="J1974" t="s">
        <v>72</v>
      </c>
      <c r="K1974">
        <v>4</v>
      </c>
      <c r="L1974" t="s">
        <v>44</v>
      </c>
      <c r="M1974">
        <v>2.5</v>
      </c>
      <c r="N1974" t="s">
        <v>44</v>
      </c>
      <c r="O1974" t="s">
        <v>46</v>
      </c>
      <c r="P1974">
        <v>2</v>
      </c>
      <c r="Q1974" t="s">
        <v>62</v>
      </c>
      <c r="R1974" t="s">
        <v>148</v>
      </c>
      <c r="S1974" t="s">
        <v>93</v>
      </c>
      <c r="T1974">
        <v>170</v>
      </c>
      <c r="U1974" t="s">
        <v>50</v>
      </c>
      <c r="X1974" t="s">
        <v>65</v>
      </c>
      <c r="Y1974" t="s">
        <v>78</v>
      </c>
      <c r="Z1974">
        <v>24800</v>
      </c>
      <c r="AA1974">
        <v>0</v>
      </c>
      <c r="AB1974" t="s">
        <v>79</v>
      </c>
      <c r="AC1974" t="s">
        <v>87</v>
      </c>
      <c r="AD1974">
        <v>36</v>
      </c>
      <c r="AE1974">
        <v>9</v>
      </c>
      <c r="AF1974">
        <v>3</v>
      </c>
      <c r="AG1974">
        <v>2025</v>
      </c>
      <c r="AH1974" s="2">
        <v>2100</v>
      </c>
      <c r="AI1974" s="2">
        <v>2091.6298828125</v>
      </c>
      <c r="AJ1974" s="2">
        <f t="shared" si="242"/>
        <v>8.3701171875</v>
      </c>
      <c r="AK1974" s="6">
        <f t="shared" si="243"/>
        <v>3.9857700892857147E-3</v>
      </c>
      <c r="AL1974" s="12">
        <v>2100</v>
      </c>
      <c r="AM1974" s="12">
        <v>2447.2549451916821</v>
      </c>
      <c r="AN1974" s="12">
        <f t="shared" si="244"/>
        <v>347.25494519168205</v>
      </c>
      <c r="AO1974" s="13">
        <f t="shared" si="245"/>
        <v>0.16535949771032479</v>
      </c>
      <c r="AP1974" s="16">
        <v>2100</v>
      </c>
      <c r="AQ1974" s="16">
        <v>2181.28033871149</v>
      </c>
      <c r="AR1974" s="16">
        <f t="shared" si="246"/>
        <v>81.280338711490003</v>
      </c>
      <c r="AS1974" s="17">
        <f t="shared" si="240"/>
        <v>3.8704923195947621E-2</v>
      </c>
      <c r="AT1974" s="20">
        <v>2100</v>
      </c>
      <c r="AU1974" s="20">
        <v>2107.12646484375</v>
      </c>
      <c r="AV1974" s="20">
        <f t="shared" si="241"/>
        <v>7.12646484375</v>
      </c>
      <c r="AW1974" s="21">
        <f t="shared" si="247"/>
        <v>3.3935546875000001E-3</v>
      </c>
    </row>
    <row r="1975" spans="1:49" x14ac:dyDescent="0.25">
      <c r="A1975" t="s">
        <v>114</v>
      </c>
      <c r="B1975" t="s">
        <v>340</v>
      </c>
      <c r="C1975">
        <v>182988</v>
      </c>
      <c r="D1975">
        <v>2013</v>
      </c>
      <c r="E1975" t="s">
        <v>58</v>
      </c>
      <c r="F1975" t="s">
        <v>220</v>
      </c>
      <c r="G1975" t="s">
        <v>248</v>
      </c>
      <c r="I1975">
        <v>4</v>
      </c>
      <c r="J1975" t="s">
        <v>599</v>
      </c>
      <c r="K1975">
        <v>4</v>
      </c>
      <c r="L1975" t="s">
        <v>44</v>
      </c>
      <c r="M1975">
        <v>2.4</v>
      </c>
      <c r="N1975" t="s">
        <v>44</v>
      </c>
      <c r="O1975" t="s">
        <v>46</v>
      </c>
      <c r="P1975">
        <v>3</v>
      </c>
      <c r="Q1975" t="s">
        <v>62</v>
      </c>
      <c r="R1975" t="s">
        <v>63</v>
      </c>
      <c r="S1975" t="s">
        <v>93</v>
      </c>
      <c r="U1975" t="s">
        <v>50</v>
      </c>
      <c r="W1975" t="s">
        <v>1568</v>
      </c>
      <c r="X1975" t="s">
        <v>65</v>
      </c>
      <c r="Y1975" t="s">
        <v>78</v>
      </c>
      <c r="AA1975">
        <v>0</v>
      </c>
      <c r="AB1975" t="s">
        <v>79</v>
      </c>
      <c r="AC1975" t="s">
        <v>87</v>
      </c>
      <c r="AD1975">
        <v>36</v>
      </c>
      <c r="AE1975">
        <v>9</v>
      </c>
      <c r="AF1975">
        <v>3</v>
      </c>
      <c r="AG1975">
        <v>2025</v>
      </c>
      <c r="AH1975" s="2">
        <v>1300</v>
      </c>
      <c r="AI1975" s="2">
        <v>1881.71044921875</v>
      </c>
      <c r="AJ1975" s="2">
        <f t="shared" si="242"/>
        <v>581.71044921875</v>
      </c>
      <c r="AK1975" s="6">
        <f t="shared" si="243"/>
        <v>0.44746957632211537</v>
      </c>
      <c r="AL1975" s="12">
        <v>1300</v>
      </c>
      <c r="AM1975" s="12">
        <v>1980.5240808979779</v>
      </c>
      <c r="AN1975" s="12">
        <f t="shared" si="244"/>
        <v>680.52408089797791</v>
      </c>
      <c r="AO1975" s="13">
        <f t="shared" si="245"/>
        <v>0.52348006222921373</v>
      </c>
      <c r="AP1975" s="16">
        <v>1300</v>
      </c>
      <c r="AQ1975" s="16">
        <v>1425.4373405133349</v>
      </c>
      <c r="AR1975" s="16">
        <f t="shared" si="246"/>
        <v>125.4373405133349</v>
      </c>
      <c r="AS1975" s="17">
        <f t="shared" si="240"/>
        <v>9.6490261933334542E-2</v>
      </c>
      <c r="AT1975" s="20">
        <v>1300</v>
      </c>
      <c r="AU1975" s="20">
        <v>1908.531372070312</v>
      </c>
      <c r="AV1975" s="20">
        <f t="shared" si="241"/>
        <v>608.53137207031205</v>
      </c>
      <c r="AW1975" s="21">
        <f t="shared" si="247"/>
        <v>0.46810105543870156</v>
      </c>
    </row>
    <row r="1976" spans="1:49" x14ac:dyDescent="0.25">
      <c r="A1976" t="s">
        <v>38</v>
      </c>
      <c r="B1976" t="s">
        <v>96</v>
      </c>
      <c r="C1976">
        <v>157597</v>
      </c>
      <c r="D1976">
        <v>2015</v>
      </c>
      <c r="E1976" t="s">
        <v>263</v>
      </c>
      <c r="F1976" t="s">
        <v>1569</v>
      </c>
      <c r="G1976" t="s">
        <v>265</v>
      </c>
      <c r="I1976">
        <v>4</v>
      </c>
      <c r="J1976" t="s">
        <v>72</v>
      </c>
      <c r="K1976">
        <v>2</v>
      </c>
      <c r="L1976" t="s">
        <v>402</v>
      </c>
      <c r="M1976">
        <v>2</v>
      </c>
      <c r="N1976" t="s">
        <v>73</v>
      </c>
      <c r="O1976" t="s">
        <v>46</v>
      </c>
      <c r="P1976">
        <v>2</v>
      </c>
      <c r="Q1976" t="s">
        <v>47</v>
      </c>
      <c r="R1976" t="s">
        <v>530</v>
      </c>
      <c r="W1976" t="s">
        <v>1570</v>
      </c>
      <c r="X1976" t="s">
        <v>125</v>
      </c>
      <c r="Y1976" t="s">
        <v>54</v>
      </c>
      <c r="AA1976">
        <v>0</v>
      </c>
      <c r="AB1976" t="s">
        <v>79</v>
      </c>
      <c r="AC1976" t="s">
        <v>531</v>
      </c>
      <c r="AD1976">
        <v>36</v>
      </c>
      <c r="AE1976">
        <v>9</v>
      </c>
      <c r="AF1976">
        <v>3</v>
      </c>
      <c r="AG1976">
        <v>2025</v>
      </c>
      <c r="AH1976" s="2">
        <v>3600</v>
      </c>
      <c r="AI1976" s="2">
        <v>2951.7333984375</v>
      </c>
      <c r="AJ1976" s="2">
        <f t="shared" si="242"/>
        <v>648.2666015625</v>
      </c>
      <c r="AK1976" s="6">
        <f t="shared" si="243"/>
        <v>0.18007405598958334</v>
      </c>
      <c r="AL1976" s="12">
        <v>3600</v>
      </c>
      <c r="AM1976" s="12">
        <v>3137.6612221467731</v>
      </c>
      <c r="AN1976" s="12">
        <f t="shared" si="244"/>
        <v>462.33877785322693</v>
      </c>
      <c r="AO1976" s="13">
        <f t="shared" si="245"/>
        <v>0.12842743829256303</v>
      </c>
      <c r="AP1976" s="16">
        <v>3600</v>
      </c>
      <c r="AQ1976" s="16">
        <v>2667.5467209224789</v>
      </c>
      <c r="AR1976" s="16">
        <f t="shared" si="246"/>
        <v>932.45327907752107</v>
      </c>
      <c r="AS1976" s="17">
        <f t="shared" si="240"/>
        <v>0.25901479974375585</v>
      </c>
      <c r="AT1976" s="20">
        <v>3600</v>
      </c>
      <c r="AU1976" s="20">
        <v>3010.354248046875</v>
      </c>
      <c r="AV1976" s="20">
        <f t="shared" si="241"/>
        <v>589.645751953125</v>
      </c>
      <c r="AW1976" s="21">
        <f t="shared" si="247"/>
        <v>0.16379048665364584</v>
      </c>
    </row>
    <row r="1977" spans="1:49" x14ac:dyDescent="0.25">
      <c r="A1977" t="s">
        <v>38</v>
      </c>
      <c r="B1977" t="s">
        <v>110</v>
      </c>
      <c r="C1977">
        <v>129522</v>
      </c>
      <c r="D1977">
        <v>2016</v>
      </c>
      <c r="E1977" t="s">
        <v>174</v>
      </c>
      <c r="F1977" t="s">
        <v>774</v>
      </c>
      <c r="H1977" t="s">
        <v>548</v>
      </c>
      <c r="I1977">
        <v>8</v>
      </c>
      <c r="J1977" t="s">
        <v>72</v>
      </c>
      <c r="K1977">
        <v>4</v>
      </c>
      <c r="L1977" t="s">
        <v>44</v>
      </c>
      <c r="M1977">
        <v>6.2</v>
      </c>
      <c r="N1977" t="s">
        <v>91</v>
      </c>
      <c r="Q1977" t="s">
        <v>62</v>
      </c>
      <c r="R1977" t="s">
        <v>63</v>
      </c>
      <c r="S1977" t="s">
        <v>93</v>
      </c>
      <c r="U1977" t="s">
        <v>50</v>
      </c>
      <c r="W1977" t="s">
        <v>556</v>
      </c>
      <c r="X1977" t="s">
        <v>108</v>
      </c>
      <c r="Y1977" t="s">
        <v>78</v>
      </c>
      <c r="AA1977">
        <v>0</v>
      </c>
      <c r="AB1977" t="s">
        <v>79</v>
      </c>
      <c r="AC1977" t="s">
        <v>87</v>
      </c>
      <c r="AD1977">
        <v>36</v>
      </c>
      <c r="AE1977">
        <v>9</v>
      </c>
      <c r="AF1977">
        <v>3</v>
      </c>
      <c r="AG1977">
        <v>2025</v>
      </c>
      <c r="AH1977" s="2">
        <v>14600</v>
      </c>
      <c r="AI1977" s="2">
        <v>15788.3115234375</v>
      </c>
      <c r="AJ1977" s="2">
        <f t="shared" si="242"/>
        <v>1188.3115234375</v>
      </c>
      <c r="AK1977" s="6">
        <f t="shared" si="243"/>
        <v>8.1391200235445202E-2</v>
      </c>
      <c r="AL1977" s="12">
        <v>14600</v>
      </c>
      <c r="AM1977" s="12">
        <v>14786.29129726194</v>
      </c>
      <c r="AN1977" s="12">
        <f t="shared" si="244"/>
        <v>186.29129726193969</v>
      </c>
      <c r="AO1977" s="13">
        <f t="shared" si="245"/>
        <v>1.2759677894653404E-2</v>
      </c>
      <c r="AP1977" s="16">
        <v>14600</v>
      </c>
      <c r="AQ1977" s="16">
        <v>13440.596930337981</v>
      </c>
      <c r="AR1977" s="16">
        <f t="shared" si="246"/>
        <v>1159.4030696620193</v>
      </c>
      <c r="AS1977" s="17">
        <f t="shared" si="240"/>
        <v>7.9411169154932834E-2</v>
      </c>
      <c r="AT1977" s="20">
        <v>14600</v>
      </c>
      <c r="AU1977" s="20">
        <v>15513.30859375</v>
      </c>
      <c r="AV1977" s="20">
        <f t="shared" si="241"/>
        <v>913.30859375</v>
      </c>
      <c r="AW1977" s="21">
        <f t="shared" si="247"/>
        <v>6.255538313356164E-2</v>
      </c>
    </row>
    <row r="1978" spans="1:49" x14ac:dyDescent="0.25">
      <c r="A1978" t="s">
        <v>81</v>
      </c>
      <c r="B1978" t="s">
        <v>501</v>
      </c>
      <c r="C1978">
        <v>74330</v>
      </c>
      <c r="D1978">
        <v>2021</v>
      </c>
      <c r="E1978" t="s">
        <v>97</v>
      </c>
      <c r="F1978" t="s">
        <v>419</v>
      </c>
      <c r="G1978" t="s">
        <v>797</v>
      </c>
      <c r="I1978">
        <v>8</v>
      </c>
      <c r="J1978" t="s">
        <v>122</v>
      </c>
      <c r="K1978">
        <v>4</v>
      </c>
      <c r="L1978" t="s">
        <v>44</v>
      </c>
      <c r="M1978">
        <v>5.3</v>
      </c>
      <c r="N1978" t="s">
        <v>91</v>
      </c>
      <c r="Q1978" t="s">
        <v>62</v>
      </c>
      <c r="R1978" t="s">
        <v>63</v>
      </c>
      <c r="S1978" t="s">
        <v>93</v>
      </c>
      <c r="U1978" t="s">
        <v>50</v>
      </c>
      <c r="W1978" t="s">
        <v>339</v>
      </c>
      <c r="X1978" t="s">
        <v>108</v>
      </c>
      <c r="Y1978" t="s">
        <v>78</v>
      </c>
      <c r="AA1978">
        <v>0</v>
      </c>
      <c r="AB1978" t="s">
        <v>79</v>
      </c>
      <c r="AC1978" t="s">
        <v>109</v>
      </c>
      <c r="AD1978">
        <v>36</v>
      </c>
      <c r="AE1978">
        <v>9</v>
      </c>
      <c r="AF1978">
        <v>3</v>
      </c>
      <c r="AG1978">
        <v>2025</v>
      </c>
      <c r="AH1978" s="2">
        <v>45000</v>
      </c>
      <c r="AI1978" s="2">
        <v>45909.37890625</v>
      </c>
      <c r="AJ1978" s="2">
        <f t="shared" si="242"/>
        <v>909.37890625</v>
      </c>
      <c r="AK1978" s="6">
        <f t="shared" si="243"/>
        <v>2.0208420138888888E-2</v>
      </c>
      <c r="AL1978" s="12">
        <v>45000</v>
      </c>
      <c r="AM1978" s="12">
        <v>39379.595335142527</v>
      </c>
      <c r="AN1978" s="12">
        <f t="shared" si="244"/>
        <v>5620.4046648574731</v>
      </c>
      <c r="AO1978" s="13">
        <f t="shared" si="245"/>
        <v>0.12489788144127718</v>
      </c>
      <c r="AP1978" s="16">
        <v>45000</v>
      </c>
      <c r="AQ1978" s="16">
        <v>38444.158131340468</v>
      </c>
      <c r="AR1978" s="16">
        <f t="shared" si="246"/>
        <v>6555.8418686595323</v>
      </c>
      <c r="AS1978" s="17">
        <f t="shared" si="240"/>
        <v>0.14568537485910071</v>
      </c>
      <c r="AT1978" s="20">
        <v>45000</v>
      </c>
      <c r="AU1978" s="20">
        <v>45047.8515625</v>
      </c>
      <c r="AV1978" s="20">
        <f t="shared" si="241"/>
        <v>47.8515625</v>
      </c>
      <c r="AW1978" s="21">
        <f t="shared" si="247"/>
        <v>1.0633680555555555E-3</v>
      </c>
    </row>
    <row r="1979" spans="1:49" x14ac:dyDescent="0.25">
      <c r="A1979" t="s">
        <v>38</v>
      </c>
      <c r="B1979" t="s">
        <v>96</v>
      </c>
      <c r="C1979">
        <v>150371</v>
      </c>
      <c r="D1979">
        <v>2015</v>
      </c>
      <c r="E1979" t="s">
        <v>97</v>
      </c>
      <c r="F1979" t="s">
        <v>159</v>
      </c>
      <c r="G1979" t="s">
        <v>155</v>
      </c>
      <c r="H1979" t="s">
        <v>89</v>
      </c>
      <c r="I1979">
        <v>8</v>
      </c>
      <c r="J1979" t="s">
        <v>61</v>
      </c>
      <c r="K1979">
        <v>4</v>
      </c>
      <c r="L1979" t="s">
        <v>44</v>
      </c>
      <c r="M1979">
        <v>5.3</v>
      </c>
      <c r="N1979" t="s">
        <v>73</v>
      </c>
      <c r="O1979" t="s">
        <v>46</v>
      </c>
      <c r="P1979">
        <v>1</v>
      </c>
      <c r="Q1979" t="s">
        <v>74</v>
      </c>
      <c r="R1979" t="s">
        <v>92</v>
      </c>
      <c r="S1979" t="s">
        <v>179</v>
      </c>
      <c r="U1979" t="s">
        <v>50</v>
      </c>
      <c r="W1979" t="s">
        <v>473</v>
      </c>
      <c r="X1979" t="s">
        <v>94</v>
      </c>
      <c r="Y1979" t="s">
        <v>126</v>
      </c>
      <c r="AA1979">
        <v>0</v>
      </c>
      <c r="AB1979" t="s">
        <v>79</v>
      </c>
      <c r="AC1979" t="s">
        <v>95</v>
      </c>
      <c r="AD1979">
        <v>36</v>
      </c>
      <c r="AE1979">
        <v>9</v>
      </c>
      <c r="AF1979">
        <v>3</v>
      </c>
      <c r="AG1979">
        <v>2025</v>
      </c>
      <c r="AH1979" s="2">
        <v>4000</v>
      </c>
      <c r="AI1979" s="2">
        <v>7131.2236328125</v>
      </c>
      <c r="AJ1979" s="2">
        <f t="shared" si="242"/>
        <v>3131.2236328125</v>
      </c>
      <c r="AK1979" s="6">
        <f t="shared" si="243"/>
        <v>0.78280590820312501</v>
      </c>
      <c r="AL1979" s="12">
        <v>4000</v>
      </c>
      <c r="AM1979" s="12">
        <v>7624.0805481211319</v>
      </c>
      <c r="AN1979" s="12">
        <f t="shared" si="244"/>
        <v>3624.0805481211319</v>
      </c>
      <c r="AO1979" s="13">
        <f t="shared" si="245"/>
        <v>0.90602013703028295</v>
      </c>
      <c r="AP1979" s="16">
        <v>4000</v>
      </c>
      <c r="AQ1979" s="16">
        <v>6688.155888230076</v>
      </c>
      <c r="AR1979" s="16">
        <f t="shared" si="246"/>
        <v>2688.155888230076</v>
      </c>
      <c r="AS1979" s="17">
        <f t="shared" si="240"/>
        <v>0.67203897205751906</v>
      </c>
      <c r="AT1979" s="20">
        <v>4000</v>
      </c>
      <c r="AU1979" s="20">
        <v>7306.05078125</v>
      </c>
      <c r="AV1979" s="20">
        <f t="shared" si="241"/>
        <v>3306.05078125</v>
      </c>
      <c r="AW1979" s="21">
        <f t="shared" si="247"/>
        <v>0.82651269531250005</v>
      </c>
    </row>
    <row r="1980" spans="1:49" x14ac:dyDescent="0.25">
      <c r="A1980" t="s">
        <v>38</v>
      </c>
      <c r="B1980" t="s">
        <v>110</v>
      </c>
      <c r="C1980">
        <v>139113</v>
      </c>
      <c r="D1980">
        <v>2015</v>
      </c>
      <c r="E1980" t="s">
        <v>83</v>
      </c>
      <c r="F1980" t="s">
        <v>1081</v>
      </c>
      <c r="G1980" t="s">
        <v>1571</v>
      </c>
      <c r="I1980">
        <v>4</v>
      </c>
      <c r="J1980" t="s">
        <v>72</v>
      </c>
      <c r="K1980">
        <v>4</v>
      </c>
      <c r="L1980" t="s">
        <v>44</v>
      </c>
      <c r="M1980">
        <v>2</v>
      </c>
      <c r="N1980" t="s">
        <v>45</v>
      </c>
      <c r="Q1980" t="s">
        <v>47</v>
      </c>
      <c r="R1980" t="s">
        <v>123</v>
      </c>
      <c r="T1980">
        <v>150</v>
      </c>
      <c r="U1980" t="s">
        <v>50</v>
      </c>
      <c r="V1980" t="s">
        <v>51</v>
      </c>
      <c r="W1980" t="s">
        <v>1083</v>
      </c>
      <c r="X1980" t="s">
        <v>53</v>
      </c>
      <c r="Y1980" t="s">
        <v>78</v>
      </c>
      <c r="AA1980">
        <v>0</v>
      </c>
      <c r="AB1980" t="s">
        <v>79</v>
      </c>
      <c r="AC1980" t="s">
        <v>127</v>
      </c>
      <c r="AD1980">
        <v>36</v>
      </c>
      <c r="AE1980">
        <v>9</v>
      </c>
      <c r="AF1980">
        <v>3</v>
      </c>
      <c r="AG1980">
        <v>2025</v>
      </c>
      <c r="AH1980" s="2">
        <v>5250</v>
      </c>
      <c r="AI1980" s="2">
        <v>2443.15673828125</v>
      </c>
      <c r="AJ1980" s="2">
        <f t="shared" si="242"/>
        <v>2806.84326171875</v>
      </c>
      <c r="AK1980" s="6">
        <f t="shared" si="243"/>
        <v>0.53463681175595235</v>
      </c>
      <c r="AL1980" s="12">
        <v>5250</v>
      </c>
      <c r="AM1980" s="12">
        <v>3217.5107025905518</v>
      </c>
      <c r="AN1980" s="12">
        <f t="shared" si="244"/>
        <v>2032.4892974094482</v>
      </c>
      <c r="AO1980" s="13">
        <f t="shared" si="245"/>
        <v>0.38714081855418059</v>
      </c>
      <c r="AP1980" s="16">
        <v>5250</v>
      </c>
      <c r="AQ1980" s="16">
        <v>4149.1098941411956</v>
      </c>
      <c r="AR1980" s="16">
        <f t="shared" si="246"/>
        <v>1100.8901058588044</v>
      </c>
      <c r="AS1980" s="17">
        <f t="shared" si="240"/>
        <v>0.20969335349691512</v>
      </c>
      <c r="AT1980" s="20">
        <v>5250</v>
      </c>
      <c r="AU1980" s="20">
        <v>2480.541259765625</v>
      </c>
      <c r="AV1980" s="20">
        <f t="shared" si="241"/>
        <v>2769.458740234375</v>
      </c>
      <c r="AW1980" s="21">
        <f t="shared" si="247"/>
        <v>0.52751595052083333</v>
      </c>
    </row>
    <row r="1981" spans="1:49" x14ac:dyDescent="0.25">
      <c r="A1981" t="s">
        <v>38</v>
      </c>
      <c r="B1981" t="s">
        <v>110</v>
      </c>
      <c r="C1981">
        <v>204668</v>
      </c>
      <c r="D1981">
        <v>2015</v>
      </c>
      <c r="E1981" t="s">
        <v>97</v>
      </c>
      <c r="F1981" t="s">
        <v>159</v>
      </c>
      <c r="G1981" t="s">
        <v>432</v>
      </c>
      <c r="H1981" t="s">
        <v>89</v>
      </c>
      <c r="I1981">
        <v>8</v>
      </c>
      <c r="J1981" t="s">
        <v>61</v>
      </c>
      <c r="K1981">
        <v>4</v>
      </c>
      <c r="L1981" t="s">
        <v>44</v>
      </c>
      <c r="M1981">
        <v>6.2</v>
      </c>
      <c r="N1981" t="s">
        <v>73</v>
      </c>
      <c r="Q1981" t="s">
        <v>74</v>
      </c>
      <c r="R1981" t="s">
        <v>92</v>
      </c>
      <c r="S1981" t="s">
        <v>179</v>
      </c>
      <c r="U1981" t="s">
        <v>50</v>
      </c>
      <c r="W1981" t="s">
        <v>798</v>
      </c>
      <c r="X1981" t="s">
        <v>94</v>
      </c>
      <c r="Y1981" t="s">
        <v>126</v>
      </c>
      <c r="AA1981">
        <v>0</v>
      </c>
      <c r="AB1981" t="s">
        <v>79</v>
      </c>
      <c r="AC1981" t="s">
        <v>95</v>
      </c>
      <c r="AD1981">
        <v>36</v>
      </c>
      <c r="AE1981">
        <v>9</v>
      </c>
      <c r="AF1981">
        <v>3</v>
      </c>
      <c r="AG1981">
        <v>2025</v>
      </c>
      <c r="AH1981" s="2">
        <v>8250</v>
      </c>
      <c r="AI1981" s="2">
        <v>7957.369140625</v>
      </c>
      <c r="AJ1981" s="2">
        <f t="shared" si="242"/>
        <v>292.630859375</v>
      </c>
      <c r="AK1981" s="6">
        <f t="shared" si="243"/>
        <v>3.54704071969697E-2</v>
      </c>
      <c r="AL1981" s="12">
        <v>8250</v>
      </c>
      <c r="AM1981" s="12">
        <v>7824.5411241206384</v>
      </c>
      <c r="AN1981" s="12">
        <f t="shared" si="244"/>
        <v>425.45887587936159</v>
      </c>
      <c r="AO1981" s="13">
        <f t="shared" si="245"/>
        <v>5.1570772833862008E-2</v>
      </c>
      <c r="AP1981" s="16">
        <v>8250</v>
      </c>
      <c r="AQ1981" s="16">
        <v>8308.1237831044073</v>
      </c>
      <c r="AR1981" s="16">
        <f t="shared" si="246"/>
        <v>58.123783104407266</v>
      </c>
      <c r="AS1981" s="17">
        <f t="shared" si="240"/>
        <v>7.0453070429584569E-3</v>
      </c>
      <c r="AT1981" s="20">
        <v>8250</v>
      </c>
      <c r="AU1981" s="20">
        <v>7972.78369140625</v>
      </c>
      <c r="AV1981" s="20">
        <f t="shared" si="241"/>
        <v>277.21630859375</v>
      </c>
      <c r="AW1981" s="21">
        <f t="shared" si="247"/>
        <v>3.3601976799242421E-2</v>
      </c>
    </row>
    <row r="1982" spans="1:49" x14ac:dyDescent="0.25">
      <c r="A1982" t="s">
        <v>38</v>
      </c>
      <c r="B1982" t="s">
        <v>57</v>
      </c>
      <c r="C1982">
        <v>163927</v>
      </c>
      <c r="D1982">
        <v>2015</v>
      </c>
      <c r="E1982" t="s">
        <v>88</v>
      </c>
      <c r="F1982" t="s">
        <v>89</v>
      </c>
      <c r="G1982" t="s">
        <v>176</v>
      </c>
      <c r="I1982">
        <v>8</v>
      </c>
      <c r="J1982" t="s">
        <v>122</v>
      </c>
      <c r="K1982">
        <v>4</v>
      </c>
      <c r="L1982" t="s">
        <v>44</v>
      </c>
      <c r="M1982">
        <v>5.7</v>
      </c>
      <c r="N1982" t="s">
        <v>91</v>
      </c>
      <c r="O1982" t="s">
        <v>46</v>
      </c>
      <c r="P1982">
        <v>2</v>
      </c>
      <c r="Q1982" t="s">
        <v>74</v>
      </c>
      <c r="R1982" t="s">
        <v>92</v>
      </c>
      <c r="S1982" t="s">
        <v>93</v>
      </c>
      <c r="U1982" t="s">
        <v>50</v>
      </c>
      <c r="X1982" t="s">
        <v>94</v>
      </c>
      <c r="Y1982" t="s">
        <v>78</v>
      </c>
      <c r="AA1982">
        <v>0</v>
      </c>
      <c r="AB1982" t="s">
        <v>79</v>
      </c>
      <c r="AC1982" t="s">
        <v>95</v>
      </c>
      <c r="AD1982">
        <v>36</v>
      </c>
      <c r="AE1982">
        <v>9</v>
      </c>
      <c r="AF1982">
        <v>3</v>
      </c>
      <c r="AG1982">
        <v>2025</v>
      </c>
      <c r="AH1982" s="2">
        <v>7000</v>
      </c>
      <c r="AI1982" s="2">
        <v>6422.66455078125</v>
      </c>
      <c r="AJ1982" s="2">
        <f t="shared" si="242"/>
        <v>577.33544921875</v>
      </c>
      <c r="AK1982" s="6">
        <f t="shared" si="243"/>
        <v>8.2476492745535715E-2</v>
      </c>
      <c r="AL1982" s="12">
        <v>7000</v>
      </c>
      <c r="AM1982" s="12">
        <v>6137.0809704551166</v>
      </c>
      <c r="AN1982" s="12">
        <f t="shared" si="244"/>
        <v>862.91902954488341</v>
      </c>
      <c r="AO1982" s="13">
        <f t="shared" si="245"/>
        <v>0.12327414707784048</v>
      </c>
      <c r="AP1982" s="16">
        <v>7000</v>
      </c>
      <c r="AQ1982" s="16">
        <v>6212.1564288757281</v>
      </c>
      <c r="AR1982" s="16">
        <f t="shared" si="246"/>
        <v>787.84357112427188</v>
      </c>
      <c r="AS1982" s="17">
        <f t="shared" si="240"/>
        <v>0.1125490815891817</v>
      </c>
      <c r="AT1982" s="20">
        <v>7000</v>
      </c>
      <c r="AU1982" s="20">
        <v>6434.57861328125</v>
      </c>
      <c r="AV1982" s="20">
        <f t="shared" si="241"/>
        <v>565.42138671875</v>
      </c>
      <c r="AW1982" s="21">
        <f t="shared" si="247"/>
        <v>8.0774483816964282E-2</v>
      </c>
    </row>
    <row r="1983" spans="1:49" x14ac:dyDescent="0.25">
      <c r="A1983" t="s">
        <v>38</v>
      </c>
      <c r="B1983" t="s">
        <v>880</v>
      </c>
      <c r="C1983">
        <v>214695</v>
      </c>
      <c r="D1983">
        <v>2017</v>
      </c>
      <c r="E1983" t="s">
        <v>69</v>
      </c>
      <c r="F1983" t="s">
        <v>231</v>
      </c>
      <c r="G1983" t="s">
        <v>1566</v>
      </c>
      <c r="I1983">
        <v>6</v>
      </c>
      <c r="J1983" t="s">
        <v>72</v>
      </c>
      <c r="K1983">
        <v>2</v>
      </c>
      <c r="L1983" t="s">
        <v>44</v>
      </c>
      <c r="M1983">
        <v>3.5</v>
      </c>
      <c r="N1983" t="s">
        <v>91</v>
      </c>
      <c r="O1983" t="s">
        <v>46</v>
      </c>
      <c r="P1983">
        <v>3</v>
      </c>
      <c r="Q1983" t="s">
        <v>74</v>
      </c>
      <c r="R1983" t="s">
        <v>92</v>
      </c>
      <c r="S1983" t="s">
        <v>93</v>
      </c>
      <c r="T1983">
        <v>282</v>
      </c>
      <c r="U1983" t="s">
        <v>50</v>
      </c>
      <c r="V1983" t="s">
        <v>76</v>
      </c>
      <c r="W1983" t="s">
        <v>609</v>
      </c>
      <c r="X1983" t="s">
        <v>94</v>
      </c>
      <c r="Y1983" t="s">
        <v>78</v>
      </c>
      <c r="Z1983">
        <v>27410</v>
      </c>
      <c r="AA1983">
        <v>0</v>
      </c>
      <c r="AB1983" t="s">
        <v>79</v>
      </c>
      <c r="AC1983" t="s">
        <v>95</v>
      </c>
      <c r="AD1983">
        <v>36</v>
      </c>
      <c r="AE1983">
        <v>9</v>
      </c>
      <c r="AF1983">
        <v>3</v>
      </c>
      <c r="AG1983">
        <v>2025</v>
      </c>
      <c r="AH1983" s="2">
        <v>4400</v>
      </c>
      <c r="AI1983" s="2">
        <v>6863.0771484375</v>
      </c>
      <c r="AJ1983" s="2">
        <f t="shared" si="242"/>
        <v>2463.0771484375</v>
      </c>
      <c r="AK1983" s="6">
        <f t="shared" si="243"/>
        <v>0.55979026100852269</v>
      </c>
      <c r="AL1983" s="12">
        <v>4400</v>
      </c>
      <c r="AM1983" s="12">
        <v>6246.0010464734769</v>
      </c>
      <c r="AN1983" s="12">
        <f t="shared" si="244"/>
        <v>1846.0010464734769</v>
      </c>
      <c r="AO1983" s="13">
        <f t="shared" si="245"/>
        <v>0.41954569238033568</v>
      </c>
      <c r="AP1983" s="16">
        <v>4400</v>
      </c>
      <c r="AQ1983" s="16">
        <v>5473.7314112116119</v>
      </c>
      <c r="AR1983" s="16">
        <f t="shared" si="246"/>
        <v>1073.7314112116119</v>
      </c>
      <c r="AS1983" s="17">
        <f t="shared" si="240"/>
        <v>0.24402986618445724</v>
      </c>
      <c r="AT1983" s="20">
        <v>4400</v>
      </c>
      <c r="AU1983" s="20">
        <v>6916.69482421875</v>
      </c>
      <c r="AV1983" s="20">
        <f t="shared" si="241"/>
        <v>2516.69482421875</v>
      </c>
      <c r="AW1983" s="21">
        <f t="shared" si="247"/>
        <v>0.57197609641335223</v>
      </c>
    </row>
    <row r="1984" spans="1:49" x14ac:dyDescent="0.25">
      <c r="A1984" t="s">
        <v>38</v>
      </c>
      <c r="B1984" t="s">
        <v>68</v>
      </c>
      <c r="C1984">
        <v>78324</v>
      </c>
      <c r="D1984">
        <v>2019</v>
      </c>
      <c r="E1984" t="s">
        <v>166</v>
      </c>
      <c r="F1984" t="s">
        <v>628</v>
      </c>
      <c r="G1984" t="s">
        <v>457</v>
      </c>
      <c r="I1984">
        <v>4</v>
      </c>
      <c r="J1984" t="s">
        <v>122</v>
      </c>
      <c r="K1984">
        <v>4</v>
      </c>
      <c r="L1984" t="s">
        <v>44</v>
      </c>
      <c r="M1984">
        <v>2</v>
      </c>
      <c r="N1984" t="s">
        <v>45</v>
      </c>
      <c r="O1984" t="s">
        <v>46</v>
      </c>
      <c r="P1984">
        <v>4</v>
      </c>
      <c r="Q1984" t="s">
        <v>47</v>
      </c>
      <c r="R1984" t="s">
        <v>123</v>
      </c>
      <c r="S1984" t="s">
        <v>49</v>
      </c>
      <c r="T1984">
        <v>158</v>
      </c>
      <c r="U1984" t="s">
        <v>50</v>
      </c>
      <c r="V1984" t="s">
        <v>51</v>
      </c>
      <c r="W1984" t="s">
        <v>795</v>
      </c>
      <c r="X1984" t="s">
        <v>53</v>
      </c>
      <c r="Y1984" t="s">
        <v>103</v>
      </c>
      <c r="Z1984">
        <v>21150</v>
      </c>
      <c r="AA1984">
        <v>0</v>
      </c>
      <c r="AB1984" t="s">
        <v>79</v>
      </c>
      <c r="AC1984" t="s">
        <v>127</v>
      </c>
      <c r="AD1984">
        <v>36</v>
      </c>
      <c r="AE1984">
        <v>9</v>
      </c>
      <c r="AF1984">
        <v>3</v>
      </c>
      <c r="AG1984">
        <v>2025</v>
      </c>
      <c r="AH1984" s="2">
        <v>16250</v>
      </c>
      <c r="AI1984" s="2">
        <v>11697.970703125</v>
      </c>
      <c r="AJ1984" s="2">
        <f t="shared" si="242"/>
        <v>4552.029296875</v>
      </c>
      <c r="AK1984" s="6">
        <f t="shared" si="243"/>
        <v>0.2801248798076923</v>
      </c>
      <c r="AL1984" s="12">
        <v>16250</v>
      </c>
      <c r="AM1984" s="12">
        <v>12946.01692598352</v>
      </c>
      <c r="AN1984" s="12">
        <f t="shared" si="244"/>
        <v>3303.9830740164798</v>
      </c>
      <c r="AO1984" s="13">
        <f t="shared" si="245"/>
        <v>0.20332203532409107</v>
      </c>
      <c r="AP1984" s="16">
        <v>16250</v>
      </c>
      <c r="AQ1984" s="16">
        <v>13605.632916175209</v>
      </c>
      <c r="AR1984" s="16">
        <f t="shared" si="246"/>
        <v>2644.3670838247908</v>
      </c>
      <c r="AS1984" s="17">
        <f t="shared" si="240"/>
        <v>0.1627302820815256</v>
      </c>
      <c r="AT1984" s="20">
        <v>16250</v>
      </c>
      <c r="AU1984" s="20">
        <v>12106.2509765625</v>
      </c>
      <c r="AV1984" s="20">
        <f t="shared" si="241"/>
        <v>4143.7490234375</v>
      </c>
      <c r="AW1984" s="21">
        <f t="shared" si="247"/>
        <v>0.25499993990384617</v>
      </c>
    </row>
    <row r="1985" spans="1:49" x14ac:dyDescent="0.25">
      <c r="A1985" t="s">
        <v>128</v>
      </c>
      <c r="B1985" t="s">
        <v>210</v>
      </c>
      <c r="C1985">
        <v>324659</v>
      </c>
      <c r="D1985">
        <v>2003</v>
      </c>
      <c r="E1985" t="s">
        <v>97</v>
      </c>
      <c r="F1985" t="s">
        <v>419</v>
      </c>
      <c r="H1985" t="s">
        <v>781</v>
      </c>
      <c r="I1985">
        <v>8</v>
      </c>
      <c r="J1985" t="s">
        <v>72</v>
      </c>
      <c r="K1985">
        <v>4</v>
      </c>
      <c r="L1985" t="s">
        <v>44</v>
      </c>
      <c r="M1985">
        <v>5.3</v>
      </c>
      <c r="N1985" t="s">
        <v>91</v>
      </c>
      <c r="O1985" t="s">
        <v>46</v>
      </c>
      <c r="Q1985" t="s">
        <v>62</v>
      </c>
      <c r="R1985" t="s">
        <v>63</v>
      </c>
      <c r="S1985" t="s">
        <v>93</v>
      </c>
      <c r="U1985" t="s">
        <v>180</v>
      </c>
      <c r="V1985" t="s">
        <v>76</v>
      </c>
      <c r="W1985" t="s">
        <v>1200</v>
      </c>
      <c r="X1985" t="s">
        <v>94</v>
      </c>
      <c r="Y1985" t="s">
        <v>78</v>
      </c>
      <c r="AA1985">
        <v>0</v>
      </c>
      <c r="AB1985" t="s">
        <v>79</v>
      </c>
      <c r="AC1985" t="s">
        <v>87</v>
      </c>
      <c r="AD1985">
        <v>36</v>
      </c>
      <c r="AE1985">
        <v>9</v>
      </c>
      <c r="AF1985">
        <v>3</v>
      </c>
      <c r="AG1985">
        <v>2025</v>
      </c>
      <c r="AH1985" s="2">
        <v>450</v>
      </c>
      <c r="AI1985" s="2">
        <v>956.9044189453125</v>
      </c>
      <c r="AJ1985" s="2">
        <f t="shared" si="242"/>
        <v>506.9044189453125</v>
      </c>
      <c r="AK1985" s="6">
        <f t="shared" si="243"/>
        <v>1.1264542643229167</v>
      </c>
      <c r="AL1985" s="12">
        <v>450</v>
      </c>
      <c r="AM1985" s="12">
        <v>1203.610163049902</v>
      </c>
      <c r="AN1985" s="12">
        <f t="shared" si="244"/>
        <v>753.61016304990198</v>
      </c>
      <c r="AO1985" s="13">
        <f t="shared" si="245"/>
        <v>1.6746892512220044</v>
      </c>
      <c r="AP1985" s="16">
        <v>450</v>
      </c>
      <c r="AQ1985" s="16">
        <v>964.86025484757749</v>
      </c>
      <c r="AR1985" s="16">
        <f t="shared" si="246"/>
        <v>514.86025484757749</v>
      </c>
      <c r="AS1985" s="17">
        <f t="shared" si="240"/>
        <v>1.1441338996612833</v>
      </c>
      <c r="AT1985" s="20">
        <v>450</v>
      </c>
      <c r="AU1985" s="20">
        <v>964.4090576171875</v>
      </c>
      <c r="AV1985" s="20">
        <f t="shared" si="241"/>
        <v>514.4090576171875</v>
      </c>
      <c r="AW1985" s="21">
        <f t="shared" si="247"/>
        <v>1.1431312391493056</v>
      </c>
    </row>
    <row r="1986" spans="1:49" x14ac:dyDescent="0.25">
      <c r="A1986" t="s">
        <v>128</v>
      </c>
      <c r="B1986" t="s">
        <v>129</v>
      </c>
      <c r="C1986">
        <v>179188</v>
      </c>
      <c r="D1986">
        <v>2014</v>
      </c>
      <c r="E1986" t="s">
        <v>146</v>
      </c>
      <c r="F1986" t="s">
        <v>334</v>
      </c>
      <c r="I1986">
        <v>4</v>
      </c>
      <c r="J1986" t="s">
        <v>277</v>
      </c>
      <c r="K1986">
        <v>4</v>
      </c>
      <c r="L1986" t="s">
        <v>44</v>
      </c>
      <c r="M1986">
        <v>2.5</v>
      </c>
      <c r="N1986" t="s">
        <v>45</v>
      </c>
      <c r="Q1986" t="s">
        <v>47</v>
      </c>
      <c r="R1986" t="s">
        <v>123</v>
      </c>
      <c r="S1986" t="s">
        <v>49</v>
      </c>
      <c r="U1986" t="s">
        <v>50</v>
      </c>
      <c r="X1986" t="s">
        <v>125</v>
      </c>
      <c r="Y1986" t="s">
        <v>78</v>
      </c>
      <c r="AA1986">
        <v>0</v>
      </c>
      <c r="AB1986" t="s">
        <v>79</v>
      </c>
      <c r="AC1986" t="s">
        <v>127</v>
      </c>
      <c r="AD1986">
        <v>36</v>
      </c>
      <c r="AE1986">
        <v>9</v>
      </c>
      <c r="AF1986">
        <v>3</v>
      </c>
      <c r="AG1986">
        <v>2025</v>
      </c>
      <c r="AH1986" s="2">
        <v>1300</v>
      </c>
      <c r="AI1986" s="2">
        <v>1306.725830078125</v>
      </c>
      <c r="AJ1986" s="2">
        <f t="shared" si="242"/>
        <v>6.725830078125</v>
      </c>
      <c r="AK1986" s="6">
        <f t="shared" si="243"/>
        <v>5.1737154447115382E-3</v>
      </c>
      <c r="AL1986" s="12">
        <v>1300</v>
      </c>
      <c r="AM1986" s="12">
        <v>1482.9863516681471</v>
      </c>
      <c r="AN1986" s="12">
        <f t="shared" si="244"/>
        <v>182.98635166814711</v>
      </c>
      <c r="AO1986" s="13">
        <f t="shared" si="245"/>
        <v>0.14075873205242084</v>
      </c>
      <c r="AP1986" s="16">
        <v>1300</v>
      </c>
      <c r="AQ1986" s="16">
        <v>1330.476383528578</v>
      </c>
      <c r="AR1986" s="16">
        <f t="shared" si="246"/>
        <v>30.476383528578026</v>
      </c>
      <c r="AS1986" s="17">
        <f t="shared" si="240"/>
        <v>2.3443371945060021E-2</v>
      </c>
      <c r="AT1986" s="20">
        <v>1300</v>
      </c>
      <c r="AU1986" s="20">
        <v>1299.368530273438</v>
      </c>
      <c r="AV1986" s="20">
        <f t="shared" si="241"/>
        <v>0.63146972656204525</v>
      </c>
      <c r="AW1986" s="21">
        <f t="shared" si="247"/>
        <v>4.8574594350926555E-4</v>
      </c>
    </row>
    <row r="1987" spans="1:49" x14ac:dyDescent="0.25">
      <c r="A1987" t="s">
        <v>38</v>
      </c>
      <c r="B1987" t="s">
        <v>39</v>
      </c>
      <c r="C1987">
        <v>75304</v>
      </c>
      <c r="D1987">
        <v>2018</v>
      </c>
      <c r="E1987" t="s">
        <v>69</v>
      </c>
      <c r="F1987" t="s">
        <v>416</v>
      </c>
      <c r="H1987" t="s">
        <v>903</v>
      </c>
      <c r="I1987">
        <v>6</v>
      </c>
      <c r="J1987" t="s">
        <v>61</v>
      </c>
      <c r="K1987">
        <v>4</v>
      </c>
      <c r="L1987" t="s">
        <v>44</v>
      </c>
      <c r="M1987">
        <v>3.5</v>
      </c>
      <c r="N1987" t="s">
        <v>73</v>
      </c>
      <c r="O1987" t="s">
        <v>46</v>
      </c>
      <c r="Q1987" t="s">
        <v>62</v>
      </c>
      <c r="R1987" t="s">
        <v>63</v>
      </c>
      <c r="S1987" t="s">
        <v>49</v>
      </c>
      <c r="T1987">
        <v>310</v>
      </c>
      <c r="U1987" t="s">
        <v>50</v>
      </c>
      <c r="V1987" t="s">
        <v>76</v>
      </c>
      <c r="W1987" t="s">
        <v>107</v>
      </c>
      <c r="X1987" t="s">
        <v>108</v>
      </c>
      <c r="Y1987" t="s">
        <v>78</v>
      </c>
      <c r="Z1987">
        <v>75720</v>
      </c>
      <c r="AA1987">
        <v>0</v>
      </c>
      <c r="AB1987" t="s">
        <v>79</v>
      </c>
      <c r="AC1987" t="s">
        <v>109</v>
      </c>
      <c r="AD1987">
        <v>36</v>
      </c>
      <c r="AE1987">
        <v>9</v>
      </c>
      <c r="AF1987">
        <v>3</v>
      </c>
      <c r="AG1987">
        <v>2025</v>
      </c>
      <c r="AH1987" s="2">
        <v>22250</v>
      </c>
      <c r="AI1987" s="2">
        <v>24002.5390625</v>
      </c>
      <c r="AJ1987" s="2">
        <f t="shared" si="242"/>
        <v>1752.5390625</v>
      </c>
      <c r="AK1987" s="6">
        <f t="shared" si="243"/>
        <v>7.8765800561797758E-2</v>
      </c>
      <c r="AL1987" s="12">
        <v>22250</v>
      </c>
      <c r="AM1987" s="12">
        <v>18870.630606284551</v>
      </c>
      <c r="AN1987" s="12">
        <f t="shared" si="244"/>
        <v>3379.3693937154494</v>
      </c>
      <c r="AO1987" s="13">
        <f t="shared" si="245"/>
        <v>0.15188177050406515</v>
      </c>
      <c r="AP1987" s="16">
        <v>22250</v>
      </c>
      <c r="AQ1987" s="16">
        <v>20529.826993536779</v>
      </c>
      <c r="AR1987" s="16">
        <f t="shared" si="246"/>
        <v>1720.1730064632211</v>
      </c>
      <c r="AS1987" s="17">
        <f t="shared" ref="AS1987:AS2050" si="248">ABS($AH1987-AQ1987)/$AH1987</f>
        <v>7.7311146357897584E-2</v>
      </c>
      <c r="AT1987" s="20">
        <v>22250</v>
      </c>
      <c r="AU1987" s="20">
        <v>23285.404296875</v>
      </c>
      <c r="AV1987" s="20">
        <f t="shared" ref="AV1987:AV2050" si="249">ABS(AT1987-AU1987)</f>
        <v>1035.404296875</v>
      </c>
      <c r="AW1987" s="21">
        <f t="shared" si="247"/>
        <v>4.6535024578651683E-2</v>
      </c>
    </row>
    <row r="1988" spans="1:49" x14ac:dyDescent="0.25">
      <c r="A1988" t="s">
        <v>38</v>
      </c>
      <c r="B1988" t="s">
        <v>110</v>
      </c>
      <c r="C1988">
        <v>150028</v>
      </c>
      <c r="D1988">
        <v>2016</v>
      </c>
      <c r="E1988" t="s">
        <v>146</v>
      </c>
      <c r="F1988" t="s">
        <v>147</v>
      </c>
      <c r="I1988">
        <v>4</v>
      </c>
      <c r="J1988" t="s">
        <v>106</v>
      </c>
      <c r="K1988">
        <v>4</v>
      </c>
      <c r="L1988" t="s">
        <v>44</v>
      </c>
      <c r="M1988">
        <v>2.5</v>
      </c>
      <c r="N1988" t="s">
        <v>45</v>
      </c>
      <c r="O1988" t="s">
        <v>46</v>
      </c>
      <c r="P1988">
        <v>2</v>
      </c>
      <c r="Q1988" t="s">
        <v>62</v>
      </c>
      <c r="R1988" t="s">
        <v>148</v>
      </c>
      <c r="S1988" t="s">
        <v>49</v>
      </c>
      <c r="U1988" t="s">
        <v>50</v>
      </c>
      <c r="X1988" t="s">
        <v>65</v>
      </c>
      <c r="Y1988" t="s">
        <v>66</v>
      </c>
      <c r="AA1988">
        <v>0</v>
      </c>
      <c r="AB1988" t="s">
        <v>79</v>
      </c>
      <c r="AC1988" t="s">
        <v>87</v>
      </c>
      <c r="AD1988">
        <v>36</v>
      </c>
      <c r="AE1988">
        <v>9</v>
      </c>
      <c r="AF1988">
        <v>3</v>
      </c>
      <c r="AG1988">
        <v>2025</v>
      </c>
      <c r="AH1988" s="2">
        <v>2000</v>
      </c>
      <c r="AI1988" s="2">
        <v>1820.935424804688</v>
      </c>
      <c r="AJ1988" s="2">
        <f t="shared" ref="AJ1988:AJ2051" si="250">ABS(AH1988-AI1988)</f>
        <v>179.06457519531205</v>
      </c>
      <c r="AK1988" s="6">
        <f t="shared" ref="AK1988:AK2051" si="251">ABS($AH1988-AI1988)/$AH1988</f>
        <v>8.9532287597656024E-2</v>
      </c>
      <c r="AL1988" s="12">
        <v>2000</v>
      </c>
      <c r="AM1988" s="12">
        <v>1948.318488720699</v>
      </c>
      <c r="AN1988" s="12">
        <f t="shared" ref="AN1988:AN2051" si="252">ABS(AL1988-AM1988)</f>
        <v>51.681511279301048</v>
      </c>
      <c r="AO1988" s="13">
        <f t="shared" ref="AO1988:AO2051" si="253">ABS($AH1988-AM1988)/$AH1988</f>
        <v>2.5840755639650523E-2</v>
      </c>
      <c r="AP1988" s="16">
        <v>2000</v>
      </c>
      <c r="AQ1988" s="16">
        <v>1922.5212233650859</v>
      </c>
      <c r="AR1988" s="16">
        <f t="shared" ref="AR1988:AR2051" si="254">ABS(AP1988-AQ1988)</f>
        <v>77.478776634914084</v>
      </c>
      <c r="AS1988" s="17">
        <f t="shared" si="248"/>
        <v>3.8739388317457039E-2</v>
      </c>
      <c r="AT1988" s="20">
        <v>2000</v>
      </c>
      <c r="AU1988" s="20">
        <v>1845.017333984375</v>
      </c>
      <c r="AV1988" s="20">
        <f t="shared" si="249"/>
        <v>154.982666015625</v>
      </c>
      <c r="AW1988" s="21">
        <f t="shared" ref="AW1988:AW2051" si="255">ABS($AH1988-AU1988)/$AH1988</f>
        <v>7.7491333007812496E-2</v>
      </c>
    </row>
    <row r="1989" spans="1:49" x14ac:dyDescent="0.25">
      <c r="A1989" t="s">
        <v>38</v>
      </c>
      <c r="B1989" t="s">
        <v>96</v>
      </c>
      <c r="C1989">
        <v>105506</v>
      </c>
      <c r="D1989">
        <v>2020</v>
      </c>
      <c r="E1989" t="s">
        <v>341</v>
      </c>
      <c r="F1989" t="s">
        <v>574</v>
      </c>
      <c r="G1989" t="s">
        <v>575</v>
      </c>
      <c r="I1989">
        <v>6</v>
      </c>
      <c r="J1989" t="s">
        <v>72</v>
      </c>
      <c r="K1989">
        <v>4</v>
      </c>
      <c r="L1989" t="s">
        <v>44</v>
      </c>
      <c r="M1989">
        <v>3.6</v>
      </c>
      <c r="N1989" t="s">
        <v>45</v>
      </c>
      <c r="O1989" t="s">
        <v>46</v>
      </c>
      <c r="P1989">
        <v>2</v>
      </c>
      <c r="Q1989" t="s">
        <v>62</v>
      </c>
      <c r="R1989" t="s">
        <v>63</v>
      </c>
      <c r="S1989" t="s">
        <v>101</v>
      </c>
      <c r="U1989" t="s">
        <v>50</v>
      </c>
      <c r="V1989" t="s">
        <v>76</v>
      </c>
      <c r="W1989" t="s">
        <v>576</v>
      </c>
      <c r="X1989" t="s">
        <v>94</v>
      </c>
      <c r="Y1989" t="s">
        <v>78</v>
      </c>
      <c r="Z1989">
        <v>42000</v>
      </c>
      <c r="AA1989">
        <v>0</v>
      </c>
      <c r="AB1989" t="s">
        <v>79</v>
      </c>
      <c r="AC1989" t="s">
        <v>109</v>
      </c>
      <c r="AD1989">
        <v>36</v>
      </c>
      <c r="AE1989">
        <v>9</v>
      </c>
      <c r="AF1989">
        <v>3</v>
      </c>
      <c r="AG1989">
        <v>2025</v>
      </c>
      <c r="AH1989" s="2">
        <v>12250</v>
      </c>
      <c r="AI1989" s="2">
        <v>9607.775390625</v>
      </c>
      <c r="AJ1989" s="2">
        <f t="shared" si="250"/>
        <v>2642.224609375</v>
      </c>
      <c r="AK1989" s="6">
        <f t="shared" si="251"/>
        <v>0.21569180484693878</v>
      </c>
      <c r="AL1989" s="12">
        <v>12250</v>
      </c>
      <c r="AM1989" s="12">
        <v>9687.465665283702</v>
      </c>
      <c r="AN1989" s="12">
        <f t="shared" si="252"/>
        <v>2562.534334716298</v>
      </c>
      <c r="AO1989" s="13">
        <f t="shared" si="253"/>
        <v>0.20918647630337125</v>
      </c>
      <c r="AP1989" s="16">
        <v>12250</v>
      </c>
      <c r="AQ1989" s="16">
        <v>10312.296466734681</v>
      </c>
      <c r="AR1989" s="16">
        <f t="shared" si="254"/>
        <v>1937.7035332653195</v>
      </c>
      <c r="AS1989" s="17">
        <f t="shared" si="248"/>
        <v>0.15817988026655669</v>
      </c>
      <c r="AT1989" s="20">
        <v>12250</v>
      </c>
      <c r="AU1989" s="20">
        <v>9680.119140625</v>
      </c>
      <c r="AV1989" s="20">
        <f t="shared" si="249"/>
        <v>2569.880859375</v>
      </c>
      <c r="AW1989" s="21">
        <f t="shared" si="255"/>
        <v>0.20978619260204082</v>
      </c>
    </row>
    <row r="1990" spans="1:49" x14ac:dyDescent="0.25">
      <c r="A1990" t="s">
        <v>128</v>
      </c>
      <c r="B1990" t="s">
        <v>129</v>
      </c>
      <c r="C1990">
        <v>144577</v>
      </c>
      <c r="D1990">
        <v>2011</v>
      </c>
      <c r="E1990" t="s">
        <v>40</v>
      </c>
      <c r="F1990" t="s">
        <v>297</v>
      </c>
      <c r="H1990" t="s">
        <v>589</v>
      </c>
      <c r="I1990">
        <v>4</v>
      </c>
      <c r="J1990" t="s">
        <v>135</v>
      </c>
      <c r="K1990">
        <v>4</v>
      </c>
      <c r="L1990" t="s">
        <v>44</v>
      </c>
      <c r="M1990">
        <v>2.5</v>
      </c>
      <c r="N1990" t="s">
        <v>45</v>
      </c>
      <c r="Q1990" t="s">
        <v>47</v>
      </c>
      <c r="R1990" t="s">
        <v>123</v>
      </c>
      <c r="S1990" t="s">
        <v>49</v>
      </c>
      <c r="T1990">
        <v>169</v>
      </c>
      <c r="U1990" t="s">
        <v>50</v>
      </c>
      <c r="V1990" t="s">
        <v>51</v>
      </c>
      <c r="W1990" t="s">
        <v>236</v>
      </c>
      <c r="X1990" t="s">
        <v>125</v>
      </c>
      <c r="Y1990" t="s">
        <v>78</v>
      </c>
      <c r="AA1990">
        <v>0</v>
      </c>
      <c r="AB1990" t="s">
        <v>79</v>
      </c>
      <c r="AC1990" t="s">
        <v>127</v>
      </c>
      <c r="AD1990">
        <v>36</v>
      </c>
      <c r="AE1990">
        <v>9</v>
      </c>
      <c r="AF1990">
        <v>3</v>
      </c>
      <c r="AG1990">
        <v>2025</v>
      </c>
      <c r="AH1990" s="2">
        <v>2300</v>
      </c>
      <c r="AI1990" s="2">
        <v>2464.36181640625</v>
      </c>
      <c r="AJ1990" s="2">
        <f t="shared" si="250"/>
        <v>164.36181640625</v>
      </c>
      <c r="AK1990" s="6">
        <f t="shared" si="251"/>
        <v>7.1461659307065217E-2</v>
      </c>
      <c r="AL1990" s="12">
        <v>2300</v>
      </c>
      <c r="AM1990" s="12">
        <v>2449.3755467628748</v>
      </c>
      <c r="AN1990" s="12">
        <f t="shared" si="252"/>
        <v>149.37554676287482</v>
      </c>
      <c r="AO1990" s="13">
        <f t="shared" si="253"/>
        <v>6.4945889896902101E-2</v>
      </c>
      <c r="AP1990" s="16">
        <v>2300</v>
      </c>
      <c r="AQ1990" s="16">
        <v>2234.2368644867001</v>
      </c>
      <c r="AR1990" s="16">
        <f t="shared" si="254"/>
        <v>65.763135513299858</v>
      </c>
      <c r="AS1990" s="17">
        <f t="shared" si="248"/>
        <v>2.85926676144782E-2</v>
      </c>
      <c r="AT1990" s="20">
        <v>2300</v>
      </c>
      <c r="AU1990" s="20">
        <v>2466.126953125</v>
      </c>
      <c r="AV1990" s="20">
        <f t="shared" si="249"/>
        <v>166.126953125</v>
      </c>
      <c r="AW1990" s="21">
        <f t="shared" si="255"/>
        <v>7.2229110054347831E-2</v>
      </c>
    </row>
    <row r="1991" spans="1:49" x14ac:dyDescent="0.25">
      <c r="A1991" t="s">
        <v>38</v>
      </c>
      <c r="B1991" t="s">
        <v>39</v>
      </c>
      <c r="C1991">
        <v>93642</v>
      </c>
      <c r="D1991">
        <v>2017</v>
      </c>
      <c r="E1991" t="s">
        <v>142</v>
      </c>
      <c r="F1991" t="s">
        <v>373</v>
      </c>
      <c r="G1991" t="s">
        <v>398</v>
      </c>
      <c r="H1991" t="s">
        <v>375</v>
      </c>
      <c r="I1991">
        <v>6</v>
      </c>
      <c r="J1991" t="s">
        <v>135</v>
      </c>
      <c r="K1991">
        <v>4</v>
      </c>
      <c r="L1991" t="s">
        <v>44</v>
      </c>
      <c r="M1991">
        <v>3.6</v>
      </c>
      <c r="N1991" t="s">
        <v>73</v>
      </c>
      <c r="O1991" t="s">
        <v>46</v>
      </c>
      <c r="Q1991" t="s">
        <v>62</v>
      </c>
      <c r="R1991" t="s">
        <v>63</v>
      </c>
      <c r="S1991" t="s">
        <v>49</v>
      </c>
      <c r="T1991">
        <v>295</v>
      </c>
      <c r="U1991" t="s">
        <v>50</v>
      </c>
      <c r="V1991" t="s">
        <v>76</v>
      </c>
      <c r="X1991" t="s">
        <v>94</v>
      </c>
      <c r="Y1991" t="s">
        <v>78</v>
      </c>
      <c r="Z1991">
        <v>30395</v>
      </c>
      <c r="AA1991">
        <v>0</v>
      </c>
      <c r="AB1991" t="s">
        <v>79</v>
      </c>
      <c r="AC1991" t="s">
        <v>87</v>
      </c>
      <c r="AD1991">
        <v>36</v>
      </c>
      <c r="AE1991">
        <v>9</v>
      </c>
      <c r="AF1991">
        <v>3</v>
      </c>
      <c r="AG1991">
        <v>2025</v>
      </c>
      <c r="AH1991" s="2">
        <v>10250</v>
      </c>
      <c r="AI1991" s="2">
        <v>12637.353515625</v>
      </c>
      <c r="AJ1991" s="2">
        <f t="shared" si="250"/>
        <v>2387.353515625</v>
      </c>
      <c r="AK1991" s="6">
        <f t="shared" si="251"/>
        <v>0.2329125381097561</v>
      </c>
      <c r="AL1991" s="12">
        <v>10250</v>
      </c>
      <c r="AM1991" s="12">
        <v>11444.15434652182</v>
      </c>
      <c r="AN1991" s="12">
        <f t="shared" si="252"/>
        <v>1194.1543465218201</v>
      </c>
      <c r="AO1991" s="13">
        <f t="shared" si="253"/>
        <v>0.11650286307529953</v>
      </c>
      <c r="AP1991" s="16">
        <v>10250</v>
      </c>
      <c r="AQ1991" s="16">
        <v>8906.4040042939578</v>
      </c>
      <c r="AR1991" s="16">
        <f t="shared" si="254"/>
        <v>1343.5959957060422</v>
      </c>
      <c r="AS1991" s="17">
        <f t="shared" si="248"/>
        <v>0.13108253616644314</v>
      </c>
      <c r="AT1991" s="20">
        <v>10250</v>
      </c>
      <c r="AU1991" s="20">
        <v>12396.15625</v>
      </c>
      <c r="AV1991" s="20">
        <f t="shared" si="249"/>
        <v>2146.15625</v>
      </c>
      <c r="AW1991" s="21">
        <f t="shared" si="255"/>
        <v>0.20938109756097562</v>
      </c>
    </row>
    <row r="1992" spans="1:49" x14ac:dyDescent="0.25">
      <c r="A1992" t="s">
        <v>38</v>
      </c>
      <c r="B1992" t="s">
        <v>57</v>
      </c>
      <c r="C1992">
        <v>89390</v>
      </c>
      <c r="D1992">
        <v>2020</v>
      </c>
      <c r="E1992" t="s">
        <v>69</v>
      </c>
      <c r="F1992" t="s">
        <v>873</v>
      </c>
      <c r="G1992" t="s">
        <v>447</v>
      </c>
      <c r="I1992">
        <v>4</v>
      </c>
      <c r="J1992" t="s">
        <v>106</v>
      </c>
      <c r="K1992">
        <v>4</v>
      </c>
      <c r="L1992" t="s">
        <v>44</v>
      </c>
      <c r="M1992">
        <v>2</v>
      </c>
      <c r="N1992" t="s">
        <v>44</v>
      </c>
      <c r="O1992" t="s">
        <v>46</v>
      </c>
      <c r="P1992">
        <v>3</v>
      </c>
      <c r="Q1992" t="s">
        <v>62</v>
      </c>
      <c r="R1992" t="s">
        <v>63</v>
      </c>
      <c r="S1992" t="s">
        <v>85</v>
      </c>
      <c r="T1992">
        <v>250</v>
      </c>
      <c r="U1992" t="s">
        <v>50</v>
      </c>
      <c r="V1992" t="s">
        <v>51</v>
      </c>
      <c r="W1992" t="s">
        <v>1073</v>
      </c>
      <c r="X1992" t="s">
        <v>141</v>
      </c>
      <c r="Y1992" t="s">
        <v>103</v>
      </c>
      <c r="AA1992">
        <v>0</v>
      </c>
      <c r="AB1992" t="s">
        <v>79</v>
      </c>
      <c r="AC1992" t="s">
        <v>87</v>
      </c>
      <c r="AD1992">
        <v>36</v>
      </c>
      <c r="AE1992">
        <v>9</v>
      </c>
      <c r="AF1992">
        <v>3</v>
      </c>
      <c r="AG1992">
        <v>2025</v>
      </c>
      <c r="AH1992" s="2">
        <v>12250</v>
      </c>
      <c r="AI1992" s="2">
        <v>13295.935546875</v>
      </c>
      <c r="AJ1992" s="2">
        <f t="shared" si="250"/>
        <v>1045.935546875</v>
      </c>
      <c r="AK1992" s="6">
        <f t="shared" si="251"/>
        <v>8.5382493622448985E-2</v>
      </c>
      <c r="AL1992" s="12">
        <v>12250</v>
      </c>
      <c r="AM1992" s="12">
        <v>15352.16060216261</v>
      </c>
      <c r="AN1992" s="12">
        <f t="shared" si="252"/>
        <v>3102.1606021626103</v>
      </c>
      <c r="AO1992" s="13">
        <f t="shared" si="253"/>
        <v>0.25323760017653962</v>
      </c>
      <c r="AP1992" s="16">
        <v>12250</v>
      </c>
      <c r="AQ1992" s="16">
        <v>11827.66682765266</v>
      </c>
      <c r="AR1992" s="16">
        <f t="shared" si="254"/>
        <v>422.33317234734022</v>
      </c>
      <c r="AS1992" s="17">
        <f t="shared" si="248"/>
        <v>3.4476177334476756E-2</v>
      </c>
      <c r="AT1992" s="20">
        <v>12250</v>
      </c>
      <c r="AU1992" s="20">
        <v>13655.7197265625</v>
      </c>
      <c r="AV1992" s="20">
        <f t="shared" si="249"/>
        <v>1405.7197265625</v>
      </c>
      <c r="AW1992" s="21">
        <f t="shared" si="255"/>
        <v>0.11475263073979591</v>
      </c>
    </row>
    <row r="1993" spans="1:49" x14ac:dyDescent="0.25">
      <c r="A1993" t="s">
        <v>128</v>
      </c>
      <c r="B1993" t="s">
        <v>210</v>
      </c>
      <c r="C1993">
        <v>163067</v>
      </c>
      <c r="D1993">
        <v>2020</v>
      </c>
      <c r="E1993" t="s">
        <v>58</v>
      </c>
      <c r="F1993" t="s">
        <v>111</v>
      </c>
      <c r="G1993" t="s">
        <v>1312</v>
      </c>
      <c r="I1993">
        <v>4</v>
      </c>
      <c r="J1993" t="s">
        <v>72</v>
      </c>
      <c r="K1993">
        <v>4</v>
      </c>
      <c r="L1993" t="s">
        <v>44</v>
      </c>
      <c r="M1993">
        <v>2</v>
      </c>
      <c r="N1993" t="s">
        <v>45</v>
      </c>
      <c r="O1993" t="s">
        <v>46</v>
      </c>
      <c r="Q1993" t="s">
        <v>62</v>
      </c>
      <c r="R1993" t="s">
        <v>63</v>
      </c>
      <c r="S1993" t="s">
        <v>49</v>
      </c>
      <c r="T1993">
        <v>147</v>
      </c>
      <c r="U1993" t="s">
        <v>50</v>
      </c>
      <c r="W1993" t="s">
        <v>1212</v>
      </c>
      <c r="X1993" t="s">
        <v>65</v>
      </c>
      <c r="Y1993" t="s">
        <v>66</v>
      </c>
      <c r="AA1993">
        <v>0</v>
      </c>
      <c r="AB1993" t="s">
        <v>79</v>
      </c>
      <c r="AC1993" t="s">
        <v>87</v>
      </c>
      <c r="AD1993">
        <v>36</v>
      </c>
      <c r="AE1993">
        <v>9</v>
      </c>
      <c r="AF1993">
        <v>3</v>
      </c>
      <c r="AG1993">
        <v>2025</v>
      </c>
      <c r="AH1993" s="2">
        <v>5300</v>
      </c>
      <c r="AI1993" s="2">
        <v>3836.27099609375</v>
      </c>
      <c r="AJ1993" s="2">
        <f t="shared" si="250"/>
        <v>1463.72900390625</v>
      </c>
      <c r="AK1993" s="6">
        <f t="shared" si="251"/>
        <v>0.27617528375589623</v>
      </c>
      <c r="AL1993" s="12">
        <v>5300</v>
      </c>
      <c r="AM1993" s="12">
        <v>4628.0107066573592</v>
      </c>
      <c r="AN1993" s="12">
        <f t="shared" si="252"/>
        <v>671.98929334264085</v>
      </c>
      <c r="AO1993" s="13">
        <f t="shared" si="253"/>
        <v>0.12679043270615864</v>
      </c>
      <c r="AP1993" s="16">
        <v>5300</v>
      </c>
      <c r="AQ1993" s="16">
        <v>4119.8522332596531</v>
      </c>
      <c r="AR1993" s="16">
        <f t="shared" si="254"/>
        <v>1180.1477667403469</v>
      </c>
      <c r="AS1993" s="17">
        <f t="shared" si="248"/>
        <v>0.22266938995100885</v>
      </c>
      <c r="AT1993" s="20">
        <v>5300</v>
      </c>
      <c r="AU1993" s="20">
        <v>3904.904296875</v>
      </c>
      <c r="AV1993" s="20">
        <f t="shared" si="249"/>
        <v>1395.095703125</v>
      </c>
      <c r="AW1993" s="21">
        <f t="shared" si="255"/>
        <v>0.26322560436320752</v>
      </c>
    </row>
    <row r="1994" spans="1:49" x14ac:dyDescent="0.25">
      <c r="A1994" t="s">
        <v>128</v>
      </c>
      <c r="B1994" t="s">
        <v>129</v>
      </c>
      <c r="C1994">
        <v>78806</v>
      </c>
      <c r="D1994">
        <v>2015</v>
      </c>
      <c r="E1994" t="s">
        <v>162</v>
      </c>
      <c r="F1994" t="s">
        <v>211</v>
      </c>
      <c r="G1994" t="s">
        <v>1163</v>
      </c>
      <c r="I1994">
        <v>4</v>
      </c>
      <c r="J1994" t="s">
        <v>135</v>
      </c>
      <c r="K1994">
        <v>4</v>
      </c>
      <c r="L1994" t="s">
        <v>44</v>
      </c>
      <c r="M1994">
        <v>1.8</v>
      </c>
      <c r="N1994" t="s">
        <v>45</v>
      </c>
      <c r="Q1994" t="s">
        <v>47</v>
      </c>
      <c r="R1994" t="s">
        <v>123</v>
      </c>
      <c r="U1994" t="s">
        <v>50</v>
      </c>
      <c r="W1994" t="s">
        <v>1023</v>
      </c>
      <c r="X1994" t="s">
        <v>125</v>
      </c>
      <c r="Y1994" t="s">
        <v>66</v>
      </c>
      <c r="AA1994">
        <v>0</v>
      </c>
      <c r="AB1994" t="s">
        <v>79</v>
      </c>
      <c r="AC1994" t="s">
        <v>127</v>
      </c>
      <c r="AD1994">
        <v>36</v>
      </c>
      <c r="AE1994">
        <v>9</v>
      </c>
      <c r="AF1994">
        <v>3</v>
      </c>
      <c r="AG1994">
        <v>2025</v>
      </c>
      <c r="AH1994" s="2">
        <v>6400</v>
      </c>
      <c r="AI1994" s="2">
        <v>4710.19970703125</v>
      </c>
      <c r="AJ1994" s="2">
        <f t="shared" si="250"/>
        <v>1689.80029296875</v>
      </c>
      <c r="AK1994" s="6">
        <f t="shared" si="251"/>
        <v>0.26403129577636719</v>
      </c>
      <c r="AL1994" s="12">
        <v>6400</v>
      </c>
      <c r="AM1994" s="12">
        <v>4669.0964052763829</v>
      </c>
      <c r="AN1994" s="12">
        <f t="shared" si="252"/>
        <v>1730.9035947236171</v>
      </c>
      <c r="AO1994" s="13">
        <f t="shared" si="253"/>
        <v>0.27045368667556519</v>
      </c>
      <c r="AP1994" s="16">
        <v>6400</v>
      </c>
      <c r="AQ1994" s="16">
        <v>3824.2115560907891</v>
      </c>
      <c r="AR1994" s="16">
        <f t="shared" si="254"/>
        <v>2575.7884439092109</v>
      </c>
      <c r="AS1994" s="17">
        <f t="shared" si="248"/>
        <v>0.4024669443608142</v>
      </c>
      <c r="AT1994" s="20">
        <v>6400</v>
      </c>
      <c r="AU1994" s="20">
        <v>4756.5283203125</v>
      </c>
      <c r="AV1994" s="20">
        <f t="shared" si="249"/>
        <v>1643.4716796875</v>
      </c>
      <c r="AW1994" s="21">
        <f t="shared" si="255"/>
        <v>0.2567924499511719</v>
      </c>
    </row>
    <row r="1995" spans="1:49" x14ac:dyDescent="0.25">
      <c r="A1995" t="s">
        <v>38</v>
      </c>
      <c r="B1995" t="s">
        <v>110</v>
      </c>
      <c r="C1995">
        <v>114176</v>
      </c>
      <c r="D1995">
        <v>2021</v>
      </c>
      <c r="E1995" t="s">
        <v>69</v>
      </c>
      <c r="F1995" t="s">
        <v>231</v>
      </c>
      <c r="H1995" t="s">
        <v>832</v>
      </c>
      <c r="I1995">
        <v>6</v>
      </c>
      <c r="J1995" t="s">
        <v>72</v>
      </c>
      <c r="K1995">
        <v>2</v>
      </c>
      <c r="L1995" t="s">
        <v>44</v>
      </c>
      <c r="M1995">
        <v>3.3</v>
      </c>
      <c r="N1995" t="s">
        <v>73</v>
      </c>
      <c r="Q1995" t="s">
        <v>74</v>
      </c>
      <c r="R1995" t="s">
        <v>92</v>
      </c>
      <c r="S1995" t="s">
        <v>49</v>
      </c>
      <c r="T1995">
        <v>290</v>
      </c>
      <c r="U1995" t="s">
        <v>50</v>
      </c>
      <c r="V1995" t="s">
        <v>76</v>
      </c>
      <c r="W1995" t="s">
        <v>904</v>
      </c>
      <c r="X1995" t="s">
        <v>94</v>
      </c>
      <c r="Y1995" t="s">
        <v>78</v>
      </c>
      <c r="AA1995">
        <v>0</v>
      </c>
      <c r="AB1995" t="s">
        <v>79</v>
      </c>
      <c r="AC1995" t="s">
        <v>95</v>
      </c>
      <c r="AD1995">
        <v>36</v>
      </c>
      <c r="AE1995">
        <v>9</v>
      </c>
      <c r="AF1995">
        <v>3</v>
      </c>
      <c r="AG1995">
        <v>2025</v>
      </c>
      <c r="AH1995" s="2">
        <v>11000</v>
      </c>
      <c r="AI1995" s="2">
        <v>16202.146484375</v>
      </c>
      <c r="AJ1995" s="2">
        <f t="shared" si="250"/>
        <v>5202.146484375</v>
      </c>
      <c r="AK1995" s="6">
        <f t="shared" si="251"/>
        <v>0.47292240767045457</v>
      </c>
      <c r="AL1995" s="12">
        <v>11000</v>
      </c>
      <c r="AM1995" s="12">
        <v>16510.78909981883</v>
      </c>
      <c r="AN1995" s="12">
        <f t="shared" si="252"/>
        <v>5510.7890998188304</v>
      </c>
      <c r="AO1995" s="13">
        <f t="shared" si="253"/>
        <v>0.50098082725625737</v>
      </c>
      <c r="AP1995" s="16">
        <v>11000</v>
      </c>
      <c r="AQ1995" s="16">
        <v>15631.43566803979</v>
      </c>
      <c r="AR1995" s="16">
        <f t="shared" si="254"/>
        <v>4631.4356680397905</v>
      </c>
      <c r="AS1995" s="17">
        <f t="shared" si="248"/>
        <v>0.42103960618543551</v>
      </c>
      <c r="AT1995" s="20">
        <v>11000</v>
      </c>
      <c r="AU1995" s="20">
        <v>16103.9970703125</v>
      </c>
      <c r="AV1995" s="20">
        <f t="shared" si="249"/>
        <v>5103.9970703125</v>
      </c>
      <c r="AW1995" s="21">
        <f t="shared" si="255"/>
        <v>0.46399973366477271</v>
      </c>
    </row>
    <row r="1996" spans="1:49" x14ac:dyDescent="0.25">
      <c r="A1996" t="s">
        <v>38</v>
      </c>
      <c r="B1996" t="s">
        <v>538</v>
      </c>
      <c r="C1996">
        <v>55321</v>
      </c>
      <c r="D1996">
        <v>2018</v>
      </c>
      <c r="E1996" t="s">
        <v>146</v>
      </c>
      <c r="F1996" t="s">
        <v>1572</v>
      </c>
      <c r="I1996">
        <v>6</v>
      </c>
      <c r="J1996" t="s">
        <v>72</v>
      </c>
      <c r="K1996">
        <v>2</v>
      </c>
      <c r="L1996" t="s">
        <v>44</v>
      </c>
      <c r="M1996">
        <v>3.7</v>
      </c>
      <c r="N1996" t="s">
        <v>73</v>
      </c>
      <c r="Q1996" t="s">
        <v>47</v>
      </c>
      <c r="R1996" t="s">
        <v>530</v>
      </c>
      <c r="S1996" t="s">
        <v>49</v>
      </c>
      <c r="T1996">
        <v>332</v>
      </c>
      <c r="U1996" t="s">
        <v>50</v>
      </c>
      <c r="V1996" t="s">
        <v>76</v>
      </c>
      <c r="X1996" t="s">
        <v>125</v>
      </c>
      <c r="Y1996" t="s">
        <v>54</v>
      </c>
      <c r="Z1996">
        <v>41820</v>
      </c>
      <c r="AA1996">
        <v>0</v>
      </c>
      <c r="AB1996" t="s">
        <v>79</v>
      </c>
      <c r="AC1996" t="s">
        <v>531</v>
      </c>
      <c r="AD1996">
        <v>36</v>
      </c>
      <c r="AE1996">
        <v>9</v>
      </c>
      <c r="AF1996">
        <v>3</v>
      </c>
      <c r="AG1996">
        <v>2025</v>
      </c>
      <c r="AH1996" s="2">
        <v>22000</v>
      </c>
      <c r="AI1996" s="2">
        <v>20547.828125</v>
      </c>
      <c r="AJ1996" s="2">
        <f t="shared" si="250"/>
        <v>1452.171875</v>
      </c>
      <c r="AK1996" s="6">
        <f t="shared" si="251"/>
        <v>6.6007812499999999E-2</v>
      </c>
      <c r="AL1996" s="12">
        <v>22000</v>
      </c>
      <c r="AM1996" s="12">
        <v>20438.92156417467</v>
      </c>
      <c r="AN1996" s="12">
        <f t="shared" si="252"/>
        <v>1561.0784358253295</v>
      </c>
      <c r="AO1996" s="13">
        <f t="shared" si="253"/>
        <v>7.0958110719333153E-2</v>
      </c>
      <c r="AP1996" s="16">
        <v>22000</v>
      </c>
      <c r="AQ1996" s="16">
        <v>17125.258005342668</v>
      </c>
      <c r="AR1996" s="16">
        <f t="shared" si="254"/>
        <v>4874.7419946573318</v>
      </c>
      <c r="AS1996" s="17">
        <f t="shared" si="248"/>
        <v>0.22157918157533327</v>
      </c>
      <c r="AT1996" s="20">
        <v>22000</v>
      </c>
      <c r="AU1996" s="20">
        <v>20309.568359375</v>
      </c>
      <c r="AV1996" s="20">
        <f t="shared" si="249"/>
        <v>1690.431640625</v>
      </c>
      <c r="AW1996" s="21">
        <f t="shared" si="255"/>
        <v>7.6837801846590906E-2</v>
      </c>
    </row>
    <row r="1997" spans="1:49" x14ac:dyDescent="0.25">
      <c r="A1997" t="s">
        <v>38</v>
      </c>
      <c r="B1997" t="s">
        <v>110</v>
      </c>
      <c r="C1997">
        <v>92985</v>
      </c>
      <c r="D1997">
        <v>2021</v>
      </c>
      <c r="E1997" t="s">
        <v>58</v>
      </c>
      <c r="F1997" t="s">
        <v>243</v>
      </c>
      <c r="G1997" t="s">
        <v>1240</v>
      </c>
      <c r="I1997">
        <v>4</v>
      </c>
      <c r="J1997" t="s">
        <v>135</v>
      </c>
      <c r="K1997">
        <v>4</v>
      </c>
      <c r="L1997" t="s">
        <v>44</v>
      </c>
      <c r="M1997">
        <v>2</v>
      </c>
      <c r="N1997" t="s">
        <v>45</v>
      </c>
      <c r="O1997" t="s">
        <v>46</v>
      </c>
      <c r="P1997">
        <v>2</v>
      </c>
      <c r="Q1997" t="s">
        <v>47</v>
      </c>
      <c r="R1997" t="s">
        <v>123</v>
      </c>
      <c r="S1997" t="s">
        <v>101</v>
      </c>
      <c r="T1997">
        <v>147</v>
      </c>
      <c r="U1997" t="s">
        <v>50</v>
      </c>
      <c r="W1997" t="s">
        <v>463</v>
      </c>
      <c r="X1997" t="s">
        <v>125</v>
      </c>
      <c r="Y1997" t="s">
        <v>126</v>
      </c>
      <c r="AA1997">
        <v>0</v>
      </c>
      <c r="AB1997" t="s">
        <v>79</v>
      </c>
      <c r="AC1997" t="s">
        <v>127</v>
      </c>
      <c r="AD1997">
        <v>36</v>
      </c>
      <c r="AE1997">
        <v>9</v>
      </c>
      <c r="AF1997">
        <v>3</v>
      </c>
      <c r="AG1997">
        <v>2025</v>
      </c>
      <c r="AH1997" s="2">
        <v>7900</v>
      </c>
      <c r="AI1997" s="2">
        <v>6389.78466796875</v>
      </c>
      <c r="AJ1997" s="2">
        <f t="shared" si="250"/>
        <v>1510.21533203125</v>
      </c>
      <c r="AK1997" s="6">
        <f t="shared" si="251"/>
        <v>0.19116649772547467</v>
      </c>
      <c r="AL1997" s="12">
        <v>7900</v>
      </c>
      <c r="AM1997" s="12">
        <v>6336.880229647194</v>
      </c>
      <c r="AN1997" s="12">
        <f t="shared" si="252"/>
        <v>1563.119770352806</v>
      </c>
      <c r="AO1997" s="13">
        <f t="shared" si="253"/>
        <v>0.19786326206997543</v>
      </c>
      <c r="AP1997" s="16">
        <v>7900</v>
      </c>
      <c r="AQ1997" s="16">
        <v>5739.5824146622472</v>
      </c>
      <c r="AR1997" s="16">
        <f t="shared" si="254"/>
        <v>2160.4175853377528</v>
      </c>
      <c r="AS1997" s="17">
        <f t="shared" si="248"/>
        <v>0.27347058042250033</v>
      </c>
      <c r="AT1997" s="20">
        <v>7900</v>
      </c>
      <c r="AU1997" s="20">
        <v>6461.33837890625</v>
      </c>
      <c r="AV1997" s="20">
        <f t="shared" si="249"/>
        <v>1438.66162109375</v>
      </c>
      <c r="AW1997" s="21">
        <f t="shared" si="255"/>
        <v>0.18210906596123419</v>
      </c>
    </row>
    <row r="1998" spans="1:49" x14ac:dyDescent="0.25">
      <c r="A1998" t="s">
        <v>38</v>
      </c>
      <c r="B1998" t="s">
        <v>68</v>
      </c>
      <c r="C1998">
        <v>72519</v>
      </c>
      <c r="D1998">
        <v>2023</v>
      </c>
      <c r="E1998" t="s">
        <v>263</v>
      </c>
      <c r="F1998" t="s">
        <v>1241</v>
      </c>
      <c r="G1998" t="s">
        <v>1573</v>
      </c>
      <c r="I1998">
        <v>4</v>
      </c>
      <c r="J1998" t="s">
        <v>106</v>
      </c>
      <c r="K1998">
        <v>4</v>
      </c>
      <c r="L1998" t="s">
        <v>44</v>
      </c>
      <c r="M1998">
        <v>2.5</v>
      </c>
      <c r="N1998" t="s">
        <v>44</v>
      </c>
      <c r="O1998" t="s">
        <v>46</v>
      </c>
      <c r="P1998">
        <v>3</v>
      </c>
      <c r="Q1998" t="s">
        <v>62</v>
      </c>
      <c r="R1998" t="s">
        <v>63</v>
      </c>
      <c r="S1998" t="s">
        <v>93</v>
      </c>
      <c r="T1998">
        <v>227</v>
      </c>
      <c r="U1998" t="s">
        <v>50</v>
      </c>
      <c r="V1998" t="s">
        <v>51</v>
      </c>
      <c r="W1998" t="s">
        <v>266</v>
      </c>
      <c r="X1998" t="s">
        <v>141</v>
      </c>
      <c r="Y1998" t="s">
        <v>54</v>
      </c>
      <c r="AA1998">
        <v>0</v>
      </c>
      <c r="AB1998" t="s">
        <v>79</v>
      </c>
      <c r="AC1998" t="s">
        <v>109</v>
      </c>
      <c r="AD1998">
        <v>36</v>
      </c>
      <c r="AE1998">
        <v>9</v>
      </c>
      <c r="AF1998">
        <v>3</v>
      </c>
      <c r="AG1998">
        <v>2025</v>
      </c>
      <c r="AH1998" s="2">
        <v>20250</v>
      </c>
      <c r="AI1998" s="2">
        <v>22407.203125</v>
      </c>
      <c r="AJ1998" s="2">
        <f t="shared" si="250"/>
        <v>2157.203125</v>
      </c>
      <c r="AK1998" s="6">
        <f t="shared" si="251"/>
        <v>0.10652854938271605</v>
      </c>
      <c r="AL1998" s="12">
        <v>20250</v>
      </c>
      <c r="AM1998" s="12">
        <v>21374.00885196291</v>
      </c>
      <c r="AN1998" s="12">
        <f t="shared" si="252"/>
        <v>1124.0088519629098</v>
      </c>
      <c r="AO1998" s="13">
        <f t="shared" si="253"/>
        <v>5.5506609973477027E-2</v>
      </c>
      <c r="AP1998" s="16">
        <v>20250</v>
      </c>
      <c r="AQ1998" s="16">
        <v>17218.850432174739</v>
      </c>
      <c r="AR1998" s="16">
        <f t="shared" si="254"/>
        <v>3031.1495678252613</v>
      </c>
      <c r="AS1998" s="17">
        <f t="shared" si="248"/>
        <v>0.14968639841112402</v>
      </c>
      <c r="AT1998" s="20">
        <v>20250</v>
      </c>
      <c r="AU1998" s="20">
        <v>22000.419921875</v>
      </c>
      <c r="AV1998" s="20">
        <f t="shared" si="249"/>
        <v>1750.419921875</v>
      </c>
      <c r="AW1998" s="21">
        <f t="shared" si="255"/>
        <v>8.6440489969135809E-2</v>
      </c>
    </row>
    <row r="1999" spans="1:49" x14ac:dyDescent="0.25">
      <c r="A1999" t="s">
        <v>38</v>
      </c>
      <c r="B1999" t="s">
        <v>68</v>
      </c>
      <c r="C1999">
        <v>262749</v>
      </c>
      <c r="D1999">
        <v>2015</v>
      </c>
      <c r="E1999" t="s">
        <v>174</v>
      </c>
      <c r="F1999" t="s">
        <v>175</v>
      </c>
      <c r="G1999" t="s">
        <v>176</v>
      </c>
      <c r="H1999" t="s">
        <v>177</v>
      </c>
      <c r="I1999">
        <v>8</v>
      </c>
      <c r="J1999" t="s">
        <v>61</v>
      </c>
      <c r="K1999">
        <v>4</v>
      </c>
      <c r="L1999" t="s">
        <v>44</v>
      </c>
      <c r="M1999">
        <v>5.3</v>
      </c>
      <c r="N1999" t="s">
        <v>91</v>
      </c>
      <c r="O1999" t="s">
        <v>46</v>
      </c>
      <c r="Q1999" t="s">
        <v>62</v>
      </c>
      <c r="R1999" t="s">
        <v>63</v>
      </c>
      <c r="S1999" t="s">
        <v>93</v>
      </c>
      <c r="U1999" t="s">
        <v>50</v>
      </c>
      <c r="W1999" t="s">
        <v>473</v>
      </c>
      <c r="X1999" t="s">
        <v>108</v>
      </c>
      <c r="Y1999" t="s">
        <v>78</v>
      </c>
      <c r="AA1999">
        <v>0</v>
      </c>
      <c r="AB1999" t="s">
        <v>79</v>
      </c>
      <c r="AC1999" t="s">
        <v>87</v>
      </c>
      <c r="AD1999">
        <v>36</v>
      </c>
      <c r="AE1999">
        <v>9</v>
      </c>
      <c r="AF1999">
        <v>3</v>
      </c>
      <c r="AG1999">
        <v>2025</v>
      </c>
      <c r="AH1999" s="2">
        <v>6000</v>
      </c>
      <c r="AI1999" s="2">
        <v>5670.00537109375</v>
      </c>
      <c r="AJ1999" s="2">
        <f t="shared" si="250"/>
        <v>329.99462890625</v>
      </c>
      <c r="AK1999" s="6">
        <f t="shared" si="251"/>
        <v>5.4999104817708332E-2</v>
      </c>
      <c r="AL1999" s="12">
        <v>6000</v>
      </c>
      <c r="AM1999" s="12">
        <v>6166.7901627119754</v>
      </c>
      <c r="AN1999" s="12">
        <f t="shared" si="252"/>
        <v>166.79016271197543</v>
      </c>
      <c r="AO1999" s="13">
        <f t="shared" si="253"/>
        <v>2.7798360451995904E-2</v>
      </c>
      <c r="AP1999" s="16">
        <v>6000</v>
      </c>
      <c r="AQ1999" s="16">
        <v>6087.7809221620264</v>
      </c>
      <c r="AR1999" s="16">
        <f t="shared" si="254"/>
        <v>87.7809221620264</v>
      </c>
      <c r="AS1999" s="17">
        <f t="shared" si="248"/>
        <v>1.4630153693671067E-2</v>
      </c>
      <c r="AT1999" s="20">
        <v>6000</v>
      </c>
      <c r="AU1999" s="20">
        <v>5759.431640625</v>
      </c>
      <c r="AV1999" s="20">
        <f t="shared" si="249"/>
        <v>240.568359375</v>
      </c>
      <c r="AW1999" s="21">
        <f t="shared" si="255"/>
        <v>4.0094726562500002E-2</v>
      </c>
    </row>
    <row r="2000" spans="1:49" x14ac:dyDescent="0.25">
      <c r="A2000" t="s">
        <v>38</v>
      </c>
      <c r="B2000" t="s">
        <v>110</v>
      </c>
      <c r="C2000">
        <v>153613</v>
      </c>
      <c r="D2000">
        <v>2016</v>
      </c>
      <c r="E2000" t="s">
        <v>388</v>
      </c>
      <c r="F2000" t="s">
        <v>389</v>
      </c>
      <c r="G2000" t="s">
        <v>653</v>
      </c>
      <c r="H2000" t="s">
        <v>1574</v>
      </c>
      <c r="I2000">
        <v>4</v>
      </c>
      <c r="J2000" t="s">
        <v>106</v>
      </c>
      <c r="K2000">
        <v>4</v>
      </c>
      <c r="L2000" t="s">
        <v>44</v>
      </c>
      <c r="M2000">
        <v>2.4</v>
      </c>
      <c r="N2000" t="s">
        <v>45</v>
      </c>
      <c r="Q2000" t="s">
        <v>62</v>
      </c>
      <c r="R2000" t="s">
        <v>63</v>
      </c>
      <c r="S2000" t="s">
        <v>49</v>
      </c>
      <c r="U2000" t="s">
        <v>50</v>
      </c>
      <c r="W2000" t="s">
        <v>438</v>
      </c>
      <c r="X2000" t="s">
        <v>65</v>
      </c>
      <c r="Y2000" t="s">
        <v>54</v>
      </c>
      <c r="AA2000">
        <v>0</v>
      </c>
      <c r="AB2000" t="s">
        <v>79</v>
      </c>
      <c r="AC2000" t="s">
        <v>87</v>
      </c>
      <c r="AD2000">
        <v>36</v>
      </c>
      <c r="AE2000">
        <v>9</v>
      </c>
      <c r="AF2000">
        <v>3</v>
      </c>
      <c r="AG2000">
        <v>2025</v>
      </c>
      <c r="AH2000" s="2">
        <v>1600</v>
      </c>
      <c r="AI2000" s="2">
        <v>2344.84228515625</v>
      </c>
      <c r="AJ2000" s="2">
        <f t="shared" si="250"/>
        <v>744.84228515625</v>
      </c>
      <c r="AK2000" s="6">
        <f t="shared" si="251"/>
        <v>0.46552642822265627</v>
      </c>
      <c r="AL2000" s="12">
        <v>1600</v>
      </c>
      <c r="AM2000" s="12">
        <v>2392.797310093893</v>
      </c>
      <c r="AN2000" s="12">
        <f t="shared" si="252"/>
        <v>792.79731009389297</v>
      </c>
      <c r="AO2000" s="13">
        <f t="shared" si="253"/>
        <v>0.49549831880868311</v>
      </c>
      <c r="AP2000" s="16">
        <v>1600</v>
      </c>
      <c r="AQ2000" s="16">
        <v>1981.944659064211</v>
      </c>
      <c r="AR2000" s="16">
        <f t="shared" si="254"/>
        <v>381.94465906421101</v>
      </c>
      <c r="AS2000" s="17">
        <f t="shared" si="248"/>
        <v>0.23871541191513188</v>
      </c>
      <c r="AT2000" s="20">
        <v>1600</v>
      </c>
      <c r="AU2000" s="20">
        <v>2373.1826171875</v>
      </c>
      <c r="AV2000" s="20">
        <f t="shared" si="249"/>
        <v>773.1826171875</v>
      </c>
      <c r="AW2000" s="21">
        <f t="shared" si="255"/>
        <v>0.48323913574218752</v>
      </c>
    </row>
    <row r="2001" spans="1:49" x14ac:dyDescent="0.25">
      <c r="A2001" t="s">
        <v>128</v>
      </c>
      <c r="B2001" t="s">
        <v>129</v>
      </c>
      <c r="C2001">
        <v>161209</v>
      </c>
      <c r="D2001">
        <v>2014</v>
      </c>
      <c r="E2001" t="s">
        <v>97</v>
      </c>
      <c r="F2001" t="s">
        <v>470</v>
      </c>
      <c r="G2001" t="s">
        <v>199</v>
      </c>
      <c r="I2001">
        <v>4</v>
      </c>
      <c r="J2001" t="s">
        <v>61</v>
      </c>
      <c r="K2001">
        <v>4</v>
      </c>
      <c r="L2001" t="s">
        <v>44</v>
      </c>
      <c r="M2001">
        <v>2.5</v>
      </c>
      <c r="N2001" t="s">
        <v>45</v>
      </c>
      <c r="O2001" t="s">
        <v>46</v>
      </c>
      <c r="Q2001" t="s">
        <v>47</v>
      </c>
      <c r="R2001" t="s">
        <v>123</v>
      </c>
      <c r="U2001" t="s">
        <v>50</v>
      </c>
      <c r="V2001" t="s">
        <v>51</v>
      </c>
      <c r="W2001" t="s">
        <v>1496</v>
      </c>
      <c r="X2001" t="s">
        <v>125</v>
      </c>
      <c r="Y2001" t="s">
        <v>78</v>
      </c>
      <c r="AA2001">
        <v>0</v>
      </c>
      <c r="AB2001" t="s">
        <v>79</v>
      </c>
      <c r="AC2001" t="s">
        <v>127</v>
      </c>
      <c r="AD2001">
        <v>36</v>
      </c>
      <c r="AE2001">
        <v>9</v>
      </c>
      <c r="AF2001">
        <v>3</v>
      </c>
      <c r="AG2001">
        <v>2025</v>
      </c>
      <c r="AH2001" s="2">
        <v>1700</v>
      </c>
      <c r="AI2001" s="2">
        <v>2178.406982421875</v>
      </c>
      <c r="AJ2001" s="2">
        <f t="shared" si="250"/>
        <v>478.406982421875</v>
      </c>
      <c r="AK2001" s="6">
        <f t="shared" si="251"/>
        <v>0.28141587201286766</v>
      </c>
      <c r="AL2001" s="12">
        <v>1700</v>
      </c>
      <c r="AM2001" s="12">
        <v>1927.4083231043701</v>
      </c>
      <c r="AN2001" s="12">
        <f t="shared" si="252"/>
        <v>227.40832310437008</v>
      </c>
      <c r="AO2001" s="13">
        <f t="shared" si="253"/>
        <v>0.13376960182610004</v>
      </c>
      <c r="AP2001" s="16">
        <v>1700</v>
      </c>
      <c r="AQ2001" s="16">
        <v>1719.5333665864321</v>
      </c>
      <c r="AR2001" s="16">
        <f t="shared" si="254"/>
        <v>19.533366586432066</v>
      </c>
      <c r="AS2001" s="17">
        <f t="shared" si="248"/>
        <v>1.1490215639077686E-2</v>
      </c>
      <c r="AT2001" s="20">
        <v>1700</v>
      </c>
      <c r="AU2001" s="20">
        <v>2155.523681640625</v>
      </c>
      <c r="AV2001" s="20">
        <f t="shared" si="249"/>
        <v>455.523681640625</v>
      </c>
      <c r="AW2001" s="21">
        <f t="shared" si="255"/>
        <v>0.26795510684742646</v>
      </c>
    </row>
    <row r="2002" spans="1:49" x14ac:dyDescent="0.25">
      <c r="A2002" t="s">
        <v>38</v>
      </c>
      <c r="B2002" t="s">
        <v>96</v>
      </c>
      <c r="C2002">
        <v>68586</v>
      </c>
      <c r="D2002">
        <v>2022</v>
      </c>
      <c r="E2002" t="s">
        <v>97</v>
      </c>
      <c r="F2002" t="s">
        <v>1575</v>
      </c>
      <c r="G2002" t="s">
        <v>432</v>
      </c>
      <c r="H2002" t="s">
        <v>89</v>
      </c>
      <c r="I2002">
        <v>8</v>
      </c>
      <c r="J2002" t="s">
        <v>61</v>
      </c>
      <c r="K2002">
        <v>4</v>
      </c>
      <c r="L2002" t="s">
        <v>44</v>
      </c>
      <c r="M2002">
        <v>5.3</v>
      </c>
      <c r="N2002" t="s">
        <v>91</v>
      </c>
      <c r="O2002" t="s">
        <v>46</v>
      </c>
      <c r="P2002">
        <v>3</v>
      </c>
      <c r="Q2002" t="s">
        <v>74</v>
      </c>
      <c r="R2002" t="s">
        <v>92</v>
      </c>
      <c r="S2002" t="s">
        <v>93</v>
      </c>
      <c r="U2002" t="s">
        <v>50</v>
      </c>
      <c r="W2002" t="s">
        <v>161</v>
      </c>
      <c r="X2002" t="s">
        <v>108</v>
      </c>
      <c r="Y2002" t="s">
        <v>126</v>
      </c>
      <c r="AA2002">
        <v>0</v>
      </c>
      <c r="AB2002" t="s">
        <v>79</v>
      </c>
      <c r="AC2002" t="s">
        <v>95</v>
      </c>
      <c r="AD2002">
        <v>36</v>
      </c>
      <c r="AE2002">
        <v>9</v>
      </c>
      <c r="AF2002">
        <v>3</v>
      </c>
      <c r="AG2002">
        <v>2025</v>
      </c>
      <c r="AH2002" s="2">
        <v>34000</v>
      </c>
      <c r="AI2002" s="2">
        <v>35511.77734375</v>
      </c>
      <c r="AJ2002" s="2">
        <f t="shared" si="250"/>
        <v>1511.77734375</v>
      </c>
      <c r="AK2002" s="6">
        <f t="shared" si="251"/>
        <v>4.4464039522058824E-2</v>
      </c>
      <c r="AL2002" s="12">
        <v>34000</v>
      </c>
      <c r="AM2002" s="12">
        <v>37342.615936603957</v>
      </c>
      <c r="AN2002" s="12">
        <f t="shared" si="252"/>
        <v>3342.6159366039574</v>
      </c>
      <c r="AO2002" s="13">
        <f t="shared" si="253"/>
        <v>9.8312233429528162E-2</v>
      </c>
      <c r="AP2002" s="16">
        <v>34000</v>
      </c>
      <c r="AQ2002" s="16">
        <v>30417.26085930358</v>
      </c>
      <c r="AR2002" s="16">
        <f t="shared" si="254"/>
        <v>3582.7391406964198</v>
      </c>
      <c r="AS2002" s="17">
        <f t="shared" si="248"/>
        <v>0.10537468060871823</v>
      </c>
      <c r="AT2002" s="20">
        <v>34000</v>
      </c>
      <c r="AU2002" s="20">
        <v>35646.859375</v>
      </c>
      <c r="AV2002" s="20">
        <f t="shared" si="249"/>
        <v>1646.859375</v>
      </c>
      <c r="AW2002" s="21">
        <f t="shared" si="255"/>
        <v>4.8437040441176471E-2</v>
      </c>
    </row>
    <row r="2003" spans="1:49" x14ac:dyDescent="0.25">
      <c r="A2003" t="s">
        <v>81</v>
      </c>
      <c r="B2003" t="s">
        <v>82</v>
      </c>
      <c r="C2003">
        <v>159583</v>
      </c>
      <c r="D2003">
        <v>2008</v>
      </c>
      <c r="E2003" t="s">
        <v>162</v>
      </c>
      <c r="F2003" t="s">
        <v>532</v>
      </c>
      <c r="I2003">
        <v>6</v>
      </c>
      <c r="J2003" t="s">
        <v>43</v>
      </c>
      <c r="K2003">
        <v>4</v>
      </c>
      <c r="L2003" t="s">
        <v>44</v>
      </c>
      <c r="M2003">
        <v>2.7</v>
      </c>
      <c r="N2003" t="s">
        <v>45</v>
      </c>
      <c r="O2003" t="s">
        <v>46</v>
      </c>
      <c r="Q2003" t="s">
        <v>62</v>
      </c>
      <c r="R2003" t="s">
        <v>63</v>
      </c>
      <c r="S2003" t="s">
        <v>101</v>
      </c>
      <c r="T2003">
        <v>185</v>
      </c>
      <c r="U2003" t="s">
        <v>50</v>
      </c>
      <c r="V2003" t="s">
        <v>76</v>
      </c>
      <c r="X2003" t="s">
        <v>141</v>
      </c>
      <c r="Y2003" t="s">
        <v>78</v>
      </c>
      <c r="AA2003">
        <v>0</v>
      </c>
      <c r="AB2003" t="s">
        <v>79</v>
      </c>
      <c r="AC2003" t="s">
        <v>87</v>
      </c>
      <c r="AD2003">
        <v>36</v>
      </c>
      <c r="AE2003">
        <v>9</v>
      </c>
      <c r="AF2003">
        <v>3</v>
      </c>
      <c r="AG2003">
        <v>2025</v>
      </c>
      <c r="AH2003" s="2">
        <v>850</v>
      </c>
      <c r="AI2003" s="2">
        <v>971.2652587890625</v>
      </c>
      <c r="AJ2003" s="2">
        <f t="shared" si="250"/>
        <v>121.2652587890625</v>
      </c>
      <c r="AK2003" s="6">
        <f t="shared" si="251"/>
        <v>0.14266501034007353</v>
      </c>
      <c r="AL2003" s="12">
        <v>850</v>
      </c>
      <c r="AM2003" s="12">
        <v>1053.2527266281729</v>
      </c>
      <c r="AN2003" s="12">
        <f t="shared" si="252"/>
        <v>203.25272662817292</v>
      </c>
      <c r="AO2003" s="13">
        <f t="shared" si="253"/>
        <v>0.23912085485667403</v>
      </c>
      <c r="AP2003" s="16">
        <v>850</v>
      </c>
      <c r="AQ2003" s="16">
        <v>826.01677311821834</v>
      </c>
      <c r="AR2003" s="16">
        <f t="shared" si="254"/>
        <v>23.983226881781661</v>
      </c>
      <c r="AS2003" s="17">
        <f t="shared" si="248"/>
        <v>2.8215561037390188E-2</v>
      </c>
      <c r="AT2003" s="20">
        <v>850</v>
      </c>
      <c r="AU2003" s="20">
        <v>946.81951904296875</v>
      </c>
      <c r="AV2003" s="20">
        <f t="shared" si="249"/>
        <v>96.81951904296875</v>
      </c>
      <c r="AW2003" s="21">
        <f t="shared" si="255"/>
        <v>0.11390531652113971</v>
      </c>
    </row>
    <row r="2004" spans="1:49" x14ac:dyDescent="0.25">
      <c r="A2004" t="s">
        <v>38</v>
      </c>
      <c r="B2004" t="s">
        <v>39</v>
      </c>
      <c r="C2004">
        <v>170859</v>
      </c>
      <c r="D2004">
        <v>2011</v>
      </c>
      <c r="E2004" t="s">
        <v>119</v>
      </c>
      <c r="F2004" t="s">
        <v>1576</v>
      </c>
      <c r="I2004">
        <v>4</v>
      </c>
      <c r="J2004" t="s">
        <v>122</v>
      </c>
      <c r="K2004">
        <v>4</v>
      </c>
      <c r="L2004" t="s">
        <v>44</v>
      </c>
      <c r="M2004">
        <v>2</v>
      </c>
      <c r="N2004" t="s">
        <v>45</v>
      </c>
      <c r="O2004" t="s">
        <v>46</v>
      </c>
      <c r="Q2004" t="s">
        <v>47</v>
      </c>
      <c r="R2004" t="s">
        <v>48</v>
      </c>
      <c r="T2004">
        <v>200</v>
      </c>
      <c r="U2004" t="s">
        <v>50</v>
      </c>
      <c r="X2004" t="s">
        <v>125</v>
      </c>
      <c r="Y2004" t="s">
        <v>137</v>
      </c>
      <c r="AA2004">
        <v>0</v>
      </c>
      <c r="AB2004" t="s">
        <v>79</v>
      </c>
      <c r="AC2004" t="s">
        <v>359</v>
      </c>
      <c r="AD2004">
        <v>36</v>
      </c>
      <c r="AE2004">
        <v>9</v>
      </c>
      <c r="AF2004">
        <v>3</v>
      </c>
      <c r="AG2004">
        <v>2025</v>
      </c>
      <c r="AH2004" s="2">
        <v>4900</v>
      </c>
      <c r="AI2004" s="2">
        <v>1614.718627929688</v>
      </c>
      <c r="AJ2004" s="2">
        <f t="shared" si="250"/>
        <v>3285.281372070312</v>
      </c>
      <c r="AK2004" s="6">
        <f t="shared" si="251"/>
        <v>0.67046558613679841</v>
      </c>
      <c r="AL2004" s="12">
        <v>4900</v>
      </c>
      <c r="AM2004" s="12">
        <v>1376.209405693344</v>
      </c>
      <c r="AN2004" s="12">
        <f t="shared" si="252"/>
        <v>3523.7905943066562</v>
      </c>
      <c r="AO2004" s="13">
        <f t="shared" si="253"/>
        <v>0.71914093761360331</v>
      </c>
      <c r="AP2004" s="16">
        <v>4900</v>
      </c>
      <c r="AQ2004" s="16">
        <v>1505.792928171827</v>
      </c>
      <c r="AR2004" s="16">
        <f t="shared" si="254"/>
        <v>3394.207071828173</v>
      </c>
      <c r="AS2004" s="17">
        <f t="shared" si="248"/>
        <v>0.69269532078125984</v>
      </c>
      <c r="AT2004" s="20">
        <v>4900</v>
      </c>
      <c r="AU2004" s="20">
        <v>1600.716064453125</v>
      </c>
      <c r="AV2004" s="20">
        <f t="shared" si="249"/>
        <v>3299.283935546875</v>
      </c>
      <c r="AW2004" s="21">
        <f t="shared" si="255"/>
        <v>0.6733232521524235</v>
      </c>
    </row>
    <row r="2005" spans="1:49" x14ac:dyDescent="0.25">
      <c r="A2005" t="s">
        <v>128</v>
      </c>
      <c r="B2005" t="s">
        <v>129</v>
      </c>
      <c r="C2005">
        <v>116736</v>
      </c>
      <c r="D2005">
        <v>2014</v>
      </c>
      <c r="E2005" t="s">
        <v>69</v>
      </c>
      <c r="F2005" t="s">
        <v>250</v>
      </c>
      <c r="H2005" t="s">
        <v>190</v>
      </c>
      <c r="I2005">
        <v>4</v>
      </c>
      <c r="J2005" t="s">
        <v>72</v>
      </c>
      <c r="K2005">
        <v>4</v>
      </c>
      <c r="L2005" t="s">
        <v>44</v>
      </c>
      <c r="M2005">
        <v>2.5</v>
      </c>
      <c r="N2005" t="s">
        <v>45</v>
      </c>
      <c r="Q2005" t="s">
        <v>62</v>
      </c>
      <c r="R2005" t="s">
        <v>63</v>
      </c>
      <c r="S2005" t="s">
        <v>49</v>
      </c>
      <c r="T2005">
        <v>168</v>
      </c>
      <c r="U2005" t="s">
        <v>50</v>
      </c>
      <c r="V2005" t="s">
        <v>51</v>
      </c>
      <c r="X2005" t="s">
        <v>65</v>
      </c>
      <c r="Y2005" t="s">
        <v>78</v>
      </c>
      <c r="AA2005">
        <v>0</v>
      </c>
      <c r="AB2005" t="s">
        <v>79</v>
      </c>
      <c r="AC2005" t="s">
        <v>87</v>
      </c>
      <c r="AD2005">
        <v>36</v>
      </c>
      <c r="AE2005">
        <v>9</v>
      </c>
      <c r="AF2005">
        <v>3</v>
      </c>
      <c r="AG2005">
        <v>2025</v>
      </c>
      <c r="AH2005" s="2">
        <v>5700</v>
      </c>
      <c r="AI2005" s="2">
        <v>3095.3525390625</v>
      </c>
      <c r="AJ2005" s="2">
        <f t="shared" si="250"/>
        <v>2604.6474609375</v>
      </c>
      <c r="AK2005" s="6">
        <f t="shared" si="251"/>
        <v>0.45695569490131577</v>
      </c>
      <c r="AL2005" s="12">
        <v>5700</v>
      </c>
      <c r="AM2005" s="12">
        <v>3000.3010503575101</v>
      </c>
      <c r="AN2005" s="12">
        <f t="shared" si="252"/>
        <v>2699.6989496424899</v>
      </c>
      <c r="AO2005" s="13">
        <f t="shared" si="253"/>
        <v>0.47363139467412102</v>
      </c>
      <c r="AP2005" s="16">
        <v>5700</v>
      </c>
      <c r="AQ2005" s="16">
        <v>2610.6990425728959</v>
      </c>
      <c r="AR2005" s="16">
        <f t="shared" si="254"/>
        <v>3089.3009574271041</v>
      </c>
      <c r="AS2005" s="17">
        <f t="shared" si="248"/>
        <v>0.5419826241100183</v>
      </c>
      <c r="AT2005" s="20">
        <v>5700</v>
      </c>
      <c r="AU2005" s="20">
        <v>3114.279296875</v>
      </c>
      <c r="AV2005" s="20">
        <f t="shared" si="249"/>
        <v>2585.720703125</v>
      </c>
      <c r="AW2005" s="21">
        <f t="shared" si="255"/>
        <v>0.4536352110745614</v>
      </c>
    </row>
    <row r="2006" spans="1:49" x14ac:dyDescent="0.25">
      <c r="A2006" t="s">
        <v>81</v>
      </c>
      <c r="B2006" t="s">
        <v>501</v>
      </c>
      <c r="C2006">
        <v>122778</v>
      </c>
      <c r="D2006">
        <v>2012</v>
      </c>
      <c r="E2006" t="s">
        <v>40</v>
      </c>
      <c r="F2006" t="s">
        <v>201</v>
      </c>
      <c r="H2006" t="s">
        <v>496</v>
      </c>
      <c r="I2006">
        <v>4</v>
      </c>
      <c r="J2006" t="s">
        <v>135</v>
      </c>
      <c r="K2006">
        <v>4</v>
      </c>
      <c r="L2006" t="s">
        <v>44</v>
      </c>
      <c r="M2006">
        <v>1.8</v>
      </c>
      <c r="N2006" t="s">
        <v>45</v>
      </c>
      <c r="Q2006" t="s">
        <v>47</v>
      </c>
      <c r="R2006" t="s">
        <v>123</v>
      </c>
      <c r="S2006" t="s">
        <v>49</v>
      </c>
      <c r="T2006">
        <v>132</v>
      </c>
      <c r="U2006" t="s">
        <v>50</v>
      </c>
      <c r="V2006" t="s">
        <v>51</v>
      </c>
      <c r="W2006" t="s">
        <v>204</v>
      </c>
      <c r="X2006" t="s">
        <v>125</v>
      </c>
      <c r="Y2006" t="s">
        <v>78</v>
      </c>
      <c r="AA2006">
        <v>0</v>
      </c>
      <c r="AB2006" t="s">
        <v>79</v>
      </c>
      <c r="AC2006" t="s">
        <v>127</v>
      </c>
      <c r="AD2006">
        <v>36</v>
      </c>
      <c r="AE2006">
        <v>9</v>
      </c>
      <c r="AF2006">
        <v>3</v>
      </c>
      <c r="AG2006">
        <v>2025</v>
      </c>
      <c r="AH2006" s="2">
        <v>4200</v>
      </c>
      <c r="AI2006" s="2">
        <v>3498.971435546875</v>
      </c>
      <c r="AJ2006" s="2">
        <f t="shared" si="250"/>
        <v>701.028564453125</v>
      </c>
      <c r="AK2006" s="6">
        <f t="shared" si="251"/>
        <v>0.16691156296502976</v>
      </c>
      <c r="AL2006" s="12">
        <v>4200</v>
      </c>
      <c r="AM2006" s="12">
        <v>3239.6426362595198</v>
      </c>
      <c r="AN2006" s="12">
        <f t="shared" si="252"/>
        <v>960.3573637404802</v>
      </c>
      <c r="AO2006" s="13">
        <f t="shared" si="253"/>
        <v>0.22865651517630481</v>
      </c>
      <c r="AP2006" s="16">
        <v>4200</v>
      </c>
      <c r="AQ2006" s="16">
        <v>2952.5663570176512</v>
      </c>
      <c r="AR2006" s="16">
        <f t="shared" si="254"/>
        <v>1247.4336429823488</v>
      </c>
      <c r="AS2006" s="17">
        <f t="shared" si="248"/>
        <v>0.29700801023389256</v>
      </c>
      <c r="AT2006" s="20">
        <v>4200</v>
      </c>
      <c r="AU2006" s="20">
        <v>3529.3701171875</v>
      </c>
      <c r="AV2006" s="20">
        <f t="shared" si="249"/>
        <v>670.6298828125</v>
      </c>
      <c r="AW2006" s="21">
        <f t="shared" si="255"/>
        <v>0.15967378162202381</v>
      </c>
    </row>
    <row r="2007" spans="1:49" x14ac:dyDescent="0.25">
      <c r="A2007" t="s">
        <v>38</v>
      </c>
      <c r="B2007" t="s">
        <v>39</v>
      </c>
      <c r="C2007">
        <v>139119</v>
      </c>
      <c r="D2007">
        <v>2008</v>
      </c>
      <c r="E2007" t="s">
        <v>166</v>
      </c>
      <c r="F2007" t="s">
        <v>628</v>
      </c>
      <c r="G2007" t="s">
        <v>240</v>
      </c>
      <c r="I2007">
        <v>4</v>
      </c>
      <c r="J2007" t="s">
        <v>277</v>
      </c>
      <c r="K2007">
        <v>4</v>
      </c>
      <c r="L2007" t="s">
        <v>44</v>
      </c>
      <c r="M2007">
        <v>1.8</v>
      </c>
      <c r="N2007" t="s">
        <v>45</v>
      </c>
      <c r="O2007" t="s">
        <v>190</v>
      </c>
      <c r="P2007">
        <v>2</v>
      </c>
      <c r="Q2007" t="s">
        <v>47</v>
      </c>
      <c r="R2007" t="s">
        <v>123</v>
      </c>
      <c r="T2007">
        <v>140</v>
      </c>
      <c r="U2007" t="s">
        <v>50</v>
      </c>
      <c r="V2007" t="s">
        <v>51</v>
      </c>
      <c r="W2007" t="s">
        <v>767</v>
      </c>
      <c r="X2007" t="s">
        <v>53</v>
      </c>
      <c r="Y2007" t="s">
        <v>78</v>
      </c>
      <c r="AA2007">
        <v>0</v>
      </c>
      <c r="AB2007" t="s">
        <v>79</v>
      </c>
      <c r="AC2007" t="s">
        <v>127</v>
      </c>
      <c r="AD2007">
        <v>36</v>
      </c>
      <c r="AE2007">
        <v>9</v>
      </c>
      <c r="AF2007">
        <v>3</v>
      </c>
      <c r="AG2007">
        <v>2025</v>
      </c>
      <c r="AH2007" s="2">
        <v>1100</v>
      </c>
      <c r="AI2007" s="2">
        <v>800.56256103515625</v>
      </c>
      <c r="AJ2007" s="2">
        <f t="shared" si="250"/>
        <v>299.43743896484375</v>
      </c>
      <c r="AK2007" s="6">
        <f t="shared" si="251"/>
        <v>0.27221585360440342</v>
      </c>
      <c r="AL2007" s="12">
        <v>1100</v>
      </c>
      <c r="AM2007" s="12">
        <v>897.59527284464275</v>
      </c>
      <c r="AN2007" s="12">
        <f t="shared" si="252"/>
        <v>202.40472715535725</v>
      </c>
      <c r="AO2007" s="13">
        <f t="shared" si="253"/>
        <v>0.18400429741396113</v>
      </c>
      <c r="AP2007" s="16">
        <v>1100</v>
      </c>
      <c r="AQ2007" s="16">
        <v>710.7798495948914</v>
      </c>
      <c r="AR2007" s="16">
        <f t="shared" si="254"/>
        <v>389.2201504051086</v>
      </c>
      <c r="AS2007" s="17">
        <f t="shared" si="248"/>
        <v>0.35383650036828057</v>
      </c>
      <c r="AT2007" s="20">
        <v>1100</v>
      </c>
      <c r="AU2007" s="20">
        <v>810.9769287109375</v>
      </c>
      <c r="AV2007" s="20">
        <f t="shared" si="249"/>
        <v>289.0230712890625</v>
      </c>
      <c r="AW2007" s="21">
        <f t="shared" si="255"/>
        <v>0.26274824662642043</v>
      </c>
    </row>
    <row r="2008" spans="1:49" x14ac:dyDescent="0.25">
      <c r="A2008" t="s">
        <v>128</v>
      </c>
      <c r="B2008" t="s">
        <v>129</v>
      </c>
      <c r="C2008">
        <v>146713</v>
      </c>
      <c r="D2008">
        <v>2012</v>
      </c>
      <c r="E2008" t="s">
        <v>58</v>
      </c>
      <c r="F2008" t="s">
        <v>243</v>
      </c>
      <c r="G2008" t="s">
        <v>292</v>
      </c>
      <c r="I2008">
        <v>4</v>
      </c>
      <c r="J2008" t="s">
        <v>106</v>
      </c>
      <c r="K2008">
        <v>4</v>
      </c>
      <c r="L2008" t="s">
        <v>44</v>
      </c>
      <c r="M2008">
        <v>2</v>
      </c>
      <c r="N2008" t="s">
        <v>45</v>
      </c>
      <c r="Q2008" t="s">
        <v>47</v>
      </c>
      <c r="R2008" t="s">
        <v>123</v>
      </c>
      <c r="U2008" t="s">
        <v>50</v>
      </c>
      <c r="W2008" t="s">
        <v>392</v>
      </c>
      <c r="X2008" t="s">
        <v>125</v>
      </c>
      <c r="Y2008" t="s">
        <v>66</v>
      </c>
      <c r="AA2008">
        <v>0</v>
      </c>
      <c r="AB2008" t="s">
        <v>79</v>
      </c>
      <c r="AC2008" t="s">
        <v>127</v>
      </c>
      <c r="AD2008">
        <v>36</v>
      </c>
      <c r="AE2008">
        <v>9</v>
      </c>
      <c r="AF2008">
        <v>3</v>
      </c>
      <c r="AG2008">
        <v>2025</v>
      </c>
      <c r="AH2008" s="2">
        <v>2500</v>
      </c>
      <c r="AI2008" s="2">
        <v>1369.562744140625</v>
      </c>
      <c r="AJ2008" s="2">
        <f t="shared" si="250"/>
        <v>1130.437255859375</v>
      </c>
      <c r="AK2008" s="6">
        <f t="shared" si="251"/>
        <v>0.45217490234375002</v>
      </c>
      <c r="AL2008" s="12">
        <v>2500</v>
      </c>
      <c r="AM2008" s="12">
        <v>1496.40387739267</v>
      </c>
      <c r="AN2008" s="12">
        <f t="shared" si="252"/>
        <v>1003.59612260733</v>
      </c>
      <c r="AO2008" s="13">
        <f t="shared" si="253"/>
        <v>0.40143844904293202</v>
      </c>
      <c r="AP2008" s="16">
        <v>2500</v>
      </c>
      <c r="AQ2008" s="16">
        <v>1220.671361213105</v>
      </c>
      <c r="AR2008" s="16">
        <f t="shared" si="254"/>
        <v>1279.328638786895</v>
      </c>
      <c r="AS2008" s="17">
        <f t="shared" si="248"/>
        <v>0.51173145551475796</v>
      </c>
      <c r="AT2008" s="20">
        <v>2500</v>
      </c>
      <c r="AU2008" s="20">
        <v>1342.913940429688</v>
      </c>
      <c r="AV2008" s="20">
        <f t="shared" si="249"/>
        <v>1157.086059570312</v>
      </c>
      <c r="AW2008" s="21">
        <f t="shared" si="255"/>
        <v>0.46283442382812484</v>
      </c>
    </row>
    <row r="2009" spans="1:49" x14ac:dyDescent="0.25">
      <c r="A2009" t="s">
        <v>38</v>
      </c>
      <c r="B2009" t="s">
        <v>96</v>
      </c>
      <c r="C2009">
        <v>59751</v>
      </c>
      <c r="D2009">
        <v>2021</v>
      </c>
      <c r="E2009" t="s">
        <v>174</v>
      </c>
      <c r="F2009" t="s">
        <v>175</v>
      </c>
      <c r="H2009" t="s">
        <v>548</v>
      </c>
      <c r="I2009">
        <v>8</v>
      </c>
      <c r="J2009" t="s">
        <v>61</v>
      </c>
      <c r="K2009">
        <v>4</v>
      </c>
      <c r="L2009" t="s">
        <v>44</v>
      </c>
      <c r="M2009">
        <v>6.2</v>
      </c>
      <c r="N2009" t="s">
        <v>73</v>
      </c>
      <c r="O2009" t="s">
        <v>46</v>
      </c>
      <c r="Q2009" t="s">
        <v>62</v>
      </c>
      <c r="R2009" t="s">
        <v>63</v>
      </c>
      <c r="S2009" t="s">
        <v>49</v>
      </c>
      <c r="U2009" t="s">
        <v>50</v>
      </c>
      <c r="V2009" t="s">
        <v>76</v>
      </c>
      <c r="W2009" t="s">
        <v>1236</v>
      </c>
      <c r="X2009" t="s">
        <v>108</v>
      </c>
      <c r="Y2009" t="s">
        <v>78</v>
      </c>
      <c r="AA2009">
        <v>0</v>
      </c>
      <c r="AB2009" t="s">
        <v>79</v>
      </c>
      <c r="AC2009" t="s">
        <v>87</v>
      </c>
      <c r="AD2009">
        <v>36</v>
      </c>
      <c r="AE2009">
        <v>9</v>
      </c>
      <c r="AF2009">
        <v>3</v>
      </c>
      <c r="AG2009">
        <v>2025</v>
      </c>
      <c r="AH2009" s="2">
        <v>45000</v>
      </c>
      <c r="AI2009" s="2">
        <v>51101.26953125</v>
      </c>
      <c r="AJ2009" s="2">
        <f t="shared" si="250"/>
        <v>6101.26953125</v>
      </c>
      <c r="AK2009" s="6">
        <f t="shared" si="251"/>
        <v>0.13558376736111111</v>
      </c>
      <c r="AL2009" s="12">
        <v>45000</v>
      </c>
      <c r="AM2009" s="12">
        <v>45832.853128883748</v>
      </c>
      <c r="AN2009" s="12">
        <f t="shared" si="252"/>
        <v>832.85312888374756</v>
      </c>
      <c r="AO2009" s="13">
        <f t="shared" si="253"/>
        <v>1.8507847308527725E-2</v>
      </c>
      <c r="AP2009" s="16">
        <v>45000</v>
      </c>
      <c r="AQ2009" s="16">
        <v>38662.706580910482</v>
      </c>
      <c r="AR2009" s="16">
        <f t="shared" si="254"/>
        <v>6337.2934190895176</v>
      </c>
      <c r="AS2009" s="17">
        <f t="shared" si="248"/>
        <v>0.14082874264643372</v>
      </c>
      <c r="AT2009" s="20">
        <v>45000</v>
      </c>
      <c r="AU2009" s="20">
        <v>48251.8984375</v>
      </c>
      <c r="AV2009" s="20">
        <f t="shared" si="249"/>
        <v>3251.8984375</v>
      </c>
      <c r="AW2009" s="21">
        <f t="shared" si="255"/>
        <v>7.2264409722222228E-2</v>
      </c>
    </row>
    <row r="2010" spans="1:49" x14ac:dyDescent="0.25">
      <c r="A2010" t="s">
        <v>38</v>
      </c>
      <c r="B2010" t="s">
        <v>57</v>
      </c>
      <c r="C2010">
        <v>140641</v>
      </c>
      <c r="D2010">
        <v>2013</v>
      </c>
      <c r="E2010" t="s">
        <v>146</v>
      </c>
      <c r="F2010" t="s">
        <v>334</v>
      </c>
      <c r="I2010">
        <v>4</v>
      </c>
      <c r="J2010" t="s">
        <v>135</v>
      </c>
      <c r="K2010">
        <v>4</v>
      </c>
      <c r="L2010" t="s">
        <v>44</v>
      </c>
      <c r="M2010">
        <v>2.5</v>
      </c>
      <c r="N2010" t="s">
        <v>45</v>
      </c>
      <c r="O2010" t="s">
        <v>46</v>
      </c>
      <c r="P2010">
        <v>4</v>
      </c>
      <c r="Q2010" t="s">
        <v>47</v>
      </c>
      <c r="R2010" t="s">
        <v>123</v>
      </c>
      <c r="S2010" t="s">
        <v>49</v>
      </c>
      <c r="U2010" t="s">
        <v>50</v>
      </c>
      <c r="X2010" t="s">
        <v>125</v>
      </c>
      <c r="Y2010" t="s">
        <v>78</v>
      </c>
      <c r="AA2010">
        <v>0</v>
      </c>
      <c r="AB2010" t="s">
        <v>79</v>
      </c>
      <c r="AC2010" t="s">
        <v>127</v>
      </c>
      <c r="AD2010">
        <v>36</v>
      </c>
      <c r="AE2010">
        <v>9</v>
      </c>
      <c r="AF2010">
        <v>3</v>
      </c>
      <c r="AG2010">
        <v>2025</v>
      </c>
      <c r="AH2010" s="2">
        <v>1600</v>
      </c>
      <c r="AI2010" s="2">
        <v>2379.556884765625</v>
      </c>
      <c r="AJ2010" s="2">
        <f t="shared" si="250"/>
        <v>779.556884765625</v>
      </c>
      <c r="AK2010" s="6">
        <f t="shared" si="251"/>
        <v>0.48722305297851565</v>
      </c>
      <c r="AL2010" s="12">
        <v>1600</v>
      </c>
      <c r="AM2010" s="12">
        <v>2441.6953602431122</v>
      </c>
      <c r="AN2010" s="12">
        <f t="shared" si="252"/>
        <v>841.69536024311219</v>
      </c>
      <c r="AO2010" s="13">
        <f t="shared" si="253"/>
        <v>0.52605960015194508</v>
      </c>
      <c r="AP2010" s="16">
        <v>1600</v>
      </c>
      <c r="AQ2010" s="16">
        <v>2343.74662310966</v>
      </c>
      <c r="AR2010" s="16">
        <f t="shared" si="254"/>
        <v>743.74662310966005</v>
      </c>
      <c r="AS2010" s="17">
        <f t="shared" si="248"/>
        <v>0.46484163944353751</v>
      </c>
      <c r="AT2010" s="20">
        <v>1600</v>
      </c>
      <c r="AU2010" s="20">
        <v>2407.92724609375</v>
      </c>
      <c r="AV2010" s="20">
        <f t="shared" si="249"/>
        <v>807.92724609375</v>
      </c>
      <c r="AW2010" s="21">
        <f t="shared" si="255"/>
        <v>0.50495452880859371</v>
      </c>
    </row>
    <row r="2011" spans="1:49" x14ac:dyDescent="0.25">
      <c r="A2011" t="s">
        <v>38</v>
      </c>
      <c r="B2011" t="s">
        <v>39</v>
      </c>
      <c r="C2011">
        <v>125446</v>
      </c>
      <c r="D2011">
        <v>2016</v>
      </c>
      <c r="E2011" t="s">
        <v>97</v>
      </c>
      <c r="F2011" t="s">
        <v>98</v>
      </c>
      <c r="G2011" t="s">
        <v>199</v>
      </c>
      <c r="I2011">
        <v>4</v>
      </c>
      <c r="J2011" t="s">
        <v>43</v>
      </c>
      <c r="K2011">
        <v>4</v>
      </c>
      <c r="L2011" t="s">
        <v>44</v>
      </c>
      <c r="M2011">
        <v>2.4</v>
      </c>
      <c r="N2011" t="s">
        <v>45</v>
      </c>
      <c r="O2011" t="s">
        <v>46</v>
      </c>
      <c r="Q2011" t="s">
        <v>62</v>
      </c>
      <c r="R2011" t="s">
        <v>63</v>
      </c>
      <c r="S2011" t="s">
        <v>101</v>
      </c>
      <c r="U2011" t="s">
        <v>50</v>
      </c>
      <c r="W2011" t="s">
        <v>743</v>
      </c>
      <c r="X2011" t="s">
        <v>65</v>
      </c>
      <c r="Y2011" t="s">
        <v>103</v>
      </c>
      <c r="AA2011">
        <v>0</v>
      </c>
      <c r="AB2011" t="s">
        <v>79</v>
      </c>
      <c r="AC2011" t="s">
        <v>87</v>
      </c>
      <c r="AD2011">
        <v>36</v>
      </c>
      <c r="AE2011">
        <v>9</v>
      </c>
      <c r="AF2011">
        <v>3</v>
      </c>
      <c r="AG2011">
        <v>2025</v>
      </c>
      <c r="AH2011" s="2">
        <v>5800</v>
      </c>
      <c r="AI2011" s="2">
        <v>4578.43017578125</v>
      </c>
      <c r="AJ2011" s="2">
        <f t="shared" si="250"/>
        <v>1221.56982421875</v>
      </c>
      <c r="AK2011" s="6">
        <f t="shared" si="251"/>
        <v>0.21061548693426724</v>
      </c>
      <c r="AL2011" s="12">
        <v>5800</v>
      </c>
      <c r="AM2011" s="12">
        <v>4283.981942572058</v>
      </c>
      <c r="AN2011" s="12">
        <f t="shared" si="252"/>
        <v>1516.018057427942</v>
      </c>
      <c r="AO2011" s="13">
        <f t="shared" si="253"/>
        <v>0.26138242369447279</v>
      </c>
      <c r="AP2011" s="16">
        <v>5800</v>
      </c>
      <c r="AQ2011" s="16">
        <v>3543.2086097483379</v>
      </c>
      <c r="AR2011" s="16">
        <f t="shared" si="254"/>
        <v>2256.7913902516621</v>
      </c>
      <c r="AS2011" s="17">
        <f t="shared" si="248"/>
        <v>0.38910196383649348</v>
      </c>
      <c r="AT2011" s="20">
        <v>5800</v>
      </c>
      <c r="AU2011" s="20">
        <v>4616.619140625</v>
      </c>
      <c r="AV2011" s="20">
        <f t="shared" si="249"/>
        <v>1183.380859375</v>
      </c>
      <c r="AW2011" s="21">
        <f t="shared" si="255"/>
        <v>0.20403118265086206</v>
      </c>
    </row>
    <row r="2012" spans="1:49" x14ac:dyDescent="0.25">
      <c r="A2012" t="s">
        <v>128</v>
      </c>
      <c r="B2012" t="s">
        <v>129</v>
      </c>
      <c r="C2012">
        <v>319226</v>
      </c>
      <c r="D2012">
        <v>2012</v>
      </c>
      <c r="E2012" t="s">
        <v>146</v>
      </c>
      <c r="F2012" t="s">
        <v>565</v>
      </c>
      <c r="I2012">
        <v>8</v>
      </c>
      <c r="J2012" t="s">
        <v>72</v>
      </c>
      <c r="K2012">
        <v>4</v>
      </c>
      <c r="L2012" t="s">
        <v>44</v>
      </c>
      <c r="M2012">
        <v>5.6</v>
      </c>
      <c r="N2012" t="s">
        <v>73</v>
      </c>
      <c r="O2012" t="s">
        <v>46</v>
      </c>
      <c r="Q2012" t="s">
        <v>74</v>
      </c>
      <c r="R2012" t="s">
        <v>92</v>
      </c>
      <c r="S2012" t="s">
        <v>49</v>
      </c>
      <c r="U2012" t="s">
        <v>180</v>
      </c>
      <c r="X2012" t="s">
        <v>108</v>
      </c>
      <c r="Y2012" t="s">
        <v>78</v>
      </c>
      <c r="AA2012">
        <v>0</v>
      </c>
      <c r="AB2012" t="s">
        <v>79</v>
      </c>
      <c r="AC2012" t="s">
        <v>95</v>
      </c>
      <c r="AD2012">
        <v>36</v>
      </c>
      <c r="AE2012">
        <v>9</v>
      </c>
      <c r="AF2012">
        <v>3</v>
      </c>
      <c r="AG2012">
        <v>2025</v>
      </c>
      <c r="AH2012" s="2">
        <v>3100</v>
      </c>
      <c r="AI2012" s="2">
        <v>1942.79345703125</v>
      </c>
      <c r="AJ2012" s="2">
        <f t="shared" si="250"/>
        <v>1157.20654296875</v>
      </c>
      <c r="AK2012" s="6">
        <f t="shared" si="251"/>
        <v>0.37329243321572581</v>
      </c>
      <c r="AL2012" s="12">
        <v>3100</v>
      </c>
      <c r="AM2012" s="12">
        <v>2370.842784905682</v>
      </c>
      <c r="AN2012" s="12">
        <f t="shared" si="252"/>
        <v>729.15721509431796</v>
      </c>
      <c r="AO2012" s="13">
        <f t="shared" si="253"/>
        <v>0.23521200486913482</v>
      </c>
      <c r="AP2012" s="16">
        <v>3100</v>
      </c>
      <c r="AQ2012" s="16">
        <v>2184.0021691756729</v>
      </c>
      <c r="AR2012" s="16">
        <f t="shared" si="254"/>
        <v>915.99783082432714</v>
      </c>
      <c r="AS2012" s="17">
        <f t="shared" si="248"/>
        <v>0.29548317123365392</v>
      </c>
      <c r="AT2012" s="20">
        <v>3100</v>
      </c>
      <c r="AU2012" s="20">
        <v>1947.226196289062</v>
      </c>
      <c r="AV2012" s="20">
        <f t="shared" si="249"/>
        <v>1152.773803710938</v>
      </c>
      <c r="AW2012" s="21">
        <f t="shared" si="255"/>
        <v>0.37186251732610903</v>
      </c>
    </row>
    <row r="2013" spans="1:49" x14ac:dyDescent="0.25">
      <c r="A2013" t="s">
        <v>38</v>
      </c>
      <c r="B2013" t="s">
        <v>39</v>
      </c>
      <c r="C2013">
        <v>155458</v>
      </c>
      <c r="D2013">
        <v>2009</v>
      </c>
      <c r="E2013" t="s">
        <v>146</v>
      </c>
      <c r="F2013" t="s">
        <v>451</v>
      </c>
      <c r="I2013">
        <v>4</v>
      </c>
      <c r="J2013" t="s">
        <v>122</v>
      </c>
      <c r="K2013">
        <v>4</v>
      </c>
      <c r="L2013" t="s">
        <v>44</v>
      </c>
      <c r="M2013">
        <v>1.8</v>
      </c>
      <c r="N2013" t="s">
        <v>45</v>
      </c>
      <c r="O2013" t="s">
        <v>46</v>
      </c>
      <c r="Q2013" t="s">
        <v>47</v>
      </c>
      <c r="R2013" t="s">
        <v>48</v>
      </c>
      <c r="S2013" t="s">
        <v>49</v>
      </c>
      <c r="T2013">
        <v>122</v>
      </c>
      <c r="U2013" t="s">
        <v>50</v>
      </c>
      <c r="W2013" t="s">
        <v>1501</v>
      </c>
      <c r="X2013" t="s">
        <v>125</v>
      </c>
      <c r="Y2013" t="s">
        <v>126</v>
      </c>
      <c r="AA2013">
        <v>0</v>
      </c>
      <c r="AB2013" t="s">
        <v>79</v>
      </c>
      <c r="AC2013" t="s">
        <v>359</v>
      </c>
      <c r="AD2013">
        <v>36</v>
      </c>
      <c r="AE2013">
        <v>9</v>
      </c>
      <c r="AF2013">
        <v>3</v>
      </c>
      <c r="AG2013">
        <v>2025</v>
      </c>
      <c r="AH2013" s="2">
        <v>500</v>
      </c>
      <c r="AI2013" s="2">
        <v>1112.026000976562</v>
      </c>
      <c r="AJ2013" s="2">
        <f t="shared" si="250"/>
        <v>612.02600097656205</v>
      </c>
      <c r="AK2013" s="6">
        <f t="shared" si="251"/>
        <v>1.224052001953124</v>
      </c>
      <c r="AL2013" s="12">
        <v>500</v>
      </c>
      <c r="AM2013" s="12">
        <v>1010.089273403195</v>
      </c>
      <c r="AN2013" s="12">
        <f t="shared" si="252"/>
        <v>510.08927340319497</v>
      </c>
      <c r="AO2013" s="13">
        <f t="shared" si="253"/>
        <v>1.02017854680639</v>
      </c>
      <c r="AP2013" s="16">
        <v>500</v>
      </c>
      <c r="AQ2013" s="16">
        <v>1050.655103790471</v>
      </c>
      <c r="AR2013" s="16">
        <f t="shared" si="254"/>
        <v>550.655103790471</v>
      </c>
      <c r="AS2013" s="17">
        <f t="shared" si="248"/>
        <v>1.101310207580942</v>
      </c>
      <c r="AT2013" s="20">
        <v>500</v>
      </c>
      <c r="AU2013" s="20">
        <v>1043.495849609375</v>
      </c>
      <c r="AV2013" s="20">
        <f t="shared" si="249"/>
        <v>543.495849609375</v>
      </c>
      <c r="AW2013" s="21">
        <f t="shared" si="255"/>
        <v>1.0869916992187501</v>
      </c>
    </row>
    <row r="2014" spans="1:49" x14ac:dyDescent="0.25">
      <c r="A2014" t="s">
        <v>38</v>
      </c>
      <c r="B2014" t="s">
        <v>110</v>
      </c>
      <c r="C2014">
        <v>93357</v>
      </c>
      <c r="D2014">
        <v>2016</v>
      </c>
      <c r="E2014" t="s">
        <v>166</v>
      </c>
      <c r="F2014" t="s">
        <v>562</v>
      </c>
      <c r="G2014" t="s">
        <v>581</v>
      </c>
      <c r="I2014">
        <v>4</v>
      </c>
      <c r="J2014" t="s">
        <v>122</v>
      </c>
      <c r="K2014">
        <v>4</v>
      </c>
      <c r="L2014" t="s">
        <v>44</v>
      </c>
      <c r="M2014">
        <v>2.4</v>
      </c>
      <c r="N2014" t="s">
        <v>45</v>
      </c>
      <c r="O2014" t="s">
        <v>190</v>
      </c>
      <c r="P2014">
        <v>2</v>
      </c>
      <c r="Q2014" t="s">
        <v>47</v>
      </c>
      <c r="R2014" t="s">
        <v>123</v>
      </c>
      <c r="S2014" t="s">
        <v>49</v>
      </c>
      <c r="T2014">
        <v>185</v>
      </c>
      <c r="U2014" t="s">
        <v>50</v>
      </c>
      <c r="V2014" t="s">
        <v>51</v>
      </c>
      <c r="W2014" t="s">
        <v>614</v>
      </c>
      <c r="X2014" t="s">
        <v>65</v>
      </c>
      <c r="Y2014" t="s">
        <v>78</v>
      </c>
      <c r="AA2014">
        <v>0</v>
      </c>
      <c r="AB2014" t="s">
        <v>79</v>
      </c>
      <c r="AC2014" t="s">
        <v>127</v>
      </c>
      <c r="AD2014">
        <v>36</v>
      </c>
      <c r="AE2014">
        <v>9</v>
      </c>
      <c r="AF2014">
        <v>3</v>
      </c>
      <c r="AG2014">
        <v>2025</v>
      </c>
      <c r="AH2014" s="2">
        <v>11750</v>
      </c>
      <c r="AI2014" s="2">
        <v>6254.15576171875</v>
      </c>
      <c r="AJ2014" s="2">
        <f t="shared" si="250"/>
        <v>5495.84423828125</v>
      </c>
      <c r="AK2014" s="6">
        <f t="shared" si="251"/>
        <v>0.46773142453457445</v>
      </c>
      <c r="AL2014" s="12">
        <v>11750</v>
      </c>
      <c r="AM2014" s="12">
        <v>4818.1904857511536</v>
      </c>
      <c r="AN2014" s="12">
        <f t="shared" si="252"/>
        <v>6931.8095142488464</v>
      </c>
      <c r="AO2014" s="13">
        <f t="shared" si="253"/>
        <v>0.58994123525522102</v>
      </c>
      <c r="AP2014" s="16">
        <v>11750</v>
      </c>
      <c r="AQ2014" s="16">
        <v>4383.2370095415572</v>
      </c>
      <c r="AR2014" s="16">
        <f t="shared" si="254"/>
        <v>7366.7629904584428</v>
      </c>
      <c r="AS2014" s="17">
        <f t="shared" si="248"/>
        <v>0.62695855237944198</v>
      </c>
      <c r="AT2014" s="20">
        <v>11750</v>
      </c>
      <c r="AU2014" s="20">
        <v>6094.3037109375</v>
      </c>
      <c r="AV2014" s="20">
        <f t="shared" si="249"/>
        <v>5655.6962890625</v>
      </c>
      <c r="AW2014" s="21">
        <f t="shared" si="255"/>
        <v>0.48133585438829785</v>
      </c>
    </row>
    <row r="2015" spans="1:49" x14ac:dyDescent="0.25">
      <c r="A2015" t="s">
        <v>114</v>
      </c>
      <c r="B2015" t="s">
        <v>340</v>
      </c>
      <c r="C2015">
        <v>200707</v>
      </c>
      <c r="D2015">
        <v>2008</v>
      </c>
      <c r="E2015" t="s">
        <v>97</v>
      </c>
      <c r="F2015" t="s">
        <v>1237</v>
      </c>
      <c r="G2015" t="s">
        <v>1577</v>
      </c>
      <c r="H2015" t="s">
        <v>177</v>
      </c>
      <c r="I2015">
        <v>6</v>
      </c>
      <c r="J2015" t="s">
        <v>178</v>
      </c>
      <c r="K2015">
        <v>4</v>
      </c>
      <c r="L2015" t="s">
        <v>44</v>
      </c>
      <c r="M2015">
        <v>4.2</v>
      </c>
      <c r="N2015" t="s">
        <v>91</v>
      </c>
      <c r="O2015" t="s">
        <v>46</v>
      </c>
      <c r="P2015">
        <v>3</v>
      </c>
      <c r="Q2015" t="s">
        <v>62</v>
      </c>
      <c r="R2015" t="s">
        <v>63</v>
      </c>
      <c r="S2015" t="s">
        <v>93</v>
      </c>
      <c r="U2015" t="s">
        <v>50</v>
      </c>
      <c r="V2015" t="s">
        <v>51</v>
      </c>
      <c r="W2015" t="s">
        <v>1238</v>
      </c>
      <c r="X2015" t="s">
        <v>141</v>
      </c>
      <c r="Y2015" t="s">
        <v>78</v>
      </c>
      <c r="AA2015">
        <v>0</v>
      </c>
      <c r="AB2015" t="s">
        <v>79</v>
      </c>
      <c r="AC2015" t="s">
        <v>87</v>
      </c>
      <c r="AD2015">
        <v>36</v>
      </c>
      <c r="AE2015">
        <v>9</v>
      </c>
      <c r="AF2015">
        <v>3</v>
      </c>
      <c r="AG2015">
        <v>2025</v>
      </c>
      <c r="AH2015" s="2">
        <v>900</v>
      </c>
      <c r="AI2015" s="2">
        <v>893.05157470703125</v>
      </c>
      <c r="AJ2015" s="2">
        <f t="shared" si="250"/>
        <v>6.94842529296875</v>
      </c>
      <c r="AK2015" s="6">
        <f t="shared" si="251"/>
        <v>7.7204725477430557E-3</v>
      </c>
      <c r="AL2015" s="12">
        <v>900</v>
      </c>
      <c r="AM2015" s="12">
        <v>1033.872976131478</v>
      </c>
      <c r="AN2015" s="12">
        <f t="shared" si="252"/>
        <v>133.87297613147803</v>
      </c>
      <c r="AO2015" s="13">
        <f t="shared" si="253"/>
        <v>0.1487477512571978</v>
      </c>
      <c r="AP2015" s="16">
        <v>900</v>
      </c>
      <c r="AQ2015" s="16">
        <v>681.19869132278518</v>
      </c>
      <c r="AR2015" s="16">
        <f t="shared" si="254"/>
        <v>218.80130867721482</v>
      </c>
      <c r="AS2015" s="17">
        <f t="shared" si="248"/>
        <v>0.24311256519690536</v>
      </c>
      <c r="AT2015" s="20">
        <v>900</v>
      </c>
      <c r="AU2015" s="20">
        <v>872.4866943359375</v>
      </c>
      <c r="AV2015" s="20">
        <f t="shared" si="249"/>
        <v>27.5133056640625</v>
      </c>
      <c r="AW2015" s="21">
        <f t="shared" si="255"/>
        <v>3.0570339626736109E-2</v>
      </c>
    </row>
    <row r="2016" spans="1:49" x14ac:dyDescent="0.25">
      <c r="A2016" t="s">
        <v>81</v>
      </c>
      <c r="B2016" t="s">
        <v>170</v>
      </c>
      <c r="C2016">
        <v>70036</v>
      </c>
      <c r="D2016">
        <v>2023</v>
      </c>
      <c r="E2016" t="s">
        <v>69</v>
      </c>
      <c r="F2016" t="s">
        <v>157</v>
      </c>
      <c r="G2016" t="s">
        <v>105</v>
      </c>
      <c r="I2016">
        <v>4</v>
      </c>
      <c r="J2016" t="s">
        <v>135</v>
      </c>
      <c r="K2016">
        <v>4</v>
      </c>
      <c r="L2016" t="s">
        <v>44</v>
      </c>
      <c r="M2016">
        <v>2.2999999999999998</v>
      </c>
      <c r="N2016" t="s">
        <v>73</v>
      </c>
      <c r="Q2016" t="s">
        <v>62</v>
      </c>
      <c r="R2016" t="s">
        <v>63</v>
      </c>
      <c r="S2016" t="s">
        <v>179</v>
      </c>
      <c r="U2016" t="s">
        <v>50</v>
      </c>
      <c r="V2016" t="s">
        <v>51</v>
      </c>
      <c r="W2016" t="s">
        <v>1578</v>
      </c>
      <c r="X2016" t="s">
        <v>141</v>
      </c>
      <c r="Y2016" t="s">
        <v>78</v>
      </c>
      <c r="AA2016">
        <v>0</v>
      </c>
      <c r="AB2016" t="s">
        <v>79</v>
      </c>
      <c r="AC2016" t="s">
        <v>109</v>
      </c>
      <c r="AD2016">
        <v>36</v>
      </c>
      <c r="AE2016">
        <v>9</v>
      </c>
      <c r="AF2016">
        <v>3</v>
      </c>
      <c r="AG2016">
        <v>2025</v>
      </c>
      <c r="AH2016" s="2">
        <v>22200</v>
      </c>
      <c r="AI2016" s="2">
        <v>23965.484375</v>
      </c>
      <c r="AJ2016" s="2">
        <f t="shared" si="250"/>
        <v>1765.484375</v>
      </c>
      <c r="AK2016" s="6">
        <f t="shared" si="251"/>
        <v>7.9526323198198204E-2</v>
      </c>
      <c r="AL2016" s="12">
        <v>22200</v>
      </c>
      <c r="AM2016" s="12">
        <v>21612.26084043958</v>
      </c>
      <c r="AN2016" s="12">
        <f t="shared" si="252"/>
        <v>587.73915956042038</v>
      </c>
      <c r="AO2016" s="13">
        <f t="shared" si="253"/>
        <v>2.6474736917136053E-2</v>
      </c>
      <c r="AP2016" s="16">
        <v>22200</v>
      </c>
      <c r="AQ2016" s="16">
        <v>21407.961307918289</v>
      </c>
      <c r="AR2016" s="16">
        <f t="shared" si="254"/>
        <v>792.03869208171091</v>
      </c>
      <c r="AS2016" s="17">
        <f t="shared" si="248"/>
        <v>3.567741856223923E-2</v>
      </c>
      <c r="AT2016" s="20">
        <v>22200</v>
      </c>
      <c r="AU2016" s="20">
        <v>23471.130859375</v>
      </c>
      <c r="AV2016" s="20">
        <f t="shared" si="249"/>
        <v>1271.130859375</v>
      </c>
      <c r="AW2016" s="21">
        <f t="shared" si="255"/>
        <v>5.7258146818693692E-2</v>
      </c>
    </row>
    <row r="2017" spans="1:49" x14ac:dyDescent="0.25">
      <c r="A2017" t="s">
        <v>38</v>
      </c>
      <c r="B2017" t="s">
        <v>110</v>
      </c>
      <c r="C2017">
        <v>424140</v>
      </c>
      <c r="D2017">
        <v>2016</v>
      </c>
      <c r="E2017" t="s">
        <v>88</v>
      </c>
      <c r="F2017" t="s">
        <v>312</v>
      </c>
      <c r="G2017" t="s">
        <v>90</v>
      </c>
      <c r="H2017" t="s">
        <v>313</v>
      </c>
      <c r="I2017">
        <v>6</v>
      </c>
      <c r="J2017" t="s">
        <v>135</v>
      </c>
      <c r="K2017">
        <v>4</v>
      </c>
      <c r="L2017" t="s">
        <v>44</v>
      </c>
      <c r="M2017">
        <v>6.7</v>
      </c>
      <c r="N2017" t="s">
        <v>91</v>
      </c>
      <c r="O2017" t="s">
        <v>46</v>
      </c>
      <c r="Q2017" t="s">
        <v>74</v>
      </c>
      <c r="R2017" t="s">
        <v>92</v>
      </c>
      <c r="S2017" t="s">
        <v>93</v>
      </c>
      <c r="U2017" t="s">
        <v>229</v>
      </c>
      <c r="X2017" t="s">
        <v>230</v>
      </c>
      <c r="Y2017" t="s">
        <v>126</v>
      </c>
      <c r="AA2017">
        <v>0</v>
      </c>
      <c r="AB2017" t="s">
        <v>79</v>
      </c>
      <c r="AC2017" t="s">
        <v>95</v>
      </c>
      <c r="AD2017">
        <v>36</v>
      </c>
      <c r="AE2017">
        <v>9</v>
      </c>
      <c r="AF2017">
        <v>3</v>
      </c>
      <c r="AG2017">
        <v>2025</v>
      </c>
      <c r="AH2017" s="2">
        <v>7000</v>
      </c>
      <c r="AI2017" s="2">
        <v>11553.6044921875</v>
      </c>
      <c r="AJ2017" s="2">
        <f t="shared" si="250"/>
        <v>4553.6044921875</v>
      </c>
      <c r="AK2017" s="6">
        <f t="shared" si="251"/>
        <v>0.65051492745535711</v>
      </c>
      <c r="AL2017" s="12">
        <v>7000</v>
      </c>
      <c r="AM2017" s="12">
        <v>9834.480595798459</v>
      </c>
      <c r="AN2017" s="12">
        <f t="shared" si="252"/>
        <v>2834.480595798459</v>
      </c>
      <c r="AO2017" s="13">
        <f t="shared" si="253"/>
        <v>0.40492579939977985</v>
      </c>
      <c r="AP2017" s="16">
        <v>7000</v>
      </c>
      <c r="AQ2017" s="16">
        <v>12459.50365338237</v>
      </c>
      <c r="AR2017" s="16">
        <f t="shared" si="254"/>
        <v>5459.5036533823695</v>
      </c>
      <c r="AS2017" s="17">
        <f t="shared" si="248"/>
        <v>0.77992909334033855</v>
      </c>
      <c r="AT2017" s="20">
        <v>7000</v>
      </c>
      <c r="AU2017" s="20">
        <v>11296.2705078125</v>
      </c>
      <c r="AV2017" s="20">
        <f t="shared" si="249"/>
        <v>4296.2705078125</v>
      </c>
      <c r="AW2017" s="21">
        <f t="shared" si="255"/>
        <v>0.61375292968749995</v>
      </c>
    </row>
    <row r="2018" spans="1:49" x14ac:dyDescent="0.25">
      <c r="A2018" t="s">
        <v>38</v>
      </c>
      <c r="B2018" t="s">
        <v>110</v>
      </c>
      <c r="C2018">
        <v>9352</v>
      </c>
      <c r="D2018">
        <v>2024</v>
      </c>
      <c r="E2018" t="s">
        <v>40</v>
      </c>
      <c r="F2018" t="s">
        <v>297</v>
      </c>
      <c r="G2018" t="s">
        <v>1299</v>
      </c>
      <c r="H2018" t="s">
        <v>1548</v>
      </c>
      <c r="I2018">
        <v>4</v>
      </c>
      <c r="J2018" t="s">
        <v>135</v>
      </c>
      <c r="K2018">
        <v>4</v>
      </c>
      <c r="L2018" t="s">
        <v>44</v>
      </c>
      <c r="M2018">
        <v>2.5</v>
      </c>
      <c r="N2018" t="s">
        <v>45</v>
      </c>
      <c r="O2018" t="s">
        <v>46</v>
      </c>
      <c r="P2018">
        <v>3</v>
      </c>
      <c r="Q2018" t="s">
        <v>47</v>
      </c>
      <c r="R2018" t="s">
        <v>123</v>
      </c>
      <c r="S2018" t="s">
        <v>49</v>
      </c>
      <c r="T2018">
        <v>203</v>
      </c>
      <c r="U2018" t="s">
        <v>50</v>
      </c>
      <c r="V2018" t="s">
        <v>51</v>
      </c>
      <c r="W2018" t="s">
        <v>449</v>
      </c>
      <c r="X2018" t="s">
        <v>125</v>
      </c>
      <c r="Y2018" t="s">
        <v>78</v>
      </c>
      <c r="AA2018">
        <v>0</v>
      </c>
      <c r="AB2018" t="s">
        <v>79</v>
      </c>
      <c r="AC2018" t="s">
        <v>127</v>
      </c>
      <c r="AD2018">
        <v>36</v>
      </c>
      <c r="AE2018">
        <v>9</v>
      </c>
      <c r="AF2018">
        <v>3</v>
      </c>
      <c r="AG2018">
        <v>2025</v>
      </c>
      <c r="AH2018" s="2">
        <v>27750</v>
      </c>
      <c r="AI2018" s="2">
        <v>18595.125</v>
      </c>
      <c r="AJ2018" s="2">
        <f t="shared" si="250"/>
        <v>9154.875</v>
      </c>
      <c r="AK2018" s="6">
        <f t="shared" si="251"/>
        <v>0.32990540540540542</v>
      </c>
      <c r="AL2018" s="12">
        <v>27750</v>
      </c>
      <c r="AM2018" s="12">
        <v>19171.763412012391</v>
      </c>
      <c r="AN2018" s="12">
        <f t="shared" si="252"/>
        <v>8578.2365879876088</v>
      </c>
      <c r="AO2018" s="13">
        <f t="shared" si="253"/>
        <v>0.30912564281036425</v>
      </c>
      <c r="AP2018" s="16">
        <v>27750</v>
      </c>
      <c r="AQ2018" s="16">
        <v>20197.92894059484</v>
      </c>
      <c r="AR2018" s="16">
        <f t="shared" si="254"/>
        <v>7552.0710594051598</v>
      </c>
      <c r="AS2018" s="17">
        <f t="shared" si="248"/>
        <v>0.27214670484342918</v>
      </c>
      <c r="AT2018" s="20">
        <v>27750</v>
      </c>
      <c r="AU2018" s="20">
        <v>18542.421875</v>
      </c>
      <c r="AV2018" s="20">
        <f t="shared" si="249"/>
        <v>9207.578125</v>
      </c>
      <c r="AW2018" s="21">
        <f t="shared" si="255"/>
        <v>0.33180461711711712</v>
      </c>
    </row>
    <row r="2019" spans="1:49" x14ac:dyDescent="0.25">
      <c r="A2019" t="s">
        <v>38</v>
      </c>
      <c r="B2019" t="s">
        <v>96</v>
      </c>
      <c r="C2019">
        <v>134325</v>
      </c>
      <c r="D2019">
        <v>2017</v>
      </c>
      <c r="E2019" t="s">
        <v>146</v>
      </c>
      <c r="F2019" t="s">
        <v>279</v>
      </c>
      <c r="I2019">
        <v>4</v>
      </c>
      <c r="J2019" t="s">
        <v>72</v>
      </c>
      <c r="K2019">
        <v>4</v>
      </c>
      <c r="L2019" t="s">
        <v>44</v>
      </c>
      <c r="M2019">
        <v>1.8</v>
      </c>
      <c r="N2019" t="s">
        <v>45</v>
      </c>
      <c r="O2019" t="s">
        <v>46</v>
      </c>
      <c r="P2019">
        <v>2</v>
      </c>
      <c r="Q2019" t="s">
        <v>47</v>
      </c>
      <c r="R2019" t="s">
        <v>123</v>
      </c>
      <c r="S2019" t="s">
        <v>49</v>
      </c>
      <c r="T2019">
        <v>130</v>
      </c>
      <c r="U2019" t="s">
        <v>50</v>
      </c>
      <c r="V2019" t="s">
        <v>51</v>
      </c>
      <c r="X2019" t="s">
        <v>125</v>
      </c>
      <c r="Y2019" t="s">
        <v>126</v>
      </c>
      <c r="AA2019">
        <v>0</v>
      </c>
      <c r="AB2019" t="s">
        <v>79</v>
      </c>
      <c r="AC2019" t="s">
        <v>127</v>
      </c>
      <c r="AD2019">
        <v>36</v>
      </c>
      <c r="AE2019">
        <v>9</v>
      </c>
      <c r="AF2019">
        <v>3</v>
      </c>
      <c r="AG2019">
        <v>2025</v>
      </c>
      <c r="AH2019" s="2">
        <v>2200</v>
      </c>
      <c r="AI2019" s="2">
        <v>1609.5166015625</v>
      </c>
      <c r="AJ2019" s="2">
        <f t="shared" si="250"/>
        <v>590.4833984375</v>
      </c>
      <c r="AK2019" s="6">
        <f t="shared" si="251"/>
        <v>0.26840154474431815</v>
      </c>
      <c r="AL2019" s="12">
        <v>2200</v>
      </c>
      <c r="AM2019" s="12">
        <v>2093.9038880447461</v>
      </c>
      <c r="AN2019" s="12">
        <f t="shared" si="252"/>
        <v>106.09611195525395</v>
      </c>
      <c r="AO2019" s="13">
        <f t="shared" si="253"/>
        <v>4.8225505434206339E-2</v>
      </c>
      <c r="AP2019" s="16">
        <v>2200</v>
      </c>
      <c r="AQ2019" s="16">
        <v>1773.424521380982</v>
      </c>
      <c r="AR2019" s="16">
        <f t="shared" si="254"/>
        <v>426.57547861901799</v>
      </c>
      <c r="AS2019" s="17">
        <f t="shared" si="248"/>
        <v>0.19389794482682635</v>
      </c>
      <c r="AT2019" s="20">
        <v>2200</v>
      </c>
      <c r="AU2019" s="20">
        <v>1594.291381835938</v>
      </c>
      <c r="AV2019" s="20">
        <f t="shared" si="249"/>
        <v>605.70861816406205</v>
      </c>
      <c r="AW2019" s="21">
        <f t="shared" si="255"/>
        <v>0.27532209916548273</v>
      </c>
    </row>
    <row r="2020" spans="1:49" x14ac:dyDescent="0.25">
      <c r="A2020" t="s">
        <v>38</v>
      </c>
      <c r="B2020" t="s">
        <v>110</v>
      </c>
      <c r="C2020">
        <v>114742</v>
      </c>
      <c r="D2020">
        <v>2013</v>
      </c>
      <c r="E2020" t="s">
        <v>119</v>
      </c>
      <c r="F2020" t="s">
        <v>543</v>
      </c>
      <c r="G2020" t="s">
        <v>1579</v>
      </c>
      <c r="I2020">
        <v>4</v>
      </c>
      <c r="J2020" t="s">
        <v>43</v>
      </c>
      <c r="K2020">
        <v>4</v>
      </c>
      <c r="L2020" t="s">
        <v>44</v>
      </c>
      <c r="M2020">
        <v>2</v>
      </c>
      <c r="N2020" t="s">
        <v>45</v>
      </c>
      <c r="Q2020" t="s">
        <v>47</v>
      </c>
      <c r="R2020" t="s">
        <v>123</v>
      </c>
      <c r="T2020">
        <v>200</v>
      </c>
      <c r="U2020" t="s">
        <v>50</v>
      </c>
      <c r="X2020" t="s">
        <v>125</v>
      </c>
      <c r="Y2020" t="s">
        <v>137</v>
      </c>
      <c r="AA2020">
        <v>0</v>
      </c>
      <c r="AB2020" t="s">
        <v>79</v>
      </c>
      <c r="AC2020" t="s">
        <v>127</v>
      </c>
      <c r="AD2020">
        <v>36</v>
      </c>
      <c r="AE2020">
        <v>9</v>
      </c>
      <c r="AF2020">
        <v>3</v>
      </c>
      <c r="AG2020">
        <v>2025</v>
      </c>
      <c r="AH2020" s="2">
        <v>800</v>
      </c>
      <c r="AI2020" s="2">
        <v>2134.034912109375</v>
      </c>
      <c r="AJ2020" s="2">
        <f t="shared" si="250"/>
        <v>1334.034912109375</v>
      </c>
      <c r="AK2020" s="6">
        <f t="shared" si="251"/>
        <v>1.6675436401367187</v>
      </c>
      <c r="AL2020" s="12">
        <v>800</v>
      </c>
      <c r="AM2020" s="12">
        <v>2137.2666635334558</v>
      </c>
      <c r="AN2020" s="12">
        <f t="shared" si="252"/>
        <v>1337.2666635334558</v>
      </c>
      <c r="AO2020" s="13">
        <f t="shared" si="253"/>
        <v>1.6715833294168199</v>
      </c>
      <c r="AP2020" s="16">
        <v>800</v>
      </c>
      <c r="AQ2020" s="16">
        <v>1711.225428227144</v>
      </c>
      <c r="AR2020" s="16">
        <f t="shared" si="254"/>
        <v>911.22542822714399</v>
      </c>
      <c r="AS2020" s="17">
        <f t="shared" si="248"/>
        <v>1.13903178528393</v>
      </c>
      <c r="AT2020" s="20">
        <v>800</v>
      </c>
      <c r="AU2020" s="20">
        <v>2125.060302734375</v>
      </c>
      <c r="AV2020" s="20">
        <f t="shared" si="249"/>
        <v>1325.060302734375</v>
      </c>
      <c r="AW2020" s="21">
        <f t="shared" si="255"/>
        <v>1.6563253784179688</v>
      </c>
    </row>
    <row r="2021" spans="1:49" x14ac:dyDescent="0.25">
      <c r="A2021" t="s">
        <v>38</v>
      </c>
      <c r="B2021" t="s">
        <v>96</v>
      </c>
      <c r="C2021">
        <v>121780</v>
      </c>
      <c r="D2021">
        <v>2019</v>
      </c>
      <c r="E2021" t="s">
        <v>69</v>
      </c>
      <c r="F2021" t="s">
        <v>250</v>
      </c>
      <c r="H2021" t="s">
        <v>224</v>
      </c>
      <c r="I2021">
        <v>4</v>
      </c>
      <c r="J2021" t="s">
        <v>61</v>
      </c>
      <c r="K2021">
        <v>4</v>
      </c>
      <c r="L2021" t="s">
        <v>44</v>
      </c>
      <c r="M2021">
        <v>1.5</v>
      </c>
      <c r="N2021" t="s">
        <v>45</v>
      </c>
      <c r="O2021" t="s">
        <v>46</v>
      </c>
      <c r="P2021">
        <v>2</v>
      </c>
      <c r="Q2021" t="s">
        <v>62</v>
      </c>
      <c r="R2021" t="s">
        <v>63</v>
      </c>
      <c r="S2021" t="s">
        <v>49</v>
      </c>
      <c r="T2021">
        <v>170</v>
      </c>
      <c r="U2021" t="s">
        <v>50</v>
      </c>
      <c r="V2021" t="s">
        <v>51</v>
      </c>
      <c r="W2021" t="s">
        <v>598</v>
      </c>
      <c r="X2021" t="s">
        <v>65</v>
      </c>
      <c r="Y2021" t="s">
        <v>78</v>
      </c>
      <c r="Z2021">
        <v>26500</v>
      </c>
      <c r="AA2021">
        <v>0</v>
      </c>
      <c r="AB2021" t="s">
        <v>79</v>
      </c>
      <c r="AC2021" t="s">
        <v>87</v>
      </c>
      <c r="AD2021">
        <v>36</v>
      </c>
      <c r="AE2021">
        <v>9</v>
      </c>
      <c r="AF2021">
        <v>3</v>
      </c>
      <c r="AG2021">
        <v>2025</v>
      </c>
      <c r="AH2021" s="2">
        <v>2200</v>
      </c>
      <c r="AI2021" s="2">
        <v>4297.10107421875</v>
      </c>
      <c r="AJ2021" s="2">
        <f t="shared" si="250"/>
        <v>2097.10107421875</v>
      </c>
      <c r="AK2021" s="6">
        <f t="shared" si="251"/>
        <v>0.95322776100852269</v>
      </c>
      <c r="AL2021" s="12">
        <v>2200</v>
      </c>
      <c r="AM2021" s="12">
        <v>4393.1574001227582</v>
      </c>
      <c r="AN2021" s="12">
        <f t="shared" si="252"/>
        <v>2193.1574001227582</v>
      </c>
      <c r="AO2021" s="13">
        <f t="shared" si="253"/>
        <v>0.99688972732852643</v>
      </c>
      <c r="AP2021" s="16">
        <v>2200</v>
      </c>
      <c r="AQ2021" s="16">
        <v>3722.6711295936698</v>
      </c>
      <c r="AR2021" s="16">
        <f t="shared" si="254"/>
        <v>1522.6711295936698</v>
      </c>
      <c r="AS2021" s="17">
        <f t="shared" si="248"/>
        <v>0.69212324072439535</v>
      </c>
      <c r="AT2021" s="20">
        <v>2200</v>
      </c>
      <c r="AU2021" s="20">
        <v>4363.72900390625</v>
      </c>
      <c r="AV2021" s="20">
        <f t="shared" si="249"/>
        <v>2163.72900390625</v>
      </c>
      <c r="AW2021" s="21">
        <f t="shared" si="255"/>
        <v>0.98351318359374995</v>
      </c>
    </row>
    <row r="2022" spans="1:49" x14ac:dyDescent="0.25">
      <c r="A2022" t="s">
        <v>38</v>
      </c>
      <c r="B2022" t="s">
        <v>68</v>
      </c>
      <c r="C2022">
        <v>31049</v>
      </c>
      <c r="D2022">
        <v>2020</v>
      </c>
      <c r="E2022" t="s">
        <v>97</v>
      </c>
      <c r="F2022" t="s">
        <v>470</v>
      </c>
      <c r="G2022" t="s">
        <v>1006</v>
      </c>
      <c r="I2022">
        <v>4</v>
      </c>
      <c r="J2022" t="s">
        <v>72</v>
      </c>
      <c r="K2022">
        <v>4</v>
      </c>
      <c r="L2022" t="s">
        <v>44</v>
      </c>
      <c r="M2022">
        <v>1.5</v>
      </c>
      <c r="N2022" t="s">
        <v>45</v>
      </c>
      <c r="O2022" t="s">
        <v>46</v>
      </c>
      <c r="P2022">
        <v>4</v>
      </c>
      <c r="Q2022" t="s">
        <v>47</v>
      </c>
      <c r="R2022" t="s">
        <v>123</v>
      </c>
      <c r="S2022" t="s">
        <v>101</v>
      </c>
      <c r="U2022" t="s">
        <v>50</v>
      </c>
      <c r="V2022" t="s">
        <v>51</v>
      </c>
      <c r="W2022" t="s">
        <v>687</v>
      </c>
      <c r="X2022" t="s">
        <v>125</v>
      </c>
      <c r="Y2022" t="s">
        <v>78</v>
      </c>
      <c r="AA2022">
        <v>0</v>
      </c>
      <c r="AB2022" t="s">
        <v>79</v>
      </c>
      <c r="AC2022" t="s">
        <v>127</v>
      </c>
      <c r="AD2022">
        <v>36</v>
      </c>
      <c r="AE2022">
        <v>9</v>
      </c>
      <c r="AF2022">
        <v>3</v>
      </c>
      <c r="AG2022">
        <v>2025</v>
      </c>
      <c r="AH2022" s="2">
        <v>15500</v>
      </c>
      <c r="AI2022" s="2">
        <v>16778.19140625</v>
      </c>
      <c r="AJ2022" s="2">
        <f t="shared" si="250"/>
        <v>1278.19140625</v>
      </c>
      <c r="AK2022" s="6">
        <f t="shared" si="251"/>
        <v>8.2463961693548388E-2</v>
      </c>
      <c r="AL2022" s="12">
        <v>15500</v>
      </c>
      <c r="AM2022" s="12">
        <v>17337.4970640641</v>
      </c>
      <c r="AN2022" s="12">
        <f t="shared" si="252"/>
        <v>1837.4970640641004</v>
      </c>
      <c r="AO2022" s="13">
        <f t="shared" si="253"/>
        <v>0.11854819768155486</v>
      </c>
      <c r="AP2022" s="16">
        <v>15500</v>
      </c>
      <c r="AQ2022" s="16">
        <v>15287.709561345269</v>
      </c>
      <c r="AR2022" s="16">
        <f t="shared" si="254"/>
        <v>212.29043865473068</v>
      </c>
      <c r="AS2022" s="17">
        <f t="shared" si="248"/>
        <v>1.3696157332563269E-2</v>
      </c>
      <c r="AT2022" s="20">
        <v>15500</v>
      </c>
      <c r="AU2022" s="20">
        <v>16795.001953125</v>
      </c>
      <c r="AV2022" s="20">
        <f t="shared" si="249"/>
        <v>1295.001953125</v>
      </c>
      <c r="AW2022" s="21">
        <f t="shared" si="255"/>
        <v>8.3548513104838712E-2</v>
      </c>
    </row>
    <row r="2023" spans="1:49" x14ac:dyDescent="0.25">
      <c r="A2023" t="s">
        <v>38</v>
      </c>
      <c r="B2023" t="s">
        <v>96</v>
      </c>
      <c r="C2023">
        <v>35461</v>
      </c>
      <c r="D2023">
        <v>2024</v>
      </c>
      <c r="E2023" t="s">
        <v>40</v>
      </c>
      <c r="F2023" t="s">
        <v>233</v>
      </c>
      <c r="G2023" t="s">
        <v>572</v>
      </c>
      <c r="H2023" t="s">
        <v>1475</v>
      </c>
      <c r="I2023">
        <v>4</v>
      </c>
      <c r="J2023" t="s">
        <v>72</v>
      </c>
      <c r="K2023">
        <v>4</v>
      </c>
      <c r="L2023" t="s">
        <v>44</v>
      </c>
      <c r="M2023">
        <v>2.5</v>
      </c>
      <c r="N2023" t="s">
        <v>45</v>
      </c>
      <c r="O2023" t="s">
        <v>46</v>
      </c>
      <c r="P2023">
        <v>5</v>
      </c>
      <c r="Q2023" t="s">
        <v>62</v>
      </c>
      <c r="R2023" t="s">
        <v>63</v>
      </c>
      <c r="S2023" t="s">
        <v>49</v>
      </c>
      <c r="T2023">
        <v>203</v>
      </c>
      <c r="U2023" t="s">
        <v>50</v>
      </c>
      <c r="V2023" t="s">
        <v>51</v>
      </c>
      <c r="W2023" t="s">
        <v>449</v>
      </c>
      <c r="X2023" t="s">
        <v>65</v>
      </c>
      <c r="Y2023" t="s">
        <v>103</v>
      </c>
      <c r="AA2023">
        <v>0</v>
      </c>
      <c r="AB2023" t="s">
        <v>79</v>
      </c>
      <c r="AC2023" t="s">
        <v>87</v>
      </c>
      <c r="AD2023">
        <v>36</v>
      </c>
      <c r="AE2023">
        <v>9</v>
      </c>
      <c r="AF2023">
        <v>3</v>
      </c>
      <c r="AG2023">
        <v>2025</v>
      </c>
      <c r="AH2023" s="2">
        <v>23750</v>
      </c>
      <c r="AI2023" s="2">
        <v>22886.26171875</v>
      </c>
      <c r="AJ2023" s="2">
        <f t="shared" si="250"/>
        <v>863.73828125</v>
      </c>
      <c r="AK2023" s="6">
        <f t="shared" si="251"/>
        <v>3.636792763157895E-2</v>
      </c>
      <c r="AL2023" s="12">
        <v>23750</v>
      </c>
      <c r="AM2023" s="12">
        <v>23827.705624125942</v>
      </c>
      <c r="AN2023" s="12">
        <f t="shared" si="252"/>
        <v>77.70562412594154</v>
      </c>
      <c r="AO2023" s="13">
        <f t="shared" si="253"/>
        <v>3.2718157526712226E-3</v>
      </c>
      <c r="AP2023" s="16">
        <v>23750</v>
      </c>
      <c r="AQ2023" s="16">
        <v>21899.20274767905</v>
      </c>
      <c r="AR2023" s="16">
        <f t="shared" si="254"/>
        <v>1850.7972523209501</v>
      </c>
      <c r="AS2023" s="17">
        <f t="shared" si="248"/>
        <v>7.7928305360882105E-2</v>
      </c>
      <c r="AT2023" s="20">
        <v>23750</v>
      </c>
      <c r="AU2023" s="20">
        <v>22950.0859375</v>
      </c>
      <c r="AV2023" s="20">
        <f t="shared" si="249"/>
        <v>799.9140625</v>
      </c>
      <c r="AW2023" s="21">
        <f t="shared" si="255"/>
        <v>3.3680592105263155E-2</v>
      </c>
    </row>
    <row r="2024" spans="1:49" x14ac:dyDescent="0.25">
      <c r="A2024" t="s">
        <v>38</v>
      </c>
      <c r="B2024" t="s">
        <v>110</v>
      </c>
      <c r="C2024">
        <v>112767</v>
      </c>
      <c r="D2024">
        <v>2013</v>
      </c>
      <c r="E2024" t="s">
        <v>69</v>
      </c>
      <c r="F2024" t="s">
        <v>250</v>
      </c>
      <c r="H2024" t="s">
        <v>285</v>
      </c>
      <c r="I2024">
        <v>4</v>
      </c>
      <c r="J2024" t="s">
        <v>135</v>
      </c>
      <c r="K2024">
        <v>4</v>
      </c>
      <c r="L2024" t="s">
        <v>44</v>
      </c>
      <c r="M2024">
        <v>2</v>
      </c>
      <c r="N2024" t="s">
        <v>45</v>
      </c>
      <c r="O2024" t="s">
        <v>46</v>
      </c>
      <c r="P2024">
        <v>2</v>
      </c>
      <c r="Q2024" t="s">
        <v>62</v>
      </c>
      <c r="R2024" t="s">
        <v>63</v>
      </c>
      <c r="S2024" t="s">
        <v>49</v>
      </c>
      <c r="T2024">
        <v>240</v>
      </c>
      <c r="U2024" t="s">
        <v>50</v>
      </c>
      <c r="V2024" t="s">
        <v>51</v>
      </c>
      <c r="X2024" t="s">
        <v>65</v>
      </c>
      <c r="Y2024" t="s">
        <v>78</v>
      </c>
      <c r="AA2024">
        <v>0</v>
      </c>
      <c r="AB2024" t="s">
        <v>79</v>
      </c>
      <c r="AC2024" t="s">
        <v>87</v>
      </c>
      <c r="AD2024">
        <v>36</v>
      </c>
      <c r="AE2024">
        <v>9</v>
      </c>
      <c r="AF2024">
        <v>3</v>
      </c>
      <c r="AG2024">
        <v>2025</v>
      </c>
      <c r="AH2024" s="2">
        <v>1000</v>
      </c>
      <c r="AI2024" s="2">
        <v>2235.37646484375</v>
      </c>
      <c r="AJ2024" s="2">
        <f t="shared" si="250"/>
        <v>1235.37646484375</v>
      </c>
      <c r="AK2024" s="6">
        <f t="shared" si="251"/>
        <v>1.23537646484375</v>
      </c>
      <c r="AL2024" s="12">
        <v>1000</v>
      </c>
      <c r="AM2024" s="12">
        <v>2320.510096448269</v>
      </c>
      <c r="AN2024" s="12">
        <f t="shared" si="252"/>
        <v>1320.510096448269</v>
      </c>
      <c r="AO2024" s="13">
        <f t="shared" si="253"/>
        <v>1.320510096448269</v>
      </c>
      <c r="AP2024" s="16">
        <v>1000</v>
      </c>
      <c r="AQ2024" s="16">
        <v>2090.142972696196</v>
      </c>
      <c r="AR2024" s="16">
        <f t="shared" si="254"/>
        <v>1090.142972696196</v>
      </c>
      <c r="AS2024" s="17">
        <f t="shared" si="248"/>
        <v>1.090142972696196</v>
      </c>
      <c r="AT2024" s="20">
        <v>1000</v>
      </c>
      <c r="AU2024" s="20">
        <v>2244.515869140625</v>
      </c>
      <c r="AV2024" s="20">
        <f t="shared" si="249"/>
        <v>1244.515869140625</v>
      </c>
      <c r="AW2024" s="21">
        <f t="shared" si="255"/>
        <v>1.2445158691406251</v>
      </c>
    </row>
    <row r="2025" spans="1:49" x14ac:dyDescent="0.25">
      <c r="A2025" t="s">
        <v>128</v>
      </c>
      <c r="B2025" t="s">
        <v>129</v>
      </c>
      <c r="C2025">
        <v>165632</v>
      </c>
      <c r="D2025">
        <v>2014</v>
      </c>
      <c r="E2025" t="s">
        <v>399</v>
      </c>
      <c r="F2025" t="s">
        <v>768</v>
      </c>
      <c r="G2025" t="s">
        <v>1580</v>
      </c>
      <c r="I2025">
        <v>4</v>
      </c>
      <c r="J2025" t="s">
        <v>135</v>
      </c>
      <c r="K2025">
        <v>4</v>
      </c>
      <c r="L2025" t="s">
        <v>44</v>
      </c>
      <c r="M2025">
        <v>2.5</v>
      </c>
      <c r="N2025" t="s">
        <v>44</v>
      </c>
      <c r="O2025" t="s">
        <v>46</v>
      </c>
      <c r="Q2025" t="s">
        <v>62</v>
      </c>
      <c r="R2025" t="s">
        <v>63</v>
      </c>
      <c r="S2025" t="s">
        <v>85</v>
      </c>
      <c r="W2025" t="s">
        <v>1144</v>
      </c>
      <c r="X2025" t="s">
        <v>65</v>
      </c>
      <c r="Y2025" t="s">
        <v>78</v>
      </c>
      <c r="AA2025">
        <v>0</v>
      </c>
      <c r="AB2025" t="s">
        <v>79</v>
      </c>
      <c r="AC2025" t="s">
        <v>87</v>
      </c>
      <c r="AD2025">
        <v>36</v>
      </c>
      <c r="AE2025">
        <v>9</v>
      </c>
      <c r="AF2025">
        <v>3</v>
      </c>
      <c r="AG2025">
        <v>2025</v>
      </c>
      <c r="AH2025" s="2">
        <v>1400</v>
      </c>
      <c r="AI2025" s="2">
        <v>2244.212890625</v>
      </c>
      <c r="AJ2025" s="2">
        <f t="shared" si="250"/>
        <v>844.212890625</v>
      </c>
      <c r="AK2025" s="6">
        <f t="shared" si="251"/>
        <v>0.60300920758928567</v>
      </c>
      <c r="AL2025" s="12">
        <v>1400</v>
      </c>
      <c r="AM2025" s="12">
        <v>2335.3887713824151</v>
      </c>
      <c r="AN2025" s="12">
        <f t="shared" si="252"/>
        <v>935.38877138241514</v>
      </c>
      <c r="AO2025" s="13">
        <f t="shared" si="253"/>
        <v>0.66813483670172513</v>
      </c>
      <c r="AP2025" s="16">
        <v>1400</v>
      </c>
      <c r="AQ2025" s="16">
        <v>2110.9197214170308</v>
      </c>
      <c r="AR2025" s="16">
        <f t="shared" si="254"/>
        <v>710.91972141703081</v>
      </c>
      <c r="AS2025" s="17">
        <f t="shared" si="248"/>
        <v>0.50779980101216482</v>
      </c>
      <c r="AT2025" s="20">
        <v>1400</v>
      </c>
      <c r="AU2025" s="20">
        <v>2244.515869140625</v>
      </c>
      <c r="AV2025" s="20">
        <f t="shared" si="249"/>
        <v>844.515869140625</v>
      </c>
      <c r="AW2025" s="21">
        <f t="shared" si="255"/>
        <v>0.60322562081473219</v>
      </c>
    </row>
    <row r="2026" spans="1:49" x14ac:dyDescent="0.25">
      <c r="A2026" t="s">
        <v>38</v>
      </c>
      <c r="B2026" t="s">
        <v>110</v>
      </c>
      <c r="C2026">
        <v>123977</v>
      </c>
      <c r="D2026">
        <v>2013</v>
      </c>
      <c r="E2026" t="s">
        <v>69</v>
      </c>
      <c r="F2026" t="s">
        <v>873</v>
      </c>
      <c r="G2026" t="s">
        <v>224</v>
      </c>
      <c r="I2026">
        <v>6</v>
      </c>
      <c r="J2026" t="s">
        <v>43</v>
      </c>
      <c r="K2026">
        <v>4</v>
      </c>
      <c r="L2026" t="s">
        <v>44</v>
      </c>
      <c r="M2026">
        <v>3.5</v>
      </c>
      <c r="N2026" t="s">
        <v>45</v>
      </c>
      <c r="Q2026" t="s">
        <v>62</v>
      </c>
      <c r="R2026" t="s">
        <v>63</v>
      </c>
      <c r="S2026" t="s">
        <v>101</v>
      </c>
      <c r="T2026">
        <v>285</v>
      </c>
      <c r="U2026" t="s">
        <v>50</v>
      </c>
      <c r="V2026" t="s">
        <v>76</v>
      </c>
      <c r="X2026" t="s">
        <v>141</v>
      </c>
      <c r="Y2026" t="s">
        <v>103</v>
      </c>
      <c r="AA2026">
        <v>0</v>
      </c>
      <c r="AB2026" t="s">
        <v>79</v>
      </c>
      <c r="AC2026" t="s">
        <v>87</v>
      </c>
      <c r="AD2026">
        <v>36</v>
      </c>
      <c r="AE2026">
        <v>9</v>
      </c>
      <c r="AF2026">
        <v>3</v>
      </c>
      <c r="AG2026">
        <v>2025</v>
      </c>
      <c r="AH2026" s="2">
        <v>3400</v>
      </c>
      <c r="AI2026" s="2">
        <v>3422.1064453125</v>
      </c>
      <c r="AJ2026" s="2">
        <f t="shared" si="250"/>
        <v>22.1064453125</v>
      </c>
      <c r="AK2026" s="6">
        <f t="shared" si="251"/>
        <v>6.5018956801470591E-3</v>
      </c>
      <c r="AL2026" s="12">
        <v>3400</v>
      </c>
      <c r="AM2026" s="12">
        <v>3555.0797820979219</v>
      </c>
      <c r="AN2026" s="12">
        <f t="shared" si="252"/>
        <v>155.07978209792191</v>
      </c>
      <c r="AO2026" s="13">
        <f t="shared" si="253"/>
        <v>4.5611700617035858E-2</v>
      </c>
      <c r="AP2026" s="16">
        <v>3400</v>
      </c>
      <c r="AQ2026" s="16">
        <v>2815.8581749216851</v>
      </c>
      <c r="AR2026" s="16">
        <f t="shared" si="254"/>
        <v>584.14182507831492</v>
      </c>
      <c r="AS2026" s="17">
        <f t="shared" si="248"/>
        <v>0.17180641914068087</v>
      </c>
      <c r="AT2026" s="20">
        <v>3400</v>
      </c>
      <c r="AU2026" s="20">
        <v>3432.912841796875</v>
      </c>
      <c r="AV2026" s="20">
        <f t="shared" si="249"/>
        <v>32.912841796875</v>
      </c>
      <c r="AW2026" s="21">
        <f t="shared" si="255"/>
        <v>9.6802475873161761E-3</v>
      </c>
    </row>
    <row r="2027" spans="1:49" x14ac:dyDescent="0.25">
      <c r="A2027" t="s">
        <v>38</v>
      </c>
      <c r="B2027" t="s">
        <v>110</v>
      </c>
      <c r="C2027">
        <v>118930</v>
      </c>
      <c r="D2027">
        <v>2018</v>
      </c>
      <c r="E2027" t="s">
        <v>88</v>
      </c>
      <c r="F2027" t="s">
        <v>89</v>
      </c>
      <c r="H2027" t="s">
        <v>956</v>
      </c>
      <c r="I2027">
        <v>8</v>
      </c>
      <c r="J2027" t="s">
        <v>72</v>
      </c>
      <c r="K2027">
        <v>4</v>
      </c>
      <c r="L2027" t="s">
        <v>44</v>
      </c>
      <c r="M2027">
        <v>5.7</v>
      </c>
      <c r="N2027" t="s">
        <v>73</v>
      </c>
      <c r="Q2027" t="s">
        <v>74</v>
      </c>
      <c r="R2027" t="s">
        <v>92</v>
      </c>
      <c r="S2027" t="s">
        <v>49</v>
      </c>
      <c r="T2027">
        <v>395</v>
      </c>
      <c r="U2027" t="s">
        <v>50</v>
      </c>
      <c r="V2027" t="s">
        <v>76</v>
      </c>
      <c r="X2027" t="s">
        <v>94</v>
      </c>
      <c r="Y2027" t="s">
        <v>78</v>
      </c>
      <c r="AA2027">
        <v>0</v>
      </c>
      <c r="AB2027" t="s">
        <v>79</v>
      </c>
      <c r="AC2027" t="s">
        <v>95</v>
      </c>
      <c r="AD2027">
        <v>36</v>
      </c>
      <c r="AE2027">
        <v>9</v>
      </c>
      <c r="AF2027">
        <v>3</v>
      </c>
      <c r="AG2027">
        <v>2025</v>
      </c>
      <c r="AH2027" s="2">
        <v>12000</v>
      </c>
      <c r="AI2027" s="2">
        <v>11050.8837890625</v>
      </c>
      <c r="AJ2027" s="2">
        <f t="shared" si="250"/>
        <v>949.1162109375</v>
      </c>
      <c r="AK2027" s="6">
        <f t="shared" si="251"/>
        <v>7.9093017578124994E-2</v>
      </c>
      <c r="AL2027" s="12">
        <v>12000</v>
      </c>
      <c r="AM2027" s="12">
        <v>11830.60416806821</v>
      </c>
      <c r="AN2027" s="12">
        <f t="shared" si="252"/>
        <v>169.39583193178987</v>
      </c>
      <c r="AO2027" s="13">
        <f t="shared" si="253"/>
        <v>1.4116319327649157E-2</v>
      </c>
      <c r="AP2027" s="16">
        <v>12000</v>
      </c>
      <c r="AQ2027" s="16">
        <v>11584.902464412889</v>
      </c>
      <c r="AR2027" s="16">
        <f t="shared" si="254"/>
        <v>415.09753558711054</v>
      </c>
      <c r="AS2027" s="17">
        <f t="shared" si="248"/>
        <v>3.4591461298925881E-2</v>
      </c>
      <c r="AT2027" s="20">
        <v>12000</v>
      </c>
      <c r="AU2027" s="20">
        <v>11326.1640625</v>
      </c>
      <c r="AV2027" s="20">
        <f t="shared" si="249"/>
        <v>673.8359375</v>
      </c>
      <c r="AW2027" s="21">
        <f t="shared" si="255"/>
        <v>5.6152994791666667E-2</v>
      </c>
    </row>
    <row r="2028" spans="1:49" x14ac:dyDescent="0.25">
      <c r="A2028" t="s">
        <v>38</v>
      </c>
      <c r="B2028" t="s">
        <v>57</v>
      </c>
      <c r="C2028">
        <v>178015</v>
      </c>
      <c r="D2028">
        <v>2013</v>
      </c>
      <c r="E2028" t="s">
        <v>341</v>
      </c>
      <c r="F2028" t="s">
        <v>342</v>
      </c>
      <c r="G2028" t="s">
        <v>1063</v>
      </c>
      <c r="I2028">
        <v>4</v>
      </c>
      <c r="J2028" t="s">
        <v>122</v>
      </c>
      <c r="K2028">
        <v>4</v>
      </c>
      <c r="L2028" t="s">
        <v>44</v>
      </c>
      <c r="M2028">
        <v>2.4</v>
      </c>
      <c r="N2028" t="s">
        <v>45</v>
      </c>
      <c r="O2028" t="s">
        <v>46</v>
      </c>
      <c r="P2028">
        <v>2</v>
      </c>
      <c r="Q2028" t="s">
        <v>47</v>
      </c>
      <c r="R2028" t="s">
        <v>123</v>
      </c>
      <c r="U2028" t="s">
        <v>50</v>
      </c>
      <c r="W2028" t="s">
        <v>343</v>
      </c>
      <c r="X2028" t="s">
        <v>125</v>
      </c>
      <c r="Y2028" t="s">
        <v>78</v>
      </c>
      <c r="AA2028">
        <v>0</v>
      </c>
      <c r="AB2028" t="s">
        <v>79</v>
      </c>
      <c r="AC2028" t="s">
        <v>127</v>
      </c>
      <c r="AD2028">
        <v>36</v>
      </c>
      <c r="AE2028">
        <v>9</v>
      </c>
      <c r="AF2028">
        <v>3</v>
      </c>
      <c r="AG2028">
        <v>2025</v>
      </c>
      <c r="AH2028" s="2">
        <v>2000</v>
      </c>
      <c r="AI2028" s="2">
        <v>1205.723388671875</v>
      </c>
      <c r="AJ2028" s="2">
        <f t="shared" si="250"/>
        <v>794.276611328125</v>
      </c>
      <c r="AK2028" s="6">
        <f t="shared" si="251"/>
        <v>0.3971383056640625</v>
      </c>
      <c r="AL2028" s="12">
        <v>2000</v>
      </c>
      <c r="AM2028" s="12">
        <v>1300.7843804800159</v>
      </c>
      <c r="AN2028" s="12">
        <f t="shared" si="252"/>
        <v>699.2156195199841</v>
      </c>
      <c r="AO2028" s="13">
        <f t="shared" si="253"/>
        <v>0.34960780975999206</v>
      </c>
      <c r="AP2028" s="16">
        <v>2000</v>
      </c>
      <c r="AQ2028" s="16">
        <v>1190.9395408706271</v>
      </c>
      <c r="AR2028" s="16">
        <f t="shared" si="254"/>
        <v>809.06045912937293</v>
      </c>
      <c r="AS2028" s="17">
        <f t="shared" si="248"/>
        <v>0.40453022956468648</v>
      </c>
      <c r="AT2028" s="20">
        <v>2000</v>
      </c>
      <c r="AU2028" s="20">
        <v>1197.496704101562</v>
      </c>
      <c r="AV2028" s="20">
        <f t="shared" si="249"/>
        <v>802.50329589843795</v>
      </c>
      <c r="AW2028" s="21">
        <f t="shared" si="255"/>
        <v>0.40125164794921897</v>
      </c>
    </row>
    <row r="2029" spans="1:49" x14ac:dyDescent="0.25">
      <c r="A2029" t="s">
        <v>38</v>
      </c>
      <c r="B2029" t="s">
        <v>96</v>
      </c>
      <c r="C2029">
        <v>70149</v>
      </c>
      <c r="D2029">
        <v>2020</v>
      </c>
      <c r="E2029" t="s">
        <v>162</v>
      </c>
      <c r="F2029" t="s">
        <v>674</v>
      </c>
      <c r="G2029" t="s">
        <v>878</v>
      </c>
      <c r="I2029">
        <v>4</v>
      </c>
      <c r="J2029" t="s">
        <v>135</v>
      </c>
      <c r="K2029">
        <v>4</v>
      </c>
      <c r="L2029" t="s">
        <v>44</v>
      </c>
      <c r="M2029">
        <v>2</v>
      </c>
      <c r="N2029" t="s">
        <v>45</v>
      </c>
      <c r="O2029" t="s">
        <v>46</v>
      </c>
      <c r="P2029">
        <v>3</v>
      </c>
      <c r="Q2029" t="s">
        <v>62</v>
      </c>
      <c r="R2029" t="s">
        <v>63</v>
      </c>
      <c r="S2029" t="s">
        <v>49</v>
      </c>
      <c r="T2029">
        <v>164</v>
      </c>
      <c r="U2029" t="s">
        <v>50</v>
      </c>
      <c r="W2029" t="s">
        <v>729</v>
      </c>
      <c r="X2029" t="s">
        <v>65</v>
      </c>
      <c r="Y2029" t="s">
        <v>66</v>
      </c>
      <c r="AA2029">
        <v>0</v>
      </c>
      <c r="AB2029" t="s">
        <v>79</v>
      </c>
      <c r="AC2029" t="s">
        <v>87</v>
      </c>
      <c r="AD2029">
        <v>36</v>
      </c>
      <c r="AE2029">
        <v>9</v>
      </c>
      <c r="AF2029">
        <v>3</v>
      </c>
      <c r="AG2029">
        <v>2025</v>
      </c>
      <c r="AH2029" s="2">
        <v>11500</v>
      </c>
      <c r="AI2029" s="2">
        <v>11336.0849609375</v>
      </c>
      <c r="AJ2029" s="2">
        <f t="shared" si="250"/>
        <v>163.9150390625</v>
      </c>
      <c r="AK2029" s="6">
        <f t="shared" si="251"/>
        <v>1.4253481657608695E-2</v>
      </c>
      <c r="AL2029" s="12">
        <v>11500</v>
      </c>
      <c r="AM2029" s="12">
        <v>10899.41840797895</v>
      </c>
      <c r="AN2029" s="12">
        <f t="shared" si="252"/>
        <v>600.5815920210498</v>
      </c>
      <c r="AO2029" s="13">
        <f t="shared" si="253"/>
        <v>5.222448626269998E-2</v>
      </c>
      <c r="AP2029" s="16">
        <v>11500</v>
      </c>
      <c r="AQ2029" s="16">
        <v>10819.9329078382</v>
      </c>
      <c r="AR2029" s="16">
        <f t="shared" si="254"/>
        <v>680.06709216180025</v>
      </c>
      <c r="AS2029" s="17">
        <f t="shared" si="248"/>
        <v>5.9136268883634803E-2</v>
      </c>
      <c r="AT2029" s="20">
        <v>11500</v>
      </c>
      <c r="AU2029" s="20">
        <v>11282.380859375</v>
      </c>
      <c r="AV2029" s="20">
        <f t="shared" si="249"/>
        <v>217.619140625</v>
      </c>
      <c r="AW2029" s="21">
        <f t="shared" si="255"/>
        <v>1.8923403532608695E-2</v>
      </c>
    </row>
    <row r="2030" spans="1:49" x14ac:dyDescent="0.25">
      <c r="A2030" t="s">
        <v>81</v>
      </c>
      <c r="B2030" t="s">
        <v>304</v>
      </c>
      <c r="C2030">
        <v>646</v>
      </c>
      <c r="D2030">
        <v>2025</v>
      </c>
      <c r="E2030" t="s">
        <v>345</v>
      </c>
      <c r="F2030" t="s">
        <v>1581</v>
      </c>
      <c r="G2030" t="s">
        <v>1582</v>
      </c>
      <c r="H2030" t="s">
        <v>710</v>
      </c>
      <c r="J2030" t="s">
        <v>72</v>
      </c>
      <c r="K2030">
        <v>4</v>
      </c>
      <c r="L2030" t="s">
        <v>44</v>
      </c>
      <c r="N2030" t="s">
        <v>44</v>
      </c>
      <c r="O2030" t="s">
        <v>46</v>
      </c>
      <c r="Q2030" t="s">
        <v>47</v>
      </c>
      <c r="R2030" t="s">
        <v>123</v>
      </c>
      <c r="S2030" t="s">
        <v>85</v>
      </c>
      <c r="T2030">
        <v>389</v>
      </c>
      <c r="U2030" t="s">
        <v>601</v>
      </c>
      <c r="X2030" t="s">
        <v>94</v>
      </c>
      <c r="Y2030" t="s">
        <v>137</v>
      </c>
      <c r="AA2030">
        <v>1</v>
      </c>
      <c r="AB2030" t="s">
        <v>603</v>
      </c>
      <c r="AC2030" t="s">
        <v>393</v>
      </c>
      <c r="AD2030">
        <v>36</v>
      </c>
      <c r="AE2030">
        <v>9</v>
      </c>
      <c r="AF2030">
        <v>3</v>
      </c>
      <c r="AG2030">
        <v>2025</v>
      </c>
      <c r="AH2030" s="2">
        <v>55100</v>
      </c>
      <c r="AI2030" s="2">
        <v>60983.17578125</v>
      </c>
      <c r="AJ2030" s="2">
        <f t="shared" si="250"/>
        <v>5883.17578125</v>
      </c>
      <c r="AK2030" s="6">
        <f t="shared" si="251"/>
        <v>0.10677270020417423</v>
      </c>
      <c r="AL2030" s="12">
        <v>55100</v>
      </c>
      <c r="AM2030" s="12">
        <v>52089.658746855333</v>
      </c>
      <c r="AN2030" s="12">
        <f t="shared" si="252"/>
        <v>3010.3412531446666</v>
      </c>
      <c r="AO2030" s="13">
        <f t="shared" si="253"/>
        <v>5.4634142525311555E-2</v>
      </c>
      <c r="AP2030" s="16">
        <v>55100</v>
      </c>
      <c r="AQ2030" s="16">
        <v>54776.016847316831</v>
      </c>
      <c r="AR2030" s="16">
        <f t="shared" si="254"/>
        <v>323.98315268316946</v>
      </c>
      <c r="AS2030" s="17">
        <f t="shared" si="248"/>
        <v>5.8799120269177763E-3</v>
      </c>
      <c r="AT2030" s="20">
        <v>55100</v>
      </c>
      <c r="AU2030" s="20">
        <v>60039.70703125</v>
      </c>
      <c r="AV2030" s="20">
        <f t="shared" si="249"/>
        <v>4939.70703125</v>
      </c>
      <c r="AW2030" s="21">
        <f t="shared" si="255"/>
        <v>8.9649855376588025E-2</v>
      </c>
    </row>
    <row r="2031" spans="1:49" x14ac:dyDescent="0.25">
      <c r="A2031" t="s">
        <v>38</v>
      </c>
      <c r="B2031" t="s">
        <v>110</v>
      </c>
      <c r="C2031">
        <v>173445</v>
      </c>
      <c r="D2031">
        <v>2019</v>
      </c>
      <c r="E2031" t="s">
        <v>166</v>
      </c>
      <c r="F2031" t="s">
        <v>562</v>
      </c>
      <c r="G2031" t="s">
        <v>457</v>
      </c>
      <c r="I2031">
        <v>4</v>
      </c>
      <c r="J2031" t="s">
        <v>61</v>
      </c>
      <c r="K2031">
        <v>4</v>
      </c>
      <c r="L2031" t="s">
        <v>44</v>
      </c>
      <c r="M2031">
        <v>1.5</v>
      </c>
      <c r="N2031" t="s">
        <v>45</v>
      </c>
      <c r="Q2031" t="s">
        <v>47</v>
      </c>
      <c r="R2031" t="s">
        <v>123</v>
      </c>
      <c r="S2031" t="s">
        <v>49</v>
      </c>
      <c r="T2031">
        <v>192</v>
      </c>
      <c r="U2031" t="s">
        <v>50</v>
      </c>
      <c r="V2031" t="s">
        <v>51</v>
      </c>
      <c r="W2031" t="s">
        <v>249</v>
      </c>
      <c r="X2031" t="s">
        <v>65</v>
      </c>
      <c r="Y2031" t="s">
        <v>78</v>
      </c>
      <c r="Z2031">
        <v>26180</v>
      </c>
      <c r="AA2031">
        <v>0</v>
      </c>
      <c r="AB2031" t="s">
        <v>79</v>
      </c>
      <c r="AC2031" t="s">
        <v>127</v>
      </c>
      <c r="AD2031">
        <v>36</v>
      </c>
      <c r="AE2031">
        <v>9</v>
      </c>
      <c r="AF2031">
        <v>3</v>
      </c>
      <c r="AG2031">
        <v>2025</v>
      </c>
      <c r="AH2031" s="2">
        <v>5000</v>
      </c>
      <c r="AI2031" s="2">
        <v>9093.6123046875</v>
      </c>
      <c r="AJ2031" s="2">
        <f t="shared" si="250"/>
        <v>4093.6123046875</v>
      </c>
      <c r="AK2031" s="6">
        <f t="shared" si="251"/>
        <v>0.81872246093750001</v>
      </c>
      <c r="AL2031" s="12">
        <v>5000</v>
      </c>
      <c r="AM2031" s="12">
        <v>6918.4238892288076</v>
      </c>
      <c r="AN2031" s="12">
        <f t="shared" si="252"/>
        <v>1918.4238892288076</v>
      </c>
      <c r="AO2031" s="13">
        <f t="shared" si="253"/>
        <v>0.38368477784576155</v>
      </c>
      <c r="AP2031" s="16">
        <v>5000</v>
      </c>
      <c r="AQ2031" s="16">
        <v>6087.8929691993517</v>
      </c>
      <c r="AR2031" s="16">
        <f t="shared" si="254"/>
        <v>1087.8929691993517</v>
      </c>
      <c r="AS2031" s="17">
        <f t="shared" si="248"/>
        <v>0.21757859383987033</v>
      </c>
      <c r="AT2031" s="20">
        <v>5000</v>
      </c>
      <c r="AU2031" s="20">
        <v>8782.08984375</v>
      </c>
      <c r="AV2031" s="20">
        <f t="shared" si="249"/>
        <v>3782.08984375</v>
      </c>
      <c r="AW2031" s="21">
        <f t="shared" si="255"/>
        <v>0.75641796875</v>
      </c>
    </row>
    <row r="2032" spans="1:49" x14ac:dyDescent="0.25">
      <c r="A2032" t="s">
        <v>128</v>
      </c>
      <c r="B2032" t="s">
        <v>129</v>
      </c>
      <c r="C2032">
        <v>176241</v>
      </c>
      <c r="D2032">
        <v>2015</v>
      </c>
      <c r="E2032" t="s">
        <v>142</v>
      </c>
      <c r="F2032" t="s">
        <v>373</v>
      </c>
      <c r="G2032" t="s">
        <v>398</v>
      </c>
      <c r="I2032">
        <v>6</v>
      </c>
      <c r="J2032" t="s">
        <v>72</v>
      </c>
      <c r="K2032">
        <v>4</v>
      </c>
      <c r="L2032" t="s">
        <v>44</v>
      </c>
      <c r="M2032">
        <v>3.6</v>
      </c>
      <c r="N2032" t="s">
        <v>73</v>
      </c>
      <c r="O2032" t="s">
        <v>46</v>
      </c>
      <c r="P2032">
        <v>1</v>
      </c>
      <c r="Q2032" t="s">
        <v>62</v>
      </c>
      <c r="R2032" t="s">
        <v>63</v>
      </c>
      <c r="S2032" t="s">
        <v>49</v>
      </c>
      <c r="U2032" t="s">
        <v>50</v>
      </c>
      <c r="X2032" t="s">
        <v>94</v>
      </c>
      <c r="Y2032" t="s">
        <v>78</v>
      </c>
      <c r="AA2032">
        <v>0</v>
      </c>
      <c r="AB2032" t="s">
        <v>79</v>
      </c>
      <c r="AC2032" t="s">
        <v>87</v>
      </c>
      <c r="AD2032">
        <v>36</v>
      </c>
      <c r="AE2032">
        <v>9</v>
      </c>
      <c r="AF2032">
        <v>3</v>
      </c>
      <c r="AG2032">
        <v>2025</v>
      </c>
      <c r="AH2032" s="2">
        <v>2800</v>
      </c>
      <c r="AI2032" s="2">
        <v>1637.903930664062</v>
      </c>
      <c r="AJ2032" s="2">
        <f t="shared" si="250"/>
        <v>1162.096069335938</v>
      </c>
      <c r="AK2032" s="6">
        <f t="shared" si="251"/>
        <v>0.41503431047712069</v>
      </c>
      <c r="AL2032" s="12">
        <v>2800</v>
      </c>
      <c r="AM2032" s="12">
        <v>2455.806960917469</v>
      </c>
      <c r="AN2032" s="12">
        <f t="shared" si="252"/>
        <v>344.19303908253096</v>
      </c>
      <c r="AO2032" s="13">
        <f t="shared" si="253"/>
        <v>0.1229260853866182</v>
      </c>
      <c r="AP2032" s="16">
        <v>2800</v>
      </c>
      <c r="AQ2032" s="16">
        <v>2056.6461263558081</v>
      </c>
      <c r="AR2032" s="16">
        <f t="shared" si="254"/>
        <v>743.35387364419194</v>
      </c>
      <c r="AS2032" s="17">
        <f t="shared" si="248"/>
        <v>0.26548352630149713</v>
      </c>
      <c r="AT2032" s="20">
        <v>2800</v>
      </c>
      <c r="AU2032" s="20">
        <v>1634.692016601562</v>
      </c>
      <c r="AV2032" s="20">
        <f t="shared" si="249"/>
        <v>1165.307983398438</v>
      </c>
      <c r="AW2032" s="21">
        <f t="shared" si="255"/>
        <v>0.41618142264229929</v>
      </c>
    </row>
    <row r="2033" spans="1:49" x14ac:dyDescent="0.25">
      <c r="A2033" t="s">
        <v>38</v>
      </c>
      <c r="B2033" t="s">
        <v>39</v>
      </c>
      <c r="C2033">
        <v>150435</v>
      </c>
      <c r="D2033">
        <v>2020</v>
      </c>
      <c r="E2033" t="s">
        <v>97</v>
      </c>
      <c r="F2033" t="s">
        <v>419</v>
      </c>
      <c r="G2033" t="s">
        <v>155</v>
      </c>
      <c r="I2033">
        <v>8</v>
      </c>
      <c r="J2033" t="s">
        <v>72</v>
      </c>
      <c r="K2033">
        <v>4</v>
      </c>
      <c r="L2033" t="s">
        <v>44</v>
      </c>
      <c r="M2033">
        <v>5.3</v>
      </c>
      <c r="N2033" t="s">
        <v>73</v>
      </c>
      <c r="O2033" t="s">
        <v>46</v>
      </c>
      <c r="P2033">
        <v>3</v>
      </c>
      <c r="Q2033" t="s">
        <v>62</v>
      </c>
      <c r="R2033" t="s">
        <v>63</v>
      </c>
      <c r="S2033" t="s">
        <v>49</v>
      </c>
      <c r="U2033" t="s">
        <v>50</v>
      </c>
      <c r="W2033" t="s">
        <v>1016</v>
      </c>
      <c r="X2033" t="s">
        <v>108</v>
      </c>
      <c r="Y2033" t="s">
        <v>78</v>
      </c>
      <c r="AA2033">
        <v>0</v>
      </c>
      <c r="AB2033" t="s">
        <v>79</v>
      </c>
      <c r="AC2033" t="s">
        <v>109</v>
      </c>
      <c r="AD2033">
        <v>36</v>
      </c>
      <c r="AE2033">
        <v>9</v>
      </c>
      <c r="AF2033">
        <v>3</v>
      </c>
      <c r="AG2033">
        <v>2025</v>
      </c>
      <c r="AH2033" s="2">
        <v>13200</v>
      </c>
      <c r="AI2033" s="2">
        <v>17471.642578125</v>
      </c>
      <c r="AJ2033" s="2">
        <f t="shared" si="250"/>
        <v>4271.642578125</v>
      </c>
      <c r="AK2033" s="6">
        <f t="shared" si="251"/>
        <v>0.32360928622159091</v>
      </c>
      <c r="AL2033" s="12">
        <v>13200</v>
      </c>
      <c r="AM2033" s="12">
        <v>17934.50173999937</v>
      </c>
      <c r="AN2033" s="12">
        <f t="shared" si="252"/>
        <v>4734.5017399993703</v>
      </c>
      <c r="AO2033" s="13">
        <f t="shared" si="253"/>
        <v>0.35867437424237653</v>
      </c>
      <c r="AP2033" s="16">
        <v>13200</v>
      </c>
      <c r="AQ2033" s="16">
        <v>14155.357960681549</v>
      </c>
      <c r="AR2033" s="16">
        <f t="shared" si="254"/>
        <v>955.35796068154923</v>
      </c>
      <c r="AS2033" s="17">
        <f t="shared" si="248"/>
        <v>7.2375603081935552E-2</v>
      </c>
      <c r="AT2033" s="20">
        <v>13200</v>
      </c>
      <c r="AU2033" s="20">
        <v>17338.64453125</v>
      </c>
      <c r="AV2033" s="20">
        <f t="shared" si="249"/>
        <v>4138.64453125</v>
      </c>
      <c r="AW2033" s="21">
        <f t="shared" si="255"/>
        <v>0.31353367660984849</v>
      </c>
    </row>
    <row r="2034" spans="1:49" x14ac:dyDescent="0.25">
      <c r="A2034" t="s">
        <v>38</v>
      </c>
      <c r="B2034" t="s">
        <v>39</v>
      </c>
      <c r="C2034">
        <v>337307</v>
      </c>
      <c r="D2034">
        <v>2013</v>
      </c>
      <c r="E2034" t="s">
        <v>69</v>
      </c>
      <c r="F2034" t="s">
        <v>258</v>
      </c>
      <c r="H2034" t="s">
        <v>259</v>
      </c>
      <c r="I2034">
        <v>8</v>
      </c>
      <c r="J2034" t="s">
        <v>61</v>
      </c>
      <c r="K2034">
        <v>4</v>
      </c>
      <c r="L2034" t="s">
        <v>44</v>
      </c>
      <c r="M2034">
        <v>6.7</v>
      </c>
      <c r="N2034" t="s">
        <v>91</v>
      </c>
      <c r="O2034" t="s">
        <v>46</v>
      </c>
      <c r="Q2034" t="s">
        <v>74</v>
      </c>
      <c r="R2034" t="s">
        <v>92</v>
      </c>
      <c r="S2034" t="s">
        <v>93</v>
      </c>
      <c r="T2034">
        <v>400</v>
      </c>
      <c r="U2034" t="s">
        <v>229</v>
      </c>
      <c r="V2034" t="s">
        <v>76</v>
      </c>
      <c r="X2034" t="s">
        <v>260</v>
      </c>
      <c r="Y2034" t="s">
        <v>78</v>
      </c>
      <c r="AA2034">
        <v>0</v>
      </c>
      <c r="AB2034" t="s">
        <v>79</v>
      </c>
      <c r="AC2034" t="s">
        <v>261</v>
      </c>
      <c r="AD2034">
        <v>36</v>
      </c>
      <c r="AE2034">
        <v>9</v>
      </c>
      <c r="AF2034">
        <v>3</v>
      </c>
      <c r="AG2034">
        <v>2025</v>
      </c>
      <c r="AH2034" s="2">
        <v>7000</v>
      </c>
      <c r="AI2034" s="2">
        <v>8016.796875</v>
      </c>
      <c r="AJ2034" s="2">
        <f t="shared" si="250"/>
        <v>1016.796875</v>
      </c>
      <c r="AK2034" s="6">
        <f t="shared" si="251"/>
        <v>0.14525669642857142</v>
      </c>
      <c r="AL2034" s="12">
        <v>7000</v>
      </c>
      <c r="AM2034" s="12">
        <v>7156.463455900288</v>
      </c>
      <c r="AN2034" s="12">
        <f t="shared" si="252"/>
        <v>156.46345590028795</v>
      </c>
      <c r="AO2034" s="13">
        <f t="shared" si="253"/>
        <v>2.2351922271469708E-2</v>
      </c>
      <c r="AP2034" s="16">
        <v>7000</v>
      </c>
      <c r="AQ2034" s="16">
        <v>7532.1811099671404</v>
      </c>
      <c r="AR2034" s="16">
        <f t="shared" si="254"/>
        <v>532.1811099671404</v>
      </c>
      <c r="AS2034" s="17">
        <f t="shared" si="248"/>
        <v>7.6025872852448634E-2</v>
      </c>
      <c r="AT2034" s="20">
        <v>7000</v>
      </c>
      <c r="AU2034" s="20">
        <v>8018.3798828125</v>
      </c>
      <c r="AV2034" s="20">
        <f t="shared" si="249"/>
        <v>1018.3798828125</v>
      </c>
      <c r="AW2034" s="21">
        <f t="shared" si="255"/>
        <v>0.14548284040178572</v>
      </c>
    </row>
    <row r="2035" spans="1:49" x14ac:dyDescent="0.25">
      <c r="A2035" t="s">
        <v>38</v>
      </c>
      <c r="B2035" t="s">
        <v>96</v>
      </c>
      <c r="C2035">
        <v>106029</v>
      </c>
      <c r="D2035">
        <v>2018</v>
      </c>
      <c r="E2035" t="s">
        <v>142</v>
      </c>
      <c r="F2035" t="s">
        <v>633</v>
      </c>
      <c r="G2035" t="s">
        <v>820</v>
      </c>
      <c r="I2035">
        <v>6</v>
      </c>
      <c r="J2035" t="s">
        <v>61</v>
      </c>
      <c r="K2035">
        <v>4</v>
      </c>
      <c r="L2035" t="s">
        <v>44</v>
      </c>
      <c r="M2035">
        <v>3.6</v>
      </c>
      <c r="N2035" t="s">
        <v>91</v>
      </c>
      <c r="O2035" t="s">
        <v>46</v>
      </c>
      <c r="Q2035" t="s">
        <v>62</v>
      </c>
      <c r="R2035" t="s">
        <v>63</v>
      </c>
      <c r="S2035" t="s">
        <v>93</v>
      </c>
      <c r="T2035">
        <v>285</v>
      </c>
      <c r="U2035" t="s">
        <v>50</v>
      </c>
      <c r="V2035" t="s">
        <v>76</v>
      </c>
      <c r="X2035" t="s">
        <v>141</v>
      </c>
      <c r="Y2035" t="s">
        <v>78</v>
      </c>
      <c r="AA2035">
        <v>0</v>
      </c>
      <c r="AB2035" t="s">
        <v>79</v>
      </c>
      <c r="AC2035" t="s">
        <v>87</v>
      </c>
      <c r="AD2035">
        <v>36</v>
      </c>
      <c r="AE2035">
        <v>9</v>
      </c>
      <c r="AF2035">
        <v>3</v>
      </c>
      <c r="AG2035">
        <v>2025</v>
      </c>
      <c r="AH2035" s="2">
        <v>15750</v>
      </c>
      <c r="AI2035" s="2">
        <v>15917.6884765625</v>
      </c>
      <c r="AJ2035" s="2">
        <f t="shared" si="250"/>
        <v>167.6884765625</v>
      </c>
      <c r="AK2035" s="6">
        <f t="shared" si="251"/>
        <v>1.0646887400793651E-2</v>
      </c>
      <c r="AL2035" s="12">
        <v>15750</v>
      </c>
      <c r="AM2035" s="12">
        <v>16063.3800386372</v>
      </c>
      <c r="AN2035" s="12">
        <f t="shared" si="252"/>
        <v>313.38003863720041</v>
      </c>
      <c r="AO2035" s="13">
        <f t="shared" si="253"/>
        <v>1.9897145310298438E-2</v>
      </c>
      <c r="AP2035" s="16">
        <v>15750</v>
      </c>
      <c r="AQ2035" s="16">
        <v>13352.671145180449</v>
      </c>
      <c r="AR2035" s="16">
        <f t="shared" si="254"/>
        <v>2397.3288548195505</v>
      </c>
      <c r="AS2035" s="17">
        <f t="shared" si="248"/>
        <v>0.15221135586155876</v>
      </c>
      <c r="AT2035" s="20">
        <v>15750</v>
      </c>
      <c r="AU2035" s="20">
        <v>15847.251953125</v>
      </c>
      <c r="AV2035" s="20">
        <f t="shared" si="249"/>
        <v>97.251953125</v>
      </c>
      <c r="AW2035" s="21">
        <f t="shared" si="255"/>
        <v>6.1747271825396827E-3</v>
      </c>
    </row>
    <row r="2036" spans="1:49" x14ac:dyDescent="0.25">
      <c r="A2036" t="s">
        <v>38</v>
      </c>
      <c r="B2036" t="s">
        <v>110</v>
      </c>
      <c r="C2036">
        <v>229536</v>
      </c>
      <c r="D2036">
        <v>2010</v>
      </c>
      <c r="E2036" t="s">
        <v>166</v>
      </c>
      <c r="F2036" t="s">
        <v>223</v>
      </c>
      <c r="G2036" t="s">
        <v>760</v>
      </c>
      <c r="I2036">
        <v>6</v>
      </c>
      <c r="J2036" t="s">
        <v>106</v>
      </c>
      <c r="K2036">
        <v>4</v>
      </c>
      <c r="L2036" t="s">
        <v>44</v>
      </c>
      <c r="M2036">
        <v>3.5</v>
      </c>
      <c r="N2036" t="s">
        <v>45</v>
      </c>
      <c r="Q2036" t="s">
        <v>62</v>
      </c>
      <c r="R2036" t="s">
        <v>225</v>
      </c>
      <c r="T2036">
        <v>244</v>
      </c>
      <c r="U2036" t="s">
        <v>50</v>
      </c>
      <c r="V2036" t="s">
        <v>76</v>
      </c>
      <c r="W2036" t="s">
        <v>737</v>
      </c>
      <c r="X2036" t="s">
        <v>141</v>
      </c>
      <c r="Y2036" t="s">
        <v>78</v>
      </c>
      <c r="AA2036">
        <v>0</v>
      </c>
      <c r="AB2036" t="s">
        <v>79</v>
      </c>
      <c r="AC2036" t="s">
        <v>225</v>
      </c>
      <c r="AD2036">
        <v>36</v>
      </c>
      <c r="AE2036">
        <v>9</v>
      </c>
      <c r="AF2036">
        <v>3</v>
      </c>
      <c r="AG2036">
        <v>2025</v>
      </c>
      <c r="AH2036" s="2">
        <v>1100</v>
      </c>
      <c r="AI2036" s="2">
        <v>1251.908081054688</v>
      </c>
      <c r="AJ2036" s="2">
        <f t="shared" si="250"/>
        <v>151.90808105468795</v>
      </c>
      <c r="AK2036" s="6">
        <f t="shared" si="251"/>
        <v>0.13809825550426177</v>
      </c>
      <c r="AL2036" s="12">
        <v>1100</v>
      </c>
      <c r="AM2036" s="12">
        <v>1558.6444548436079</v>
      </c>
      <c r="AN2036" s="12">
        <f t="shared" si="252"/>
        <v>458.64445484360795</v>
      </c>
      <c r="AO2036" s="13">
        <f t="shared" si="253"/>
        <v>0.41694950440327994</v>
      </c>
      <c r="AP2036" s="16">
        <v>1100</v>
      </c>
      <c r="AQ2036" s="16">
        <v>1127.023668276986</v>
      </c>
      <c r="AR2036" s="16">
        <f t="shared" si="254"/>
        <v>27.023668276985973</v>
      </c>
      <c r="AS2036" s="17">
        <f t="shared" si="248"/>
        <v>2.4566971160896338E-2</v>
      </c>
      <c r="AT2036" s="20">
        <v>1100</v>
      </c>
      <c r="AU2036" s="20">
        <v>1234.309936523438</v>
      </c>
      <c r="AV2036" s="20">
        <f t="shared" si="249"/>
        <v>134.30993652343795</v>
      </c>
      <c r="AW2036" s="21">
        <f t="shared" si="255"/>
        <v>0.12209994229403451</v>
      </c>
    </row>
    <row r="2037" spans="1:49" x14ac:dyDescent="0.25">
      <c r="A2037" t="s">
        <v>38</v>
      </c>
      <c r="B2037" t="s">
        <v>68</v>
      </c>
      <c r="C2037">
        <v>259158</v>
      </c>
      <c r="D2037">
        <v>2005</v>
      </c>
      <c r="E2037" t="s">
        <v>341</v>
      </c>
      <c r="F2037" t="s">
        <v>521</v>
      </c>
      <c r="H2037" t="s">
        <v>1102</v>
      </c>
      <c r="I2037">
        <v>6</v>
      </c>
      <c r="J2037" t="s">
        <v>43</v>
      </c>
      <c r="K2037">
        <v>4</v>
      </c>
      <c r="L2037" t="s">
        <v>44</v>
      </c>
      <c r="M2037">
        <v>3.8</v>
      </c>
      <c r="N2037" t="s">
        <v>45</v>
      </c>
      <c r="O2037" t="s">
        <v>46</v>
      </c>
      <c r="Q2037" t="s">
        <v>47</v>
      </c>
      <c r="R2037" t="s">
        <v>123</v>
      </c>
      <c r="U2037" t="s">
        <v>50</v>
      </c>
      <c r="V2037" t="s">
        <v>76</v>
      </c>
      <c r="W2037" t="s">
        <v>523</v>
      </c>
      <c r="X2037" t="s">
        <v>125</v>
      </c>
      <c r="Y2037" t="s">
        <v>103</v>
      </c>
      <c r="AA2037">
        <v>0</v>
      </c>
      <c r="AB2037" t="s">
        <v>79</v>
      </c>
      <c r="AC2037" t="s">
        <v>127</v>
      </c>
      <c r="AD2037">
        <v>36</v>
      </c>
      <c r="AE2037">
        <v>9</v>
      </c>
      <c r="AF2037">
        <v>3</v>
      </c>
      <c r="AG2037">
        <v>2025</v>
      </c>
      <c r="AH2037" s="2">
        <v>500</v>
      </c>
      <c r="AI2037" s="2">
        <v>701.898193359375</v>
      </c>
      <c r="AJ2037" s="2">
        <f t="shared" si="250"/>
        <v>201.898193359375</v>
      </c>
      <c r="AK2037" s="6">
        <f t="shared" si="251"/>
        <v>0.40379638671875001</v>
      </c>
      <c r="AL2037" s="12">
        <v>500</v>
      </c>
      <c r="AM2037" s="12">
        <v>671.57078935935931</v>
      </c>
      <c r="AN2037" s="12">
        <f t="shared" si="252"/>
        <v>171.57078935935931</v>
      </c>
      <c r="AO2037" s="13">
        <f t="shared" si="253"/>
        <v>0.34314157871871864</v>
      </c>
      <c r="AP2037" s="16">
        <v>500</v>
      </c>
      <c r="AQ2037" s="16">
        <v>695.74157211698571</v>
      </c>
      <c r="AR2037" s="16">
        <f t="shared" si="254"/>
        <v>195.74157211698571</v>
      </c>
      <c r="AS2037" s="17">
        <f t="shared" si="248"/>
        <v>0.3914831442339714</v>
      </c>
      <c r="AT2037" s="20">
        <v>500</v>
      </c>
      <c r="AU2037" s="20">
        <v>648.20440673828125</v>
      </c>
      <c r="AV2037" s="20">
        <f t="shared" si="249"/>
        <v>148.20440673828125</v>
      </c>
      <c r="AW2037" s="21">
        <f t="shared" si="255"/>
        <v>0.2964088134765625</v>
      </c>
    </row>
    <row r="2038" spans="1:49" x14ac:dyDescent="0.25">
      <c r="A2038" t="s">
        <v>38</v>
      </c>
      <c r="B2038" t="s">
        <v>110</v>
      </c>
      <c r="C2038">
        <v>65804</v>
      </c>
      <c r="D2038">
        <v>2018</v>
      </c>
      <c r="E2038" t="s">
        <v>146</v>
      </c>
      <c r="F2038" t="s">
        <v>279</v>
      </c>
      <c r="I2038">
        <v>4</v>
      </c>
      <c r="J2038" t="s">
        <v>61</v>
      </c>
      <c r="K2038">
        <v>4</v>
      </c>
      <c r="L2038" t="s">
        <v>44</v>
      </c>
      <c r="M2038">
        <v>1.8</v>
      </c>
      <c r="N2038" t="s">
        <v>45</v>
      </c>
      <c r="Q2038" t="s">
        <v>47</v>
      </c>
      <c r="R2038" t="s">
        <v>123</v>
      </c>
      <c r="S2038" t="s">
        <v>49</v>
      </c>
      <c r="T2038">
        <v>130</v>
      </c>
      <c r="U2038" t="s">
        <v>50</v>
      </c>
      <c r="V2038" t="s">
        <v>51</v>
      </c>
      <c r="X2038" t="s">
        <v>125</v>
      </c>
      <c r="Y2038" t="s">
        <v>126</v>
      </c>
      <c r="Z2038">
        <v>16685</v>
      </c>
      <c r="AA2038">
        <v>0</v>
      </c>
      <c r="AB2038" t="s">
        <v>79</v>
      </c>
      <c r="AC2038" t="s">
        <v>127</v>
      </c>
      <c r="AD2038">
        <v>36</v>
      </c>
      <c r="AE2038">
        <v>9</v>
      </c>
      <c r="AF2038">
        <v>3</v>
      </c>
      <c r="AG2038">
        <v>2025</v>
      </c>
      <c r="AH2038" s="2">
        <v>1900</v>
      </c>
      <c r="AI2038" s="2">
        <v>4953.3125</v>
      </c>
      <c r="AJ2038" s="2">
        <f t="shared" si="250"/>
        <v>3053.3125</v>
      </c>
      <c r="AK2038" s="6">
        <f t="shared" si="251"/>
        <v>1.6070065789473684</v>
      </c>
      <c r="AL2038" s="12">
        <v>1900</v>
      </c>
      <c r="AM2038" s="12">
        <v>5868.8148657393549</v>
      </c>
      <c r="AN2038" s="12">
        <f t="shared" si="252"/>
        <v>3968.8148657393549</v>
      </c>
      <c r="AO2038" s="13">
        <f t="shared" si="253"/>
        <v>2.0888499293365026</v>
      </c>
      <c r="AP2038" s="16">
        <v>1900</v>
      </c>
      <c r="AQ2038" s="16">
        <v>4932.2678226365624</v>
      </c>
      <c r="AR2038" s="16">
        <f t="shared" si="254"/>
        <v>3032.2678226365624</v>
      </c>
      <c r="AS2038" s="17">
        <f t="shared" si="248"/>
        <v>1.5959304329666117</v>
      </c>
      <c r="AT2038" s="20">
        <v>1900</v>
      </c>
      <c r="AU2038" s="20">
        <v>5020.78955078125</v>
      </c>
      <c r="AV2038" s="20">
        <f t="shared" si="249"/>
        <v>3120.78955078125</v>
      </c>
      <c r="AW2038" s="21">
        <f t="shared" si="255"/>
        <v>1.6425208162006579</v>
      </c>
    </row>
    <row r="2039" spans="1:49" x14ac:dyDescent="0.25">
      <c r="A2039" t="s">
        <v>38</v>
      </c>
      <c r="B2039" t="s">
        <v>39</v>
      </c>
      <c r="C2039">
        <v>266988</v>
      </c>
      <c r="D2039">
        <v>2003</v>
      </c>
      <c r="E2039" t="s">
        <v>69</v>
      </c>
      <c r="F2039" t="s">
        <v>104</v>
      </c>
      <c r="H2039" t="s">
        <v>105</v>
      </c>
      <c r="I2039">
        <v>8</v>
      </c>
      <c r="J2039" t="s">
        <v>43</v>
      </c>
      <c r="K2039">
        <v>4</v>
      </c>
      <c r="L2039" t="s">
        <v>44</v>
      </c>
      <c r="M2039">
        <v>4.5999999999999996</v>
      </c>
      <c r="N2039" t="s">
        <v>73</v>
      </c>
      <c r="Q2039" t="s">
        <v>62</v>
      </c>
      <c r="R2039" t="s">
        <v>63</v>
      </c>
      <c r="S2039" t="s">
        <v>49</v>
      </c>
      <c r="U2039" t="s">
        <v>50</v>
      </c>
      <c r="V2039" t="s">
        <v>76</v>
      </c>
      <c r="X2039" t="s">
        <v>94</v>
      </c>
      <c r="Y2039" t="s">
        <v>78</v>
      </c>
      <c r="AA2039">
        <v>0</v>
      </c>
      <c r="AB2039" t="s">
        <v>79</v>
      </c>
      <c r="AC2039" t="s">
        <v>87</v>
      </c>
      <c r="AD2039">
        <v>36</v>
      </c>
      <c r="AE2039">
        <v>9</v>
      </c>
      <c r="AF2039">
        <v>3</v>
      </c>
      <c r="AG2039">
        <v>2025</v>
      </c>
      <c r="AH2039" s="2">
        <v>500</v>
      </c>
      <c r="AI2039" s="2">
        <v>769.3216552734375</v>
      </c>
      <c r="AJ2039" s="2">
        <f t="shared" si="250"/>
        <v>269.3216552734375</v>
      </c>
      <c r="AK2039" s="6">
        <f t="shared" si="251"/>
        <v>0.53864331054687498</v>
      </c>
      <c r="AL2039" s="12">
        <v>500</v>
      </c>
      <c r="AM2039" s="12">
        <v>870.00199063550951</v>
      </c>
      <c r="AN2039" s="12">
        <f t="shared" si="252"/>
        <v>370.00199063550951</v>
      </c>
      <c r="AO2039" s="13">
        <f t="shared" si="253"/>
        <v>0.74000398127101907</v>
      </c>
      <c r="AP2039" s="16">
        <v>500</v>
      </c>
      <c r="AQ2039" s="16">
        <v>746.37930059661539</v>
      </c>
      <c r="AR2039" s="16">
        <f t="shared" si="254"/>
        <v>246.37930059661539</v>
      </c>
      <c r="AS2039" s="17">
        <f t="shared" si="248"/>
        <v>0.49275860119323078</v>
      </c>
      <c r="AT2039" s="20">
        <v>500</v>
      </c>
      <c r="AU2039" s="20">
        <v>752.505859375</v>
      </c>
      <c r="AV2039" s="20">
        <f t="shared" si="249"/>
        <v>252.505859375</v>
      </c>
      <c r="AW2039" s="21">
        <f t="shared" si="255"/>
        <v>0.50501171874999995</v>
      </c>
    </row>
    <row r="2040" spans="1:49" x14ac:dyDescent="0.25">
      <c r="A2040" t="s">
        <v>38</v>
      </c>
      <c r="B2040" t="s">
        <v>96</v>
      </c>
      <c r="C2040">
        <v>78260</v>
      </c>
      <c r="D2040">
        <v>2019</v>
      </c>
      <c r="E2040" t="s">
        <v>88</v>
      </c>
      <c r="F2040" t="s">
        <v>883</v>
      </c>
      <c r="H2040" t="s">
        <v>1052</v>
      </c>
      <c r="I2040">
        <v>6</v>
      </c>
      <c r="J2040" t="s">
        <v>135</v>
      </c>
      <c r="K2040">
        <v>4</v>
      </c>
      <c r="L2040" t="s">
        <v>44</v>
      </c>
      <c r="M2040">
        <v>6.7</v>
      </c>
      <c r="N2040" t="s">
        <v>91</v>
      </c>
      <c r="O2040" t="s">
        <v>46</v>
      </c>
      <c r="Q2040" t="s">
        <v>74</v>
      </c>
      <c r="R2040" t="s">
        <v>92</v>
      </c>
      <c r="S2040" t="s">
        <v>93</v>
      </c>
      <c r="U2040" t="s">
        <v>229</v>
      </c>
      <c r="V2040" t="s">
        <v>51</v>
      </c>
      <c r="X2040" t="s">
        <v>260</v>
      </c>
      <c r="Y2040" t="s">
        <v>126</v>
      </c>
      <c r="AA2040">
        <v>0</v>
      </c>
      <c r="AB2040" t="s">
        <v>79</v>
      </c>
      <c r="AC2040" t="s">
        <v>261</v>
      </c>
      <c r="AD2040">
        <v>36</v>
      </c>
      <c r="AE2040">
        <v>9</v>
      </c>
      <c r="AF2040">
        <v>3</v>
      </c>
      <c r="AG2040">
        <v>2025</v>
      </c>
      <c r="AH2040" s="2">
        <v>44000</v>
      </c>
      <c r="AI2040" s="2">
        <v>33109.1640625</v>
      </c>
      <c r="AJ2040" s="2">
        <f t="shared" si="250"/>
        <v>10890.8359375</v>
      </c>
      <c r="AK2040" s="6">
        <f t="shared" si="251"/>
        <v>0.24751899857954546</v>
      </c>
      <c r="AL2040" s="12">
        <v>44000</v>
      </c>
      <c r="AM2040" s="12">
        <v>33715.117245479589</v>
      </c>
      <c r="AN2040" s="12">
        <f t="shared" si="252"/>
        <v>10284.882754520411</v>
      </c>
      <c r="AO2040" s="13">
        <f t="shared" si="253"/>
        <v>0.23374733533000935</v>
      </c>
      <c r="AP2040" s="16">
        <v>44000</v>
      </c>
      <c r="AQ2040" s="16">
        <v>37218.647060349533</v>
      </c>
      <c r="AR2040" s="16">
        <f t="shared" si="254"/>
        <v>6781.3529396504673</v>
      </c>
      <c r="AS2040" s="17">
        <f t="shared" si="248"/>
        <v>0.15412165771932881</v>
      </c>
      <c r="AT2040" s="20">
        <v>44000</v>
      </c>
      <c r="AU2040" s="20">
        <v>32712.34375</v>
      </c>
      <c r="AV2040" s="20">
        <f t="shared" si="249"/>
        <v>11287.65625</v>
      </c>
      <c r="AW2040" s="21">
        <f t="shared" si="255"/>
        <v>0.25653764204545454</v>
      </c>
    </row>
    <row r="2041" spans="1:49" x14ac:dyDescent="0.25">
      <c r="A2041" t="s">
        <v>38</v>
      </c>
      <c r="B2041" t="s">
        <v>68</v>
      </c>
      <c r="C2041">
        <v>134684</v>
      </c>
      <c r="D2041">
        <v>2019</v>
      </c>
      <c r="E2041" t="s">
        <v>69</v>
      </c>
      <c r="F2041" t="s">
        <v>231</v>
      </c>
      <c r="I2041">
        <v>6</v>
      </c>
      <c r="J2041" t="s">
        <v>135</v>
      </c>
      <c r="K2041">
        <v>4</v>
      </c>
      <c r="L2041" t="s">
        <v>44</v>
      </c>
      <c r="M2041">
        <v>3.5</v>
      </c>
      <c r="N2041" t="s">
        <v>91</v>
      </c>
      <c r="O2041" t="s">
        <v>46</v>
      </c>
      <c r="Q2041" t="s">
        <v>74</v>
      </c>
      <c r="R2041" t="s">
        <v>92</v>
      </c>
      <c r="S2041" t="s">
        <v>93</v>
      </c>
      <c r="T2041">
        <v>375</v>
      </c>
      <c r="U2041" t="s">
        <v>50</v>
      </c>
      <c r="V2041" t="s">
        <v>76</v>
      </c>
      <c r="W2041" t="s">
        <v>308</v>
      </c>
      <c r="X2041" t="s">
        <v>108</v>
      </c>
      <c r="Y2041" t="s">
        <v>78</v>
      </c>
      <c r="AA2041">
        <v>0</v>
      </c>
      <c r="AB2041" t="s">
        <v>79</v>
      </c>
      <c r="AC2041" t="s">
        <v>95</v>
      </c>
      <c r="AD2041">
        <v>36</v>
      </c>
      <c r="AE2041">
        <v>9</v>
      </c>
      <c r="AF2041">
        <v>3</v>
      </c>
      <c r="AG2041">
        <v>2025</v>
      </c>
      <c r="AH2041" s="2">
        <v>21500</v>
      </c>
      <c r="AI2041" s="2">
        <v>16569.16015625</v>
      </c>
      <c r="AJ2041" s="2">
        <f t="shared" si="250"/>
        <v>4930.83984375</v>
      </c>
      <c r="AK2041" s="6">
        <f t="shared" si="251"/>
        <v>0.22934138808139534</v>
      </c>
      <c r="AL2041" s="12">
        <v>21500</v>
      </c>
      <c r="AM2041" s="12">
        <v>17353.09121753175</v>
      </c>
      <c r="AN2041" s="12">
        <f t="shared" si="252"/>
        <v>4146.9087824682501</v>
      </c>
      <c r="AO2041" s="13">
        <f t="shared" si="253"/>
        <v>0.19287947825433721</v>
      </c>
      <c r="AP2041" s="16">
        <v>21500</v>
      </c>
      <c r="AQ2041" s="16">
        <v>15631.191022741061</v>
      </c>
      <c r="AR2041" s="16">
        <f t="shared" si="254"/>
        <v>5868.8089772589392</v>
      </c>
      <c r="AS2041" s="17">
        <f t="shared" si="248"/>
        <v>0.27296785940739254</v>
      </c>
      <c r="AT2041" s="20">
        <v>21500</v>
      </c>
      <c r="AU2041" s="20">
        <v>16658.8125</v>
      </c>
      <c r="AV2041" s="20">
        <f t="shared" si="249"/>
        <v>4841.1875</v>
      </c>
      <c r="AW2041" s="21">
        <f t="shared" si="255"/>
        <v>0.22517151162790697</v>
      </c>
    </row>
    <row r="2042" spans="1:49" x14ac:dyDescent="0.25">
      <c r="A2042" t="s">
        <v>38</v>
      </c>
      <c r="B2042" t="s">
        <v>110</v>
      </c>
      <c r="C2042">
        <v>67687</v>
      </c>
      <c r="D2042">
        <v>2017</v>
      </c>
      <c r="E2042" t="s">
        <v>97</v>
      </c>
      <c r="F2042" t="s">
        <v>379</v>
      </c>
      <c r="G2042" t="s">
        <v>155</v>
      </c>
      <c r="I2042">
        <v>4</v>
      </c>
      <c r="J2042" t="s">
        <v>122</v>
      </c>
      <c r="K2042">
        <v>4</v>
      </c>
      <c r="L2042" t="s">
        <v>44</v>
      </c>
      <c r="M2042">
        <v>1.4</v>
      </c>
      <c r="N2042" t="s">
        <v>45</v>
      </c>
      <c r="O2042" t="s">
        <v>46</v>
      </c>
      <c r="P2042">
        <v>2</v>
      </c>
      <c r="Q2042" t="s">
        <v>47</v>
      </c>
      <c r="R2042" t="s">
        <v>48</v>
      </c>
      <c r="U2042" t="s">
        <v>50</v>
      </c>
      <c r="V2042" t="s">
        <v>51</v>
      </c>
      <c r="W2042" t="s">
        <v>423</v>
      </c>
      <c r="X2042" t="s">
        <v>125</v>
      </c>
      <c r="Y2042" t="s">
        <v>126</v>
      </c>
      <c r="Z2042">
        <v>21240</v>
      </c>
      <c r="AA2042">
        <v>0</v>
      </c>
      <c r="AB2042" t="s">
        <v>79</v>
      </c>
      <c r="AC2042" t="s">
        <v>359</v>
      </c>
      <c r="AD2042">
        <v>36</v>
      </c>
      <c r="AE2042">
        <v>9</v>
      </c>
      <c r="AF2042">
        <v>3</v>
      </c>
      <c r="AG2042">
        <v>2025</v>
      </c>
      <c r="AH2042" s="2">
        <v>7000</v>
      </c>
      <c r="AI2042" s="2">
        <v>4716.69189453125</v>
      </c>
      <c r="AJ2042" s="2">
        <f t="shared" si="250"/>
        <v>2283.30810546875</v>
      </c>
      <c r="AK2042" s="6">
        <f t="shared" si="251"/>
        <v>0.32618687220982145</v>
      </c>
      <c r="AL2042" s="12">
        <v>7000</v>
      </c>
      <c r="AM2042" s="12">
        <v>4685.898331663715</v>
      </c>
      <c r="AN2042" s="12">
        <f t="shared" si="252"/>
        <v>2314.101668336285</v>
      </c>
      <c r="AO2042" s="13">
        <f t="shared" si="253"/>
        <v>0.33058595261946927</v>
      </c>
      <c r="AP2042" s="16">
        <v>7000</v>
      </c>
      <c r="AQ2042" s="16">
        <v>4521.5590447044997</v>
      </c>
      <c r="AR2042" s="16">
        <f t="shared" si="254"/>
        <v>2478.4409552955003</v>
      </c>
      <c r="AS2042" s="17">
        <f t="shared" si="248"/>
        <v>0.35406299361364291</v>
      </c>
      <c r="AT2042" s="20">
        <v>7000</v>
      </c>
      <c r="AU2042" s="20">
        <v>4756.5283203125</v>
      </c>
      <c r="AV2042" s="20">
        <f t="shared" si="249"/>
        <v>2243.4716796875</v>
      </c>
      <c r="AW2042" s="21">
        <f t="shared" si="255"/>
        <v>0.32049595424107141</v>
      </c>
    </row>
    <row r="2043" spans="1:49" x14ac:dyDescent="0.25">
      <c r="A2043" t="s">
        <v>38</v>
      </c>
      <c r="B2043" t="s">
        <v>96</v>
      </c>
      <c r="C2043">
        <v>64383</v>
      </c>
      <c r="D2043">
        <v>2017</v>
      </c>
      <c r="E2043" t="s">
        <v>132</v>
      </c>
      <c r="F2043" t="s">
        <v>912</v>
      </c>
      <c r="H2043" t="s">
        <v>914</v>
      </c>
      <c r="I2043">
        <v>4</v>
      </c>
      <c r="J2043" t="s">
        <v>106</v>
      </c>
      <c r="K2043">
        <v>4</v>
      </c>
      <c r="L2043" t="s">
        <v>44</v>
      </c>
      <c r="M2043">
        <v>2</v>
      </c>
      <c r="N2043" t="s">
        <v>73</v>
      </c>
      <c r="O2043" t="s">
        <v>46</v>
      </c>
      <c r="P2043">
        <v>4</v>
      </c>
      <c r="Q2043" t="s">
        <v>62</v>
      </c>
      <c r="R2043" t="s">
        <v>63</v>
      </c>
      <c r="T2043">
        <v>241</v>
      </c>
      <c r="U2043" t="s">
        <v>50</v>
      </c>
      <c r="V2043" t="s">
        <v>51</v>
      </c>
      <c r="W2043" t="s">
        <v>915</v>
      </c>
      <c r="X2043" t="s">
        <v>141</v>
      </c>
      <c r="Y2043" t="s">
        <v>137</v>
      </c>
      <c r="AA2043">
        <v>0</v>
      </c>
      <c r="AB2043" t="s">
        <v>79</v>
      </c>
      <c r="AC2043" t="s">
        <v>87</v>
      </c>
      <c r="AD2043">
        <v>36</v>
      </c>
      <c r="AE2043">
        <v>9</v>
      </c>
      <c r="AF2043">
        <v>3</v>
      </c>
      <c r="AG2043">
        <v>2025</v>
      </c>
      <c r="AH2043" s="2">
        <v>11000</v>
      </c>
      <c r="AI2043" s="2">
        <v>11807.822265625</v>
      </c>
      <c r="AJ2043" s="2">
        <f t="shared" si="250"/>
        <v>807.822265625</v>
      </c>
      <c r="AK2043" s="6">
        <f t="shared" si="251"/>
        <v>7.3438387784090911E-2</v>
      </c>
      <c r="AL2043" s="12">
        <v>11000</v>
      </c>
      <c r="AM2043" s="12">
        <v>14071.732787163361</v>
      </c>
      <c r="AN2043" s="12">
        <f t="shared" si="252"/>
        <v>3071.7327871633606</v>
      </c>
      <c r="AO2043" s="13">
        <f t="shared" si="253"/>
        <v>0.27924843519666914</v>
      </c>
      <c r="AP2043" s="16">
        <v>11000</v>
      </c>
      <c r="AQ2043" s="16">
        <v>12880.691126655311</v>
      </c>
      <c r="AR2043" s="16">
        <f t="shared" si="254"/>
        <v>1880.6911266553107</v>
      </c>
      <c r="AS2043" s="17">
        <f t="shared" si="248"/>
        <v>0.17097192060502825</v>
      </c>
      <c r="AT2043" s="20">
        <v>11000</v>
      </c>
      <c r="AU2043" s="20">
        <v>12368.25</v>
      </c>
      <c r="AV2043" s="20">
        <f t="shared" si="249"/>
        <v>1368.25</v>
      </c>
      <c r="AW2043" s="21">
        <f t="shared" si="255"/>
        <v>0.12438636363636364</v>
      </c>
    </row>
    <row r="2044" spans="1:49" x14ac:dyDescent="0.25">
      <c r="A2044" t="s">
        <v>38</v>
      </c>
      <c r="B2044" t="s">
        <v>110</v>
      </c>
      <c r="C2044">
        <v>85062</v>
      </c>
      <c r="D2044">
        <v>2016</v>
      </c>
      <c r="E2044" t="s">
        <v>166</v>
      </c>
      <c r="F2044" t="s">
        <v>167</v>
      </c>
      <c r="G2044" t="s">
        <v>1583</v>
      </c>
      <c r="I2044">
        <v>6</v>
      </c>
      <c r="J2044" t="s">
        <v>135</v>
      </c>
      <c r="K2044">
        <v>4</v>
      </c>
      <c r="L2044" t="s">
        <v>44</v>
      </c>
      <c r="M2044">
        <v>3.5</v>
      </c>
      <c r="N2044" t="s">
        <v>45</v>
      </c>
      <c r="O2044" t="s">
        <v>46</v>
      </c>
      <c r="P2044">
        <v>3</v>
      </c>
      <c r="Q2044" t="s">
        <v>62</v>
      </c>
      <c r="R2044" t="s">
        <v>63</v>
      </c>
      <c r="S2044" t="s">
        <v>49</v>
      </c>
      <c r="T2044">
        <v>280</v>
      </c>
      <c r="U2044" t="s">
        <v>50</v>
      </c>
      <c r="V2044" t="s">
        <v>76</v>
      </c>
      <c r="W2044" t="s">
        <v>412</v>
      </c>
      <c r="X2044" t="s">
        <v>141</v>
      </c>
      <c r="Y2044" t="s">
        <v>78</v>
      </c>
      <c r="AA2044">
        <v>0</v>
      </c>
      <c r="AB2044" t="s">
        <v>79</v>
      </c>
      <c r="AC2044" t="s">
        <v>87</v>
      </c>
      <c r="AD2044">
        <v>36</v>
      </c>
      <c r="AE2044">
        <v>9</v>
      </c>
      <c r="AF2044">
        <v>3</v>
      </c>
      <c r="AG2044">
        <v>2025</v>
      </c>
      <c r="AH2044" s="2">
        <v>13250</v>
      </c>
      <c r="AI2044" s="2">
        <v>13403.470703125</v>
      </c>
      <c r="AJ2044" s="2">
        <f t="shared" si="250"/>
        <v>153.470703125</v>
      </c>
      <c r="AK2044" s="6">
        <f t="shared" si="251"/>
        <v>1.1582694575471697E-2</v>
      </c>
      <c r="AL2044" s="12">
        <v>13250</v>
      </c>
      <c r="AM2044" s="12">
        <v>11422.07524641121</v>
      </c>
      <c r="AN2044" s="12">
        <f t="shared" si="252"/>
        <v>1827.9247535887898</v>
      </c>
      <c r="AO2044" s="13">
        <f t="shared" si="253"/>
        <v>0.13795658517651244</v>
      </c>
      <c r="AP2044" s="16">
        <v>13250</v>
      </c>
      <c r="AQ2044" s="16">
        <v>9181.8328598396511</v>
      </c>
      <c r="AR2044" s="16">
        <f t="shared" si="254"/>
        <v>4068.1671401603489</v>
      </c>
      <c r="AS2044" s="17">
        <f t="shared" si="248"/>
        <v>0.30703148227625277</v>
      </c>
      <c r="AT2044" s="20">
        <v>13250</v>
      </c>
      <c r="AU2044" s="20">
        <v>12947.5302734375</v>
      </c>
      <c r="AV2044" s="20">
        <f t="shared" si="249"/>
        <v>302.4697265625</v>
      </c>
      <c r="AW2044" s="21">
        <f t="shared" si="255"/>
        <v>2.2827903891509432E-2</v>
      </c>
    </row>
    <row r="2045" spans="1:49" x14ac:dyDescent="0.25">
      <c r="A2045" t="s">
        <v>38</v>
      </c>
      <c r="B2045" t="s">
        <v>110</v>
      </c>
      <c r="C2045">
        <v>102987</v>
      </c>
      <c r="D2045">
        <v>2009</v>
      </c>
      <c r="E2045" t="s">
        <v>58</v>
      </c>
      <c r="F2045" t="s">
        <v>1514</v>
      </c>
      <c r="I2045">
        <v>6</v>
      </c>
      <c r="J2045" t="s">
        <v>241</v>
      </c>
      <c r="K2045">
        <v>4</v>
      </c>
      <c r="L2045" t="s">
        <v>44</v>
      </c>
      <c r="M2045">
        <v>3.8</v>
      </c>
      <c r="N2045" t="s">
        <v>73</v>
      </c>
      <c r="Q2045" t="s">
        <v>62</v>
      </c>
      <c r="R2045" t="s">
        <v>63</v>
      </c>
      <c r="S2045" t="s">
        <v>49</v>
      </c>
      <c r="U2045" t="s">
        <v>50</v>
      </c>
      <c r="V2045" t="s">
        <v>76</v>
      </c>
      <c r="X2045" t="s">
        <v>94</v>
      </c>
      <c r="Y2045" t="s">
        <v>66</v>
      </c>
      <c r="AA2045">
        <v>0</v>
      </c>
      <c r="AB2045" t="s">
        <v>79</v>
      </c>
      <c r="AC2045" t="s">
        <v>87</v>
      </c>
      <c r="AD2045">
        <v>36</v>
      </c>
      <c r="AE2045">
        <v>9</v>
      </c>
      <c r="AF2045">
        <v>3</v>
      </c>
      <c r="AG2045">
        <v>2025</v>
      </c>
      <c r="AH2045" s="2">
        <v>4250</v>
      </c>
      <c r="AI2045" s="2">
        <v>2471.04931640625</v>
      </c>
      <c r="AJ2045" s="2">
        <f t="shared" si="250"/>
        <v>1778.95068359375</v>
      </c>
      <c r="AK2045" s="6">
        <f t="shared" si="251"/>
        <v>0.41857663143382351</v>
      </c>
      <c r="AL2045" s="12">
        <v>4250</v>
      </c>
      <c r="AM2045" s="12">
        <v>2261.7975451651209</v>
      </c>
      <c r="AN2045" s="12">
        <f t="shared" si="252"/>
        <v>1988.2024548348791</v>
      </c>
      <c r="AO2045" s="13">
        <f t="shared" si="253"/>
        <v>0.46781234231408919</v>
      </c>
      <c r="AP2045" s="16">
        <v>4250</v>
      </c>
      <c r="AQ2045" s="16">
        <v>1985.1378285880239</v>
      </c>
      <c r="AR2045" s="16">
        <f t="shared" si="254"/>
        <v>2264.8621714119763</v>
      </c>
      <c r="AS2045" s="17">
        <f t="shared" si="248"/>
        <v>0.53290874621458262</v>
      </c>
      <c r="AT2045" s="20">
        <v>4250</v>
      </c>
      <c r="AU2045" s="20">
        <v>2452.492431640625</v>
      </c>
      <c r="AV2045" s="20">
        <f t="shared" si="249"/>
        <v>1797.507568359375</v>
      </c>
      <c r="AW2045" s="21">
        <f t="shared" si="255"/>
        <v>0.42294295726102943</v>
      </c>
    </row>
    <row r="2046" spans="1:49" x14ac:dyDescent="0.25">
      <c r="A2046" t="s">
        <v>114</v>
      </c>
      <c r="B2046" t="s">
        <v>340</v>
      </c>
      <c r="C2046">
        <v>87629</v>
      </c>
      <c r="D2046">
        <v>2005</v>
      </c>
      <c r="E2046" t="s">
        <v>146</v>
      </c>
      <c r="F2046" t="s">
        <v>334</v>
      </c>
      <c r="I2046">
        <v>4</v>
      </c>
      <c r="J2046" t="s">
        <v>206</v>
      </c>
      <c r="K2046">
        <v>4</v>
      </c>
      <c r="L2046" t="s">
        <v>44</v>
      </c>
      <c r="M2046">
        <v>2.5</v>
      </c>
      <c r="N2046" t="s">
        <v>45</v>
      </c>
      <c r="O2046" t="s">
        <v>46</v>
      </c>
      <c r="P2046">
        <v>3</v>
      </c>
      <c r="Q2046" t="s">
        <v>47</v>
      </c>
      <c r="R2046" t="s">
        <v>123</v>
      </c>
      <c r="S2046" t="s">
        <v>49</v>
      </c>
      <c r="U2046" t="s">
        <v>50</v>
      </c>
      <c r="V2046" t="s">
        <v>51</v>
      </c>
      <c r="W2046" t="s">
        <v>803</v>
      </c>
      <c r="X2046" t="s">
        <v>125</v>
      </c>
      <c r="Y2046" t="s">
        <v>78</v>
      </c>
      <c r="AA2046">
        <v>0</v>
      </c>
      <c r="AB2046" t="s">
        <v>79</v>
      </c>
      <c r="AC2046" t="s">
        <v>127</v>
      </c>
      <c r="AD2046">
        <v>36</v>
      </c>
      <c r="AE2046">
        <v>9</v>
      </c>
      <c r="AF2046">
        <v>3</v>
      </c>
      <c r="AG2046">
        <v>2025</v>
      </c>
      <c r="AH2046" s="2">
        <v>1100</v>
      </c>
      <c r="AI2046" s="2">
        <v>893.7506103515625</v>
      </c>
      <c r="AJ2046" s="2">
        <f t="shared" si="250"/>
        <v>206.2493896484375</v>
      </c>
      <c r="AK2046" s="6">
        <f t="shared" si="251"/>
        <v>0.18749944513494318</v>
      </c>
      <c r="AL2046" s="12">
        <v>1100</v>
      </c>
      <c r="AM2046" s="12">
        <v>1192.1084611616359</v>
      </c>
      <c r="AN2046" s="12">
        <f t="shared" si="252"/>
        <v>92.108461161635887</v>
      </c>
      <c r="AO2046" s="13">
        <f t="shared" si="253"/>
        <v>8.373496469239626E-2</v>
      </c>
      <c r="AP2046" s="16">
        <v>1100</v>
      </c>
      <c r="AQ2046" s="16">
        <v>1056.34506015487</v>
      </c>
      <c r="AR2046" s="16">
        <f t="shared" si="254"/>
        <v>43.654939845130002</v>
      </c>
      <c r="AS2046" s="17">
        <f t="shared" si="248"/>
        <v>3.9686308950118182E-2</v>
      </c>
      <c r="AT2046" s="20">
        <v>1100</v>
      </c>
      <c r="AU2046" s="20">
        <v>889.74566650390625</v>
      </c>
      <c r="AV2046" s="20">
        <f t="shared" si="249"/>
        <v>210.25433349609375</v>
      </c>
      <c r="AW2046" s="21">
        <f t="shared" si="255"/>
        <v>0.19114030317826705</v>
      </c>
    </row>
    <row r="2047" spans="1:49" x14ac:dyDescent="0.25">
      <c r="A2047" t="s">
        <v>38</v>
      </c>
      <c r="B2047" t="s">
        <v>110</v>
      </c>
      <c r="C2047">
        <v>34532</v>
      </c>
      <c r="D2047">
        <v>2023</v>
      </c>
      <c r="E2047" t="s">
        <v>88</v>
      </c>
      <c r="F2047" t="s">
        <v>89</v>
      </c>
      <c r="G2047" t="s">
        <v>1566</v>
      </c>
      <c r="H2047" t="s">
        <v>921</v>
      </c>
      <c r="I2047">
        <v>6</v>
      </c>
      <c r="J2047" t="s">
        <v>72</v>
      </c>
      <c r="K2047">
        <v>2</v>
      </c>
      <c r="L2047" t="s">
        <v>371</v>
      </c>
      <c r="M2047">
        <v>3.6</v>
      </c>
      <c r="N2047" t="s">
        <v>73</v>
      </c>
      <c r="Q2047" t="s">
        <v>74</v>
      </c>
      <c r="R2047" t="s">
        <v>92</v>
      </c>
      <c r="S2047" t="s">
        <v>49</v>
      </c>
      <c r="T2047">
        <v>305</v>
      </c>
      <c r="U2047" t="s">
        <v>50</v>
      </c>
      <c r="V2047" t="s">
        <v>76</v>
      </c>
      <c r="X2047" t="s">
        <v>94</v>
      </c>
      <c r="Y2047" t="s">
        <v>126</v>
      </c>
      <c r="AA2047">
        <v>0</v>
      </c>
      <c r="AB2047" t="s">
        <v>79</v>
      </c>
      <c r="AC2047" t="s">
        <v>95</v>
      </c>
      <c r="AD2047">
        <v>36</v>
      </c>
      <c r="AE2047">
        <v>9</v>
      </c>
      <c r="AF2047">
        <v>3</v>
      </c>
      <c r="AG2047">
        <v>2025</v>
      </c>
      <c r="AH2047" s="2">
        <v>19000</v>
      </c>
      <c r="AI2047" s="2">
        <v>25269.162109375</v>
      </c>
      <c r="AJ2047" s="2">
        <f t="shared" si="250"/>
        <v>6269.162109375</v>
      </c>
      <c r="AK2047" s="6">
        <f t="shared" si="251"/>
        <v>0.32995590049342105</v>
      </c>
      <c r="AL2047" s="12">
        <v>19000</v>
      </c>
      <c r="AM2047" s="12">
        <v>26534.515288182301</v>
      </c>
      <c r="AN2047" s="12">
        <f t="shared" si="252"/>
        <v>7534.5152881823014</v>
      </c>
      <c r="AO2047" s="13">
        <f t="shared" si="253"/>
        <v>0.39655343622012112</v>
      </c>
      <c r="AP2047" s="16">
        <v>19000</v>
      </c>
      <c r="AQ2047" s="16">
        <v>24801.655119167619</v>
      </c>
      <c r="AR2047" s="16">
        <f t="shared" si="254"/>
        <v>5801.655119167619</v>
      </c>
      <c r="AS2047" s="17">
        <f t="shared" si="248"/>
        <v>0.3053502694298747</v>
      </c>
      <c r="AT2047" s="20">
        <v>19000</v>
      </c>
      <c r="AU2047" s="20">
        <v>25340.9375</v>
      </c>
      <c r="AV2047" s="20">
        <f t="shared" si="249"/>
        <v>6340.9375</v>
      </c>
      <c r="AW2047" s="21">
        <f t="shared" si="255"/>
        <v>0.33373355263157894</v>
      </c>
    </row>
    <row r="2048" spans="1:49" x14ac:dyDescent="0.25">
      <c r="A2048" t="s">
        <v>38</v>
      </c>
      <c r="B2048" t="s">
        <v>96</v>
      </c>
      <c r="C2048">
        <v>59758</v>
      </c>
      <c r="D2048">
        <v>2016</v>
      </c>
      <c r="E2048" t="s">
        <v>142</v>
      </c>
      <c r="F2048" t="s">
        <v>143</v>
      </c>
      <c r="G2048" t="s">
        <v>1337</v>
      </c>
      <c r="H2048" t="s">
        <v>145</v>
      </c>
      <c r="I2048">
        <v>4</v>
      </c>
      <c r="J2048" t="s">
        <v>72</v>
      </c>
      <c r="K2048">
        <v>4</v>
      </c>
      <c r="L2048" t="s">
        <v>44</v>
      </c>
      <c r="M2048">
        <v>2.4</v>
      </c>
      <c r="N2048" t="s">
        <v>45</v>
      </c>
      <c r="O2048" t="s">
        <v>46</v>
      </c>
      <c r="P2048">
        <v>5</v>
      </c>
      <c r="Q2048" t="s">
        <v>62</v>
      </c>
      <c r="R2048" t="s">
        <v>63</v>
      </c>
      <c r="S2048" t="s">
        <v>49</v>
      </c>
      <c r="U2048" t="s">
        <v>50</v>
      </c>
      <c r="X2048" t="s">
        <v>141</v>
      </c>
      <c r="Y2048" t="s">
        <v>78</v>
      </c>
      <c r="AA2048">
        <v>0</v>
      </c>
      <c r="AB2048" t="s">
        <v>79</v>
      </c>
      <c r="AC2048" t="s">
        <v>87</v>
      </c>
      <c r="AD2048">
        <v>36</v>
      </c>
      <c r="AE2048">
        <v>9</v>
      </c>
      <c r="AF2048">
        <v>3</v>
      </c>
      <c r="AG2048">
        <v>2025</v>
      </c>
      <c r="AH2048" s="2">
        <v>12200</v>
      </c>
      <c r="AI2048" s="2">
        <v>11575.0244140625</v>
      </c>
      <c r="AJ2048" s="2">
        <f t="shared" si="250"/>
        <v>624.9755859375</v>
      </c>
      <c r="AK2048" s="6">
        <f t="shared" si="251"/>
        <v>5.1227507044057374E-2</v>
      </c>
      <c r="AL2048" s="12">
        <v>12200</v>
      </c>
      <c r="AM2048" s="12">
        <v>9895.6043786464288</v>
      </c>
      <c r="AN2048" s="12">
        <f t="shared" si="252"/>
        <v>2304.3956213535712</v>
      </c>
      <c r="AO2048" s="13">
        <f t="shared" si="253"/>
        <v>0.18888488699619435</v>
      </c>
      <c r="AP2048" s="16">
        <v>12200</v>
      </c>
      <c r="AQ2048" s="16">
        <v>10873.483564405169</v>
      </c>
      <c r="AR2048" s="16">
        <f t="shared" si="254"/>
        <v>1326.5164355948309</v>
      </c>
      <c r="AS2048" s="17">
        <f t="shared" si="248"/>
        <v>0.10873085537662548</v>
      </c>
      <c r="AT2048" s="20">
        <v>12200</v>
      </c>
      <c r="AU2048" s="20">
        <v>11296.2705078125</v>
      </c>
      <c r="AV2048" s="20">
        <f t="shared" si="249"/>
        <v>903.7294921875</v>
      </c>
      <c r="AW2048" s="21">
        <f t="shared" si="255"/>
        <v>7.4076187884221309E-2</v>
      </c>
    </row>
    <row r="2049" spans="1:49" x14ac:dyDescent="0.25">
      <c r="A2049" t="s">
        <v>38</v>
      </c>
      <c r="B2049" t="s">
        <v>96</v>
      </c>
      <c r="C2049">
        <v>68479</v>
      </c>
      <c r="D2049">
        <v>2016</v>
      </c>
      <c r="E2049" t="s">
        <v>69</v>
      </c>
      <c r="F2049" t="s">
        <v>1195</v>
      </c>
      <c r="G2049" t="s">
        <v>956</v>
      </c>
      <c r="I2049">
        <v>4</v>
      </c>
      <c r="J2049" t="s">
        <v>61</v>
      </c>
      <c r="K2049">
        <v>4</v>
      </c>
      <c r="L2049" t="s">
        <v>402</v>
      </c>
      <c r="M2049">
        <v>1.6</v>
      </c>
      <c r="N2049" t="s">
        <v>45</v>
      </c>
      <c r="O2049" t="s">
        <v>46</v>
      </c>
      <c r="Q2049" t="s">
        <v>47</v>
      </c>
      <c r="R2049" t="s">
        <v>48</v>
      </c>
      <c r="U2049" t="s">
        <v>50</v>
      </c>
      <c r="V2049" t="s">
        <v>51</v>
      </c>
      <c r="W2049" t="s">
        <v>1584</v>
      </c>
      <c r="X2049" t="s">
        <v>125</v>
      </c>
      <c r="Y2049" t="s">
        <v>126</v>
      </c>
      <c r="AA2049">
        <v>0</v>
      </c>
      <c r="AB2049" t="s">
        <v>79</v>
      </c>
      <c r="AC2049" t="s">
        <v>359</v>
      </c>
      <c r="AD2049">
        <v>36</v>
      </c>
      <c r="AE2049">
        <v>9</v>
      </c>
      <c r="AF2049">
        <v>3</v>
      </c>
      <c r="AG2049">
        <v>2025</v>
      </c>
      <c r="AH2049" s="2">
        <v>8400</v>
      </c>
      <c r="AI2049" s="2">
        <v>7790.359375</v>
      </c>
      <c r="AJ2049" s="2">
        <f t="shared" si="250"/>
        <v>609.640625</v>
      </c>
      <c r="AK2049" s="6">
        <f t="shared" si="251"/>
        <v>7.2576264880952382E-2</v>
      </c>
      <c r="AL2049" s="12">
        <v>8400</v>
      </c>
      <c r="AM2049" s="12">
        <v>6832.7551009309354</v>
      </c>
      <c r="AN2049" s="12">
        <f t="shared" si="252"/>
        <v>1567.2448990690646</v>
      </c>
      <c r="AO2049" s="13">
        <f t="shared" si="253"/>
        <v>0.18657677369869816</v>
      </c>
      <c r="AP2049" s="16">
        <v>8400</v>
      </c>
      <c r="AQ2049" s="16">
        <v>5090.1151342903686</v>
      </c>
      <c r="AR2049" s="16">
        <f t="shared" si="254"/>
        <v>3309.8848657096314</v>
      </c>
      <c r="AS2049" s="17">
        <f t="shared" si="248"/>
        <v>0.39403391258447995</v>
      </c>
      <c r="AT2049" s="20">
        <v>8400</v>
      </c>
      <c r="AU2049" s="20">
        <v>7727.50732421875</v>
      </c>
      <c r="AV2049" s="20">
        <f t="shared" si="249"/>
        <v>672.49267578125</v>
      </c>
      <c r="AW2049" s="21">
        <f t="shared" si="255"/>
        <v>8.0058651878720244E-2</v>
      </c>
    </row>
    <row r="2050" spans="1:49" x14ac:dyDescent="0.25">
      <c r="A2050" t="s">
        <v>38</v>
      </c>
      <c r="B2050" t="s">
        <v>96</v>
      </c>
      <c r="C2050">
        <v>19437</v>
      </c>
      <c r="D2050">
        <v>2023</v>
      </c>
      <c r="E2050" t="s">
        <v>174</v>
      </c>
      <c r="F2050" t="s">
        <v>809</v>
      </c>
      <c r="H2050" t="s">
        <v>172</v>
      </c>
      <c r="I2050">
        <v>6</v>
      </c>
      <c r="J2050" t="s">
        <v>72</v>
      </c>
      <c r="K2050">
        <v>3</v>
      </c>
      <c r="L2050" t="s">
        <v>44</v>
      </c>
      <c r="M2050">
        <v>4.3</v>
      </c>
      <c r="N2050" t="s">
        <v>73</v>
      </c>
      <c r="O2050" t="s">
        <v>46</v>
      </c>
      <c r="P2050">
        <v>4</v>
      </c>
      <c r="Q2050" t="s">
        <v>74</v>
      </c>
      <c r="R2050" t="s">
        <v>75</v>
      </c>
      <c r="U2050" t="s">
        <v>50</v>
      </c>
      <c r="V2050" t="s">
        <v>76</v>
      </c>
      <c r="W2050" t="s">
        <v>173</v>
      </c>
      <c r="X2050" t="s">
        <v>77</v>
      </c>
      <c r="Y2050" t="s">
        <v>78</v>
      </c>
      <c r="AA2050">
        <v>0</v>
      </c>
      <c r="AB2050" t="s">
        <v>79</v>
      </c>
      <c r="AC2050" t="s">
        <v>80</v>
      </c>
      <c r="AD2050">
        <v>36</v>
      </c>
      <c r="AE2050">
        <v>9</v>
      </c>
      <c r="AF2050">
        <v>3</v>
      </c>
      <c r="AG2050">
        <v>2025</v>
      </c>
      <c r="AH2050" s="2">
        <v>24400</v>
      </c>
      <c r="AI2050" s="2">
        <v>27710.501953125</v>
      </c>
      <c r="AJ2050" s="2">
        <f t="shared" si="250"/>
        <v>3310.501953125</v>
      </c>
      <c r="AK2050" s="6">
        <f t="shared" si="251"/>
        <v>0.13567630955430326</v>
      </c>
      <c r="AL2050" s="12">
        <v>24400</v>
      </c>
      <c r="AM2050" s="12">
        <v>30771.8235883704</v>
      </c>
      <c r="AN2050" s="12">
        <f t="shared" si="252"/>
        <v>6371.8235883704001</v>
      </c>
      <c r="AO2050" s="13">
        <f t="shared" si="253"/>
        <v>0.26114031099878687</v>
      </c>
      <c r="AP2050" s="16">
        <v>24400</v>
      </c>
      <c r="AQ2050" s="16">
        <v>29663.85017608737</v>
      </c>
      <c r="AR2050" s="16">
        <f t="shared" si="254"/>
        <v>5263.8501760873696</v>
      </c>
      <c r="AS2050" s="17">
        <f t="shared" si="248"/>
        <v>0.21573156459374465</v>
      </c>
      <c r="AT2050" s="20">
        <v>24400</v>
      </c>
      <c r="AU2050" s="20">
        <v>27983.541015625</v>
      </c>
      <c r="AV2050" s="20">
        <f t="shared" si="249"/>
        <v>3583.541015625</v>
      </c>
      <c r="AW2050" s="21">
        <f t="shared" si="255"/>
        <v>0.14686643506659836</v>
      </c>
    </row>
    <row r="2051" spans="1:49" x14ac:dyDescent="0.25">
      <c r="A2051" t="s">
        <v>38</v>
      </c>
      <c r="B2051" t="s">
        <v>110</v>
      </c>
      <c r="C2051">
        <v>123875</v>
      </c>
      <c r="D2051">
        <v>2013</v>
      </c>
      <c r="E2051" t="s">
        <v>162</v>
      </c>
      <c r="F2051" t="s">
        <v>256</v>
      </c>
      <c r="G2051" t="s">
        <v>847</v>
      </c>
      <c r="I2051">
        <v>4</v>
      </c>
      <c r="J2051" t="s">
        <v>72</v>
      </c>
      <c r="K2051">
        <v>4</v>
      </c>
      <c r="L2051" t="s">
        <v>44</v>
      </c>
      <c r="M2051">
        <v>2.4</v>
      </c>
      <c r="N2051" t="s">
        <v>45</v>
      </c>
      <c r="Q2051" t="s">
        <v>62</v>
      </c>
      <c r="R2051" t="s">
        <v>63</v>
      </c>
      <c r="S2051" t="s">
        <v>49</v>
      </c>
      <c r="U2051" t="s">
        <v>50</v>
      </c>
      <c r="W2051" t="s">
        <v>848</v>
      </c>
      <c r="X2051" t="s">
        <v>65</v>
      </c>
      <c r="Y2051" t="s">
        <v>78</v>
      </c>
      <c r="AA2051">
        <v>0</v>
      </c>
      <c r="AB2051" t="s">
        <v>79</v>
      </c>
      <c r="AC2051" t="s">
        <v>87</v>
      </c>
      <c r="AD2051">
        <v>36</v>
      </c>
      <c r="AE2051">
        <v>9</v>
      </c>
      <c r="AF2051">
        <v>3</v>
      </c>
      <c r="AG2051">
        <v>2025</v>
      </c>
      <c r="AH2051" s="2">
        <v>3900</v>
      </c>
      <c r="AI2051" s="2">
        <v>3706.400634765625</v>
      </c>
      <c r="AJ2051" s="2">
        <f t="shared" si="250"/>
        <v>193.599365234375</v>
      </c>
      <c r="AK2051" s="6">
        <f t="shared" si="251"/>
        <v>4.9640862880608976E-2</v>
      </c>
      <c r="AL2051" s="12">
        <v>3900</v>
      </c>
      <c r="AM2051" s="12">
        <v>3156.2996569676579</v>
      </c>
      <c r="AN2051" s="12">
        <f t="shared" si="252"/>
        <v>743.70034303234206</v>
      </c>
      <c r="AO2051" s="13">
        <f t="shared" si="253"/>
        <v>0.19069239564931847</v>
      </c>
      <c r="AP2051" s="16">
        <v>3900</v>
      </c>
      <c r="AQ2051" s="16">
        <v>2902.085114512859</v>
      </c>
      <c r="AR2051" s="16">
        <f t="shared" si="254"/>
        <v>997.91488548714096</v>
      </c>
      <c r="AS2051" s="17">
        <f t="shared" ref="AS2051:AS2114" si="256">ABS($AH2051-AQ2051)/$AH2051</f>
        <v>0.25587561166336947</v>
      </c>
      <c r="AT2051" s="20">
        <v>3900</v>
      </c>
      <c r="AU2051" s="20">
        <v>3695.56201171875</v>
      </c>
      <c r="AV2051" s="20">
        <f t="shared" ref="AV2051:AV2114" si="257">ABS(AT2051-AU2051)</f>
        <v>204.43798828125</v>
      </c>
      <c r="AW2051" s="21">
        <f t="shared" si="255"/>
        <v>5.2419996995192307E-2</v>
      </c>
    </row>
    <row r="2052" spans="1:49" x14ac:dyDescent="0.25">
      <c r="A2052" t="s">
        <v>38</v>
      </c>
      <c r="B2052" t="s">
        <v>96</v>
      </c>
      <c r="C2052">
        <v>82955</v>
      </c>
      <c r="D2052">
        <v>2012</v>
      </c>
      <c r="E2052" t="s">
        <v>162</v>
      </c>
      <c r="F2052" t="s">
        <v>211</v>
      </c>
      <c r="G2052" t="s">
        <v>1022</v>
      </c>
      <c r="I2052">
        <v>4</v>
      </c>
      <c r="J2052" t="s">
        <v>106</v>
      </c>
      <c r="K2052">
        <v>4</v>
      </c>
      <c r="L2052" t="s">
        <v>44</v>
      </c>
      <c r="M2052">
        <v>1.8</v>
      </c>
      <c r="N2052" t="s">
        <v>45</v>
      </c>
      <c r="O2052" t="s">
        <v>46</v>
      </c>
      <c r="Q2052" t="s">
        <v>47</v>
      </c>
      <c r="R2052" t="s">
        <v>123</v>
      </c>
      <c r="U2052" t="s">
        <v>50</v>
      </c>
      <c r="W2052" t="s">
        <v>1023</v>
      </c>
      <c r="X2052" t="s">
        <v>125</v>
      </c>
      <c r="Y2052" t="s">
        <v>78</v>
      </c>
      <c r="AA2052">
        <v>0</v>
      </c>
      <c r="AB2052" t="s">
        <v>79</v>
      </c>
      <c r="AC2052" t="s">
        <v>127</v>
      </c>
      <c r="AD2052">
        <v>36</v>
      </c>
      <c r="AE2052">
        <v>9</v>
      </c>
      <c r="AF2052">
        <v>3</v>
      </c>
      <c r="AG2052">
        <v>2025</v>
      </c>
      <c r="AH2052" s="2">
        <v>1600</v>
      </c>
      <c r="AI2052" s="2">
        <v>3999.49072265625</v>
      </c>
      <c r="AJ2052" s="2">
        <f t="shared" ref="AJ2052:AJ2115" si="258">ABS(AH2052-AI2052)</f>
        <v>2399.49072265625</v>
      </c>
      <c r="AK2052" s="6">
        <f t="shared" ref="AK2052:AK2115" si="259">ABS($AH2052-AI2052)/$AH2052</f>
        <v>1.4996817016601562</v>
      </c>
      <c r="AL2052" s="12">
        <v>1600</v>
      </c>
      <c r="AM2052" s="12">
        <v>3792.2219255757432</v>
      </c>
      <c r="AN2052" s="12">
        <f t="shared" ref="AN2052:AN2115" si="260">ABS(AL2052-AM2052)</f>
        <v>2192.2219255757432</v>
      </c>
      <c r="AO2052" s="13">
        <f t="shared" ref="AO2052:AO2115" si="261">ABS($AH2052-AM2052)/$AH2052</f>
        <v>1.3701387034848396</v>
      </c>
      <c r="AP2052" s="16">
        <v>1600</v>
      </c>
      <c r="AQ2052" s="16">
        <v>3366.844734857978</v>
      </c>
      <c r="AR2052" s="16">
        <f t="shared" ref="AR2052:AR2115" si="262">ABS(AP2052-AQ2052)</f>
        <v>1766.844734857978</v>
      </c>
      <c r="AS2052" s="17">
        <f t="shared" si="256"/>
        <v>1.1042779592862362</v>
      </c>
      <c r="AT2052" s="20">
        <v>1600</v>
      </c>
      <c r="AU2052" s="20">
        <v>4041.53955078125</v>
      </c>
      <c r="AV2052" s="20">
        <f t="shared" si="257"/>
        <v>2441.53955078125</v>
      </c>
      <c r="AW2052" s="21">
        <f t="shared" ref="AW2052:AW2115" si="263">ABS($AH2052-AU2052)/$AH2052</f>
        <v>1.5259622192382813</v>
      </c>
    </row>
    <row r="2053" spans="1:49" x14ac:dyDescent="0.25">
      <c r="A2053" t="s">
        <v>38</v>
      </c>
      <c r="B2053" t="s">
        <v>110</v>
      </c>
      <c r="C2053">
        <v>120909</v>
      </c>
      <c r="D2053">
        <v>2014</v>
      </c>
      <c r="E2053" t="s">
        <v>213</v>
      </c>
      <c r="F2053" t="s">
        <v>908</v>
      </c>
      <c r="I2053">
        <v>6</v>
      </c>
      <c r="J2053" t="s">
        <v>135</v>
      </c>
      <c r="K2053">
        <v>4</v>
      </c>
      <c r="L2053" t="s">
        <v>44</v>
      </c>
      <c r="M2053">
        <v>3.5</v>
      </c>
      <c r="N2053" t="s">
        <v>45</v>
      </c>
      <c r="O2053" t="s">
        <v>46</v>
      </c>
      <c r="P2053">
        <v>3</v>
      </c>
      <c r="Q2053" t="s">
        <v>62</v>
      </c>
      <c r="R2053" t="s">
        <v>148</v>
      </c>
      <c r="S2053" t="s">
        <v>49</v>
      </c>
      <c r="U2053" t="s">
        <v>50</v>
      </c>
      <c r="X2053" t="s">
        <v>141</v>
      </c>
      <c r="Y2053" t="s">
        <v>78</v>
      </c>
      <c r="AA2053">
        <v>0</v>
      </c>
      <c r="AB2053" t="s">
        <v>79</v>
      </c>
      <c r="AC2053" t="s">
        <v>87</v>
      </c>
      <c r="AD2053">
        <v>36</v>
      </c>
      <c r="AE2053">
        <v>9</v>
      </c>
      <c r="AF2053">
        <v>3</v>
      </c>
      <c r="AG2053">
        <v>2025</v>
      </c>
      <c r="AH2053" s="2">
        <v>1900</v>
      </c>
      <c r="AI2053" s="2">
        <v>3525.174072265625</v>
      </c>
      <c r="AJ2053" s="2">
        <f t="shared" si="258"/>
        <v>1625.174072265625</v>
      </c>
      <c r="AK2053" s="6">
        <f t="shared" si="259"/>
        <v>0.85535477487664469</v>
      </c>
      <c r="AL2053" s="12">
        <v>1900</v>
      </c>
      <c r="AM2053" s="12">
        <v>3813.054612666228</v>
      </c>
      <c r="AN2053" s="12">
        <f t="shared" si="260"/>
        <v>1913.054612666228</v>
      </c>
      <c r="AO2053" s="13">
        <f t="shared" si="261"/>
        <v>1.0068708487716989</v>
      </c>
      <c r="AP2053" s="16">
        <v>1900</v>
      </c>
      <c r="AQ2053" s="16">
        <v>3761.827418599607</v>
      </c>
      <c r="AR2053" s="16">
        <f t="shared" si="262"/>
        <v>1861.827418599607</v>
      </c>
      <c r="AS2053" s="17">
        <f t="shared" si="256"/>
        <v>0.97990916768400371</v>
      </c>
      <c r="AT2053" s="20">
        <v>1900</v>
      </c>
      <c r="AU2053" s="20">
        <v>3607.339111328125</v>
      </c>
      <c r="AV2053" s="20">
        <f t="shared" si="257"/>
        <v>1707.339111328125</v>
      </c>
      <c r="AW2053" s="21">
        <f t="shared" si="263"/>
        <v>0.89859953227796052</v>
      </c>
    </row>
    <row r="2054" spans="1:49" x14ac:dyDescent="0.25">
      <c r="A2054" t="s">
        <v>38</v>
      </c>
      <c r="B2054" t="s">
        <v>39</v>
      </c>
      <c r="C2054">
        <v>76883</v>
      </c>
      <c r="D2054">
        <v>2022</v>
      </c>
      <c r="E2054" t="s">
        <v>162</v>
      </c>
      <c r="F2054" t="s">
        <v>532</v>
      </c>
      <c r="G2054" t="s">
        <v>1585</v>
      </c>
      <c r="I2054">
        <v>4</v>
      </c>
      <c r="J2054" t="s">
        <v>135</v>
      </c>
      <c r="K2054">
        <v>4</v>
      </c>
      <c r="L2054" t="s">
        <v>44</v>
      </c>
      <c r="M2054">
        <v>2.5</v>
      </c>
      <c r="N2054" t="s">
        <v>45</v>
      </c>
      <c r="O2054" t="s">
        <v>46</v>
      </c>
      <c r="Q2054" t="s">
        <v>62</v>
      </c>
      <c r="R2054" t="s">
        <v>63</v>
      </c>
      <c r="S2054" t="s">
        <v>49</v>
      </c>
      <c r="T2054">
        <v>191.3</v>
      </c>
      <c r="U2054" t="s">
        <v>50</v>
      </c>
      <c r="W2054" t="s">
        <v>673</v>
      </c>
      <c r="X2054" t="s">
        <v>141</v>
      </c>
      <c r="Y2054" t="s">
        <v>78</v>
      </c>
      <c r="AA2054">
        <v>0</v>
      </c>
      <c r="AB2054" t="s">
        <v>79</v>
      </c>
      <c r="AC2054" t="s">
        <v>87</v>
      </c>
      <c r="AD2054">
        <v>36</v>
      </c>
      <c r="AE2054">
        <v>9</v>
      </c>
      <c r="AF2054">
        <v>3</v>
      </c>
      <c r="AG2054">
        <v>2025</v>
      </c>
      <c r="AH2054" s="2">
        <v>16250</v>
      </c>
      <c r="AI2054" s="2">
        <v>19168.34765625</v>
      </c>
      <c r="AJ2054" s="2">
        <f t="shared" si="258"/>
        <v>2918.34765625</v>
      </c>
      <c r="AK2054" s="6">
        <f t="shared" si="259"/>
        <v>0.179590625</v>
      </c>
      <c r="AL2054" s="12">
        <v>16250</v>
      </c>
      <c r="AM2054" s="12">
        <v>15820.010821403421</v>
      </c>
      <c r="AN2054" s="12">
        <f t="shared" si="260"/>
        <v>429.98917859657922</v>
      </c>
      <c r="AO2054" s="13">
        <f t="shared" si="261"/>
        <v>2.6460872529020261E-2</v>
      </c>
      <c r="AP2054" s="16">
        <v>16250</v>
      </c>
      <c r="AQ2054" s="16">
        <v>16846.20028733115</v>
      </c>
      <c r="AR2054" s="16">
        <f t="shared" si="262"/>
        <v>596.20028733115032</v>
      </c>
      <c r="AS2054" s="17">
        <f t="shared" si="256"/>
        <v>3.668924845114771E-2</v>
      </c>
      <c r="AT2054" s="20">
        <v>16250</v>
      </c>
      <c r="AU2054" s="20">
        <v>18231.216796875</v>
      </c>
      <c r="AV2054" s="20">
        <f t="shared" si="257"/>
        <v>1981.216796875</v>
      </c>
      <c r="AW2054" s="21">
        <f t="shared" si="263"/>
        <v>0.12192103365384616</v>
      </c>
    </row>
    <row r="2055" spans="1:49" x14ac:dyDescent="0.25">
      <c r="A2055" t="s">
        <v>38</v>
      </c>
      <c r="B2055" t="s">
        <v>96</v>
      </c>
      <c r="C2055">
        <v>93051</v>
      </c>
      <c r="D2055">
        <v>2018</v>
      </c>
      <c r="E2055" t="s">
        <v>425</v>
      </c>
      <c r="F2055" t="s">
        <v>1586</v>
      </c>
      <c r="H2055" t="s">
        <v>426</v>
      </c>
      <c r="I2055">
        <v>3</v>
      </c>
      <c r="J2055" t="s">
        <v>43</v>
      </c>
      <c r="K2055">
        <v>4</v>
      </c>
      <c r="L2055" t="s">
        <v>44</v>
      </c>
      <c r="M2055">
        <v>1.5</v>
      </c>
      <c r="N2055" t="s">
        <v>45</v>
      </c>
      <c r="O2055" t="s">
        <v>46</v>
      </c>
      <c r="P2055">
        <v>2</v>
      </c>
      <c r="Q2055" t="s">
        <v>62</v>
      </c>
      <c r="R2055" t="s">
        <v>63</v>
      </c>
      <c r="S2055" t="s">
        <v>101</v>
      </c>
      <c r="T2055">
        <v>134</v>
      </c>
      <c r="U2055" t="s">
        <v>50</v>
      </c>
      <c r="X2055" t="s">
        <v>65</v>
      </c>
      <c r="Y2055" t="s">
        <v>1587</v>
      </c>
      <c r="Z2055">
        <v>26900</v>
      </c>
      <c r="AA2055">
        <v>0</v>
      </c>
      <c r="AB2055" t="s">
        <v>79</v>
      </c>
      <c r="AC2055" t="s">
        <v>87</v>
      </c>
      <c r="AD2055">
        <v>36</v>
      </c>
      <c r="AE2055">
        <v>9</v>
      </c>
      <c r="AF2055">
        <v>3</v>
      </c>
      <c r="AG2055">
        <v>2025</v>
      </c>
      <c r="AH2055" s="2">
        <v>4400</v>
      </c>
      <c r="AI2055" s="2">
        <v>4943.923828125</v>
      </c>
      <c r="AJ2055" s="2">
        <f t="shared" si="258"/>
        <v>543.923828125</v>
      </c>
      <c r="AK2055" s="6">
        <f t="shared" si="259"/>
        <v>0.1236190518465909</v>
      </c>
      <c r="AL2055" s="12">
        <v>4400</v>
      </c>
      <c r="AM2055" s="12">
        <v>4636.4340354349461</v>
      </c>
      <c r="AN2055" s="12">
        <f t="shared" si="260"/>
        <v>236.43403543494605</v>
      </c>
      <c r="AO2055" s="13">
        <f t="shared" si="261"/>
        <v>5.3735008053396829E-2</v>
      </c>
      <c r="AP2055" s="16">
        <v>4400</v>
      </c>
      <c r="AQ2055" s="16">
        <v>4145.1256409506323</v>
      </c>
      <c r="AR2055" s="16">
        <f t="shared" si="262"/>
        <v>254.87435904936774</v>
      </c>
      <c r="AS2055" s="17">
        <f t="shared" si="256"/>
        <v>5.7925990693038124E-2</v>
      </c>
      <c r="AT2055" s="20">
        <v>4400</v>
      </c>
      <c r="AU2055" s="20">
        <v>4965.048828125</v>
      </c>
      <c r="AV2055" s="20">
        <f t="shared" si="257"/>
        <v>565.048828125</v>
      </c>
      <c r="AW2055" s="21">
        <f t="shared" si="263"/>
        <v>0.12842018821022727</v>
      </c>
    </row>
    <row r="2056" spans="1:49" x14ac:dyDescent="0.25">
      <c r="A2056" t="s">
        <v>38</v>
      </c>
      <c r="B2056" t="s">
        <v>96</v>
      </c>
      <c r="C2056">
        <v>91609</v>
      </c>
      <c r="D2056">
        <v>2018</v>
      </c>
      <c r="E2056" t="s">
        <v>69</v>
      </c>
      <c r="F2056" t="s">
        <v>157</v>
      </c>
      <c r="G2056" t="s">
        <v>105</v>
      </c>
      <c r="I2056">
        <v>4</v>
      </c>
      <c r="J2056" t="s">
        <v>72</v>
      </c>
      <c r="K2056">
        <v>4</v>
      </c>
      <c r="L2056" t="s">
        <v>44</v>
      </c>
      <c r="M2056">
        <v>2.2999999999999998</v>
      </c>
      <c r="N2056" t="s">
        <v>45</v>
      </c>
      <c r="O2056" t="s">
        <v>46</v>
      </c>
      <c r="P2056">
        <v>2</v>
      </c>
      <c r="Q2056" t="s">
        <v>62</v>
      </c>
      <c r="R2056" t="s">
        <v>63</v>
      </c>
      <c r="S2056" t="s">
        <v>101</v>
      </c>
      <c r="T2056">
        <v>280</v>
      </c>
      <c r="U2056" t="s">
        <v>50</v>
      </c>
      <c r="V2056" t="s">
        <v>51</v>
      </c>
      <c r="W2056" t="s">
        <v>268</v>
      </c>
      <c r="X2056" t="s">
        <v>94</v>
      </c>
      <c r="Y2056" t="s">
        <v>78</v>
      </c>
      <c r="Z2056">
        <v>34175</v>
      </c>
      <c r="AA2056">
        <v>0</v>
      </c>
      <c r="AB2056" t="s">
        <v>79</v>
      </c>
      <c r="AC2056" t="s">
        <v>109</v>
      </c>
      <c r="AD2056">
        <v>36</v>
      </c>
      <c r="AE2056">
        <v>9</v>
      </c>
      <c r="AF2056">
        <v>3</v>
      </c>
      <c r="AG2056">
        <v>2025</v>
      </c>
      <c r="AH2056" s="2">
        <v>10750</v>
      </c>
      <c r="AI2056" s="2">
        <v>8926.1318359375</v>
      </c>
      <c r="AJ2056" s="2">
        <f t="shared" si="258"/>
        <v>1823.8681640625</v>
      </c>
      <c r="AK2056" s="6">
        <f t="shared" si="259"/>
        <v>0.16966215479651162</v>
      </c>
      <c r="AL2056" s="12">
        <v>10750</v>
      </c>
      <c r="AM2056" s="12">
        <v>8458.0543129009657</v>
      </c>
      <c r="AN2056" s="12">
        <f t="shared" si="260"/>
        <v>2291.9456870990343</v>
      </c>
      <c r="AO2056" s="13">
        <f t="shared" si="261"/>
        <v>0.21320424996270088</v>
      </c>
      <c r="AP2056" s="16">
        <v>10750</v>
      </c>
      <c r="AQ2056" s="16">
        <v>7842.2446087362141</v>
      </c>
      <c r="AR2056" s="16">
        <f t="shared" si="262"/>
        <v>2907.7553912637859</v>
      </c>
      <c r="AS2056" s="17">
        <f t="shared" si="256"/>
        <v>0.27048887360593354</v>
      </c>
      <c r="AT2056" s="20">
        <v>10750</v>
      </c>
      <c r="AU2056" s="20">
        <v>8989.646484375</v>
      </c>
      <c r="AV2056" s="20">
        <f t="shared" si="257"/>
        <v>1760.353515625</v>
      </c>
      <c r="AW2056" s="21">
        <f t="shared" si="263"/>
        <v>0.16375381540697675</v>
      </c>
    </row>
    <row r="2057" spans="1:49" x14ac:dyDescent="0.25">
      <c r="A2057" t="s">
        <v>38</v>
      </c>
      <c r="B2057" t="s">
        <v>110</v>
      </c>
      <c r="C2057">
        <v>65057</v>
      </c>
      <c r="D2057">
        <v>2019</v>
      </c>
      <c r="E2057" t="s">
        <v>69</v>
      </c>
      <c r="F2057" t="s">
        <v>70</v>
      </c>
      <c r="H2057" t="s">
        <v>351</v>
      </c>
      <c r="I2057">
        <v>6</v>
      </c>
      <c r="J2057" t="s">
        <v>72</v>
      </c>
      <c r="K2057">
        <v>3</v>
      </c>
      <c r="L2057" t="s">
        <v>44</v>
      </c>
      <c r="M2057">
        <v>3.7</v>
      </c>
      <c r="N2057" t="s">
        <v>73</v>
      </c>
      <c r="O2057" t="s">
        <v>46</v>
      </c>
      <c r="P2057">
        <v>3</v>
      </c>
      <c r="Q2057" t="s">
        <v>477</v>
      </c>
      <c r="R2057" t="s">
        <v>80</v>
      </c>
      <c r="S2057" t="s">
        <v>85</v>
      </c>
      <c r="T2057">
        <v>275</v>
      </c>
      <c r="U2057" t="s">
        <v>50</v>
      </c>
      <c r="V2057" t="s">
        <v>76</v>
      </c>
      <c r="X2057" t="s">
        <v>77</v>
      </c>
      <c r="Y2057" t="s">
        <v>78</v>
      </c>
      <c r="AA2057">
        <v>0</v>
      </c>
      <c r="AB2057" t="s">
        <v>79</v>
      </c>
      <c r="AC2057" t="s">
        <v>80</v>
      </c>
      <c r="AD2057">
        <v>36</v>
      </c>
      <c r="AE2057">
        <v>9</v>
      </c>
      <c r="AF2057">
        <v>3</v>
      </c>
      <c r="AG2057">
        <v>2025</v>
      </c>
      <c r="AH2057" s="2">
        <v>19500</v>
      </c>
      <c r="AI2057" s="2">
        <v>16987.33203125</v>
      </c>
      <c r="AJ2057" s="2">
        <f t="shared" si="258"/>
        <v>2512.66796875</v>
      </c>
      <c r="AK2057" s="6">
        <f t="shared" si="259"/>
        <v>0.12885476762820514</v>
      </c>
      <c r="AL2057" s="12">
        <v>19500</v>
      </c>
      <c r="AM2057" s="12">
        <v>20902.847112009869</v>
      </c>
      <c r="AN2057" s="12">
        <f t="shared" si="260"/>
        <v>1402.8471120098693</v>
      </c>
      <c r="AO2057" s="13">
        <f t="shared" si="261"/>
        <v>7.1940877538967662E-2</v>
      </c>
      <c r="AP2057" s="16">
        <v>19500</v>
      </c>
      <c r="AQ2057" s="16">
        <v>19379.577773129589</v>
      </c>
      <c r="AR2057" s="16">
        <f t="shared" si="262"/>
        <v>120.42222687041067</v>
      </c>
      <c r="AS2057" s="17">
        <f t="shared" si="256"/>
        <v>6.1754988138672138E-3</v>
      </c>
      <c r="AT2057" s="20">
        <v>19500</v>
      </c>
      <c r="AU2057" s="20">
        <v>17482.16015625</v>
      </c>
      <c r="AV2057" s="20">
        <f t="shared" si="257"/>
        <v>2017.83984375</v>
      </c>
      <c r="AW2057" s="21">
        <f t="shared" si="263"/>
        <v>0.10347896634615385</v>
      </c>
    </row>
    <row r="2058" spans="1:49" x14ac:dyDescent="0.25">
      <c r="A2058" t="s">
        <v>38</v>
      </c>
      <c r="B2058" t="s">
        <v>68</v>
      </c>
      <c r="C2058">
        <v>167377</v>
      </c>
      <c r="D2058">
        <v>2016</v>
      </c>
      <c r="E2058" t="s">
        <v>403</v>
      </c>
      <c r="F2058" t="s">
        <v>554</v>
      </c>
      <c r="G2058" t="s">
        <v>1588</v>
      </c>
      <c r="I2058">
        <v>8</v>
      </c>
      <c r="J2058" t="s">
        <v>72</v>
      </c>
      <c r="K2058">
        <v>4</v>
      </c>
      <c r="L2058" t="s">
        <v>44</v>
      </c>
      <c r="M2058">
        <v>6.2</v>
      </c>
      <c r="N2058" t="s">
        <v>73</v>
      </c>
      <c r="O2058" t="s">
        <v>46</v>
      </c>
      <c r="P2058">
        <v>4</v>
      </c>
      <c r="Q2058" t="s">
        <v>62</v>
      </c>
      <c r="R2058" t="s">
        <v>63</v>
      </c>
      <c r="S2058" t="s">
        <v>49</v>
      </c>
      <c r="U2058" t="s">
        <v>50</v>
      </c>
      <c r="W2058" t="s">
        <v>556</v>
      </c>
      <c r="X2058" t="s">
        <v>108</v>
      </c>
      <c r="Y2058" t="s">
        <v>78</v>
      </c>
      <c r="AA2058">
        <v>0</v>
      </c>
      <c r="AB2058" t="s">
        <v>79</v>
      </c>
      <c r="AC2058" t="s">
        <v>87</v>
      </c>
      <c r="AD2058">
        <v>36</v>
      </c>
      <c r="AE2058">
        <v>9</v>
      </c>
      <c r="AF2058">
        <v>3</v>
      </c>
      <c r="AG2058">
        <v>2025</v>
      </c>
      <c r="AH2058" s="2">
        <v>10500</v>
      </c>
      <c r="AI2058" s="2">
        <v>10458.1435546875</v>
      </c>
      <c r="AJ2058" s="2">
        <f t="shared" si="258"/>
        <v>41.8564453125</v>
      </c>
      <c r="AK2058" s="6">
        <f t="shared" si="259"/>
        <v>3.9863281249999999E-3</v>
      </c>
      <c r="AL2058" s="12">
        <v>10500</v>
      </c>
      <c r="AM2058" s="12">
        <v>11656.02078071687</v>
      </c>
      <c r="AN2058" s="12">
        <f t="shared" si="260"/>
        <v>1156.0207807168699</v>
      </c>
      <c r="AO2058" s="13">
        <f t="shared" si="261"/>
        <v>0.11009721721113047</v>
      </c>
      <c r="AP2058" s="16">
        <v>10500</v>
      </c>
      <c r="AQ2058" s="16">
        <v>11631.854973490799</v>
      </c>
      <c r="AR2058" s="16">
        <f t="shared" si="262"/>
        <v>1131.8549734907992</v>
      </c>
      <c r="AS2058" s="17">
        <f t="shared" si="256"/>
        <v>0.10779571176102849</v>
      </c>
      <c r="AT2058" s="20">
        <v>10500</v>
      </c>
      <c r="AU2058" s="20">
        <v>10802.6015625</v>
      </c>
      <c r="AV2058" s="20">
        <f t="shared" si="257"/>
        <v>302.6015625</v>
      </c>
      <c r="AW2058" s="21">
        <f t="shared" si="263"/>
        <v>2.881919642857143E-2</v>
      </c>
    </row>
    <row r="2059" spans="1:49" x14ac:dyDescent="0.25">
      <c r="A2059" t="s">
        <v>128</v>
      </c>
      <c r="B2059" t="s">
        <v>129</v>
      </c>
      <c r="C2059">
        <v>212625</v>
      </c>
      <c r="D2059">
        <v>2009</v>
      </c>
      <c r="E2059" t="s">
        <v>286</v>
      </c>
      <c r="F2059" t="s">
        <v>287</v>
      </c>
      <c r="G2059" t="s">
        <v>288</v>
      </c>
      <c r="H2059" t="s">
        <v>289</v>
      </c>
      <c r="I2059">
        <v>6</v>
      </c>
      <c r="J2059" t="s">
        <v>72</v>
      </c>
      <c r="K2059">
        <v>4</v>
      </c>
      <c r="L2059" t="s">
        <v>44</v>
      </c>
      <c r="M2059">
        <v>3.5</v>
      </c>
      <c r="N2059" t="s">
        <v>45</v>
      </c>
      <c r="Q2059" t="s">
        <v>62</v>
      </c>
      <c r="R2059" t="s">
        <v>63</v>
      </c>
      <c r="S2059" t="s">
        <v>49</v>
      </c>
      <c r="T2059">
        <v>270</v>
      </c>
      <c r="U2059" t="s">
        <v>50</v>
      </c>
      <c r="V2059" t="s">
        <v>76</v>
      </c>
      <c r="W2059" t="s">
        <v>290</v>
      </c>
      <c r="X2059" t="s">
        <v>141</v>
      </c>
      <c r="Y2059" t="s">
        <v>54</v>
      </c>
      <c r="AA2059">
        <v>0</v>
      </c>
      <c r="AB2059" t="s">
        <v>79</v>
      </c>
      <c r="AC2059" t="s">
        <v>87</v>
      </c>
      <c r="AD2059">
        <v>36</v>
      </c>
      <c r="AE2059">
        <v>9</v>
      </c>
      <c r="AF2059">
        <v>3</v>
      </c>
      <c r="AG2059">
        <v>2025</v>
      </c>
      <c r="AH2059" s="2">
        <v>2200</v>
      </c>
      <c r="AI2059" s="2">
        <v>1717.473266601562</v>
      </c>
      <c r="AJ2059" s="2">
        <f t="shared" si="258"/>
        <v>482.52673339843795</v>
      </c>
      <c r="AK2059" s="6">
        <f t="shared" si="259"/>
        <v>0.21933033336292634</v>
      </c>
      <c r="AL2059" s="12">
        <v>2200</v>
      </c>
      <c r="AM2059" s="12">
        <v>2367.3634022055362</v>
      </c>
      <c r="AN2059" s="12">
        <f t="shared" si="260"/>
        <v>167.3634022055362</v>
      </c>
      <c r="AO2059" s="13">
        <f t="shared" si="261"/>
        <v>7.6074273729789185E-2</v>
      </c>
      <c r="AP2059" s="16">
        <v>2200</v>
      </c>
      <c r="AQ2059" s="16">
        <v>2133.5619707452088</v>
      </c>
      <c r="AR2059" s="16">
        <f t="shared" si="262"/>
        <v>66.438029254791218</v>
      </c>
      <c r="AS2059" s="17">
        <f t="shared" si="256"/>
        <v>3.0199104206723282E-2</v>
      </c>
      <c r="AT2059" s="20">
        <v>2200</v>
      </c>
      <c r="AU2059" s="20">
        <v>1723.528930664062</v>
      </c>
      <c r="AV2059" s="20">
        <f t="shared" si="257"/>
        <v>476.47106933593795</v>
      </c>
      <c r="AW2059" s="21">
        <f t="shared" si="263"/>
        <v>0.21657775878906271</v>
      </c>
    </row>
    <row r="2060" spans="1:49" x14ac:dyDescent="0.25">
      <c r="A2060" t="s">
        <v>38</v>
      </c>
      <c r="B2060" t="s">
        <v>39</v>
      </c>
      <c r="C2060">
        <v>215198</v>
      </c>
      <c r="D2060">
        <v>2007</v>
      </c>
      <c r="E2060" t="s">
        <v>40</v>
      </c>
      <c r="F2060" t="s">
        <v>845</v>
      </c>
      <c r="G2060" t="s">
        <v>190</v>
      </c>
      <c r="H2060" t="s">
        <v>846</v>
      </c>
      <c r="I2060">
        <v>6</v>
      </c>
      <c r="J2060" t="s">
        <v>1311</v>
      </c>
      <c r="K2060">
        <v>4</v>
      </c>
      <c r="L2060" t="s">
        <v>402</v>
      </c>
      <c r="M2060">
        <v>4</v>
      </c>
      <c r="N2060" t="s">
        <v>91</v>
      </c>
      <c r="O2060" t="s">
        <v>46</v>
      </c>
      <c r="Q2060" t="s">
        <v>62</v>
      </c>
      <c r="R2060" t="s">
        <v>63</v>
      </c>
      <c r="S2060" t="s">
        <v>93</v>
      </c>
      <c r="U2060" t="s">
        <v>50</v>
      </c>
      <c r="V2060" t="s">
        <v>76</v>
      </c>
      <c r="W2060" t="s">
        <v>185</v>
      </c>
      <c r="X2060" t="s">
        <v>125</v>
      </c>
      <c r="Y2060" t="s">
        <v>54</v>
      </c>
      <c r="AA2060">
        <v>0</v>
      </c>
      <c r="AB2060" t="s">
        <v>79</v>
      </c>
      <c r="AC2060" t="s">
        <v>87</v>
      </c>
      <c r="AD2060">
        <v>36</v>
      </c>
      <c r="AE2060">
        <v>9</v>
      </c>
      <c r="AF2060">
        <v>3</v>
      </c>
      <c r="AG2060">
        <v>2025</v>
      </c>
      <c r="AH2060" s="2">
        <v>7750</v>
      </c>
      <c r="AI2060" s="2">
        <v>5557.79443359375</v>
      </c>
      <c r="AJ2060" s="2">
        <f t="shared" si="258"/>
        <v>2192.20556640625</v>
      </c>
      <c r="AK2060" s="6">
        <f t="shared" si="259"/>
        <v>0.282865234375</v>
      </c>
      <c r="AL2060" s="12">
        <v>7750</v>
      </c>
      <c r="AM2060" s="12">
        <v>3580.2537789161079</v>
      </c>
      <c r="AN2060" s="12">
        <f t="shared" si="260"/>
        <v>4169.7462210838921</v>
      </c>
      <c r="AO2060" s="13">
        <f t="shared" si="261"/>
        <v>0.53803177046243766</v>
      </c>
      <c r="AP2060" s="16">
        <v>7750</v>
      </c>
      <c r="AQ2060" s="16">
        <v>4382.6587072247203</v>
      </c>
      <c r="AR2060" s="16">
        <f t="shared" si="262"/>
        <v>3367.3412927752797</v>
      </c>
      <c r="AS2060" s="17">
        <f t="shared" si="256"/>
        <v>0.43449565068068124</v>
      </c>
      <c r="AT2060" s="20">
        <v>7750</v>
      </c>
      <c r="AU2060" s="20">
        <v>5450.45947265625</v>
      </c>
      <c r="AV2060" s="20">
        <f t="shared" si="257"/>
        <v>2299.54052734375</v>
      </c>
      <c r="AW2060" s="21">
        <f t="shared" si="263"/>
        <v>0.29671490675403228</v>
      </c>
    </row>
    <row r="2061" spans="1:49" x14ac:dyDescent="0.25">
      <c r="A2061" t="s">
        <v>38</v>
      </c>
      <c r="B2061" t="s">
        <v>110</v>
      </c>
      <c r="C2061">
        <v>120019</v>
      </c>
      <c r="D2061">
        <v>2015</v>
      </c>
      <c r="E2061" t="s">
        <v>58</v>
      </c>
      <c r="F2061" t="s">
        <v>295</v>
      </c>
      <c r="G2061" t="s">
        <v>594</v>
      </c>
      <c r="I2061">
        <v>6</v>
      </c>
      <c r="J2061" t="s">
        <v>277</v>
      </c>
      <c r="K2061">
        <v>4</v>
      </c>
      <c r="L2061" t="s">
        <v>44</v>
      </c>
      <c r="M2061">
        <v>3.3</v>
      </c>
      <c r="N2061" t="s">
        <v>45</v>
      </c>
      <c r="O2061" t="s">
        <v>190</v>
      </c>
      <c r="Q2061" t="s">
        <v>62</v>
      </c>
      <c r="R2061" t="s">
        <v>225</v>
      </c>
      <c r="U2061" t="s">
        <v>50</v>
      </c>
      <c r="W2061" t="s">
        <v>1033</v>
      </c>
      <c r="X2061" t="s">
        <v>94</v>
      </c>
      <c r="Y2061" t="s">
        <v>66</v>
      </c>
      <c r="AA2061">
        <v>0</v>
      </c>
      <c r="AB2061" t="s">
        <v>79</v>
      </c>
      <c r="AC2061" t="s">
        <v>225</v>
      </c>
      <c r="AD2061">
        <v>36</v>
      </c>
      <c r="AE2061">
        <v>9</v>
      </c>
      <c r="AF2061">
        <v>3</v>
      </c>
      <c r="AG2061">
        <v>2025</v>
      </c>
      <c r="AH2061" s="2">
        <v>2400</v>
      </c>
      <c r="AI2061" s="2">
        <v>1727.071044921875</v>
      </c>
      <c r="AJ2061" s="2">
        <f t="shared" si="258"/>
        <v>672.928955078125</v>
      </c>
      <c r="AK2061" s="6">
        <f t="shared" si="259"/>
        <v>0.28038706461588542</v>
      </c>
      <c r="AL2061" s="12">
        <v>2400</v>
      </c>
      <c r="AM2061" s="12">
        <v>1665.130154954292</v>
      </c>
      <c r="AN2061" s="12">
        <f t="shared" si="260"/>
        <v>734.86984504570796</v>
      </c>
      <c r="AO2061" s="13">
        <f t="shared" si="261"/>
        <v>0.30619576876904497</v>
      </c>
      <c r="AP2061" s="16">
        <v>2400</v>
      </c>
      <c r="AQ2061" s="16">
        <v>1235.352156862612</v>
      </c>
      <c r="AR2061" s="16">
        <f t="shared" si="262"/>
        <v>1164.647843137388</v>
      </c>
      <c r="AS2061" s="17">
        <f t="shared" si="256"/>
        <v>0.48526993464057833</v>
      </c>
      <c r="AT2061" s="20">
        <v>2400</v>
      </c>
      <c r="AU2061" s="20">
        <v>1722.508666992188</v>
      </c>
      <c r="AV2061" s="20">
        <f t="shared" si="257"/>
        <v>677.49133300781205</v>
      </c>
      <c r="AW2061" s="21">
        <f t="shared" si="263"/>
        <v>0.28228805541992169</v>
      </c>
    </row>
    <row r="2062" spans="1:49" x14ac:dyDescent="0.25">
      <c r="A2062" t="s">
        <v>38</v>
      </c>
      <c r="B2062" t="s">
        <v>96</v>
      </c>
      <c r="C2062">
        <v>139729</v>
      </c>
      <c r="D2062">
        <v>2019</v>
      </c>
      <c r="E2062" t="s">
        <v>58</v>
      </c>
      <c r="F2062" t="s">
        <v>391</v>
      </c>
      <c r="G2062" t="s">
        <v>1103</v>
      </c>
      <c r="I2062">
        <v>4</v>
      </c>
      <c r="J2062" t="s">
        <v>735</v>
      </c>
      <c r="K2062">
        <v>4</v>
      </c>
      <c r="L2062" t="s">
        <v>44</v>
      </c>
      <c r="M2062">
        <v>2.4</v>
      </c>
      <c r="N2062" t="s">
        <v>45</v>
      </c>
      <c r="O2062" t="s">
        <v>46</v>
      </c>
      <c r="P2062">
        <v>2</v>
      </c>
      <c r="Q2062" t="s">
        <v>47</v>
      </c>
      <c r="R2062" t="s">
        <v>123</v>
      </c>
      <c r="T2062">
        <v>185</v>
      </c>
      <c r="U2062" t="s">
        <v>50</v>
      </c>
      <c r="W2062" t="s">
        <v>64</v>
      </c>
      <c r="X2062" t="s">
        <v>125</v>
      </c>
      <c r="Y2062" t="s">
        <v>78</v>
      </c>
      <c r="Z2062">
        <v>22990</v>
      </c>
      <c r="AA2062">
        <v>0</v>
      </c>
      <c r="AB2062" t="s">
        <v>79</v>
      </c>
      <c r="AC2062" t="s">
        <v>127</v>
      </c>
      <c r="AD2062">
        <v>36</v>
      </c>
      <c r="AE2062">
        <v>9</v>
      </c>
      <c r="AF2062">
        <v>3</v>
      </c>
      <c r="AG2062">
        <v>2025</v>
      </c>
      <c r="AH2062" s="2">
        <v>5400</v>
      </c>
      <c r="AI2062" s="2">
        <v>3833.483642578125</v>
      </c>
      <c r="AJ2062" s="2">
        <f t="shared" si="258"/>
        <v>1566.516357421875</v>
      </c>
      <c r="AK2062" s="6">
        <f t="shared" si="259"/>
        <v>0.29009562174479164</v>
      </c>
      <c r="AL2062" s="12">
        <v>5400</v>
      </c>
      <c r="AM2062" s="12">
        <v>3669.557216994679</v>
      </c>
      <c r="AN2062" s="12">
        <f t="shared" si="260"/>
        <v>1730.442783005321</v>
      </c>
      <c r="AO2062" s="13">
        <f t="shared" si="261"/>
        <v>0.32045236722320758</v>
      </c>
      <c r="AP2062" s="16">
        <v>5400</v>
      </c>
      <c r="AQ2062" s="16">
        <v>3558.8177910251311</v>
      </c>
      <c r="AR2062" s="16">
        <f t="shared" si="262"/>
        <v>1841.1822089748689</v>
      </c>
      <c r="AS2062" s="17">
        <f t="shared" si="256"/>
        <v>0.34095966832867941</v>
      </c>
      <c r="AT2062" s="20">
        <v>5400</v>
      </c>
      <c r="AU2062" s="20">
        <v>3875.9130859375</v>
      </c>
      <c r="AV2062" s="20">
        <f t="shared" si="257"/>
        <v>1524.0869140625</v>
      </c>
      <c r="AW2062" s="21">
        <f t="shared" si="263"/>
        <v>0.28223831741898148</v>
      </c>
    </row>
    <row r="2063" spans="1:49" x14ac:dyDescent="0.25">
      <c r="A2063" t="s">
        <v>38</v>
      </c>
      <c r="B2063" t="s">
        <v>110</v>
      </c>
      <c r="C2063">
        <v>138093</v>
      </c>
      <c r="D2063">
        <v>2011</v>
      </c>
      <c r="E2063" t="s">
        <v>263</v>
      </c>
      <c r="F2063" t="s">
        <v>611</v>
      </c>
      <c r="G2063" t="s">
        <v>647</v>
      </c>
      <c r="I2063">
        <v>4</v>
      </c>
      <c r="J2063" t="s">
        <v>61</v>
      </c>
      <c r="K2063">
        <v>4</v>
      </c>
      <c r="L2063" t="s">
        <v>44</v>
      </c>
      <c r="M2063">
        <v>2</v>
      </c>
      <c r="N2063" t="s">
        <v>45</v>
      </c>
      <c r="Q2063" t="s">
        <v>47</v>
      </c>
      <c r="R2063" t="s">
        <v>123</v>
      </c>
      <c r="U2063" t="s">
        <v>50</v>
      </c>
      <c r="W2063" t="s">
        <v>1589</v>
      </c>
      <c r="X2063" t="s">
        <v>125</v>
      </c>
      <c r="Y2063" t="s">
        <v>54</v>
      </c>
      <c r="AA2063">
        <v>0</v>
      </c>
      <c r="AB2063" t="s">
        <v>79</v>
      </c>
      <c r="AC2063" t="s">
        <v>127</v>
      </c>
      <c r="AD2063">
        <v>36</v>
      </c>
      <c r="AE2063">
        <v>9</v>
      </c>
      <c r="AF2063">
        <v>3</v>
      </c>
      <c r="AG2063">
        <v>2025</v>
      </c>
      <c r="AH2063" s="2">
        <v>1000</v>
      </c>
      <c r="AI2063" s="2">
        <v>1452.170043945312</v>
      </c>
      <c r="AJ2063" s="2">
        <f t="shared" si="258"/>
        <v>452.17004394531205</v>
      </c>
      <c r="AK2063" s="6">
        <f t="shared" si="259"/>
        <v>0.45217004394531207</v>
      </c>
      <c r="AL2063" s="12">
        <v>1000</v>
      </c>
      <c r="AM2063" s="12">
        <v>1748.280206480164</v>
      </c>
      <c r="AN2063" s="12">
        <f t="shared" si="260"/>
        <v>748.280206480164</v>
      </c>
      <c r="AO2063" s="13">
        <f t="shared" si="261"/>
        <v>0.74828020648016402</v>
      </c>
      <c r="AP2063" s="16">
        <v>1000</v>
      </c>
      <c r="AQ2063" s="16">
        <v>1474.7075145290551</v>
      </c>
      <c r="AR2063" s="16">
        <f t="shared" si="262"/>
        <v>474.70751452905506</v>
      </c>
      <c r="AS2063" s="17">
        <f t="shared" si="256"/>
        <v>0.47470751452905507</v>
      </c>
      <c r="AT2063" s="20">
        <v>1000</v>
      </c>
      <c r="AU2063" s="20">
        <v>1452.725219726562</v>
      </c>
      <c r="AV2063" s="20">
        <f t="shared" si="257"/>
        <v>452.72521972656205</v>
      </c>
      <c r="AW2063" s="21">
        <f t="shared" si="263"/>
        <v>0.45272521972656204</v>
      </c>
    </row>
    <row r="2064" spans="1:49" x14ac:dyDescent="0.25">
      <c r="A2064" t="s">
        <v>38</v>
      </c>
      <c r="B2064" t="s">
        <v>110</v>
      </c>
      <c r="C2064">
        <v>236665</v>
      </c>
      <c r="D2064">
        <v>2014</v>
      </c>
      <c r="E2064" t="s">
        <v>116</v>
      </c>
      <c r="F2064" t="s">
        <v>237</v>
      </c>
      <c r="G2064" t="s">
        <v>224</v>
      </c>
      <c r="I2064">
        <v>6</v>
      </c>
      <c r="J2064" t="s">
        <v>61</v>
      </c>
      <c r="K2064">
        <v>4</v>
      </c>
      <c r="L2064" t="s">
        <v>44</v>
      </c>
      <c r="M2064">
        <v>3.6</v>
      </c>
      <c r="N2064" t="s">
        <v>73</v>
      </c>
      <c r="Q2064" t="s">
        <v>47</v>
      </c>
      <c r="R2064" t="s">
        <v>123</v>
      </c>
      <c r="S2064" t="s">
        <v>179</v>
      </c>
      <c r="T2064">
        <v>292</v>
      </c>
      <c r="U2064" t="s">
        <v>50</v>
      </c>
      <c r="V2064" t="s">
        <v>76</v>
      </c>
      <c r="X2064" t="s">
        <v>125</v>
      </c>
      <c r="Y2064" t="s">
        <v>103</v>
      </c>
      <c r="AA2064">
        <v>0</v>
      </c>
      <c r="AB2064" t="s">
        <v>79</v>
      </c>
      <c r="AC2064" t="s">
        <v>127</v>
      </c>
      <c r="AD2064">
        <v>36</v>
      </c>
      <c r="AE2064">
        <v>9</v>
      </c>
      <c r="AF2064">
        <v>3</v>
      </c>
      <c r="AG2064">
        <v>2025</v>
      </c>
      <c r="AH2064" s="2">
        <v>800</v>
      </c>
      <c r="AI2064" s="2">
        <v>1424.407104492188</v>
      </c>
      <c r="AJ2064" s="2">
        <f t="shared" si="258"/>
        <v>624.40710449218795</v>
      </c>
      <c r="AK2064" s="6">
        <f t="shared" si="259"/>
        <v>0.78050888061523493</v>
      </c>
      <c r="AL2064" s="12">
        <v>800</v>
      </c>
      <c r="AM2064" s="12">
        <v>1868.392515549951</v>
      </c>
      <c r="AN2064" s="12">
        <f t="shared" si="260"/>
        <v>1068.392515549951</v>
      </c>
      <c r="AO2064" s="13">
        <f t="shared" si="261"/>
        <v>1.3354906444374388</v>
      </c>
      <c r="AP2064" s="16">
        <v>800</v>
      </c>
      <c r="AQ2064" s="16">
        <v>1769.264492645098</v>
      </c>
      <c r="AR2064" s="16">
        <f t="shared" si="262"/>
        <v>969.26449264509802</v>
      </c>
      <c r="AS2064" s="17">
        <f t="shared" si="256"/>
        <v>1.2115806158063724</v>
      </c>
      <c r="AT2064" s="20">
        <v>800</v>
      </c>
      <c r="AU2064" s="20">
        <v>1421.125244140625</v>
      </c>
      <c r="AV2064" s="20">
        <f t="shared" si="257"/>
        <v>621.125244140625</v>
      </c>
      <c r="AW2064" s="21">
        <f t="shared" si="263"/>
        <v>0.77640655517578128</v>
      </c>
    </row>
    <row r="2065" spans="1:49" x14ac:dyDescent="0.25">
      <c r="A2065" t="s">
        <v>38</v>
      </c>
      <c r="B2065" t="s">
        <v>110</v>
      </c>
      <c r="C2065">
        <v>57189</v>
      </c>
      <c r="D2065">
        <v>2022</v>
      </c>
      <c r="E2065" t="s">
        <v>58</v>
      </c>
      <c r="F2065" t="s">
        <v>243</v>
      </c>
      <c r="G2065" t="s">
        <v>1240</v>
      </c>
      <c r="I2065">
        <v>4</v>
      </c>
      <c r="J2065" t="s">
        <v>253</v>
      </c>
      <c r="K2065">
        <v>4</v>
      </c>
      <c r="L2065" t="s">
        <v>44</v>
      </c>
      <c r="M2065">
        <v>2</v>
      </c>
      <c r="N2065" t="s">
        <v>45</v>
      </c>
      <c r="O2065" t="s">
        <v>46</v>
      </c>
      <c r="P2065">
        <v>3</v>
      </c>
      <c r="Q2065" t="s">
        <v>47</v>
      </c>
      <c r="R2065" t="s">
        <v>123</v>
      </c>
      <c r="T2065">
        <v>147</v>
      </c>
      <c r="U2065" t="s">
        <v>50</v>
      </c>
      <c r="W2065" t="s">
        <v>463</v>
      </c>
      <c r="X2065" t="s">
        <v>125</v>
      </c>
      <c r="Y2065" t="s">
        <v>126</v>
      </c>
      <c r="AA2065">
        <v>0</v>
      </c>
      <c r="AB2065" t="s">
        <v>79</v>
      </c>
      <c r="AC2065" t="s">
        <v>127</v>
      </c>
      <c r="AD2065">
        <v>36</v>
      </c>
      <c r="AE2065">
        <v>9</v>
      </c>
      <c r="AF2065">
        <v>3</v>
      </c>
      <c r="AG2065">
        <v>2025</v>
      </c>
      <c r="AH2065" s="2">
        <v>14500</v>
      </c>
      <c r="AI2065" s="2">
        <v>11335.208984375</v>
      </c>
      <c r="AJ2065" s="2">
        <f t="shared" si="258"/>
        <v>3164.791015625</v>
      </c>
      <c r="AK2065" s="6">
        <f t="shared" si="259"/>
        <v>0.21826144935344827</v>
      </c>
      <c r="AL2065" s="12">
        <v>14500</v>
      </c>
      <c r="AM2065" s="12">
        <v>11623.504523138619</v>
      </c>
      <c r="AN2065" s="12">
        <f t="shared" si="260"/>
        <v>2876.4954768613807</v>
      </c>
      <c r="AO2065" s="13">
        <f t="shared" si="261"/>
        <v>0.19837899840423315</v>
      </c>
      <c r="AP2065" s="16">
        <v>14500</v>
      </c>
      <c r="AQ2065" s="16">
        <v>9849.2038110378217</v>
      </c>
      <c r="AR2065" s="16">
        <f t="shared" si="262"/>
        <v>4650.7961889621783</v>
      </c>
      <c r="AS2065" s="17">
        <f t="shared" si="256"/>
        <v>0.32074456475601232</v>
      </c>
      <c r="AT2065" s="20">
        <v>14500</v>
      </c>
      <c r="AU2065" s="20">
        <v>11528.6396484375</v>
      </c>
      <c r="AV2065" s="20">
        <f t="shared" si="257"/>
        <v>2971.3603515625</v>
      </c>
      <c r="AW2065" s="21">
        <f t="shared" si="263"/>
        <v>0.20492140355603447</v>
      </c>
    </row>
    <row r="2066" spans="1:49" x14ac:dyDescent="0.25">
      <c r="A2066" t="s">
        <v>114</v>
      </c>
      <c r="B2066" t="s">
        <v>340</v>
      </c>
      <c r="C2066">
        <v>141601</v>
      </c>
      <c r="D2066">
        <v>2000</v>
      </c>
      <c r="E2066" t="s">
        <v>69</v>
      </c>
      <c r="F2066" t="s">
        <v>1590</v>
      </c>
      <c r="H2066" t="s">
        <v>285</v>
      </c>
      <c r="I2066">
        <v>6</v>
      </c>
      <c r="J2066" t="s">
        <v>178</v>
      </c>
      <c r="K2066">
        <v>4</v>
      </c>
      <c r="L2066" t="s">
        <v>44</v>
      </c>
      <c r="M2066">
        <v>3.8</v>
      </c>
      <c r="N2066" t="s">
        <v>45</v>
      </c>
      <c r="O2066" t="s">
        <v>46</v>
      </c>
      <c r="P2066">
        <v>3</v>
      </c>
      <c r="Q2066" t="s">
        <v>62</v>
      </c>
      <c r="R2066" t="s">
        <v>225</v>
      </c>
      <c r="S2066" t="s">
        <v>49</v>
      </c>
      <c r="T2066">
        <v>200</v>
      </c>
      <c r="U2066" t="s">
        <v>50</v>
      </c>
      <c r="V2066" t="s">
        <v>76</v>
      </c>
      <c r="X2066" t="s">
        <v>141</v>
      </c>
      <c r="Y2066" t="s">
        <v>103</v>
      </c>
      <c r="AA2066">
        <v>0</v>
      </c>
      <c r="AB2066" t="s">
        <v>79</v>
      </c>
      <c r="AC2066" t="s">
        <v>225</v>
      </c>
      <c r="AD2066">
        <v>36</v>
      </c>
      <c r="AE2066">
        <v>9</v>
      </c>
      <c r="AF2066">
        <v>3</v>
      </c>
      <c r="AG2066">
        <v>2025</v>
      </c>
      <c r="AH2066" s="2">
        <v>1100</v>
      </c>
      <c r="AI2066" s="2">
        <v>578.65435791015625</v>
      </c>
      <c r="AJ2066" s="2">
        <f t="shared" si="258"/>
        <v>521.34564208984375</v>
      </c>
      <c r="AK2066" s="6">
        <f t="shared" si="259"/>
        <v>0.47395058371803978</v>
      </c>
      <c r="AL2066" s="12">
        <v>1100</v>
      </c>
      <c r="AM2066" s="12">
        <v>609.94725511448212</v>
      </c>
      <c r="AN2066" s="12">
        <f t="shared" si="260"/>
        <v>490.05274488551788</v>
      </c>
      <c r="AO2066" s="13">
        <f t="shared" si="261"/>
        <v>0.44550249535047082</v>
      </c>
      <c r="AP2066" s="16">
        <v>1100</v>
      </c>
      <c r="AQ2066" s="16">
        <v>494.69405716918311</v>
      </c>
      <c r="AR2066" s="16">
        <f t="shared" si="262"/>
        <v>605.30594283081689</v>
      </c>
      <c r="AS2066" s="17">
        <f t="shared" si="256"/>
        <v>0.55027812984619717</v>
      </c>
      <c r="AT2066" s="20">
        <v>1100</v>
      </c>
      <c r="AU2066" s="20">
        <v>590.930908203125</v>
      </c>
      <c r="AV2066" s="20">
        <f t="shared" si="257"/>
        <v>509.069091796875</v>
      </c>
      <c r="AW2066" s="21">
        <f t="shared" si="263"/>
        <v>0.46279008345170453</v>
      </c>
    </row>
    <row r="2067" spans="1:49" x14ac:dyDescent="0.25">
      <c r="A2067" t="s">
        <v>38</v>
      </c>
      <c r="B2067" t="s">
        <v>39</v>
      </c>
      <c r="C2067">
        <v>121291</v>
      </c>
      <c r="D2067">
        <v>2015</v>
      </c>
      <c r="E2067" t="s">
        <v>97</v>
      </c>
      <c r="F2067" t="s">
        <v>98</v>
      </c>
      <c r="G2067" t="s">
        <v>590</v>
      </c>
      <c r="I2067">
        <v>4</v>
      </c>
      <c r="J2067" t="s">
        <v>178</v>
      </c>
      <c r="K2067">
        <v>4</v>
      </c>
      <c r="L2067" t="s">
        <v>44</v>
      </c>
      <c r="M2067">
        <v>2.4</v>
      </c>
      <c r="N2067" t="s">
        <v>45</v>
      </c>
      <c r="O2067" t="s">
        <v>46</v>
      </c>
      <c r="Q2067" t="s">
        <v>62</v>
      </c>
      <c r="R2067" t="s">
        <v>63</v>
      </c>
      <c r="S2067" t="s">
        <v>101</v>
      </c>
      <c r="U2067" t="s">
        <v>50</v>
      </c>
      <c r="W2067" t="s">
        <v>131</v>
      </c>
      <c r="X2067" t="s">
        <v>65</v>
      </c>
      <c r="Y2067" t="s">
        <v>103</v>
      </c>
      <c r="AA2067">
        <v>0</v>
      </c>
      <c r="AB2067" t="s">
        <v>79</v>
      </c>
      <c r="AC2067" t="s">
        <v>87</v>
      </c>
      <c r="AD2067">
        <v>36</v>
      </c>
      <c r="AE2067">
        <v>9</v>
      </c>
      <c r="AF2067">
        <v>3</v>
      </c>
      <c r="AG2067">
        <v>2025</v>
      </c>
      <c r="AH2067" s="2">
        <v>3200</v>
      </c>
      <c r="AI2067" s="2">
        <v>4413.43603515625</v>
      </c>
      <c r="AJ2067" s="2">
        <f t="shared" si="258"/>
        <v>1213.43603515625</v>
      </c>
      <c r="AK2067" s="6">
        <f t="shared" si="259"/>
        <v>0.3791987609863281</v>
      </c>
      <c r="AL2067" s="12">
        <v>3200</v>
      </c>
      <c r="AM2067" s="12">
        <v>4064.6735862607438</v>
      </c>
      <c r="AN2067" s="12">
        <f t="shared" si="260"/>
        <v>864.67358626074383</v>
      </c>
      <c r="AO2067" s="13">
        <f t="shared" si="261"/>
        <v>0.27021049570648242</v>
      </c>
      <c r="AP2067" s="16">
        <v>3200</v>
      </c>
      <c r="AQ2067" s="16">
        <v>3616.8853443028638</v>
      </c>
      <c r="AR2067" s="16">
        <f t="shared" si="262"/>
        <v>416.88534430286381</v>
      </c>
      <c r="AS2067" s="17">
        <f t="shared" si="256"/>
        <v>0.13027667009464494</v>
      </c>
      <c r="AT2067" s="20">
        <v>3200</v>
      </c>
      <c r="AU2067" s="20">
        <v>4416.62841796875</v>
      </c>
      <c r="AV2067" s="20">
        <f t="shared" si="257"/>
        <v>1216.62841796875</v>
      </c>
      <c r="AW2067" s="21">
        <f t="shared" si="263"/>
        <v>0.38019638061523436</v>
      </c>
    </row>
    <row r="2068" spans="1:49" x14ac:dyDescent="0.25">
      <c r="A2068" t="s">
        <v>128</v>
      </c>
      <c r="B2068" t="s">
        <v>210</v>
      </c>
      <c r="C2068">
        <v>77866</v>
      </c>
      <c r="D2068">
        <v>2019</v>
      </c>
      <c r="E2068" t="s">
        <v>146</v>
      </c>
      <c r="F2068" t="s">
        <v>451</v>
      </c>
      <c r="I2068">
        <v>4</v>
      </c>
      <c r="J2068" t="s">
        <v>106</v>
      </c>
      <c r="K2068">
        <v>4</v>
      </c>
      <c r="L2068" t="s">
        <v>44</v>
      </c>
      <c r="M2068">
        <v>1.6</v>
      </c>
      <c r="N2068" t="s">
        <v>45</v>
      </c>
      <c r="O2068" t="s">
        <v>46</v>
      </c>
      <c r="Q2068" t="s">
        <v>47</v>
      </c>
      <c r="R2068" t="s">
        <v>123</v>
      </c>
      <c r="S2068" t="s">
        <v>49</v>
      </c>
      <c r="U2068" t="s">
        <v>50</v>
      </c>
      <c r="X2068" t="s">
        <v>125</v>
      </c>
      <c r="Y2068" t="s">
        <v>126</v>
      </c>
      <c r="AA2068">
        <v>0</v>
      </c>
      <c r="AB2068" t="s">
        <v>79</v>
      </c>
      <c r="AC2068" t="s">
        <v>127</v>
      </c>
      <c r="AD2068">
        <v>36</v>
      </c>
      <c r="AE2068">
        <v>9</v>
      </c>
      <c r="AF2068">
        <v>3</v>
      </c>
      <c r="AG2068">
        <v>2025</v>
      </c>
      <c r="AH2068" s="2">
        <v>600</v>
      </c>
      <c r="AI2068" s="2">
        <v>4971.13330078125</v>
      </c>
      <c r="AJ2068" s="2">
        <f t="shared" si="258"/>
        <v>4371.13330078125</v>
      </c>
      <c r="AK2068" s="6">
        <f t="shared" si="259"/>
        <v>7.2852221679687501</v>
      </c>
      <c r="AL2068" s="12">
        <v>600</v>
      </c>
      <c r="AM2068" s="12">
        <v>6173.492574455765</v>
      </c>
      <c r="AN2068" s="12">
        <f t="shared" si="260"/>
        <v>5573.492574455765</v>
      </c>
      <c r="AO2068" s="13">
        <f t="shared" si="261"/>
        <v>9.2891542907596083</v>
      </c>
      <c r="AP2068" s="16">
        <v>600</v>
      </c>
      <c r="AQ2068" s="16">
        <v>4649.7585019696025</v>
      </c>
      <c r="AR2068" s="16">
        <f t="shared" si="262"/>
        <v>4049.7585019696025</v>
      </c>
      <c r="AS2068" s="17">
        <f t="shared" si="256"/>
        <v>6.7495975032826712</v>
      </c>
      <c r="AT2068" s="20">
        <v>600</v>
      </c>
      <c r="AU2068" s="20">
        <v>5045.70654296875</v>
      </c>
      <c r="AV2068" s="20">
        <f t="shared" si="257"/>
        <v>4445.70654296875</v>
      </c>
      <c r="AW2068" s="21">
        <f t="shared" si="263"/>
        <v>7.4095109049479166</v>
      </c>
    </row>
    <row r="2069" spans="1:49" x14ac:dyDescent="0.25">
      <c r="A2069" t="s">
        <v>38</v>
      </c>
      <c r="B2069" t="s">
        <v>39</v>
      </c>
      <c r="C2069">
        <v>116811</v>
      </c>
      <c r="D2069">
        <v>2014</v>
      </c>
      <c r="E2069" t="s">
        <v>69</v>
      </c>
      <c r="F2069" t="s">
        <v>250</v>
      </c>
      <c r="H2069" t="s">
        <v>447</v>
      </c>
      <c r="I2069">
        <v>4</v>
      </c>
      <c r="J2069" t="s">
        <v>253</v>
      </c>
      <c r="K2069">
        <v>4</v>
      </c>
      <c r="L2069" t="s">
        <v>44</v>
      </c>
      <c r="M2069">
        <v>1.6</v>
      </c>
      <c r="N2069" t="s">
        <v>45</v>
      </c>
      <c r="O2069" t="s">
        <v>46</v>
      </c>
      <c r="P2069">
        <v>2</v>
      </c>
      <c r="Q2069" t="s">
        <v>62</v>
      </c>
      <c r="R2069" t="s">
        <v>63</v>
      </c>
      <c r="S2069" t="s">
        <v>49</v>
      </c>
      <c r="T2069">
        <v>178</v>
      </c>
      <c r="U2069" t="s">
        <v>50</v>
      </c>
      <c r="V2069" t="s">
        <v>51</v>
      </c>
      <c r="X2069" t="s">
        <v>65</v>
      </c>
      <c r="Y2069" t="s">
        <v>78</v>
      </c>
      <c r="AA2069">
        <v>0</v>
      </c>
      <c r="AB2069" t="s">
        <v>79</v>
      </c>
      <c r="AC2069" t="s">
        <v>87</v>
      </c>
      <c r="AD2069">
        <v>36</v>
      </c>
      <c r="AE2069">
        <v>9</v>
      </c>
      <c r="AF2069">
        <v>3</v>
      </c>
      <c r="AG2069">
        <v>2025</v>
      </c>
      <c r="AH2069" s="2">
        <v>1200</v>
      </c>
      <c r="AI2069" s="2">
        <v>2720.9228515625</v>
      </c>
      <c r="AJ2069" s="2">
        <f t="shared" si="258"/>
        <v>1520.9228515625</v>
      </c>
      <c r="AK2069" s="6">
        <f t="shared" si="259"/>
        <v>1.2674357096354167</v>
      </c>
      <c r="AL2069" s="12">
        <v>1200</v>
      </c>
      <c r="AM2069" s="12">
        <v>2606.0286760544109</v>
      </c>
      <c r="AN2069" s="12">
        <f t="shared" si="260"/>
        <v>1406.0286760544109</v>
      </c>
      <c r="AO2069" s="13">
        <f t="shared" si="261"/>
        <v>1.1716905633786758</v>
      </c>
      <c r="AP2069" s="16">
        <v>1200</v>
      </c>
      <c r="AQ2069" s="16">
        <v>2332.850733956981</v>
      </c>
      <c r="AR2069" s="16">
        <f t="shared" si="262"/>
        <v>1132.850733956981</v>
      </c>
      <c r="AS2069" s="17">
        <f t="shared" si="256"/>
        <v>0.94404227829748422</v>
      </c>
      <c r="AT2069" s="20">
        <v>1200</v>
      </c>
      <c r="AU2069" s="20">
        <v>2737.96826171875</v>
      </c>
      <c r="AV2069" s="20">
        <f t="shared" si="257"/>
        <v>1537.96826171875</v>
      </c>
      <c r="AW2069" s="21">
        <f t="shared" si="263"/>
        <v>1.2816402180989583</v>
      </c>
    </row>
    <row r="2070" spans="1:49" x14ac:dyDescent="0.25">
      <c r="A2070" t="s">
        <v>38</v>
      </c>
      <c r="B2070" t="s">
        <v>68</v>
      </c>
      <c r="C2070">
        <v>84339</v>
      </c>
      <c r="D2070">
        <v>2021</v>
      </c>
      <c r="E2070" t="s">
        <v>146</v>
      </c>
      <c r="F2070" t="s">
        <v>232</v>
      </c>
      <c r="G2070" t="s">
        <v>280</v>
      </c>
      <c r="I2070">
        <v>6</v>
      </c>
      <c r="J2070" t="s">
        <v>61</v>
      </c>
      <c r="K2070">
        <v>4</v>
      </c>
      <c r="L2070" t="s">
        <v>44</v>
      </c>
      <c r="M2070">
        <v>3.5</v>
      </c>
      <c r="N2070" t="s">
        <v>45</v>
      </c>
      <c r="O2070" t="s">
        <v>46</v>
      </c>
      <c r="P2070">
        <v>4</v>
      </c>
      <c r="Q2070" t="s">
        <v>62</v>
      </c>
      <c r="R2070" t="s">
        <v>63</v>
      </c>
      <c r="S2070" t="s">
        <v>49</v>
      </c>
      <c r="U2070" t="s">
        <v>50</v>
      </c>
      <c r="X2070" t="s">
        <v>141</v>
      </c>
      <c r="Y2070" t="s">
        <v>78</v>
      </c>
      <c r="AA2070">
        <v>0</v>
      </c>
      <c r="AB2070" t="s">
        <v>79</v>
      </c>
      <c r="AC2070" t="s">
        <v>87</v>
      </c>
      <c r="AD2070">
        <v>36</v>
      </c>
      <c r="AE2070">
        <v>9</v>
      </c>
      <c r="AF2070">
        <v>3</v>
      </c>
      <c r="AG2070">
        <v>2025</v>
      </c>
      <c r="AH2070" s="2">
        <v>13500</v>
      </c>
      <c r="AI2070" s="2">
        <v>15903.515625</v>
      </c>
      <c r="AJ2070" s="2">
        <f t="shared" si="258"/>
        <v>2403.515625</v>
      </c>
      <c r="AK2070" s="6">
        <f t="shared" si="259"/>
        <v>0.17803819444444444</v>
      </c>
      <c r="AL2070" s="12">
        <v>13500</v>
      </c>
      <c r="AM2070" s="12">
        <v>15956.1344106327</v>
      </c>
      <c r="AN2070" s="12">
        <f t="shared" si="260"/>
        <v>2456.1344106326997</v>
      </c>
      <c r="AO2070" s="13">
        <f t="shared" si="261"/>
        <v>0.18193588226908886</v>
      </c>
      <c r="AP2070" s="16">
        <v>13500</v>
      </c>
      <c r="AQ2070" s="16">
        <v>15416.815814384619</v>
      </c>
      <c r="AR2070" s="16">
        <f t="shared" si="262"/>
        <v>1916.8158143846194</v>
      </c>
      <c r="AS2070" s="17">
        <f t="shared" si="256"/>
        <v>0.14198635662108292</v>
      </c>
      <c r="AT2070" s="20">
        <v>13500</v>
      </c>
      <c r="AU2070" s="20">
        <v>15719.751953125</v>
      </c>
      <c r="AV2070" s="20">
        <f t="shared" si="257"/>
        <v>2219.751953125</v>
      </c>
      <c r="AW2070" s="21">
        <f t="shared" si="263"/>
        <v>0.16442607060185185</v>
      </c>
    </row>
    <row r="2071" spans="1:49" x14ac:dyDescent="0.25">
      <c r="A2071" t="s">
        <v>38</v>
      </c>
      <c r="B2071" t="s">
        <v>96</v>
      </c>
      <c r="C2071">
        <v>136739</v>
      </c>
      <c r="D2071">
        <v>2015</v>
      </c>
      <c r="E2071" t="s">
        <v>58</v>
      </c>
      <c r="F2071" t="s">
        <v>243</v>
      </c>
      <c r="G2071" t="s">
        <v>894</v>
      </c>
      <c r="I2071">
        <v>4</v>
      </c>
      <c r="J2071" t="s">
        <v>61</v>
      </c>
      <c r="K2071">
        <v>4</v>
      </c>
      <c r="L2071" t="s">
        <v>44</v>
      </c>
      <c r="M2071">
        <v>1.8</v>
      </c>
      <c r="N2071" t="s">
        <v>45</v>
      </c>
      <c r="O2071" t="s">
        <v>46</v>
      </c>
      <c r="Q2071" t="s">
        <v>47</v>
      </c>
      <c r="R2071" t="s">
        <v>123</v>
      </c>
      <c r="U2071" t="s">
        <v>50</v>
      </c>
      <c r="W2071" t="s">
        <v>1023</v>
      </c>
      <c r="X2071" t="s">
        <v>125</v>
      </c>
      <c r="Y2071" t="s">
        <v>66</v>
      </c>
      <c r="AA2071">
        <v>0</v>
      </c>
      <c r="AB2071" t="s">
        <v>79</v>
      </c>
      <c r="AC2071" t="s">
        <v>127</v>
      </c>
      <c r="AD2071">
        <v>36</v>
      </c>
      <c r="AE2071">
        <v>9</v>
      </c>
      <c r="AF2071">
        <v>3</v>
      </c>
      <c r="AG2071">
        <v>2025</v>
      </c>
      <c r="AH2071" s="2">
        <v>1900</v>
      </c>
      <c r="AI2071" s="2">
        <v>2318.3095703125</v>
      </c>
      <c r="AJ2071" s="2">
        <f t="shared" si="258"/>
        <v>418.3095703125</v>
      </c>
      <c r="AK2071" s="6">
        <f t="shared" si="259"/>
        <v>0.22016293174342105</v>
      </c>
      <c r="AL2071" s="12">
        <v>1900</v>
      </c>
      <c r="AM2071" s="12">
        <v>2530.5231512020341</v>
      </c>
      <c r="AN2071" s="12">
        <f t="shared" si="260"/>
        <v>630.52315120203411</v>
      </c>
      <c r="AO2071" s="13">
        <f t="shared" si="261"/>
        <v>0.33185429010633377</v>
      </c>
      <c r="AP2071" s="16">
        <v>1900</v>
      </c>
      <c r="AQ2071" s="16">
        <v>1975.9205040843581</v>
      </c>
      <c r="AR2071" s="16">
        <f t="shared" si="262"/>
        <v>75.920504084358072</v>
      </c>
      <c r="AS2071" s="17">
        <f t="shared" si="256"/>
        <v>3.9958160044398984E-2</v>
      </c>
      <c r="AT2071" s="20">
        <v>1900</v>
      </c>
      <c r="AU2071" s="20">
        <v>2349.787109375</v>
      </c>
      <c r="AV2071" s="20">
        <f t="shared" si="257"/>
        <v>449.787109375</v>
      </c>
      <c r="AW2071" s="21">
        <f t="shared" si="263"/>
        <v>0.23673005756578946</v>
      </c>
    </row>
    <row r="2072" spans="1:49" x14ac:dyDescent="0.25">
      <c r="A2072" t="s">
        <v>38</v>
      </c>
      <c r="B2072" t="s">
        <v>110</v>
      </c>
      <c r="C2072">
        <v>110207</v>
      </c>
      <c r="D2072">
        <v>2017</v>
      </c>
      <c r="E2072" t="s">
        <v>305</v>
      </c>
      <c r="F2072" t="s">
        <v>1448</v>
      </c>
      <c r="H2072" t="s">
        <v>1269</v>
      </c>
      <c r="I2072">
        <v>6</v>
      </c>
      <c r="J2072" t="s">
        <v>43</v>
      </c>
      <c r="K2072">
        <v>4</v>
      </c>
      <c r="L2072" t="s">
        <v>44</v>
      </c>
      <c r="M2072">
        <v>3.7</v>
      </c>
      <c r="N2072" t="s">
        <v>45</v>
      </c>
      <c r="Q2072" t="s">
        <v>47</v>
      </c>
      <c r="R2072" t="s">
        <v>123</v>
      </c>
      <c r="S2072" t="s">
        <v>101</v>
      </c>
      <c r="T2072">
        <v>305</v>
      </c>
      <c r="U2072" t="s">
        <v>50</v>
      </c>
      <c r="V2072" t="s">
        <v>76</v>
      </c>
      <c r="W2072" t="s">
        <v>1591</v>
      </c>
      <c r="X2072" t="s">
        <v>125</v>
      </c>
      <c r="Y2072" t="s">
        <v>78</v>
      </c>
      <c r="Z2072">
        <v>47675</v>
      </c>
      <c r="AA2072">
        <v>0</v>
      </c>
      <c r="AB2072" t="s">
        <v>79</v>
      </c>
      <c r="AC2072" t="s">
        <v>127</v>
      </c>
      <c r="AD2072">
        <v>36</v>
      </c>
      <c r="AE2072">
        <v>9</v>
      </c>
      <c r="AF2072">
        <v>3</v>
      </c>
      <c r="AG2072">
        <v>2025</v>
      </c>
      <c r="AH2072" s="2">
        <v>6000</v>
      </c>
      <c r="AI2072" s="2">
        <v>7850.59912109375</v>
      </c>
      <c r="AJ2072" s="2">
        <f t="shared" si="258"/>
        <v>1850.59912109375</v>
      </c>
      <c r="AK2072" s="6">
        <f t="shared" si="259"/>
        <v>0.30843318684895832</v>
      </c>
      <c r="AL2072" s="12">
        <v>6000</v>
      </c>
      <c r="AM2072" s="12">
        <v>6915.3511032784054</v>
      </c>
      <c r="AN2072" s="12">
        <f t="shared" si="260"/>
        <v>915.35110327840539</v>
      </c>
      <c r="AO2072" s="13">
        <f t="shared" si="261"/>
        <v>0.15255851721306757</v>
      </c>
      <c r="AP2072" s="16">
        <v>6000</v>
      </c>
      <c r="AQ2072" s="16">
        <v>6956.1716364198428</v>
      </c>
      <c r="AR2072" s="16">
        <f t="shared" si="262"/>
        <v>956.1716364198428</v>
      </c>
      <c r="AS2072" s="17">
        <f t="shared" si="256"/>
        <v>0.15936193940330715</v>
      </c>
      <c r="AT2072" s="20">
        <v>6000</v>
      </c>
      <c r="AU2072" s="20">
        <v>7739.34619140625</v>
      </c>
      <c r="AV2072" s="20">
        <f t="shared" si="257"/>
        <v>1739.34619140625</v>
      </c>
      <c r="AW2072" s="21">
        <f t="shared" si="263"/>
        <v>0.28989103190104165</v>
      </c>
    </row>
    <row r="2073" spans="1:49" x14ac:dyDescent="0.25">
      <c r="A2073" t="s">
        <v>38</v>
      </c>
      <c r="B2073" t="s">
        <v>39</v>
      </c>
      <c r="C2073">
        <v>100987</v>
      </c>
      <c r="D2073">
        <v>2018</v>
      </c>
      <c r="E2073" t="s">
        <v>97</v>
      </c>
      <c r="F2073" t="s">
        <v>159</v>
      </c>
      <c r="G2073" t="s">
        <v>155</v>
      </c>
      <c r="H2073" t="s">
        <v>89</v>
      </c>
      <c r="I2073">
        <v>8</v>
      </c>
      <c r="J2073" t="s">
        <v>122</v>
      </c>
      <c r="K2073">
        <v>4</v>
      </c>
      <c r="L2073" t="s">
        <v>44</v>
      </c>
      <c r="M2073">
        <v>5.3</v>
      </c>
      <c r="N2073" t="s">
        <v>73</v>
      </c>
      <c r="O2073" t="s">
        <v>46</v>
      </c>
      <c r="Q2073" t="s">
        <v>74</v>
      </c>
      <c r="R2073" t="s">
        <v>92</v>
      </c>
      <c r="S2073" t="s">
        <v>49</v>
      </c>
      <c r="U2073" t="s">
        <v>50</v>
      </c>
      <c r="W2073" t="s">
        <v>424</v>
      </c>
      <c r="X2073" t="s">
        <v>94</v>
      </c>
      <c r="Y2073" t="s">
        <v>126</v>
      </c>
      <c r="AA2073">
        <v>0</v>
      </c>
      <c r="AB2073" t="s">
        <v>79</v>
      </c>
      <c r="AC2073" t="s">
        <v>95</v>
      </c>
      <c r="AD2073">
        <v>36</v>
      </c>
      <c r="AE2073">
        <v>9</v>
      </c>
      <c r="AF2073">
        <v>3</v>
      </c>
      <c r="AG2073">
        <v>2025</v>
      </c>
      <c r="AH2073" s="2">
        <v>20750</v>
      </c>
      <c r="AI2073" s="2">
        <v>18385.205078125</v>
      </c>
      <c r="AJ2073" s="2">
        <f t="shared" si="258"/>
        <v>2364.794921875</v>
      </c>
      <c r="AK2073" s="6">
        <f t="shared" si="259"/>
        <v>0.1139660203313253</v>
      </c>
      <c r="AL2073" s="12">
        <v>20750</v>
      </c>
      <c r="AM2073" s="12">
        <v>18304.97975638125</v>
      </c>
      <c r="AN2073" s="12">
        <f t="shared" si="260"/>
        <v>2445.0202436187501</v>
      </c>
      <c r="AO2073" s="13">
        <f t="shared" si="261"/>
        <v>0.11783230089728916</v>
      </c>
      <c r="AP2073" s="16">
        <v>20750</v>
      </c>
      <c r="AQ2073" s="16">
        <v>16520.55479745075</v>
      </c>
      <c r="AR2073" s="16">
        <f t="shared" si="262"/>
        <v>4229.4452025492501</v>
      </c>
      <c r="AS2073" s="17">
        <f t="shared" si="256"/>
        <v>0.20382868446020483</v>
      </c>
      <c r="AT2073" s="20">
        <v>20750</v>
      </c>
      <c r="AU2073" s="20">
        <v>18182.458984375</v>
      </c>
      <c r="AV2073" s="20">
        <f t="shared" si="257"/>
        <v>2567.541015625</v>
      </c>
      <c r="AW2073" s="21">
        <f t="shared" si="263"/>
        <v>0.12373691641566265</v>
      </c>
    </row>
    <row r="2074" spans="1:49" x14ac:dyDescent="0.25">
      <c r="A2074" t="s">
        <v>38</v>
      </c>
      <c r="B2074" t="s">
        <v>110</v>
      </c>
      <c r="C2074">
        <v>188973</v>
      </c>
      <c r="D2074">
        <v>2013</v>
      </c>
      <c r="E2074" t="s">
        <v>166</v>
      </c>
      <c r="F2074" t="s">
        <v>247</v>
      </c>
      <c r="G2074" t="s">
        <v>248</v>
      </c>
      <c r="I2074">
        <v>4</v>
      </c>
      <c r="J2074" t="s">
        <v>206</v>
      </c>
      <c r="K2074">
        <v>4</v>
      </c>
      <c r="L2074" t="s">
        <v>44</v>
      </c>
      <c r="M2074">
        <v>2.4</v>
      </c>
      <c r="N2074" t="s">
        <v>45</v>
      </c>
      <c r="O2074" t="s">
        <v>100</v>
      </c>
      <c r="Q2074" t="s">
        <v>62</v>
      </c>
      <c r="R2074" t="s">
        <v>63</v>
      </c>
      <c r="S2074" t="s">
        <v>49</v>
      </c>
      <c r="T2074">
        <v>185</v>
      </c>
      <c r="U2074" t="s">
        <v>50</v>
      </c>
      <c r="V2074" t="s">
        <v>51</v>
      </c>
      <c r="W2074" t="s">
        <v>812</v>
      </c>
      <c r="X2074" t="s">
        <v>65</v>
      </c>
      <c r="Y2074" t="s">
        <v>78</v>
      </c>
      <c r="AA2074">
        <v>0</v>
      </c>
      <c r="AB2074" t="s">
        <v>79</v>
      </c>
      <c r="AC2074" t="s">
        <v>87</v>
      </c>
      <c r="AD2074">
        <v>36</v>
      </c>
      <c r="AE2074">
        <v>9</v>
      </c>
      <c r="AF2074">
        <v>3</v>
      </c>
      <c r="AG2074">
        <v>2025</v>
      </c>
      <c r="AH2074" s="2">
        <v>1800</v>
      </c>
      <c r="AI2074" s="2">
        <v>2045.68505859375</v>
      </c>
      <c r="AJ2074" s="2">
        <f t="shared" si="258"/>
        <v>245.68505859375</v>
      </c>
      <c r="AK2074" s="6">
        <f t="shared" si="259"/>
        <v>0.13649169921875001</v>
      </c>
      <c r="AL2074" s="12">
        <v>1800</v>
      </c>
      <c r="AM2074" s="12">
        <v>1475.271185195103</v>
      </c>
      <c r="AN2074" s="12">
        <f t="shared" si="260"/>
        <v>324.72881480489696</v>
      </c>
      <c r="AO2074" s="13">
        <f t="shared" si="261"/>
        <v>0.18040489711383165</v>
      </c>
      <c r="AP2074" s="16">
        <v>1800</v>
      </c>
      <c r="AQ2074" s="16">
        <v>1517.3447405359641</v>
      </c>
      <c r="AR2074" s="16">
        <f t="shared" si="262"/>
        <v>282.65525946403591</v>
      </c>
      <c r="AS2074" s="17">
        <f t="shared" si="256"/>
        <v>0.15703069970224218</v>
      </c>
      <c r="AT2074" s="20">
        <v>1800</v>
      </c>
      <c r="AU2074" s="20">
        <v>1985.611694335938</v>
      </c>
      <c r="AV2074" s="20">
        <f t="shared" si="257"/>
        <v>185.61169433593795</v>
      </c>
      <c r="AW2074" s="21">
        <f t="shared" si="263"/>
        <v>0.10311760796440997</v>
      </c>
    </row>
    <row r="2075" spans="1:49" x14ac:dyDescent="0.25">
      <c r="A2075" t="s">
        <v>38</v>
      </c>
      <c r="B2075" t="s">
        <v>39</v>
      </c>
      <c r="C2075">
        <v>155143</v>
      </c>
      <c r="D2075">
        <v>2014</v>
      </c>
      <c r="E2075" t="s">
        <v>146</v>
      </c>
      <c r="F2075" t="s">
        <v>334</v>
      </c>
      <c r="I2075">
        <v>4</v>
      </c>
      <c r="J2075" t="s">
        <v>43</v>
      </c>
      <c r="K2075">
        <v>4</v>
      </c>
      <c r="L2075" t="s">
        <v>44</v>
      </c>
      <c r="M2075">
        <v>2.5</v>
      </c>
      <c r="N2075" t="s">
        <v>45</v>
      </c>
      <c r="O2075" t="s">
        <v>46</v>
      </c>
      <c r="Q2075" t="s">
        <v>47</v>
      </c>
      <c r="R2075" t="s">
        <v>123</v>
      </c>
      <c r="S2075" t="s">
        <v>49</v>
      </c>
      <c r="U2075" t="s">
        <v>50</v>
      </c>
      <c r="X2075" t="s">
        <v>125</v>
      </c>
      <c r="Y2075" t="s">
        <v>78</v>
      </c>
      <c r="AA2075">
        <v>0</v>
      </c>
      <c r="AB2075" t="s">
        <v>79</v>
      </c>
      <c r="AC2075" t="s">
        <v>127</v>
      </c>
      <c r="AD2075">
        <v>36</v>
      </c>
      <c r="AE2075">
        <v>9</v>
      </c>
      <c r="AF2075">
        <v>3</v>
      </c>
      <c r="AG2075">
        <v>2025</v>
      </c>
      <c r="AH2075" s="2">
        <v>1700</v>
      </c>
      <c r="AI2075" s="2">
        <v>1887.448608398438</v>
      </c>
      <c r="AJ2075" s="2">
        <f t="shared" si="258"/>
        <v>187.44860839843795</v>
      </c>
      <c r="AK2075" s="6">
        <f t="shared" si="259"/>
        <v>0.1102638872931988</v>
      </c>
      <c r="AL2075" s="12">
        <v>1700</v>
      </c>
      <c r="AM2075" s="12">
        <v>1937.71825150011</v>
      </c>
      <c r="AN2075" s="12">
        <f t="shared" si="260"/>
        <v>237.71825150011</v>
      </c>
      <c r="AO2075" s="13">
        <f t="shared" si="261"/>
        <v>0.13983426558830001</v>
      </c>
      <c r="AP2075" s="16">
        <v>1700</v>
      </c>
      <c r="AQ2075" s="16">
        <v>1809.9375931670861</v>
      </c>
      <c r="AR2075" s="16">
        <f t="shared" si="262"/>
        <v>109.93759316708611</v>
      </c>
      <c r="AS2075" s="17">
        <f t="shared" si="256"/>
        <v>6.4669172451227122E-2</v>
      </c>
      <c r="AT2075" s="20">
        <v>1700</v>
      </c>
      <c r="AU2075" s="20">
        <v>1903.748779296875</v>
      </c>
      <c r="AV2075" s="20">
        <f t="shared" si="257"/>
        <v>203.748779296875</v>
      </c>
      <c r="AW2075" s="21">
        <f t="shared" si="263"/>
        <v>0.11985222311580883</v>
      </c>
    </row>
    <row r="2076" spans="1:49" x14ac:dyDescent="0.25">
      <c r="A2076" t="s">
        <v>38</v>
      </c>
      <c r="B2076" t="s">
        <v>96</v>
      </c>
      <c r="C2076">
        <v>183741</v>
      </c>
      <c r="D2076">
        <v>2017</v>
      </c>
      <c r="E2076" t="s">
        <v>557</v>
      </c>
      <c r="F2076" t="s">
        <v>940</v>
      </c>
      <c r="G2076" t="s">
        <v>168</v>
      </c>
      <c r="I2076">
        <v>6</v>
      </c>
      <c r="J2076" t="s">
        <v>106</v>
      </c>
      <c r="K2076">
        <v>4</v>
      </c>
      <c r="L2076" t="s">
        <v>44</v>
      </c>
      <c r="M2076">
        <v>3.6</v>
      </c>
      <c r="N2076" t="s">
        <v>45</v>
      </c>
      <c r="O2076" t="s">
        <v>46</v>
      </c>
      <c r="Q2076" t="s">
        <v>62</v>
      </c>
      <c r="R2076" t="s">
        <v>225</v>
      </c>
      <c r="S2076" t="s">
        <v>101</v>
      </c>
      <c r="T2076">
        <v>287</v>
      </c>
      <c r="U2076" t="s">
        <v>50</v>
      </c>
      <c r="V2076" t="s">
        <v>76</v>
      </c>
      <c r="X2076" t="s">
        <v>94</v>
      </c>
      <c r="Y2076" t="s">
        <v>103</v>
      </c>
      <c r="Z2076">
        <v>30995</v>
      </c>
      <c r="AA2076">
        <v>0</v>
      </c>
      <c r="AB2076" t="s">
        <v>79</v>
      </c>
      <c r="AC2076" t="s">
        <v>225</v>
      </c>
      <c r="AD2076">
        <v>36</v>
      </c>
      <c r="AE2076">
        <v>9</v>
      </c>
      <c r="AF2076">
        <v>3</v>
      </c>
      <c r="AG2076">
        <v>2025</v>
      </c>
      <c r="AH2076" s="2">
        <v>3200</v>
      </c>
      <c r="AI2076" s="2">
        <v>3906.852783203125</v>
      </c>
      <c r="AJ2076" s="2">
        <f t="shared" si="258"/>
        <v>706.852783203125</v>
      </c>
      <c r="AK2076" s="6">
        <f t="shared" si="259"/>
        <v>0.22089149475097655</v>
      </c>
      <c r="AL2076" s="12">
        <v>3200</v>
      </c>
      <c r="AM2076" s="12">
        <v>4066.252332968681</v>
      </c>
      <c r="AN2076" s="12">
        <f t="shared" si="260"/>
        <v>866.252332968681</v>
      </c>
      <c r="AO2076" s="13">
        <f t="shared" si="261"/>
        <v>0.2707038540527128</v>
      </c>
      <c r="AP2076" s="16">
        <v>3200</v>
      </c>
      <c r="AQ2076" s="16">
        <v>3757.9385840894161</v>
      </c>
      <c r="AR2076" s="16">
        <f t="shared" si="262"/>
        <v>557.93858408941605</v>
      </c>
      <c r="AS2076" s="17">
        <f t="shared" si="256"/>
        <v>0.17435580752794252</v>
      </c>
      <c r="AT2076" s="20">
        <v>3200</v>
      </c>
      <c r="AU2076" s="20">
        <v>3938.97509765625</v>
      </c>
      <c r="AV2076" s="20">
        <f t="shared" si="257"/>
        <v>738.97509765625</v>
      </c>
      <c r="AW2076" s="21">
        <f t="shared" si="263"/>
        <v>0.23092971801757811</v>
      </c>
    </row>
    <row r="2077" spans="1:49" x14ac:dyDescent="0.25">
      <c r="A2077" t="s">
        <v>38</v>
      </c>
      <c r="B2077" t="s">
        <v>68</v>
      </c>
      <c r="C2077">
        <v>128489</v>
      </c>
      <c r="D2077">
        <v>2016</v>
      </c>
      <c r="E2077" t="s">
        <v>97</v>
      </c>
      <c r="F2077" t="s">
        <v>159</v>
      </c>
      <c r="G2077" t="s">
        <v>380</v>
      </c>
      <c r="H2077" t="s">
        <v>312</v>
      </c>
      <c r="I2077">
        <v>8</v>
      </c>
      <c r="J2077" t="s">
        <v>122</v>
      </c>
      <c r="K2077">
        <v>4</v>
      </c>
      <c r="L2077" t="s">
        <v>44</v>
      </c>
      <c r="M2077">
        <v>6.6</v>
      </c>
      <c r="N2077" t="s">
        <v>91</v>
      </c>
      <c r="O2077" t="s">
        <v>46</v>
      </c>
      <c r="P2077">
        <v>3</v>
      </c>
      <c r="Q2077" t="s">
        <v>74</v>
      </c>
      <c r="R2077" t="s">
        <v>92</v>
      </c>
      <c r="S2077" t="s">
        <v>93</v>
      </c>
      <c r="U2077" t="s">
        <v>229</v>
      </c>
      <c r="V2077" t="s">
        <v>76</v>
      </c>
      <c r="W2077" t="s">
        <v>1592</v>
      </c>
      <c r="X2077" t="s">
        <v>230</v>
      </c>
      <c r="Y2077" t="s">
        <v>78</v>
      </c>
      <c r="AA2077">
        <v>0</v>
      </c>
      <c r="AB2077" t="s">
        <v>79</v>
      </c>
      <c r="AC2077" t="s">
        <v>95</v>
      </c>
      <c r="AD2077">
        <v>36</v>
      </c>
      <c r="AE2077">
        <v>9</v>
      </c>
      <c r="AF2077">
        <v>3</v>
      </c>
      <c r="AG2077">
        <v>2025</v>
      </c>
      <c r="AH2077" s="2">
        <v>30000</v>
      </c>
      <c r="AI2077" s="2">
        <v>25024.9453125</v>
      </c>
      <c r="AJ2077" s="2">
        <f t="shared" si="258"/>
        <v>4975.0546875</v>
      </c>
      <c r="AK2077" s="6">
        <f t="shared" si="259"/>
        <v>0.16583515625</v>
      </c>
      <c r="AL2077" s="12">
        <v>30000</v>
      </c>
      <c r="AM2077" s="12">
        <v>20918.821176912479</v>
      </c>
      <c r="AN2077" s="12">
        <f t="shared" si="260"/>
        <v>9081.1788230875209</v>
      </c>
      <c r="AO2077" s="13">
        <f t="shared" si="261"/>
        <v>0.302705960769584</v>
      </c>
      <c r="AP2077" s="16">
        <v>30000</v>
      </c>
      <c r="AQ2077" s="16">
        <v>22539.35869882903</v>
      </c>
      <c r="AR2077" s="16">
        <f t="shared" si="262"/>
        <v>7460.6413011709701</v>
      </c>
      <c r="AS2077" s="17">
        <f t="shared" si="256"/>
        <v>0.24868804337236566</v>
      </c>
      <c r="AT2077" s="20">
        <v>30000</v>
      </c>
      <c r="AU2077" s="20">
        <v>24174.771484375</v>
      </c>
      <c r="AV2077" s="20">
        <f t="shared" si="257"/>
        <v>5825.228515625</v>
      </c>
      <c r="AW2077" s="21">
        <f t="shared" si="263"/>
        <v>0.19417428385416666</v>
      </c>
    </row>
    <row r="2078" spans="1:49" x14ac:dyDescent="0.25">
      <c r="A2078" t="s">
        <v>38</v>
      </c>
      <c r="B2078" t="s">
        <v>96</v>
      </c>
      <c r="C2078">
        <v>30355</v>
      </c>
      <c r="D2078">
        <v>2025</v>
      </c>
      <c r="E2078" t="s">
        <v>40</v>
      </c>
      <c r="F2078" t="s">
        <v>297</v>
      </c>
      <c r="H2078" t="s">
        <v>1593</v>
      </c>
      <c r="I2078">
        <v>4</v>
      </c>
      <c r="J2078" t="s">
        <v>122</v>
      </c>
      <c r="K2078">
        <v>4</v>
      </c>
      <c r="L2078" t="s">
        <v>44</v>
      </c>
      <c r="M2078">
        <v>2.5</v>
      </c>
      <c r="N2078" t="s">
        <v>45</v>
      </c>
      <c r="O2078" t="s">
        <v>46</v>
      </c>
      <c r="Q2078" t="s">
        <v>47</v>
      </c>
      <c r="R2078" t="s">
        <v>123</v>
      </c>
      <c r="S2078" t="s">
        <v>49</v>
      </c>
      <c r="T2078">
        <v>184</v>
      </c>
      <c r="U2078" t="s">
        <v>50</v>
      </c>
      <c r="V2078" t="s">
        <v>51</v>
      </c>
      <c r="W2078" t="s">
        <v>1525</v>
      </c>
      <c r="X2078" t="s">
        <v>65</v>
      </c>
      <c r="Y2078" t="s">
        <v>78</v>
      </c>
      <c r="AA2078">
        <v>1</v>
      </c>
      <c r="AB2078" t="s">
        <v>55</v>
      </c>
      <c r="AC2078" t="s">
        <v>393</v>
      </c>
      <c r="AD2078">
        <v>36</v>
      </c>
      <c r="AE2078">
        <v>9</v>
      </c>
      <c r="AF2078">
        <v>3</v>
      </c>
      <c r="AG2078">
        <v>2025</v>
      </c>
      <c r="AH2078" s="2">
        <v>24200</v>
      </c>
      <c r="AI2078" s="2">
        <v>24893.80859375</v>
      </c>
      <c r="AJ2078" s="2">
        <f t="shared" si="258"/>
        <v>693.80859375</v>
      </c>
      <c r="AK2078" s="6">
        <f t="shared" si="259"/>
        <v>2.866977660123967E-2</v>
      </c>
      <c r="AL2078" s="12">
        <v>24200</v>
      </c>
      <c r="AM2078" s="12">
        <v>25710.68987455792</v>
      </c>
      <c r="AN2078" s="12">
        <f t="shared" si="260"/>
        <v>1510.6898745579201</v>
      </c>
      <c r="AO2078" s="13">
        <f t="shared" si="261"/>
        <v>6.2425201428013229E-2</v>
      </c>
      <c r="AP2078" s="16">
        <v>24200</v>
      </c>
      <c r="AQ2078" s="16">
        <v>23862.993562452601</v>
      </c>
      <c r="AR2078" s="16">
        <f t="shared" si="262"/>
        <v>337.0064375473994</v>
      </c>
      <c r="AS2078" s="17">
        <f t="shared" si="256"/>
        <v>1.3925885849066091E-2</v>
      </c>
      <c r="AT2078" s="20">
        <v>24200</v>
      </c>
      <c r="AU2078" s="20">
        <v>24980.974609375</v>
      </c>
      <c r="AV2078" s="20">
        <f t="shared" si="257"/>
        <v>780.974609375</v>
      </c>
      <c r="AW2078" s="21">
        <f t="shared" si="263"/>
        <v>3.2271678073347104E-2</v>
      </c>
    </row>
    <row r="2079" spans="1:49" x14ac:dyDescent="0.25">
      <c r="A2079" t="s">
        <v>38</v>
      </c>
      <c r="B2079" t="s">
        <v>39</v>
      </c>
      <c r="C2079">
        <v>234907</v>
      </c>
      <c r="D2079">
        <v>2004</v>
      </c>
      <c r="E2079" t="s">
        <v>174</v>
      </c>
      <c r="F2079" t="s">
        <v>175</v>
      </c>
      <c r="H2079" t="s">
        <v>89</v>
      </c>
      <c r="I2079">
        <v>8</v>
      </c>
      <c r="J2079" t="s">
        <v>61</v>
      </c>
      <c r="K2079">
        <v>4</v>
      </c>
      <c r="L2079" t="s">
        <v>44</v>
      </c>
      <c r="M2079">
        <v>5.3</v>
      </c>
      <c r="N2079" t="s">
        <v>73</v>
      </c>
      <c r="O2079" t="s">
        <v>46</v>
      </c>
      <c r="Q2079" t="s">
        <v>62</v>
      </c>
      <c r="R2079" t="s">
        <v>63</v>
      </c>
      <c r="S2079" t="s">
        <v>49</v>
      </c>
      <c r="U2079" t="s">
        <v>180</v>
      </c>
      <c r="V2079" t="s">
        <v>76</v>
      </c>
      <c r="W2079" t="s">
        <v>1200</v>
      </c>
      <c r="X2079" t="s">
        <v>94</v>
      </c>
      <c r="Y2079" t="s">
        <v>78</v>
      </c>
      <c r="AA2079">
        <v>0</v>
      </c>
      <c r="AB2079" t="s">
        <v>79</v>
      </c>
      <c r="AC2079" t="s">
        <v>87</v>
      </c>
      <c r="AD2079">
        <v>36</v>
      </c>
      <c r="AE2079">
        <v>9</v>
      </c>
      <c r="AF2079">
        <v>3</v>
      </c>
      <c r="AG2079">
        <v>2025</v>
      </c>
      <c r="AH2079" s="2">
        <v>700</v>
      </c>
      <c r="AI2079" s="2">
        <v>1158.708984375</v>
      </c>
      <c r="AJ2079" s="2">
        <f t="shared" si="258"/>
        <v>458.708984375</v>
      </c>
      <c r="AK2079" s="6">
        <f t="shared" si="259"/>
        <v>0.6552985491071428</v>
      </c>
      <c r="AL2079" s="12">
        <v>700</v>
      </c>
      <c r="AM2079" s="12">
        <v>1348.546607305851</v>
      </c>
      <c r="AN2079" s="12">
        <f t="shared" si="260"/>
        <v>648.54660730585101</v>
      </c>
      <c r="AO2079" s="13">
        <f t="shared" si="261"/>
        <v>0.92649515329407284</v>
      </c>
      <c r="AP2079" s="16">
        <v>700</v>
      </c>
      <c r="AQ2079" s="16">
        <v>1239.713713507273</v>
      </c>
      <c r="AR2079" s="16">
        <f t="shared" si="262"/>
        <v>539.71371350727304</v>
      </c>
      <c r="AS2079" s="17">
        <f t="shared" si="256"/>
        <v>0.77101959072467574</v>
      </c>
      <c r="AT2079" s="20">
        <v>700</v>
      </c>
      <c r="AU2079" s="20">
        <v>1163.657836914062</v>
      </c>
      <c r="AV2079" s="20">
        <f t="shared" si="257"/>
        <v>463.65783691406205</v>
      </c>
      <c r="AW2079" s="21">
        <f t="shared" si="263"/>
        <v>0.66236833844866005</v>
      </c>
    </row>
    <row r="2080" spans="1:49" x14ac:dyDescent="0.25">
      <c r="A2080" t="s">
        <v>38</v>
      </c>
      <c r="B2080" t="s">
        <v>96</v>
      </c>
      <c r="C2080">
        <v>4813</v>
      </c>
      <c r="D2080">
        <v>2025</v>
      </c>
      <c r="E2080" t="s">
        <v>146</v>
      </c>
      <c r="F2080" t="s">
        <v>279</v>
      </c>
      <c r="G2080" t="s">
        <v>1060</v>
      </c>
      <c r="I2080">
        <v>4</v>
      </c>
      <c r="J2080" t="s">
        <v>135</v>
      </c>
      <c r="K2080">
        <v>4</v>
      </c>
      <c r="L2080" t="s">
        <v>44</v>
      </c>
      <c r="M2080">
        <v>2</v>
      </c>
      <c r="N2080" t="s">
        <v>45</v>
      </c>
      <c r="O2080" t="s">
        <v>46</v>
      </c>
      <c r="P2080">
        <v>5</v>
      </c>
      <c r="Q2080" t="s">
        <v>47</v>
      </c>
      <c r="R2080" t="s">
        <v>123</v>
      </c>
      <c r="S2080" t="s">
        <v>49</v>
      </c>
      <c r="U2080" t="s">
        <v>50</v>
      </c>
      <c r="X2080" t="s">
        <v>53</v>
      </c>
      <c r="Y2080" t="s">
        <v>126</v>
      </c>
      <c r="AA2080">
        <v>0</v>
      </c>
      <c r="AB2080" t="s">
        <v>79</v>
      </c>
      <c r="AC2080" t="s">
        <v>127</v>
      </c>
      <c r="AD2080">
        <v>36</v>
      </c>
      <c r="AE2080">
        <v>9</v>
      </c>
      <c r="AF2080">
        <v>3</v>
      </c>
      <c r="AG2080">
        <v>2025</v>
      </c>
      <c r="AH2080" s="2">
        <v>19000</v>
      </c>
      <c r="AI2080" s="2">
        <v>18705.94140625</v>
      </c>
      <c r="AJ2080" s="2">
        <f t="shared" si="258"/>
        <v>294.05859375</v>
      </c>
      <c r="AK2080" s="6">
        <f t="shared" si="259"/>
        <v>1.5476768092105263E-2</v>
      </c>
      <c r="AL2080" s="12">
        <v>19000</v>
      </c>
      <c r="AM2080" s="12">
        <v>18822.34735526306</v>
      </c>
      <c r="AN2080" s="12">
        <f t="shared" si="260"/>
        <v>177.65264473693969</v>
      </c>
      <c r="AO2080" s="13">
        <f t="shared" si="261"/>
        <v>9.3501391966810364E-3</v>
      </c>
      <c r="AP2080" s="16">
        <v>19000</v>
      </c>
      <c r="AQ2080" s="16">
        <v>19089.411005993039</v>
      </c>
      <c r="AR2080" s="16">
        <f t="shared" si="262"/>
        <v>89.411005993038998</v>
      </c>
      <c r="AS2080" s="17">
        <f t="shared" si="256"/>
        <v>4.7058424206862627E-3</v>
      </c>
      <c r="AT2080" s="20">
        <v>19000</v>
      </c>
      <c r="AU2080" s="20">
        <v>18663.974609375</v>
      </c>
      <c r="AV2080" s="20">
        <f t="shared" si="257"/>
        <v>336.025390625</v>
      </c>
      <c r="AW2080" s="21">
        <f t="shared" si="263"/>
        <v>1.7685546874999999E-2</v>
      </c>
    </row>
    <row r="2081" spans="1:49" x14ac:dyDescent="0.25">
      <c r="A2081" t="s">
        <v>128</v>
      </c>
      <c r="B2081" t="s">
        <v>129</v>
      </c>
      <c r="C2081">
        <v>158863</v>
      </c>
      <c r="D2081">
        <v>2020</v>
      </c>
      <c r="E2081" t="s">
        <v>97</v>
      </c>
      <c r="F2081" t="s">
        <v>363</v>
      </c>
      <c r="G2081" t="s">
        <v>130</v>
      </c>
      <c r="I2081">
        <v>4</v>
      </c>
      <c r="J2081" t="s">
        <v>72</v>
      </c>
      <c r="K2081">
        <v>4</v>
      </c>
      <c r="L2081" t="s">
        <v>44</v>
      </c>
      <c r="M2081">
        <v>1.4</v>
      </c>
      <c r="N2081" t="s">
        <v>44</v>
      </c>
      <c r="O2081" t="s">
        <v>46</v>
      </c>
      <c r="P2081">
        <v>3</v>
      </c>
      <c r="Q2081" t="s">
        <v>62</v>
      </c>
      <c r="R2081" t="s">
        <v>63</v>
      </c>
      <c r="S2081" t="s">
        <v>85</v>
      </c>
      <c r="U2081" t="s">
        <v>50</v>
      </c>
      <c r="W2081" t="s">
        <v>365</v>
      </c>
      <c r="X2081" t="s">
        <v>65</v>
      </c>
      <c r="Y2081" t="s">
        <v>126</v>
      </c>
      <c r="Z2081">
        <v>23200</v>
      </c>
      <c r="AA2081">
        <v>0</v>
      </c>
      <c r="AB2081" t="s">
        <v>79</v>
      </c>
      <c r="AC2081" t="s">
        <v>87</v>
      </c>
      <c r="AD2081">
        <v>36</v>
      </c>
      <c r="AE2081">
        <v>9</v>
      </c>
      <c r="AF2081">
        <v>3</v>
      </c>
      <c r="AG2081">
        <v>2025</v>
      </c>
      <c r="AH2081" s="2">
        <v>2300</v>
      </c>
      <c r="AI2081" s="2">
        <v>4041.936767578125</v>
      </c>
      <c r="AJ2081" s="2">
        <f t="shared" si="258"/>
        <v>1741.936767578125</v>
      </c>
      <c r="AK2081" s="6">
        <f t="shared" si="259"/>
        <v>0.75736381199048908</v>
      </c>
      <c r="AL2081" s="12">
        <v>2300</v>
      </c>
      <c r="AM2081" s="12">
        <v>5675.712288159345</v>
      </c>
      <c r="AN2081" s="12">
        <f t="shared" si="260"/>
        <v>3375.712288159345</v>
      </c>
      <c r="AO2081" s="13">
        <f t="shared" si="261"/>
        <v>1.4677009948518891</v>
      </c>
      <c r="AP2081" s="16">
        <v>2300</v>
      </c>
      <c r="AQ2081" s="16">
        <v>3450.394830996056</v>
      </c>
      <c r="AR2081" s="16">
        <f t="shared" si="262"/>
        <v>1150.394830996056</v>
      </c>
      <c r="AS2081" s="17">
        <f t="shared" si="256"/>
        <v>0.50017166565045912</v>
      </c>
      <c r="AT2081" s="20">
        <v>2300</v>
      </c>
      <c r="AU2081" s="20">
        <v>4183.56884765625</v>
      </c>
      <c r="AV2081" s="20">
        <f t="shared" si="257"/>
        <v>1883.56884765625</v>
      </c>
      <c r="AW2081" s="21">
        <f t="shared" si="263"/>
        <v>0.81894297724184784</v>
      </c>
    </row>
    <row r="2082" spans="1:49" x14ac:dyDescent="0.25">
      <c r="A2082" t="s">
        <v>38</v>
      </c>
      <c r="B2082" t="s">
        <v>39</v>
      </c>
      <c r="C2082">
        <v>173161</v>
      </c>
      <c r="D2082">
        <v>2013</v>
      </c>
      <c r="E2082" t="s">
        <v>97</v>
      </c>
      <c r="F2082" t="s">
        <v>159</v>
      </c>
      <c r="G2082" t="s">
        <v>380</v>
      </c>
      <c r="H2082" t="s">
        <v>89</v>
      </c>
      <c r="I2082">
        <v>8</v>
      </c>
      <c r="J2082" t="s">
        <v>72</v>
      </c>
      <c r="K2082">
        <v>4</v>
      </c>
      <c r="L2082" t="s">
        <v>44</v>
      </c>
      <c r="M2082">
        <v>5.3</v>
      </c>
      <c r="N2082" t="s">
        <v>73</v>
      </c>
      <c r="O2082" t="s">
        <v>46</v>
      </c>
      <c r="Q2082" t="s">
        <v>74</v>
      </c>
      <c r="R2082" t="s">
        <v>92</v>
      </c>
      <c r="S2082" t="s">
        <v>49</v>
      </c>
      <c r="U2082" t="s">
        <v>180</v>
      </c>
      <c r="V2082" t="s">
        <v>76</v>
      </c>
      <c r="W2082" t="s">
        <v>181</v>
      </c>
      <c r="X2082" t="s">
        <v>94</v>
      </c>
      <c r="Y2082" t="s">
        <v>126</v>
      </c>
      <c r="AA2082">
        <v>0</v>
      </c>
      <c r="AB2082" t="s">
        <v>79</v>
      </c>
      <c r="AC2082" t="s">
        <v>95</v>
      </c>
      <c r="AD2082">
        <v>36</v>
      </c>
      <c r="AE2082">
        <v>9</v>
      </c>
      <c r="AF2082">
        <v>3</v>
      </c>
      <c r="AG2082">
        <v>2025</v>
      </c>
      <c r="AH2082" s="2">
        <v>7300</v>
      </c>
      <c r="AI2082" s="2">
        <v>7041.06884765625</v>
      </c>
      <c r="AJ2082" s="2">
        <f t="shared" si="258"/>
        <v>258.93115234375</v>
      </c>
      <c r="AK2082" s="6">
        <f t="shared" si="259"/>
        <v>3.5470020869006851E-2</v>
      </c>
      <c r="AL2082" s="12">
        <v>7300</v>
      </c>
      <c r="AM2082" s="12">
        <v>6847.8301553275942</v>
      </c>
      <c r="AN2082" s="12">
        <f t="shared" si="260"/>
        <v>452.16984467240582</v>
      </c>
      <c r="AO2082" s="13">
        <f t="shared" si="261"/>
        <v>6.1941074612658333E-2</v>
      </c>
      <c r="AP2082" s="16">
        <v>7300</v>
      </c>
      <c r="AQ2082" s="16">
        <v>5997.6789709306804</v>
      </c>
      <c r="AR2082" s="16">
        <f t="shared" si="262"/>
        <v>1302.3210290693196</v>
      </c>
      <c r="AS2082" s="17">
        <f t="shared" si="256"/>
        <v>0.17840014096839996</v>
      </c>
      <c r="AT2082" s="20">
        <v>7300</v>
      </c>
      <c r="AU2082" s="20">
        <v>7093.81689453125</v>
      </c>
      <c r="AV2082" s="20">
        <f t="shared" si="257"/>
        <v>206.18310546875</v>
      </c>
      <c r="AW2082" s="21">
        <f t="shared" si="263"/>
        <v>2.8244261023116439E-2</v>
      </c>
    </row>
    <row r="2083" spans="1:49" x14ac:dyDescent="0.25">
      <c r="A2083" t="s">
        <v>38</v>
      </c>
      <c r="B2083" t="s">
        <v>68</v>
      </c>
      <c r="C2083">
        <v>90680</v>
      </c>
      <c r="D2083">
        <v>2017</v>
      </c>
      <c r="E2083" t="s">
        <v>146</v>
      </c>
      <c r="F2083" t="s">
        <v>147</v>
      </c>
      <c r="I2083">
        <v>4</v>
      </c>
      <c r="J2083" t="s">
        <v>135</v>
      </c>
      <c r="K2083">
        <v>4</v>
      </c>
      <c r="L2083" t="s">
        <v>44</v>
      </c>
      <c r="M2083">
        <v>2.5</v>
      </c>
      <c r="N2083" t="s">
        <v>45</v>
      </c>
      <c r="O2083" t="s">
        <v>46</v>
      </c>
      <c r="P2083">
        <v>4</v>
      </c>
      <c r="Q2083" t="s">
        <v>62</v>
      </c>
      <c r="R2083" t="s">
        <v>148</v>
      </c>
      <c r="S2083" t="s">
        <v>49</v>
      </c>
      <c r="T2083">
        <v>170</v>
      </c>
      <c r="U2083" t="s">
        <v>50</v>
      </c>
      <c r="X2083" t="s">
        <v>65</v>
      </c>
      <c r="Y2083" t="s">
        <v>54</v>
      </c>
      <c r="AA2083">
        <v>0</v>
      </c>
      <c r="AB2083" t="s">
        <v>79</v>
      </c>
      <c r="AC2083" t="s">
        <v>87</v>
      </c>
      <c r="AD2083">
        <v>36</v>
      </c>
      <c r="AE2083">
        <v>9</v>
      </c>
      <c r="AF2083">
        <v>3</v>
      </c>
      <c r="AG2083">
        <v>2025</v>
      </c>
      <c r="AH2083" s="2">
        <v>9200</v>
      </c>
      <c r="AI2083" s="2">
        <v>7472.47265625</v>
      </c>
      <c r="AJ2083" s="2">
        <f t="shared" si="258"/>
        <v>1727.52734375</v>
      </c>
      <c r="AK2083" s="6">
        <f t="shared" si="259"/>
        <v>0.18777471127717391</v>
      </c>
      <c r="AL2083" s="12">
        <v>9200</v>
      </c>
      <c r="AM2083" s="12">
        <v>7490.3943723761276</v>
      </c>
      <c r="AN2083" s="12">
        <f t="shared" si="260"/>
        <v>1709.6056276238724</v>
      </c>
      <c r="AO2083" s="13">
        <f t="shared" si="261"/>
        <v>0.18582669865476872</v>
      </c>
      <c r="AP2083" s="16">
        <v>9200</v>
      </c>
      <c r="AQ2083" s="16">
        <v>7119.7723199321026</v>
      </c>
      <c r="AR2083" s="16">
        <f t="shared" si="262"/>
        <v>2080.2276800678974</v>
      </c>
      <c r="AS2083" s="17">
        <f t="shared" si="256"/>
        <v>0.22611170435520625</v>
      </c>
      <c r="AT2083" s="20">
        <v>9200</v>
      </c>
      <c r="AU2083" s="20">
        <v>7464.9501953125</v>
      </c>
      <c r="AV2083" s="20">
        <f t="shared" si="257"/>
        <v>1735.0498046875</v>
      </c>
      <c r="AW2083" s="21">
        <f t="shared" si="263"/>
        <v>0.18859237007472826</v>
      </c>
    </row>
    <row r="2084" spans="1:49" x14ac:dyDescent="0.25">
      <c r="A2084" t="s">
        <v>38</v>
      </c>
      <c r="B2084" t="s">
        <v>96</v>
      </c>
      <c r="C2084">
        <v>40615</v>
      </c>
      <c r="D2084">
        <v>2024</v>
      </c>
      <c r="E2084" t="s">
        <v>341</v>
      </c>
      <c r="F2084" t="s">
        <v>574</v>
      </c>
      <c r="G2084" t="s">
        <v>541</v>
      </c>
      <c r="I2084">
        <v>6</v>
      </c>
      <c r="J2084" t="s">
        <v>72</v>
      </c>
      <c r="K2084">
        <v>4</v>
      </c>
      <c r="L2084" t="s">
        <v>44</v>
      </c>
      <c r="M2084">
        <v>3.6</v>
      </c>
      <c r="N2084" t="s">
        <v>44</v>
      </c>
      <c r="O2084" t="s">
        <v>46</v>
      </c>
      <c r="P2084">
        <v>5</v>
      </c>
      <c r="Q2084" t="s">
        <v>62</v>
      </c>
      <c r="R2084" t="s">
        <v>63</v>
      </c>
      <c r="S2084" t="s">
        <v>85</v>
      </c>
      <c r="U2084" t="s">
        <v>50</v>
      </c>
      <c r="V2084" t="s">
        <v>76</v>
      </c>
      <c r="W2084" t="s">
        <v>372</v>
      </c>
      <c r="X2084" t="s">
        <v>94</v>
      </c>
      <c r="Y2084" t="s">
        <v>78</v>
      </c>
      <c r="AA2084">
        <v>0</v>
      </c>
      <c r="AB2084" t="s">
        <v>79</v>
      </c>
      <c r="AC2084" t="s">
        <v>87</v>
      </c>
      <c r="AD2084">
        <v>36</v>
      </c>
      <c r="AE2084">
        <v>9</v>
      </c>
      <c r="AF2084">
        <v>3</v>
      </c>
      <c r="AG2084">
        <v>2025</v>
      </c>
      <c r="AH2084" s="2">
        <v>30500</v>
      </c>
      <c r="AI2084" s="2">
        <v>32405.771484375</v>
      </c>
      <c r="AJ2084" s="2">
        <f t="shared" si="258"/>
        <v>1905.771484375</v>
      </c>
      <c r="AK2084" s="6">
        <f t="shared" si="259"/>
        <v>6.2484310963114756E-2</v>
      </c>
      <c r="AL2084" s="12">
        <v>30500</v>
      </c>
      <c r="AM2084" s="12">
        <v>35154.058133021383</v>
      </c>
      <c r="AN2084" s="12">
        <f t="shared" si="260"/>
        <v>4654.0581330213827</v>
      </c>
      <c r="AO2084" s="13">
        <f t="shared" si="261"/>
        <v>0.15259206993512731</v>
      </c>
      <c r="AP2084" s="16">
        <v>30500</v>
      </c>
      <c r="AQ2084" s="16">
        <v>31213.076407622131</v>
      </c>
      <c r="AR2084" s="16">
        <f t="shared" si="262"/>
        <v>713.07640762213123</v>
      </c>
      <c r="AS2084" s="17">
        <f t="shared" si="256"/>
        <v>2.3379554348266596E-2</v>
      </c>
      <c r="AT2084" s="20">
        <v>30500</v>
      </c>
      <c r="AU2084" s="20">
        <v>32824.56640625</v>
      </c>
      <c r="AV2084" s="20">
        <f t="shared" si="257"/>
        <v>2324.56640625</v>
      </c>
      <c r="AW2084" s="21">
        <f t="shared" si="263"/>
        <v>7.6215292008196725E-2</v>
      </c>
    </row>
    <row r="2085" spans="1:49" x14ac:dyDescent="0.25">
      <c r="A2085" t="s">
        <v>38</v>
      </c>
      <c r="B2085" t="s">
        <v>96</v>
      </c>
      <c r="C2085">
        <v>51203</v>
      </c>
      <c r="D2085">
        <v>2018</v>
      </c>
      <c r="E2085" t="s">
        <v>69</v>
      </c>
      <c r="F2085" t="s">
        <v>231</v>
      </c>
      <c r="I2085">
        <v>6</v>
      </c>
      <c r="J2085" t="s">
        <v>72</v>
      </c>
      <c r="K2085">
        <v>2</v>
      </c>
      <c r="L2085" t="s">
        <v>44</v>
      </c>
      <c r="M2085">
        <v>3.3</v>
      </c>
      <c r="N2085" t="s">
        <v>73</v>
      </c>
      <c r="O2085" t="s">
        <v>46</v>
      </c>
      <c r="P2085">
        <v>3</v>
      </c>
      <c r="Q2085" t="s">
        <v>74</v>
      </c>
      <c r="R2085" t="s">
        <v>92</v>
      </c>
      <c r="S2085" t="s">
        <v>49</v>
      </c>
      <c r="T2085">
        <v>290</v>
      </c>
      <c r="U2085" t="s">
        <v>50</v>
      </c>
      <c r="V2085" t="s">
        <v>76</v>
      </c>
      <c r="W2085" t="s">
        <v>864</v>
      </c>
      <c r="X2085" t="s">
        <v>94</v>
      </c>
      <c r="Y2085" t="s">
        <v>78</v>
      </c>
      <c r="AA2085">
        <v>0</v>
      </c>
      <c r="AB2085" t="s">
        <v>79</v>
      </c>
      <c r="AC2085" t="s">
        <v>95</v>
      </c>
      <c r="AD2085">
        <v>36</v>
      </c>
      <c r="AE2085">
        <v>9</v>
      </c>
      <c r="AF2085">
        <v>3</v>
      </c>
      <c r="AG2085">
        <v>2025</v>
      </c>
      <c r="AH2085" s="2">
        <v>11600</v>
      </c>
      <c r="AI2085" s="2">
        <v>14240.3740234375</v>
      </c>
      <c r="AJ2085" s="2">
        <f t="shared" si="258"/>
        <v>2640.3740234375</v>
      </c>
      <c r="AK2085" s="6">
        <f t="shared" si="259"/>
        <v>0.22761845029633621</v>
      </c>
      <c r="AL2085" s="12">
        <v>11600</v>
      </c>
      <c r="AM2085" s="12">
        <v>17408.991748757271</v>
      </c>
      <c r="AN2085" s="12">
        <f t="shared" si="260"/>
        <v>5808.9917487572711</v>
      </c>
      <c r="AO2085" s="13">
        <f t="shared" si="261"/>
        <v>0.50077515075493717</v>
      </c>
      <c r="AP2085" s="16">
        <v>11600</v>
      </c>
      <c r="AQ2085" s="16">
        <v>14953.26210145862</v>
      </c>
      <c r="AR2085" s="16">
        <f t="shared" si="262"/>
        <v>3353.2621014586202</v>
      </c>
      <c r="AS2085" s="17">
        <f t="shared" si="256"/>
        <v>0.28907431909126036</v>
      </c>
      <c r="AT2085" s="20">
        <v>11600</v>
      </c>
      <c r="AU2085" s="20">
        <v>14845.5966796875</v>
      </c>
      <c r="AV2085" s="20">
        <f t="shared" si="257"/>
        <v>3245.5966796875</v>
      </c>
      <c r="AW2085" s="21">
        <f t="shared" si="263"/>
        <v>0.27979281721443966</v>
      </c>
    </row>
    <row r="2086" spans="1:49" x14ac:dyDescent="0.25">
      <c r="A2086" t="s">
        <v>38</v>
      </c>
      <c r="B2086" t="s">
        <v>96</v>
      </c>
      <c r="C2086">
        <v>20086</v>
      </c>
      <c r="D2086">
        <v>2024</v>
      </c>
      <c r="E2086" t="s">
        <v>388</v>
      </c>
      <c r="F2086" t="s">
        <v>668</v>
      </c>
      <c r="G2086" t="s">
        <v>1594</v>
      </c>
      <c r="I2086">
        <v>3</v>
      </c>
      <c r="J2086" t="s">
        <v>106</v>
      </c>
      <c r="K2086">
        <v>4</v>
      </c>
      <c r="L2086" t="s">
        <v>44</v>
      </c>
      <c r="M2086">
        <v>1.2</v>
      </c>
      <c r="N2086" t="s">
        <v>45</v>
      </c>
      <c r="O2086" t="s">
        <v>100</v>
      </c>
      <c r="P2086">
        <v>2</v>
      </c>
      <c r="Q2086" t="s">
        <v>47</v>
      </c>
      <c r="R2086" t="s">
        <v>123</v>
      </c>
      <c r="S2086" t="s">
        <v>101</v>
      </c>
      <c r="T2086">
        <v>78</v>
      </c>
      <c r="U2086" t="s">
        <v>50</v>
      </c>
      <c r="V2086" t="s">
        <v>51</v>
      </c>
      <c r="W2086" t="s">
        <v>438</v>
      </c>
      <c r="X2086" t="s">
        <v>53</v>
      </c>
      <c r="Y2086" t="s">
        <v>439</v>
      </c>
      <c r="AA2086">
        <v>0</v>
      </c>
      <c r="AB2086" t="s">
        <v>79</v>
      </c>
      <c r="AC2086" t="s">
        <v>127</v>
      </c>
      <c r="AD2086">
        <v>36</v>
      </c>
      <c r="AE2086">
        <v>9</v>
      </c>
      <c r="AF2086">
        <v>3</v>
      </c>
      <c r="AG2086">
        <v>2025</v>
      </c>
      <c r="AH2086" s="2">
        <v>2500</v>
      </c>
      <c r="AI2086" s="2">
        <v>3509.568359375</v>
      </c>
      <c r="AJ2086" s="2">
        <f t="shared" si="258"/>
        <v>1009.568359375</v>
      </c>
      <c r="AK2086" s="6">
        <f t="shared" si="259"/>
        <v>0.40382734375000001</v>
      </c>
      <c r="AL2086" s="12">
        <v>2500</v>
      </c>
      <c r="AM2086" s="12">
        <v>4896.7524213346642</v>
      </c>
      <c r="AN2086" s="12">
        <f t="shared" si="260"/>
        <v>2396.7524213346642</v>
      </c>
      <c r="AO2086" s="13">
        <f t="shared" si="261"/>
        <v>0.95870096853386566</v>
      </c>
      <c r="AP2086" s="16">
        <v>2500</v>
      </c>
      <c r="AQ2086" s="16">
        <v>4788.0988201814653</v>
      </c>
      <c r="AR2086" s="16">
        <f t="shared" si="262"/>
        <v>2288.0988201814653</v>
      </c>
      <c r="AS2086" s="17">
        <f t="shared" si="256"/>
        <v>0.91523952807258613</v>
      </c>
      <c r="AT2086" s="20">
        <v>2500</v>
      </c>
      <c r="AU2086" s="20">
        <v>3627.74072265625</v>
      </c>
      <c r="AV2086" s="20">
        <f t="shared" si="257"/>
        <v>1127.74072265625</v>
      </c>
      <c r="AW2086" s="21">
        <f t="shared" si="263"/>
        <v>0.45109628906249999</v>
      </c>
    </row>
    <row r="2087" spans="1:49" x14ac:dyDescent="0.25">
      <c r="A2087" t="s">
        <v>38</v>
      </c>
      <c r="B2087" t="s">
        <v>96</v>
      </c>
      <c r="C2087">
        <v>172591</v>
      </c>
      <c r="D2087">
        <v>2017</v>
      </c>
      <c r="E2087" t="s">
        <v>97</v>
      </c>
      <c r="F2087" t="s">
        <v>701</v>
      </c>
      <c r="G2087" t="s">
        <v>1595</v>
      </c>
      <c r="I2087">
        <v>6</v>
      </c>
      <c r="J2087" t="s">
        <v>61</v>
      </c>
      <c r="K2087">
        <v>4</v>
      </c>
      <c r="L2087" t="s">
        <v>44</v>
      </c>
      <c r="M2087">
        <v>3.6</v>
      </c>
      <c r="N2087" t="s">
        <v>45</v>
      </c>
      <c r="O2087" t="s">
        <v>46</v>
      </c>
      <c r="P2087">
        <v>3</v>
      </c>
      <c r="Q2087" t="s">
        <v>47</v>
      </c>
      <c r="R2087" t="s">
        <v>123</v>
      </c>
      <c r="U2087" t="s">
        <v>50</v>
      </c>
      <c r="W2087" t="s">
        <v>1596</v>
      </c>
      <c r="X2087" t="s">
        <v>125</v>
      </c>
      <c r="Y2087" t="s">
        <v>103</v>
      </c>
      <c r="AA2087">
        <v>0</v>
      </c>
      <c r="AB2087" t="s">
        <v>79</v>
      </c>
      <c r="AC2087" t="s">
        <v>127</v>
      </c>
      <c r="AD2087">
        <v>36</v>
      </c>
      <c r="AE2087">
        <v>9</v>
      </c>
      <c r="AF2087">
        <v>3</v>
      </c>
      <c r="AG2087">
        <v>2025</v>
      </c>
      <c r="AH2087" s="2">
        <v>2900</v>
      </c>
      <c r="AI2087" s="2">
        <v>4509.6904296875</v>
      </c>
      <c r="AJ2087" s="2">
        <f t="shared" si="258"/>
        <v>1609.6904296875</v>
      </c>
      <c r="AK2087" s="6">
        <f t="shared" si="259"/>
        <v>0.55506566540948277</v>
      </c>
      <c r="AL2087" s="12">
        <v>2900</v>
      </c>
      <c r="AM2087" s="12">
        <v>4394.7502811478398</v>
      </c>
      <c r="AN2087" s="12">
        <f t="shared" si="260"/>
        <v>1494.7502811478398</v>
      </c>
      <c r="AO2087" s="13">
        <f t="shared" si="261"/>
        <v>0.51543113143028962</v>
      </c>
      <c r="AP2087" s="16">
        <v>2900</v>
      </c>
      <c r="AQ2087" s="16">
        <v>2969.6373732785601</v>
      </c>
      <c r="AR2087" s="16">
        <f t="shared" si="262"/>
        <v>69.637373278560062</v>
      </c>
      <c r="AS2087" s="17">
        <f t="shared" si="256"/>
        <v>2.4012887337434504E-2</v>
      </c>
      <c r="AT2087" s="20">
        <v>2900</v>
      </c>
      <c r="AU2087" s="20">
        <v>4586.123046875</v>
      </c>
      <c r="AV2087" s="20">
        <f t="shared" si="257"/>
        <v>1686.123046875</v>
      </c>
      <c r="AW2087" s="21">
        <f t="shared" si="263"/>
        <v>0.58142174030172411</v>
      </c>
    </row>
    <row r="2088" spans="1:49" x14ac:dyDescent="0.25">
      <c r="A2088" t="s">
        <v>128</v>
      </c>
      <c r="B2088" t="s">
        <v>309</v>
      </c>
      <c r="C2088">
        <v>186791</v>
      </c>
      <c r="D2088">
        <v>2013</v>
      </c>
      <c r="E2088" t="s">
        <v>263</v>
      </c>
      <c r="F2088" t="s">
        <v>264</v>
      </c>
      <c r="G2088" t="s">
        <v>265</v>
      </c>
      <c r="I2088">
        <v>4</v>
      </c>
      <c r="J2088" t="s">
        <v>43</v>
      </c>
      <c r="K2088">
        <v>4</v>
      </c>
      <c r="L2088" t="s">
        <v>44</v>
      </c>
      <c r="M2088">
        <v>2</v>
      </c>
      <c r="N2088" t="s">
        <v>45</v>
      </c>
      <c r="O2088" t="s">
        <v>46</v>
      </c>
      <c r="P2088">
        <v>2</v>
      </c>
      <c r="Q2088" t="s">
        <v>62</v>
      </c>
      <c r="R2088" t="s">
        <v>63</v>
      </c>
      <c r="S2088" t="s">
        <v>49</v>
      </c>
      <c r="W2088" t="s">
        <v>1010</v>
      </c>
      <c r="X2088" t="s">
        <v>65</v>
      </c>
      <c r="Y2088" t="s">
        <v>54</v>
      </c>
      <c r="AA2088">
        <v>0</v>
      </c>
      <c r="AB2088" t="s">
        <v>79</v>
      </c>
      <c r="AC2088" t="s">
        <v>87</v>
      </c>
      <c r="AD2088">
        <v>36</v>
      </c>
      <c r="AE2088">
        <v>9</v>
      </c>
      <c r="AF2088">
        <v>3</v>
      </c>
      <c r="AG2088">
        <v>2025</v>
      </c>
      <c r="AH2088" s="2">
        <v>2900</v>
      </c>
      <c r="AI2088" s="2">
        <v>1692.032470703125</v>
      </c>
      <c r="AJ2088" s="2">
        <f t="shared" si="258"/>
        <v>1207.967529296875</v>
      </c>
      <c r="AK2088" s="6">
        <f t="shared" si="259"/>
        <v>0.41654052734375002</v>
      </c>
      <c r="AL2088" s="12">
        <v>2900</v>
      </c>
      <c r="AM2088" s="12">
        <v>1654.28535777599</v>
      </c>
      <c r="AN2088" s="12">
        <f t="shared" si="260"/>
        <v>1245.71464222401</v>
      </c>
      <c r="AO2088" s="13">
        <f t="shared" si="261"/>
        <v>0.42955677318069313</v>
      </c>
      <c r="AP2088" s="16">
        <v>2900</v>
      </c>
      <c r="AQ2088" s="16">
        <v>1827.5835532292199</v>
      </c>
      <c r="AR2088" s="16">
        <f t="shared" si="262"/>
        <v>1072.4164467707801</v>
      </c>
      <c r="AS2088" s="17">
        <f t="shared" si="256"/>
        <v>0.36979877474854489</v>
      </c>
      <c r="AT2088" s="20">
        <v>2900</v>
      </c>
      <c r="AU2088" s="20">
        <v>1688.868408203125</v>
      </c>
      <c r="AV2088" s="20">
        <f t="shared" si="257"/>
        <v>1211.131591796875</v>
      </c>
      <c r="AW2088" s="21">
        <f t="shared" si="263"/>
        <v>0.41763158337823275</v>
      </c>
    </row>
    <row r="2089" spans="1:49" x14ac:dyDescent="0.25">
      <c r="A2089" t="s">
        <v>38</v>
      </c>
      <c r="B2089" t="s">
        <v>68</v>
      </c>
      <c r="C2089">
        <v>46584</v>
      </c>
      <c r="D2089">
        <v>2023</v>
      </c>
      <c r="E2089" t="s">
        <v>162</v>
      </c>
      <c r="F2089" t="s">
        <v>532</v>
      </c>
      <c r="G2089" t="s">
        <v>285</v>
      </c>
      <c r="I2089">
        <v>4</v>
      </c>
      <c r="J2089" t="s">
        <v>72</v>
      </c>
      <c r="K2089">
        <v>4</v>
      </c>
      <c r="L2089" t="s">
        <v>44</v>
      </c>
      <c r="M2089">
        <v>2.5</v>
      </c>
      <c r="N2089" t="s">
        <v>44</v>
      </c>
      <c r="O2089" t="s">
        <v>46</v>
      </c>
      <c r="P2089">
        <v>4</v>
      </c>
      <c r="Q2089" t="s">
        <v>62</v>
      </c>
      <c r="R2089" t="s">
        <v>63</v>
      </c>
      <c r="S2089" t="s">
        <v>93</v>
      </c>
      <c r="T2089">
        <v>191.3</v>
      </c>
      <c r="U2089" t="s">
        <v>50</v>
      </c>
      <c r="W2089" t="s">
        <v>673</v>
      </c>
      <c r="X2089" t="s">
        <v>141</v>
      </c>
      <c r="Y2089" t="s">
        <v>78</v>
      </c>
      <c r="AA2089">
        <v>0</v>
      </c>
      <c r="AB2089" t="s">
        <v>79</v>
      </c>
      <c r="AC2089" t="s">
        <v>87</v>
      </c>
      <c r="AD2089">
        <v>36</v>
      </c>
      <c r="AE2089">
        <v>9</v>
      </c>
      <c r="AF2089">
        <v>3</v>
      </c>
      <c r="AG2089">
        <v>2025</v>
      </c>
      <c r="AH2089" s="2">
        <v>20000</v>
      </c>
      <c r="AI2089" s="2">
        <v>23205.216796875</v>
      </c>
      <c r="AJ2089" s="2">
        <f t="shared" si="258"/>
        <v>3205.216796875</v>
      </c>
      <c r="AK2089" s="6">
        <f t="shared" si="259"/>
        <v>0.16026083984375</v>
      </c>
      <c r="AL2089" s="12">
        <v>20000</v>
      </c>
      <c r="AM2089" s="12">
        <v>24070.064381452219</v>
      </c>
      <c r="AN2089" s="12">
        <f t="shared" si="260"/>
        <v>4070.0643814522191</v>
      </c>
      <c r="AO2089" s="13">
        <f t="shared" si="261"/>
        <v>0.20350321907261096</v>
      </c>
      <c r="AP2089" s="16">
        <v>20000</v>
      </c>
      <c r="AQ2089" s="16">
        <v>20860.199021575649</v>
      </c>
      <c r="AR2089" s="16">
        <f t="shared" si="262"/>
        <v>860.19902157564866</v>
      </c>
      <c r="AS2089" s="17">
        <f t="shared" si="256"/>
        <v>4.300995107878243E-2</v>
      </c>
      <c r="AT2089" s="20">
        <v>20000</v>
      </c>
      <c r="AU2089" s="20">
        <v>23103.66015625</v>
      </c>
      <c r="AV2089" s="20">
        <f t="shared" si="257"/>
        <v>3103.66015625</v>
      </c>
      <c r="AW2089" s="21">
        <f t="shared" si="263"/>
        <v>0.1551830078125</v>
      </c>
    </row>
    <row r="2090" spans="1:49" x14ac:dyDescent="0.25">
      <c r="A2090" t="s">
        <v>38</v>
      </c>
      <c r="B2090" t="s">
        <v>96</v>
      </c>
      <c r="C2090">
        <v>45760</v>
      </c>
      <c r="D2090">
        <v>2019</v>
      </c>
      <c r="E2090" t="s">
        <v>162</v>
      </c>
      <c r="F2090" t="s">
        <v>800</v>
      </c>
      <c r="G2090" t="s">
        <v>1597</v>
      </c>
      <c r="I2090">
        <v>4</v>
      </c>
      <c r="J2090" t="s">
        <v>61</v>
      </c>
      <c r="K2090">
        <v>3</v>
      </c>
      <c r="L2090" t="s">
        <v>402</v>
      </c>
      <c r="M2090">
        <v>1.6</v>
      </c>
      <c r="N2090" t="s">
        <v>45</v>
      </c>
      <c r="O2090" t="s">
        <v>46</v>
      </c>
      <c r="P2090">
        <v>4</v>
      </c>
      <c r="Q2090" t="s">
        <v>47</v>
      </c>
      <c r="R2090" t="s">
        <v>197</v>
      </c>
      <c r="T2090">
        <v>201</v>
      </c>
      <c r="U2090" t="s">
        <v>50</v>
      </c>
      <c r="W2090" t="s">
        <v>726</v>
      </c>
      <c r="X2090" t="s">
        <v>125</v>
      </c>
      <c r="Y2090" t="s">
        <v>66</v>
      </c>
      <c r="AA2090">
        <v>0</v>
      </c>
      <c r="AB2090" t="s">
        <v>79</v>
      </c>
      <c r="AC2090" t="s">
        <v>197</v>
      </c>
      <c r="AD2090">
        <v>36</v>
      </c>
      <c r="AE2090">
        <v>9</v>
      </c>
      <c r="AF2090">
        <v>3</v>
      </c>
      <c r="AG2090">
        <v>2025</v>
      </c>
      <c r="AH2090" s="2">
        <v>13800</v>
      </c>
      <c r="AI2090" s="2">
        <v>14379.6240234375</v>
      </c>
      <c r="AJ2090" s="2">
        <f t="shared" si="258"/>
        <v>579.6240234375</v>
      </c>
      <c r="AK2090" s="6">
        <f t="shared" si="259"/>
        <v>4.2001740828804347E-2</v>
      </c>
      <c r="AL2090" s="12">
        <v>13800</v>
      </c>
      <c r="AM2090" s="12">
        <v>13897.802058960209</v>
      </c>
      <c r="AN2090" s="12">
        <f t="shared" si="260"/>
        <v>97.802058960209251</v>
      </c>
      <c r="AO2090" s="13">
        <f t="shared" si="261"/>
        <v>7.0871057217542933E-3</v>
      </c>
      <c r="AP2090" s="16">
        <v>13800</v>
      </c>
      <c r="AQ2090" s="16">
        <v>12669.8256728673</v>
      </c>
      <c r="AR2090" s="16">
        <f t="shared" si="262"/>
        <v>1130.1743271326995</v>
      </c>
      <c r="AS2090" s="17">
        <f t="shared" si="256"/>
        <v>8.1896690371934755E-2</v>
      </c>
      <c r="AT2090" s="20">
        <v>13800</v>
      </c>
      <c r="AU2090" s="20">
        <v>14226.080078125</v>
      </c>
      <c r="AV2090" s="20">
        <f t="shared" si="257"/>
        <v>426.080078125</v>
      </c>
      <c r="AW2090" s="21">
        <f t="shared" si="263"/>
        <v>3.0875367980072465E-2</v>
      </c>
    </row>
    <row r="2091" spans="1:49" x14ac:dyDescent="0.25">
      <c r="A2091" t="s">
        <v>128</v>
      </c>
      <c r="B2091" t="s">
        <v>129</v>
      </c>
      <c r="C2091">
        <v>114269</v>
      </c>
      <c r="D2091">
        <v>2013</v>
      </c>
      <c r="E2091" t="s">
        <v>69</v>
      </c>
      <c r="F2091" t="s">
        <v>231</v>
      </c>
      <c r="I2091">
        <v>6</v>
      </c>
      <c r="J2091" t="s">
        <v>135</v>
      </c>
      <c r="K2091">
        <v>4</v>
      </c>
      <c r="L2091" t="s">
        <v>44</v>
      </c>
      <c r="M2091">
        <v>3.5</v>
      </c>
      <c r="N2091" t="s">
        <v>73</v>
      </c>
      <c r="Q2091" t="s">
        <v>74</v>
      </c>
      <c r="R2091" t="s">
        <v>92</v>
      </c>
      <c r="S2091" t="s">
        <v>49</v>
      </c>
      <c r="T2091">
        <v>365</v>
      </c>
      <c r="U2091" t="s">
        <v>50</v>
      </c>
      <c r="V2091" t="s">
        <v>76</v>
      </c>
      <c r="X2091" t="s">
        <v>108</v>
      </c>
      <c r="Y2091" t="s">
        <v>78</v>
      </c>
      <c r="AA2091">
        <v>0</v>
      </c>
      <c r="AB2091" t="s">
        <v>79</v>
      </c>
      <c r="AC2091" t="s">
        <v>95</v>
      </c>
      <c r="AD2091">
        <v>36</v>
      </c>
      <c r="AE2091">
        <v>9</v>
      </c>
      <c r="AF2091">
        <v>3</v>
      </c>
      <c r="AG2091">
        <v>2025</v>
      </c>
      <c r="AH2091" s="2">
        <v>10500</v>
      </c>
      <c r="AI2091" s="2">
        <v>7789.30419921875</v>
      </c>
      <c r="AJ2091" s="2">
        <f t="shared" si="258"/>
        <v>2710.69580078125</v>
      </c>
      <c r="AK2091" s="6">
        <f t="shared" si="259"/>
        <v>0.25816150483630951</v>
      </c>
      <c r="AL2091" s="12">
        <v>10500</v>
      </c>
      <c r="AM2091" s="12">
        <v>8562.6970396122651</v>
      </c>
      <c r="AN2091" s="12">
        <f t="shared" si="260"/>
        <v>1937.3029603877349</v>
      </c>
      <c r="AO2091" s="13">
        <f t="shared" si="261"/>
        <v>0.18450504384645094</v>
      </c>
      <c r="AP2091" s="16">
        <v>10500</v>
      </c>
      <c r="AQ2091" s="16">
        <v>7727.9210545131546</v>
      </c>
      <c r="AR2091" s="16">
        <f t="shared" si="262"/>
        <v>2772.0789454868454</v>
      </c>
      <c r="AS2091" s="17">
        <f t="shared" si="256"/>
        <v>0.26400751861779481</v>
      </c>
      <c r="AT2091" s="20">
        <v>10500</v>
      </c>
      <c r="AU2091" s="20">
        <v>8061.91455078125</v>
      </c>
      <c r="AV2091" s="20">
        <f t="shared" si="257"/>
        <v>2438.08544921875</v>
      </c>
      <c r="AW2091" s="21">
        <f t="shared" si="263"/>
        <v>0.23219861421130952</v>
      </c>
    </row>
    <row r="2092" spans="1:49" x14ac:dyDescent="0.25">
      <c r="A2092" t="s">
        <v>38</v>
      </c>
      <c r="B2092" t="s">
        <v>110</v>
      </c>
      <c r="C2092">
        <v>115013</v>
      </c>
      <c r="D2092">
        <v>2019</v>
      </c>
      <c r="E2092" t="s">
        <v>166</v>
      </c>
      <c r="F2092" t="s">
        <v>247</v>
      </c>
      <c r="G2092" t="s">
        <v>240</v>
      </c>
      <c r="I2092">
        <v>4</v>
      </c>
      <c r="J2092" t="s">
        <v>61</v>
      </c>
      <c r="K2092">
        <v>4</v>
      </c>
      <c r="L2092" t="s">
        <v>44</v>
      </c>
      <c r="M2092">
        <v>2.4</v>
      </c>
      <c r="N2092" t="s">
        <v>45</v>
      </c>
      <c r="O2092" t="s">
        <v>46</v>
      </c>
      <c r="P2092">
        <v>2</v>
      </c>
      <c r="Q2092" t="s">
        <v>62</v>
      </c>
      <c r="R2092" t="s">
        <v>63</v>
      </c>
      <c r="S2092" t="s">
        <v>49</v>
      </c>
      <c r="T2092">
        <v>184</v>
      </c>
      <c r="U2092" t="s">
        <v>50</v>
      </c>
      <c r="V2092" t="s">
        <v>51</v>
      </c>
      <c r="W2092" t="s">
        <v>1598</v>
      </c>
      <c r="X2092" t="s">
        <v>65</v>
      </c>
      <c r="Y2092" t="s">
        <v>103</v>
      </c>
      <c r="Z2092">
        <v>24350</v>
      </c>
      <c r="AA2092">
        <v>0</v>
      </c>
      <c r="AB2092" t="s">
        <v>79</v>
      </c>
      <c r="AC2092" t="s">
        <v>87</v>
      </c>
      <c r="AD2092">
        <v>36</v>
      </c>
      <c r="AE2092">
        <v>9</v>
      </c>
      <c r="AF2092">
        <v>3</v>
      </c>
      <c r="AG2092">
        <v>2025</v>
      </c>
      <c r="AH2092" s="2">
        <v>11000</v>
      </c>
      <c r="AI2092" s="2">
        <v>10248.84375</v>
      </c>
      <c r="AJ2092" s="2">
        <f t="shared" si="258"/>
        <v>751.15625</v>
      </c>
      <c r="AK2092" s="6">
        <f t="shared" si="259"/>
        <v>6.8286931818181823E-2</v>
      </c>
      <c r="AL2092" s="12">
        <v>11000</v>
      </c>
      <c r="AM2092" s="12">
        <v>8145.238505219334</v>
      </c>
      <c r="AN2092" s="12">
        <f t="shared" si="260"/>
        <v>2854.761494780666</v>
      </c>
      <c r="AO2092" s="13">
        <f t="shared" si="261"/>
        <v>0.25952377225278783</v>
      </c>
      <c r="AP2092" s="16">
        <v>11000</v>
      </c>
      <c r="AQ2092" s="16">
        <v>7308.5027345911813</v>
      </c>
      <c r="AR2092" s="16">
        <f t="shared" si="262"/>
        <v>3691.4972654088187</v>
      </c>
      <c r="AS2092" s="17">
        <f t="shared" si="256"/>
        <v>0.33559066049171077</v>
      </c>
      <c r="AT2092" s="20">
        <v>11000</v>
      </c>
      <c r="AU2092" s="20">
        <v>10062.7470703125</v>
      </c>
      <c r="AV2092" s="20">
        <f t="shared" si="257"/>
        <v>937.2529296875</v>
      </c>
      <c r="AW2092" s="21">
        <f t="shared" si="263"/>
        <v>8.5204811789772725E-2</v>
      </c>
    </row>
    <row r="2093" spans="1:49" x14ac:dyDescent="0.25">
      <c r="A2093" t="s">
        <v>128</v>
      </c>
      <c r="B2093" t="s">
        <v>129</v>
      </c>
      <c r="C2093">
        <v>220766</v>
      </c>
      <c r="D2093">
        <v>2015</v>
      </c>
      <c r="E2093" t="s">
        <v>97</v>
      </c>
      <c r="F2093" t="s">
        <v>244</v>
      </c>
      <c r="G2093" t="s">
        <v>155</v>
      </c>
      <c r="H2093" t="s">
        <v>177</v>
      </c>
      <c r="I2093">
        <v>8</v>
      </c>
      <c r="J2093" t="s">
        <v>135</v>
      </c>
      <c r="K2093">
        <v>4</v>
      </c>
      <c r="L2093" t="s">
        <v>44</v>
      </c>
      <c r="M2093">
        <v>5.3</v>
      </c>
      <c r="N2093" t="s">
        <v>73</v>
      </c>
      <c r="O2093" t="s">
        <v>46</v>
      </c>
      <c r="Q2093" t="s">
        <v>62</v>
      </c>
      <c r="R2093" t="s">
        <v>63</v>
      </c>
      <c r="S2093" t="s">
        <v>179</v>
      </c>
      <c r="U2093" t="s">
        <v>50</v>
      </c>
      <c r="W2093" t="s">
        <v>473</v>
      </c>
      <c r="X2093" t="s">
        <v>108</v>
      </c>
      <c r="Y2093" t="s">
        <v>78</v>
      </c>
      <c r="AA2093">
        <v>0</v>
      </c>
      <c r="AB2093" t="s">
        <v>79</v>
      </c>
      <c r="AC2093" t="s">
        <v>87</v>
      </c>
      <c r="AD2093">
        <v>36</v>
      </c>
      <c r="AE2093">
        <v>9</v>
      </c>
      <c r="AF2093">
        <v>3</v>
      </c>
      <c r="AG2093">
        <v>2025</v>
      </c>
      <c r="AH2093" s="2">
        <v>4400</v>
      </c>
      <c r="AI2093" s="2">
        <v>5096.0146484375</v>
      </c>
      <c r="AJ2093" s="2">
        <f t="shared" si="258"/>
        <v>696.0146484375</v>
      </c>
      <c r="AK2093" s="6">
        <f t="shared" si="259"/>
        <v>0.15818514737215908</v>
      </c>
      <c r="AL2093" s="12">
        <v>4400</v>
      </c>
      <c r="AM2093" s="12">
        <v>6388.3171539324512</v>
      </c>
      <c r="AN2093" s="12">
        <f t="shared" si="260"/>
        <v>1988.3171539324512</v>
      </c>
      <c r="AO2093" s="13">
        <f t="shared" si="261"/>
        <v>0.45189026225737527</v>
      </c>
      <c r="AP2093" s="16">
        <v>4400</v>
      </c>
      <c r="AQ2093" s="16">
        <v>5241.6963024458983</v>
      </c>
      <c r="AR2093" s="16">
        <f t="shared" si="262"/>
        <v>841.69630244589825</v>
      </c>
      <c r="AS2093" s="17">
        <f t="shared" si="256"/>
        <v>0.19129461419224961</v>
      </c>
      <c r="AT2093" s="20">
        <v>4400</v>
      </c>
      <c r="AU2093" s="20">
        <v>5173.0087890625</v>
      </c>
      <c r="AV2093" s="20">
        <f t="shared" si="257"/>
        <v>773.0087890625</v>
      </c>
      <c r="AW2093" s="21">
        <f t="shared" si="263"/>
        <v>0.17568381569602273</v>
      </c>
    </row>
    <row r="2094" spans="1:49" x14ac:dyDescent="0.25">
      <c r="A2094" t="s">
        <v>38</v>
      </c>
      <c r="B2094" t="s">
        <v>39</v>
      </c>
      <c r="C2094">
        <v>209979</v>
      </c>
      <c r="D2094">
        <v>2010</v>
      </c>
      <c r="E2094" t="s">
        <v>40</v>
      </c>
      <c r="F2094" t="s">
        <v>215</v>
      </c>
      <c r="G2094" t="s">
        <v>150</v>
      </c>
      <c r="H2094" t="s">
        <v>1263</v>
      </c>
      <c r="I2094">
        <v>8</v>
      </c>
      <c r="J2094" t="s">
        <v>72</v>
      </c>
      <c r="K2094">
        <v>4</v>
      </c>
      <c r="L2094" t="s">
        <v>44</v>
      </c>
      <c r="M2094">
        <v>4.5999999999999996</v>
      </c>
      <c r="N2094" t="s">
        <v>73</v>
      </c>
      <c r="O2094" t="s">
        <v>46</v>
      </c>
      <c r="Q2094" t="s">
        <v>74</v>
      </c>
      <c r="R2094" t="s">
        <v>92</v>
      </c>
      <c r="S2094" t="s">
        <v>49</v>
      </c>
      <c r="T2094">
        <v>310</v>
      </c>
      <c r="U2094" t="s">
        <v>50</v>
      </c>
      <c r="V2094" t="s">
        <v>76</v>
      </c>
      <c r="W2094" t="s">
        <v>218</v>
      </c>
      <c r="X2094" t="s">
        <v>219</v>
      </c>
      <c r="Y2094" t="s">
        <v>78</v>
      </c>
      <c r="AA2094">
        <v>0</v>
      </c>
      <c r="AB2094" t="s">
        <v>79</v>
      </c>
      <c r="AC2094" t="s">
        <v>95</v>
      </c>
      <c r="AD2094">
        <v>36</v>
      </c>
      <c r="AE2094">
        <v>9</v>
      </c>
      <c r="AF2094">
        <v>3</v>
      </c>
      <c r="AG2094">
        <v>2025</v>
      </c>
      <c r="AH2094" s="2">
        <v>3750</v>
      </c>
      <c r="AI2094" s="2">
        <v>4386.21875</v>
      </c>
      <c r="AJ2094" s="2">
        <f t="shared" si="258"/>
        <v>636.21875</v>
      </c>
      <c r="AK2094" s="6">
        <f t="shared" si="259"/>
        <v>0.16965833333333333</v>
      </c>
      <c r="AL2094" s="12">
        <v>3750</v>
      </c>
      <c r="AM2094" s="12">
        <v>4844.6344021226432</v>
      </c>
      <c r="AN2094" s="12">
        <f t="shared" si="260"/>
        <v>1094.6344021226432</v>
      </c>
      <c r="AO2094" s="13">
        <f t="shared" si="261"/>
        <v>0.29190250723270483</v>
      </c>
      <c r="AP2094" s="16">
        <v>3750</v>
      </c>
      <c r="AQ2094" s="16">
        <v>4014.9083725092801</v>
      </c>
      <c r="AR2094" s="16">
        <f t="shared" si="262"/>
        <v>264.90837250928007</v>
      </c>
      <c r="AS2094" s="17">
        <f t="shared" si="256"/>
        <v>7.0642232669141353E-2</v>
      </c>
      <c r="AT2094" s="20">
        <v>3750</v>
      </c>
      <c r="AU2094" s="20">
        <v>4465.740234375</v>
      </c>
      <c r="AV2094" s="20">
        <f t="shared" si="257"/>
        <v>715.740234375</v>
      </c>
      <c r="AW2094" s="21">
        <f t="shared" si="263"/>
        <v>0.19086406249999999</v>
      </c>
    </row>
    <row r="2095" spans="1:49" x14ac:dyDescent="0.25">
      <c r="A2095" t="s">
        <v>38</v>
      </c>
      <c r="B2095" t="s">
        <v>110</v>
      </c>
      <c r="C2095">
        <v>90518</v>
      </c>
      <c r="D2095">
        <v>2017</v>
      </c>
      <c r="E2095" t="s">
        <v>97</v>
      </c>
      <c r="F2095" t="s">
        <v>98</v>
      </c>
      <c r="G2095" t="s">
        <v>199</v>
      </c>
      <c r="I2095">
        <v>4</v>
      </c>
      <c r="J2095" t="s">
        <v>135</v>
      </c>
      <c r="K2095">
        <v>4</v>
      </c>
      <c r="L2095" t="s">
        <v>44</v>
      </c>
      <c r="M2095">
        <v>2.4</v>
      </c>
      <c r="N2095" t="s">
        <v>45</v>
      </c>
      <c r="Q2095" t="s">
        <v>62</v>
      </c>
      <c r="R2095" t="s">
        <v>63</v>
      </c>
      <c r="S2095" t="s">
        <v>101</v>
      </c>
      <c r="U2095" t="s">
        <v>50</v>
      </c>
      <c r="W2095" t="s">
        <v>1599</v>
      </c>
      <c r="X2095" t="s">
        <v>65</v>
      </c>
      <c r="Y2095" t="s">
        <v>103</v>
      </c>
      <c r="Z2095">
        <v>25510</v>
      </c>
      <c r="AA2095">
        <v>0</v>
      </c>
      <c r="AB2095" t="s">
        <v>79</v>
      </c>
      <c r="AC2095" t="s">
        <v>87</v>
      </c>
      <c r="AD2095">
        <v>36</v>
      </c>
      <c r="AE2095">
        <v>9</v>
      </c>
      <c r="AF2095">
        <v>3</v>
      </c>
      <c r="AG2095">
        <v>2025</v>
      </c>
      <c r="AH2095" s="2">
        <v>7250</v>
      </c>
      <c r="AI2095" s="2">
        <v>6675.05810546875</v>
      </c>
      <c r="AJ2095" s="2">
        <f t="shared" si="258"/>
        <v>574.94189453125</v>
      </c>
      <c r="AK2095" s="6">
        <f t="shared" si="259"/>
        <v>7.9302330280172417E-2</v>
      </c>
      <c r="AL2095" s="12">
        <v>7250</v>
      </c>
      <c r="AM2095" s="12">
        <v>6628.3200258541001</v>
      </c>
      <c r="AN2095" s="12">
        <f t="shared" si="260"/>
        <v>621.67997414589991</v>
      </c>
      <c r="AO2095" s="13">
        <f t="shared" si="261"/>
        <v>8.5748961951158609E-2</v>
      </c>
      <c r="AP2095" s="16">
        <v>7250</v>
      </c>
      <c r="AQ2095" s="16">
        <v>5205.6409907847192</v>
      </c>
      <c r="AR2095" s="16">
        <f t="shared" si="262"/>
        <v>2044.3590092152808</v>
      </c>
      <c r="AS2095" s="17">
        <f t="shared" si="256"/>
        <v>0.28198055299521113</v>
      </c>
      <c r="AT2095" s="20">
        <v>7250</v>
      </c>
      <c r="AU2095" s="20">
        <v>6694.80517578125</v>
      </c>
      <c r="AV2095" s="20">
        <f t="shared" si="257"/>
        <v>555.19482421875</v>
      </c>
      <c r="AW2095" s="21">
        <f t="shared" si="263"/>
        <v>7.6578596443965516E-2</v>
      </c>
    </row>
    <row r="2096" spans="1:49" x14ac:dyDescent="0.25">
      <c r="A2096" t="s">
        <v>38</v>
      </c>
      <c r="B2096" t="s">
        <v>370</v>
      </c>
      <c r="C2096">
        <v>27220</v>
      </c>
      <c r="D2096">
        <v>2022</v>
      </c>
      <c r="E2096" t="s">
        <v>146</v>
      </c>
      <c r="F2096" t="s">
        <v>874</v>
      </c>
      <c r="G2096" t="s">
        <v>1600</v>
      </c>
      <c r="I2096">
        <v>4</v>
      </c>
      <c r="K2096">
        <v>4</v>
      </c>
      <c r="L2096" t="s">
        <v>371</v>
      </c>
      <c r="M2096">
        <v>2</v>
      </c>
      <c r="N2096" t="s">
        <v>44</v>
      </c>
      <c r="O2096" t="s">
        <v>46</v>
      </c>
      <c r="Q2096" t="s">
        <v>47</v>
      </c>
      <c r="R2096" t="s">
        <v>48</v>
      </c>
      <c r="S2096" t="s">
        <v>93</v>
      </c>
      <c r="U2096" t="s">
        <v>50</v>
      </c>
      <c r="X2096" t="s">
        <v>125</v>
      </c>
      <c r="Y2096" t="s">
        <v>54</v>
      </c>
      <c r="AA2096">
        <v>0</v>
      </c>
      <c r="AB2096" t="s">
        <v>79</v>
      </c>
      <c r="AC2096" t="s">
        <v>359</v>
      </c>
      <c r="AD2096">
        <v>36</v>
      </c>
      <c r="AE2096">
        <v>9</v>
      </c>
      <c r="AF2096">
        <v>3</v>
      </c>
      <c r="AG2096">
        <v>2025</v>
      </c>
      <c r="AH2096" s="2">
        <v>22600</v>
      </c>
      <c r="AI2096" s="2">
        <v>21914.5390625</v>
      </c>
      <c r="AJ2096" s="2">
        <f t="shared" si="258"/>
        <v>685.4609375</v>
      </c>
      <c r="AK2096" s="6">
        <f t="shared" si="259"/>
        <v>3.0330129977876107E-2</v>
      </c>
      <c r="AL2096" s="12">
        <v>22600</v>
      </c>
      <c r="AM2096" s="12">
        <v>19680.321539019758</v>
      </c>
      <c r="AN2096" s="12">
        <f t="shared" si="260"/>
        <v>2919.6784609802417</v>
      </c>
      <c r="AO2096" s="13">
        <f t="shared" si="261"/>
        <v>0.12918931243275406</v>
      </c>
      <c r="AP2096" s="16">
        <v>22600</v>
      </c>
      <c r="AQ2096" s="16">
        <v>20538.215459966032</v>
      </c>
      <c r="AR2096" s="16">
        <f t="shared" si="262"/>
        <v>2061.7845400339684</v>
      </c>
      <c r="AS2096" s="17">
        <f t="shared" si="256"/>
        <v>9.1229404426281788E-2</v>
      </c>
      <c r="AT2096" s="20">
        <v>22600</v>
      </c>
      <c r="AU2096" s="20">
        <v>21177.564453125</v>
      </c>
      <c r="AV2096" s="20">
        <f t="shared" si="257"/>
        <v>1422.435546875</v>
      </c>
      <c r="AW2096" s="21">
        <f t="shared" si="263"/>
        <v>6.2939625967920354E-2</v>
      </c>
    </row>
    <row r="2097" spans="1:49" x14ac:dyDescent="0.25">
      <c r="A2097" t="s">
        <v>38</v>
      </c>
      <c r="B2097" t="s">
        <v>110</v>
      </c>
      <c r="C2097">
        <v>142838</v>
      </c>
      <c r="D2097">
        <v>2018</v>
      </c>
      <c r="E2097" t="s">
        <v>174</v>
      </c>
      <c r="F2097" t="s">
        <v>175</v>
      </c>
      <c r="H2097" t="s">
        <v>176</v>
      </c>
      <c r="I2097">
        <v>8</v>
      </c>
      <c r="J2097" t="s">
        <v>72</v>
      </c>
      <c r="K2097">
        <v>4</v>
      </c>
      <c r="L2097" t="s">
        <v>44</v>
      </c>
      <c r="M2097">
        <v>5.3</v>
      </c>
      <c r="N2097" t="s">
        <v>73</v>
      </c>
      <c r="Q2097" t="s">
        <v>62</v>
      </c>
      <c r="R2097" t="s">
        <v>63</v>
      </c>
      <c r="S2097" t="s">
        <v>49</v>
      </c>
      <c r="U2097" t="s">
        <v>50</v>
      </c>
      <c r="W2097" t="s">
        <v>1016</v>
      </c>
      <c r="X2097" t="s">
        <v>108</v>
      </c>
      <c r="Y2097" t="s">
        <v>78</v>
      </c>
      <c r="Z2097">
        <v>57200</v>
      </c>
      <c r="AA2097">
        <v>0</v>
      </c>
      <c r="AB2097" t="s">
        <v>79</v>
      </c>
      <c r="AC2097" t="s">
        <v>109</v>
      </c>
      <c r="AD2097">
        <v>36</v>
      </c>
      <c r="AE2097">
        <v>9</v>
      </c>
      <c r="AF2097">
        <v>3</v>
      </c>
      <c r="AG2097">
        <v>2025</v>
      </c>
      <c r="AH2097" s="2">
        <v>14600</v>
      </c>
      <c r="AI2097" s="2">
        <v>13654.2353515625</v>
      </c>
      <c r="AJ2097" s="2">
        <f t="shared" si="258"/>
        <v>945.7646484375</v>
      </c>
      <c r="AK2097" s="6">
        <f t="shared" si="259"/>
        <v>6.4778400577910955E-2</v>
      </c>
      <c r="AL2097" s="12">
        <v>14600</v>
      </c>
      <c r="AM2097" s="12">
        <v>14040.321162045781</v>
      </c>
      <c r="AN2097" s="12">
        <f t="shared" si="260"/>
        <v>559.67883795421949</v>
      </c>
      <c r="AO2097" s="13">
        <f t="shared" si="261"/>
        <v>3.8334166983165718E-2</v>
      </c>
      <c r="AP2097" s="16">
        <v>14600</v>
      </c>
      <c r="AQ2097" s="16">
        <v>14189.518758873541</v>
      </c>
      <c r="AR2097" s="16">
        <f t="shared" si="262"/>
        <v>410.48124112645928</v>
      </c>
      <c r="AS2097" s="17">
        <f t="shared" si="256"/>
        <v>2.811515350181228E-2</v>
      </c>
      <c r="AT2097" s="20">
        <v>14600</v>
      </c>
      <c r="AU2097" s="20">
        <v>13684.494140625</v>
      </c>
      <c r="AV2097" s="20">
        <f t="shared" si="257"/>
        <v>915.505859375</v>
      </c>
      <c r="AW2097" s="21">
        <f t="shared" si="263"/>
        <v>6.2705880779109588E-2</v>
      </c>
    </row>
    <row r="2098" spans="1:49" x14ac:dyDescent="0.25">
      <c r="A2098" t="s">
        <v>128</v>
      </c>
      <c r="B2098" t="s">
        <v>129</v>
      </c>
      <c r="C2098">
        <v>95874</v>
      </c>
      <c r="D2098">
        <v>2020</v>
      </c>
      <c r="E2098" t="s">
        <v>58</v>
      </c>
      <c r="F2098" t="s">
        <v>239</v>
      </c>
      <c r="G2098" t="s">
        <v>240</v>
      </c>
      <c r="I2098">
        <v>4</v>
      </c>
      <c r="J2098" t="s">
        <v>72</v>
      </c>
      <c r="K2098">
        <v>4</v>
      </c>
      <c r="L2098" t="s">
        <v>44</v>
      </c>
      <c r="M2098">
        <v>2.4</v>
      </c>
      <c r="N2098" t="s">
        <v>45</v>
      </c>
      <c r="Q2098" t="s">
        <v>62</v>
      </c>
      <c r="R2098" t="s">
        <v>63</v>
      </c>
      <c r="S2098" t="s">
        <v>49</v>
      </c>
      <c r="T2098">
        <v>181</v>
      </c>
      <c r="U2098" t="s">
        <v>50</v>
      </c>
      <c r="W2098" t="s">
        <v>242</v>
      </c>
      <c r="X2098" t="s">
        <v>65</v>
      </c>
      <c r="Y2098" t="s">
        <v>66</v>
      </c>
      <c r="Z2098">
        <v>23990</v>
      </c>
      <c r="AA2098">
        <v>0</v>
      </c>
      <c r="AB2098" t="s">
        <v>79</v>
      </c>
      <c r="AC2098" t="s">
        <v>87</v>
      </c>
      <c r="AD2098">
        <v>36</v>
      </c>
      <c r="AE2098">
        <v>9</v>
      </c>
      <c r="AF2098">
        <v>3</v>
      </c>
      <c r="AG2098">
        <v>2025</v>
      </c>
      <c r="AH2098" s="2">
        <v>8400</v>
      </c>
      <c r="AI2098" s="2">
        <v>10027.9775390625</v>
      </c>
      <c r="AJ2098" s="2">
        <f t="shared" si="258"/>
        <v>1627.9775390625</v>
      </c>
      <c r="AK2098" s="6">
        <f t="shared" si="259"/>
        <v>0.19380684988839286</v>
      </c>
      <c r="AL2098" s="12">
        <v>8400</v>
      </c>
      <c r="AM2098" s="12">
        <v>9492.0635300423655</v>
      </c>
      <c r="AN2098" s="12">
        <f t="shared" si="260"/>
        <v>1092.0635300423655</v>
      </c>
      <c r="AO2098" s="13">
        <f t="shared" si="261"/>
        <v>0.13000756310028161</v>
      </c>
      <c r="AP2098" s="16">
        <v>8400</v>
      </c>
      <c r="AQ2098" s="16">
        <v>8283.8684061324202</v>
      </c>
      <c r="AR2098" s="16">
        <f t="shared" si="262"/>
        <v>116.1315938675798</v>
      </c>
      <c r="AS2098" s="17">
        <f t="shared" si="256"/>
        <v>1.3825189746140451E-2</v>
      </c>
      <c r="AT2098" s="20">
        <v>8400</v>
      </c>
      <c r="AU2098" s="20">
        <v>10047.23046875</v>
      </c>
      <c r="AV2098" s="20">
        <f t="shared" si="257"/>
        <v>1647.23046875</v>
      </c>
      <c r="AW2098" s="21">
        <f t="shared" si="263"/>
        <v>0.19609886532738094</v>
      </c>
    </row>
    <row r="2099" spans="1:49" x14ac:dyDescent="0.25">
      <c r="A2099" t="s">
        <v>114</v>
      </c>
      <c r="B2099" t="s">
        <v>340</v>
      </c>
      <c r="C2099">
        <v>242052</v>
      </c>
      <c r="D2099">
        <v>2000</v>
      </c>
      <c r="E2099" t="s">
        <v>40</v>
      </c>
      <c r="F2099" t="s">
        <v>233</v>
      </c>
      <c r="H2099" t="s">
        <v>1601</v>
      </c>
      <c r="I2099">
        <v>4</v>
      </c>
      <c r="J2099" t="s">
        <v>43</v>
      </c>
      <c r="K2099">
        <v>4</v>
      </c>
      <c r="L2099" t="s">
        <v>44</v>
      </c>
      <c r="M2099">
        <v>2</v>
      </c>
      <c r="N2099" t="s">
        <v>45</v>
      </c>
      <c r="O2099" t="s">
        <v>46</v>
      </c>
      <c r="P2099">
        <v>3</v>
      </c>
      <c r="Q2099" t="s">
        <v>62</v>
      </c>
      <c r="R2099" t="s">
        <v>63</v>
      </c>
      <c r="S2099" t="s">
        <v>49</v>
      </c>
      <c r="T2099">
        <v>127</v>
      </c>
      <c r="U2099" t="s">
        <v>50</v>
      </c>
      <c r="V2099" t="s">
        <v>51</v>
      </c>
      <c r="W2099" t="s">
        <v>1602</v>
      </c>
      <c r="X2099" t="s">
        <v>53</v>
      </c>
      <c r="Y2099" t="s">
        <v>54</v>
      </c>
      <c r="AA2099">
        <v>0</v>
      </c>
      <c r="AB2099" t="s">
        <v>79</v>
      </c>
      <c r="AC2099" t="s">
        <v>87</v>
      </c>
      <c r="AD2099">
        <v>36</v>
      </c>
      <c r="AE2099">
        <v>9</v>
      </c>
      <c r="AF2099">
        <v>3</v>
      </c>
      <c r="AG2099">
        <v>2025</v>
      </c>
      <c r="AH2099" s="2">
        <v>800</v>
      </c>
      <c r="AI2099" s="2">
        <v>710.837158203125</v>
      </c>
      <c r="AJ2099" s="2">
        <f t="shared" si="258"/>
        <v>89.162841796875</v>
      </c>
      <c r="AK2099" s="6">
        <f t="shared" si="259"/>
        <v>0.11145355224609375</v>
      </c>
      <c r="AL2099" s="12">
        <v>800</v>
      </c>
      <c r="AM2099" s="12">
        <v>754.69247119235706</v>
      </c>
      <c r="AN2099" s="12">
        <f t="shared" si="260"/>
        <v>45.307528807642939</v>
      </c>
      <c r="AO2099" s="13">
        <f t="shared" si="261"/>
        <v>5.6634411009553673E-2</v>
      </c>
      <c r="AP2099" s="16">
        <v>800</v>
      </c>
      <c r="AQ2099" s="16">
        <v>582.65803029762378</v>
      </c>
      <c r="AR2099" s="16">
        <f t="shared" si="262"/>
        <v>217.34196970237622</v>
      </c>
      <c r="AS2099" s="17">
        <f t="shared" si="256"/>
        <v>0.27167746212797028</v>
      </c>
      <c r="AT2099" s="20">
        <v>800</v>
      </c>
      <c r="AU2099" s="20">
        <v>676.7608642578125</v>
      </c>
      <c r="AV2099" s="20">
        <f t="shared" si="257"/>
        <v>123.2391357421875</v>
      </c>
      <c r="AW2099" s="21">
        <f t="shared" si="263"/>
        <v>0.15404891967773438</v>
      </c>
    </row>
    <row r="2100" spans="1:49" x14ac:dyDescent="0.25">
      <c r="A2100" t="s">
        <v>38</v>
      </c>
      <c r="B2100" t="s">
        <v>39</v>
      </c>
      <c r="C2100">
        <v>77720</v>
      </c>
      <c r="D2100">
        <v>2020</v>
      </c>
      <c r="E2100" t="s">
        <v>69</v>
      </c>
      <c r="F2100" t="s">
        <v>104</v>
      </c>
      <c r="H2100" t="s">
        <v>105</v>
      </c>
      <c r="I2100">
        <v>6</v>
      </c>
      <c r="J2100" t="s">
        <v>106</v>
      </c>
      <c r="K2100">
        <v>4</v>
      </c>
      <c r="L2100" t="s">
        <v>44</v>
      </c>
      <c r="M2100">
        <v>3.5</v>
      </c>
      <c r="N2100" t="s">
        <v>73</v>
      </c>
      <c r="O2100" t="s">
        <v>46</v>
      </c>
      <c r="Q2100" t="s">
        <v>62</v>
      </c>
      <c r="R2100" t="s">
        <v>63</v>
      </c>
      <c r="S2100" t="s">
        <v>49</v>
      </c>
      <c r="T2100">
        <v>310</v>
      </c>
      <c r="U2100" t="s">
        <v>50</v>
      </c>
      <c r="V2100" t="s">
        <v>76</v>
      </c>
      <c r="W2100" t="s">
        <v>107</v>
      </c>
      <c r="X2100" t="s">
        <v>108</v>
      </c>
      <c r="Y2100" t="s">
        <v>78</v>
      </c>
      <c r="AA2100">
        <v>0</v>
      </c>
      <c r="AB2100" t="s">
        <v>79</v>
      </c>
      <c r="AC2100" t="s">
        <v>109</v>
      </c>
      <c r="AD2100">
        <v>36</v>
      </c>
      <c r="AE2100">
        <v>9</v>
      </c>
      <c r="AF2100">
        <v>3</v>
      </c>
      <c r="AG2100">
        <v>2025</v>
      </c>
      <c r="AH2100" s="2">
        <v>23000</v>
      </c>
      <c r="AI2100" s="2">
        <v>23190.59375</v>
      </c>
      <c r="AJ2100" s="2">
        <f t="shared" si="258"/>
        <v>190.59375</v>
      </c>
      <c r="AK2100" s="6">
        <f t="shared" si="259"/>
        <v>8.2866847826086956E-3</v>
      </c>
      <c r="AL2100" s="12">
        <v>23000</v>
      </c>
      <c r="AM2100" s="12">
        <v>24941.18164788741</v>
      </c>
      <c r="AN2100" s="12">
        <f t="shared" si="260"/>
        <v>1941.1816478874098</v>
      </c>
      <c r="AO2100" s="13">
        <f t="shared" si="261"/>
        <v>8.4399202082061295E-2</v>
      </c>
      <c r="AP2100" s="16">
        <v>23000</v>
      </c>
      <c r="AQ2100" s="16">
        <v>23270.708023212352</v>
      </c>
      <c r="AR2100" s="16">
        <f t="shared" si="262"/>
        <v>270.70802321235169</v>
      </c>
      <c r="AS2100" s="17">
        <f t="shared" si="256"/>
        <v>1.1769914052710943E-2</v>
      </c>
      <c r="AT2100" s="20">
        <v>23000</v>
      </c>
      <c r="AU2100" s="20">
        <v>23264.1171875</v>
      </c>
      <c r="AV2100" s="20">
        <f t="shared" si="257"/>
        <v>264.1171875</v>
      </c>
      <c r="AW2100" s="21">
        <f t="shared" si="263"/>
        <v>1.1483355978260869E-2</v>
      </c>
    </row>
    <row r="2101" spans="1:49" x14ac:dyDescent="0.25">
      <c r="A2101" t="s">
        <v>38</v>
      </c>
      <c r="B2101" t="s">
        <v>110</v>
      </c>
      <c r="C2101">
        <v>109615</v>
      </c>
      <c r="D2101">
        <v>2019</v>
      </c>
      <c r="E2101" t="s">
        <v>142</v>
      </c>
      <c r="F2101" t="s">
        <v>143</v>
      </c>
      <c r="H2101" t="s">
        <v>118</v>
      </c>
      <c r="I2101">
        <v>4</v>
      </c>
      <c r="J2101" t="s">
        <v>135</v>
      </c>
      <c r="K2101">
        <v>4</v>
      </c>
      <c r="L2101" t="s">
        <v>44</v>
      </c>
      <c r="M2101">
        <v>2.4</v>
      </c>
      <c r="N2101" t="s">
        <v>45</v>
      </c>
      <c r="Q2101" t="s">
        <v>62</v>
      </c>
      <c r="R2101" t="s">
        <v>63</v>
      </c>
      <c r="S2101" t="s">
        <v>49</v>
      </c>
      <c r="T2101">
        <v>184</v>
      </c>
      <c r="U2101" t="s">
        <v>50</v>
      </c>
      <c r="V2101" t="s">
        <v>51</v>
      </c>
      <c r="X2101" t="s">
        <v>141</v>
      </c>
      <c r="Y2101" t="s">
        <v>78</v>
      </c>
      <c r="Z2101">
        <v>31450</v>
      </c>
      <c r="AA2101">
        <v>0</v>
      </c>
      <c r="AB2101" t="s">
        <v>79</v>
      </c>
      <c r="AC2101" t="s">
        <v>87</v>
      </c>
      <c r="AD2101">
        <v>36</v>
      </c>
      <c r="AE2101">
        <v>9</v>
      </c>
      <c r="AF2101">
        <v>3</v>
      </c>
      <c r="AG2101">
        <v>2025</v>
      </c>
      <c r="AH2101" s="2">
        <v>5800</v>
      </c>
      <c r="AI2101" s="2">
        <v>7030.9755859375</v>
      </c>
      <c r="AJ2101" s="2">
        <f t="shared" si="258"/>
        <v>1230.9755859375</v>
      </c>
      <c r="AK2101" s="6">
        <f t="shared" si="259"/>
        <v>0.21223716998922415</v>
      </c>
      <c r="AL2101" s="12">
        <v>5800</v>
      </c>
      <c r="AM2101" s="12">
        <v>7291.675572665019</v>
      </c>
      <c r="AN2101" s="12">
        <f t="shared" si="260"/>
        <v>1491.675572665019</v>
      </c>
      <c r="AO2101" s="13">
        <f t="shared" si="261"/>
        <v>0.25718544356293432</v>
      </c>
      <c r="AP2101" s="16">
        <v>5800</v>
      </c>
      <c r="AQ2101" s="16">
        <v>6859.6196325976462</v>
      </c>
      <c r="AR2101" s="16">
        <f t="shared" si="262"/>
        <v>1059.6196325976462</v>
      </c>
      <c r="AS2101" s="17">
        <f t="shared" si="256"/>
        <v>0.18269304010304244</v>
      </c>
      <c r="AT2101" s="20">
        <v>5800</v>
      </c>
      <c r="AU2101" s="20">
        <v>7195.56494140625</v>
      </c>
      <c r="AV2101" s="20">
        <f t="shared" si="257"/>
        <v>1395.56494140625</v>
      </c>
      <c r="AW2101" s="21">
        <f t="shared" si="263"/>
        <v>0.2406146450700431</v>
      </c>
    </row>
    <row r="2102" spans="1:49" x14ac:dyDescent="0.25">
      <c r="A2102" t="s">
        <v>128</v>
      </c>
      <c r="B2102" t="s">
        <v>129</v>
      </c>
      <c r="C2102">
        <v>117520</v>
      </c>
      <c r="D2102">
        <v>2017</v>
      </c>
      <c r="E2102" t="s">
        <v>263</v>
      </c>
      <c r="F2102" t="s">
        <v>611</v>
      </c>
      <c r="G2102" t="s">
        <v>1389</v>
      </c>
      <c r="I2102">
        <v>4</v>
      </c>
      <c r="J2102" t="s">
        <v>43</v>
      </c>
      <c r="K2102">
        <v>4</v>
      </c>
      <c r="L2102" t="s">
        <v>402</v>
      </c>
      <c r="M2102">
        <v>2.5</v>
      </c>
      <c r="N2102" t="s">
        <v>45</v>
      </c>
      <c r="Q2102" t="s">
        <v>47</v>
      </c>
      <c r="R2102" t="s">
        <v>123</v>
      </c>
      <c r="S2102" t="s">
        <v>101</v>
      </c>
      <c r="T2102">
        <v>184</v>
      </c>
      <c r="U2102" t="s">
        <v>50</v>
      </c>
      <c r="V2102" t="s">
        <v>51</v>
      </c>
      <c r="W2102" t="s">
        <v>266</v>
      </c>
      <c r="X2102" t="s">
        <v>125</v>
      </c>
      <c r="Y2102" t="s">
        <v>54</v>
      </c>
      <c r="Z2102">
        <v>23145</v>
      </c>
      <c r="AA2102">
        <v>0</v>
      </c>
      <c r="AB2102" t="s">
        <v>79</v>
      </c>
      <c r="AC2102" t="s">
        <v>127</v>
      </c>
      <c r="AD2102">
        <v>36</v>
      </c>
      <c r="AE2102">
        <v>9</v>
      </c>
      <c r="AF2102">
        <v>3</v>
      </c>
      <c r="AG2102">
        <v>2025</v>
      </c>
      <c r="AH2102" s="2">
        <v>6200</v>
      </c>
      <c r="AI2102" s="2">
        <v>5490.869140625</v>
      </c>
      <c r="AJ2102" s="2">
        <f t="shared" si="258"/>
        <v>709.130859375</v>
      </c>
      <c r="AK2102" s="6">
        <f t="shared" si="259"/>
        <v>0.11437594506048387</v>
      </c>
      <c r="AL2102" s="12">
        <v>6200</v>
      </c>
      <c r="AM2102" s="12">
        <v>4539.9892896762258</v>
      </c>
      <c r="AN2102" s="12">
        <f t="shared" si="260"/>
        <v>1660.0107103237742</v>
      </c>
      <c r="AO2102" s="13">
        <f t="shared" si="261"/>
        <v>0.26774366295544744</v>
      </c>
      <c r="AP2102" s="16">
        <v>6200</v>
      </c>
      <c r="AQ2102" s="16">
        <v>5338.7623507324233</v>
      </c>
      <c r="AR2102" s="16">
        <f t="shared" si="262"/>
        <v>861.23764926757667</v>
      </c>
      <c r="AS2102" s="17">
        <f t="shared" si="256"/>
        <v>0.13890929826896398</v>
      </c>
      <c r="AT2102" s="20">
        <v>6200</v>
      </c>
      <c r="AU2102" s="20">
        <v>5444.33837890625</v>
      </c>
      <c r="AV2102" s="20">
        <f t="shared" si="257"/>
        <v>755.66162109375</v>
      </c>
      <c r="AW2102" s="21">
        <f t="shared" si="263"/>
        <v>0.1218809066280242</v>
      </c>
    </row>
    <row r="2103" spans="1:49" x14ac:dyDescent="0.25">
      <c r="A2103" t="s">
        <v>128</v>
      </c>
      <c r="B2103" t="s">
        <v>129</v>
      </c>
      <c r="C2103">
        <v>145070</v>
      </c>
      <c r="D2103">
        <v>2012</v>
      </c>
      <c r="E2103" t="s">
        <v>69</v>
      </c>
      <c r="F2103" t="s">
        <v>394</v>
      </c>
      <c r="H2103" t="s">
        <v>224</v>
      </c>
      <c r="I2103">
        <v>4</v>
      </c>
      <c r="J2103" t="s">
        <v>106</v>
      </c>
      <c r="K2103">
        <v>4</v>
      </c>
      <c r="L2103" t="s">
        <v>44</v>
      </c>
      <c r="M2103">
        <v>2.5</v>
      </c>
      <c r="N2103" t="s">
        <v>45</v>
      </c>
      <c r="Q2103" t="s">
        <v>47</v>
      </c>
      <c r="R2103" t="s">
        <v>123</v>
      </c>
      <c r="T2103">
        <v>175</v>
      </c>
      <c r="U2103" t="s">
        <v>50</v>
      </c>
      <c r="V2103" t="s">
        <v>51</v>
      </c>
      <c r="X2103" t="s">
        <v>125</v>
      </c>
      <c r="Y2103" t="s">
        <v>126</v>
      </c>
      <c r="AA2103">
        <v>0</v>
      </c>
      <c r="AB2103" t="s">
        <v>79</v>
      </c>
      <c r="AC2103" t="s">
        <v>127</v>
      </c>
      <c r="AD2103">
        <v>36</v>
      </c>
      <c r="AE2103">
        <v>9</v>
      </c>
      <c r="AF2103">
        <v>3</v>
      </c>
      <c r="AG2103">
        <v>2025</v>
      </c>
      <c r="AH2103" s="2">
        <v>800</v>
      </c>
      <c r="AI2103" s="2">
        <v>1816.2666015625</v>
      </c>
      <c r="AJ2103" s="2">
        <f t="shared" si="258"/>
        <v>1016.2666015625</v>
      </c>
      <c r="AK2103" s="6">
        <f t="shared" si="259"/>
        <v>1.270333251953125</v>
      </c>
      <c r="AL2103" s="12">
        <v>800</v>
      </c>
      <c r="AM2103" s="12">
        <v>1766.3558279849669</v>
      </c>
      <c r="AN2103" s="12">
        <f t="shared" si="260"/>
        <v>966.35582798496694</v>
      </c>
      <c r="AO2103" s="13">
        <f t="shared" si="261"/>
        <v>1.2079447849812086</v>
      </c>
      <c r="AP2103" s="16">
        <v>800</v>
      </c>
      <c r="AQ2103" s="16">
        <v>1514.8637363063331</v>
      </c>
      <c r="AR2103" s="16">
        <f t="shared" si="262"/>
        <v>714.86373630633307</v>
      </c>
      <c r="AS2103" s="17">
        <f t="shared" si="256"/>
        <v>0.8935796703829163</v>
      </c>
      <c r="AT2103" s="20">
        <v>800</v>
      </c>
      <c r="AU2103" s="20">
        <v>1845.017333984375</v>
      </c>
      <c r="AV2103" s="20">
        <f t="shared" si="257"/>
        <v>1045.017333984375</v>
      </c>
      <c r="AW2103" s="21">
        <f t="shared" si="263"/>
        <v>1.3062716674804689</v>
      </c>
    </row>
    <row r="2104" spans="1:49" x14ac:dyDescent="0.25">
      <c r="A2104" t="s">
        <v>128</v>
      </c>
      <c r="B2104" t="s">
        <v>210</v>
      </c>
      <c r="C2104">
        <v>210209</v>
      </c>
      <c r="D2104">
        <v>2014</v>
      </c>
      <c r="E2104" t="s">
        <v>88</v>
      </c>
      <c r="F2104" t="s">
        <v>883</v>
      </c>
      <c r="G2104" t="s">
        <v>956</v>
      </c>
      <c r="I2104">
        <v>6</v>
      </c>
      <c r="J2104" t="s">
        <v>122</v>
      </c>
      <c r="K2104">
        <v>4</v>
      </c>
      <c r="L2104" t="s">
        <v>44</v>
      </c>
      <c r="M2104">
        <v>6.7</v>
      </c>
      <c r="N2104" t="s">
        <v>91</v>
      </c>
      <c r="O2104" t="s">
        <v>46</v>
      </c>
      <c r="Q2104" t="s">
        <v>74</v>
      </c>
      <c r="R2104" t="s">
        <v>92</v>
      </c>
      <c r="S2104" t="s">
        <v>93</v>
      </c>
      <c r="U2104" t="s">
        <v>229</v>
      </c>
      <c r="X2104" t="s">
        <v>260</v>
      </c>
      <c r="Y2104" t="s">
        <v>126</v>
      </c>
      <c r="AA2104">
        <v>0</v>
      </c>
      <c r="AB2104" t="s">
        <v>79</v>
      </c>
      <c r="AC2104" t="s">
        <v>261</v>
      </c>
      <c r="AD2104">
        <v>36</v>
      </c>
      <c r="AE2104">
        <v>9</v>
      </c>
      <c r="AF2104">
        <v>3</v>
      </c>
      <c r="AG2104">
        <v>2025</v>
      </c>
      <c r="AH2104" s="2">
        <v>13500</v>
      </c>
      <c r="AI2104" s="2">
        <v>10162.466796875</v>
      </c>
      <c r="AJ2104" s="2">
        <f t="shared" si="258"/>
        <v>3337.533203125</v>
      </c>
      <c r="AK2104" s="6">
        <f t="shared" si="259"/>
        <v>0.24722468171296297</v>
      </c>
      <c r="AL2104" s="12">
        <v>13500</v>
      </c>
      <c r="AM2104" s="12">
        <v>11205.14162909866</v>
      </c>
      <c r="AN2104" s="12">
        <f t="shared" si="260"/>
        <v>2294.8583709013401</v>
      </c>
      <c r="AO2104" s="13">
        <f t="shared" si="261"/>
        <v>0.16998950895565482</v>
      </c>
      <c r="AP2104" s="16">
        <v>13500</v>
      </c>
      <c r="AQ2104" s="16">
        <v>13449.109184856959</v>
      </c>
      <c r="AR2104" s="16">
        <f t="shared" si="262"/>
        <v>50.890815143040527</v>
      </c>
      <c r="AS2104" s="17">
        <f t="shared" si="256"/>
        <v>3.7696900105955947E-3</v>
      </c>
      <c r="AT2104" s="20">
        <v>13500</v>
      </c>
      <c r="AU2104" s="20">
        <v>10524.2041015625</v>
      </c>
      <c r="AV2104" s="20">
        <f t="shared" si="257"/>
        <v>2975.7958984375</v>
      </c>
      <c r="AW2104" s="21">
        <f t="shared" si="263"/>
        <v>0.22042932581018518</v>
      </c>
    </row>
    <row r="2105" spans="1:49" x14ac:dyDescent="0.25">
      <c r="A2105" t="s">
        <v>38</v>
      </c>
      <c r="B2105" t="s">
        <v>39</v>
      </c>
      <c r="C2105">
        <v>142518</v>
      </c>
      <c r="D2105">
        <v>2008</v>
      </c>
      <c r="E2105" t="s">
        <v>83</v>
      </c>
      <c r="F2105" t="s">
        <v>187</v>
      </c>
      <c r="G2105" t="s">
        <v>208</v>
      </c>
      <c r="I2105">
        <v>6</v>
      </c>
      <c r="J2105" t="s">
        <v>135</v>
      </c>
      <c r="K2105">
        <v>4</v>
      </c>
      <c r="L2105" t="s">
        <v>44</v>
      </c>
      <c r="M2105">
        <v>3.7</v>
      </c>
      <c r="N2105" t="s">
        <v>44</v>
      </c>
      <c r="O2105" t="s">
        <v>46</v>
      </c>
      <c r="Q2105" t="s">
        <v>62</v>
      </c>
      <c r="R2105" t="s">
        <v>63</v>
      </c>
      <c r="T2105">
        <v>300</v>
      </c>
      <c r="U2105" t="s">
        <v>50</v>
      </c>
      <c r="V2105" t="s">
        <v>76</v>
      </c>
      <c r="W2105" t="s">
        <v>209</v>
      </c>
      <c r="X2105" t="s">
        <v>141</v>
      </c>
      <c r="Y2105" t="s">
        <v>103</v>
      </c>
      <c r="AA2105">
        <v>0</v>
      </c>
      <c r="AB2105" t="s">
        <v>79</v>
      </c>
      <c r="AC2105" t="s">
        <v>87</v>
      </c>
      <c r="AD2105">
        <v>36</v>
      </c>
      <c r="AE2105">
        <v>9</v>
      </c>
      <c r="AF2105">
        <v>3</v>
      </c>
      <c r="AG2105">
        <v>2025</v>
      </c>
      <c r="AH2105" s="2">
        <v>6000</v>
      </c>
      <c r="AI2105" s="2">
        <v>2542.2255859375</v>
      </c>
      <c r="AJ2105" s="2">
        <f t="shared" si="258"/>
        <v>3457.7744140625</v>
      </c>
      <c r="AK2105" s="6">
        <f t="shared" si="259"/>
        <v>0.57629573567708337</v>
      </c>
      <c r="AL2105" s="12">
        <v>6000</v>
      </c>
      <c r="AM2105" s="12">
        <v>2346.9453431354968</v>
      </c>
      <c r="AN2105" s="12">
        <f t="shared" si="260"/>
        <v>3653.0546568645032</v>
      </c>
      <c r="AO2105" s="13">
        <f t="shared" si="261"/>
        <v>0.60884244281075051</v>
      </c>
      <c r="AP2105" s="16">
        <v>6000</v>
      </c>
      <c r="AQ2105" s="16">
        <v>2638.4468516698139</v>
      </c>
      <c r="AR2105" s="16">
        <f t="shared" si="262"/>
        <v>3361.5531483301861</v>
      </c>
      <c r="AS2105" s="17">
        <f t="shared" si="256"/>
        <v>0.56025885805503106</v>
      </c>
      <c r="AT2105" s="20">
        <v>6000</v>
      </c>
      <c r="AU2105" s="20">
        <v>2527.1201171875</v>
      </c>
      <c r="AV2105" s="20">
        <f t="shared" si="257"/>
        <v>3472.8798828125</v>
      </c>
      <c r="AW2105" s="21">
        <f t="shared" si="263"/>
        <v>0.57881331380208334</v>
      </c>
    </row>
    <row r="2106" spans="1:49" x14ac:dyDescent="0.25">
      <c r="A2106" t="s">
        <v>38</v>
      </c>
      <c r="B2106" t="s">
        <v>68</v>
      </c>
      <c r="C2106">
        <v>137927</v>
      </c>
      <c r="D2106">
        <v>2014</v>
      </c>
      <c r="E2106" t="s">
        <v>69</v>
      </c>
      <c r="F2106" t="s">
        <v>157</v>
      </c>
      <c r="G2106" t="s">
        <v>112</v>
      </c>
      <c r="I2106">
        <v>6</v>
      </c>
      <c r="J2106" t="s">
        <v>61</v>
      </c>
      <c r="K2106">
        <v>4</v>
      </c>
      <c r="L2106" t="s">
        <v>44</v>
      </c>
      <c r="M2106">
        <v>3.5</v>
      </c>
      <c r="N2106" t="s">
        <v>45</v>
      </c>
      <c r="O2106" t="s">
        <v>46</v>
      </c>
      <c r="Q2106" t="s">
        <v>62</v>
      </c>
      <c r="R2106" t="s">
        <v>63</v>
      </c>
      <c r="T2106">
        <v>290</v>
      </c>
      <c r="U2106" t="s">
        <v>50</v>
      </c>
      <c r="V2106" t="s">
        <v>76</v>
      </c>
      <c r="X2106" t="s">
        <v>94</v>
      </c>
      <c r="Y2106" t="s">
        <v>78</v>
      </c>
      <c r="AA2106">
        <v>0</v>
      </c>
      <c r="AB2106" t="s">
        <v>79</v>
      </c>
      <c r="AC2106" t="s">
        <v>87</v>
      </c>
      <c r="AD2106">
        <v>36</v>
      </c>
      <c r="AE2106">
        <v>9</v>
      </c>
      <c r="AF2106">
        <v>3</v>
      </c>
      <c r="AG2106">
        <v>2025</v>
      </c>
      <c r="AH2106" s="2">
        <v>3700</v>
      </c>
      <c r="AI2106" s="2">
        <v>4748.4814453125</v>
      </c>
      <c r="AJ2106" s="2">
        <f t="shared" si="258"/>
        <v>1048.4814453125</v>
      </c>
      <c r="AK2106" s="6">
        <f t="shared" si="259"/>
        <v>0.28337336359797299</v>
      </c>
      <c r="AL2106" s="12">
        <v>3700</v>
      </c>
      <c r="AM2106" s="12">
        <v>4877.9208634444403</v>
      </c>
      <c r="AN2106" s="12">
        <f t="shared" si="260"/>
        <v>1177.9208634444403</v>
      </c>
      <c r="AO2106" s="13">
        <f t="shared" si="261"/>
        <v>0.31835699012011903</v>
      </c>
      <c r="AP2106" s="16">
        <v>3700</v>
      </c>
      <c r="AQ2106" s="16">
        <v>4334.9410320034158</v>
      </c>
      <c r="AR2106" s="16">
        <f t="shared" si="262"/>
        <v>634.94103200341578</v>
      </c>
      <c r="AS2106" s="17">
        <f t="shared" si="256"/>
        <v>0.1716056843252475</v>
      </c>
      <c r="AT2106" s="20">
        <v>3700</v>
      </c>
      <c r="AU2106" s="20">
        <v>4811.86474609375</v>
      </c>
      <c r="AV2106" s="20">
        <f t="shared" si="257"/>
        <v>1111.86474609375</v>
      </c>
      <c r="AW2106" s="21">
        <f t="shared" si="263"/>
        <v>0.30050398543074325</v>
      </c>
    </row>
    <row r="2107" spans="1:49" x14ac:dyDescent="0.25">
      <c r="A2107" t="s">
        <v>38</v>
      </c>
      <c r="B2107" t="s">
        <v>96</v>
      </c>
      <c r="C2107">
        <v>107202</v>
      </c>
      <c r="D2107">
        <v>2018</v>
      </c>
      <c r="E2107" t="s">
        <v>97</v>
      </c>
      <c r="F2107" t="s">
        <v>379</v>
      </c>
      <c r="G2107" t="s">
        <v>199</v>
      </c>
      <c r="I2107">
        <v>4</v>
      </c>
      <c r="J2107" t="s">
        <v>61</v>
      </c>
      <c r="K2107">
        <v>4</v>
      </c>
      <c r="L2107" t="s">
        <v>44</v>
      </c>
      <c r="M2107">
        <v>1.4</v>
      </c>
      <c r="N2107" t="s">
        <v>45</v>
      </c>
      <c r="O2107" t="s">
        <v>46</v>
      </c>
      <c r="Q2107" t="s">
        <v>47</v>
      </c>
      <c r="R2107" t="s">
        <v>123</v>
      </c>
      <c r="S2107" t="s">
        <v>101</v>
      </c>
      <c r="U2107" t="s">
        <v>50</v>
      </c>
      <c r="V2107" t="s">
        <v>51</v>
      </c>
      <c r="W2107" t="s">
        <v>423</v>
      </c>
      <c r="X2107" t="s">
        <v>125</v>
      </c>
      <c r="Y2107" t="s">
        <v>78</v>
      </c>
      <c r="Z2107">
        <v>18525</v>
      </c>
      <c r="AA2107">
        <v>0</v>
      </c>
      <c r="AB2107" t="s">
        <v>79</v>
      </c>
      <c r="AC2107" t="s">
        <v>127</v>
      </c>
      <c r="AD2107">
        <v>36</v>
      </c>
      <c r="AE2107">
        <v>9</v>
      </c>
      <c r="AF2107">
        <v>3</v>
      </c>
      <c r="AG2107">
        <v>2025</v>
      </c>
      <c r="AH2107" s="2">
        <v>5700</v>
      </c>
      <c r="AI2107" s="2">
        <v>5431.1435546875</v>
      </c>
      <c r="AJ2107" s="2">
        <f t="shared" si="258"/>
        <v>268.8564453125</v>
      </c>
      <c r="AK2107" s="6">
        <f t="shared" si="259"/>
        <v>4.7167797423245617E-2</v>
      </c>
      <c r="AL2107" s="12">
        <v>5700</v>
      </c>
      <c r="AM2107" s="12">
        <v>5222.0084703016946</v>
      </c>
      <c r="AN2107" s="12">
        <f t="shared" si="260"/>
        <v>477.99152969830538</v>
      </c>
      <c r="AO2107" s="13">
        <f t="shared" si="261"/>
        <v>8.3858163104965855E-2</v>
      </c>
      <c r="AP2107" s="16">
        <v>5700</v>
      </c>
      <c r="AQ2107" s="16">
        <v>3858.3122357806669</v>
      </c>
      <c r="AR2107" s="16">
        <f t="shared" si="262"/>
        <v>1841.6877642193331</v>
      </c>
      <c r="AS2107" s="17">
        <f t="shared" si="256"/>
        <v>0.32310311652970758</v>
      </c>
      <c r="AT2107" s="20">
        <v>5700</v>
      </c>
      <c r="AU2107" s="20">
        <v>5447.0810546875</v>
      </c>
      <c r="AV2107" s="20">
        <f t="shared" si="257"/>
        <v>252.9189453125</v>
      </c>
      <c r="AW2107" s="21">
        <f t="shared" si="263"/>
        <v>4.4371744791666667E-2</v>
      </c>
    </row>
    <row r="2108" spans="1:49" x14ac:dyDescent="0.25">
      <c r="A2108" t="s">
        <v>128</v>
      </c>
      <c r="B2108" t="s">
        <v>210</v>
      </c>
      <c r="C2108">
        <v>59429</v>
      </c>
      <c r="D2108">
        <v>2021</v>
      </c>
      <c r="E2108" t="s">
        <v>119</v>
      </c>
      <c r="F2108" t="s">
        <v>138</v>
      </c>
      <c r="G2108" t="s">
        <v>1603</v>
      </c>
      <c r="I2108">
        <v>6</v>
      </c>
      <c r="J2108" t="s">
        <v>61</v>
      </c>
      <c r="K2108">
        <v>4</v>
      </c>
      <c r="L2108" t="s">
        <v>44</v>
      </c>
      <c r="M2108">
        <v>3.6</v>
      </c>
      <c r="N2108" t="s">
        <v>45</v>
      </c>
      <c r="O2108" t="s">
        <v>46</v>
      </c>
      <c r="Q2108" t="s">
        <v>62</v>
      </c>
      <c r="R2108" t="s">
        <v>63</v>
      </c>
      <c r="T2108">
        <v>276</v>
      </c>
      <c r="U2108" t="s">
        <v>50</v>
      </c>
      <c r="W2108" t="s">
        <v>1604</v>
      </c>
      <c r="X2108" t="s">
        <v>141</v>
      </c>
      <c r="Y2108" t="s">
        <v>78</v>
      </c>
      <c r="AA2108">
        <v>0</v>
      </c>
      <c r="AB2108" t="s">
        <v>79</v>
      </c>
      <c r="AC2108" t="s">
        <v>109</v>
      </c>
      <c r="AD2108">
        <v>36</v>
      </c>
      <c r="AE2108">
        <v>9</v>
      </c>
      <c r="AF2108">
        <v>3</v>
      </c>
      <c r="AG2108">
        <v>2025</v>
      </c>
      <c r="AH2108" s="2">
        <v>24800</v>
      </c>
      <c r="AI2108" s="2">
        <v>20875.783203125</v>
      </c>
      <c r="AJ2108" s="2">
        <f t="shared" si="258"/>
        <v>3924.216796875</v>
      </c>
      <c r="AK2108" s="6">
        <f t="shared" si="259"/>
        <v>0.15823454826108871</v>
      </c>
      <c r="AL2108" s="12">
        <v>24800</v>
      </c>
      <c r="AM2108" s="12">
        <v>21123.31627450712</v>
      </c>
      <c r="AN2108" s="12">
        <f t="shared" si="260"/>
        <v>3676.6837254928796</v>
      </c>
      <c r="AO2108" s="13">
        <f t="shared" si="261"/>
        <v>0.1482533760279387</v>
      </c>
      <c r="AP2108" s="16">
        <v>24800</v>
      </c>
      <c r="AQ2108" s="16">
        <v>24387.248480892318</v>
      </c>
      <c r="AR2108" s="16">
        <f t="shared" si="262"/>
        <v>412.75151910768182</v>
      </c>
      <c r="AS2108" s="17">
        <f t="shared" si="256"/>
        <v>1.6643206415632331E-2</v>
      </c>
      <c r="AT2108" s="20">
        <v>24800</v>
      </c>
      <c r="AU2108" s="20">
        <v>20756.904296875</v>
      </c>
      <c r="AV2108" s="20">
        <f t="shared" si="257"/>
        <v>4043.095703125</v>
      </c>
      <c r="AW2108" s="21">
        <f t="shared" si="263"/>
        <v>0.1630280525453629</v>
      </c>
    </row>
    <row r="2109" spans="1:49" x14ac:dyDescent="0.25">
      <c r="A2109" t="s">
        <v>38</v>
      </c>
      <c r="B2109" t="s">
        <v>39</v>
      </c>
      <c r="C2109">
        <v>176958</v>
      </c>
      <c r="D2109">
        <v>2016</v>
      </c>
      <c r="E2109" t="s">
        <v>88</v>
      </c>
      <c r="F2109" t="s">
        <v>89</v>
      </c>
      <c r="G2109" t="s">
        <v>176</v>
      </c>
      <c r="H2109" t="s">
        <v>313</v>
      </c>
      <c r="I2109">
        <v>6</v>
      </c>
      <c r="J2109" t="s">
        <v>135</v>
      </c>
      <c r="K2109">
        <v>4</v>
      </c>
      <c r="L2109" t="s">
        <v>44</v>
      </c>
      <c r="M2109">
        <v>3</v>
      </c>
      <c r="N2109" t="s">
        <v>91</v>
      </c>
      <c r="O2109" t="s">
        <v>46</v>
      </c>
      <c r="Q2109" t="s">
        <v>74</v>
      </c>
      <c r="R2109" t="s">
        <v>92</v>
      </c>
      <c r="S2109" t="s">
        <v>93</v>
      </c>
      <c r="U2109" t="s">
        <v>229</v>
      </c>
      <c r="X2109" t="s">
        <v>94</v>
      </c>
      <c r="Y2109" t="s">
        <v>78</v>
      </c>
      <c r="AA2109">
        <v>0</v>
      </c>
      <c r="AB2109" t="s">
        <v>79</v>
      </c>
      <c r="AC2109" t="s">
        <v>95</v>
      </c>
      <c r="AD2109">
        <v>36</v>
      </c>
      <c r="AE2109">
        <v>9</v>
      </c>
      <c r="AF2109">
        <v>3</v>
      </c>
      <c r="AG2109">
        <v>2025</v>
      </c>
      <c r="AH2109" s="2">
        <v>5250</v>
      </c>
      <c r="AI2109" s="2">
        <v>8505.4599609375</v>
      </c>
      <c r="AJ2109" s="2">
        <f t="shared" si="258"/>
        <v>3255.4599609375</v>
      </c>
      <c r="AK2109" s="6">
        <f t="shared" si="259"/>
        <v>0.62008761160714287</v>
      </c>
      <c r="AL2109" s="12">
        <v>5250</v>
      </c>
      <c r="AM2109" s="12">
        <v>11804.73815477714</v>
      </c>
      <c r="AN2109" s="12">
        <f t="shared" si="260"/>
        <v>6554.7381547771402</v>
      </c>
      <c r="AO2109" s="13">
        <f t="shared" si="261"/>
        <v>1.2485215532908838</v>
      </c>
      <c r="AP2109" s="16">
        <v>5250</v>
      </c>
      <c r="AQ2109" s="16">
        <v>10266.042777251179</v>
      </c>
      <c r="AR2109" s="16">
        <f t="shared" si="262"/>
        <v>5016.0427772511794</v>
      </c>
      <c r="AS2109" s="17">
        <f t="shared" si="256"/>
        <v>0.95543671947641506</v>
      </c>
      <c r="AT2109" s="20">
        <v>5250</v>
      </c>
      <c r="AU2109" s="20">
        <v>9082.6298828125</v>
      </c>
      <c r="AV2109" s="20">
        <f t="shared" si="257"/>
        <v>3832.6298828125</v>
      </c>
      <c r="AW2109" s="21">
        <f t="shared" si="263"/>
        <v>0.73002473958333336</v>
      </c>
    </row>
    <row r="2110" spans="1:49" x14ac:dyDescent="0.25">
      <c r="A2110" t="s">
        <v>114</v>
      </c>
      <c r="B2110" t="s">
        <v>115</v>
      </c>
      <c r="C2110">
        <v>112097</v>
      </c>
      <c r="D2110">
        <v>2018</v>
      </c>
      <c r="E2110" t="s">
        <v>116</v>
      </c>
      <c r="F2110" t="s">
        <v>251</v>
      </c>
      <c r="H2110" t="s">
        <v>224</v>
      </c>
      <c r="I2110">
        <v>4</v>
      </c>
      <c r="J2110" t="s">
        <v>61</v>
      </c>
      <c r="K2110">
        <v>4</v>
      </c>
      <c r="L2110" t="s">
        <v>44</v>
      </c>
      <c r="M2110">
        <v>2.4</v>
      </c>
      <c r="N2110" t="s">
        <v>45</v>
      </c>
      <c r="O2110" t="s">
        <v>46</v>
      </c>
      <c r="Q2110" t="s">
        <v>62</v>
      </c>
      <c r="R2110" t="s">
        <v>63</v>
      </c>
      <c r="S2110" t="s">
        <v>101</v>
      </c>
      <c r="T2110">
        <v>173</v>
      </c>
      <c r="U2110" t="s">
        <v>50</v>
      </c>
      <c r="V2110" t="s">
        <v>51</v>
      </c>
      <c r="X2110" t="s">
        <v>141</v>
      </c>
      <c r="Y2110" t="s">
        <v>126</v>
      </c>
      <c r="Z2110">
        <v>22995</v>
      </c>
      <c r="AA2110">
        <v>0</v>
      </c>
      <c r="AB2110" t="s">
        <v>79</v>
      </c>
      <c r="AC2110" t="s">
        <v>87</v>
      </c>
      <c r="AD2110">
        <v>36</v>
      </c>
      <c r="AE2110">
        <v>9</v>
      </c>
      <c r="AF2110">
        <v>3</v>
      </c>
      <c r="AG2110">
        <v>2025</v>
      </c>
      <c r="AH2110" s="2">
        <v>4500</v>
      </c>
      <c r="AI2110" s="2">
        <v>4681.23779296875</v>
      </c>
      <c r="AJ2110" s="2">
        <f t="shared" si="258"/>
        <v>181.23779296875</v>
      </c>
      <c r="AK2110" s="6">
        <f t="shared" si="259"/>
        <v>4.0275065104166667E-2</v>
      </c>
      <c r="AL2110" s="12">
        <v>4500</v>
      </c>
      <c r="AM2110" s="12">
        <v>5294.5344429141905</v>
      </c>
      <c r="AN2110" s="12">
        <f t="shared" si="260"/>
        <v>794.53444291419055</v>
      </c>
      <c r="AO2110" s="13">
        <f t="shared" si="261"/>
        <v>0.1765632095364868</v>
      </c>
      <c r="AP2110" s="16">
        <v>4500</v>
      </c>
      <c r="AQ2110" s="16">
        <v>3802.9991248153369</v>
      </c>
      <c r="AR2110" s="16">
        <f t="shared" si="262"/>
        <v>697.00087518466307</v>
      </c>
      <c r="AS2110" s="17">
        <f t="shared" si="256"/>
        <v>0.15488908337436957</v>
      </c>
      <c r="AT2110" s="20">
        <v>4500</v>
      </c>
      <c r="AU2110" s="20">
        <v>4781.580078125</v>
      </c>
      <c r="AV2110" s="20">
        <f t="shared" si="257"/>
        <v>281.580078125</v>
      </c>
      <c r="AW2110" s="21">
        <f t="shared" si="263"/>
        <v>6.2573350694444446E-2</v>
      </c>
    </row>
    <row r="2111" spans="1:49" x14ac:dyDescent="0.25">
      <c r="A2111" t="s">
        <v>81</v>
      </c>
      <c r="B2111" t="s">
        <v>82</v>
      </c>
      <c r="C2111">
        <v>163719</v>
      </c>
      <c r="D2111">
        <v>2013</v>
      </c>
      <c r="E2111" t="s">
        <v>146</v>
      </c>
      <c r="F2111" t="s">
        <v>334</v>
      </c>
      <c r="I2111">
        <v>4</v>
      </c>
      <c r="J2111" t="s">
        <v>61</v>
      </c>
      <c r="K2111">
        <v>4</v>
      </c>
      <c r="L2111" t="s">
        <v>44</v>
      </c>
      <c r="M2111">
        <v>2.5</v>
      </c>
      <c r="N2111" t="s">
        <v>45</v>
      </c>
      <c r="O2111" t="s">
        <v>46</v>
      </c>
      <c r="Q2111" t="s">
        <v>47</v>
      </c>
      <c r="R2111" t="s">
        <v>123</v>
      </c>
      <c r="S2111" t="s">
        <v>49</v>
      </c>
      <c r="U2111" t="s">
        <v>50</v>
      </c>
      <c r="X2111" t="s">
        <v>125</v>
      </c>
      <c r="Y2111" t="s">
        <v>78</v>
      </c>
      <c r="AA2111">
        <v>0</v>
      </c>
      <c r="AB2111" t="s">
        <v>79</v>
      </c>
      <c r="AC2111" t="s">
        <v>127</v>
      </c>
      <c r="AD2111">
        <v>36</v>
      </c>
      <c r="AE2111">
        <v>9</v>
      </c>
      <c r="AF2111">
        <v>3</v>
      </c>
      <c r="AG2111">
        <v>2025</v>
      </c>
      <c r="AH2111" s="2">
        <v>1400</v>
      </c>
      <c r="AI2111" s="2">
        <v>1112.997680664062</v>
      </c>
      <c r="AJ2111" s="2">
        <f t="shared" si="258"/>
        <v>287.00231933593795</v>
      </c>
      <c r="AK2111" s="6">
        <f t="shared" si="259"/>
        <v>0.2050016566685271</v>
      </c>
      <c r="AL2111" s="12">
        <v>1400</v>
      </c>
      <c r="AM2111" s="12">
        <v>1369.424751152206</v>
      </c>
      <c r="AN2111" s="12">
        <f t="shared" si="260"/>
        <v>30.575248847794001</v>
      </c>
      <c r="AO2111" s="13">
        <f t="shared" si="261"/>
        <v>2.1839463462709999E-2</v>
      </c>
      <c r="AP2111" s="16">
        <v>1400</v>
      </c>
      <c r="AQ2111" s="16">
        <v>1159.01112055976</v>
      </c>
      <c r="AR2111" s="16">
        <f t="shared" si="262"/>
        <v>240.98887944024</v>
      </c>
      <c r="AS2111" s="17">
        <f t="shared" si="256"/>
        <v>0.17213491388588573</v>
      </c>
      <c r="AT2111" s="20">
        <v>1400</v>
      </c>
      <c r="AU2111" s="20">
        <v>1096.478515625</v>
      </c>
      <c r="AV2111" s="20">
        <f t="shared" si="257"/>
        <v>303.521484375</v>
      </c>
      <c r="AW2111" s="21">
        <f t="shared" si="263"/>
        <v>0.21680106026785714</v>
      </c>
    </row>
    <row r="2112" spans="1:49" x14ac:dyDescent="0.25">
      <c r="A2112" t="s">
        <v>81</v>
      </c>
      <c r="B2112" t="s">
        <v>186</v>
      </c>
      <c r="C2112">
        <v>12920</v>
      </c>
      <c r="D2112">
        <v>2021</v>
      </c>
      <c r="E2112" t="s">
        <v>132</v>
      </c>
      <c r="F2112" t="s">
        <v>1605</v>
      </c>
      <c r="H2112" t="s">
        <v>1606</v>
      </c>
      <c r="I2112">
        <v>8</v>
      </c>
      <c r="J2112" t="s">
        <v>72</v>
      </c>
      <c r="K2112">
        <v>4</v>
      </c>
      <c r="L2112" t="s">
        <v>44</v>
      </c>
      <c r="M2112">
        <v>4</v>
      </c>
      <c r="N2112" t="s">
        <v>44</v>
      </c>
      <c r="O2112" t="s">
        <v>46</v>
      </c>
      <c r="P2112">
        <v>5</v>
      </c>
      <c r="Q2112" t="s">
        <v>47</v>
      </c>
      <c r="R2112" t="s">
        <v>123</v>
      </c>
      <c r="U2112" t="s">
        <v>50</v>
      </c>
      <c r="V2112" t="s">
        <v>76</v>
      </c>
      <c r="W2112" t="s">
        <v>506</v>
      </c>
      <c r="X2112" t="s">
        <v>125</v>
      </c>
      <c r="Y2112" t="s">
        <v>137</v>
      </c>
      <c r="AA2112">
        <v>0</v>
      </c>
      <c r="AB2112" t="s">
        <v>79</v>
      </c>
      <c r="AC2112" t="s">
        <v>127</v>
      </c>
      <c r="AD2112">
        <v>36</v>
      </c>
      <c r="AE2112">
        <v>9</v>
      </c>
      <c r="AF2112">
        <v>3</v>
      </c>
      <c r="AG2112">
        <v>2025</v>
      </c>
      <c r="AH2112" s="2">
        <v>97900</v>
      </c>
      <c r="AI2112" s="2">
        <v>81328.875</v>
      </c>
      <c r="AJ2112" s="2">
        <f t="shared" si="258"/>
        <v>16571.125</v>
      </c>
      <c r="AK2112" s="6">
        <f t="shared" si="259"/>
        <v>0.16926583248212462</v>
      </c>
      <c r="AL2112" s="12">
        <v>97900</v>
      </c>
      <c r="AM2112" s="12">
        <v>50421.813438003323</v>
      </c>
      <c r="AN2112" s="12">
        <f t="shared" si="260"/>
        <v>47478.186561996677</v>
      </c>
      <c r="AO2112" s="13">
        <f t="shared" si="261"/>
        <v>0.48496615487228473</v>
      </c>
      <c r="AP2112" s="16">
        <v>97900</v>
      </c>
      <c r="AQ2112" s="16">
        <v>60572.026707345583</v>
      </c>
      <c r="AR2112" s="16">
        <f t="shared" si="262"/>
        <v>37327.973292654417</v>
      </c>
      <c r="AS2112" s="17">
        <f t="shared" si="256"/>
        <v>0.38128675477685819</v>
      </c>
      <c r="AT2112" s="20">
        <v>97900</v>
      </c>
      <c r="AU2112" s="20">
        <v>75762.0390625</v>
      </c>
      <c r="AV2112" s="20">
        <f t="shared" si="257"/>
        <v>22137.9609375</v>
      </c>
      <c r="AW2112" s="21">
        <f t="shared" si="263"/>
        <v>0.22612830375383045</v>
      </c>
    </row>
    <row r="2113" spans="1:49" x14ac:dyDescent="0.25">
      <c r="A2113" t="s">
        <v>81</v>
      </c>
      <c r="B2113" t="s">
        <v>82</v>
      </c>
      <c r="C2113">
        <v>117164</v>
      </c>
      <c r="D2113">
        <v>2017</v>
      </c>
      <c r="E2113" t="s">
        <v>166</v>
      </c>
      <c r="F2113" t="s">
        <v>628</v>
      </c>
      <c r="G2113" t="s">
        <v>248</v>
      </c>
      <c r="I2113">
        <v>4</v>
      </c>
      <c r="J2113" t="s">
        <v>61</v>
      </c>
      <c r="K2113">
        <v>4</v>
      </c>
      <c r="L2113" t="s">
        <v>44</v>
      </c>
      <c r="M2113">
        <v>1.5</v>
      </c>
      <c r="N2113" t="s">
        <v>45</v>
      </c>
      <c r="O2113" t="s">
        <v>46</v>
      </c>
      <c r="Q2113" t="s">
        <v>47</v>
      </c>
      <c r="R2113" t="s">
        <v>123</v>
      </c>
      <c r="S2113" t="s">
        <v>49</v>
      </c>
      <c r="T2113">
        <v>174</v>
      </c>
      <c r="U2113" t="s">
        <v>50</v>
      </c>
      <c r="V2113" t="s">
        <v>51</v>
      </c>
      <c r="W2113" t="s">
        <v>875</v>
      </c>
      <c r="X2113" t="s">
        <v>53</v>
      </c>
      <c r="Y2113" t="s">
        <v>78</v>
      </c>
      <c r="Z2113">
        <v>21140</v>
      </c>
      <c r="AA2113">
        <v>0</v>
      </c>
      <c r="AB2113" t="s">
        <v>79</v>
      </c>
      <c r="AC2113" t="s">
        <v>127</v>
      </c>
      <c r="AD2113">
        <v>36</v>
      </c>
      <c r="AE2113">
        <v>9</v>
      </c>
      <c r="AF2113">
        <v>3</v>
      </c>
      <c r="AG2113">
        <v>2025</v>
      </c>
      <c r="AH2113" s="2">
        <v>8000</v>
      </c>
      <c r="AI2113" s="2">
        <v>10310.3662109375</v>
      </c>
      <c r="AJ2113" s="2">
        <f t="shared" si="258"/>
        <v>2310.3662109375</v>
      </c>
      <c r="AK2113" s="6">
        <f t="shared" si="259"/>
        <v>0.28879577636718751</v>
      </c>
      <c r="AL2113" s="12">
        <v>8000</v>
      </c>
      <c r="AM2113" s="12">
        <v>7385.8191393884699</v>
      </c>
      <c r="AN2113" s="12">
        <f t="shared" si="260"/>
        <v>614.18086061153008</v>
      </c>
      <c r="AO2113" s="13">
        <f t="shared" si="261"/>
        <v>7.6772607576441262E-2</v>
      </c>
      <c r="AP2113" s="16">
        <v>8000</v>
      </c>
      <c r="AQ2113" s="16">
        <v>6288.0754420065032</v>
      </c>
      <c r="AR2113" s="16">
        <f t="shared" si="262"/>
        <v>1711.9245579934968</v>
      </c>
      <c r="AS2113" s="17">
        <f t="shared" si="256"/>
        <v>0.21399056974918709</v>
      </c>
      <c r="AT2113" s="20">
        <v>8000</v>
      </c>
      <c r="AU2113" s="20">
        <v>10046.51171875</v>
      </c>
      <c r="AV2113" s="20">
        <f t="shared" si="257"/>
        <v>2046.51171875</v>
      </c>
      <c r="AW2113" s="21">
        <f t="shared" si="263"/>
        <v>0.25581396484375002</v>
      </c>
    </row>
    <row r="2114" spans="1:49" x14ac:dyDescent="0.25">
      <c r="A2114" t="s">
        <v>38</v>
      </c>
      <c r="B2114" t="s">
        <v>39</v>
      </c>
      <c r="C2114">
        <v>310311</v>
      </c>
      <c r="D2114">
        <v>2015</v>
      </c>
      <c r="E2114" t="s">
        <v>166</v>
      </c>
      <c r="F2114" t="s">
        <v>247</v>
      </c>
      <c r="G2114" t="s">
        <v>581</v>
      </c>
      <c r="I2114">
        <v>4</v>
      </c>
      <c r="J2114" t="s">
        <v>106</v>
      </c>
      <c r="K2114">
        <v>4</v>
      </c>
      <c r="L2114" t="s">
        <v>44</v>
      </c>
      <c r="M2114">
        <v>2.4</v>
      </c>
      <c r="N2114" t="s">
        <v>45</v>
      </c>
      <c r="O2114" t="s">
        <v>190</v>
      </c>
      <c r="Q2114" t="s">
        <v>62</v>
      </c>
      <c r="R2114" t="s">
        <v>63</v>
      </c>
      <c r="S2114" t="s">
        <v>49</v>
      </c>
      <c r="T2114">
        <v>185</v>
      </c>
      <c r="U2114" t="s">
        <v>50</v>
      </c>
      <c r="V2114" t="s">
        <v>51</v>
      </c>
      <c r="W2114" t="s">
        <v>1015</v>
      </c>
      <c r="X2114" t="s">
        <v>65</v>
      </c>
      <c r="Y2114" t="s">
        <v>103</v>
      </c>
      <c r="AA2114">
        <v>0</v>
      </c>
      <c r="AB2114" t="s">
        <v>79</v>
      </c>
      <c r="AC2114" t="s">
        <v>87</v>
      </c>
      <c r="AD2114">
        <v>36</v>
      </c>
      <c r="AE2114">
        <v>9</v>
      </c>
      <c r="AF2114">
        <v>3</v>
      </c>
      <c r="AG2114">
        <v>2025</v>
      </c>
      <c r="AH2114" s="2">
        <v>2000</v>
      </c>
      <c r="AI2114" s="2">
        <v>1709.070190429688</v>
      </c>
      <c r="AJ2114" s="2">
        <f t="shared" si="258"/>
        <v>290.92980957031205</v>
      </c>
      <c r="AK2114" s="6">
        <f t="shared" si="259"/>
        <v>0.14546490478515603</v>
      </c>
      <c r="AL2114" s="12">
        <v>2000</v>
      </c>
      <c r="AM2114" s="12">
        <v>1401.776616154184</v>
      </c>
      <c r="AN2114" s="12">
        <f t="shared" si="260"/>
        <v>598.22338384581599</v>
      </c>
      <c r="AO2114" s="13">
        <f t="shared" si="261"/>
        <v>0.29911169192290799</v>
      </c>
      <c r="AP2114" s="16">
        <v>2000</v>
      </c>
      <c r="AQ2114" s="16">
        <v>1779.231471545942</v>
      </c>
      <c r="AR2114" s="16">
        <f t="shared" si="262"/>
        <v>220.76852845405801</v>
      </c>
      <c r="AS2114" s="17">
        <f t="shared" si="256"/>
        <v>0.110384264227029</v>
      </c>
      <c r="AT2114" s="20">
        <v>2000</v>
      </c>
      <c r="AU2114" s="20">
        <v>1647.531982421875</v>
      </c>
      <c r="AV2114" s="20">
        <f t="shared" si="257"/>
        <v>352.468017578125</v>
      </c>
      <c r="AW2114" s="21">
        <f t="shared" si="263"/>
        <v>0.17623400878906251</v>
      </c>
    </row>
    <row r="2115" spans="1:49" x14ac:dyDescent="0.25">
      <c r="A2115" t="s">
        <v>128</v>
      </c>
      <c r="B2115" t="s">
        <v>210</v>
      </c>
      <c r="C2115">
        <v>111024</v>
      </c>
      <c r="D2115">
        <v>2016</v>
      </c>
      <c r="E2115" t="s">
        <v>388</v>
      </c>
      <c r="F2115" t="s">
        <v>829</v>
      </c>
      <c r="G2115" t="s">
        <v>1607</v>
      </c>
      <c r="H2115" t="s">
        <v>669</v>
      </c>
      <c r="I2115">
        <v>4</v>
      </c>
      <c r="J2115" t="s">
        <v>106</v>
      </c>
      <c r="K2115">
        <v>4</v>
      </c>
      <c r="L2115" t="s">
        <v>44</v>
      </c>
      <c r="M2115">
        <v>2</v>
      </c>
      <c r="N2115" t="s">
        <v>45</v>
      </c>
      <c r="O2115" t="s">
        <v>46</v>
      </c>
      <c r="Q2115" t="s">
        <v>62</v>
      </c>
      <c r="R2115" t="s">
        <v>63</v>
      </c>
      <c r="S2115" t="s">
        <v>49</v>
      </c>
      <c r="U2115" t="s">
        <v>50</v>
      </c>
      <c r="W2115" t="s">
        <v>1608</v>
      </c>
      <c r="X2115" t="s">
        <v>65</v>
      </c>
      <c r="Y2115" t="s">
        <v>54</v>
      </c>
      <c r="AA2115">
        <v>0</v>
      </c>
      <c r="AB2115" t="s">
        <v>79</v>
      </c>
      <c r="AC2115" t="s">
        <v>87</v>
      </c>
      <c r="AD2115">
        <v>36</v>
      </c>
      <c r="AE2115">
        <v>9</v>
      </c>
      <c r="AF2115">
        <v>3</v>
      </c>
      <c r="AG2115">
        <v>2025</v>
      </c>
      <c r="AH2115" s="2">
        <v>1700</v>
      </c>
      <c r="AI2115" s="2">
        <v>3656.10009765625</v>
      </c>
      <c r="AJ2115" s="2">
        <f t="shared" si="258"/>
        <v>1956.10009765625</v>
      </c>
      <c r="AK2115" s="6">
        <f t="shared" si="259"/>
        <v>1.1506471162683825</v>
      </c>
      <c r="AL2115" s="12">
        <v>1700</v>
      </c>
      <c r="AM2115" s="12">
        <v>3797.398503539649</v>
      </c>
      <c r="AN2115" s="12">
        <f t="shared" si="260"/>
        <v>2097.398503539649</v>
      </c>
      <c r="AO2115" s="13">
        <f t="shared" si="261"/>
        <v>1.2337638256115582</v>
      </c>
      <c r="AP2115" s="16">
        <v>1700</v>
      </c>
      <c r="AQ2115" s="16">
        <v>3736.1820866187518</v>
      </c>
      <c r="AR2115" s="16">
        <f t="shared" si="262"/>
        <v>2036.1820866187518</v>
      </c>
      <c r="AS2115" s="17">
        <f t="shared" ref="AS2115:AS2119" si="264">ABS($AH2115-AQ2115)/$AH2115</f>
        <v>1.1977541685992656</v>
      </c>
      <c r="AT2115" s="20">
        <v>1700</v>
      </c>
      <c r="AU2115" s="20">
        <v>3696.721923828125</v>
      </c>
      <c r="AV2115" s="20">
        <f t="shared" ref="AV2115:AV2119" si="265">ABS(AT2115-AU2115)</f>
        <v>1996.721923828125</v>
      </c>
      <c r="AW2115" s="21">
        <f t="shared" si="263"/>
        <v>1.1745423081341912</v>
      </c>
    </row>
    <row r="2116" spans="1:49" x14ac:dyDescent="0.25">
      <c r="A2116" t="s">
        <v>128</v>
      </c>
      <c r="B2116" t="s">
        <v>210</v>
      </c>
      <c r="C2116">
        <v>217975</v>
      </c>
      <c r="D2116">
        <v>2008</v>
      </c>
      <c r="E2116" t="s">
        <v>116</v>
      </c>
      <c r="F2116" t="s">
        <v>1609</v>
      </c>
      <c r="G2116" t="s">
        <v>224</v>
      </c>
      <c r="H2116" t="s">
        <v>560</v>
      </c>
      <c r="I2116">
        <v>4</v>
      </c>
      <c r="J2116" t="s">
        <v>72</v>
      </c>
      <c r="K2116">
        <v>4</v>
      </c>
      <c r="L2116" t="s">
        <v>44</v>
      </c>
      <c r="M2116">
        <v>2.4</v>
      </c>
      <c r="N2116" t="s">
        <v>45</v>
      </c>
      <c r="O2116" t="s">
        <v>46</v>
      </c>
      <c r="Q2116" t="s">
        <v>47</v>
      </c>
      <c r="R2116" t="s">
        <v>123</v>
      </c>
      <c r="S2116" t="s">
        <v>101</v>
      </c>
      <c r="U2116" t="s">
        <v>50</v>
      </c>
      <c r="V2116" t="s">
        <v>51</v>
      </c>
      <c r="X2116" t="s">
        <v>125</v>
      </c>
      <c r="Y2116" t="s">
        <v>78</v>
      </c>
      <c r="AA2116">
        <v>0</v>
      </c>
      <c r="AB2116" t="s">
        <v>79</v>
      </c>
      <c r="AC2116" t="s">
        <v>127</v>
      </c>
      <c r="AD2116">
        <v>36</v>
      </c>
      <c r="AE2116">
        <v>9</v>
      </c>
      <c r="AF2116">
        <v>3</v>
      </c>
      <c r="AG2116">
        <v>2025</v>
      </c>
      <c r="AH2116" s="2">
        <v>200</v>
      </c>
      <c r="AI2116" s="2">
        <v>570.07623291015625</v>
      </c>
      <c r="AJ2116" s="2">
        <f t="shared" ref="AJ2116:AJ2119" si="266">ABS(AH2116-AI2116)</f>
        <v>370.07623291015625</v>
      </c>
      <c r="AK2116" s="6">
        <f t="shared" ref="AK2116:AK2119" si="267">ABS($AH2116-AI2116)/$AH2116</f>
        <v>1.8503811645507813</v>
      </c>
      <c r="AL2116" s="12">
        <v>200</v>
      </c>
      <c r="AM2116" s="12">
        <v>691.02152666529707</v>
      </c>
      <c r="AN2116" s="12">
        <f t="shared" ref="AN2116:AN2119" si="268">ABS(AL2116-AM2116)</f>
        <v>491.02152666529707</v>
      </c>
      <c r="AO2116" s="13">
        <f t="shared" ref="AO2116:AO2119" si="269">ABS($AH2116-AM2116)/$AH2116</f>
        <v>2.4551076333264854</v>
      </c>
      <c r="AP2116" s="16">
        <v>200</v>
      </c>
      <c r="AQ2116" s="16">
        <v>583.56782400991528</v>
      </c>
      <c r="AR2116" s="16">
        <f t="shared" ref="AR2116:AR2119" si="270">ABS(AP2116-AQ2116)</f>
        <v>383.56782400991528</v>
      </c>
      <c r="AS2116" s="17">
        <f t="shared" si="264"/>
        <v>1.9178391200495764</v>
      </c>
      <c r="AT2116" s="20">
        <v>200</v>
      </c>
      <c r="AU2116" s="20">
        <v>616.9681396484375</v>
      </c>
      <c r="AV2116" s="20">
        <f t="shared" si="265"/>
        <v>416.9681396484375</v>
      </c>
      <c r="AW2116" s="21">
        <f t="shared" ref="AW2116:AW2119" si="271">ABS($AH2116-AU2116)/$AH2116</f>
        <v>2.0848406982421874</v>
      </c>
    </row>
    <row r="2117" spans="1:49" x14ac:dyDescent="0.25">
      <c r="A2117" t="s">
        <v>81</v>
      </c>
      <c r="B2117" t="s">
        <v>82</v>
      </c>
      <c r="C2117">
        <v>126962</v>
      </c>
      <c r="D2117">
        <v>2016</v>
      </c>
      <c r="E2117" t="s">
        <v>142</v>
      </c>
      <c r="F2117" t="s">
        <v>143</v>
      </c>
      <c r="G2117" t="s">
        <v>144</v>
      </c>
      <c r="H2117" t="s">
        <v>145</v>
      </c>
      <c r="I2117">
        <v>6</v>
      </c>
      <c r="J2117" t="s">
        <v>72</v>
      </c>
      <c r="K2117">
        <v>4</v>
      </c>
      <c r="L2117" t="s">
        <v>44</v>
      </c>
      <c r="M2117">
        <v>3.2</v>
      </c>
      <c r="N2117" t="s">
        <v>91</v>
      </c>
      <c r="O2117" t="s">
        <v>46</v>
      </c>
      <c r="Q2117" t="s">
        <v>62</v>
      </c>
      <c r="R2117" t="s">
        <v>63</v>
      </c>
      <c r="S2117" t="s">
        <v>93</v>
      </c>
      <c r="U2117" t="s">
        <v>50</v>
      </c>
      <c r="X2117" t="s">
        <v>141</v>
      </c>
      <c r="Y2117" t="s">
        <v>78</v>
      </c>
      <c r="AA2117">
        <v>0</v>
      </c>
      <c r="AB2117" t="s">
        <v>79</v>
      </c>
      <c r="AC2117" t="s">
        <v>87</v>
      </c>
      <c r="AD2117">
        <v>36</v>
      </c>
      <c r="AE2117">
        <v>9</v>
      </c>
      <c r="AF2117">
        <v>3</v>
      </c>
      <c r="AG2117">
        <v>2025</v>
      </c>
      <c r="AH2117" s="2">
        <v>3500</v>
      </c>
      <c r="AI2117" s="2">
        <v>5639.1435546875</v>
      </c>
      <c r="AJ2117" s="2">
        <f t="shared" si="266"/>
        <v>2139.1435546875</v>
      </c>
      <c r="AK2117" s="6">
        <f t="shared" si="267"/>
        <v>0.61118387276785713</v>
      </c>
      <c r="AL2117" s="12">
        <v>3500</v>
      </c>
      <c r="AM2117" s="12">
        <v>5862.2447077378247</v>
      </c>
      <c r="AN2117" s="12">
        <f t="shared" si="268"/>
        <v>2362.2447077378247</v>
      </c>
      <c r="AO2117" s="13">
        <f t="shared" si="269"/>
        <v>0.67492705935366415</v>
      </c>
      <c r="AP2117" s="16">
        <v>3500</v>
      </c>
      <c r="AQ2117" s="16">
        <v>4917.8294470053715</v>
      </c>
      <c r="AR2117" s="16">
        <f t="shared" si="270"/>
        <v>1417.8294470053715</v>
      </c>
      <c r="AS2117" s="17">
        <f t="shared" si="264"/>
        <v>0.40509412771582043</v>
      </c>
      <c r="AT2117" s="20">
        <v>3500</v>
      </c>
      <c r="AU2117" s="20">
        <v>5682.59912109375</v>
      </c>
      <c r="AV2117" s="20">
        <f t="shared" si="265"/>
        <v>2182.59912109375</v>
      </c>
      <c r="AW2117" s="21">
        <f t="shared" si="271"/>
        <v>0.62359974888392855</v>
      </c>
    </row>
    <row r="2118" spans="1:49" x14ac:dyDescent="0.25">
      <c r="A2118" t="s">
        <v>128</v>
      </c>
      <c r="B2118" t="s">
        <v>129</v>
      </c>
      <c r="C2118">
        <v>168966</v>
      </c>
      <c r="D2118">
        <v>2006</v>
      </c>
      <c r="E2118" t="s">
        <v>166</v>
      </c>
      <c r="F2118" t="s">
        <v>167</v>
      </c>
      <c r="G2118" t="s">
        <v>240</v>
      </c>
      <c r="I2118">
        <v>6</v>
      </c>
      <c r="J2118" t="s">
        <v>106</v>
      </c>
      <c r="K2118">
        <v>4</v>
      </c>
      <c r="L2118" t="s">
        <v>44</v>
      </c>
      <c r="M2118">
        <v>3.5</v>
      </c>
      <c r="N2118" t="s">
        <v>45</v>
      </c>
      <c r="Q2118" t="s">
        <v>62</v>
      </c>
      <c r="R2118" t="s">
        <v>63</v>
      </c>
      <c r="S2118" t="s">
        <v>101</v>
      </c>
      <c r="T2118">
        <v>244</v>
      </c>
      <c r="U2118" t="s">
        <v>50</v>
      </c>
      <c r="V2118" t="s">
        <v>76</v>
      </c>
      <c r="W2118" t="s">
        <v>986</v>
      </c>
      <c r="X2118" t="s">
        <v>141</v>
      </c>
      <c r="Y2118" t="s">
        <v>78</v>
      </c>
      <c r="AA2118">
        <v>0</v>
      </c>
      <c r="AB2118" t="s">
        <v>79</v>
      </c>
      <c r="AC2118" t="s">
        <v>87</v>
      </c>
      <c r="AD2118">
        <v>36</v>
      </c>
      <c r="AE2118">
        <v>9</v>
      </c>
      <c r="AF2118">
        <v>3</v>
      </c>
      <c r="AG2118">
        <v>2025</v>
      </c>
      <c r="AH2118" s="2">
        <v>1900</v>
      </c>
      <c r="AI2118" s="2">
        <v>1337.394897460938</v>
      </c>
      <c r="AJ2118" s="2">
        <f t="shared" si="266"/>
        <v>562.60510253906205</v>
      </c>
      <c r="AK2118" s="6">
        <f t="shared" si="267"/>
        <v>0.29610794870476947</v>
      </c>
      <c r="AL2118" s="12">
        <v>1900</v>
      </c>
      <c r="AM2118" s="12">
        <v>1359.6729605788751</v>
      </c>
      <c r="AN2118" s="12">
        <f t="shared" si="268"/>
        <v>540.32703942112494</v>
      </c>
      <c r="AO2118" s="13">
        <f t="shared" si="269"/>
        <v>0.28438265232690785</v>
      </c>
      <c r="AP2118" s="16">
        <v>1900</v>
      </c>
      <c r="AQ2118" s="16">
        <v>1266.869602262771</v>
      </c>
      <c r="AR2118" s="16">
        <f t="shared" si="270"/>
        <v>633.13039773722903</v>
      </c>
      <c r="AS2118" s="17">
        <f t="shared" si="264"/>
        <v>0.3332265251248574</v>
      </c>
      <c r="AT2118" s="20">
        <v>1900</v>
      </c>
      <c r="AU2118" s="20">
        <v>1340.781616210938</v>
      </c>
      <c r="AV2118" s="20">
        <f t="shared" si="265"/>
        <v>559.21838378906205</v>
      </c>
      <c r="AW2118" s="21">
        <f t="shared" si="271"/>
        <v>0.29432546515213792</v>
      </c>
    </row>
    <row r="2119" spans="1:49" x14ac:dyDescent="0.25">
      <c r="A2119" t="s">
        <v>128</v>
      </c>
      <c r="B2119" t="s">
        <v>210</v>
      </c>
      <c r="C2119">
        <v>101774</v>
      </c>
      <c r="D2119">
        <v>2016</v>
      </c>
      <c r="E2119" t="s">
        <v>345</v>
      </c>
      <c r="F2119" t="s">
        <v>709</v>
      </c>
      <c r="G2119" t="s">
        <v>677</v>
      </c>
      <c r="H2119" t="s">
        <v>1610</v>
      </c>
      <c r="I2119">
        <v>4</v>
      </c>
      <c r="J2119" t="s">
        <v>72</v>
      </c>
      <c r="K2119">
        <v>4</v>
      </c>
      <c r="L2119" t="s">
        <v>44</v>
      </c>
      <c r="M2119">
        <v>2</v>
      </c>
      <c r="N2119" t="s">
        <v>44</v>
      </c>
      <c r="O2119" t="s">
        <v>46</v>
      </c>
      <c r="Q2119" t="s">
        <v>47</v>
      </c>
      <c r="R2119" t="s">
        <v>123</v>
      </c>
      <c r="S2119" t="s">
        <v>85</v>
      </c>
      <c r="T2119">
        <v>241</v>
      </c>
      <c r="U2119" t="s">
        <v>50</v>
      </c>
      <c r="X2119" t="s">
        <v>125</v>
      </c>
      <c r="Y2119" t="s">
        <v>137</v>
      </c>
      <c r="AA2119">
        <v>0</v>
      </c>
      <c r="AB2119" t="s">
        <v>79</v>
      </c>
      <c r="AC2119" t="s">
        <v>127</v>
      </c>
      <c r="AD2119">
        <v>36</v>
      </c>
      <c r="AE2119">
        <v>9</v>
      </c>
      <c r="AF2119">
        <v>3</v>
      </c>
      <c r="AG2119">
        <v>2025</v>
      </c>
      <c r="AH2119" s="2">
        <v>5000</v>
      </c>
      <c r="AI2119" s="2">
        <v>7400.33203125</v>
      </c>
      <c r="AJ2119" s="2">
        <f t="shared" si="266"/>
        <v>2400.33203125</v>
      </c>
      <c r="AK2119" s="6">
        <f t="shared" si="267"/>
        <v>0.48006640625000002</v>
      </c>
      <c r="AL2119" s="12">
        <v>5000</v>
      </c>
      <c r="AM2119" s="12">
        <v>6488.4879572160708</v>
      </c>
      <c r="AN2119" s="12">
        <f t="shared" si="268"/>
        <v>1488.4879572160708</v>
      </c>
      <c r="AO2119" s="13">
        <f t="shared" si="269"/>
        <v>0.29769759144321417</v>
      </c>
      <c r="AP2119" s="16">
        <v>5000</v>
      </c>
      <c r="AQ2119" s="16">
        <v>6137.4208468278557</v>
      </c>
      <c r="AR2119" s="16">
        <f t="shared" si="270"/>
        <v>1137.4208468278557</v>
      </c>
      <c r="AS2119" s="17">
        <f t="shared" si="264"/>
        <v>0.22748416936557114</v>
      </c>
      <c r="AT2119" s="20">
        <v>5000</v>
      </c>
      <c r="AU2119" s="20">
        <v>7314.8779296875</v>
      </c>
      <c r="AV2119" s="20">
        <f t="shared" si="265"/>
        <v>2314.8779296875</v>
      </c>
      <c r="AW2119" s="21">
        <f t="shared" si="271"/>
        <v>0.46297558593749999</v>
      </c>
    </row>
    <row r="2122" spans="1:49" x14ac:dyDescent="0.25">
      <c r="AH2122" t="s">
        <v>1613</v>
      </c>
      <c r="AI2122" s="3">
        <f>RSQ(AI2:AI2119,$AH$2:$AH$2119)</f>
        <v>0.93268877679064111</v>
      </c>
      <c r="AJ2122"/>
      <c r="AK2122"/>
      <c r="AL2122"/>
      <c r="AM2122" s="3">
        <f>RSQ(AM2:AM2119,$AH$2:$AH$2119)</f>
        <v>0.90323106251890839</v>
      </c>
      <c r="AN2122"/>
      <c r="AO2122"/>
      <c r="AP2122"/>
      <c r="AQ2122" s="3">
        <f t="shared" ref="AQ2122:AU2122" si="272">RSQ(AQ2:AQ2119,$AH$2:$AH$2119)</f>
        <v>0.92394089539482416</v>
      </c>
      <c r="AR2122"/>
      <c r="AS2122"/>
      <c r="AT2122"/>
      <c r="AU2122" s="3">
        <f t="shared" si="272"/>
        <v>0.89135506262042385</v>
      </c>
      <c r="AV2122"/>
      <c r="AW2122"/>
    </row>
    <row r="2123" spans="1:49" x14ac:dyDescent="0.25"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</row>
    <row r="2124" spans="1:49" x14ac:dyDescent="0.25">
      <c r="AG2124" t="s">
        <v>1614</v>
      </c>
      <c r="AH2124" s="4">
        <f>SUM(AH2:AH2119)</f>
        <v>21422041</v>
      </c>
      <c r="AI2124" s="4">
        <f t="shared" ref="AI2124" si="273">SUM(AI2:AI2119)</f>
        <v>21477410.483154297</v>
      </c>
      <c r="AJ2124" s="4">
        <f>SUM(AJ2:AJ2119)</f>
        <v>4081764.8485107422</v>
      </c>
      <c r="AK2124" s="7">
        <f>($AH2124-AI2124)/$AH2124</f>
        <v>-2.5846969088658208E-3</v>
      </c>
      <c r="AL2124" s="4">
        <f>SUM(AL2:AL2119)</f>
        <v>21422041</v>
      </c>
      <c r="AM2124" s="4">
        <f t="shared" ref="AM2124:AN2124" si="274">SUM(AM2:AM2119)</f>
        <v>21299630.626828257</v>
      </c>
      <c r="AN2124" s="4">
        <f t="shared" si="274"/>
        <v>4636085.4357614443</v>
      </c>
      <c r="AO2124" s="7">
        <f>($AH2124-AM2124)/$AH2124</f>
        <v>5.7142255106197868E-3</v>
      </c>
      <c r="AP2124" s="4">
        <f>SUM(AP2:AP2119)</f>
        <v>21422041</v>
      </c>
      <c r="AQ2124" s="4">
        <f t="shared" ref="AQ2124:AR2124" si="275">SUM(AQ2:AQ2119)</f>
        <v>19907063.818111561</v>
      </c>
      <c r="AR2124" s="4">
        <f t="shared" si="275"/>
        <v>4028003.1462371517</v>
      </c>
      <c r="AS2124" s="7">
        <f>($AH2124-AQ2124)/$AH2124</f>
        <v>7.0720487459081924E-2</v>
      </c>
      <c r="AT2124" s="4">
        <f>SUM(AT2:AT2119)</f>
        <v>21422041</v>
      </c>
      <c r="AU2124" s="4">
        <f t="shared" ref="AU2124:AV2124" si="276">SUM(AU2:AU2119)</f>
        <v>21247487.283966064</v>
      </c>
      <c r="AV2124" s="4">
        <f t="shared" si="276"/>
        <v>4180698.8313903809</v>
      </c>
      <c r="AW2124" s="7">
        <f>($AH2124-AU2124)/$AH2124</f>
        <v>8.148323310273542E-3</v>
      </c>
    </row>
    <row r="2125" spans="1:49" x14ac:dyDescent="0.25">
      <c r="AH2125"/>
      <c r="AI2125"/>
      <c r="AJ2125"/>
      <c r="AL2125" s="7"/>
      <c r="AM2125"/>
      <c r="AN2125"/>
      <c r="AO2125"/>
      <c r="AP2125"/>
      <c r="AQ2125" s="8">
        <f>AQ2124*AS2124</f>
        <v>1407837.2570959022</v>
      </c>
      <c r="AR2125"/>
      <c r="AS2125"/>
      <c r="AT2125"/>
      <c r="AU2125"/>
      <c r="AV2125"/>
      <c r="AW2125"/>
    </row>
    <row r="2126" spans="1:49" x14ac:dyDescent="0.25">
      <c r="AG2126" t="s">
        <v>1615</v>
      </c>
      <c r="AH2126" s="4">
        <f>AVERAGE(AH2:AH2119)</f>
        <v>10114.278092540133</v>
      </c>
      <c r="AI2126" s="4">
        <f t="shared" ref="AI2126" si="277">AVERAGE(AI2:AI2119)</f>
        <v>10140.42043586133</v>
      </c>
      <c r="AJ2126" s="4">
        <f>AVERAGE(AJ2:AJ2119)</f>
        <v>1927.1788708738159</v>
      </c>
      <c r="AK2126" s="3">
        <f>AVERAGE(AK2:AK2119)</f>
        <v>0.35422638903929177</v>
      </c>
      <c r="AL2126" s="3"/>
      <c r="AM2126" s="4">
        <f>AVERAGE(AM2:AM2119)</f>
        <v>10056.482826642237</v>
      </c>
      <c r="AN2126" s="4">
        <f>AVERAGE(AN2:AN2119)</f>
        <v>2188.8977505955827</v>
      </c>
      <c r="AO2126" s="3">
        <f>AVERAGE(AO2:AO2119)</f>
        <v>0.40834076545666614</v>
      </c>
      <c r="AP2126" s="3"/>
      <c r="AQ2126" s="4">
        <f>AVERAGE(AQ2:AQ2119)</f>
        <v>9398.9914155389815</v>
      </c>
      <c r="AR2126" s="4">
        <f t="shared" ref="AR2126:AW2126" si="278">AVERAGE(AR2:AR2119)</f>
        <v>1901.795630895728</v>
      </c>
      <c r="AS2126" s="3">
        <f t="shared" si="278"/>
        <v>0.3337881496694613</v>
      </c>
      <c r="AT2126" s="3"/>
      <c r="AU2126" s="4">
        <f t="shared" si="278"/>
        <v>10031.863684592099</v>
      </c>
      <c r="AV2126" s="4">
        <f t="shared" si="278"/>
        <v>1973.8899109491883</v>
      </c>
      <c r="AW2126" s="3">
        <f>AVERAGE(AW2:AW2119)</f>
        <v>0.35555159196312641</v>
      </c>
    </row>
    <row r="2127" spans="1:49" x14ac:dyDescent="0.25">
      <c r="AH2127"/>
      <c r="AI2127"/>
      <c r="AJ2127"/>
      <c r="AL2127" s="7"/>
      <c r="AM2127"/>
      <c r="AN2127"/>
      <c r="AO2127"/>
      <c r="AP2127"/>
      <c r="AQ2127"/>
      <c r="AR2127"/>
      <c r="AS2127"/>
      <c r="AT2127"/>
      <c r="AU2127"/>
      <c r="AV2127"/>
      <c r="AW2127"/>
    </row>
    <row r="2128" spans="1:49" x14ac:dyDescent="0.25">
      <c r="AG2128" t="s">
        <v>1616</v>
      </c>
      <c r="AH2128"/>
      <c r="AI2128" t="s">
        <v>1617</v>
      </c>
      <c r="AJ2128" s="4">
        <f>_xlfn.STDEV.S(AJ2:AJ2119)</f>
        <v>2721.6478757335212</v>
      </c>
      <c r="AK2128" s="4"/>
      <c r="AM2128" s="4" t="s">
        <v>1618</v>
      </c>
      <c r="AN2128" s="4">
        <f>_xlfn.STDEV.S(AN2:AN2119)</f>
        <v>3316.8445880761592</v>
      </c>
      <c r="AO2128" s="4"/>
      <c r="AQ2128" s="4" t="s">
        <v>1619</v>
      </c>
      <c r="AR2128" s="4">
        <f>_xlfn.STDEV.S(AR2:AR2119)</f>
        <v>3177.7875016844237</v>
      </c>
      <c r="AS2128" s="4"/>
      <c r="AU2128" s="4" t="s">
        <v>1620</v>
      </c>
      <c r="AV2128" s="4">
        <f>_xlfn.STDEV.S(AV2:AV2119)</f>
        <v>3679.7439547127888</v>
      </c>
      <c r="AW2128"/>
    </row>
    <row r="2129" spans="33:49" x14ac:dyDescent="0.25">
      <c r="AH2129"/>
      <c r="AI2129"/>
      <c r="AJ2129"/>
      <c r="AL2129" s="7"/>
      <c r="AM2129"/>
      <c r="AN2129"/>
      <c r="AO2129"/>
      <c r="AP2129"/>
      <c r="AQ2129"/>
      <c r="AR2129"/>
      <c r="AS2129"/>
      <c r="AT2129"/>
      <c r="AU2129"/>
      <c r="AV2129"/>
      <c r="AW2129"/>
    </row>
    <row r="2130" spans="33:49" x14ac:dyDescent="0.25">
      <c r="AG2130" t="s">
        <v>1621</v>
      </c>
      <c r="AH2130" s="22" t="s">
        <v>1622</v>
      </c>
      <c r="AI2130" s="22"/>
      <c r="AJ2130" s="4">
        <f>AVERAGE(AJ2:AJ2119)</f>
        <v>1927.1788708738159</v>
      </c>
      <c r="AN2130" s="4">
        <f>AVERAGE(AN2:AN2119)</f>
        <v>2188.8977505955827</v>
      </c>
      <c r="AO2130"/>
      <c r="AR2130" s="4">
        <f>AVERAGE(AR2:AR2119)</f>
        <v>1901.795630895728</v>
      </c>
      <c r="AS2130"/>
      <c r="AV2130" s="4">
        <f>AVERAGE(AV2:AV2119)</f>
        <v>1973.8899109491883</v>
      </c>
      <c r="AW2130"/>
    </row>
    <row r="2131" spans="33:49" x14ac:dyDescent="0.25">
      <c r="AH2131" s="22"/>
      <c r="AI2131" s="22"/>
      <c r="AJ2131"/>
      <c r="AL2131" s="7"/>
      <c r="AM2131"/>
      <c r="AN2131"/>
      <c r="AO2131"/>
      <c r="AP2131"/>
      <c r="AQ2131"/>
      <c r="AR2131"/>
      <c r="AS2131"/>
      <c r="AT2131"/>
      <c r="AU2131"/>
      <c r="AV2131"/>
      <c r="AW2131"/>
    </row>
    <row r="2132" spans="33:49" x14ac:dyDescent="0.25">
      <c r="AG2132" t="s">
        <v>1623</v>
      </c>
      <c r="AH2132" s="22" t="s">
        <v>1624</v>
      </c>
      <c r="AI2132" s="22"/>
      <c r="AJ2132" s="4" cm="1">
        <f t="array" ref="AJ2132">SQRT(AVERAGE((AH2:AH2119-AI2:AI2119)^2))</f>
        <v>3334.349744603358</v>
      </c>
      <c r="AK2132" s="4"/>
      <c r="AN2132" s="4" cm="1">
        <f t="array" ref="AN2132">SQRT(AVERAGE((AL2:AL2119-AM2:AM2119)^2))</f>
        <v>3973.3533843303117</v>
      </c>
      <c r="AO2132" s="4"/>
      <c r="AR2132" s="4" cm="1">
        <f t="array" ref="AR2132">SQRT(AVERAGE((AP2:AP2119-AQ2:AQ2119)^2))</f>
        <v>3702.7546725050461</v>
      </c>
      <c r="AS2132" s="4"/>
      <c r="AV2132" s="4" cm="1">
        <f t="array" ref="AV2132">SQRT(AVERAGE((AT2:AT2119-AU2:AU2119)^2))</f>
        <v>4174.9687287391607</v>
      </c>
      <c r="AW2132"/>
    </row>
    <row r="2133" spans="33:49" x14ac:dyDescent="0.25">
      <c r="AH2133" s="22"/>
      <c r="AI2133" s="22"/>
      <c r="AJ2133"/>
      <c r="AL2133" s="7"/>
      <c r="AM2133"/>
      <c r="AN2133"/>
      <c r="AO2133"/>
      <c r="AP2133"/>
      <c r="AQ2133"/>
      <c r="AR2133"/>
      <c r="AS2133"/>
      <c r="AT2133"/>
      <c r="AU2133"/>
      <c r="AV2133"/>
      <c r="AW2133"/>
    </row>
    <row r="2134" spans="33:49" x14ac:dyDescent="0.25">
      <c r="AG2134" t="s">
        <v>1625</v>
      </c>
      <c r="AH2134"/>
      <c r="AI2134"/>
      <c r="AJ2134" s="3">
        <f>AJ2130/$AH$2126</f>
        <v>0.19054042742756125</v>
      </c>
      <c r="AL2134" s="7"/>
      <c r="AM2134"/>
      <c r="AN2134" s="3">
        <f>AN2130/$AH$2126</f>
        <v>0.21641660735134638</v>
      </c>
      <c r="AO2134"/>
      <c r="AP2134"/>
      <c r="AQ2134"/>
      <c r="AR2134" s="3">
        <f>AR2130/$AH$2126</f>
        <v>0.18803078316567276</v>
      </c>
      <c r="AS2134"/>
      <c r="AT2134"/>
      <c r="AU2134"/>
      <c r="AV2134" s="3">
        <f>AV2130/$AH$2126</f>
        <v>0.19515875407905253</v>
      </c>
      <c r="AW2134"/>
    </row>
    <row r="2135" spans="33:49" x14ac:dyDescent="0.25">
      <c r="AG2135" s="23" t="s">
        <v>1626</v>
      </c>
    </row>
    <row r="2136" spans="33:49" x14ac:dyDescent="0.25">
      <c r="AG2136" s="23"/>
    </row>
  </sheetData>
  <mergeCells count="3">
    <mergeCell ref="AH2130:AI2131"/>
    <mergeCell ref="AH2132:AI2133"/>
    <mergeCell ref="AG2135:AG2136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51C71C288B074BAEFE6694798CFB93" ma:contentTypeVersion="21" ma:contentTypeDescription="Create a new document." ma:contentTypeScope="" ma:versionID="d970ae5ad86caef5bd7917674b21a3d7">
  <xsd:schema xmlns:xsd="http://www.w3.org/2001/XMLSchema" xmlns:xs="http://www.w3.org/2001/XMLSchema" xmlns:p="http://schemas.microsoft.com/office/2006/metadata/properties" xmlns:ns2="39b54077-200f-4b4d-9081-e484359efe16" xmlns:ns3="303081e8-314b-4384-acae-c3d0f9c7005c" targetNamespace="http://schemas.microsoft.com/office/2006/metadata/properties" ma:root="true" ma:fieldsID="c05fe0e64f34ed51e035785dccdabf47" ns2:_="" ns3:_="">
    <xsd:import namespace="39b54077-200f-4b4d-9081-e484359efe16"/>
    <xsd:import namespace="303081e8-314b-4384-acae-c3d0f9c7005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2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54077-200f-4b4d-9081-e484359efe1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2" ma:index="19" nillable="true" ma:displayName="Image Tags_0" ma:hidden="true" ma:internalName="lcf76f155ced4ddcb4097134ff3c332f2" ma:readOnly="fals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721412-8c4c-48b5-8d4d-c8fdeb8e0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081e8-314b-4384-acae-c3d0f9c70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6a0da4-0952-4507-9969-1a73a2760efc}" ma:internalName="TaxCatchAll" ma:showField="CatchAllData" ma:web="303081e8-314b-4384-acae-c3d0f9c70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2 xmlns="39b54077-200f-4b4d-9081-e484359efe16" xsi:nil="true"/>
    <MigrationWizIdPermissions xmlns="39b54077-200f-4b4d-9081-e484359efe16" xsi:nil="true"/>
    <lcf76f155ced4ddcb4097134ff3c332f xmlns="39b54077-200f-4b4d-9081-e484359efe16">
      <Terms xmlns="http://schemas.microsoft.com/office/infopath/2007/PartnerControls"/>
    </lcf76f155ced4ddcb4097134ff3c332f>
    <TaxCatchAll xmlns="303081e8-314b-4384-acae-c3d0f9c7005c" xsi:nil="true"/>
    <lcf76f155ced4ddcb4097134ff3c332f0 xmlns="39b54077-200f-4b4d-9081-e484359efe16" xsi:nil="true"/>
    <MigrationWizIdVersion xmlns="39b54077-200f-4b4d-9081-e484359efe16" xsi:nil="true"/>
    <MigrationWizId xmlns="39b54077-200f-4b4d-9081-e484359efe16" xsi:nil="true"/>
    <lcf76f155ced4ddcb4097134ff3c332f1 xmlns="39b54077-200f-4b4d-9081-e484359efe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DEC6D7-F9E9-4D98-9B07-42184561FF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54077-200f-4b4d-9081-e484359efe16"/>
    <ds:schemaRef ds:uri="303081e8-314b-4384-acae-c3d0f9c70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6C3979-C181-4A44-8F51-EFD12CD20518}">
  <ds:schemaRefs>
    <ds:schemaRef ds:uri="http://schemas.microsoft.com/office/2006/metadata/properties"/>
    <ds:schemaRef ds:uri="http://schemas.microsoft.com/office/infopath/2007/PartnerControls"/>
    <ds:schemaRef ds:uri="39b54077-200f-4b4d-9081-e484359efe16"/>
    <ds:schemaRef ds:uri="303081e8-314b-4384-acae-c3d0f9c7005c"/>
  </ds:schemaRefs>
</ds:datastoreItem>
</file>

<file path=customXml/itemProps3.xml><?xml version="1.0" encoding="utf-8"?>
<ds:datastoreItem xmlns:ds="http://schemas.openxmlformats.org/officeDocument/2006/customXml" ds:itemID="{2E4C9902-43E1-4073-B591-13193721CF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Chen</cp:lastModifiedBy>
  <dcterms:created xsi:type="dcterms:W3CDTF">2025-09-09T16:11:58Z</dcterms:created>
  <dcterms:modified xsi:type="dcterms:W3CDTF">2026-01-07T14:36:58Z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0x0101004351C71C288B074BAEFE6694798CFB93</vt:lpwstr>
  </property>
</Properties>
</file>