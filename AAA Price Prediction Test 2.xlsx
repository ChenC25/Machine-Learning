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347" documentId="11_03EAA7F116DC24F8301E3C477EFBF2EB0C3986D9" xr6:coauthVersionLast="47" xr6:coauthVersionMax="47" xr10:uidLastSave="{16E1427B-EB47-4398-A68B-0C47EC04BD41}"/>
  <bookViews>
    <workbookView xWindow="67080" yWindow="-75" windowWidth="38640" windowHeight="21120" xr2:uid="{00000000-000D-0000-FFFF-FFFF00000000}"/>
  </bookViews>
  <sheets>
    <sheet name="Summary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77" i="1" l="1"/>
  <c r="AJ2" i="1"/>
  <c r="AT967" i="1"/>
  <c r="AP967" i="1"/>
  <c r="AL967" i="1"/>
  <c r="AS967" i="1"/>
  <c r="AQ968" i="1"/>
  <c r="AQ967" i="1"/>
  <c r="AR967" i="1"/>
  <c r="AV977" i="1"/>
  <c r="AR977" i="1"/>
  <c r="AN977" i="1"/>
  <c r="AV973" i="1"/>
  <c r="AR973" i="1"/>
  <c r="AN973" i="1"/>
  <c r="AJ973" i="1"/>
  <c r="AJ962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W969" i="1"/>
  <c r="AS969" i="1"/>
  <c r="AO969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2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U965" i="1"/>
  <c r="AQ965" i="1"/>
  <c r="AM965" i="1"/>
  <c r="AI965" i="1"/>
  <c r="AK967" i="1"/>
  <c r="AV975" i="1" a="1"/>
  <c r="AV975" i="1" s="1"/>
  <c r="AR975" i="1" a="1"/>
  <c r="AR975" i="1" s="1"/>
  <c r="AN975" i="1" a="1"/>
  <c r="AN975" i="1" s="1"/>
  <c r="AJ975" i="1" a="1"/>
  <c r="AJ975" i="1" s="1"/>
  <c r="AI969" i="1"/>
  <c r="AM967" i="1"/>
  <c r="AI967" i="1"/>
  <c r="AM969" i="1"/>
  <c r="AQ969" i="1"/>
  <c r="AU969" i="1"/>
  <c r="AH969" i="1"/>
  <c r="AU967" i="1"/>
  <c r="AH967" i="1"/>
  <c r="AJ971" i="1" l="1"/>
  <c r="AN969" i="1"/>
  <c r="AR971" i="1"/>
  <c r="AV971" i="1"/>
  <c r="AN971" i="1"/>
  <c r="AJ967" i="1"/>
  <c r="AN967" i="1"/>
  <c r="AV967" i="1"/>
  <c r="AJ969" i="1"/>
  <c r="AR969" i="1"/>
  <c r="AV969" i="1"/>
  <c r="AW967" i="1"/>
  <c r="AO96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<sst xmlns="http://schemas.openxmlformats.org/spreadsheetml/2006/main" count="17296" uniqueCount="1254">
  <si>
    <t>Location_Region</t>
  </si>
  <si>
    <t>VRLOCATION</t>
  </si>
  <si>
    <t>VRSALEAMT</t>
  </si>
  <si>
    <t>VRMILEAGE</t>
  </si>
  <si>
    <t>Vehicle_year</t>
  </si>
  <si>
    <t>Make</t>
  </si>
  <si>
    <t>Model</t>
  </si>
  <si>
    <t>Trim</t>
  </si>
  <si>
    <t>Series</t>
  </si>
  <si>
    <t>Vehicle_cylinders</t>
  </si>
  <si>
    <t>Vehicle_botcolor</t>
  </si>
  <si>
    <t>Vehicle_doors</t>
  </si>
  <si>
    <t>Vehicle_trantype</t>
  </si>
  <si>
    <t>Vehicle_engine</t>
  </si>
  <si>
    <t>Vehicle_drive</t>
  </si>
  <si>
    <t>Vehicle_condition_drivable</t>
  </si>
  <si>
    <t>Vehicle_condition_overall</t>
  </si>
  <si>
    <t>VehicleType</t>
  </si>
  <si>
    <t>BodyClass</t>
  </si>
  <si>
    <t>DriveType</t>
  </si>
  <si>
    <t>EngineHP</t>
  </si>
  <si>
    <t>FuelTypePrimary</t>
  </si>
  <si>
    <t>EngineConfiguration</t>
  </si>
  <si>
    <t>EngineModel</t>
  </si>
  <si>
    <t>GVWR</t>
  </si>
  <si>
    <t>PlantCountry</t>
  </si>
  <si>
    <t>BasePrice</t>
  </si>
  <si>
    <t>IsEV</t>
  </si>
  <si>
    <t>EVType</t>
  </si>
  <si>
    <t>MarketSegment</t>
  </si>
  <si>
    <t>SALEDATE_WeekofYearNumber</t>
  </si>
  <si>
    <t>SALEDATE_MonthofYearNumber</t>
  </si>
  <si>
    <t>SALEDATE_Quarter</t>
  </si>
  <si>
    <t>SALEDATE_Year</t>
  </si>
  <si>
    <t>XGB_Predictions</t>
  </si>
  <si>
    <t>CatBoost_Predictions</t>
  </si>
  <si>
    <t>CatBoost_Native_Predictions</t>
  </si>
  <si>
    <t>Stacked_Predictions</t>
  </si>
  <si>
    <t>WEST</t>
  </si>
  <si>
    <t>LUBBOCK</t>
  </si>
  <si>
    <t>KIA</t>
  </si>
  <si>
    <t>Sportage</t>
  </si>
  <si>
    <t>S</t>
  </si>
  <si>
    <t>WHT</t>
  </si>
  <si>
    <t>A</t>
  </si>
  <si>
    <t>F</t>
  </si>
  <si>
    <t>Y</t>
  </si>
  <si>
    <t>MULTIPURPOSE PASSENGER VEHICLE (MPV)</t>
  </si>
  <si>
    <t>Sport Utility Vehicle (SUV)/Multi-Purpose Vehicle (MPV)</t>
  </si>
  <si>
    <t>4x2</t>
  </si>
  <si>
    <t>Gasoline</t>
  </si>
  <si>
    <t>GDI Theta-II</t>
  </si>
  <si>
    <t>Class 1C: 4,001 - 5,000 lb (1,814 - 2,268 kg)</t>
  </si>
  <si>
    <t>SOUTH KOREA</t>
  </si>
  <si>
    <t>ICE</t>
  </si>
  <si>
    <t>SUV</t>
  </si>
  <si>
    <t>EAST</t>
  </si>
  <si>
    <t>CLARKCOUNTY</t>
  </si>
  <si>
    <t>FORD</t>
  </si>
  <si>
    <t>Explorer</t>
  </si>
  <si>
    <t>ST</t>
  </si>
  <si>
    <t>BLU</t>
  </si>
  <si>
    <t>4</t>
  </si>
  <si>
    <t>4WD/4-Wheel Drive/4x4</t>
  </si>
  <si>
    <t>V-Shaped</t>
  </si>
  <si>
    <t>GTDI</t>
  </si>
  <si>
    <t>Class 2E: 6,001 - 7,000 lb (2,722 - 3,175 kg)</t>
  </si>
  <si>
    <t>UNITED STATES (USA)</t>
  </si>
  <si>
    <t>SUV 3-Row</t>
  </si>
  <si>
    <t>SOUTH</t>
  </si>
  <si>
    <t>BIRMINGHAM</t>
  </si>
  <si>
    <t>NISSAN</t>
  </si>
  <si>
    <t>Titan</t>
  </si>
  <si>
    <t>Crew Cab</t>
  </si>
  <si>
    <t>GRY</t>
  </si>
  <si>
    <t>TRUCK</t>
  </si>
  <si>
    <t>Pickup</t>
  </si>
  <si>
    <t>Class 2F: 7,001 - 8,000 lb (3,175 - 3,629 kg)</t>
  </si>
  <si>
    <t>Pickup 1500</t>
  </si>
  <si>
    <t>CHEVROLET</t>
  </si>
  <si>
    <t>Impala</t>
  </si>
  <si>
    <t>LT (2LT)</t>
  </si>
  <si>
    <t>BLK</t>
  </si>
  <si>
    <t>N</t>
  </si>
  <si>
    <t>PASSENGER CAR</t>
  </si>
  <si>
    <t>Sedan/Saloon</t>
  </si>
  <si>
    <t>LFX - SIDI, VVT, E85 MAX, ALUM GM</t>
  </si>
  <si>
    <t>Class 1: 6,000 lb or less (2,722 kg or less)</t>
  </si>
  <si>
    <t>CANADA</t>
  </si>
  <si>
    <t>Sedan</t>
  </si>
  <si>
    <t>AUCTIONINMOTION</t>
  </si>
  <si>
    <t>TOYOTA</t>
  </si>
  <si>
    <t>Camry</t>
  </si>
  <si>
    <t>ACV30L/MCV30L</t>
  </si>
  <si>
    <t>SIL</t>
  </si>
  <si>
    <t>In-Line</t>
  </si>
  <si>
    <t>2AZ-FE</t>
  </si>
  <si>
    <t>JAPAN</t>
  </si>
  <si>
    <t>GMC</t>
  </si>
  <si>
    <t>Acadia</t>
  </si>
  <si>
    <t>SLE</t>
  </si>
  <si>
    <t>RED</t>
  </si>
  <si>
    <t>FWD/Front-Wheel Drive</t>
  </si>
  <si>
    <t>LCV - Spark Ignited Direct Injection, Variable Valve Timing, DCVCP, E85 MAX, E0-E100, ALUM</t>
  </si>
  <si>
    <t>BOSTON</t>
  </si>
  <si>
    <t>Versa</t>
  </si>
  <si>
    <t>MEXICO</t>
  </si>
  <si>
    <t>NORTH</t>
  </si>
  <si>
    <t>COLUMBUS</t>
  </si>
  <si>
    <t>Terrain</t>
  </si>
  <si>
    <t>SLT 2 FWD</t>
  </si>
  <si>
    <t>LEA - Flex Fuel (Gas/Alc), Aluminum, High Output</t>
  </si>
  <si>
    <t>TAMPA</t>
  </si>
  <si>
    <t>DODGE</t>
  </si>
  <si>
    <t>Charger</t>
  </si>
  <si>
    <t>GT</t>
  </si>
  <si>
    <t>R</t>
  </si>
  <si>
    <t>RWD/Rear-Wheel Drive</t>
  </si>
  <si>
    <t>AUSTIN</t>
  </si>
  <si>
    <t>Soul</t>
  </si>
  <si>
    <t>Base</t>
  </si>
  <si>
    <t>G GDI</t>
  </si>
  <si>
    <t>Class 1B: 3,001 - 4,000 lb (1,360 - 1,814 kg)</t>
  </si>
  <si>
    <t>PITTSBURGH</t>
  </si>
  <si>
    <t>HYUNDAI</t>
  </si>
  <si>
    <t>Elantra</t>
  </si>
  <si>
    <t>GLS/GLS Preferred/ Limited/Limited Tech GS/SE/SE Tech</t>
  </si>
  <si>
    <t>BRN</t>
  </si>
  <si>
    <t>TULSA</t>
  </si>
  <si>
    <t>Altima</t>
  </si>
  <si>
    <t>Hybrid</t>
  </si>
  <si>
    <t>EV Sedan</t>
  </si>
  <si>
    <t>KANSAS</t>
  </si>
  <si>
    <t>LT (2FL)</t>
  </si>
  <si>
    <t>Flexible Fuel Vehicle (FFV)</t>
  </si>
  <si>
    <t>LZE</t>
  </si>
  <si>
    <t>VOLKSWAGEN</t>
  </si>
  <si>
    <t>Atlas</t>
  </si>
  <si>
    <t>4Motion SE</t>
  </si>
  <si>
    <t>AWD/All-Wheel Drive</t>
  </si>
  <si>
    <t>2.0 TSI</t>
  </si>
  <si>
    <t>Class 1D: 5,001 - 6,000 lb (2,268 - 2,722 kg)</t>
  </si>
  <si>
    <t>Durango</t>
  </si>
  <si>
    <t>Citadel</t>
  </si>
  <si>
    <t>LANCASTER</t>
  </si>
  <si>
    <t>HONDA</t>
  </si>
  <si>
    <t>CR-V</t>
  </si>
  <si>
    <t>Sport-L</t>
  </si>
  <si>
    <t>LFC3</t>
  </si>
  <si>
    <t>EV SUV</t>
  </si>
  <si>
    <t>BUICK</t>
  </si>
  <si>
    <t>Enclave</t>
  </si>
  <si>
    <t>Convenience</t>
  </si>
  <si>
    <t>LLT</t>
  </si>
  <si>
    <t>KALAMAZOO</t>
  </si>
  <si>
    <t>PONTIAC</t>
  </si>
  <si>
    <t>Vibe</t>
  </si>
  <si>
    <t>Hatchback/Liftback/Notchback</t>
  </si>
  <si>
    <t>1ZZ-FE</t>
  </si>
  <si>
    <t>Hatchback</t>
  </si>
  <si>
    <t>BATONROUGE</t>
  </si>
  <si>
    <t>Sierra</t>
  </si>
  <si>
    <t>1500</t>
  </si>
  <si>
    <t>L83 - VVT, Active Fuel Management, Aluminum.</t>
  </si>
  <si>
    <t>Equinox</t>
  </si>
  <si>
    <t>LT / FL</t>
  </si>
  <si>
    <t>LEA - SIDI: Spark Ignited Direct Injection, E85 MAX, ALUM</t>
  </si>
  <si>
    <t>SAINTLOUIS</t>
  </si>
  <si>
    <t>F-150</t>
  </si>
  <si>
    <t>SUBARU</t>
  </si>
  <si>
    <t>XV CrossTrek</t>
  </si>
  <si>
    <t>Limited</t>
  </si>
  <si>
    <t>2.0L Naturally Aapirated</t>
  </si>
  <si>
    <t>JEEP</t>
  </si>
  <si>
    <t>Cherokee</t>
  </si>
  <si>
    <t>Trailhawk</t>
  </si>
  <si>
    <t>KL</t>
  </si>
  <si>
    <t>GRN</t>
  </si>
  <si>
    <t>HARRISBURG</t>
  </si>
  <si>
    <t>Trax</t>
  </si>
  <si>
    <t>1RS</t>
  </si>
  <si>
    <t>LIH</t>
  </si>
  <si>
    <t>Focus</t>
  </si>
  <si>
    <t>SE/SEL/SES</t>
  </si>
  <si>
    <t>MAZDA</t>
  </si>
  <si>
    <t>CX-5</t>
  </si>
  <si>
    <t>Touring/GS</t>
  </si>
  <si>
    <t>PE Federal/Canada/California</t>
  </si>
  <si>
    <t>ACURA</t>
  </si>
  <si>
    <t>TL</t>
  </si>
  <si>
    <t>Tech</t>
  </si>
  <si>
    <t>J35Z6</t>
  </si>
  <si>
    <t>MORTON</t>
  </si>
  <si>
    <t>LaCrosse</t>
  </si>
  <si>
    <t>Touring</t>
  </si>
  <si>
    <t>LFX</t>
  </si>
  <si>
    <t>SAVANNAH</t>
  </si>
  <si>
    <t>Premier (1LZ)</t>
  </si>
  <si>
    <t>LYX - Direct Injection, VVT, FGT, TURBO, ALUM, GEN1</t>
  </si>
  <si>
    <t>Rogue</t>
  </si>
  <si>
    <t>Grade SV</t>
  </si>
  <si>
    <t>Outback</t>
  </si>
  <si>
    <t>Premium + AWP + ES + MR + NAVI</t>
  </si>
  <si>
    <t>2.5L U5</t>
  </si>
  <si>
    <t>LASVEGAS</t>
  </si>
  <si>
    <t>INFINITI</t>
  </si>
  <si>
    <t>QX60</t>
  </si>
  <si>
    <t>Crossover Utility Vehicle (CUV)</t>
  </si>
  <si>
    <t>Murano</t>
  </si>
  <si>
    <t>Crossover</t>
  </si>
  <si>
    <t>BUR</t>
  </si>
  <si>
    <t>Jetta</t>
  </si>
  <si>
    <t>2.5 SE,  SEL, TDI w/ Sunroof, 2.0T Wolfsburg Edition</t>
  </si>
  <si>
    <t>CADILLAC</t>
  </si>
  <si>
    <t>CTS</t>
  </si>
  <si>
    <t>Luxury</t>
  </si>
  <si>
    <t>LTG</t>
  </si>
  <si>
    <t>RAM</t>
  </si>
  <si>
    <t>SLT</t>
  </si>
  <si>
    <t>Legacy</t>
  </si>
  <si>
    <t>OUTBACK -Cold Weather</t>
  </si>
  <si>
    <t>5</t>
  </si>
  <si>
    <t>Wagon</t>
  </si>
  <si>
    <t>SHREVEPORT</t>
  </si>
  <si>
    <t>LEXUS</t>
  </si>
  <si>
    <t>RX</t>
  </si>
  <si>
    <t>350 F Sport High</t>
  </si>
  <si>
    <t>GGL25L/GYL25L</t>
  </si>
  <si>
    <t>2GR-FKS</t>
  </si>
  <si>
    <t>HOUSTON</t>
  </si>
  <si>
    <t>JAGUAR</t>
  </si>
  <si>
    <t>XF</t>
  </si>
  <si>
    <t>Premium</t>
  </si>
  <si>
    <t>S/C LEV3 SULEV30</t>
  </si>
  <si>
    <t>UNITED KINGDOM (UK)</t>
  </si>
  <si>
    <t>Fit</t>
  </si>
  <si>
    <t>Sport</t>
  </si>
  <si>
    <t>L15A7</t>
  </si>
  <si>
    <t>Sentra</t>
  </si>
  <si>
    <t>Grade SR</t>
  </si>
  <si>
    <t>Continuously Variable Transmission (CVT)</t>
  </si>
  <si>
    <t>MERCEDES-BENZ</t>
  </si>
  <si>
    <t>E-Class</t>
  </si>
  <si>
    <t>E350</t>
  </si>
  <si>
    <t>GERMANY</t>
  </si>
  <si>
    <t>Aveo</t>
  </si>
  <si>
    <t>1LS/1LT</t>
  </si>
  <si>
    <t>LXV</t>
  </si>
  <si>
    <t>JACKSONVILLE</t>
  </si>
  <si>
    <t>Corvette</t>
  </si>
  <si>
    <t>Premium 3LT</t>
  </si>
  <si>
    <t>Coupe</t>
  </si>
  <si>
    <t>LT2</t>
  </si>
  <si>
    <t>Journey</t>
  </si>
  <si>
    <t>SE (US)</t>
  </si>
  <si>
    <t>Raptor SVT</t>
  </si>
  <si>
    <t>CHICAGO</t>
  </si>
  <si>
    <t>GLD</t>
  </si>
  <si>
    <t>Escape</t>
  </si>
  <si>
    <t>Titanium</t>
  </si>
  <si>
    <t>ORG</t>
  </si>
  <si>
    <t>SEL</t>
  </si>
  <si>
    <t>MPI NU PE</t>
  </si>
  <si>
    <t>Cruze</t>
  </si>
  <si>
    <t>2LT</t>
  </si>
  <si>
    <t>LUV</t>
  </si>
  <si>
    <t>XLT</t>
  </si>
  <si>
    <t>NORTHCALIFORNIA</t>
  </si>
  <si>
    <t>SE</t>
  </si>
  <si>
    <t>BMW</t>
  </si>
  <si>
    <t>X3</t>
  </si>
  <si>
    <t>sDrive30i</t>
  </si>
  <si>
    <t>Silverado</t>
  </si>
  <si>
    <t>LT</t>
  </si>
  <si>
    <t>L84 - DI, DFM, ALUM, GEN 5, VAR 2</t>
  </si>
  <si>
    <t>Cobalt</t>
  </si>
  <si>
    <t>Lev1 - All models</t>
  </si>
  <si>
    <t>YEL</t>
  </si>
  <si>
    <t>L61</t>
  </si>
  <si>
    <t>Encore</t>
  </si>
  <si>
    <t>LUV MFI, VVT: Variable Valve Timing, ALUM, E85 MAX</t>
  </si>
  <si>
    <t>LINCOLN</t>
  </si>
  <si>
    <t>Aviator</t>
  </si>
  <si>
    <t>Reserve</t>
  </si>
  <si>
    <t>LX</t>
  </si>
  <si>
    <t>K24Z7</t>
  </si>
  <si>
    <t>Malibu</t>
  </si>
  <si>
    <t>LT (1LT)</t>
  </si>
  <si>
    <t>LFV - Direct Injection, Variable Valve Timing, GEN 1</t>
  </si>
  <si>
    <t>DALLAS</t>
  </si>
  <si>
    <t>ATS</t>
  </si>
  <si>
    <t>Flex</t>
  </si>
  <si>
    <t>Cadenza</t>
  </si>
  <si>
    <t>GDI LAMBDA II</t>
  </si>
  <si>
    <t>Maxima</t>
  </si>
  <si>
    <t>Optima</t>
  </si>
  <si>
    <t>LX/LX Conv/LX Conv Plus/1.6T LX/1.6T LX Tech</t>
  </si>
  <si>
    <t>G 2.4 DOHC GDI</t>
  </si>
  <si>
    <t>3500</t>
  </si>
  <si>
    <t>Single Rear Wheels</t>
  </si>
  <si>
    <t>Diesel</t>
  </si>
  <si>
    <t>Class 3: 10,001 - 14,000 lb (4,536 - 6,350 kg)</t>
  </si>
  <si>
    <t>Pickup 3500</t>
  </si>
  <si>
    <t>VIRGINIA</t>
  </si>
  <si>
    <t>Regal</t>
  </si>
  <si>
    <t>CXL - 4XL</t>
  </si>
  <si>
    <t>LAF</t>
  </si>
  <si>
    <t>Accord</t>
  </si>
  <si>
    <t>EX-L V6</t>
  </si>
  <si>
    <t>6</t>
  </si>
  <si>
    <t>J35Y2</t>
  </si>
  <si>
    <t>LE2 -DI: Direct Injection, VVT: Variable Valve Timing, GEN, ALUM</t>
  </si>
  <si>
    <t>Forte</t>
  </si>
  <si>
    <t>EX</t>
  </si>
  <si>
    <t>DOHC MPI THETA II</t>
  </si>
  <si>
    <t>Highlander</t>
  </si>
  <si>
    <t>Medium</t>
  </si>
  <si>
    <t>GSU40L/GSU45L/MHU48L/ASU40L</t>
  </si>
  <si>
    <t>2GR-FE</t>
  </si>
  <si>
    <t>Forester</t>
  </si>
  <si>
    <t>2.5X</t>
  </si>
  <si>
    <t>Sonata</t>
  </si>
  <si>
    <t>SE, Eco</t>
  </si>
  <si>
    <t>K</t>
  </si>
  <si>
    <t>Kicks</t>
  </si>
  <si>
    <t>Edge</t>
  </si>
  <si>
    <t>2.0L GTDI w/premium fuel</t>
  </si>
  <si>
    <t>LX Base</t>
  </si>
  <si>
    <t>MPI Nu</t>
  </si>
  <si>
    <t>Renegade</t>
  </si>
  <si>
    <t>Latitude (North for Canada)</t>
  </si>
  <si>
    <t>ITALY</t>
  </si>
  <si>
    <t>SV</t>
  </si>
  <si>
    <t>Ascent</t>
  </si>
  <si>
    <t>Limited 8+ES+KA</t>
  </si>
  <si>
    <t>CLS-Class</t>
  </si>
  <si>
    <t>CLS550</t>
  </si>
  <si>
    <t>1500 (1/2 Ton)</t>
  </si>
  <si>
    <t>LM7</t>
  </si>
  <si>
    <t>T</t>
  </si>
  <si>
    <t>U5</t>
  </si>
  <si>
    <t>Corolla</t>
  </si>
  <si>
    <t>ZRE142L / AZE141L</t>
  </si>
  <si>
    <t>2ZR-FE</t>
  </si>
  <si>
    <t>Suburban</t>
  </si>
  <si>
    <t>Premier</t>
  </si>
  <si>
    <t>L83 - SIDI: Spark Ignited Direct Injection, VVT: Variable Valve Timing, AFM, E85 MAX, ALUM</t>
  </si>
  <si>
    <t>SuperCrew</t>
  </si>
  <si>
    <t>5.0L-4V</t>
  </si>
  <si>
    <t>Civic</t>
  </si>
  <si>
    <t>R18Z1</t>
  </si>
  <si>
    <t>Santa Fe</t>
  </si>
  <si>
    <t>GDI THETA II</t>
  </si>
  <si>
    <t>MPI NU</t>
  </si>
  <si>
    <t>Silverado LTD</t>
  </si>
  <si>
    <t>Trail Boss - LT</t>
  </si>
  <si>
    <t>L87</t>
  </si>
  <si>
    <t>SE Popular Pkg, SE Tech pkg, Limited</t>
  </si>
  <si>
    <t>Premium + MR</t>
  </si>
  <si>
    <t>Naturally Aspirated U5</t>
  </si>
  <si>
    <t>Sorento</t>
  </si>
  <si>
    <t>L, LX, S</t>
  </si>
  <si>
    <t>GDI THETA-II</t>
  </si>
  <si>
    <t>Odyssey</t>
  </si>
  <si>
    <t>EXL/EXL-N/EXL-R</t>
  </si>
  <si>
    <t>Minivan</t>
  </si>
  <si>
    <t>J35Z8</t>
  </si>
  <si>
    <t>Telluride</t>
  </si>
  <si>
    <t>EX, EX X-Line</t>
  </si>
  <si>
    <t>GDI Lambda-II</t>
  </si>
  <si>
    <t>Wrangler</t>
  </si>
  <si>
    <t>PLATINUM</t>
  </si>
  <si>
    <t>I</t>
  </si>
  <si>
    <t>Accent</t>
  </si>
  <si>
    <t>GLS Premium/ SE</t>
  </si>
  <si>
    <t>DOHC GDI GAMMA</t>
  </si>
  <si>
    <t>Mazda3</t>
  </si>
  <si>
    <t>LFX California</t>
  </si>
  <si>
    <t>Plus</t>
  </si>
  <si>
    <t>G</t>
  </si>
  <si>
    <t>Platinum</t>
  </si>
  <si>
    <t>GSU70L/AXUH70L</t>
  </si>
  <si>
    <t>CHRYSLER</t>
  </si>
  <si>
    <t>200</t>
  </si>
  <si>
    <t>JS</t>
  </si>
  <si>
    <t>AUDI</t>
  </si>
  <si>
    <t>Q5</t>
  </si>
  <si>
    <t>Silverado HD</t>
  </si>
  <si>
    <t>2500</t>
  </si>
  <si>
    <t>L5P</t>
  </si>
  <si>
    <t>Class 2H: 9,001 - 10,000 lb (4,082 - 4,536 kg)</t>
  </si>
  <si>
    <t>Blazer</t>
  </si>
  <si>
    <t>RS</t>
  </si>
  <si>
    <t>LGX</t>
  </si>
  <si>
    <t>650i</t>
  </si>
  <si>
    <t>6-Series</t>
  </si>
  <si>
    <t>Crosstrek</t>
  </si>
  <si>
    <t>Premium+ES+BSD</t>
  </si>
  <si>
    <t>MDX</t>
  </si>
  <si>
    <t>J37A1</t>
  </si>
  <si>
    <t>Rubicon</t>
  </si>
  <si>
    <t>JK</t>
  </si>
  <si>
    <t>CT6</t>
  </si>
  <si>
    <t>3.0TT Premium Collection</t>
  </si>
  <si>
    <t>LGW - DI, VVT, ALUM, TWIN TURBO, GEN2</t>
  </si>
  <si>
    <t>A6</t>
  </si>
  <si>
    <t>quattro Premium</t>
  </si>
  <si>
    <t>SLE 1</t>
  </si>
  <si>
    <t>LFC5</t>
  </si>
  <si>
    <t>GDI GAMMA</t>
  </si>
  <si>
    <t>ELPASO</t>
  </si>
  <si>
    <t>Colorado</t>
  </si>
  <si>
    <t>LGZ - DI: Direct Injection, VVT: Variable Valve Timing, ALUM, VAR2, GEN2</t>
  </si>
  <si>
    <t>3MZ-FE+1JM, 2FM</t>
  </si>
  <si>
    <t>L83 -Spark Ignited Direct Injection, Variable Valve Timing, AFM, E85 MAX, ALUM</t>
  </si>
  <si>
    <t>Expedition</t>
  </si>
  <si>
    <t>XLT/King Ranch</t>
  </si>
  <si>
    <t>Gladiator</t>
  </si>
  <si>
    <t>Mojave</t>
  </si>
  <si>
    <t>ZZE130L</t>
  </si>
  <si>
    <t>Transit</t>
  </si>
  <si>
    <t>250</t>
  </si>
  <si>
    <t>Cargo Van</t>
  </si>
  <si>
    <t>Class 2G: 8,001 - 9,000 lb (3,629 - 4,082 kg)</t>
  </si>
  <si>
    <t>Van</t>
  </si>
  <si>
    <t>Fusion</t>
  </si>
  <si>
    <t>Tacoma</t>
  </si>
  <si>
    <t>Delux Grade</t>
  </si>
  <si>
    <t>TRN265L/GRN265L</t>
  </si>
  <si>
    <t>1GR-FE</t>
  </si>
  <si>
    <t>DOHC T-GDI Theta II</t>
  </si>
  <si>
    <t>CORRY</t>
  </si>
  <si>
    <t>EX-L</t>
  </si>
  <si>
    <t>Avalanche</t>
  </si>
  <si>
    <t>LS</t>
  </si>
  <si>
    <t>1/2 Ton</t>
  </si>
  <si>
    <t>Sport Utility Truck (SUT)</t>
  </si>
  <si>
    <t>LY5</t>
  </si>
  <si>
    <t>Liberty</t>
  </si>
  <si>
    <t>KJ</t>
  </si>
  <si>
    <t>Magnum</t>
  </si>
  <si>
    <t>MINI</t>
  </si>
  <si>
    <t>Hardtop</t>
  </si>
  <si>
    <t>Cooper S</t>
  </si>
  <si>
    <t>NETHERLANDS</t>
  </si>
  <si>
    <t>2.3L GTDI</t>
  </si>
  <si>
    <t>IS</t>
  </si>
  <si>
    <t>200t</t>
  </si>
  <si>
    <t>ASE30L/GSE31L/GSE36L/GSE37L</t>
  </si>
  <si>
    <t>8AR-FTS</t>
  </si>
  <si>
    <t>Crew Cab SRW</t>
  </si>
  <si>
    <t>Tradesman</t>
  </si>
  <si>
    <t>GREENVILLE</t>
  </si>
  <si>
    <t>E-450</t>
  </si>
  <si>
    <t>Econoline</t>
  </si>
  <si>
    <t>INCOMPLETE VEHICLE</t>
  </si>
  <si>
    <t>Incomplete - Cutaway</t>
  </si>
  <si>
    <t>Class 4: 14,001 - 16,000 lb (6,350 - 7,258 kg)</t>
  </si>
  <si>
    <t>HD Truck</t>
  </si>
  <si>
    <t>Quad Cab</t>
  </si>
  <si>
    <t>Big Horn/Lonestar</t>
  </si>
  <si>
    <t>Grand Cherokee</t>
  </si>
  <si>
    <t>Laredo</t>
  </si>
  <si>
    <t>WK</t>
  </si>
  <si>
    <t>Town and Country</t>
  </si>
  <si>
    <t>Tahoe</t>
  </si>
  <si>
    <t>L59</t>
  </si>
  <si>
    <t>3.3L TIVCT</t>
  </si>
  <si>
    <t>Sierra HD</t>
  </si>
  <si>
    <t>Denali</t>
  </si>
  <si>
    <t>LFV - Direct Injection, Variable Valve Timing, GEN 1 GMNA</t>
  </si>
  <si>
    <t>Pacifica</t>
  </si>
  <si>
    <t>Touring L</t>
  </si>
  <si>
    <t>Verano</t>
  </si>
  <si>
    <t>LEA</t>
  </si>
  <si>
    <t>R18A1</t>
  </si>
  <si>
    <t>SXT</t>
  </si>
  <si>
    <t>CX-9</t>
  </si>
  <si>
    <t>Touring Plus</t>
  </si>
  <si>
    <t>PY</t>
  </si>
  <si>
    <t>L83 - SIDI, VVT, AFM, E85 MAX, Aluminum.</t>
  </si>
  <si>
    <t>Hornet</t>
  </si>
  <si>
    <t>R/T</t>
  </si>
  <si>
    <t>Electric</t>
  </si>
  <si>
    <t>BEV</t>
  </si>
  <si>
    <t>Pilot</t>
  </si>
  <si>
    <t>J35Z4</t>
  </si>
  <si>
    <t>X5</t>
  </si>
  <si>
    <t>xDrive35d</t>
  </si>
  <si>
    <t>RICHMOND</t>
  </si>
  <si>
    <t>530i</t>
  </si>
  <si>
    <t>530i xDrive</t>
  </si>
  <si>
    <t>5-Series</t>
  </si>
  <si>
    <t>NORTHHOUSTON</t>
  </si>
  <si>
    <t>HR-V</t>
  </si>
  <si>
    <t>R18Z9</t>
  </si>
  <si>
    <t>300</t>
  </si>
  <si>
    <t>300 Touring</t>
  </si>
  <si>
    <t>LH6</t>
  </si>
  <si>
    <t>Leather</t>
  </si>
  <si>
    <t>LUV - VVT, ALUM GME E85 MAX</t>
  </si>
  <si>
    <t>LE, L, Limited, Platinum, XLE / XSE (w/ 12.3" multimedia, w/ 8" multimedia)</t>
  </si>
  <si>
    <t>70 Series</t>
  </si>
  <si>
    <t>T24A-FTS</t>
  </si>
  <si>
    <t>5500</t>
  </si>
  <si>
    <t>DP (Dual Rear Wheels)</t>
  </si>
  <si>
    <t>Incomplete - Chassis Cab (Number of Cab Unknown)</t>
  </si>
  <si>
    <t>Class 5: 16,001 - 19,500 lb (7,258 - 8,845 kg)</t>
  </si>
  <si>
    <t>RST</t>
  </si>
  <si>
    <t>L5P - Direct Injection, DURAMAX, GEN 5, VAR 1</t>
  </si>
  <si>
    <t>F-250</t>
  </si>
  <si>
    <t>F-Series Super Duty - Single Rear Wheel</t>
  </si>
  <si>
    <t>SPORT</t>
  </si>
  <si>
    <t>K24W1</t>
  </si>
  <si>
    <t>C-Class</t>
  </si>
  <si>
    <t>4 MATIC</t>
  </si>
  <si>
    <t>C300</t>
  </si>
  <si>
    <t>RAV4</t>
  </si>
  <si>
    <t>LE</t>
  </si>
  <si>
    <t>50 Series</t>
  </si>
  <si>
    <t>A25A-FKS</t>
  </si>
  <si>
    <t>F-Series</t>
  </si>
  <si>
    <t>Envision</t>
  </si>
  <si>
    <t>Essence</t>
  </si>
  <si>
    <t>LCV - Spark ignited Direct Injection, Variable Valve Timing, E85 MAX, E0-E100, ALUM</t>
  </si>
  <si>
    <t>CHINA</t>
  </si>
  <si>
    <t>L84</t>
  </si>
  <si>
    <t>Work Truck/LS/Fleet/Base</t>
  </si>
  <si>
    <t>LV3 - GEN 5, SIDI, VVT: Variable Valve Timing, E85 MAX, ALUM</t>
  </si>
  <si>
    <t>High Country</t>
  </si>
  <si>
    <t>LML - PTI, DURAMAX</t>
  </si>
  <si>
    <t>Mazda6</t>
  </si>
  <si>
    <t>Grand Touring/GT</t>
  </si>
  <si>
    <t>Tucson</t>
  </si>
  <si>
    <t>GL</t>
  </si>
  <si>
    <t>DOHC THETA ii</t>
  </si>
  <si>
    <t>ASV40L/GSV40L/AHV40L</t>
  </si>
  <si>
    <t>2AR-FE</t>
  </si>
  <si>
    <t>Santa Fe Sport</t>
  </si>
  <si>
    <t>DOHC GDI THETA II</t>
  </si>
  <si>
    <t>Sprinter</t>
  </si>
  <si>
    <t>C2500/C3500</t>
  </si>
  <si>
    <t>OM 642 with Brake Assist</t>
  </si>
  <si>
    <t>Touring/Touring-TE</t>
  </si>
  <si>
    <t>Overland</t>
  </si>
  <si>
    <t>ALBANY</t>
  </si>
  <si>
    <t>SE / Value Edition/ Limited</t>
  </si>
  <si>
    <t>DOHC MPI NU</t>
  </si>
  <si>
    <t>Motorhome Chassis</t>
  </si>
  <si>
    <t>Incomplete - Stripped Chassis</t>
  </si>
  <si>
    <t>Class 6: 19,501 - 26,000 lb (8,845 - 11,794 kg)</t>
  </si>
  <si>
    <t>QL</t>
  </si>
  <si>
    <t>K20C2</t>
  </si>
  <si>
    <t>4-Runner</t>
  </si>
  <si>
    <t>TRD offroad Prem</t>
  </si>
  <si>
    <t>280 Series</t>
  </si>
  <si>
    <t>DN</t>
  </si>
  <si>
    <t>E-350</t>
  </si>
  <si>
    <t>Ford</t>
  </si>
  <si>
    <t>Unlimited Sport</t>
  </si>
  <si>
    <t>GL (Middle-low grade)</t>
  </si>
  <si>
    <t>LSD</t>
  </si>
  <si>
    <t>ERB</t>
  </si>
  <si>
    <t>EX with leather (With RES)</t>
  </si>
  <si>
    <t>J35A7</t>
  </si>
  <si>
    <t>Sigma</t>
  </si>
  <si>
    <t>TJ</t>
  </si>
  <si>
    <t>Ram Wagon</t>
  </si>
  <si>
    <t>BUS</t>
  </si>
  <si>
    <t>Class 2: 6,001 - 10,000 lb (2,722 - 4,536 kg)</t>
  </si>
  <si>
    <t>Express</t>
  </si>
  <si>
    <t>2500 Cargo</t>
  </si>
  <si>
    <t>LV1</t>
  </si>
  <si>
    <t>Q3</t>
  </si>
  <si>
    <t>quattro Premium Plus</t>
  </si>
  <si>
    <t>SPAIN</t>
  </si>
  <si>
    <t>Elite</t>
  </si>
  <si>
    <t>J35Y6</t>
  </si>
  <si>
    <t>TOURING</t>
  </si>
  <si>
    <t>K20C4</t>
  </si>
  <si>
    <t>GTDI 240PS</t>
  </si>
  <si>
    <t>Impreza</t>
  </si>
  <si>
    <t>WRX</t>
  </si>
  <si>
    <t>4 door Wide Body</t>
  </si>
  <si>
    <t>Super Duty - Single Rear Wheel</t>
  </si>
  <si>
    <t>Traverse</t>
  </si>
  <si>
    <t>1LT</t>
  </si>
  <si>
    <t>LLT - SIDI: Spark Ignited Direct injection, ALUM, 60 Degrees</t>
  </si>
  <si>
    <t>300C</t>
  </si>
  <si>
    <t>LFV</t>
  </si>
  <si>
    <t>Pathfinder</t>
  </si>
  <si>
    <t>LYX</t>
  </si>
  <si>
    <t>Base+Alloy Wheel Pack</t>
  </si>
  <si>
    <t>A4</t>
  </si>
  <si>
    <t>Premium, Ultra Premium</t>
  </si>
  <si>
    <t>Premium+AWP+M/R</t>
  </si>
  <si>
    <t>Horizontally opposed (boxer)</t>
  </si>
  <si>
    <t>2.5NA U5</t>
  </si>
  <si>
    <t>Silverado LD</t>
  </si>
  <si>
    <t>L83 - DI, AFM, ALUM, GEN 5, VAR 1</t>
  </si>
  <si>
    <t>Summit</t>
  </si>
  <si>
    <t>Premium +M/R+CWP</t>
  </si>
  <si>
    <t>2.5NA U6</t>
  </si>
  <si>
    <t>FIAT</t>
  </si>
  <si>
    <t>500L</t>
  </si>
  <si>
    <t>LOUNGE</t>
  </si>
  <si>
    <t>SERBIA</t>
  </si>
  <si>
    <t>MITSUBISHI</t>
  </si>
  <si>
    <t>Outlander Sport</t>
  </si>
  <si>
    <t>MIVEC</t>
  </si>
  <si>
    <t>RDX</t>
  </si>
  <si>
    <t>K23A1</t>
  </si>
  <si>
    <t>A3</t>
  </si>
  <si>
    <t>HUNGARY</t>
  </si>
  <si>
    <t>BADGERSTATE</t>
  </si>
  <si>
    <t>E-250</t>
  </si>
  <si>
    <t>Armada</t>
  </si>
  <si>
    <t>Prius C</t>
  </si>
  <si>
    <t>NHP10L</t>
  </si>
  <si>
    <t>1NZ-FXE+1LM</t>
  </si>
  <si>
    <t>EV Hatchback</t>
  </si>
  <si>
    <t>K5</t>
  </si>
  <si>
    <t>GT-Line</t>
  </si>
  <si>
    <t>T-GDI GAMMA II</t>
  </si>
  <si>
    <t>LUV - MFI, VVT, ALUM, GME E85 MAX</t>
  </si>
  <si>
    <t>VOLVO</t>
  </si>
  <si>
    <t>XC90</t>
  </si>
  <si>
    <t>SV34 Premier Plus/SV43 Inscription</t>
  </si>
  <si>
    <t>B4204T27</t>
  </si>
  <si>
    <t>SWEDEN</t>
  </si>
  <si>
    <t>L20 - Flex Fuel(Gas/Ethanol), SFI Iron</t>
  </si>
  <si>
    <t>Compass</t>
  </si>
  <si>
    <t>GDI</t>
  </si>
  <si>
    <t>Sport Popular / Sport Leather / Sport Tech / Sport Turbo / Sport Turbo leather</t>
  </si>
  <si>
    <t>DOHC GDI Theta</t>
  </si>
  <si>
    <t>TRX</t>
  </si>
  <si>
    <t>3.5L GTDI</t>
  </si>
  <si>
    <t>Yukon XL</t>
  </si>
  <si>
    <t>XL Denali</t>
  </si>
  <si>
    <t>L87 -  DI DFM, ALUM, GEN 5</t>
  </si>
  <si>
    <t>TESLA</t>
  </si>
  <si>
    <t>Model Y</t>
  </si>
  <si>
    <t>Impala Limited</t>
  </si>
  <si>
    <t>Police Vehicle</t>
  </si>
  <si>
    <t>Insight</t>
  </si>
  <si>
    <t>LEB6</t>
  </si>
  <si>
    <t>Taurus</t>
  </si>
  <si>
    <t>Others</t>
  </si>
  <si>
    <t>A25A-FXS</t>
  </si>
  <si>
    <t>5.0L 4V</t>
  </si>
  <si>
    <t>Tundra</t>
  </si>
  <si>
    <t>SR5 grade</t>
  </si>
  <si>
    <t>USK51L/USK52L/USK56L/USK57L</t>
  </si>
  <si>
    <t>3UR-FE</t>
  </si>
  <si>
    <t>SRX</t>
  </si>
  <si>
    <t>LFX - VVT, E85 Max, Aluminum</t>
  </si>
  <si>
    <t>2.4 LX STD/Conv</t>
  </si>
  <si>
    <t>Tiguan</t>
  </si>
  <si>
    <t>4Motion SE, 4Motion SEL</t>
  </si>
  <si>
    <t>LTG - Spark Ignited Direct Injection, ALUM DOHC, VVT, DCVCP TURBO, E0-E100, ALUM</t>
  </si>
  <si>
    <t>LAND ROVER</t>
  </si>
  <si>
    <t>Range Rover</t>
  </si>
  <si>
    <t>HSE</t>
  </si>
  <si>
    <t>AJ126</t>
  </si>
  <si>
    <t>Signature</t>
  </si>
  <si>
    <t>PY Turbo</t>
  </si>
  <si>
    <t>SUZUKI</t>
  </si>
  <si>
    <t>GSX-R750</t>
  </si>
  <si>
    <t>GSX-R750M1 / GSX-R750MZ1</t>
  </si>
  <si>
    <t>MOTORCYCLE</t>
  </si>
  <si>
    <t>Motorcycle - Sport</t>
  </si>
  <si>
    <t>R747-</t>
  </si>
  <si>
    <t>Class 1A: 3,000 lb or less (1,360 kg or less)</t>
  </si>
  <si>
    <t>Other</t>
  </si>
  <si>
    <t>LS (1LS)</t>
  </si>
  <si>
    <t>LNJ</t>
  </si>
  <si>
    <t>GDI THETA III</t>
  </si>
  <si>
    <t>Sport SE</t>
  </si>
  <si>
    <t>L15BE</t>
  </si>
  <si>
    <t>Limited / Limited X</t>
  </si>
  <si>
    <t>K24W9/K24V9</t>
  </si>
  <si>
    <t>Beetle</t>
  </si>
  <si>
    <t>GLS</t>
  </si>
  <si>
    <t>Convertible/Cabriolet</t>
  </si>
  <si>
    <t>Convertible</t>
  </si>
  <si>
    <t>DLX</t>
  </si>
  <si>
    <t>TRN260L/TRN265L/GRN265L</t>
  </si>
  <si>
    <t>XLE</t>
  </si>
  <si>
    <t>1.5L GTDI Sigma w/Premium Fuel</t>
  </si>
  <si>
    <t>LSY</t>
  </si>
  <si>
    <t>K24W9</t>
  </si>
  <si>
    <t>SLE 2 (AWD)</t>
  </si>
  <si>
    <t>LEA - E85 MAX, Aluminum.</t>
  </si>
  <si>
    <t>XSE</t>
  </si>
  <si>
    <t>BGE</t>
  </si>
  <si>
    <t>GLE-Class</t>
  </si>
  <si>
    <t>GLE450 4MATIC</t>
  </si>
  <si>
    <t>M256</t>
  </si>
  <si>
    <t>LTZ</t>
  </si>
  <si>
    <t>LCV</t>
  </si>
  <si>
    <t>LLT - SIDI, ALUM, 60 DEGREES</t>
  </si>
  <si>
    <t>xDrive30i</t>
  </si>
  <si>
    <t>AUSTRIA</t>
  </si>
  <si>
    <t>1.0L GTDI</t>
  </si>
  <si>
    <t>Yukon</t>
  </si>
  <si>
    <t>3/4 Ton</t>
  </si>
  <si>
    <t>L92</t>
  </si>
  <si>
    <t>AUGUSTA</t>
  </si>
  <si>
    <t>Ram</t>
  </si>
  <si>
    <t>2500-ST</t>
  </si>
  <si>
    <t>CXL</t>
  </si>
  <si>
    <t>L26</t>
  </si>
  <si>
    <t>S Line quattro Premium Plus</t>
  </si>
  <si>
    <t>45 TFSI (2.0T)</t>
  </si>
  <si>
    <t>Discovery Sport</t>
  </si>
  <si>
    <t>GTDI LEV3 SULEV30</t>
  </si>
  <si>
    <t>ENGLAND</t>
  </si>
  <si>
    <t>Eco Turbo, SE</t>
  </si>
  <si>
    <t>Touareg</t>
  </si>
  <si>
    <t>V6 FSI, TDI, Hybrid</t>
  </si>
  <si>
    <t>SLOVAKIA</t>
  </si>
  <si>
    <t>SANANTONIO</t>
  </si>
  <si>
    <t>GDI Theta III</t>
  </si>
  <si>
    <t>Sienna</t>
  </si>
  <si>
    <t>GSL30L/GSL33L/GSL35L/ASL30L</t>
  </si>
  <si>
    <t>B6324S5</t>
  </si>
  <si>
    <t>LFY - Spark Ignited Direct injection, ATSS, GEN 1</t>
  </si>
  <si>
    <t>EL SRW High Roof Van</t>
  </si>
  <si>
    <t>Base/ LX</t>
  </si>
  <si>
    <t>Gasoline 3.3 V6 GDI Lambda II</t>
  </si>
  <si>
    <t>VP</t>
  </si>
  <si>
    <t>2LS</t>
  </si>
  <si>
    <t>LUW</t>
  </si>
  <si>
    <t>Patriot</t>
  </si>
  <si>
    <t>CORPUSCHRISTI</t>
  </si>
  <si>
    <t>S/R-Line</t>
  </si>
  <si>
    <t>1.4 TSI</t>
  </si>
  <si>
    <t>Mustang</t>
  </si>
  <si>
    <t>M</t>
  </si>
  <si>
    <t>LFV - DI: Direct Injection, VVT, GEN1 GMNA</t>
  </si>
  <si>
    <t>GTI</t>
  </si>
  <si>
    <t>K24Z2</t>
  </si>
  <si>
    <t>GENESIS</t>
  </si>
  <si>
    <t>G90</t>
  </si>
  <si>
    <t>3.3T Premium</t>
  </si>
  <si>
    <t>T-GDI LAMDA II</t>
  </si>
  <si>
    <t>LX, S, X-Line</t>
  </si>
  <si>
    <t>1LS</t>
  </si>
  <si>
    <t>Z71</t>
  </si>
  <si>
    <t>L3B</t>
  </si>
  <si>
    <t>Rogue Sport</t>
  </si>
  <si>
    <t>Spark</t>
  </si>
  <si>
    <t>1LT (LT)</t>
  </si>
  <si>
    <t>LV7 - MFI, Variable Valve Timing, ALUM, GEN 1 VAR 1</t>
  </si>
  <si>
    <t>LFY</t>
  </si>
  <si>
    <t>ASV50L/GSV50L/AVV50L</t>
  </si>
  <si>
    <t>Light Duty</t>
  </si>
  <si>
    <t>GT Coupe</t>
  </si>
  <si>
    <t>4-MATIC</t>
  </si>
  <si>
    <t>Standard (without Third seat)</t>
  </si>
  <si>
    <t>ACA33L/ACA38L/GSA33L/GSA38L</t>
  </si>
  <si>
    <t>Work Truck</t>
  </si>
  <si>
    <t>LFX - SIDI, VVT, E85 MAX, Aluminum</t>
  </si>
  <si>
    <t>Styleside</t>
  </si>
  <si>
    <t>xDrive50i</t>
  </si>
  <si>
    <t>LXS</t>
  </si>
  <si>
    <t>XT6</t>
  </si>
  <si>
    <t>Ranger</t>
  </si>
  <si>
    <t>DJ</t>
  </si>
  <si>
    <t>3.5L Ti-VCT</t>
  </si>
  <si>
    <t>MKX</t>
  </si>
  <si>
    <t>3.7L TIVCT (Twin Independent Variable Camshaft Timing)</t>
  </si>
  <si>
    <t>Canyon</t>
  </si>
  <si>
    <t>LWN - Direct Injection, XLDE</t>
  </si>
  <si>
    <t>SLT AWD</t>
  </si>
  <si>
    <t>CT5</t>
  </si>
  <si>
    <t>2LZ</t>
  </si>
  <si>
    <t>LY7</t>
  </si>
  <si>
    <t>L96 - Flexible Fuel (Gas/Ethanol), SFI IRON</t>
  </si>
  <si>
    <t>Grade S</t>
  </si>
  <si>
    <t>Kicks MPV</t>
  </si>
  <si>
    <t>330i</t>
  </si>
  <si>
    <t>xDrive Sedan NA</t>
  </si>
  <si>
    <t>3-Series</t>
  </si>
  <si>
    <t>ProMaster 2500</t>
  </si>
  <si>
    <t>Standard Roof</t>
  </si>
  <si>
    <t>SR5</t>
  </si>
  <si>
    <t>GRN210L/GRN215L/UZN210L/UZN215L</t>
  </si>
  <si>
    <t>Dart</t>
  </si>
  <si>
    <t>Prius</t>
  </si>
  <si>
    <t>NHW20L</t>
  </si>
  <si>
    <t>1NZ-FXE</t>
  </si>
  <si>
    <t>Rio</t>
  </si>
  <si>
    <t>JB</t>
  </si>
  <si>
    <t>Camaro</t>
  </si>
  <si>
    <t>LGX - Direct Injection, Variable Valve Timing, ALUM, GEN 2</t>
  </si>
  <si>
    <t>L2R</t>
  </si>
  <si>
    <t>2SS</t>
  </si>
  <si>
    <t>L99</t>
  </si>
  <si>
    <t>Eddie Bauer</t>
  </si>
  <si>
    <t>Custom</t>
  </si>
  <si>
    <t>L82 - DI, AFM, ALUM, GEN 5, VAR 1</t>
  </si>
  <si>
    <t>ACV40L/GSV40L/AHV40L</t>
  </si>
  <si>
    <t>I4 Coupe</t>
  </si>
  <si>
    <t>4V</t>
  </si>
  <si>
    <t>K24Z6</t>
  </si>
  <si>
    <t>Model 3</t>
  </si>
  <si>
    <t>ST Line</t>
  </si>
  <si>
    <t>DRAGON GTDI</t>
  </si>
  <si>
    <t>GDI Nu</t>
  </si>
  <si>
    <t>LWE</t>
  </si>
  <si>
    <t>BRZ</t>
  </si>
  <si>
    <t>High</t>
  </si>
  <si>
    <t>Frontier</t>
  </si>
  <si>
    <t>L20</t>
  </si>
  <si>
    <t>L/LE/SE/XLE</t>
  </si>
  <si>
    <t>AXVA70L/GSV70L/AXVH70L/AXVH71L</t>
  </si>
  <si>
    <t>Latitude (US-Mex.), North(Can)</t>
  </si>
  <si>
    <t>EX-L/EX-L Navi</t>
  </si>
  <si>
    <t>L86 - SIDI, VVT, AFM, E85 MAX, ALUM</t>
  </si>
  <si>
    <t>Laramie</t>
  </si>
  <si>
    <t>Ecosport</t>
  </si>
  <si>
    <t>SE - 4WD</t>
  </si>
  <si>
    <t>INDIA</t>
  </si>
  <si>
    <t>X4</t>
  </si>
  <si>
    <t>4GR-FSE</t>
  </si>
  <si>
    <t>XLE Premium</t>
  </si>
  <si>
    <t>Expedition MAX</t>
  </si>
  <si>
    <t>GTDI-High</t>
  </si>
  <si>
    <t>SR5 Prem</t>
  </si>
  <si>
    <t>EL-XLT</t>
  </si>
  <si>
    <t>LX Popular, S</t>
  </si>
  <si>
    <t>PORSCHE</t>
  </si>
  <si>
    <t>Macan</t>
  </si>
  <si>
    <t>3.5L V6 Cyclone</t>
  </si>
  <si>
    <t>Challenger</t>
  </si>
  <si>
    <t>PUR</t>
  </si>
  <si>
    <t>Si/Si HPT</t>
  </si>
  <si>
    <t>L15B7</t>
  </si>
  <si>
    <t>Q7</t>
  </si>
  <si>
    <t>Premium Plus</t>
  </si>
  <si>
    <t>3.0T TDI</t>
  </si>
  <si>
    <t>SLT 1</t>
  </si>
  <si>
    <t>Sport / Sport w/ Premium Pkg, Sport w/ Tech Pkg / Limited / Limited w/Tech Pkg / Limited w/Ultimate Pkg / Sport 2.0T / Limited 2.0T</t>
  </si>
  <si>
    <t>DOHC GDI THETA-II</t>
  </si>
  <si>
    <t>GRN280L/GRN285L/TRN280L/TRN285L</t>
  </si>
  <si>
    <t>ML-Class</t>
  </si>
  <si>
    <t>ML550</t>
  </si>
  <si>
    <t>KAWASAKI</t>
  </si>
  <si>
    <t>Vulcan 1600</t>
  </si>
  <si>
    <t>CLASSIC</t>
  </si>
  <si>
    <t>VN1600-A</t>
  </si>
  <si>
    <t>Motorcycle - Cruiser</t>
  </si>
  <si>
    <t>LM7 Iron</t>
  </si>
  <si>
    <t>K24Z1</t>
  </si>
  <si>
    <t>Avalon</t>
  </si>
  <si>
    <t>GSX30L</t>
  </si>
  <si>
    <t>SE (C,M,B)</t>
  </si>
  <si>
    <t>LUV - MFI, VVT: Variable Valve Timing, E85 MAX, ALUM</t>
  </si>
  <si>
    <t>Grand Caravan</t>
  </si>
  <si>
    <t>ZRE212L-DEXLPA</t>
  </si>
  <si>
    <t>2ZR-FAE</t>
  </si>
  <si>
    <t>Touring+M/R+ES+NAV</t>
  </si>
  <si>
    <t>328i</t>
  </si>
  <si>
    <t>SULEV</t>
  </si>
  <si>
    <t>Longitude(B),North(Can),Latitude(M,U)</t>
  </si>
  <si>
    <t>Super Handling AWD w/Tech pkg</t>
  </si>
  <si>
    <t>Big Horn</t>
  </si>
  <si>
    <t>Passat</t>
  </si>
  <si>
    <t>GRN325L</t>
  </si>
  <si>
    <t>I4</t>
  </si>
  <si>
    <t>L84 - DI, ALUM, GEN 5, VAR 2</t>
  </si>
  <si>
    <t>Touring/Signature</t>
  </si>
  <si>
    <t>LT Classic (&amp;1LT)</t>
  </si>
  <si>
    <t>LE5</t>
  </si>
  <si>
    <t>LKW</t>
  </si>
  <si>
    <t>NX</t>
  </si>
  <si>
    <t>350 Luxury</t>
  </si>
  <si>
    <t>25 Series</t>
  </si>
  <si>
    <t>A25A-FXS, 5NM+4NM</t>
  </si>
  <si>
    <t>F-350</t>
  </si>
  <si>
    <t>GLK-Class</t>
  </si>
  <si>
    <t>GLK350</t>
  </si>
  <si>
    <t>GLS(Middle)</t>
  </si>
  <si>
    <t>Crossfire</t>
  </si>
  <si>
    <t>ZH</t>
  </si>
  <si>
    <t>Veloster</t>
  </si>
  <si>
    <t>Standard / Turbo / R-Spec / Rally Edition</t>
  </si>
  <si>
    <t>2.5 NA U5</t>
  </si>
  <si>
    <t>UCK40L/UCK41L</t>
  </si>
  <si>
    <t>2UZ-FE</t>
  </si>
  <si>
    <t>Sahara</t>
  </si>
  <si>
    <t>XJ</t>
  </si>
  <si>
    <t>XJL</t>
  </si>
  <si>
    <t>ULEV</t>
  </si>
  <si>
    <t>GLS(Middle grade)</t>
  </si>
  <si>
    <t>Work Truck/Fleet/Base</t>
  </si>
  <si>
    <t>3/4 ton</t>
  </si>
  <si>
    <t>L96</t>
  </si>
  <si>
    <t>XC40</t>
  </si>
  <si>
    <t>R-design, Momentum (XC40 17w46-18w16)</t>
  </si>
  <si>
    <t>B4204T (MP)</t>
  </si>
  <si>
    <t>BELGIUM</t>
  </si>
  <si>
    <t>Palisade</t>
  </si>
  <si>
    <t>AXAA52L / AXAA54L / AXAH54L / AXAL54L</t>
  </si>
  <si>
    <t>SE Popular, ECO, Sport, Limited</t>
  </si>
  <si>
    <t>Kona</t>
  </si>
  <si>
    <t>3LT</t>
  </si>
  <si>
    <t>TAN</t>
  </si>
  <si>
    <t>J35Y1</t>
  </si>
  <si>
    <t>750Lxi</t>
  </si>
  <si>
    <t>7-Series</t>
  </si>
  <si>
    <t>C4</t>
  </si>
  <si>
    <t>4500 Medium Duty</t>
  </si>
  <si>
    <t>LMM</t>
  </si>
  <si>
    <t>Latitude</t>
  </si>
  <si>
    <t>MK74</t>
  </si>
  <si>
    <t>SE Hybrid</t>
  </si>
  <si>
    <t>2.0L 4V AtK HEV</t>
  </si>
  <si>
    <t>325xi</t>
  </si>
  <si>
    <t>GL - Middle-low</t>
  </si>
  <si>
    <t>DOHC GDI Theta II</t>
  </si>
  <si>
    <t>SEL, Value Edition &amp; Limited</t>
  </si>
  <si>
    <t>SEL / Value Edition / Limited</t>
  </si>
  <si>
    <t>SE (Popular Equipment Pkg.), Eco, Sport, Limited, Night</t>
  </si>
  <si>
    <t>K24A4</t>
  </si>
  <si>
    <t>Middle level</t>
  </si>
  <si>
    <t>DOHC GDI</t>
  </si>
  <si>
    <t>150</t>
  </si>
  <si>
    <t>Endeavor</t>
  </si>
  <si>
    <t>LOW</t>
  </si>
  <si>
    <t>JC</t>
  </si>
  <si>
    <t>Transit Connect</t>
  </si>
  <si>
    <t>L83 - Spark Ignited Direct Injection, Variable Valve Timing, AFM, E85 MAX, ALUM</t>
  </si>
  <si>
    <t>Crossword</t>
  </si>
  <si>
    <t>Preferred Package</t>
  </si>
  <si>
    <t>PY Cylinder Deactiviation</t>
  </si>
  <si>
    <t>Exclaim</t>
  </si>
  <si>
    <t>DOHC GDI Nu</t>
  </si>
  <si>
    <t>L15B1</t>
  </si>
  <si>
    <t>Big Horn / Lone Star</t>
  </si>
  <si>
    <t>EX-L-V6</t>
  </si>
  <si>
    <t>J35Z2</t>
  </si>
  <si>
    <t>Grand Cherokee L</t>
  </si>
  <si>
    <t>S60</t>
  </si>
  <si>
    <t>B6304T4</t>
  </si>
  <si>
    <t>V6 Coupe</t>
  </si>
  <si>
    <t>911</t>
  </si>
  <si>
    <t>Carrera S/4S/GTS/4 GTS</t>
  </si>
  <si>
    <t>Type 992</t>
  </si>
  <si>
    <t>QX80</t>
  </si>
  <si>
    <t>X1</t>
  </si>
  <si>
    <t>xDrive28i</t>
  </si>
  <si>
    <t>MK49</t>
  </si>
  <si>
    <t>QX50</t>
  </si>
  <si>
    <t>L, LE, LE w/LE Conveneince Tech pkg, LE - US Source</t>
  </si>
  <si>
    <t>18 Series</t>
  </si>
  <si>
    <t>M20A-FKS</t>
  </si>
  <si>
    <t>ProMaster 1500</t>
  </si>
  <si>
    <t>DS (Single Rear Wheels)</t>
  </si>
  <si>
    <t>2.0L NA</t>
  </si>
  <si>
    <t>DR / Light Duty</t>
  </si>
  <si>
    <t>SRT8</t>
  </si>
  <si>
    <t>LC</t>
  </si>
  <si>
    <t>SE (BUX,US,Mex), SE CVP (Canada)</t>
  </si>
  <si>
    <t>460</t>
  </si>
  <si>
    <t>UVF46L</t>
  </si>
  <si>
    <t>1UR-FSE</t>
  </si>
  <si>
    <t>S, S (AQ301 Trans)</t>
  </si>
  <si>
    <t>TSI</t>
  </si>
  <si>
    <t>LEA - Flex Fuel (Gas/Alc), Aluminum, HO,</t>
  </si>
  <si>
    <t>R/T Rallye / R/T</t>
  </si>
  <si>
    <t>SH-AWD Advanced Ent</t>
  </si>
  <si>
    <t>J35Y5</t>
  </si>
  <si>
    <t>GTDI Sigma w/Premium Fuel</t>
  </si>
  <si>
    <t>MERCURY</t>
  </si>
  <si>
    <t>Grand Marquis</t>
  </si>
  <si>
    <t>GS</t>
  </si>
  <si>
    <t>GX</t>
  </si>
  <si>
    <t>URJ150L</t>
  </si>
  <si>
    <t>1UR-FE</t>
  </si>
  <si>
    <t>NA U5</t>
  </si>
  <si>
    <t>Sedona</t>
  </si>
  <si>
    <t>GLS - Middle level</t>
  </si>
  <si>
    <t>DOHC GDI LAMBDA II</t>
  </si>
  <si>
    <t>Skylark</t>
  </si>
  <si>
    <t>Bronco Sport</t>
  </si>
  <si>
    <t>BIG BEND</t>
  </si>
  <si>
    <t>DRAGON</t>
  </si>
  <si>
    <t>J35Y8</t>
  </si>
  <si>
    <t>S, ES, LE, SE, Ralliart, Trail Edition</t>
  </si>
  <si>
    <t>High grade</t>
  </si>
  <si>
    <t>SLE 2 AWD</t>
  </si>
  <si>
    <t>FE, LXS</t>
  </si>
  <si>
    <t>RL</t>
  </si>
  <si>
    <t>J37A2</t>
  </si>
  <si>
    <t>LS (1FL)</t>
  </si>
  <si>
    <t>LFV - DI: Direct Injection, VVT: Variable Valve Timing, GEN 1</t>
  </si>
  <si>
    <t>1500-Longhorn</t>
  </si>
  <si>
    <t>LUV - MFI, Variable Valve Timing, E85 MAX, ALUM</t>
  </si>
  <si>
    <t>Fiesta</t>
  </si>
  <si>
    <t>Fleet Vehicle</t>
  </si>
  <si>
    <t>LE9</t>
  </si>
  <si>
    <t>Latitude Plus</t>
  </si>
  <si>
    <t>Mazda5</t>
  </si>
  <si>
    <t>L3V (2.3L) Federal</t>
  </si>
  <si>
    <t>L83 - VVT, AFM (Active Fuel Management), Aluminum</t>
  </si>
  <si>
    <t>1LT (FWD)</t>
  </si>
  <si>
    <t>LFW - VVT. E85 Max. Aluminum.</t>
  </si>
  <si>
    <t>D2 (Dual Rear Wheels)</t>
  </si>
  <si>
    <t>Longhorn</t>
  </si>
  <si>
    <t>Trailblazer</t>
  </si>
  <si>
    <t>LIH - E0-15, DI, L3, VVT, ALUM, CSS PRIME</t>
  </si>
  <si>
    <t>Navigator</t>
  </si>
  <si>
    <t>Countryman</t>
  </si>
  <si>
    <t>Avenger</t>
  </si>
  <si>
    <t>2.0T</t>
  </si>
  <si>
    <t>MCV30L/ACV30L</t>
  </si>
  <si>
    <t>LCV -SIDI, DCVCP, VVT, DCVCP, E85 Max, E0-E100, Aluminum</t>
  </si>
  <si>
    <t>MCU10L/MCU15L</t>
  </si>
  <si>
    <t>1MZ-FE</t>
  </si>
  <si>
    <t>ZVW30L</t>
  </si>
  <si>
    <t>2ZR-FXE+3JM</t>
  </si>
  <si>
    <t>CX-50</t>
  </si>
  <si>
    <t>Premium Package</t>
  </si>
  <si>
    <t>SX</t>
  </si>
  <si>
    <t>Range Rover Evoque</t>
  </si>
  <si>
    <t>Prestige Premium</t>
  </si>
  <si>
    <t>LEV3 SULEV30</t>
  </si>
  <si>
    <t>Escalade</t>
  </si>
  <si>
    <t>ESV Premium</t>
  </si>
  <si>
    <t>LA</t>
  </si>
  <si>
    <t>Standard</t>
  </si>
  <si>
    <t>ASA33L/ASA38L/GSA33L/GSA38L</t>
  </si>
  <si>
    <t>LV3 - SIDI, VVT, Aluminum, E85 Max.</t>
  </si>
  <si>
    <t>Genesis</t>
  </si>
  <si>
    <t>3.8L</t>
  </si>
  <si>
    <t>Gasoline 3.8 DOHC MPI Lambda</t>
  </si>
  <si>
    <t>Yaris</t>
  </si>
  <si>
    <t>NCP91L / NCP93L</t>
  </si>
  <si>
    <t>1NZ-FE</t>
  </si>
  <si>
    <t>L87 - DI DFM, ALUM, GEN 5</t>
  </si>
  <si>
    <t>300S</t>
  </si>
  <si>
    <t>LY6</t>
  </si>
  <si>
    <t>LATITUDE (US-MEX)-NORTH(CAN)-LONGITUDE(Others)</t>
  </si>
  <si>
    <t>F-450</t>
  </si>
  <si>
    <t>F-Series Super Duty - Dual Rear Wheel</t>
  </si>
  <si>
    <t>Incomplete - Chassis Cab (Single Cab)</t>
  </si>
  <si>
    <t>2.7L-4V</t>
  </si>
  <si>
    <t>Sonic</t>
  </si>
  <si>
    <t>LUW - E85 MAX</t>
  </si>
  <si>
    <t>G37</t>
  </si>
  <si>
    <t>Mirage</t>
  </si>
  <si>
    <t>MEDIUM</t>
  </si>
  <si>
    <t>THAILAND</t>
  </si>
  <si>
    <t>NFA</t>
  </si>
  <si>
    <t>GLC-Class</t>
  </si>
  <si>
    <t>GLC300</t>
  </si>
  <si>
    <t>M264</t>
  </si>
  <si>
    <t>FINLAND</t>
  </si>
  <si>
    <t>LC9</t>
  </si>
  <si>
    <t>Preferred</t>
  </si>
  <si>
    <t>LUV: MFI, Variable Valve Timing, ALUM, E85 MAX</t>
  </si>
  <si>
    <t>Dragon DI TC</t>
  </si>
  <si>
    <t>Cooper</t>
  </si>
  <si>
    <t>XL</t>
  </si>
  <si>
    <t>LQ4 Iron</t>
  </si>
  <si>
    <t>1/2 ton</t>
  </si>
  <si>
    <t>L94</t>
  </si>
  <si>
    <t>Grade PLATINUM-CP</t>
  </si>
  <si>
    <t>M-Class</t>
  </si>
  <si>
    <t>ML550  4-M</t>
  </si>
  <si>
    <t>LT-L</t>
  </si>
  <si>
    <t>Limited Edition</t>
  </si>
  <si>
    <t>KK</t>
  </si>
  <si>
    <t>LLR</t>
  </si>
  <si>
    <t>6.8L 3V</t>
  </si>
  <si>
    <t>3.6 FSI SE w/Technology</t>
  </si>
  <si>
    <t>LUW - MFI, E85 MAX</t>
  </si>
  <si>
    <t>L, LX</t>
  </si>
  <si>
    <t>V6 Convertible</t>
  </si>
  <si>
    <t>EXL</t>
  </si>
  <si>
    <t>SE Base</t>
  </si>
  <si>
    <t>GDI LAMBDA ?</t>
  </si>
  <si>
    <t>XLE/XLE HV</t>
  </si>
  <si>
    <t>GSX50L/AXXH50L</t>
  </si>
  <si>
    <t>Ltd/SR5/SR5 Premium/TRD Off Road/TRD Off Road Premium/TRD Pro</t>
  </si>
  <si>
    <t>GRN280L/GRN285L</t>
  </si>
  <si>
    <t>Premium+Moonroof</t>
  </si>
  <si>
    <t>2.0L Turbo U4</t>
  </si>
  <si>
    <t>Thunderbird</t>
  </si>
  <si>
    <t>LC9 - Flex Fuel (GAS/ALC) Aluminium Cylinder, Deactivation FFV</t>
  </si>
  <si>
    <t>L/LE</t>
  </si>
  <si>
    <t>ZRE172L</t>
  </si>
  <si>
    <t>320i</t>
  </si>
  <si>
    <t>xDrive Sedan</t>
  </si>
  <si>
    <t>SOUTH AFRICA</t>
  </si>
  <si>
    <t>RT</t>
  </si>
  <si>
    <t>4Motion S</t>
  </si>
  <si>
    <t>LMG</t>
  </si>
  <si>
    <t>ATLANTA</t>
  </si>
  <si>
    <t>MKZ</t>
  </si>
  <si>
    <t>AWD MKZ Reserve II</t>
  </si>
  <si>
    <t>ZR2</t>
  </si>
  <si>
    <t>LG2 - DI: Direct Injection, VVT: Variable Valve Timing, ALUM, VAR2, GEN2</t>
  </si>
  <si>
    <t>Explorer Sport Trac</t>
  </si>
  <si>
    <t>Eclipse Cross</t>
  </si>
  <si>
    <t>SE, SEL, SKY, SAM</t>
  </si>
  <si>
    <t>TC/IC MIVEC</t>
  </si>
  <si>
    <t>350</t>
  </si>
  <si>
    <t>Blue/GLS/SE</t>
  </si>
  <si>
    <t>2.0 DOHC MIVEC</t>
  </si>
  <si>
    <t>Limited+M/R</t>
  </si>
  <si>
    <t>135i</t>
  </si>
  <si>
    <t>1-Series</t>
  </si>
  <si>
    <t>Solstice</t>
  </si>
  <si>
    <t>Outlander</t>
  </si>
  <si>
    <t>Fleet</t>
  </si>
  <si>
    <t>Crew</t>
  </si>
  <si>
    <t>LE2</t>
  </si>
  <si>
    <t>SRW Low Roof Van</t>
  </si>
  <si>
    <t>CLA-Class</t>
  </si>
  <si>
    <t>CLA250-4M</t>
  </si>
  <si>
    <t>L3T -  L3, SIDI, VVT, ALUM</t>
  </si>
  <si>
    <t>LR4</t>
  </si>
  <si>
    <t>Juke</t>
  </si>
  <si>
    <t>L86 -SIDI: Spark Ignition Direct Injection, VVT: Variable Valve Timing, AFM, E85 MAX, ALUM</t>
  </si>
  <si>
    <t>Caravan/Grand Caravan</t>
  </si>
  <si>
    <t>Base, C/V</t>
  </si>
  <si>
    <t>GSU75L</t>
  </si>
  <si>
    <t>ML250 BLUETEC</t>
  </si>
  <si>
    <t>GLS/ GLS Popular</t>
  </si>
  <si>
    <t>BADLANDS</t>
  </si>
  <si>
    <t>LX Premium</t>
  </si>
  <si>
    <t>ALFA ROMEO</t>
  </si>
  <si>
    <t>Giulia (952)</t>
  </si>
  <si>
    <t>GIULIA (BASE)</t>
  </si>
  <si>
    <t>LM2 - CRI, VGT, ALUM</t>
  </si>
  <si>
    <t>SEL FWD</t>
  </si>
  <si>
    <t>Passenger LT Ext</t>
  </si>
  <si>
    <t>L96 - Engine Flexible Fuel, Iron</t>
  </si>
  <si>
    <t>Fleet/Base</t>
  </si>
  <si>
    <t>LV3 - VVT, Aluminum, E85 Max</t>
  </si>
  <si>
    <t>4XE</t>
  </si>
  <si>
    <t>CS</t>
  </si>
  <si>
    <t>MKS</t>
  </si>
  <si>
    <t>EcoBoost AWD</t>
  </si>
  <si>
    <t>LX, EX</t>
  </si>
  <si>
    <t>Corsair</t>
  </si>
  <si>
    <t>Q50</t>
  </si>
  <si>
    <t>K24Z3</t>
  </si>
  <si>
    <t>X7</t>
  </si>
  <si>
    <t>xDrive40i</t>
  </si>
  <si>
    <t>S/SE/R-Line</t>
  </si>
  <si>
    <t>Captiva Sport</t>
  </si>
  <si>
    <t>LC9 - Flex Fuel (GAS/ALC), Aluminium Cylinder, Deactivation</t>
  </si>
  <si>
    <t>Arteon</t>
  </si>
  <si>
    <t>4Motion SEL R-Line</t>
  </si>
  <si>
    <t>LY2</t>
  </si>
  <si>
    <t>NA, U5</t>
  </si>
  <si>
    <t>LS (FL)</t>
  </si>
  <si>
    <t>L8T</t>
  </si>
  <si>
    <t>ES</t>
  </si>
  <si>
    <t>GSV40L/AVV60L</t>
  </si>
  <si>
    <t>PF</t>
  </si>
  <si>
    <t>DS</t>
  </si>
  <si>
    <t>Encore GX</t>
  </si>
  <si>
    <t>Sport Touring</t>
  </si>
  <si>
    <t>L3T</t>
  </si>
  <si>
    <t>SE, SEL, SEL R-Line, SEL R-Line Jet-Black</t>
  </si>
  <si>
    <t>Premier (2LZ)</t>
  </si>
  <si>
    <t>LFX - Spark Ignited Direct injection, VVT, E85 MAX, ALUM</t>
  </si>
  <si>
    <t>LE,CE</t>
  </si>
  <si>
    <t>MCL20L/MCL23L/MCL25L</t>
  </si>
  <si>
    <t>3MZ-FE</t>
  </si>
  <si>
    <t>LUJ</t>
  </si>
  <si>
    <t>Venue</t>
  </si>
  <si>
    <t>SEL / Limited</t>
  </si>
  <si>
    <t>GAMMA II</t>
  </si>
  <si>
    <t>L96 - E85 MAX, Iron</t>
  </si>
  <si>
    <t>3000GT</t>
  </si>
  <si>
    <t>HIGH</t>
  </si>
  <si>
    <t>Savana</t>
  </si>
  <si>
    <t>DT</t>
  </si>
  <si>
    <t>Wagoneer</t>
  </si>
  <si>
    <t>Series III</t>
  </si>
  <si>
    <t>LMG - Flex Fuel (Gas/ALC), Cylinder Deactivation Iron</t>
  </si>
  <si>
    <t>AXVA70L/GSV70L/AXVH70L</t>
  </si>
  <si>
    <t>HARLEY-DAVIDSON</t>
  </si>
  <si>
    <t>Road Glide Special</t>
  </si>
  <si>
    <t>FLTRXS</t>
  </si>
  <si>
    <t>Motorcycle - Touring / Sport Touring</t>
  </si>
  <si>
    <t>BOWLINGGREEN</t>
  </si>
  <si>
    <t>Touring L Plus</t>
  </si>
  <si>
    <t>EcoBoost</t>
  </si>
  <si>
    <t>Heavy Duty</t>
  </si>
  <si>
    <t>Seltos</t>
  </si>
  <si>
    <t>Nu</t>
  </si>
  <si>
    <t>S3</t>
  </si>
  <si>
    <t>L15BA</t>
  </si>
  <si>
    <t>C300-4M</t>
  </si>
  <si>
    <t>EX-T</t>
  </si>
  <si>
    <t>Voyager</t>
  </si>
  <si>
    <t>Performance</t>
  </si>
  <si>
    <t>A25A-FXS, 3NM+4NM(Li)</t>
  </si>
  <si>
    <t>LX, S</t>
  </si>
  <si>
    <t>XT5</t>
  </si>
  <si>
    <t>Premium Luxury</t>
  </si>
  <si>
    <t>LGX - DI: Direct Injection, VVT: Variable Valve Timing, ALUM, GEN 2</t>
  </si>
  <si>
    <t>1500 1/2 ton</t>
  </si>
  <si>
    <t>UX</t>
  </si>
  <si>
    <t>10 Series</t>
  </si>
  <si>
    <t>M20A-FXS, 3NM</t>
  </si>
  <si>
    <t>EV Wagon</t>
  </si>
  <si>
    <t>Latitude (US), Longitude (Bux), North (Can)</t>
  </si>
  <si>
    <t>XC60</t>
  </si>
  <si>
    <t>Momentum</t>
  </si>
  <si>
    <t>AWD</t>
  </si>
  <si>
    <t>B4204T(MP)</t>
  </si>
  <si>
    <t>2.0T GLI SE, SEL</t>
  </si>
  <si>
    <t>V35A-FTS</t>
  </si>
  <si>
    <t>SLE2 AWD</t>
  </si>
  <si>
    <t>EXL / EXL-NR</t>
  </si>
  <si>
    <t>J35Y7</t>
  </si>
  <si>
    <t>LL8</t>
  </si>
  <si>
    <t>Latitude(US,Mex), Longitude(Bux), North(Can)</t>
  </si>
  <si>
    <t>DOHC</t>
  </si>
  <si>
    <t>GSL20L/GSL23L/GSL25L</t>
  </si>
  <si>
    <t>Versa Note</t>
  </si>
  <si>
    <t>L/LE/SE/XLE/XSE/50th Anniv. Special Edition</t>
  </si>
  <si>
    <t>GSV60L/AVV60L</t>
  </si>
  <si>
    <t>Sport / Limited / Sport 2.0</t>
  </si>
  <si>
    <t>J30A5</t>
  </si>
  <si>
    <t>D grade</t>
  </si>
  <si>
    <t>GSL30L/GSL33L/GSL35L</t>
  </si>
  <si>
    <t>LE w/Premium pkg2</t>
  </si>
  <si>
    <t>ZRE212L</t>
  </si>
  <si>
    <t>3500 Cutaway</t>
  </si>
  <si>
    <t>R^2</t>
  </si>
  <si>
    <t>Sum</t>
  </si>
  <si>
    <t>Mean</t>
  </si>
  <si>
    <t>Standard Deviation</t>
  </si>
  <si>
    <t>XGB</t>
  </si>
  <si>
    <t>Catboost</t>
  </si>
  <si>
    <t>Catboost_Native</t>
  </si>
  <si>
    <t>Stacked</t>
  </si>
  <si>
    <t>RSME</t>
  </si>
  <si>
    <t>MAE</t>
  </si>
  <si>
    <t>on average, I’m off by $X</t>
  </si>
  <si>
    <t>penalizes large errors more</t>
  </si>
  <si>
    <t>% Error</t>
  </si>
  <si>
    <t>$ Error</t>
  </si>
  <si>
    <t>MAPE</t>
  </si>
  <si>
    <t>Mean Absolute Percentage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</si>
</sst>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64" fontId="0" fillId="2" borderId="0" xfId="0" applyNumberFormat="1" applyFill="1"/>
    <xf numFmtId="165" fontId="0" fillId="2" borderId="0" xfId="0" applyNumberFormat="1" applyFill="1"/>
    <xf numFmtId="0" fontId="1" fillId="3" borderId="1" xfId="0" applyFont="1" applyFill="1" applyBorder="1" applyAlignment="1">
      <alignment horizontal="center" vertical="top"/>
    </xf>
    <xf numFmtId="164" fontId="0" fillId="3" borderId="0" xfId="0" applyNumberFormat="1" applyFill="1"/>
    <xf numFmtId="165" fontId="0" fillId="3" borderId="0" xfId="0" applyNumberFormat="1" applyFill="1"/>
    <xf numFmtId="0" fontId="1" fillId="4" borderId="1" xfId="0" applyFont="1" applyFill="1" applyBorder="1" applyAlignment="1">
      <alignment horizontal="center" vertical="top"/>
    </xf>
    <xf numFmtId="165" fontId="1" fillId="4" borderId="1" xfId="0" applyNumberFormat="1" applyFont="1" applyFill="1" applyBorder="1" applyAlignment="1">
      <alignment horizontal="center" vertical="top"/>
    </xf>
    <xf numFmtId="164" fontId="0" fillId="4" borderId="0" xfId="0" applyNumberFormat="1" applyFill="1"/>
    <xf numFmtId="165" fontId="0" fillId="4" borderId="0" xfId="0" applyNumberFormat="1" applyFill="1"/>
    <xf numFmtId="0" fontId="1" fillId="5" borderId="1" xfId="0" applyFont="1" applyFill="1" applyBorder="1" applyAlignment="1">
      <alignment horizontal="center" vertical="top"/>
    </xf>
    <xf numFmtId="164" fontId="0" fillId="5" borderId="0" xfId="0" applyNumberFormat="1" applyFill="1"/>
    <xf numFmtId="165" fontId="0" fillId="5" borderId="0" xfId="0" applyNumberFormat="1" applyFill="1"/>
    <xf numFmtId="16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9525</xdr:colOff>
      <xdr:row>978</xdr:row>
      <xdr:rowOff>9525</xdr:rowOff>
    </xdr:from>
    <xdr:to>
      <xdr:col>37</xdr:col>
      <xdr:colOff>1019175</xdr:colOff>
      <xdr:row>984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14AD05-D4F4-3291-A942-844AB990AC39}"/>
            </a:ext>
          </a:extLst>
        </xdr:cNvPr>
        <xdr:cNvSpPr txBox="1"/>
      </xdr:nvSpPr>
      <xdr:spPr>
        <a:xfrm>
          <a:off x="58407300" y="186309000"/>
          <a:ext cx="4095750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Interpretation in car price project</a:t>
          </a:r>
        </a:p>
        <a:p>
          <a:r>
            <a:rPr lang="en-US" b="1"/>
            <a:t>MAPE &lt; 10%</a:t>
          </a:r>
          <a:r>
            <a:rPr lang="en-US"/>
            <a:t> → Excellent (very tight predictions).</a:t>
          </a:r>
        </a:p>
        <a:p>
          <a:r>
            <a:rPr lang="en-US" b="1"/>
            <a:t>10–20%</a:t>
          </a:r>
          <a:r>
            <a:rPr lang="en-US"/>
            <a:t> → Good/acceptable, depending on use case.</a:t>
          </a:r>
        </a:p>
        <a:p>
          <a:r>
            <a:rPr lang="en-US" b="1"/>
            <a:t>20–30%</a:t>
          </a:r>
          <a:r>
            <a:rPr lang="en-US"/>
            <a:t> → Moderate, may be too high if precise pricing is needed.</a:t>
          </a:r>
        </a:p>
        <a:p>
          <a:r>
            <a:rPr lang="en-US" b="1"/>
            <a:t>&gt;30%</a:t>
          </a:r>
          <a:r>
            <a:rPr lang="en-US"/>
            <a:t> → Weak, predictions too far off to trust for pricing decisions.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79"/>
  <sheetViews>
    <sheetView tabSelected="1" topLeftCell="AE1" zoomScale="93" zoomScaleNormal="93" workbookViewId="0">
      <selection activeCell="AQ11" sqref="AQ11"/>
    </sheetView>
  </sheetViews>
  <sheetFormatPr defaultRowHeight="15" x14ac:dyDescent="0.25"/>
  <cols>
    <col min="1" max="1" width="15.28515625" bestFit="1" customWidth="1"/>
    <col min="2" max="2" width="18.42578125" bestFit="1" customWidth="1"/>
    <col min="3" max="3" width="11.140625" bestFit="1" customWidth="1"/>
    <col min="4" max="4" width="12.28515625" bestFit="1" customWidth="1"/>
    <col min="5" max="5" width="17.7109375" bestFit="1" customWidth="1"/>
    <col min="6" max="6" width="21.28515625" bestFit="1" customWidth="1"/>
    <col min="7" max="7" width="117.140625" bestFit="1" customWidth="1"/>
    <col min="8" max="8" width="48.42578125" bestFit="1" customWidth="1"/>
    <col min="9" max="9" width="16.28515625" bestFit="1" customWidth="1"/>
    <col min="10" max="10" width="15.7109375" bestFit="1" customWidth="1"/>
    <col min="11" max="11" width="13.42578125" bestFit="1" customWidth="1"/>
    <col min="12" max="12" width="37.7109375" bestFit="1" customWidth="1"/>
    <col min="13" max="13" width="14.5703125" bestFit="1" customWidth="1"/>
    <col min="14" max="14" width="13" bestFit="1" customWidth="1"/>
    <col min="15" max="15" width="25.28515625" bestFit="1" customWidth="1"/>
    <col min="16" max="16" width="24" bestFit="1" customWidth="1"/>
    <col min="17" max="17" width="38.7109375" bestFit="1" customWidth="1"/>
    <col min="18" max="18" width="50.7109375" bestFit="1" customWidth="1"/>
    <col min="19" max="19" width="22.28515625" bestFit="1" customWidth="1"/>
    <col min="20" max="20" width="9.140625" bestFit="1" customWidth="1"/>
    <col min="21" max="21" width="24.42578125" bestFit="1" customWidth="1"/>
    <col min="22" max="22" width="26.7109375" bestFit="1" customWidth="1"/>
    <col min="23" max="23" width="81.28515625" bestFit="1" customWidth="1"/>
    <col min="24" max="24" width="38.5703125" bestFit="1" customWidth="1"/>
    <col min="25" max="25" width="21" bestFit="1" customWidth="1"/>
    <col min="26" max="26" width="9.28515625" bestFit="1" customWidth="1"/>
    <col min="27" max="27" width="4.5703125" bestFit="1" customWidth="1"/>
    <col min="28" max="28" width="7.28515625" bestFit="1" customWidth="1"/>
    <col min="29" max="29" width="15" bestFit="1" customWidth="1"/>
    <col min="30" max="30" width="29" bestFit="1" customWidth="1"/>
    <col min="31" max="31" width="29.7109375" bestFit="1" customWidth="1"/>
    <col min="32" max="32" width="17.28515625" bestFit="1" customWidth="1"/>
    <col min="33" max="33" width="17.7109375" bestFit="1" customWidth="1"/>
    <col min="34" max="34" width="11.42578125" bestFit="1" customWidth="1"/>
    <col min="35" max="35" width="15.42578125" bestFit="1" customWidth="1"/>
    <col min="36" max="36" width="15.42578125" customWidth="1"/>
    <col min="37" max="38" width="15.42578125" style="4" customWidth="1"/>
    <col min="39" max="39" width="19.5703125" bestFit="1" customWidth="1"/>
    <col min="40" max="42" width="19.5703125" customWidth="1"/>
    <col min="43" max="43" width="26.5703125" bestFit="1" customWidth="1"/>
    <col min="44" max="46" width="26.5703125" customWidth="1"/>
    <col min="47" max="47" width="18.5703125" bestFit="1" customWidth="1"/>
    <col min="48" max="48" width="18.5703125" customWidth="1"/>
    <col min="49" max="49" width="13.28515625" customWidth="1"/>
  </cols>
  <sheetData>
    <row r="1" spans="1:49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1" t="s">
        <v>2</v>
      </c>
      <c r="AI1" s="11" t="s">
        <v>34</v>
      </c>
      <c r="AJ1" s="11" t="s">
        <v>1251</v>
      </c>
      <c r="AK1" s="12" t="s">
        <v>1250</v>
      </c>
      <c r="AL1" s="8" t="s">
        <v>2</v>
      </c>
      <c r="AM1" s="8" t="s">
        <v>35</v>
      </c>
      <c r="AN1" s="8" t="s">
        <v>1251</v>
      </c>
      <c r="AO1" s="8" t="s">
        <v>1250</v>
      </c>
      <c r="AP1" s="15" t="s">
        <v>2</v>
      </c>
      <c r="AQ1" s="15" t="s">
        <v>36</v>
      </c>
      <c r="AR1" s="15" t="s">
        <v>1251</v>
      </c>
      <c r="AS1" s="15" t="s">
        <v>1250</v>
      </c>
      <c r="AT1" s="5" t="s">
        <v>2</v>
      </c>
      <c r="AU1" s="5" t="s">
        <v>37</v>
      </c>
      <c r="AV1" s="5" t="s">
        <v>1251</v>
      </c>
      <c r="AW1" s="5" t="s">
        <v>1250</v>
      </c>
    </row>
    <row r="2" spans="1:49" x14ac:dyDescent="0.25">
      <c r="A2" t="s">
        <v>38</v>
      </c>
      <c r="B2" t="s">
        <v>39</v>
      </c>
      <c r="C2">
        <v>63986</v>
      </c>
      <c r="D2">
        <v>2021</v>
      </c>
      <c r="E2" t="s">
        <v>40</v>
      </c>
      <c r="F2" t="s">
        <v>41</v>
      </c>
      <c r="G2" t="s">
        <v>42</v>
      </c>
      <c r="I2">
        <v>4</v>
      </c>
      <c r="J2" t="s">
        <v>43</v>
      </c>
      <c r="K2">
        <v>4</v>
      </c>
      <c r="L2" t="s">
        <v>44</v>
      </c>
      <c r="M2">
        <v>2.4</v>
      </c>
      <c r="N2" t="s">
        <v>45</v>
      </c>
      <c r="O2" t="s">
        <v>46</v>
      </c>
      <c r="P2">
        <v>5</v>
      </c>
      <c r="Q2" t="s">
        <v>47</v>
      </c>
      <c r="R2" t="s">
        <v>48</v>
      </c>
      <c r="S2" t="s">
        <v>49</v>
      </c>
      <c r="T2">
        <v>181</v>
      </c>
      <c r="U2" t="s">
        <v>50</v>
      </c>
      <c r="W2" t="s">
        <v>51</v>
      </c>
      <c r="X2" t="s">
        <v>52</v>
      </c>
      <c r="Y2" t="s">
        <v>53</v>
      </c>
      <c r="Z2">
        <v>26590</v>
      </c>
      <c r="AA2">
        <v>0</v>
      </c>
      <c r="AB2" t="s">
        <v>54</v>
      </c>
      <c r="AC2" t="s">
        <v>55</v>
      </c>
      <c r="AD2">
        <v>34</v>
      </c>
      <c r="AE2">
        <v>8</v>
      </c>
      <c r="AF2">
        <v>3</v>
      </c>
      <c r="AG2">
        <v>2025</v>
      </c>
      <c r="AH2" s="13">
        <v>15250</v>
      </c>
      <c r="AI2" s="13">
        <v>13152.3935546875</v>
      </c>
      <c r="AJ2" s="13">
        <f>ABS(AH2-AI2)</f>
        <v>2097.6064453125</v>
      </c>
      <c r="AK2" s="14">
        <f>ABS($AH2-AI2)/$AH2</f>
        <v>0.13754796362704919</v>
      </c>
      <c r="AL2" s="9">
        <v>15250</v>
      </c>
      <c r="AM2" s="9">
        <v>11924.37305689389</v>
      </c>
      <c r="AN2" s="9">
        <f>ABS(AL2-AM2)</f>
        <v>3325.62694310611</v>
      </c>
      <c r="AO2" s="10">
        <f>ABS($AL2-AM2)/$AL2</f>
        <v>0.21807389790859738</v>
      </c>
      <c r="AP2" s="16">
        <v>15250</v>
      </c>
      <c r="AQ2" s="16">
        <v>15812.280435226499</v>
      </c>
      <c r="AR2" s="16">
        <f>ABS(AP2-AQ2)</f>
        <v>562.28043522649932</v>
      </c>
      <c r="AS2" s="17">
        <f>ABS($AP2-AQ2)/$AP2</f>
        <v>3.6870848211573728E-2</v>
      </c>
      <c r="AT2" s="6">
        <v>15250</v>
      </c>
      <c r="AU2" s="6">
        <v>14904.330078125</v>
      </c>
      <c r="AV2" s="6">
        <f>ABS(AT2-AU2)</f>
        <v>345.669921875</v>
      </c>
      <c r="AW2" s="7">
        <f>ABS($AT2-AU2)/$AT2</f>
        <v>2.266688012295082E-2</v>
      </c>
    </row>
    <row r="3" spans="1:49" x14ac:dyDescent="0.25">
      <c r="A3" t="s">
        <v>56</v>
      </c>
      <c r="B3" t="s">
        <v>57</v>
      </c>
      <c r="C3">
        <v>64353</v>
      </c>
      <c r="D3">
        <v>2021</v>
      </c>
      <c r="E3" t="s">
        <v>58</v>
      </c>
      <c r="F3" t="s">
        <v>59</v>
      </c>
      <c r="G3" t="s">
        <v>60</v>
      </c>
      <c r="I3">
        <v>6</v>
      </c>
      <c r="J3" t="s">
        <v>61</v>
      </c>
      <c r="K3">
        <v>4</v>
      </c>
      <c r="L3" t="s">
        <v>44</v>
      </c>
      <c r="M3">
        <v>3</v>
      </c>
      <c r="N3" t="s">
        <v>62</v>
      </c>
      <c r="O3" t="s">
        <v>46</v>
      </c>
      <c r="P3">
        <v>3</v>
      </c>
      <c r="Q3" t="s">
        <v>47</v>
      </c>
      <c r="R3" t="s">
        <v>48</v>
      </c>
      <c r="S3" t="s">
        <v>63</v>
      </c>
      <c r="U3" t="s">
        <v>50</v>
      </c>
      <c r="V3" t="s">
        <v>64</v>
      </c>
      <c r="W3" t="s">
        <v>65</v>
      </c>
      <c r="X3" t="s">
        <v>66</v>
      </c>
      <c r="Y3" t="s">
        <v>67</v>
      </c>
      <c r="AA3">
        <v>0</v>
      </c>
      <c r="AB3" t="s">
        <v>54</v>
      </c>
      <c r="AC3" t="s">
        <v>68</v>
      </c>
      <c r="AD3">
        <v>34</v>
      </c>
      <c r="AE3">
        <v>8</v>
      </c>
      <c r="AF3">
        <v>3</v>
      </c>
      <c r="AG3">
        <v>2025</v>
      </c>
      <c r="AH3" s="13">
        <v>27800</v>
      </c>
      <c r="AI3" s="13">
        <v>26202.140625</v>
      </c>
      <c r="AJ3" s="13">
        <f t="shared" ref="AJ3:AJ66" si="0">ABS(AH3-AI3)</f>
        <v>1597.859375</v>
      </c>
      <c r="AK3" s="14">
        <f t="shared" ref="AK3:AK66" si="1">ABS($AH3-AI3)/$AH3</f>
        <v>5.7476955935251796E-2</v>
      </c>
      <c r="AL3" s="9">
        <v>27800</v>
      </c>
      <c r="AM3" s="9">
        <v>26256.675978966188</v>
      </c>
      <c r="AN3" s="9">
        <f t="shared" ref="AN3:AN66" si="2">ABS(AL3-AM3)</f>
        <v>1543.3240210338117</v>
      </c>
      <c r="AO3" s="10">
        <f t="shared" ref="AO3:AO66" si="3">ABS($AL3-AM3)/$AL3</f>
        <v>5.5515252555173082E-2</v>
      </c>
      <c r="AP3" s="16">
        <v>27800</v>
      </c>
      <c r="AQ3" s="16">
        <v>24704.15378473678</v>
      </c>
      <c r="AR3" s="16">
        <f t="shared" ref="AR3:AR66" si="4">ABS(AP3-AQ3)</f>
        <v>3095.8462152632201</v>
      </c>
      <c r="AS3" s="17">
        <f t="shared" ref="AS3:AS66" si="5">ABS($AP3-AQ3)/$AP3</f>
        <v>0.11136137464975612</v>
      </c>
      <c r="AT3" s="6">
        <v>27800</v>
      </c>
      <c r="AU3" s="6">
        <v>27990.0546875</v>
      </c>
      <c r="AV3" s="6">
        <f t="shared" ref="AV3:AV66" si="6">ABS(AT3-AU3)</f>
        <v>190.0546875</v>
      </c>
      <c r="AW3" s="7">
        <f t="shared" ref="AW3:AW66" si="7">ABS($AT3-AU3)/$AT3</f>
        <v>6.836499550359712E-3</v>
      </c>
    </row>
    <row r="4" spans="1:49" x14ac:dyDescent="0.25">
      <c r="A4" t="s">
        <v>69</v>
      </c>
      <c r="B4" t="s">
        <v>70</v>
      </c>
      <c r="C4">
        <v>40294</v>
      </c>
      <c r="D4">
        <v>2021</v>
      </c>
      <c r="E4" t="s">
        <v>71</v>
      </c>
      <c r="F4" t="s">
        <v>72</v>
      </c>
      <c r="G4" t="s">
        <v>73</v>
      </c>
      <c r="I4">
        <v>8</v>
      </c>
      <c r="J4" t="s">
        <v>74</v>
      </c>
      <c r="K4">
        <v>4</v>
      </c>
      <c r="L4" t="s">
        <v>44</v>
      </c>
      <c r="M4">
        <v>5.6</v>
      </c>
      <c r="N4" t="s">
        <v>62</v>
      </c>
      <c r="O4" t="s">
        <v>46</v>
      </c>
      <c r="P4">
        <v>4</v>
      </c>
      <c r="Q4" t="s">
        <v>75</v>
      </c>
      <c r="R4" t="s">
        <v>76</v>
      </c>
      <c r="S4" t="s">
        <v>63</v>
      </c>
      <c r="U4" t="s">
        <v>50</v>
      </c>
      <c r="X4" t="s">
        <v>77</v>
      </c>
      <c r="Y4" t="s">
        <v>67</v>
      </c>
      <c r="AA4">
        <v>0</v>
      </c>
      <c r="AB4" t="s">
        <v>54</v>
      </c>
      <c r="AC4" t="s">
        <v>78</v>
      </c>
      <c r="AD4">
        <v>34</v>
      </c>
      <c r="AE4">
        <v>8</v>
      </c>
      <c r="AF4">
        <v>3</v>
      </c>
      <c r="AG4">
        <v>2025</v>
      </c>
      <c r="AH4" s="13">
        <v>27250</v>
      </c>
      <c r="AI4" s="13">
        <v>31279.076171875</v>
      </c>
      <c r="AJ4" s="13">
        <f t="shared" si="0"/>
        <v>4029.076171875</v>
      </c>
      <c r="AK4" s="14">
        <f t="shared" si="1"/>
        <v>0.14785600630733944</v>
      </c>
      <c r="AL4" s="9">
        <v>27250</v>
      </c>
      <c r="AM4" s="9">
        <v>31867.196724611651</v>
      </c>
      <c r="AN4" s="9">
        <f t="shared" si="2"/>
        <v>4617.196724611651</v>
      </c>
      <c r="AO4" s="10">
        <f t="shared" si="3"/>
        <v>0.16943841191235418</v>
      </c>
      <c r="AP4" s="16">
        <v>27250</v>
      </c>
      <c r="AQ4" s="16">
        <v>30968.376572559631</v>
      </c>
      <c r="AR4" s="16">
        <f t="shared" si="4"/>
        <v>3718.3765725596313</v>
      </c>
      <c r="AS4" s="17">
        <f t="shared" si="5"/>
        <v>0.13645418614897731</v>
      </c>
      <c r="AT4" s="6">
        <v>27250</v>
      </c>
      <c r="AU4" s="6">
        <v>30718.796875</v>
      </c>
      <c r="AV4" s="6">
        <f t="shared" si="6"/>
        <v>3468.796875</v>
      </c>
      <c r="AW4" s="7">
        <f t="shared" si="7"/>
        <v>0.12729529816513763</v>
      </c>
    </row>
    <row r="5" spans="1:49" x14ac:dyDescent="0.25">
      <c r="A5" t="s">
        <v>56</v>
      </c>
      <c r="B5" t="s">
        <v>57</v>
      </c>
      <c r="C5">
        <v>151397</v>
      </c>
      <c r="D5">
        <v>2016</v>
      </c>
      <c r="E5" t="s">
        <v>79</v>
      </c>
      <c r="F5" t="s">
        <v>80</v>
      </c>
      <c r="G5" t="s">
        <v>81</v>
      </c>
      <c r="I5">
        <v>6</v>
      </c>
      <c r="J5" t="s">
        <v>82</v>
      </c>
      <c r="K5">
        <v>4</v>
      </c>
      <c r="L5" t="s">
        <v>44</v>
      </c>
      <c r="M5">
        <v>3.6</v>
      </c>
      <c r="N5" t="s">
        <v>45</v>
      </c>
      <c r="O5" t="s">
        <v>83</v>
      </c>
      <c r="P5">
        <v>2</v>
      </c>
      <c r="Q5" t="s">
        <v>84</v>
      </c>
      <c r="R5" t="s">
        <v>85</v>
      </c>
      <c r="U5" t="s">
        <v>50</v>
      </c>
      <c r="W5" t="s">
        <v>86</v>
      </c>
      <c r="X5" t="s">
        <v>87</v>
      </c>
      <c r="Y5" t="s">
        <v>88</v>
      </c>
      <c r="AA5">
        <v>0</v>
      </c>
      <c r="AB5" t="s">
        <v>54</v>
      </c>
      <c r="AC5" t="s">
        <v>89</v>
      </c>
      <c r="AD5">
        <v>34</v>
      </c>
      <c r="AE5">
        <v>8</v>
      </c>
      <c r="AF5">
        <v>3</v>
      </c>
      <c r="AG5">
        <v>2025</v>
      </c>
      <c r="AH5" s="13">
        <v>1100</v>
      </c>
      <c r="AI5" s="13">
        <v>1641.27490234375</v>
      </c>
      <c r="AJ5" s="13">
        <f t="shared" si="0"/>
        <v>541.27490234375</v>
      </c>
      <c r="AK5" s="14">
        <f t="shared" si="1"/>
        <v>0.49206809303977272</v>
      </c>
      <c r="AL5" s="9">
        <v>1100</v>
      </c>
      <c r="AM5" s="9">
        <v>1419.0573539299619</v>
      </c>
      <c r="AN5" s="9">
        <f t="shared" si="2"/>
        <v>319.05735392996189</v>
      </c>
      <c r="AO5" s="10">
        <f t="shared" si="3"/>
        <v>0.290052139936329</v>
      </c>
      <c r="AP5" s="16">
        <v>1100</v>
      </c>
      <c r="AQ5" s="16">
        <v>1226.768354738894</v>
      </c>
      <c r="AR5" s="16">
        <f t="shared" si="4"/>
        <v>126.768354738894</v>
      </c>
      <c r="AS5" s="17">
        <f t="shared" si="5"/>
        <v>0.11524395885354001</v>
      </c>
      <c r="AT5" s="6">
        <v>1100</v>
      </c>
      <c r="AU5" s="6">
        <v>1345.329467773438</v>
      </c>
      <c r="AV5" s="6">
        <f t="shared" si="6"/>
        <v>245.32946777343795</v>
      </c>
      <c r="AW5" s="7">
        <f t="shared" si="7"/>
        <v>0.22302678888494359</v>
      </c>
    </row>
    <row r="6" spans="1:49" x14ac:dyDescent="0.25">
      <c r="A6" t="s">
        <v>38</v>
      </c>
      <c r="B6" t="s">
        <v>90</v>
      </c>
      <c r="C6">
        <v>218677</v>
      </c>
      <c r="D6">
        <v>2002</v>
      </c>
      <c r="E6" t="s">
        <v>91</v>
      </c>
      <c r="F6" t="s">
        <v>92</v>
      </c>
      <c r="H6" t="s">
        <v>93</v>
      </c>
      <c r="I6">
        <v>4</v>
      </c>
      <c r="J6" t="s">
        <v>94</v>
      </c>
      <c r="K6">
        <v>4</v>
      </c>
      <c r="L6" t="s">
        <v>44</v>
      </c>
      <c r="M6">
        <v>2.4</v>
      </c>
      <c r="N6" t="s">
        <v>45</v>
      </c>
      <c r="O6" t="s">
        <v>46</v>
      </c>
      <c r="P6">
        <v>2</v>
      </c>
      <c r="Q6" t="s">
        <v>84</v>
      </c>
      <c r="R6" t="s">
        <v>85</v>
      </c>
      <c r="S6" t="s">
        <v>49</v>
      </c>
      <c r="T6">
        <v>136</v>
      </c>
      <c r="U6" t="s">
        <v>50</v>
      </c>
      <c r="V6" t="s">
        <v>95</v>
      </c>
      <c r="W6" t="s">
        <v>96</v>
      </c>
      <c r="X6" t="s">
        <v>87</v>
      </c>
      <c r="Y6" t="s">
        <v>97</v>
      </c>
      <c r="AA6">
        <v>0</v>
      </c>
      <c r="AB6" t="s">
        <v>54</v>
      </c>
      <c r="AC6" t="s">
        <v>89</v>
      </c>
      <c r="AD6">
        <v>34</v>
      </c>
      <c r="AE6">
        <v>8</v>
      </c>
      <c r="AF6">
        <v>3</v>
      </c>
      <c r="AG6">
        <v>2025</v>
      </c>
      <c r="AH6" s="13">
        <v>1100</v>
      </c>
      <c r="AI6" s="13">
        <v>685.64630126953125</v>
      </c>
      <c r="AJ6" s="13">
        <f t="shared" si="0"/>
        <v>414.35369873046875</v>
      </c>
      <c r="AK6" s="14">
        <f t="shared" si="1"/>
        <v>0.37668518066406248</v>
      </c>
      <c r="AL6" s="9">
        <v>1100</v>
      </c>
      <c r="AM6" s="9">
        <v>792.97978917456078</v>
      </c>
      <c r="AN6" s="9">
        <f t="shared" si="2"/>
        <v>307.02021082543922</v>
      </c>
      <c r="AO6" s="10">
        <f t="shared" si="3"/>
        <v>0.27910928256858109</v>
      </c>
      <c r="AP6" s="16">
        <v>1100</v>
      </c>
      <c r="AQ6" s="16">
        <v>584.26539072607693</v>
      </c>
      <c r="AR6" s="16">
        <f t="shared" si="4"/>
        <v>515.73460927392307</v>
      </c>
      <c r="AS6" s="17">
        <f t="shared" si="5"/>
        <v>0.4688496447944755</v>
      </c>
      <c r="AT6" s="6">
        <v>1100</v>
      </c>
      <c r="AU6" s="6">
        <v>622.7115478515625</v>
      </c>
      <c r="AV6" s="6">
        <f t="shared" si="6"/>
        <v>477.2884521484375</v>
      </c>
      <c r="AW6" s="7">
        <f t="shared" si="7"/>
        <v>0.43389859286221588</v>
      </c>
    </row>
    <row r="7" spans="1:49" x14ac:dyDescent="0.25">
      <c r="A7" t="s">
        <v>56</v>
      </c>
      <c r="B7" t="s">
        <v>57</v>
      </c>
      <c r="C7">
        <v>69250</v>
      </c>
      <c r="D7">
        <v>2020</v>
      </c>
      <c r="E7" t="s">
        <v>98</v>
      </c>
      <c r="F7" t="s">
        <v>99</v>
      </c>
      <c r="H7" t="s">
        <v>100</v>
      </c>
      <c r="I7">
        <v>4</v>
      </c>
      <c r="J7" t="s">
        <v>101</v>
      </c>
      <c r="K7">
        <v>4</v>
      </c>
      <c r="L7" t="s">
        <v>44</v>
      </c>
      <c r="M7">
        <v>2.5</v>
      </c>
      <c r="N7" t="s">
        <v>45</v>
      </c>
      <c r="O7" t="s">
        <v>46</v>
      </c>
      <c r="P7">
        <v>4</v>
      </c>
      <c r="Q7" t="s">
        <v>47</v>
      </c>
      <c r="R7" t="s">
        <v>48</v>
      </c>
      <c r="S7" t="s">
        <v>102</v>
      </c>
      <c r="U7" t="s">
        <v>50</v>
      </c>
      <c r="V7" t="s">
        <v>95</v>
      </c>
      <c r="W7" t="s">
        <v>103</v>
      </c>
      <c r="X7" t="s">
        <v>66</v>
      </c>
      <c r="Y7" t="s">
        <v>67</v>
      </c>
      <c r="AA7">
        <v>0</v>
      </c>
      <c r="AB7" t="s">
        <v>54</v>
      </c>
      <c r="AC7" t="s">
        <v>68</v>
      </c>
      <c r="AD7">
        <v>34</v>
      </c>
      <c r="AE7">
        <v>8</v>
      </c>
      <c r="AF7">
        <v>3</v>
      </c>
      <c r="AG7">
        <v>2025</v>
      </c>
      <c r="AH7" s="13">
        <v>16500</v>
      </c>
      <c r="AI7" s="13">
        <v>16323.359375</v>
      </c>
      <c r="AJ7" s="13">
        <f t="shared" si="0"/>
        <v>176.640625</v>
      </c>
      <c r="AK7" s="14">
        <f t="shared" si="1"/>
        <v>1.0705492424242425E-2</v>
      </c>
      <c r="AL7" s="9">
        <v>16500</v>
      </c>
      <c r="AM7" s="9">
        <v>19021.273249278791</v>
      </c>
      <c r="AN7" s="9">
        <f t="shared" si="2"/>
        <v>2521.2732492787909</v>
      </c>
      <c r="AO7" s="10">
        <f t="shared" si="3"/>
        <v>0.15280443935022975</v>
      </c>
      <c r="AP7" s="16">
        <v>16500</v>
      </c>
      <c r="AQ7" s="16">
        <v>17986.707717065699</v>
      </c>
      <c r="AR7" s="16">
        <f t="shared" si="4"/>
        <v>1486.7077170656994</v>
      </c>
      <c r="AS7" s="17">
        <f t="shared" si="5"/>
        <v>9.0103498003981777E-2</v>
      </c>
      <c r="AT7" s="6">
        <v>16500</v>
      </c>
      <c r="AU7" s="6">
        <v>18017.53515625</v>
      </c>
      <c r="AV7" s="6">
        <f t="shared" si="6"/>
        <v>1517.53515625</v>
      </c>
      <c r="AW7" s="7">
        <f t="shared" si="7"/>
        <v>9.1971827651515153E-2</v>
      </c>
    </row>
    <row r="8" spans="1:49" x14ac:dyDescent="0.25">
      <c r="A8" t="s">
        <v>56</v>
      </c>
      <c r="B8" t="s">
        <v>104</v>
      </c>
      <c r="C8">
        <v>221160</v>
      </c>
      <c r="D8">
        <v>2016</v>
      </c>
      <c r="E8" t="s">
        <v>71</v>
      </c>
      <c r="F8" t="s">
        <v>105</v>
      </c>
      <c r="I8">
        <v>4</v>
      </c>
      <c r="J8" t="s">
        <v>82</v>
      </c>
      <c r="K8">
        <v>4</v>
      </c>
      <c r="L8" t="s">
        <v>44</v>
      </c>
      <c r="M8">
        <v>1.6</v>
      </c>
      <c r="N8" t="s">
        <v>45</v>
      </c>
      <c r="O8" t="s">
        <v>46</v>
      </c>
      <c r="P8">
        <v>4</v>
      </c>
      <c r="Q8" t="s">
        <v>84</v>
      </c>
      <c r="R8" t="s">
        <v>85</v>
      </c>
      <c r="S8" t="s">
        <v>49</v>
      </c>
      <c r="U8" t="s">
        <v>50</v>
      </c>
      <c r="V8" t="s">
        <v>95</v>
      </c>
      <c r="X8" t="s">
        <v>87</v>
      </c>
      <c r="Y8" t="s">
        <v>106</v>
      </c>
      <c r="AA8">
        <v>0</v>
      </c>
      <c r="AB8" t="s">
        <v>54</v>
      </c>
      <c r="AC8" t="s">
        <v>89</v>
      </c>
      <c r="AD8">
        <v>34</v>
      </c>
      <c r="AE8">
        <v>8</v>
      </c>
      <c r="AF8">
        <v>3</v>
      </c>
      <c r="AG8">
        <v>2025</v>
      </c>
      <c r="AH8" s="13">
        <v>550</v>
      </c>
      <c r="AI8" s="13">
        <v>756.54437255859375</v>
      </c>
      <c r="AJ8" s="13">
        <f t="shared" si="0"/>
        <v>206.54437255859375</v>
      </c>
      <c r="AK8" s="14">
        <f t="shared" si="1"/>
        <v>0.3755352228338068</v>
      </c>
      <c r="AL8" s="9">
        <v>550</v>
      </c>
      <c r="AM8" s="9">
        <v>937.95633732694841</v>
      </c>
      <c r="AN8" s="9">
        <f t="shared" si="2"/>
        <v>387.95633732694841</v>
      </c>
      <c r="AO8" s="10">
        <f t="shared" si="3"/>
        <v>0.70537515877626988</v>
      </c>
      <c r="AP8" s="16">
        <v>550</v>
      </c>
      <c r="AQ8" s="16">
        <v>745.9842742754123</v>
      </c>
      <c r="AR8" s="16">
        <f t="shared" si="4"/>
        <v>195.9842742754123</v>
      </c>
      <c r="AS8" s="17">
        <f t="shared" si="5"/>
        <v>0.35633504413711325</v>
      </c>
      <c r="AT8" s="6">
        <v>550</v>
      </c>
      <c r="AU8" s="6">
        <v>894.83624267578125</v>
      </c>
      <c r="AV8" s="6">
        <f t="shared" si="6"/>
        <v>344.83624267578125</v>
      </c>
      <c r="AW8" s="7">
        <f t="shared" si="7"/>
        <v>0.62697498668323859</v>
      </c>
    </row>
    <row r="9" spans="1:49" x14ac:dyDescent="0.25">
      <c r="A9" t="s">
        <v>107</v>
      </c>
      <c r="B9" t="s">
        <v>108</v>
      </c>
      <c r="C9">
        <v>140070</v>
      </c>
      <c r="D9">
        <v>2014</v>
      </c>
      <c r="E9" t="s">
        <v>98</v>
      </c>
      <c r="F9" t="s">
        <v>109</v>
      </c>
      <c r="H9" t="s">
        <v>110</v>
      </c>
      <c r="I9">
        <v>4</v>
      </c>
      <c r="J9" t="s">
        <v>101</v>
      </c>
      <c r="K9">
        <v>4</v>
      </c>
      <c r="L9" t="s">
        <v>44</v>
      </c>
      <c r="M9">
        <v>2.4</v>
      </c>
      <c r="N9" t="s">
        <v>45</v>
      </c>
      <c r="O9" t="s">
        <v>46</v>
      </c>
      <c r="P9">
        <v>1</v>
      </c>
      <c r="Q9" t="s">
        <v>47</v>
      </c>
      <c r="R9" t="s">
        <v>48</v>
      </c>
      <c r="S9" t="s">
        <v>102</v>
      </c>
      <c r="U9" t="s">
        <v>50</v>
      </c>
      <c r="W9" t="s">
        <v>111</v>
      </c>
      <c r="X9" t="s">
        <v>52</v>
      </c>
      <c r="Y9" t="s">
        <v>88</v>
      </c>
      <c r="AA9">
        <v>0</v>
      </c>
      <c r="AB9" t="s">
        <v>54</v>
      </c>
      <c r="AC9" t="s">
        <v>55</v>
      </c>
      <c r="AD9">
        <v>34</v>
      </c>
      <c r="AE9">
        <v>8</v>
      </c>
      <c r="AF9">
        <v>3</v>
      </c>
      <c r="AG9">
        <v>2025</v>
      </c>
      <c r="AH9" s="13">
        <v>2100</v>
      </c>
      <c r="AI9" s="13">
        <v>1528.183959960938</v>
      </c>
      <c r="AJ9" s="13">
        <f t="shared" si="0"/>
        <v>571.81604003906205</v>
      </c>
      <c r="AK9" s="14">
        <f t="shared" si="1"/>
        <v>0.27229335239955338</v>
      </c>
      <c r="AL9" s="9">
        <v>2100</v>
      </c>
      <c r="AM9" s="9">
        <v>1669.625131528237</v>
      </c>
      <c r="AN9" s="9">
        <f t="shared" si="2"/>
        <v>430.37486847176297</v>
      </c>
      <c r="AO9" s="10">
        <f t="shared" si="3"/>
        <v>0.20494041355798237</v>
      </c>
      <c r="AP9" s="16">
        <v>2100</v>
      </c>
      <c r="AQ9" s="16">
        <v>1630.3807255984541</v>
      </c>
      <c r="AR9" s="16">
        <f t="shared" si="4"/>
        <v>469.61927440154591</v>
      </c>
      <c r="AS9" s="17">
        <f t="shared" si="5"/>
        <v>0.22362822590549805</v>
      </c>
      <c r="AT9" s="6">
        <v>2100</v>
      </c>
      <c r="AU9" s="6">
        <v>1685.313842773438</v>
      </c>
      <c r="AV9" s="6">
        <f t="shared" si="6"/>
        <v>414.68615722656205</v>
      </c>
      <c r="AW9" s="7">
        <f t="shared" si="7"/>
        <v>0.19746959867931527</v>
      </c>
    </row>
    <row r="10" spans="1:49" x14ac:dyDescent="0.25">
      <c r="A10" t="s">
        <v>69</v>
      </c>
      <c r="B10" t="s">
        <v>112</v>
      </c>
      <c r="C10">
        <v>107412</v>
      </c>
      <c r="D10">
        <v>2019</v>
      </c>
      <c r="E10" t="s">
        <v>113</v>
      </c>
      <c r="F10" t="s">
        <v>114</v>
      </c>
      <c r="G10" t="s">
        <v>115</v>
      </c>
      <c r="I10">
        <v>6</v>
      </c>
      <c r="J10" t="s">
        <v>74</v>
      </c>
      <c r="K10">
        <v>4</v>
      </c>
      <c r="L10" t="s">
        <v>44</v>
      </c>
      <c r="M10">
        <v>3.6</v>
      </c>
      <c r="N10" t="s">
        <v>116</v>
      </c>
      <c r="O10" t="s">
        <v>83</v>
      </c>
      <c r="P10">
        <v>4</v>
      </c>
      <c r="Q10" t="s">
        <v>84</v>
      </c>
      <c r="R10" t="s">
        <v>85</v>
      </c>
      <c r="S10" t="s">
        <v>117</v>
      </c>
      <c r="T10">
        <v>292</v>
      </c>
      <c r="U10" t="s">
        <v>50</v>
      </c>
      <c r="V10" t="s">
        <v>64</v>
      </c>
      <c r="X10" t="s">
        <v>87</v>
      </c>
      <c r="Y10" t="s">
        <v>88</v>
      </c>
      <c r="AA10">
        <v>0</v>
      </c>
      <c r="AB10" t="s">
        <v>54</v>
      </c>
      <c r="AC10" t="s">
        <v>89</v>
      </c>
      <c r="AD10">
        <v>34</v>
      </c>
      <c r="AE10">
        <v>8</v>
      </c>
      <c r="AF10">
        <v>3</v>
      </c>
      <c r="AG10">
        <v>2025</v>
      </c>
      <c r="AH10" s="13">
        <v>12700</v>
      </c>
      <c r="AI10" s="13">
        <v>10051.0068359375</v>
      </c>
      <c r="AJ10" s="13">
        <f t="shared" si="0"/>
        <v>2648.9931640625</v>
      </c>
      <c r="AK10" s="14">
        <f t="shared" si="1"/>
        <v>0.20858213890255906</v>
      </c>
      <c r="AL10" s="9">
        <v>12700</v>
      </c>
      <c r="AM10" s="9">
        <v>8890.3987528504822</v>
      </c>
      <c r="AN10" s="9">
        <f t="shared" si="2"/>
        <v>3809.6012471495178</v>
      </c>
      <c r="AO10" s="10">
        <f t="shared" si="3"/>
        <v>0.29996860213775733</v>
      </c>
      <c r="AP10" s="16">
        <v>12700</v>
      </c>
      <c r="AQ10" s="16">
        <v>7581.5022589772097</v>
      </c>
      <c r="AR10" s="16">
        <f t="shared" si="4"/>
        <v>5118.4977410227903</v>
      </c>
      <c r="AS10" s="17">
        <f t="shared" si="5"/>
        <v>0.40303131819077087</v>
      </c>
      <c r="AT10" s="6">
        <v>12700</v>
      </c>
      <c r="AU10" s="6">
        <v>9828.1015625</v>
      </c>
      <c r="AV10" s="6">
        <f t="shared" si="6"/>
        <v>2871.8984375</v>
      </c>
      <c r="AW10" s="7">
        <f t="shared" si="7"/>
        <v>0.22613373523622046</v>
      </c>
    </row>
    <row r="11" spans="1:49" x14ac:dyDescent="0.25">
      <c r="A11" t="s">
        <v>38</v>
      </c>
      <c r="B11" t="s">
        <v>118</v>
      </c>
      <c r="C11">
        <v>144525</v>
      </c>
      <c r="D11">
        <v>2019</v>
      </c>
      <c r="E11" t="s">
        <v>40</v>
      </c>
      <c r="F11" t="s">
        <v>119</v>
      </c>
      <c r="G11" t="s">
        <v>120</v>
      </c>
      <c r="I11">
        <v>4</v>
      </c>
      <c r="J11" t="s">
        <v>74</v>
      </c>
      <c r="K11">
        <v>4</v>
      </c>
      <c r="L11" t="s">
        <v>44</v>
      </c>
      <c r="M11">
        <v>1.6</v>
      </c>
      <c r="N11" t="s">
        <v>45</v>
      </c>
      <c r="O11" t="s">
        <v>46</v>
      </c>
      <c r="Q11" t="s">
        <v>47</v>
      </c>
      <c r="R11" t="s">
        <v>48</v>
      </c>
      <c r="S11" t="s">
        <v>49</v>
      </c>
      <c r="T11">
        <v>130</v>
      </c>
      <c r="U11" t="s">
        <v>50</v>
      </c>
      <c r="W11" t="s">
        <v>121</v>
      </c>
      <c r="X11" t="s">
        <v>122</v>
      </c>
      <c r="Y11" t="s">
        <v>53</v>
      </c>
      <c r="AA11">
        <v>0</v>
      </c>
      <c r="AB11" t="s">
        <v>54</v>
      </c>
      <c r="AC11" t="s">
        <v>55</v>
      </c>
      <c r="AD11">
        <v>34</v>
      </c>
      <c r="AE11">
        <v>8</v>
      </c>
      <c r="AF11">
        <v>3</v>
      </c>
      <c r="AG11">
        <v>2025</v>
      </c>
      <c r="AH11" s="13">
        <v>2400</v>
      </c>
      <c r="AI11" s="13">
        <v>3027.60595703125</v>
      </c>
      <c r="AJ11" s="13">
        <f t="shared" si="0"/>
        <v>627.60595703125</v>
      </c>
      <c r="AK11" s="14">
        <f t="shared" si="1"/>
        <v>0.26150248209635418</v>
      </c>
      <c r="AL11" s="9">
        <v>2400</v>
      </c>
      <c r="AM11" s="9">
        <v>3137.2754886563239</v>
      </c>
      <c r="AN11" s="9">
        <f t="shared" si="2"/>
        <v>737.27548865632389</v>
      </c>
      <c r="AO11" s="10">
        <f t="shared" si="3"/>
        <v>0.30719812027346827</v>
      </c>
      <c r="AP11" s="16">
        <v>2400</v>
      </c>
      <c r="AQ11" s="16">
        <v>3221.0251392080522</v>
      </c>
      <c r="AR11" s="16">
        <f t="shared" si="4"/>
        <v>821.02513920805222</v>
      </c>
      <c r="AS11" s="17">
        <f t="shared" si="5"/>
        <v>0.34209380800335509</v>
      </c>
      <c r="AT11" s="6">
        <v>2400</v>
      </c>
      <c r="AU11" s="6">
        <v>3339.486083984375</v>
      </c>
      <c r="AV11" s="6">
        <f t="shared" si="6"/>
        <v>939.486083984375</v>
      </c>
      <c r="AW11" s="7">
        <f t="shared" si="7"/>
        <v>0.39145253499348959</v>
      </c>
    </row>
    <row r="12" spans="1:49" x14ac:dyDescent="0.25">
      <c r="A12" t="s">
        <v>56</v>
      </c>
      <c r="B12" t="s">
        <v>123</v>
      </c>
      <c r="C12">
        <v>101274</v>
      </c>
      <c r="D12">
        <v>2013</v>
      </c>
      <c r="E12" t="s">
        <v>124</v>
      </c>
      <c r="F12" t="s">
        <v>125</v>
      </c>
      <c r="G12" t="s">
        <v>126</v>
      </c>
      <c r="I12">
        <v>4</v>
      </c>
      <c r="J12" t="s">
        <v>127</v>
      </c>
      <c r="K12">
        <v>4</v>
      </c>
      <c r="L12" t="s">
        <v>44</v>
      </c>
      <c r="M12">
        <v>1.8</v>
      </c>
      <c r="N12" t="s">
        <v>45</v>
      </c>
      <c r="O12" t="s">
        <v>46</v>
      </c>
      <c r="P12">
        <v>3</v>
      </c>
      <c r="Q12" t="s">
        <v>84</v>
      </c>
      <c r="R12" t="s">
        <v>85</v>
      </c>
      <c r="U12" t="s">
        <v>50</v>
      </c>
      <c r="X12" t="s">
        <v>87</v>
      </c>
      <c r="Y12" t="s">
        <v>67</v>
      </c>
      <c r="AA12">
        <v>0</v>
      </c>
      <c r="AB12" t="s">
        <v>54</v>
      </c>
      <c r="AC12" t="s">
        <v>89</v>
      </c>
      <c r="AD12">
        <v>34</v>
      </c>
      <c r="AE12">
        <v>8</v>
      </c>
      <c r="AF12">
        <v>3</v>
      </c>
      <c r="AG12">
        <v>2025</v>
      </c>
      <c r="AH12" s="13">
        <v>1500</v>
      </c>
      <c r="AI12" s="13">
        <v>2999.020263671875</v>
      </c>
      <c r="AJ12" s="13">
        <f t="shared" si="0"/>
        <v>1499.020263671875</v>
      </c>
      <c r="AK12" s="14">
        <f t="shared" si="1"/>
        <v>0.99934684244791672</v>
      </c>
      <c r="AL12" s="9">
        <v>1500</v>
      </c>
      <c r="AM12" s="9">
        <v>2369.6512071353609</v>
      </c>
      <c r="AN12" s="9">
        <f t="shared" si="2"/>
        <v>869.65120713536089</v>
      </c>
      <c r="AO12" s="10">
        <f t="shared" si="3"/>
        <v>0.57976747142357388</v>
      </c>
      <c r="AP12" s="16">
        <v>1500</v>
      </c>
      <c r="AQ12" s="16">
        <v>2643.6926939960122</v>
      </c>
      <c r="AR12" s="16">
        <f t="shared" si="4"/>
        <v>1143.6926939960122</v>
      </c>
      <c r="AS12" s="17">
        <f t="shared" si="5"/>
        <v>0.76246179599734143</v>
      </c>
      <c r="AT12" s="6">
        <v>1500</v>
      </c>
      <c r="AU12" s="6">
        <v>2425.600830078125</v>
      </c>
      <c r="AV12" s="6">
        <f t="shared" si="6"/>
        <v>925.600830078125</v>
      </c>
      <c r="AW12" s="7">
        <f t="shared" si="7"/>
        <v>0.61706722005208337</v>
      </c>
    </row>
    <row r="13" spans="1:49" x14ac:dyDescent="0.25">
      <c r="A13" t="s">
        <v>69</v>
      </c>
      <c r="B13" t="s">
        <v>128</v>
      </c>
      <c r="C13">
        <v>199482</v>
      </c>
      <c r="D13">
        <v>2010</v>
      </c>
      <c r="E13" t="s">
        <v>71</v>
      </c>
      <c r="F13" t="s">
        <v>129</v>
      </c>
      <c r="I13">
        <v>4</v>
      </c>
      <c r="J13" t="s">
        <v>43</v>
      </c>
      <c r="K13">
        <v>4</v>
      </c>
      <c r="L13" t="s">
        <v>44</v>
      </c>
      <c r="M13">
        <v>2.5</v>
      </c>
      <c r="N13" t="s">
        <v>45</v>
      </c>
      <c r="O13" t="s">
        <v>42</v>
      </c>
      <c r="P13">
        <v>1</v>
      </c>
      <c r="Q13" t="s">
        <v>84</v>
      </c>
      <c r="R13" t="s">
        <v>85</v>
      </c>
      <c r="S13" t="s">
        <v>49</v>
      </c>
      <c r="U13" t="s">
        <v>50</v>
      </c>
      <c r="X13" t="s">
        <v>87</v>
      </c>
      <c r="Y13" t="s">
        <v>67</v>
      </c>
      <c r="AA13">
        <v>1</v>
      </c>
      <c r="AB13" t="s">
        <v>130</v>
      </c>
      <c r="AC13" t="s">
        <v>131</v>
      </c>
      <c r="AD13">
        <v>34</v>
      </c>
      <c r="AE13">
        <v>8</v>
      </c>
      <c r="AF13">
        <v>3</v>
      </c>
      <c r="AG13">
        <v>2025</v>
      </c>
      <c r="AH13" s="13">
        <v>300</v>
      </c>
      <c r="AI13" s="13">
        <v>458.71737670898438</v>
      </c>
      <c r="AJ13" s="13">
        <f t="shared" si="0"/>
        <v>158.71737670898438</v>
      </c>
      <c r="AK13" s="14">
        <f t="shared" si="1"/>
        <v>0.5290579223632812</v>
      </c>
      <c r="AL13" s="9">
        <v>300</v>
      </c>
      <c r="AM13" s="9">
        <v>329.72239410989368</v>
      </c>
      <c r="AN13" s="9">
        <f t="shared" si="2"/>
        <v>29.722394109893685</v>
      </c>
      <c r="AO13" s="10">
        <f t="shared" si="3"/>
        <v>9.9074647032978955E-2</v>
      </c>
      <c r="AP13" s="16">
        <v>300</v>
      </c>
      <c r="AQ13" s="16">
        <v>301.94702000639012</v>
      </c>
      <c r="AR13" s="16">
        <f t="shared" si="4"/>
        <v>1.9470200063901189</v>
      </c>
      <c r="AS13" s="17">
        <f t="shared" si="5"/>
        <v>6.4900666879670627E-3</v>
      </c>
      <c r="AT13" s="6">
        <v>300</v>
      </c>
      <c r="AU13" s="6">
        <v>425.54299926757813</v>
      </c>
      <c r="AV13" s="6">
        <f t="shared" si="6"/>
        <v>125.54299926757813</v>
      </c>
      <c r="AW13" s="7">
        <f t="shared" si="7"/>
        <v>0.41847666422526042</v>
      </c>
    </row>
    <row r="14" spans="1:49" x14ac:dyDescent="0.25">
      <c r="A14" t="s">
        <v>38</v>
      </c>
      <c r="B14" t="s">
        <v>132</v>
      </c>
      <c r="C14">
        <v>334349</v>
      </c>
      <c r="D14">
        <v>2011</v>
      </c>
      <c r="E14" t="s">
        <v>79</v>
      </c>
      <c r="F14" t="s">
        <v>80</v>
      </c>
      <c r="G14" t="s">
        <v>133</v>
      </c>
      <c r="I14">
        <v>6</v>
      </c>
      <c r="J14" t="s">
        <v>82</v>
      </c>
      <c r="K14">
        <v>4</v>
      </c>
      <c r="L14" t="s">
        <v>44</v>
      </c>
      <c r="M14">
        <v>3.5</v>
      </c>
      <c r="N14" t="s">
        <v>45</v>
      </c>
      <c r="O14" t="s">
        <v>46</v>
      </c>
      <c r="P14">
        <v>3</v>
      </c>
      <c r="Q14" t="s">
        <v>84</v>
      </c>
      <c r="R14" t="s">
        <v>85</v>
      </c>
      <c r="U14" t="s">
        <v>134</v>
      </c>
      <c r="V14" t="s">
        <v>64</v>
      </c>
      <c r="W14" t="s">
        <v>135</v>
      </c>
      <c r="X14" t="s">
        <v>87</v>
      </c>
      <c r="Y14" t="s">
        <v>88</v>
      </c>
      <c r="AA14">
        <v>0</v>
      </c>
      <c r="AB14" t="s">
        <v>54</v>
      </c>
      <c r="AC14" t="s">
        <v>89</v>
      </c>
      <c r="AD14">
        <v>34</v>
      </c>
      <c r="AE14">
        <v>8</v>
      </c>
      <c r="AF14">
        <v>3</v>
      </c>
      <c r="AG14">
        <v>2025</v>
      </c>
      <c r="AH14" s="13">
        <v>1000</v>
      </c>
      <c r="AI14" s="13">
        <v>836.60528564453125</v>
      </c>
      <c r="AJ14" s="13">
        <f t="shared" si="0"/>
        <v>163.39471435546875</v>
      </c>
      <c r="AK14" s="14">
        <f t="shared" si="1"/>
        <v>0.16339471435546876</v>
      </c>
      <c r="AL14" s="9">
        <v>1000</v>
      </c>
      <c r="AM14" s="9">
        <v>821.51746709998997</v>
      </c>
      <c r="AN14" s="9">
        <f t="shared" si="2"/>
        <v>178.48253290001003</v>
      </c>
      <c r="AO14" s="10">
        <f t="shared" si="3"/>
        <v>0.17848253290001004</v>
      </c>
      <c r="AP14" s="16">
        <v>1000</v>
      </c>
      <c r="AQ14" s="16">
        <v>554.60789540991607</v>
      </c>
      <c r="AR14" s="16">
        <f t="shared" si="4"/>
        <v>445.39210459008393</v>
      </c>
      <c r="AS14" s="17">
        <f t="shared" si="5"/>
        <v>0.44539210459008394</v>
      </c>
      <c r="AT14" s="6">
        <v>1000</v>
      </c>
      <c r="AU14" s="6">
        <v>653.0634765625</v>
      </c>
      <c r="AV14" s="6">
        <f t="shared" si="6"/>
        <v>346.9365234375</v>
      </c>
      <c r="AW14" s="7">
        <f t="shared" si="7"/>
        <v>0.34693652343749998</v>
      </c>
    </row>
    <row r="15" spans="1:49" x14ac:dyDescent="0.25">
      <c r="A15" t="s">
        <v>107</v>
      </c>
      <c r="B15" t="s">
        <v>108</v>
      </c>
      <c r="C15">
        <v>30606</v>
      </c>
      <c r="D15">
        <v>2023</v>
      </c>
      <c r="E15" t="s">
        <v>136</v>
      </c>
      <c r="F15" t="s">
        <v>137</v>
      </c>
      <c r="G15" t="s">
        <v>138</v>
      </c>
      <c r="I15">
        <v>4</v>
      </c>
      <c r="J15" t="s">
        <v>74</v>
      </c>
      <c r="K15">
        <v>4</v>
      </c>
      <c r="L15" t="s">
        <v>44</v>
      </c>
      <c r="M15">
        <v>2</v>
      </c>
      <c r="N15" t="s">
        <v>44</v>
      </c>
      <c r="O15" t="s">
        <v>46</v>
      </c>
      <c r="P15">
        <v>4</v>
      </c>
      <c r="Q15" t="s">
        <v>47</v>
      </c>
      <c r="R15" t="s">
        <v>48</v>
      </c>
      <c r="S15" t="s">
        <v>139</v>
      </c>
      <c r="T15">
        <v>235</v>
      </c>
      <c r="U15" t="s">
        <v>50</v>
      </c>
      <c r="W15" t="s">
        <v>140</v>
      </c>
      <c r="X15" t="s">
        <v>141</v>
      </c>
      <c r="Y15" t="s">
        <v>67</v>
      </c>
      <c r="AA15">
        <v>0</v>
      </c>
      <c r="AB15" t="s">
        <v>54</v>
      </c>
      <c r="AC15" t="s">
        <v>55</v>
      </c>
      <c r="AD15">
        <v>34</v>
      </c>
      <c r="AE15">
        <v>8</v>
      </c>
      <c r="AF15">
        <v>3</v>
      </c>
      <c r="AG15">
        <v>2025</v>
      </c>
      <c r="AH15" s="13">
        <v>25200</v>
      </c>
      <c r="AI15" s="13">
        <v>24584.001953125</v>
      </c>
      <c r="AJ15" s="13">
        <f t="shared" si="0"/>
        <v>615.998046875</v>
      </c>
      <c r="AK15" s="14">
        <f t="shared" si="1"/>
        <v>2.4444366939484128E-2</v>
      </c>
      <c r="AL15" s="9">
        <v>25200</v>
      </c>
      <c r="AM15" s="9">
        <v>23469.40818172189</v>
      </c>
      <c r="AN15" s="9">
        <f t="shared" si="2"/>
        <v>1730.5918182781097</v>
      </c>
      <c r="AO15" s="10">
        <f t="shared" si="3"/>
        <v>6.8674278503099595E-2</v>
      </c>
      <c r="AP15" s="16">
        <v>25200</v>
      </c>
      <c r="AQ15" s="16">
        <v>21678.256502841901</v>
      </c>
      <c r="AR15" s="16">
        <f t="shared" si="4"/>
        <v>3521.7434971580988</v>
      </c>
      <c r="AS15" s="17">
        <f t="shared" si="5"/>
        <v>0.13975172607770234</v>
      </c>
      <c r="AT15" s="6">
        <v>25200</v>
      </c>
      <c r="AU15" s="6">
        <v>22997.28125</v>
      </c>
      <c r="AV15" s="6">
        <f t="shared" si="6"/>
        <v>2202.71875</v>
      </c>
      <c r="AW15" s="7">
        <f t="shared" si="7"/>
        <v>8.7409474206349203E-2</v>
      </c>
    </row>
    <row r="16" spans="1:49" x14ac:dyDescent="0.25">
      <c r="A16" t="s">
        <v>56</v>
      </c>
      <c r="B16" t="s">
        <v>104</v>
      </c>
      <c r="C16">
        <v>111652</v>
      </c>
      <c r="D16">
        <v>2015</v>
      </c>
      <c r="E16" t="s">
        <v>113</v>
      </c>
      <c r="F16" t="s">
        <v>142</v>
      </c>
      <c r="G16" t="s">
        <v>143</v>
      </c>
      <c r="I16">
        <v>6</v>
      </c>
      <c r="J16" t="s">
        <v>82</v>
      </c>
      <c r="K16">
        <v>4</v>
      </c>
      <c r="L16" t="s">
        <v>44</v>
      </c>
      <c r="M16">
        <v>3.6</v>
      </c>
      <c r="N16" t="s">
        <v>44</v>
      </c>
      <c r="Q16" t="s">
        <v>47</v>
      </c>
      <c r="R16" t="s">
        <v>48</v>
      </c>
      <c r="S16" t="s">
        <v>139</v>
      </c>
      <c r="T16">
        <v>295</v>
      </c>
      <c r="U16" t="s">
        <v>50</v>
      </c>
      <c r="V16" t="s">
        <v>64</v>
      </c>
      <c r="X16" t="s">
        <v>66</v>
      </c>
      <c r="Y16" t="s">
        <v>67</v>
      </c>
      <c r="AA16">
        <v>0</v>
      </c>
      <c r="AB16" t="s">
        <v>54</v>
      </c>
      <c r="AC16" t="s">
        <v>55</v>
      </c>
      <c r="AD16">
        <v>34</v>
      </c>
      <c r="AE16">
        <v>8</v>
      </c>
      <c r="AF16">
        <v>3</v>
      </c>
      <c r="AG16">
        <v>2025</v>
      </c>
      <c r="AH16" s="13">
        <v>6600</v>
      </c>
      <c r="AI16" s="13">
        <v>9004.2255859375</v>
      </c>
      <c r="AJ16" s="13">
        <f t="shared" si="0"/>
        <v>2404.2255859375</v>
      </c>
      <c r="AK16" s="14">
        <f t="shared" si="1"/>
        <v>0.36427660392992423</v>
      </c>
      <c r="AL16" s="9">
        <v>6600</v>
      </c>
      <c r="AM16" s="9">
        <v>8906.5606463112363</v>
      </c>
      <c r="AN16" s="9">
        <f t="shared" si="2"/>
        <v>2306.5606463112363</v>
      </c>
      <c r="AO16" s="10">
        <f t="shared" si="3"/>
        <v>0.34947888580473274</v>
      </c>
      <c r="AP16" s="16">
        <v>6600</v>
      </c>
      <c r="AQ16" s="16">
        <v>7678.0776072422477</v>
      </c>
      <c r="AR16" s="16">
        <f t="shared" si="4"/>
        <v>1078.0776072422477</v>
      </c>
      <c r="AS16" s="17">
        <f t="shared" si="5"/>
        <v>0.16334509200640118</v>
      </c>
      <c r="AT16" s="6">
        <v>6600</v>
      </c>
      <c r="AU16" s="6">
        <v>8613.779296875</v>
      </c>
      <c r="AV16" s="6">
        <f t="shared" si="6"/>
        <v>2013.779296875</v>
      </c>
      <c r="AW16" s="7">
        <f t="shared" si="7"/>
        <v>0.30511807528409091</v>
      </c>
    </row>
    <row r="17" spans="1:49" x14ac:dyDescent="0.25">
      <c r="A17" t="s">
        <v>56</v>
      </c>
      <c r="B17" t="s">
        <v>144</v>
      </c>
      <c r="C17">
        <v>33069</v>
      </c>
      <c r="D17">
        <v>2024</v>
      </c>
      <c r="E17" t="s">
        <v>145</v>
      </c>
      <c r="F17" t="s">
        <v>146</v>
      </c>
      <c r="G17" t="s">
        <v>147</v>
      </c>
      <c r="I17">
        <v>4</v>
      </c>
      <c r="J17" t="s">
        <v>43</v>
      </c>
      <c r="K17">
        <v>4</v>
      </c>
      <c r="L17" t="s">
        <v>44</v>
      </c>
      <c r="M17">
        <v>2</v>
      </c>
      <c r="N17" t="s">
        <v>44</v>
      </c>
      <c r="O17" t="s">
        <v>46</v>
      </c>
      <c r="P17">
        <v>5</v>
      </c>
      <c r="Q17" t="s">
        <v>47</v>
      </c>
      <c r="R17" t="s">
        <v>48</v>
      </c>
      <c r="S17" t="s">
        <v>63</v>
      </c>
      <c r="T17">
        <v>145</v>
      </c>
      <c r="U17" t="s">
        <v>50</v>
      </c>
      <c r="V17" t="s">
        <v>95</v>
      </c>
      <c r="W17" t="s">
        <v>148</v>
      </c>
      <c r="X17" t="s">
        <v>141</v>
      </c>
      <c r="Y17" t="s">
        <v>67</v>
      </c>
      <c r="AA17">
        <v>1</v>
      </c>
      <c r="AB17" t="s">
        <v>130</v>
      </c>
      <c r="AC17" t="s">
        <v>149</v>
      </c>
      <c r="AD17">
        <v>34</v>
      </c>
      <c r="AE17">
        <v>8</v>
      </c>
      <c r="AF17">
        <v>3</v>
      </c>
      <c r="AG17">
        <v>2025</v>
      </c>
      <c r="AH17" s="13">
        <v>32300</v>
      </c>
      <c r="AI17" s="13">
        <v>33644.2421875</v>
      </c>
      <c r="AJ17" s="13">
        <f t="shared" si="0"/>
        <v>1344.2421875</v>
      </c>
      <c r="AK17" s="14">
        <f t="shared" si="1"/>
        <v>4.1617405185758516E-2</v>
      </c>
      <c r="AL17" s="9">
        <v>32300</v>
      </c>
      <c r="AM17" s="9">
        <v>31943.027923098369</v>
      </c>
      <c r="AN17" s="9">
        <f t="shared" si="2"/>
        <v>356.97207690163123</v>
      </c>
      <c r="AO17" s="10">
        <f t="shared" si="3"/>
        <v>1.1051767086737808E-2</v>
      </c>
      <c r="AP17" s="16">
        <v>32300</v>
      </c>
      <c r="AQ17" s="16">
        <v>33157.565197168507</v>
      </c>
      <c r="AR17" s="16">
        <f t="shared" si="4"/>
        <v>857.56519716850744</v>
      </c>
      <c r="AS17" s="17">
        <f t="shared" si="5"/>
        <v>2.6550006104288155E-2</v>
      </c>
      <c r="AT17" s="6">
        <v>32300</v>
      </c>
      <c r="AU17" s="6">
        <v>30769.904296875</v>
      </c>
      <c r="AV17" s="6">
        <f t="shared" si="6"/>
        <v>1530.095703125</v>
      </c>
      <c r="AW17" s="7">
        <f t="shared" si="7"/>
        <v>4.737138399767802E-2</v>
      </c>
    </row>
    <row r="18" spans="1:49" ht="14.25" customHeight="1" x14ac:dyDescent="0.25">
      <c r="A18" t="s">
        <v>38</v>
      </c>
      <c r="B18" t="s">
        <v>39</v>
      </c>
      <c r="C18">
        <v>186514</v>
      </c>
      <c r="D18">
        <v>2015</v>
      </c>
      <c r="E18" t="s">
        <v>150</v>
      </c>
      <c r="F18" t="s">
        <v>151</v>
      </c>
      <c r="G18" t="s">
        <v>152</v>
      </c>
      <c r="I18">
        <v>6</v>
      </c>
      <c r="J18" t="s">
        <v>74</v>
      </c>
      <c r="K18">
        <v>4</v>
      </c>
      <c r="L18" t="s">
        <v>44</v>
      </c>
      <c r="M18">
        <v>3.6</v>
      </c>
      <c r="N18" t="s">
        <v>45</v>
      </c>
      <c r="O18" t="s">
        <v>46</v>
      </c>
      <c r="Q18" t="s">
        <v>47</v>
      </c>
      <c r="R18" t="s">
        <v>48</v>
      </c>
      <c r="S18" t="s">
        <v>102</v>
      </c>
      <c r="U18" t="s">
        <v>50</v>
      </c>
      <c r="V18" t="s">
        <v>64</v>
      </c>
      <c r="W18" t="s">
        <v>153</v>
      </c>
      <c r="X18" t="s">
        <v>66</v>
      </c>
      <c r="Y18" t="s">
        <v>67</v>
      </c>
      <c r="AA18">
        <v>0</v>
      </c>
      <c r="AB18" t="s">
        <v>54</v>
      </c>
      <c r="AC18" t="s">
        <v>55</v>
      </c>
      <c r="AD18">
        <v>34</v>
      </c>
      <c r="AE18">
        <v>8</v>
      </c>
      <c r="AF18">
        <v>3</v>
      </c>
      <c r="AG18">
        <v>2025</v>
      </c>
      <c r="AH18" s="13">
        <v>300</v>
      </c>
      <c r="AI18" s="13">
        <v>2814.178466796875</v>
      </c>
      <c r="AJ18" s="13">
        <f t="shared" si="0"/>
        <v>2514.178466796875</v>
      </c>
      <c r="AK18" s="14">
        <f t="shared" si="1"/>
        <v>8.3805948893229161</v>
      </c>
      <c r="AL18" s="9">
        <v>300</v>
      </c>
      <c r="AM18" s="9">
        <v>2636.128831918772</v>
      </c>
      <c r="AN18" s="9">
        <f t="shared" si="2"/>
        <v>2336.128831918772</v>
      </c>
      <c r="AO18" s="10">
        <f t="shared" si="3"/>
        <v>7.7870961063959063</v>
      </c>
      <c r="AP18" s="16">
        <v>300</v>
      </c>
      <c r="AQ18" s="16">
        <v>2301.9934146922619</v>
      </c>
      <c r="AR18" s="16">
        <f t="shared" si="4"/>
        <v>2001.9934146922619</v>
      </c>
      <c r="AS18" s="17">
        <f t="shared" si="5"/>
        <v>6.6733113823075394</v>
      </c>
      <c r="AT18" s="6">
        <v>300</v>
      </c>
      <c r="AU18" s="6">
        <v>2434.23876953125</v>
      </c>
      <c r="AV18" s="6">
        <f t="shared" si="6"/>
        <v>2134.23876953125</v>
      </c>
      <c r="AW18" s="7">
        <f t="shared" si="7"/>
        <v>7.1141292317708329</v>
      </c>
    </row>
    <row r="19" spans="1:49" x14ac:dyDescent="0.25">
      <c r="A19" t="s">
        <v>107</v>
      </c>
      <c r="B19" t="s">
        <v>154</v>
      </c>
      <c r="C19">
        <v>234478</v>
      </c>
      <c r="D19">
        <v>2007</v>
      </c>
      <c r="E19" t="s">
        <v>155</v>
      </c>
      <c r="F19" t="s">
        <v>156</v>
      </c>
      <c r="G19" t="s">
        <v>120</v>
      </c>
      <c r="I19">
        <v>4</v>
      </c>
      <c r="J19" t="s">
        <v>82</v>
      </c>
      <c r="K19">
        <v>4</v>
      </c>
      <c r="L19" t="s">
        <v>44</v>
      </c>
      <c r="M19">
        <v>1.8</v>
      </c>
      <c r="N19" t="s">
        <v>45</v>
      </c>
      <c r="O19" t="s">
        <v>46</v>
      </c>
      <c r="Q19" t="s">
        <v>84</v>
      </c>
      <c r="R19" t="s">
        <v>157</v>
      </c>
      <c r="U19" t="s">
        <v>50</v>
      </c>
      <c r="V19" t="s">
        <v>95</v>
      </c>
      <c r="W19" t="s">
        <v>158</v>
      </c>
      <c r="X19" t="s">
        <v>87</v>
      </c>
      <c r="Y19" t="s">
        <v>67</v>
      </c>
      <c r="AA19">
        <v>0</v>
      </c>
      <c r="AB19" t="s">
        <v>54</v>
      </c>
      <c r="AC19" t="s">
        <v>159</v>
      </c>
      <c r="AD19">
        <v>34</v>
      </c>
      <c r="AE19">
        <v>8</v>
      </c>
      <c r="AF19">
        <v>3</v>
      </c>
      <c r="AG19">
        <v>2025</v>
      </c>
      <c r="AH19" s="13">
        <v>1200</v>
      </c>
      <c r="AI19" s="13">
        <v>730.62127685546875</v>
      </c>
      <c r="AJ19" s="13">
        <f t="shared" si="0"/>
        <v>469.37872314453125</v>
      </c>
      <c r="AK19" s="14">
        <f t="shared" si="1"/>
        <v>0.39114893595377603</v>
      </c>
      <c r="AL19" s="9">
        <v>1200</v>
      </c>
      <c r="AM19" s="9">
        <v>689.00307770853351</v>
      </c>
      <c r="AN19" s="9">
        <f t="shared" si="2"/>
        <v>510.99692229146649</v>
      </c>
      <c r="AO19" s="10">
        <f t="shared" si="3"/>
        <v>0.4258307685762221</v>
      </c>
      <c r="AP19" s="16">
        <v>1200</v>
      </c>
      <c r="AQ19" s="16">
        <v>683.73105939380685</v>
      </c>
      <c r="AR19" s="16">
        <f t="shared" si="4"/>
        <v>516.26894060619315</v>
      </c>
      <c r="AS19" s="17">
        <f t="shared" si="5"/>
        <v>0.43022411717182762</v>
      </c>
      <c r="AT19" s="6">
        <v>1200</v>
      </c>
      <c r="AU19" s="6">
        <v>698.73193359375</v>
      </c>
      <c r="AV19" s="6">
        <f t="shared" si="6"/>
        <v>501.26806640625</v>
      </c>
      <c r="AW19" s="7">
        <f t="shared" si="7"/>
        <v>0.41772338867187497</v>
      </c>
    </row>
    <row r="20" spans="1:49" x14ac:dyDescent="0.25">
      <c r="A20" t="s">
        <v>69</v>
      </c>
      <c r="B20" t="s">
        <v>160</v>
      </c>
      <c r="C20">
        <v>146911</v>
      </c>
      <c r="D20">
        <v>2015</v>
      </c>
      <c r="E20" t="s">
        <v>98</v>
      </c>
      <c r="F20" t="s">
        <v>161</v>
      </c>
      <c r="G20" t="s">
        <v>100</v>
      </c>
      <c r="H20" t="s">
        <v>162</v>
      </c>
      <c r="I20">
        <v>8</v>
      </c>
      <c r="J20" t="s">
        <v>94</v>
      </c>
      <c r="K20">
        <v>4</v>
      </c>
      <c r="L20" t="s">
        <v>44</v>
      </c>
      <c r="M20">
        <v>5.3</v>
      </c>
      <c r="N20" t="s">
        <v>116</v>
      </c>
      <c r="O20" t="s">
        <v>46</v>
      </c>
      <c r="Q20" t="s">
        <v>75</v>
      </c>
      <c r="R20" t="s">
        <v>76</v>
      </c>
      <c r="S20" t="s">
        <v>117</v>
      </c>
      <c r="U20" t="s">
        <v>50</v>
      </c>
      <c r="W20" t="s">
        <v>163</v>
      </c>
      <c r="X20" t="s">
        <v>66</v>
      </c>
      <c r="Y20" t="s">
        <v>106</v>
      </c>
      <c r="AA20">
        <v>0</v>
      </c>
      <c r="AB20" t="s">
        <v>54</v>
      </c>
      <c r="AC20" t="s">
        <v>78</v>
      </c>
      <c r="AD20">
        <v>34</v>
      </c>
      <c r="AE20">
        <v>8</v>
      </c>
      <c r="AF20">
        <v>3</v>
      </c>
      <c r="AG20">
        <v>2025</v>
      </c>
      <c r="AH20" s="13">
        <v>11000</v>
      </c>
      <c r="AI20" s="13">
        <v>9363.0419921875</v>
      </c>
      <c r="AJ20" s="13">
        <f t="shared" si="0"/>
        <v>1636.9580078125</v>
      </c>
      <c r="AK20" s="14">
        <f t="shared" si="1"/>
        <v>0.1488143643465909</v>
      </c>
      <c r="AL20" s="9">
        <v>11000</v>
      </c>
      <c r="AM20" s="9">
        <v>10550.961943176329</v>
      </c>
      <c r="AN20" s="9">
        <f t="shared" si="2"/>
        <v>449.03805682367056</v>
      </c>
      <c r="AO20" s="10">
        <f t="shared" si="3"/>
        <v>4.0821641529424593E-2</v>
      </c>
      <c r="AP20" s="16">
        <v>11000</v>
      </c>
      <c r="AQ20" s="16">
        <v>10526.41626258468</v>
      </c>
      <c r="AR20" s="16">
        <f t="shared" si="4"/>
        <v>473.58373741531977</v>
      </c>
      <c r="AS20" s="17">
        <f t="shared" si="5"/>
        <v>4.305306703775634E-2</v>
      </c>
      <c r="AT20" s="6">
        <v>11000</v>
      </c>
      <c r="AU20" s="6">
        <v>10117.3505859375</v>
      </c>
      <c r="AV20" s="6">
        <f t="shared" si="6"/>
        <v>882.6494140625</v>
      </c>
      <c r="AW20" s="7">
        <f t="shared" si="7"/>
        <v>8.024085582386363E-2</v>
      </c>
    </row>
    <row r="21" spans="1:49" x14ac:dyDescent="0.25">
      <c r="A21" t="s">
        <v>38</v>
      </c>
      <c r="B21" t="s">
        <v>90</v>
      </c>
      <c r="C21">
        <v>140823</v>
      </c>
      <c r="D21">
        <v>2017</v>
      </c>
      <c r="E21" t="s">
        <v>79</v>
      </c>
      <c r="F21" t="s">
        <v>164</v>
      </c>
      <c r="G21" t="s">
        <v>165</v>
      </c>
      <c r="I21">
        <v>4</v>
      </c>
      <c r="J21" t="s">
        <v>43</v>
      </c>
      <c r="K21">
        <v>4</v>
      </c>
      <c r="L21" t="s">
        <v>44</v>
      </c>
      <c r="M21">
        <v>2.4</v>
      </c>
      <c r="N21" t="s">
        <v>45</v>
      </c>
      <c r="O21" t="s">
        <v>46</v>
      </c>
      <c r="Q21" t="s">
        <v>47</v>
      </c>
      <c r="R21" t="s">
        <v>48</v>
      </c>
      <c r="S21" t="s">
        <v>102</v>
      </c>
      <c r="U21" t="s">
        <v>50</v>
      </c>
      <c r="W21" t="s">
        <v>166</v>
      </c>
      <c r="X21" t="s">
        <v>52</v>
      </c>
      <c r="Y21" t="s">
        <v>88</v>
      </c>
      <c r="Z21">
        <v>26750</v>
      </c>
      <c r="AA21">
        <v>0</v>
      </c>
      <c r="AB21" t="s">
        <v>54</v>
      </c>
      <c r="AC21" t="s">
        <v>55</v>
      </c>
      <c r="AD21">
        <v>34</v>
      </c>
      <c r="AE21">
        <v>8</v>
      </c>
      <c r="AF21">
        <v>3</v>
      </c>
      <c r="AG21">
        <v>2025</v>
      </c>
      <c r="AH21" s="13">
        <v>2500</v>
      </c>
      <c r="AI21" s="13">
        <v>4437.9677734375</v>
      </c>
      <c r="AJ21" s="13">
        <f t="shared" si="0"/>
        <v>1937.9677734375</v>
      </c>
      <c r="AK21" s="14">
        <f t="shared" si="1"/>
        <v>0.77518710937500002</v>
      </c>
      <c r="AL21" s="9">
        <v>2500</v>
      </c>
      <c r="AM21" s="9">
        <v>4089.0148184115492</v>
      </c>
      <c r="AN21" s="9">
        <f t="shared" si="2"/>
        <v>1589.0148184115492</v>
      </c>
      <c r="AO21" s="10">
        <f t="shared" si="3"/>
        <v>0.63560592736461963</v>
      </c>
      <c r="AP21" s="16">
        <v>2500</v>
      </c>
      <c r="AQ21" s="16">
        <v>3897.2004721437011</v>
      </c>
      <c r="AR21" s="16">
        <f t="shared" si="4"/>
        <v>1397.2004721437011</v>
      </c>
      <c r="AS21" s="17">
        <f t="shared" si="5"/>
        <v>0.55888018885748048</v>
      </c>
      <c r="AT21" s="6">
        <v>2500</v>
      </c>
      <c r="AU21" s="6">
        <v>3939.467529296875</v>
      </c>
      <c r="AV21" s="6">
        <f t="shared" si="6"/>
        <v>1439.467529296875</v>
      </c>
      <c r="AW21" s="7">
        <f t="shared" si="7"/>
        <v>0.57578701171875002</v>
      </c>
    </row>
    <row r="22" spans="1:49" x14ac:dyDescent="0.25">
      <c r="A22" t="s">
        <v>38</v>
      </c>
      <c r="B22" t="s">
        <v>167</v>
      </c>
      <c r="C22">
        <v>180008</v>
      </c>
      <c r="D22">
        <v>2013</v>
      </c>
      <c r="E22" t="s">
        <v>58</v>
      </c>
      <c r="F22" t="s">
        <v>168</v>
      </c>
      <c r="I22">
        <v>8</v>
      </c>
      <c r="J22" t="s">
        <v>74</v>
      </c>
      <c r="K22">
        <v>4</v>
      </c>
      <c r="L22" t="s">
        <v>44</v>
      </c>
      <c r="M22">
        <v>5</v>
      </c>
      <c r="N22" t="s">
        <v>62</v>
      </c>
      <c r="O22" t="s">
        <v>46</v>
      </c>
      <c r="P22">
        <v>5</v>
      </c>
      <c r="Q22" t="s">
        <v>75</v>
      </c>
      <c r="R22" t="s">
        <v>76</v>
      </c>
      <c r="S22" t="s">
        <v>63</v>
      </c>
      <c r="T22">
        <v>360</v>
      </c>
      <c r="U22" t="s">
        <v>50</v>
      </c>
      <c r="V22" t="s">
        <v>64</v>
      </c>
      <c r="X22" t="s">
        <v>77</v>
      </c>
      <c r="Y22" t="s">
        <v>67</v>
      </c>
      <c r="AA22">
        <v>0</v>
      </c>
      <c r="AB22" t="s">
        <v>54</v>
      </c>
      <c r="AC22" t="s">
        <v>78</v>
      </c>
      <c r="AD22">
        <v>34</v>
      </c>
      <c r="AE22">
        <v>8</v>
      </c>
      <c r="AF22">
        <v>3</v>
      </c>
      <c r="AG22">
        <v>2025</v>
      </c>
      <c r="AH22" s="13">
        <v>8600</v>
      </c>
      <c r="AI22" s="13">
        <v>7588.93212890625</v>
      </c>
      <c r="AJ22" s="13">
        <f t="shared" si="0"/>
        <v>1011.06787109375</v>
      </c>
      <c r="AK22" s="14">
        <f t="shared" si="1"/>
        <v>0.11756603152252906</v>
      </c>
      <c r="AL22" s="9">
        <v>8600</v>
      </c>
      <c r="AM22" s="9">
        <v>9010.1539772433498</v>
      </c>
      <c r="AN22" s="9">
        <f t="shared" si="2"/>
        <v>410.1539772433498</v>
      </c>
      <c r="AO22" s="10">
        <f t="shared" si="3"/>
        <v>4.7692322935273229E-2</v>
      </c>
      <c r="AP22" s="16">
        <v>8600</v>
      </c>
      <c r="AQ22" s="16">
        <v>6077.8979673042149</v>
      </c>
      <c r="AR22" s="16">
        <f t="shared" si="4"/>
        <v>2522.1020326957851</v>
      </c>
      <c r="AS22" s="17">
        <f t="shared" si="5"/>
        <v>0.29326767822044014</v>
      </c>
      <c r="AT22" s="6">
        <v>8600</v>
      </c>
      <c r="AU22" s="6">
        <v>8364.16796875</v>
      </c>
      <c r="AV22" s="6">
        <f t="shared" si="6"/>
        <v>235.83203125</v>
      </c>
      <c r="AW22" s="7">
        <f t="shared" si="7"/>
        <v>2.7422329215116278E-2</v>
      </c>
    </row>
    <row r="23" spans="1:49" x14ac:dyDescent="0.25">
      <c r="A23" t="s">
        <v>56</v>
      </c>
      <c r="B23" t="s">
        <v>104</v>
      </c>
      <c r="C23">
        <v>155298</v>
      </c>
      <c r="D23">
        <v>2015</v>
      </c>
      <c r="E23" t="s">
        <v>169</v>
      </c>
      <c r="F23" t="s">
        <v>170</v>
      </c>
      <c r="G23" t="s">
        <v>171</v>
      </c>
      <c r="I23">
        <v>4</v>
      </c>
      <c r="J23" t="s">
        <v>43</v>
      </c>
      <c r="K23">
        <v>4</v>
      </c>
      <c r="L23" t="s">
        <v>44</v>
      </c>
      <c r="M23">
        <v>2</v>
      </c>
      <c r="N23" t="s">
        <v>44</v>
      </c>
      <c r="Q23" t="s">
        <v>47</v>
      </c>
      <c r="R23" t="s">
        <v>48</v>
      </c>
      <c r="S23" t="s">
        <v>139</v>
      </c>
      <c r="U23" t="s">
        <v>50</v>
      </c>
      <c r="W23" t="s">
        <v>172</v>
      </c>
      <c r="X23" t="s">
        <v>52</v>
      </c>
      <c r="Y23" t="s">
        <v>97</v>
      </c>
      <c r="AA23">
        <v>0</v>
      </c>
      <c r="AB23" t="s">
        <v>54</v>
      </c>
      <c r="AC23" t="s">
        <v>55</v>
      </c>
      <c r="AD23">
        <v>34</v>
      </c>
      <c r="AE23">
        <v>8</v>
      </c>
      <c r="AF23">
        <v>3</v>
      </c>
      <c r="AG23">
        <v>2025</v>
      </c>
      <c r="AH23" s="13">
        <v>4200</v>
      </c>
      <c r="AI23" s="13">
        <v>2907.665283203125</v>
      </c>
      <c r="AJ23" s="13">
        <f t="shared" si="0"/>
        <v>1292.334716796875</v>
      </c>
      <c r="AK23" s="14">
        <f t="shared" si="1"/>
        <v>0.30769874209449405</v>
      </c>
      <c r="AL23" s="9">
        <v>4200</v>
      </c>
      <c r="AM23" s="9">
        <v>3421.4759648454101</v>
      </c>
      <c r="AN23" s="9">
        <f t="shared" si="2"/>
        <v>778.52403515458991</v>
      </c>
      <c r="AO23" s="10">
        <f t="shared" si="3"/>
        <v>0.1853628655129976</v>
      </c>
      <c r="AP23" s="16">
        <v>4200</v>
      </c>
      <c r="AQ23" s="16">
        <v>3061.623813603182</v>
      </c>
      <c r="AR23" s="16">
        <f t="shared" si="4"/>
        <v>1138.376186396818</v>
      </c>
      <c r="AS23" s="17">
        <f t="shared" si="5"/>
        <v>0.2710419491420995</v>
      </c>
      <c r="AT23" s="6">
        <v>4200</v>
      </c>
      <c r="AU23" s="6">
        <v>3147.2158203125</v>
      </c>
      <c r="AV23" s="6">
        <f t="shared" si="6"/>
        <v>1052.7841796875</v>
      </c>
      <c r="AW23" s="7">
        <f t="shared" si="7"/>
        <v>0.25066289992559526</v>
      </c>
    </row>
    <row r="24" spans="1:49" x14ac:dyDescent="0.25">
      <c r="A24" t="s">
        <v>56</v>
      </c>
      <c r="B24" t="s">
        <v>104</v>
      </c>
      <c r="C24">
        <v>161992</v>
      </c>
      <c r="D24">
        <v>2016</v>
      </c>
      <c r="E24" t="s">
        <v>173</v>
      </c>
      <c r="F24" t="s">
        <v>174</v>
      </c>
      <c r="G24" t="s">
        <v>175</v>
      </c>
      <c r="H24" t="s">
        <v>176</v>
      </c>
      <c r="I24">
        <v>6</v>
      </c>
      <c r="J24" t="s">
        <v>177</v>
      </c>
      <c r="K24">
        <v>4</v>
      </c>
      <c r="L24" t="s">
        <v>44</v>
      </c>
      <c r="M24">
        <v>3.2</v>
      </c>
      <c r="N24" t="s">
        <v>62</v>
      </c>
      <c r="Q24" t="s">
        <v>47</v>
      </c>
      <c r="R24" t="s">
        <v>48</v>
      </c>
      <c r="S24" t="s">
        <v>63</v>
      </c>
      <c r="U24" t="s">
        <v>50</v>
      </c>
      <c r="X24" t="s">
        <v>141</v>
      </c>
      <c r="Y24" t="s">
        <v>67</v>
      </c>
      <c r="AA24">
        <v>0</v>
      </c>
      <c r="AB24" t="s">
        <v>54</v>
      </c>
      <c r="AC24" t="s">
        <v>55</v>
      </c>
      <c r="AD24">
        <v>34</v>
      </c>
      <c r="AE24">
        <v>8</v>
      </c>
      <c r="AF24">
        <v>3</v>
      </c>
      <c r="AG24">
        <v>2025</v>
      </c>
      <c r="AH24" s="13">
        <v>4200</v>
      </c>
      <c r="AI24" s="13">
        <v>4542.0126953125</v>
      </c>
      <c r="AJ24" s="13">
        <f t="shared" si="0"/>
        <v>342.0126953125</v>
      </c>
      <c r="AK24" s="14">
        <f t="shared" si="1"/>
        <v>8.1431594122023804E-2</v>
      </c>
      <c r="AL24" s="9">
        <v>4200</v>
      </c>
      <c r="AM24" s="9">
        <v>4220.5527750727097</v>
      </c>
      <c r="AN24" s="9">
        <f t="shared" si="2"/>
        <v>20.552775072709665</v>
      </c>
      <c r="AO24" s="10">
        <f t="shared" si="3"/>
        <v>4.8935178744546823E-3</v>
      </c>
      <c r="AP24" s="16">
        <v>4200</v>
      </c>
      <c r="AQ24" s="16">
        <v>3322.0805807165202</v>
      </c>
      <c r="AR24" s="16">
        <f t="shared" si="4"/>
        <v>877.91941928347978</v>
      </c>
      <c r="AS24" s="17">
        <f t="shared" si="5"/>
        <v>0.20902843316273328</v>
      </c>
      <c r="AT24" s="6">
        <v>4200</v>
      </c>
      <c r="AU24" s="6">
        <v>4056.432861328125</v>
      </c>
      <c r="AV24" s="6">
        <f t="shared" si="6"/>
        <v>143.567138671875</v>
      </c>
      <c r="AW24" s="7">
        <f t="shared" si="7"/>
        <v>3.4182652064732144E-2</v>
      </c>
    </row>
    <row r="25" spans="1:49" x14ac:dyDescent="0.25">
      <c r="A25" t="s">
        <v>56</v>
      </c>
      <c r="B25" t="s">
        <v>178</v>
      </c>
      <c r="C25">
        <v>63753</v>
      </c>
      <c r="D25">
        <v>2024</v>
      </c>
      <c r="E25" t="s">
        <v>79</v>
      </c>
      <c r="F25" t="s">
        <v>179</v>
      </c>
      <c r="G25" t="s">
        <v>180</v>
      </c>
      <c r="I25">
        <v>3</v>
      </c>
      <c r="J25" t="s">
        <v>177</v>
      </c>
      <c r="K25">
        <v>4</v>
      </c>
      <c r="L25" t="s">
        <v>44</v>
      </c>
      <c r="M25">
        <v>1.2</v>
      </c>
      <c r="N25" t="s">
        <v>45</v>
      </c>
      <c r="O25" t="s">
        <v>83</v>
      </c>
      <c r="P25">
        <v>1</v>
      </c>
      <c r="Q25" t="s">
        <v>47</v>
      </c>
      <c r="R25" t="s">
        <v>48</v>
      </c>
      <c r="S25" t="s">
        <v>102</v>
      </c>
      <c r="U25" t="s">
        <v>50</v>
      </c>
      <c r="V25" t="s">
        <v>95</v>
      </c>
      <c r="W25" t="s">
        <v>181</v>
      </c>
      <c r="X25" t="s">
        <v>52</v>
      </c>
      <c r="Y25" t="s">
        <v>53</v>
      </c>
      <c r="AA25">
        <v>0</v>
      </c>
      <c r="AB25" t="s">
        <v>54</v>
      </c>
      <c r="AC25" t="s">
        <v>55</v>
      </c>
      <c r="AD25">
        <v>34</v>
      </c>
      <c r="AE25">
        <v>8</v>
      </c>
      <c r="AF25">
        <v>3</v>
      </c>
      <c r="AG25">
        <v>2025</v>
      </c>
      <c r="AH25" s="13">
        <v>4500</v>
      </c>
      <c r="AI25" s="13">
        <v>5999.47265625</v>
      </c>
      <c r="AJ25" s="13">
        <f t="shared" si="0"/>
        <v>1499.47265625</v>
      </c>
      <c r="AK25" s="14">
        <f t="shared" si="1"/>
        <v>0.33321614583333331</v>
      </c>
      <c r="AL25" s="9">
        <v>4500</v>
      </c>
      <c r="AM25" s="9">
        <v>7137.6975682995699</v>
      </c>
      <c r="AN25" s="9">
        <f t="shared" si="2"/>
        <v>2637.6975682995699</v>
      </c>
      <c r="AO25" s="10">
        <f t="shared" si="3"/>
        <v>0.5861550151776822</v>
      </c>
      <c r="AP25" s="16">
        <v>4500</v>
      </c>
      <c r="AQ25" s="16">
        <v>7781.0912218532421</v>
      </c>
      <c r="AR25" s="16">
        <f t="shared" si="4"/>
        <v>3281.0912218532421</v>
      </c>
      <c r="AS25" s="17">
        <f t="shared" si="5"/>
        <v>0.72913138263405386</v>
      </c>
      <c r="AT25" s="6">
        <v>4500</v>
      </c>
      <c r="AU25" s="6">
        <v>7702.5107421875</v>
      </c>
      <c r="AV25" s="6">
        <f t="shared" si="6"/>
        <v>3202.5107421875</v>
      </c>
      <c r="AW25" s="7">
        <f t="shared" si="7"/>
        <v>0.71166905381944445</v>
      </c>
    </row>
    <row r="26" spans="1:49" x14ac:dyDescent="0.25">
      <c r="A26" t="s">
        <v>69</v>
      </c>
      <c r="B26" t="s">
        <v>128</v>
      </c>
      <c r="C26">
        <v>84148</v>
      </c>
      <c r="D26">
        <v>2008</v>
      </c>
      <c r="E26" t="s">
        <v>58</v>
      </c>
      <c r="F26" t="s">
        <v>182</v>
      </c>
      <c r="H26" t="s">
        <v>183</v>
      </c>
      <c r="I26">
        <v>4</v>
      </c>
      <c r="J26" t="s">
        <v>94</v>
      </c>
      <c r="K26">
        <v>4</v>
      </c>
      <c r="L26" t="s">
        <v>44</v>
      </c>
      <c r="M26">
        <v>2</v>
      </c>
      <c r="N26" t="s">
        <v>45</v>
      </c>
      <c r="O26" t="s">
        <v>46</v>
      </c>
      <c r="Q26" t="s">
        <v>84</v>
      </c>
      <c r="R26" t="s">
        <v>85</v>
      </c>
      <c r="T26">
        <v>132</v>
      </c>
      <c r="U26" t="s">
        <v>50</v>
      </c>
      <c r="V26" t="s">
        <v>95</v>
      </c>
      <c r="X26" t="s">
        <v>87</v>
      </c>
      <c r="Y26" t="s">
        <v>67</v>
      </c>
      <c r="AA26">
        <v>0</v>
      </c>
      <c r="AB26" t="s">
        <v>54</v>
      </c>
      <c r="AC26" t="s">
        <v>89</v>
      </c>
      <c r="AD26">
        <v>34</v>
      </c>
      <c r="AE26">
        <v>8</v>
      </c>
      <c r="AF26">
        <v>3</v>
      </c>
      <c r="AG26">
        <v>2025</v>
      </c>
      <c r="AH26" s="13">
        <v>2500</v>
      </c>
      <c r="AI26" s="13">
        <v>1804.664428710938</v>
      </c>
      <c r="AJ26" s="13">
        <f t="shared" si="0"/>
        <v>695.33557128906205</v>
      </c>
      <c r="AK26" s="14">
        <f t="shared" si="1"/>
        <v>0.2781342285156248</v>
      </c>
      <c r="AL26" s="9">
        <v>2500</v>
      </c>
      <c r="AM26" s="9">
        <v>2631.9465965690661</v>
      </c>
      <c r="AN26" s="9">
        <f t="shared" si="2"/>
        <v>131.94659656906606</v>
      </c>
      <c r="AO26" s="10">
        <f t="shared" si="3"/>
        <v>5.2778638627626426E-2</v>
      </c>
      <c r="AP26" s="16">
        <v>2500</v>
      </c>
      <c r="AQ26" s="16">
        <v>2015.9957155508421</v>
      </c>
      <c r="AR26" s="16">
        <f t="shared" si="4"/>
        <v>484.00428444915792</v>
      </c>
      <c r="AS26" s="17">
        <f t="shared" si="5"/>
        <v>0.19360171377966318</v>
      </c>
      <c r="AT26" s="6">
        <v>2500</v>
      </c>
      <c r="AU26" s="6">
        <v>2026.954223632812</v>
      </c>
      <c r="AV26" s="6">
        <f t="shared" si="6"/>
        <v>473.04577636718795</v>
      </c>
      <c r="AW26" s="7">
        <f t="shared" si="7"/>
        <v>0.18921831054687518</v>
      </c>
    </row>
    <row r="27" spans="1:49" x14ac:dyDescent="0.25">
      <c r="A27" t="s">
        <v>69</v>
      </c>
      <c r="B27" t="s">
        <v>128</v>
      </c>
      <c r="C27">
        <v>156713</v>
      </c>
      <c r="D27">
        <v>2013</v>
      </c>
      <c r="E27" t="s">
        <v>184</v>
      </c>
      <c r="F27" t="s">
        <v>185</v>
      </c>
      <c r="G27" t="s">
        <v>186</v>
      </c>
      <c r="I27">
        <v>4</v>
      </c>
      <c r="J27" t="s">
        <v>43</v>
      </c>
      <c r="K27">
        <v>4</v>
      </c>
      <c r="L27" t="s">
        <v>44</v>
      </c>
      <c r="M27">
        <v>2</v>
      </c>
      <c r="N27" t="s">
        <v>45</v>
      </c>
      <c r="Q27" t="s">
        <v>47</v>
      </c>
      <c r="R27" t="s">
        <v>48</v>
      </c>
      <c r="S27" t="s">
        <v>49</v>
      </c>
      <c r="W27" t="s">
        <v>187</v>
      </c>
      <c r="X27" t="s">
        <v>52</v>
      </c>
      <c r="Y27" t="s">
        <v>97</v>
      </c>
      <c r="AA27">
        <v>0</v>
      </c>
      <c r="AB27" t="s">
        <v>54</v>
      </c>
      <c r="AC27" t="s">
        <v>55</v>
      </c>
      <c r="AD27">
        <v>34</v>
      </c>
      <c r="AE27">
        <v>8</v>
      </c>
      <c r="AF27">
        <v>3</v>
      </c>
      <c r="AG27">
        <v>2025</v>
      </c>
      <c r="AH27" s="13">
        <v>5250</v>
      </c>
      <c r="AI27" s="13">
        <v>2635.555908203125</v>
      </c>
      <c r="AJ27" s="13">
        <f t="shared" si="0"/>
        <v>2614.444091796875</v>
      </c>
      <c r="AK27" s="14">
        <f t="shared" si="1"/>
        <v>0.49798935081845236</v>
      </c>
      <c r="AL27" s="9">
        <v>5250</v>
      </c>
      <c r="AM27" s="9">
        <v>2431.1611665633209</v>
      </c>
      <c r="AN27" s="9">
        <f t="shared" si="2"/>
        <v>2818.8388334366791</v>
      </c>
      <c r="AO27" s="10">
        <f t="shared" si="3"/>
        <v>0.53692168255936745</v>
      </c>
      <c r="AP27" s="16">
        <v>5250</v>
      </c>
      <c r="AQ27" s="16">
        <v>3334.2326212302851</v>
      </c>
      <c r="AR27" s="16">
        <f t="shared" si="4"/>
        <v>1915.7673787697149</v>
      </c>
      <c r="AS27" s="17">
        <f t="shared" si="5"/>
        <v>0.36490807214661236</v>
      </c>
      <c r="AT27" s="6">
        <v>5250</v>
      </c>
      <c r="AU27" s="6">
        <v>2746.176025390625</v>
      </c>
      <c r="AV27" s="6">
        <f t="shared" si="6"/>
        <v>2503.823974609375</v>
      </c>
      <c r="AW27" s="7">
        <f t="shared" si="7"/>
        <v>0.47691885230654762</v>
      </c>
    </row>
    <row r="28" spans="1:49" x14ac:dyDescent="0.25">
      <c r="A28" t="s">
        <v>56</v>
      </c>
      <c r="B28" t="s">
        <v>57</v>
      </c>
      <c r="C28">
        <v>151777</v>
      </c>
      <c r="D28">
        <v>2011</v>
      </c>
      <c r="E28" t="s">
        <v>188</v>
      </c>
      <c r="F28" t="s">
        <v>189</v>
      </c>
      <c r="G28" t="s">
        <v>190</v>
      </c>
      <c r="I28">
        <v>6</v>
      </c>
      <c r="J28" t="s">
        <v>74</v>
      </c>
      <c r="K28">
        <v>4</v>
      </c>
      <c r="L28" t="s">
        <v>44</v>
      </c>
      <c r="M28">
        <v>3.5</v>
      </c>
      <c r="N28" t="s">
        <v>45</v>
      </c>
      <c r="O28" t="s">
        <v>46</v>
      </c>
      <c r="Q28" t="s">
        <v>84</v>
      </c>
      <c r="R28" t="s">
        <v>85</v>
      </c>
      <c r="U28" t="s">
        <v>50</v>
      </c>
      <c r="V28" t="s">
        <v>64</v>
      </c>
      <c r="W28" t="s">
        <v>191</v>
      </c>
      <c r="X28" t="s">
        <v>52</v>
      </c>
      <c r="Y28" t="s">
        <v>67</v>
      </c>
      <c r="AA28">
        <v>0</v>
      </c>
      <c r="AB28" t="s">
        <v>54</v>
      </c>
      <c r="AC28" t="s">
        <v>89</v>
      </c>
      <c r="AD28">
        <v>34</v>
      </c>
      <c r="AE28">
        <v>8</v>
      </c>
      <c r="AF28">
        <v>3</v>
      </c>
      <c r="AG28">
        <v>2025</v>
      </c>
      <c r="AH28" s="13">
        <v>2000</v>
      </c>
      <c r="AI28" s="13">
        <v>2384.52490234375</v>
      </c>
      <c r="AJ28" s="13">
        <f t="shared" si="0"/>
        <v>384.52490234375</v>
      </c>
      <c r="AK28" s="14">
        <f t="shared" si="1"/>
        <v>0.19226245117187499</v>
      </c>
      <c r="AL28" s="9">
        <v>2000</v>
      </c>
      <c r="AM28" s="9">
        <v>2448.3192684971241</v>
      </c>
      <c r="AN28" s="9">
        <f t="shared" si="2"/>
        <v>448.31926849712409</v>
      </c>
      <c r="AO28" s="10">
        <f t="shared" si="3"/>
        <v>0.22415963424856206</v>
      </c>
      <c r="AP28" s="16">
        <v>2000</v>
      </c>
      <c r="AQ28" s="16">
        <v>3372.0759730125428</v>
      </c>
      <c r="AR28" s="16">
        <f t="shared" si="4"/>
        <v>1372.0759730125428</v>
      </c>
      <c r="AS28" s="17">
        <f t="shared" si="5"/>
        <v>0.68603798650627146</v>
      </c>
      <c r="AT28" s="6">
        <v>2000</v>
      </c>
      <c r="AU28" s="6">
        <v>2672.813720703125</v>
      </c>
      <c r="AV28" s="6">
        <f t="shared" si="6"/>
        <v>672.813720703125</v>
      </c>
      <c r="AW28" s="7">
        <f t="shared" si="7"/>
        <v>0.33640686035156248</v>
      </c>
    </row>
    <row r="29" spans="1:49" x14ac:dyDescent="0.25">
      <c r="A29" t="s">
        <v>107</v>
      </c>
      <c r="B29" t="s">
        <v>192</v>
      </c>
      <c r="C29">
        <v>174921</v>
      </c>
      <c r="D29">
        <v>2012</v>
      </c>
      <c r="E29" t="s">
        <v>150</v>
      </c>
      <c r="F29" t="s">
        <v>193</v>
      </c>
      <c r="G29" t="s">
        <v>194</v>
      </c>
      <c r="I29">
        <v>6</v>
      </c>
      <c r="J29" t="s">
        <v>43</v>
      </c>
      <c r="K29">
        <v>4</v>
      </c>
      <c r="L29" t="s">
        <v>44</v>
      </c>
      <c r="M29">
        <v>3.6</v>
      </c>
      <c r="N29" t="s">
        <v>45</v>
      </c>
      <c r="O29" t="s">
        <v>46</v>
      </c>
      <c r="Q29" t="s">
        <v>84</v>
      </c>
      <c r="R29" t="s">
        <v>85</v>
      </c>
      <c r="S29" t="s">
        <v>102</v>
      </c>
      <c r="U29" t="s">
        <v>50</v>
      </c>
      <c r="W29" t="s">
        <v>195</v>
      </c>
      <c r="X29" t="s">
        <v>87</v>
      </c>
      <c r="Y29" t="s">
        <v>67</v>
      </c>
      <c r="AA29">
        <v>0</v>
      </c>
      <c r="AB29" t="s">
        <v>54</v>
      </c>
      <c r="AC29" t="s">
        <v>89</v>
      </c>
      <c r="AD29">
        <v>34</v>
      </c>
      <c r="AE29">
        <v>8</v>
      </c>
      <c r="AF29">
        <v>3</v>
      </c>
      <c r="AG29">
        <v>2025</v>
      </c>
      <c r="AH29" s="13">
        <v>3600</v>
      </c>
      <c r="AI29" s="13">
        <v>1846.476440429688</v>
      </c>
      <c r="AJ29" s="13">
        <f t="shared" si="0"/>
        <v>1753.523559570312</v>
      </c>
      <c r="AK29" s="14">
        <f t="shared" si="1"/>
        <v>0.48708987765841999</v>
      </c>
      <c r="AL29" s="9">
        <v>3600</v>
      </c>
      <c r="AM29" s="9">
        <v>1790.824655311985</v>
      </c>
      <c r="AN29" s="9">
        <f t="shared" si="2"/>
        <v>1809.175344688015</v>
      </c>
      <c r="AO29" s="10">
        <f t="shared" si="3"/>
        <v>0.50254870685778197</v>
      </c>
      <c r="AP29" s="16">
        <v>3600</v>
      </c>
      <c r="AQ29" s="16">
        <v>2102.7170990941709</v>
      </c>
      <c r="AR29" s="16">
        <f t="shared" si="4"/>
        <v>1497.2829009058291</v>
      </c>
      <c r="AS29" s="17">
        <f t="shared" si="5"/>
        <v>0.41591191691828588</v>
      </c>
      <c r="AT29" s="6">
        <v>3600</v>
      </c>
      <c r="AU29" s="6">
        <v>1756.659423828125</v>
      </c>
      <c r="AV29" s="6">
        <f t="shared" si="6"/>
        <v>1843.340576171875</v>
      </c>
      <c r="AW29" s="7">
        <f t="shared" si="7"/>
        <v>0.51203904893663199</v>
      </c>
    </row>
    <row r="30" spans="1:49" x14ac:dyDescent="0.25">
      <c r="A30" t="s">
        <v>56</v>
      </c>
      <c r="B30" t="s">
        <v>196</v>
      </c>
      <c r="C30">
        <v>138176</v>
      </c>
      <c r="D30">
        <v>2018</v>
      </c>
      <c r="E30" t="s">
        <v>79</v>
      </c>
      <c r="F30" t="s">
        <v>164</v>
      </c>
      <c r="G30" t="s">
        <v>197</v>
      </c>
      <c r="I30">
        <v>4</v>
      </c>
      <c r="J30" t="s">
        <v>43</v>
      </c>
      <c r="K30">
        <v>4</v>
      </c>
      <c r="L30" t="s">
        <v>44</v>
      </c>
      <c r="M30">
        <v>1.5</v>
      </c>
      <c r="N30" t="s">
        <v>45</v>
      </c>
      <c r="O30" t="s">
        <v>46</v>
      </c>
      <c r="Q30" t="s">
        <v>47</v>
      </c>
      <c r="R30" t="s">
        <v>48</v>
      </c>
      <c r="S30" t="s">
        <v>102</v>
      </c>
      <c r="U30" t="s">
        <v>50</v>
      </c>
      <c r="V30" t="s">
        <v>95</v>
      </c>
      <c r="W30" t="s">
        <v>198</v>
      </c>
      <c r="X30" t="s">
        <v>52</v>
      </c>
      <c r="Y30" t="s">
        <v>88</v>
      </c>
      <c r="Z30">
        <v>30800</v>
      </c>
      <c r="AA30">
        <v>0</v>
      </c>
      <c r="AB30" t="s">
        <v>54</v>
      </c>
      <c r="AC30" t="s">
        <v>55</v>
      </c>
      <c r="AD30">
        <v>34</v>
      </c>
      <c r="AE30">
        <v>8</v>
      </c>
      <c r="AF30">
        <v>3</v>
      </c>
      <c r="AG30">
        <v>2025</v>
      </c>
      <c r="AH30" s="13">
        <v>6700</v>
      </c>
      <c r="AI30" s="13">
        <v>6896.58935546875</v>
      </c>
      <c r="AJ30" s="13">
        <f t="shared" si="0"/>
        <v>196.58935546875</v>
      </c>
      <c r="AK30" s="14">
        <f t="shared" si="1"/>
        <v>2.9341694846082088E-2</v>
      </c>
      <c r="AL30" s="9">
        <v>6700</v>
      </c>
      <c r="AM30" s="9">
        <v>6201.7428215200771</v>
      </c>
      <c r="AN30" s="9">
        <f t="shared" si="2"/>
        <v>498.25717847992291</v>
      </c>
      <c r="AO30" s="10">
        <f t="shared" si="3"/>
        <v>7.4366743056704918E-2</v>
      </c>
      <c r="AP30" s="16">
        <v>6700</v>
      </c>
      <c r="AQ30" s="16">
        <v>6909.7277964682698</v>
      </c>
      <c r="AR30" s="16">
        <f t="shared" si="4"/>
        <v>209.72779646826984</v>
      </c>
      <c r="AS30" s="17">
        <f t="shared" si="5"/>
        <v>3.1302656189294009E-2</v>
      </c>
      <c r="AT30" s="6">
        <v>6700</v>
      </c>
      <c r="AU30" s="6">
        <v>6517.00634765625</v>
      </c>
      <c r="AV30" s="6">
        <f t="shared" si="6"/>
        <v>182.99365234375</v>
      </c>
      <c r="AW30" s="7">
        <f t="shared" si="7"/>
        <v>2.73124854244403E-2</v>
      </c>
    </row>
    <row r="31" spans="1:49" x14ac:dyDescent="0.25">
      <c r="A31" t="s">
        <v>56</v>
      </c>
      <c r="B31" t="s">
        <v>144</v>
      </c>
      <c r="C31">
        <v>68435</v>
      </c>
      <c r="D31">
        <v>2023</v>
      </c>
      <c r="E31" t="s">
        <v>71</v>
      </c>
      <c r="F31" t="s">
        <v>199</v>
      </c>
      <c r="G31" t="s">
        <v>200</v>
      </c>
      <c r="I31">
        <v>3</v>
      </c>
      <c r="J31" t="s">
        <v>43</v>
      </c>
      <c r="K31">
        <v>4</v>
      </c>
      <c r="L31" t="s">
        <v>44</v>
      </c>
      <c r="M31">
        <v>1.5</v>
      </c>
      <c r="N31" t="s">
        <v>45</v>
      </c>
      <c r="O31" t="s">
        <v>46</v>
      </c>
      <c r="P31">
        <v>4</v>
      </c>
      <c r="Q31" t="s">
        <v>47</v>
      </c>
      <c r="R31" t="s">
        <v>48</v>
      </c>
      <c r="S31" t="s">
        <v>49</v>
      </c>
      <c r="U31" t="s">
        <v>50</v>
      </c>
      <c r="V31" t="s">
        <v>95</v>
      </c>
      <c r="X31" t="s">
        <v>52</v>
      </c>
      <c r="Y31" t="s">
        <v>67</v>
      </c>
      <c r="AA31">
        <v>0</v>
      </c>
      <c r="AB31" t="s">
        <v>54</v>
      </c>
      <c r="AC31" t="s">
        <v>55</v>
      </c>
      <c r="AD31">
        <v>34</v>
      </c>
      <c r="AE31">
        <v>8</v>
      </c>
      <c r="AF31">
        <v>3</v>
      </c>
      <c r="AG31">
        <v>2025</v>
      </c>
      <c r="AH31" s="13">
        <v>17000</v>
      </c>
      <c r="AI31" s="13">
        <v>16437.576171875</v>
      </c>
      <c r="AJ31" s="13">
        <f t="shared" si="0"/>
        <v>562.423828125</v>
      </c>
      <c r="AK31" s="14">
        <f t="shared" si="1"/>
        <v>3.3083754595588238E-2</v>
      </c>
      <c r="AL31" s="9">
        <v>17000</v>
      </c>
      <c r="AM31" s="9">
        <v>15935.94560083028</v>
      </c>
      <c r="AN31" s="9">
        <f t="shared" si="2"/>
        <v>1064.0543991697195</v>
      </c>
      <c r="AO31" s="10">
        <f t="shared" si="3"/>
        <v>6.2591435245277618E-2</v>
      </c>
      <c r="AP31" s="16">
        <v>17000</v>
      </c>
      <c r="AQ31" s="16">
        <v>17299.895492154141</v>
      </c>
      <c r="AR31" s="16">
        <f t="shared" si="4"/>
        <v>299.89549215414081</v>
      </c>
      <c r="AS31" s="17">
        <f t="shared" si="5"/>
        <v>1.7640911303184754E-2</v>
      </c>
      <c r="AT31" s="6">
        <v>17000</v>
      </c>
      <c r="AU31" s="6">
        <v>15645.416015625</v>
      </c>
      <c r="AV31" s="6">
        <f t="shared" si="6"/>
        <v>1354.583984375</v>
      </c>
      <c r="AW31" s="7">
        <f t="shared" si="7"/>
        <v>7.9681410845588233E-2</v>
      </c>
    </row>
    <row r="32" spans="1:49" x14ac:dyDescent="0.25">
      <c r="A32" t="s">
        <v>56</v>
      </c>
      <c r="B32" t="s">
        <v>178</v>
      </c>
      <c r="C32">
        <v>40752</v>
      </c>
      <c r="D32">
        <v>2016</v>
      </c>
      <c r="E32" t="s">
        <v>169</v>
      </c>
      <c r="F32" t="s">
        <v>201</v>
      </c>
      <c r="G32" t="s">
        <v>202</v>
      </c>
      <c r="I32">
        <v>4</v>
      </c>
      <c r="J32" t="s">
        <v>74</v>
      </c>
      <c r="K32">
        <v>4</v>
      </c>
      <c r="L32" t="s">
        <v>44</v>
      </c>
      <c r="M32">
        <v>2.5</v>
      </c>
      <c r="N32" t="s">
        <v>44</v>
      </c>
      <c r="O32" t="s">
        <v>46</v>
      </c>
      <c r="P32">
        <v>4</v>
      </c>
      <c r="Q32" t="s">
        <v>47</v>
      </c>
      <c r="R32" t="s">
        <v>48</v>
      </c>
      <c r="S32" t="s">
        <v>139</v>
      </c>
      <c r="U32" t="s">
        <v>50</v>
      </c>
      <c r="V32" t="s">
        <v>95</v>
      </c>
      <c r="W32" t="s">
        <v>203</v>
      </c>
      <c r="X32" t="s">
        <v>52</v>
      </c>
      <c r="Y32" t="s">
        <v>67</v>
      </c>
      <c r="AA32">
        <v>0</v>
      </c>
      <c r="AB32" t="s">
        <v>54</v>
      </c>
      <c r="AC32" t="s">
        <v>55</v>
      </c>
      <c r="AD32">
        <v>34</v>
      </c>
      <c r="AE32">
        <v>8</v>
      </c>
      <c r="AF32">
        <v>3</v>
      </c>
      <c r="AG32">
        <v>2025</v>
      </c>
      <c r="AH32" s="13">
        <v>14600</v>
      </c>
      <c r="AI32" s="13">
        <v>12015.755859375</v>
      </c>
      <c r="AJ32" s="13">
        <f t="shared" si="0"/>
        <v>2584.244140625</v>
      </c>
      <c r="AK32" s="14">
        <f t="shared" si="1"/>
        <v>0.17700302333047946</v>
      </c>
      <c r="AL32" s="9">
        <v>14600</v>
      </c>
      <c r="AM32" s="9">
        <v>12946.610698618901</v>
      </c>
      <c r="AN32" s="9">
        <f t="shared" si="2"/>
        <v>1653.3893013810994</v>
      </c>
      <c r="AO32" s="10">
        <f t="shared" si="3"/>
        <v>0.11324584256034927</v>
      </c>
      <c r="AP32" s="16">
        <v>14600</v>
      </c>
      <c r="AQ32" s="16">
        <v>13256.0983544707</v>
      </c>
      <c r="AR32" s="16">
        <f t="shared" si="4"/>
        <v>1343.9016455293004</v>
      </c>
      <c r="AS32" s="17">
        <f t="shared" si="5"/>
        <v>9.2048057912965775E-2</v>
      </c>
      <c r="AT32" s="6">
        <v>14600</v>
      </c>
      <c r="AU32" s="6">
        <v>11818.232421875</v>
      </c>
      <c r="AV32" s="6">
        <f t="shared" si="6"/>
        <v>2781.767578125</v>
      </c>
      <c r="AW32" s="7">
        <f t="shared" si="7"/>
        <v>0.19053202589897261</v>
      </c>
    </row>
    <row r="33" spans="1:49" x14ac:dyDescent="0.25">
      <c r="A33" t="s">
        <v>38</v>
      </c>
      <c r="B33" t="s">
        <v>204</v>
      </c>
      <c r="C33">
        <v>209377</v>
      </c>
      <c r="D33">
        <v>2016</v>
      </c>
      <c r="E33" t="s">
        <v>205</v>
      </c>
      <c r="F33" t="s">
        <v>206</v>
      </c>
      <c r="I33">
        <v>6</v>
      </c>
      <c r="K33">
        <v>4</v>
      </c>
      <c r="M33">
        <v>3.5</v>
      </c>
      <c r="N33" t="s">
        <v>44</v>
      </c>
      <c r="O33" t="s">
        <v>46</v>
      </c>
      <c r="P33">
        <v>2</v>
      </c>
      <c r="Q33" t="s">
        <v>47</v>
      </c>
      <c r="R33" t="s">
        <v>207</v>
      </c>
      <c r="S33" t="s">
        <v>63</v>
      </c>
      <c r="U33" t="s">
        <v>50</v>
      </c>
      <c r="V33" t="s">
        <v>64</v>
      </c>
      <c r="X33" t="s">
        <v>141</v>
      </c>
      <c r="Y33" t="s">
        <v>67</v>
      </c>
      <c r="AA33">
        <v>0</v>
      </c>
      <c r="AB33" t="s">
        <v>54</v>
      </c>
      <c r="AC33" t="s">
        <v>55</v>
      </c>
      <c r="AD33">
        <v>34</v>
      </c>
      <c r="AE33">
        <v>8</v>
      </c>
      <c r="AF33">
        <v>3</v>
      </c>
      <c r="AG33">
        <v>2025</v>
      </c>
      <c r="AH33" s="13">
        <v>1200</v>
      </c>
      <c r="AI33" s="13">
        <v>2118.171630859375</v>
      </c>
      <c r="AJ33" s="13">
        <f t="shared" si="0"/>
        <v>918.171630859375</v>
      </c>
      <c r="AK33" s="14">
        <f t="shared" si="1"/>
        <v>0.76514302571614579</v>
      </c>
      <c r="AL33" s="9">
        <v>1200</v>
      </c>
      <c r="AM33" s="9">
        <v>2512.4484117261391</v>
      </c>
      <c r="AN33" s="9">
        <f t="shared" si="2"/>
        <v>1312.4484117261391</v>
      </c>
      <c r="AO33" s="10">
        <f t="shared" si="3"/>
        <v>1.0937070097717825</v>
      </c>
      <c r="AP33" s="16">
        <v>1200</v>
      </c>
      <c r="AQ33" s="16">
        <v>1525.8224263401</v>
      </c>
      <c r="AR33" s="16">
        <f t="shared" si="4"/>
        <v>325.82242634010004</v>
      </c>
      <c r="AS33" s="17">
        <f t="shared" si="5"/>
        <v>0.27151868861675005</v>
      </c>
      <c r="AT33" s="6">
        <v>1200</v>
      </c>
      <c r="AU33" s="6">
        <v>2179.107666015625</v>
      </c>
      <c r="AV33" s="6">
        <f t="shared" si="6"/>
        <v>979.107666015625</v>
      </c>
      <c r="AW33" s="7">
        <f t="shared" si="7"/>
        <v>0.81592305501302087</v>
      </c>
    </row>
    <row r="34" spans="1:49" x14ac:dyDescent="0.25">
      <c r="A34" t="s">
        <v>69</v>
      </c>
      <c r="B34" t="s">
        <v>70</v>
      </c>
      <c r="C34">
        <v>70793</v>
      </c>
      <c r="D34">
        <v>2020</v>
      </c>
      <c r="E34" t="s">
        <v>71</v>
      </c>
      <c r="F34" t="s">
        <v>208</v>
      </c>
      <c r="G34" t="s">
        <v>200</v>
      </c>
      <c r="H34" t="s">
        <v>209</v>
      </c>
      <c r="I34">
        <v>6</v>
      </c>
      <c r="J34" t="s">
        <v>74</v>
      </c>
      <c r="K34">
        <v>4</v>
      </c>
      <c r="L34" t="s">
        <v>44</v>
      </c>
      <c r="M34">
        <v>3.5</v>
      </c>
      <c r="N34" t="s">
        <v>45</v>
      </c>
      <c r="O34" t="s">
        <v>46</v>
      </c>
      <c r="P34">
        <v>4</v>
      </c>
      <c r="Q34" t="s">
        <v>47</v>
      </c>
      <c r="R34" t="s">
        <v>48</v>
      </c>
      <c r="S34" t="s">
        <v>49</v>
      </c>
      <c r="U34" t="s">
        <v>50</v>
      </c>
      <c r="X34" t="s">
        <v>141</v>
      </c>
      <c r="Y34" t="s">
        <v>67</v>
      </c>
      <c r="AA34">
        <v>0</v>
      </c>
      <c r="AB34" t="s">
        <v>54</v>
      </c>
      <c r="AC34" t="s">
        <v>55</v>
      </c>
      <c r="AD34">
        <v>34</v>
      </c>
      <c r="AE34">
        <v>8</v>
      </c>
      <c r="AF34">
        <v>3</v>
      </c>
      <c r="AG34">
        <v>2025</v>
      </c>
      <c r="AH34" s="13">
        <v>15800</v>
      </c>
      <c r="AI34" s="13">
        <v>15875.23828125</v>
      </c>
      <c r="AJ34" s="13">
        <f t="shared" si="0"/>
        <v>75.23828125</v>
      </c>
      <c r="AK34" s="14">
        <f t="shared" si="1"/>
        <v>4.7619165348101265E-3</v>
      </c>
      <c r="AL34" s="9">
        <v>15800</v>
      </c>
      <c r="AM34" s="9">
        <v>15008.395225230821</v>
      </c>
      <c r="AN34" s="9">
        <f t="shared" si="2"/>
        <v>791.60477476917913</v>
      </c>
      <c r="AO34" s="10">
        <f t="shared" si="3"/>
        <v>5.0101568023365767E-2</v>
      </c>
      <c r="AP34" s="16">
        <v>15800</v>
      </c>
      <c r="AQ34" s="16">
        <v>14675.843163740101</v>
      </c>
      <c r="AR34" s="16">
        <f t="shared" si="4"/>
        <v>1124.1568362598991</v>
      </c>
      <c r="AS34" s="17">
        <f t="shared" si="5"/>
        <v>7.1149166851892348E-2</v>
      </c>
      <c r="AT34" s="6">
        <v>15800</v>
      </c>
      <c r="AU34" s="6">
        <v>16321.9423828125</v>
      </c>
      <c r="AV34" s="6">
        <f t="shared" si="6"/>
        <v>521.9423828125</v>
      </c>
      <c r="AW34" s="7">
        <f t="shared" si="7"/>
        <v>3.3034328026107597E-2</v>
      </c>
    </row>
    <row r="35" spans="1:49" x14ac:dyDescent="0.25">
      <c r="A35" t="s">
        <v>56</v>
      </c>
      <c r="B35" t="s">
        <v>123</v>
      </c>
      <c r="C35">
        <v>216964</v>
      </c>
      <c r="D35">
        <v>2009</v>
      </c>
      <c r="E35" t="s">
        <v>71</v>
      </c>
      <c r="F35" t="s">
        <v>208</v>
      </c>
      <c r="I35">
        <v>6</v>
      </c>
      <c r="J35" t="s">
        <v>210</v>
      </c>
      <c r="K35">
        <v>4</v>
      </c>
      <c r="L35" t="s">
        <v>44</v>
      </c>
      <c r="M35">
        <v>3.5</v>
      </c>
      <c r="N35" t="s">
        <v>44</v>
      </c>
      <c r="O35" t="s">
        <v>46</v>
      </c>
      <c r="P35">
        <v>4</v>
      </c>
      <c r="Q35" t="s">
        <v>47</v>
      </c>
      <c r="R35" t="s">
        <v>48</v>
      </c>
      <c r="S35" t="s">
        <v>63</v>
      </c>
      <c r="U35" t="s">
        <v>50</v>
      </c>
      <c r="V35" t="s">
        <v>64</v>
      </c>
      <c r="X35" t="s">
        <v>141</v>
      </c>
      <c r="Y35" t="s">
        <v>97</v>
      </c>
      <c r="AA35">
        <v>0</v>
      </c>
      <c r="AB35" t="s">
        <v>54</v>
      </c>
      <c r="AC35" t="s">
        <v>55</v>
      </c>
      <c r="AD35">
        <v>34</v>
      </c>
      <c r="AE35">
        <v>8</v>
      </c>
      <c r="AF35">
        <v>3</v>
      </c>
      <c r="AG35">
        <v>2025</v>
      </c>
      <c r="AH35" s="13">
        <v>500</v>
      </c>
      <c r="AI35" s="13">
        <v>866.46771240234375</v>
      </c>
      <c r="AJ35" s="13">
        <f t="shared" si="0"/>
        <v>366.46771240234375</v>
      </c>
      <c r="AK35" s="14">
        <f t="shared" si="1"/>
        <v>0.73293542480468754</v>
      </c>
      <c r="AL35" s="9">
        <v>500</v>
      </c>
      <c r="AM35" s="9">
        <v>826.62729363586095</v>
      </c>
      <c r="AN35" s="9">
        <f t="shared" si="2"/>
        <v>326.62729363586095</v>
      </c>
      <c r="AO35" s="10">
        <f t="shared" si="3"/>
        <v>0.65325458727172192</v>
      </c>
      <c r="AP35" s="16">
        <v>500</v>
      </c>
      <c r="AQ35" s="16">
        <v>627.42695023950102</v>
      </c>
      <c r="AR35" s="16">
        <f t="shared" si="4"/>
        <v>127.42695023950102</v>
      </c>
      <c r="AS35" s="17">
        <f t="shared" si="5"/>
        <v>0.25485390047900203</v>
      </c>
      <c r="AT35" s="6">
        <v>500</v>
      </c>
      <c r="AU35" s="6">
        <v>765.42840576171875</v>
      </c>
      <c r="AV35" s="6">
        <f t="shared" si="6"/>
        <v>265.42840576171875</v>
      </c>
      <c r="AW35" s="7">
        <f t="shared" si="7"/>
        <v>0.53085681152343756</v>
      </c>
    </row>
    <row r="36" spans="1:49" x14ac:dyDescent="0.25">
      <c r="A36" t="s">
        <v>56</v>
      </c>
      <c r="B36" t="s">
        <v>104</v>
      </c>
      <c r="C36">
        <v>168417</v>
      </c>
      <c r="D36">
        <v>2009</v>
      </c>
      <c r="E36" t="s">
        <v>136</v>
      </c>
      <c r="F36" t="s">
        <v>211</v>
      </c>
      <c r="G36" t="s">
        <v>212</v>
      </c>
      <c r="I36">
        <v>5</v>
      </c>
      <c r="J36" t="s">
        <v>61</v>
      </c>
      <c r="K36">
        <v>4</v>
      </c>
      <c r="L36" t="s">
        <v>44</v>
      </c>
      <c r="M36">
        <v>2.5</v>
      </c>
      <c r="N36" t="s">
        <v>45</v>
      </c>
      <c r="O36" t="s">
        <v>46</v>
      </c>
      <c r="P36">
        <v>2</v>
      </c>
      <c r="Q36" t="s">
        <v>84</v>
      </c>
      <c r="R36" t="s">
        <v>85</v>
      </c>
      <c r="T36">
        <v>170</v>
      </c>
      <c r="U36" t="s">
        <v>50</v>
      </c>
      <c r="X36" t="s">
        <v>87</v>
      </c>
      <c r="Y36" t="s">
        <v>106</v>
      </c>
      <c r="AA36">
        <v>0</v>
      </c>
      <c r="AB36" t="s">
        <v>54</v>
      </c>
      <c r="AC36" t="s">
        <v>89</v>
      </c>
      <c r="AD36">
        <v>34</v>
      </c>
      <c r="AE36">
        <v>8</v>
      </c>
      <c r="AF36">
        <v>3</v>
      </c>
      <c r="AG36">
        <v>2025</v>
      </c>
      <c r="AH36" s="13">
        <v>800</v>
      </c>
      <c r="AI36" s="13">
        <v>563.4410400390625</v>
      </c>
      <c r="AJ36" s="13">
        <f t="shared" si="0"/>
        <v>236.5589599609375</v>
      </c>
      <c r="AK36" s="14">
        <f t="shared" si="1"/>
        <v>0.29569869995117187</v>
      </c>
      <c r="AL36" s="9">
        <v>800</v>
      </c>
      <c r="AM36" s="9">
        <v>543.28232365535507</v>
      </c>
      <c r="AN36" s="9">
        <f t="shared" si="2"/>
        <v>256.71767634464493</v>
      </c>
      <c r="AO36" s="10">
        <f t="shared" si="3"/>
        <v>0.32089709543080613</v>
      </c>
      <c r="AP36" s="16">
        <v>800</v>
      </c>
      <c r="AQ36" s="16">
        <v>459.7577998098771</v>
      </c>
      <c r="AR36" s="16">
        <f t="shared" si="4"/>
        <v>340.2422001901229</v>
      </c>
      <c r="AS36" s="17">
        <f t="shared" si="5"/>
        <v>0.42530275023765363</v>
      </c>
      <c r="AT36" s="6">
        <v>800</v>
      </c>
      <c r="AU36" s="6">
        <v>572.46502685546875</v>
      </c>
      <c r="AV36" s="6">
        <f t="shared" si="6"/>
        <v>227.53497314453125</v>
      </c>
      <c r="AW36" s="7">
        <f t="shared" si="7"/>
        <v>0.28441871643066408</v>
      </c>
    </row>
    <row r="37" spans="1:49" x14ac:dyDescent="0.25">
      <c r="A37" t="s">
        <v>56</v>
      </c>
      <c r="B37" t="s">
        <v>196</v>
      </c>
      <c r="C37">
        <v>136184</v>
      </c>
      <c r="D37">
        <v>2014</v>
      </c>
      <c r="E37" t="s">
        <v>213</v>
      </c>
      <c r="F37" t="s">
        <v>214</v>
      </c>
      <c r="G37" t="s">
        <v>215</v>
      </c>
      <c r="I37">
        <v>4</v>
      </c>
      <c r="J37" t="s">
        <v>94</v>
      </c>
      <c r="K37">
        <v>4</v>
      </c>
      <c r="L37" t="s">
        <v>44</v>
      </c>
      <c r="M37">
        <v>2</v>
      </c>
      <c r="N37" t="s">
        <v>44</v>
      </c>
      <c r="O37" t="s">
        <v>46</v>
      </c>
      <c r="Q37" t="s">
        <v>84</v>
      </c>
      <c r="R37" t="s">
        <v>85</v>
      </c>
      <c r="S37" t="s">
        <v>139</v>
      </c>
      <c r="U37" t="s">
        <v>50</v>
      </c>
      <c r="V37" t="s">
        <v>95</v>
      </c>
      <c r="W37" t="s">
        <v>216</v>
      </c>
      <c r="X37" t="s">
        <v>87</v>
      </c>
      <c r="Y37" t="s">
        <v>67</v>
      </c>
      <c r="AA37">
        <v>0</v>
      </c>
      <c r="AB37" t="s">
        <v>54</v>
      </c>
      <c r="AC37" t="s">
        <v>89</v>
      </c>
      <c r="AD37">
        <v>34</v>
      </c>
      <c r="AE37">
        <v>8</v>
      </c>
      <c r="AF37">
        <v>3</v>
      </c>
      <c r="AG37">
        <v>2025</v>
      </c>
      <c r="AH37" s="13">
        <v>2500</v>
      </c>
      <c r="AI37" s="13">
        <v>3980.4033203125</v>
      </c>
      <c r="AJ37" s="13">
        <f t="shared" si="0"/>
        <v>1480.4033203125</v>
      </c>
      <c r="AK37" s="14">
        <f t="shared" si="1"/>
        <v>0.592161328125</v>
      </c>
      <c r="AL37" s="9">
        <v>2500</v>
      </c>
      <c r="AM37" s="9">
        <v>3829.123317781397</v>
      </c>
      <c r="AN37" s="9">
        <f t="shared" si="2"/>
        <v>1329.123317781397</v>
      </c>
      <c r="AO37" s="10">
        <f t="shared" si="3"/>
        <v>0.53164932711255874</v>
      </c>
      <c r="AP37" s="16">
        <v>2500</v>
      </c>
      <c r="AQ37" s="16">
        <v>3020.5639816945732</v>
      </c>
      <c r="AR37" s="16">
        <f t="shared" si="4"/>
        <v>520.56398169457316</v>
      </c>
      <c r="AS37" s="17">
        <f t="shared" si="5"/>
        <v>0.20822559267782925</v>
      </c>
      <c r="AT37" s="6">
        <v>2500</v>
      </c>
      <c r="AU37" s="6">
        <v>3589.49267578125</v>
      </c>
      <c r="AV37" s="6">
        <f t="shared" si="6"/>
        <v>1089.49267578125</v>
      </c>
      <c r="AW37" s="7">
        <f t="shared" si="7"/>
        <v>0.43579707031249998</v>
      </c>
    </row>
    <row r="38" spans="1:49" x14ac:dyDescent="0.25">
      <c r="A38" t="s">
        <v>69</v>
      </c>
      <c r="B38" t="s">
        <v>70</v>
      </c>
      <c r="C38">
        <v>198882</v>
      </c>
      <c r="D38">
        <v>2013</v>
      </c>
      <c r="E38" t="s">
        <v>217</v>
      </c>
      <c r="F38" t="s">
        <v>162</v>
      </c>
      <c r="G38" t="s">
        <v>218</v>
      </c>
      <c r="I38">
        <v>8</v>
      </c>
      <c r="J38" t="s">
        <v>82</v>
      </c>
      <c r="K38">
        <v>4</v>
      </c>
      <c r="L38" t="s">
        <v>44</v>
      </c>
      <c r="M38">
        <v>5.7</v>
      </c>
      <c r="N38" t="s">
        <v>62</v>
      </c>
      <c r="O38" t="s">
        <v>42</v>
      </c>
      <c r="P38">
        <v>1</v>
      </c>
      <c r="Q38" t="s">
        <v>75</v>
      </c>
      <c r="R38" t="s">
        <v>76</v>
      </c>
      <c r="S38" t="s">
        <v>63</v>
      </c>
      <c r="U38" t="s">
        <v>50</v>
      </c>
      <c r="X38" t="s">
        <v>66</v>
      </c>
      <c r="Y38" t="s">
        <v>67</v>
      </c>
      <c r="AA38">
        <v>0</v>
      </c>
      <c r="AB38" t="s">
        <v>54</v>
      </c>
      <c r="AC38" t="s">
        <v>78</v>
      </c>
      <c r="AD38">
        <v>34</v>
      </c>
      <c r="AE38">
        <v>8</v>
      </c>
      <c r="AF38">
        <v>3</v>
      </c>
      <c r="AG38">
        <v>2025</v>
      </c>
      <c r="AH38" s="13">
        <v>2200</v>
      </c>
      <c r="AI38" s="13">
        <v>1861.139526367188</v>
      </c>
      <c r="AJ38" s="13">
        <f t="shared" si="0"/>
        <v>338.86047363281205</v>
      </c>
      <c r="AK38" s="14">
        <f t="shared" si="1"/>
        <v>0.15402748801491456</v>
      </c>
      <c r="AL38" s="9">
        <v>2200</v>
      </c>
      <c r="AM38" s="9">
        <v>1507.488368067317</v>
      </c>
      <c r="AN38" s="9">
        <f t="shared" si="2"/>
        <v>692.51163193268303</v>
      </c>
      <c r="AO38" s="10">
        <f t="shared" si="3"/>
        <v>0.31477801451485593</v>
      </c>
      <c r="AP38" s="16">
        <v>2200</v>
      </c>
      <c r="AQ38" s="16">
        <v>1671.2139146593661</v>
      </c>
      <c r="AR38" s="16">
        <f t="shared" si="4"/>
        <v>528.78608534063392</v>
      </c>
      <c r="AS38" s="17">
        <f t="shared" si="5"/>
        <v>0.24035731151846995</v>
      </c>
      <c r="AT38" s="6">
        <v>2200</v>
      </c>
      <c r="AU38" s="6">
        <v>1789.023559570312</v>
      </c>
      <c r="AV38" s="6">
        <f t="shared" si="6"/>
        <v>410.97644042968795</v>
      </c>
      <c r="AW38" s="7">
        <f t="shared" si="7"/>
        <v>0.18680747292258543</v>
      </c>
    </row>
    <row r="39" spans="1:49" x14ac:dyDescent="0.25">
      <c r="A39" t="s">
        <v>38</v>
      </c>
      <c r="B39" t="s">
        <v>39</v>
      </c>
      <c r="C39">
        <v>154791</v>
      </c>
      <c r="D39">
        <v>2001</v>
      </c>
      <c r="E39" t="s">
        <v>169</v>
      </c>
      <c r="F39" t="s">
        <v>219</v>
      </c>
      <c r="G39" t="s">
        <v>220</v>
      </c>
      <c r="I39">
        <v>4</v>
      </c>
      <c r="J39" t="s">
        <v>43</v>
      </c>
      <c r="K39">
        <v>4</v>
      </c>
      <c r="L39" t="s">
        <v>221</v>
      </c>
      <c r="M39">
        <v>2.5</v>
      </c>
      <c r="N39" t="s">
        <v>44</v>
      </c>
      <c r="O39" t="s">
        <v>46</v>
      </c>
      <c r="P39">
        <v>3</v>
      </c>
      <c r="Q39" t="s">
        <v>84</v>
      </c>
      <c r="R39" t="s">
        <v>222</v>
      </c>
      <c r="S39" t="s">
        <v>139</v>
      </c>
      <c r="X39" t="s">
        <v>87</v>
      </c>
      <c r="Y39" t="s">
        <v>67</v>
      </c>
      <c r="AA39">
        <v>0</v>
      </c>
      <c r="AB39" t="s">
        <v>54</v>
      </c>
      <c r="AC39" t="s">
        <v>222</v>
      </c>
      <c r="AD39">
        <v>34</v>
      </c>
      <c r="AE39">
        <v>8</v>
      </c>
      <c r="AF39">
        <v>3</v>
      </c>
      <c r="AG39">
        <v>2025</v>
      </c>
      <c r="AH39" s="13">
        <v>1400</v>
      </c>
      <c r="AI39" s="13">
        <v>810.6912841796875</v>
      </c>
      <c r="AJ39" s="13">
        <f t="shared" si="0"/>
        <v>589.3087158203125</v>
      </c>
      <c r="AK39" s="14">
        <f t="shared" si="1"/>
        <v>0.42093479701450892</v>
      </c>
      <c r="AL39" s="9">
        <v>1400</v>
      </c>
      <c r="AM39" s="9">
        <v>812.50145135602065</v>
      </c>
      <c r="AN39" s="9">
        <f t="shared" si="2"/>
        <v>587.49854864397935</v>
      </c>
      <c r="AO39" s="10">
        <f t="shared" si="3"/>
        <v>0.41964182045998527</v>
      </c>
      <c r="AP39" s="16">
        <v>1400</v>
      </c>
      <c r="AQ39" s="16">
        <v>949.36512908517784</v>
      </c>
      <c r="AR39" s="16">
        <f t="shared" si="4"/>
        <v>450.63487091482216</v>
      </c>
      <c r="AS39" s="17">
        <f t="shared" si="5"/>
        <v>0.32188205065344438</v>
      </c>
      <c r="AT39" s="6">
        <v>1400</v>
      </c>
      <c r="AU39" s="6">
        <v>924.49609375</v>
      </c>
      <c r="AV39" s="6">
        <f t="shared" si="6"/>
        <v>475.50390625</v>
      </c>
      <c r="AW39" s="7">
        <f t="shared" si="7"/>
        <v>0.33964564732142855</v>
      </c>
    </row>
    <row r="40" spans="1:49" x14ac:dyDescent="0.25">
      <c r="A40" t="s">
        <v>69</v>
      </c>
      <c r="B40" t="s">
        <v>223</v>
      </c>
      <c r="C40">
        <v>86869</v>
      </c>
      <c r="D40">
        <v>2020</v>
      </c>
      <c r="E40" t="s">
        <v>224</v>
      </c>
      <c r="F40" t="s">
        <v>225</v>
      </c>
      <c r="G40" t="s">
        <v>226</v>
      </c>
      <c r="H40" t="s">
        <v>227</v>
      </c>
      <c r="I40">
        <v>6</v>
      </c>
      <c r="J40" t="s">
        <v>94</v>
      </c>
      <c r="K40">
        <v>4</v>
      </c>
      <c r="L40" t="s">
        <v>44</v>
      </c>
      <c r="M40">
        <v>3.5</v>
      </c>
      <c r="N40" t="s">
        <v>44</v>
      </c>
      <c r="O40" t="s">
        <v>46</v>
      </c>
      <c r="P40">
        <v>4</v>
      </c>
      <c r="Q40" t="s">
        <v>47</v>
      </c>
      <c r="R40" t="s">
        <v>48</v>
      </c>
      <c r="S40" t="s">
        <v>63</v>
      </c>
      <c r="T40">
        <v>295</v>
      </c>
      <c r="U40" t="s">
        <v>50</v>
      </c>
      <c r="V40" t="s">
        <v>64</v>
      </c>
      <c r="W40" t="s">
        <v>228</v>
      </c>
      <c r="X40" t="s">
        <v>141</v>
      </c>
      <c r="Y40" t="s">
        <v>88</v>
      </c>
      <c r="AA40">
        <v>0</v>
      </c>
      <c r="AB40" t="s">
        <v>54</v>
      </c>
      <c r="AC40" t="s">
        <v>55</v>
      </c>
      <c r="AD40">
        <v>34</v>
      </c>
      <c r="AE40">
        <v>8</v>
      </c>
      <c r="AF40">
        <v>3</v>
      </c>
      <c r="AG40">
        <v>2025</v>
      </c>
      <c r="AH40" s="13">
        <v>30000</v>
      </c>
      <c r="AI40" s="13">
        <v>32023.580078125</v>
      </c>
      <c r="AJ40" s="13">
        <f t="shared" si="0"/>
        <v>2023.580078125</v>
      </c>
      <c r="AK40" s="14">
        <f t="shared" si="1"/>
        <v>6.7452669270833335E-2</v>
      </c>
      <c r="AL40" s="9">
        <v>30000</v>
      </c>
      <c r="AM40" s="9">
        <v>26832.99117065172</v>
      </c>
      <c r="AN40" s="9">
        <f t="shared" si="2"/>
        <v>3167.0088293482804</v>
      </c>
      <c r="AO40" s="10">
        <f t="shared" si="3"/>
        <v>0.10556696097827602</v>
      </c>
      <c r="AP40" s="16">
        <v>30000</v>
      </c>
      <c r="AQ40" s="16">
        <v>23429.02695915521</v>
      </c>
      <c r="AR40" s="16">
        <f t="shared" si="4"/>
        <v>6570.9730408447904</v>
      </c>
      <c r="AS40" s="17">
        <f t="shared" si="5"/>
        <v>0.21903243469482633</v>
      </c>
      <c r="AT40" s="6">
        <v>30000</v>
      </c>
      <c r="AU40" s="6">
        <v>26680.373046875</v>
      </c>
      <c r="AV40" s="6">
        <f t="shared" si="6"/>
        <v>3319.626953125</v>
      </c>
      <c r="AW40" s="7">
        <f t="shared" si="7"/>
        <v>0.11065423177083333</v>
      </c>
    </row>
    <row r="41" spans="1:49" x14ac:dyDescent="0.25">
      <c r="A41" t="s">
        <v>38</v>
      </c>
      <c r="B41" t="s">
        <v>229</v>
      </c>
      <c r="C41">
        <v>56303</v>
      </c>
      <c r="D41">
        <v>2017</v>
      </c>
      <c r="E41" t="s">
        <v>230</v>
      </c>
      <c r="F41" t="s">
        <v>231</v>
      </c>
      <c r="G41" t="s">
        <v>232</v>
      </c>
      <c r="I41">
        <v>6</v>
      </c>
      <c r="J41" t="s">
        <v>82</v>
      </c>
      <c r="K41">
        <v>4</v>
      </c>
      <c r="L41" t="s">
        <v>44</v>
      </c>
      <c r="M41">
        <v>3</v>
      </c>
      <c r="N41" t="s">
        <v>116</v>
      </c>
      <c r="O41" t="s">
        <v>42</v>
      </c>
      <c r="P41">
        <v>1</v>
      </c>
      <c r="Q41" t="s">
        <v>84</v>
      </c>
      <c r="R41" t="s">
        <v>85</v>
      </c>
      <c r="S41" t="s">
        <v>117</v>
      </c>
      <c r="T41">
        <v>340</v>
      </c>
      <c r="U41" t="s">
        <v>50</v>
      </c>
      <c r="V41" t="s">
        <v>64</v>
      </c>
      <c r="W41" t="s">
        <v>233</v>
      </c>
      <c r="X41" t="s">
        <v>87</v>
      </c>
      <c r="Y41" t="s">
        <v>234</v>
      </c>
      <c r="AA41">
        <v>0</v>
      </c>
      <c r="AB41" t="s">
        <v>54</v>
      </c>
      <c r="AC41" t="s">
        <v>89</v>
      </c>
      <c r="AD41">
        <v>34</v>
      </c>
      <c r="AE41">
        <v>8</v>
      </c>
      <c r="AF41">
        <v>3</v>
      </c>
      <c r="AG41">
        <v>2025</v>
      </c>
      <c r="AH41" s="13">
        <v>2100</v>
      </c>
      <c r="AI41" s="13">
        <v>3537.770263671875</v>
      </c>
      <c r="AJ41" s="13">
        <f t="shared" si="0"/>
        <v>1437.770263671875</v>
      </c>
      <c r="AK41" s="14">
        <f t="shared" si="1"/>
        <v>0.68465250651041665</v>
      </c>
      <c r="AL41" s="9">
        <v>2100</v>
      </c>
      <c r="AM41" s="9">
        <v>3131.2805802827729</v>
      </c>
      <c r="AN41" s="9">
        <f t="shared" si="2"/>
        <v>1031.2805802827729</v>
      </c>
      <c r="AO41" s="10">
        <f t="shared" si="3"/>
        <v>0.49108599061084424</v>
      </c>
      <c r="AP41" s="16">
        <v>2100</v>
      </c>
      <c r="AQ41" s="16">
        <v>2620.8486398932359</v>
      </c>
      <c r="AR41" s="16">
        <f t="shared" si="4"/>
        <v>520.84863989323594</v>
      </c>
      <c r="AS41" s="17">
        <f t="shared" si="5"/>
        <v>0.24802316185392187</v>
      </c>
      <c r="AT41" s="6">
        <v>2100</v>
      </c>
      <c r="AU41" s="6">
        <v>3580.18408203125</v>
      </c>
      <c r="AV41" s="6">
        <f t="shared" si="6"/>
        <v>1480.18408203125</v>
      </c>
      <c r="AW41" s="7">
        <f t="shared" si="7"/>
        <v>0.70484956287202383</v>
      </c>
    </row>
    <row r="42" spans="1:49" x14ac:dyDescent="0.25">
      <c r="A42" t="s">
        <v>38</v>
      </c>
      <c r="B42" t="s">
        <v>167</v>
      </c>
      <c r="C42">
        <v>112816</v>
      </c>
      <c r="D42">
        <v>2009</v>
      </c>
      <c r="E42" t="s">
        <v>145</v>
      </c>
      <c r="F42" t="s">
        <v>235</v>
      </c>
      <c r="G42" t="s">
        <v>236</v>
      </c>
      <c r="I42">
        <v>4</v>
      </c>
      <c r="J42" t="s">
        <v>94</v>
      </c>
      <c r="K42">
        <v>4</v>
      </c>
      <c r="L42" t="s">
        <v>221</v>
      </c>
      <c r="M42">
        <v>1.5</v>
      </c>
      <c r="N42" t="s">
        <v>45</v>
      </c>
      <c r="O42" t="s">
        <v>83</v>
      </c>
      <c r="P42">
        <v>3</v>
      </c>
      <c r="Q42" t="s">
        <v>84</v>
      </c>
      <c r="R42" t="s">
        <v>157</v>
      </c>
      <c r="T42">
        <v>117</v>
      </c>
      <c r="U42" t="s">
        <v>50</v>
      </c>
      <c r="V42" t="s">
        <v>95</v>
      </c>
      <c r="W42" t="s">
        <v>237</v>
      </c>
      <c r="X42" t="s">
        <v>122</v>
      </c>
      <c r="Y42" t="s">
        <v>97</v>
      </c>
      <c r="AA42">
        <v>0</v>
      </c>
      <c r="AB42" t="s">
        <v>54</v>
      </c>
      <c r="AC42" t="s">
        <v>159</v>
      </c>
      <c r="AD42">
        <v>34</v>
      </c>
      <c r="AE42">
        <v>8</v>
      </c>
      <c r="AF42">
        <v>3</v>
      </c>
      <c r="AG42">
        <v>2025</v>
      </c>
      <c r="AH42" s="13">
        <v>600</v>
      </c>
      <c r="AI42" s="13">
        <v>828.99627685546875</v>
      </c>
      <c r="AJ42" s="13">
        <f t="shared" si="0"/>
        <v>228.99627685546875</v>
      </c>
      <c r="AK42" s="14">
        <f t="shared" si="1"/>
        <v>0.38166046142578125</v>
      </c>
      <c r="AL42" s="9">
        <v>600</v>
      </c>
      <c r="AM42" s="9">
        <v>1374.8663348500179</v>
      </c>
      <c r="AN42" s="9">
        <f t="shared" si="2"/>
        <v>774.86633485001789</v>
      </c>
      <c r="AO42" s="10">
        <f t="shared" si="3"/>
        <v>1.2914438914166966</v>
      </c>
      <c r="AP42" s="16">
        <v>600</v>
      </c>
      <c r="AQ42" s="16">
        <v>886.90206622674054</v>
      </c>
      <c r="AR42" s="16">
        <f t="shared" si="4"/>
        <v>286.90206622674054</v>
      </c>
      <c r="AS42" s="17">
        <f t="shared" si="5"/>
        <v>0.47817011037790091</v>
      </c>
      <c r="AT42" s="6">
        <v>600</v>
      </c>
      <c r="AU42" s="6">
        <v>1198.541259765625</v>
      </c>
      <c r="AV42" s="6">
        <f t="shared" si="6"/>
        <v>598.541259765625</v>
      </c>
      <c r="AW42" s="7">
        <f t="shared" si="7"/>
        <v>0.99756876627604163</v>
      </c>
    </row>
    <row r="43" spans="1:49" x14ac:dyDescent="0.25">
      <c r="A43" t="s">
        <v>38</v>
      </c>
      <c r="B43" t="s">
        <v>204</v>
      </c>
      <c r="C43">
        <v>102258</v>
      </c>
      <c r="D43">
        <v>2021</v>
      </c>
      <c r="E43" t="s">
        <v>71</v>
      </c>
      <c r="F43" t="s">
        <v>238</v>
      </c>
      <c r="G43" t="s">
        <v>239</v>
      </c>
      <c r="L43" t="s">
        <v>240</v>
      </c>
      <c r="M43">
        <v>2</v>
      </c>
      <c r="N43" t="s">
        <v>45</v>
      </c>
      <c r="O43" t="s">
        <v>46</v>
      </c>
      <c r="P43">
        <v>3</v>
      </c>
      <c r="Q43" t="s">
        <v>84</v>
      </c>
      <c r="R43" t="s">
        <v>85</v>
      </c>
      <c r="S43" t="s">
        <v>49</v>
      </c>
      <c r="U43" t="s">
        <v>50</v>
      </c>
      <c r="X43" t="s">
        <v>87</v>
      </c>
      <c r="Y43" t="s">
        <v>106</v>
      </c>
      <c r="AA43">
        <v>0</v>
      </c>
      <c r="AB43" t="s">
        <v>54</v>
      </c>
      <c r="AC43" t="s">
        <v>89</v>
      </c>
      <c r="AD43">
        <v>34</v>
      </c>
      <c r="AE43">
        <v>8</v>
      </c>
      <c r="AF43">
        <v>3</v>
      </c>
      <c r="AG43">
        <v>2025</v>
      </c>
      <c r="AH43" s="13">
        <v>7700</v>
      </c>
      <c r="AI43" s="13">
        <v>8756.103515625</v>
      </c>
      <c r="AJ43" s="13">
        <f t="shared" si="0"/>
        <v>1056.103515625</v>
      </c>
      <c r="AK43" s="14">
        <f t="shared" si="1"/>
        <v>0.13715630073051949</v>
      </c>
      <c r="AL43" s="9">
        <v>7700</v>
      </c>
      <c r="AM43" s="9">
        <v>9273.9420955225378</v>
      </c>
      <c r="AN43" s="9">
        <f t="shared" si="2"/>
        <v>1573.9420955225378</v>
      </c>
      <c r="AO43" s="10">
        <f t="shared" si="3"/>
        <v>0.20440806435357634</v>
      </c>
      <c r="AP43" s="16">
        <v>7700</v>
      </c>
      <c r="AQ43" s="16">
        <v>7099.3212497418699</v>
      </c>
      <c r="AR43" s="16">
        <f t="shared" si="4"/>
        <v>600.67875025813009</v>
      </c>
      <c r="AS43" s="17">
        <f t="shared" si="5"/>
        <v>7.8010227306250665E-2</v>
      </c>
      <c r="AT43" s="6">
        <v>7700</v>
      </c>
      <c r="AU43" s="6">
        <v>8816.6259765625</v>
      </c>
      <c r="AV43" s="6">
        <f t="shared" si="6"/>
        <v>1116.6259765625</v>
      </c>
      <c r="AW43" s="7">
        <f t="shared" si="7"/>
        <v>0.14501636059253248</v>
      </c>
    </row>
    <row r="44" spans="1:49" x14ac:dyDescent="0.25">
      <c r="A44" t="s">
        <v>38</v>
      </c>
      <c r="B44" t="s">
        <v>229</v>
      </c>
      <c r="C44">
        <v>149784</v>
      </c>
      <c r="D44">
        <v>2006</v>
      </c>
      <c r="E44" t="s">
        <v>241</v>
      </c>
      <c r="F44" t="s">
        <v>242</v>
      </c>
      <c r="H44" t="s">
        <v>243</v>
      </c>
      <c r="I44">
        <v>6</v>
      </c>
      <c r="J44" t="s">
        <v>82</v>
      </c>
      <c r="K44">
        <v>4</v>
      </c>
      <c r="L44" t="s">
        <v>44</v>
      </c>
      <c r="M44">
        <v>3.5</v>
      </c>
      <c r="N44" t="s">
        <v>116</v>
      </c>
      <c r="O44" t="s">
        <v>42</v>
      </c>
      <c r="P44">
        <v>3</v>
      </c>
      <c r="Q44" t="s">
        <v>84</v>
      </c>
      <c r="R44" t="s">
        <v>85</v>
      </c>
      <c r="U44" t="s">
        <v>50</v>
      </c>
      <c r="V44" t="s">
        <v>64</v>
      </c>
      <c r="X44" t="s">
        <v>87</v>
      </c>
      <c r="Y44" t="s">
        <v>244</v>
      </c>
      <c r="AA44">
        <v>0</v>
      </c>
      <c r="AB44" t="s">
        <v>54</v>
      </c>
      <c r="AC44" t="s">
        <v>89</v>
      </c>
      <c r="AD44">
        <v>34</v>
      </c>
      <c r="AE44">
        <v>8</v>
      </c>
      <c r="AF44">
        <v>3</v>
      </c>
      <c r="AG44">
        <v>2025</v>
      </c>
      <c r="AH44" s="13">
        <v>600</v>
      </c>
      <c r="AI44" s="13">
        <v>489.93533325195313</v>
      </c>
      <c r="AJ44" s="13">
        <f t="shared" si="0"/>
        <v>110.06466674804688</v>
      </c>
      <c r="AK44" s="14">
        <f t="shared" si="1"/>
        <v>0.18344111124674478</v>
      </c>
      <c r="AL44" s="9">
        <v>600</v>
      </c>
      <c r="AM44" s="9">
        <v>453.11736458154758</v>
      </c>
      <c r="AN44" s="9">
        <f t="shared" si="2"/>
        <v>146.88263541845242</v>
      </c>
      <c r="AO44" s="10">
        <f t="shared" si="3"/>
        <v>0.24480439236408738</v>
      </c>
      <c r="AP44" s="16">
        <v>600</v>
      </c>
      <c r="AQ44" s="16">
        <v>382.45936251919591</v>
      </c>
      <c r="AR44" s="16">
        <f t="shared" si="4"/>
        <v>217.54063748080409</v>
      </c>
      <c r="AS44" s="17">
        <f t="shared" si="5"/>
        <v>0.3625677291346735</v>
      </c>
      <c r="AT44" s="6">
        <v>600</v>
      </c>
      <c r="AU44" s="6">
        <v>425.54299926757813</v>
      </c>
      <c r="AV44" s="6">
        <f t="shared" si="6"/>
        <v>174.45700073242188</v>
      </c>
      <c r="AW44" s="7">
        <f t="shared" si="7"/>
        <v>0.29076166788736979</v>
      </c>
    </row>
    <row r="45" spans="1:49" x14ac:dyDescent="0.25">
      <c r="A45" t="s">
        <v>56</v>
      </c>
      <c r="B45" t="s">
        <v>178</v>
      </c>
      <c r="C45">
        <v>94394</v>
      </c>
      <c r="D45">
        <v>2010</v>
      </c>
      <c r="E45" t="s">
        <v>79</v>
      </c>
      <c r="F45" t="s">
        <v>245</v>
      </c>
      <c r="G45" t="s">
        <v>246</v>
      </c>
      <c r="I45">
        <v>4</v>
      </c>
      <c r="J45" t="s">
        <v>101</v>
      </c>
      <c r="K45">
        <v>4</v>
      </c>
      <c r="L45" t="s">
        <v>44</v>
      </c>
      <c r="M45">
        <v>1.6</v>
      </c>
      <c r="N45" t="s">
        <v>45</v>
      </c>
      <c r="O45" t="s">
        <v>46</v>
      </c>
      <c r="P45">
        <v>2</v>
      </c>
      <c r="Q45" t="s">
        <v>84</v>
      </c>
      <c r="R45" t="s">
        <v>85</v>
      </c>
      <c r="U45" t="s">
        <v>50</v>
      </c>
      <c r="V45" t="s">
        <v>95</v>
      </c>
      <c r="W45" t="s">
        <v>247</v>
      </c>
      <c r="X45" t="s">
        <v>87</v>
      </c>
      <c r="Y45" t="s">
        <v>53</v>
      </c>
      <c r="AA45">
        <v>0</v>
      </c>
      <c r="AB45" t="s">
        <v>54</v>
      </c>
      <c r="AC45" t="s">
        <v>89</v>
      </c>
      <c r="AD45">
        <v>34</v>
      </c>
      <c r="AE45">
        <v>8</v>
      </c>
      <c r="AF45">
        <v>3</v>
      </c>
      <c r="AG45">
        <v>2025</v>
      </c>
      <c r="AH45" s="13">
        <v>1400</v>
      </c>
      <c r="AI45" s="13">
        <v>1209.688720703125</v>
      </c>
      <c r="AJ45" s="13">
        <f t="shared" si="0"/>
        <v>190.311279296875</v>
      </c>
      <c r="AK45" s="14">
        <f t="shared" si="1"/>
        <v>0.13593662806919643</v>
      </c>
      <c r="AL45" s="9">
        <v>1400</v>
      </c>
      <c r="AM45" s="9">
        <v>1457.66601940547</v>
      </c>
      <c r="AN45" s="9">
        <f t="shared" si="2"/>
        <v>57.666019405470024</v>
      </c>
      <c r="AO45" s="10">
        <f t="shared" si="3"/>
        <v>4.119001386105002E-2</v>
      </c>
      <c r="AP45" s="16">
        <v>1400</v>
      </c>
      <c r="AQ45" s="16">
        <v>934.15815797750975</v>
      </c>
      <c r="AR45" s="16">
        <f t="shared" si="4"/>
        <v>465.84184202249025</v>
      </c>
      <c r="AS45" s="17">
        <f t="shared" si="5"/>
        <v>0.33274417287320734</v>
      </c>
      <c r="AT45" s="6">
        <v>1400</v>
      </c>
      <c r="AU45" s="6">
        <v>1171.359252929688</v>
      </c>
      <c r="AV45" s="6">
        <f t="shared" si="6"/>
        <v>228.64074707031205</v>
      </c>
      <c r="AW45" s="7">
        <f t="shared" si="7"/>
        <v>0.16331481933593717</v>
      </c>
    </row>
    <row r="46" spans="1:49" x14ac:dyDescent="0.25">
      <c r="A46" t="s">
        <v>69</v>
      </c>
      <c r="B46" t="s">
        <v>248</v>
      </c>
      <c r="C46">
        <v>13611</v>
      </c>
      <c r="D46">
        <v>2020</v>
      </c>
      <c r="E46" t="s">
        <v>79</v>
      </c>
      <c r="F46" t="s">
        <v>249</v>
      </c>
      <c r="G46" t="s">
        <v>250</v>
      </c>
      <c r="I46">
        <v>8</v>
      </c>
      <c r="J46" t="s">
        <v>74</v>
      </c>
      <c r="K46">
        <v>2</v>
      </c>
      <c r="L46" t="s">
        <v>44</v>
      </c>
      <c r="M46">
        <v>6.2</v>
      </c>
      <c r="N46" t="s">
        <v>116</v>
      </c>
      <c r="O46" t="s">
        <v>46</v>
      </c>
      <c r="P46">
        <v>4</v>
      </c>
      <c r="Q46" t="s">
        <v>84</v>
      </c>
      <c r="R46" t="s">
        <v>251</v>
      </c>
      <c r="S46" t="s">
        <v>117</v>
      </c>
      <c r="U46" t="s">
        <v>50</v>
      </c>
      <c r="W46" t="s">
        <v>252</v>
      </c>
      <c r="X46" t="s">
        <v>87</v>
      </c>
      <c r="Y46" t="s">
        <v>67</v>
      </c>
      <c r="AA46">
        <v>0</v>
      </c>
      <c r="AB46" t="s">
        <v>54</v>
      </c>
      <c r="AC46" t="s">
        <v>251</v>
      </c>
      <c r="AD46">
        <v>34</v>
      </c>
      <c r="AE46">
        <v>8</v>
      </c>
      <c r="AF46">
        <v>3</v>
      </c>
      <c r="AG46">
        <v>2025</v>
      </c>
      <c r="AH46" s="13">
        <v>62000</v>
      </c>
      <c r="AI46" s="13">
        <v>74086.3671875</v>
      </c>
      <c r="AJ46" s="13">
        <f t="shared" si="0"/>
        <v>12086.3671875</v>
      </c>
      <c r="AK46" s="14">
        <f t="shared" si="1"/>
        <v>0.19494140625</v>
      </c>
      <c r="AL46" s="9">
        <v>62000</v>
      </c>
      <c r="AM46" s="9">
        <v>63383.912660832219</v>
      </c>
      <c r="AN46" s="9">
        <f t="shared" si="2"/>
        <v>1383.9126608322185</v>
      </c>
      <c r="AO46" s="10">
        <f t="shared" si="3"/>
        <v>2.2321171948906749E-2</v>
      </c>
      <c r="AP46" s="16">
        <v>62000</v>
      </c>
      <c r="AQ46" s="16">
        <v>49341.218556126223</v>
      </c>
      <c r="AR46" s="16">
        <f t="shared" si="4"/>
        <v>12658.781443873777</v>
      </c>
      <c r="AS46" s="17">
        <f t="shared" si="5"/>
        <v>0.20417389425602867</v>
      </c>
      <c r="AT46" s="6">
        <v>62000</v>
      </c>
      <c r="AU46" s="6">
        <v>56613.9765625</v>
      </c>
      <c r="AV46" s="6">
        <f t="shared" si="6"/>
        <v>5386.0234375</v>
      </c>
      <c r="AW46" s="7">
        <f t="shared" si="7"/>
        <v>8.6871345766129038E-2</v>
      </c>
    </row>
    <row r="47" spans="1:49" x14ac:dyDescent="0.25">
      <c r="A47" t="s">
        <v>38</v>
      </c>
      <c r="B47" t="s">
        <v>167</v>
      </c>
      <c r="C47">
        <v>51467</v>
      </c>
      <c r="D47">
        <v>2019</v>
      </c>
      <c r="E47" t="s">
        <v>113</v>
      </c>
      <c r="F47" t="s">
        <v>253</v>
      </c>
      <c r="H47" t="s">
        <v>254</v>
      </c>
      <c r="I47">
        <v>4</v>
      </c>
      <c r="J47" t="s">
        <v>74</v>
      </c>
      <c r="K47">
        <v>4</v>
      </c>
      <c r="L47" t="s">
        <v>44</v>
      </c>
      <c r="M47">
        <v>2.4</v>
      </c>
      <c r="N47" t="s">
        <v>45</v>
      </c>
      <c r="O47" t="s">
        <v>46</v>
      </c>
      <c r="P47">
        <v>4</v>
      </c>
      <c r="Q47" t="s">
        <v>47</v>
      </c>
      <c r="R47" t="s">
        <v>48</v>
      </c>
      <c r="S47" t="s">
        <v>102</v>
      </c>
      <c r="T47">
        <v>173</v>
      </c>
      <c r="U47" t="s">
        <v>50</v>
      </c>
      <c r="V47" t="s">
        <v>95</v>
      </c>
      <c r="X47" t="s">
        <v>141</v>
      </c>
      <c r="Y47" t="s">
        <v>106</v>
      </c>
      <c r="AA47">
        <v>0</v>
      </c>
      <c r="AB47" t="s">
        <v>54</v>
      </c>
      <c r="AC47" t="s">
        <v>55</v>
      </c>
      <c r="AD47">
        <v>34</v>
      </c>
      <c r="AE47">
        <v>8</v>
      </c>
      <c r="AF47">
        <v>3</v>
      </c>
      <c r="AG47">
        <v>2025</v>
      </c>
      <c r="AH47" s="13">
        <v>8500</v>
      </c>
      <c r="AI47" s="13">
        <v>11283.6611328125</v>
      </c>
      <c r="AJ47" s="13">
        <f t="shared" si="0"/>
        <v>2783.6611328125</v>
      </c>
      <c r="AK47" s="14">
        <f t="shared" si="1"/>
        <v>0.3274895450367647</v>
      </c>
      <c r="AL47" s="9">
        <v>8500</v>
      </c>
      <c r="AM47" s="9">
        <v>11811.60717086938</v>
      </c>
      <c r="AN47" s="9">
        <f t="shared" si="2"/>
        <v>3311.6071708693798</v>
      </c>
      <c r="AO47" s="10">
        <f t="shared" si="3"/>
        <v>0.38960084363169173</v>
      </c>
      <c r="AP47" s="16">
        <v>8500</v>
      </c>
      <c r="AQ47" s="16">
        <v>12291.70088092928</v>
      </c>
      <c r="AR47" s="16">
        <f t="shared" si="4"/>
        <v>3791.7008809292802</v>
      </c>
      <c r="AS47" s="17">
        <f t="shared" si="5"/>
        <v>0.4460824565799153</v>
      </c>
      <c r="AT47" s="6">
        <v>8500</v>
      </c>
      <c r="AU47" s="6">
        <v>12406.0439453125</v>
      </c>
      <c r="AV47" s="6">
        <f t="shared" si="6"/>
        <v>3906.0439453125</v>
      </c>
      <c r="AW47" s="7">
        <f t="shared" si="7"/>
        <v>0.45953458180147061</v>
      </c>
    </row>
    <row r="48" spans="1:49" x14ac:dyDescent="0.25">
      <c r="A48" t="s">
        <v>38</v>
      </c>
      <c r="B48" t="s">
        <v>90</v>
      </c>
      <c r="C48">
        <v>152212</v>
      </c>
      <c r="D48">
        <v>2011</v>
      </c>
      <c r="E48" t="s">
        <v>58</v>
      </c>
      <c r="F48" t="s">
        <v>168</v>
      </c>
      <c r="G48" t="s">
        <v>255</v>
      </c>
      <c r="I48">
        <v>8</v>
      </c>
      <c r="J48" t="s">
        <v>82</v>
      </c>
      <c r="K48">
        <v>4</v>
      </c>
      <c r="L48" t="s">
        <v>44</v>
      </c>
      <c r="M48">
        <v>6.2</v>
      </c>
      <c r="N48" t="s">
        <v>62</v>
      </c>
      <c r="O48" t="s">
        <v>46</v>
      </c>
      <c r="P48">
        <v>5</v>
      </c>
      <c r="Q48" t="s">
        <v>75</v>
      </c>
      <c r="R48" t="s">
        <v>76</v>
      </c>
      <c r="S48" t="s">
        <v>63</v>
      </c>
      <c r="T48">
        <v>411</v>
      </c>
      <c r="U48" t="s">
        <v>50</v>
      </c>
      <c r="V48" t="s">
        <v>64</v>
      </c>
      <c r="X48" t="s">
        <v>77</v>
      </c>
      <c r="Y48" t="s">
        <v>67</v>
      </c>
      <c r="AA48">
        <v>0</v>
      </c>
      <c r="AB48" t="s">
        <v>54</v>
      </c>
      <c r="AC48" t="s">
        <v>78</v>
      </c>
      <c r="AD48">
        <v>34</v>
      </c>
      <c r="AE48">
        <v>8</v>
      </c>
      <c r="AF48">
        <v>3</v>
      </c>
      <c r="AG48">
        <v>2025</v>
      </c>
      <c r="AH48" s="13">
        <v>17250</v>
      </c>
      <c r="AI48" s="13">
        <v>18024.2890625</v>
      </c>
      <c r="AJ48" s="13">
        <f t="shared" si="0"/>
        <v>774.2890625</v>
      </c>
      <c r="AK48" s="14">
        <f t="shared" si="1"/>
        <v>4.4886322463768114E-2</v>
      </c>
      <c r="AL48" s="9">
        <v>17250</v>
      </c>
      <c r="AM48" s="9">
        <v>17158.6994141551</v>
      </c>
      <c r="AN48" s="9">
        <f t="shared" si="2"/>
        <v>91.300585844899615</v>
      </c>
      <c r="AO48" s="10">
        <f t="shared" si="3"/>
        <v>5.2927875852115721E-3</v>
      </c>
      <c r="AP48" s="16">
        <v>17250</v>
      </c>
      <c r="AQ48" s="16">
        <v>15612.43805118857</v>
      </c>
      <c r="AR48" s="16">
        <f t="shared" si="4"/>
        <v>1637.5619488114298</v>
      </c>
      <c r="AS48" s="17">
        <f t="shared" si="5"/>
        <v>9.4931127467329263E-2</v>
      </c>
      <c r="AT48" s="6">
        <v>17250</v>
      </c>
      <c r="AU48" s="6">
        <v>16048.75390625</v>
      </c>
      <c r="AV48" s="6">
        <f t="shared" si="6"/>
        <v>1201.24609375</v>
      </c>
      <c r="AW48" s="7">
        <f t="shared" si="7"/>
        <v>6.963745471014493E-2</v>
      </c>
    </row>
    <row r="49" spans="1:49" x14ac:dyDescent="0.25">
      <c r="A49" t="s">
        <v>107</v>
      </c>
      <c r="B49" t="s">
        <v>256</v>
      </c>
      <c r="C49">
        <v>184693</v>
      </c>
      <c r="D49">
        <v>2014</v>
      </c>
      <c r="E49" t="s">
        <v>150</v>
      </c>
      <c r="F49" t="s">
        <v>151</v>
      </c>
      <c r="G49" t="s">
        <v>232</v>
      </c>
      <c r="I49">
        <v>6</v>
      </c>
      <c r="J49" t="s">
        <v>257</v>
      </c>
      <c r="K49">
        <v>4</v>
      </c>
      <c r="L49" t="s">
        <v>44</v>
      </c>
      <c r="M49">
        <v>3.6</v>
      </c>
      <c r="N49" t="s">
        <v>45</v>
      </c>
      <c r="O49" t="s">
        <v>46</v>
      </c>
      <c r="P49">
        <v>1</v>
      </c>
      <c r="Q49" t="s">
        <v>47</v>
      </c>
      <c r="R49" t="s">
        <v>48</v>
      </c>
      <c r="S49" t="s">
        <v>102</v>
      </c>
      <c r="U49" t="s">
        <v>50</v>
      </c>
      <c r="V49" t="s">
        <v>64</v>
      </c>
      <c r="W49" t="s">
        <v>153</v>
      </c>
      <c r="X49" t="s">
        <v>66</v>
      </c>
      <c r="Y49" t="s">
        <v>67</v>
      </c>
      <c r="AA49">
        <v>0</v>
      </c>
      <c r="AB49" t="s">
        <v>54</v>
      </c>
      <c r="AC49" t="s">
        <v>55</v>
      </c>
      <c r="AD49">
        <v>34</v>
      </c>
      <c r="AE49">
        <v>8</v>
      </c>
      <c r="AF49">
        <v>3</v>
      </c>
      <c r="AG49">
        <v>2025</v>
      </c>
      <c r="AH49" s="13">
        <v>1700</v>
      </c>
      <c r="AI49" s="13">
        <v>1496.947387695312</v>
      </c>
      <c r="AJ49" s="13">
        <f t="shared" si="0"/>
        <v>203.05261230468795</v>
      </c>
      <c r="AK49" s="14">
        <f t="shared" si="1"/>
        <v>0.11944271312040468</v>
      </c>
      <c r="AL49" s="9">
        <v>1700</v>
      </c>
      <c r="AM49" s="9">
        <v>1638.931510809465</v>
      </c>
      <c r="AN49" s="9">
        <f t="shared" si="2"/>
        <v>61.068489190535047</v>
      </c>
      <c r="AO49" s="10">
        <f t="shared" si="3"/>
        <v>3.5922640700314735E-2</v>
      </c>
      <c r="AP49" s="16">
        <v>1700</v>
      </c>
      <c r="AQ49" s="16">
        <v>1655.41241904702</v>
      </c>
      <c r="AR49" s="16">
        <f t="shared" si="4"/>
        <v>44.587580952980034</v>
      </c>
      <c r="AS49" s="17">
        <f t="shared" si="5"/>
        <v>2.622798879587061E-2</v>
      </c>
      <c r="AT49" s="6">
        <v>1700</v>
      </c>
      <c r="AU49" s="6">
        <v>1464.200317382812</v>
      </c>
      <c r="AV49" s="6">
        <f t="shared" si="6"/>
        <v>235.79968261718795</v>
      </c>
      <c r="AW49" s="7">
        <f t="shared" si="7"/>
        <v>0.13870569565716939</v>
      </c>
    </row>
    <row r="50" spans="1:49" x14ac:dyDescent="0.25">
      <c r="A50" t="s">
        <v>38</v>
      </c>
      <c r="B50" t="s">
        <v>167</v>
      </c>
      <c r="C50">
        <v>236636</v>
      </c>
      <c r="D50">
        <v>2014</v>
      </c>
      <c r="E50" t="s">
        <v>58</v>
      </c>
      <c r="F50" t="s">
        <v>258</v>
      </c>
      <c r="H50" t="s">
        <v>259</v>
      </c>
      <c r="I50">
        <v>4</v>
      </c>
      <c r="J50" t="s">
        <v>260</v>
      </c>
      <c r="K50">
        <v>4</v>
      </c>
      <c r="L50" t="s">
        <v>44</v>
      </c>
      <c r="M50">
        <v>1.6</v>
      </c>
      <c r="N50" t="s">
        <v>45</v>
      </c>
      <c r="O50" t="s">
        <v>46</v>
      </c>
      <c r="P50">
        <v>3</v>
      </c>
      <c r="Q50" t="s">
        <v>47</v>
      </c>
      <c r="R50" t="s">
        <v>48</v>
      </c>
      <c r="S50" t="s">
        <v>49</v>
      </c>
      <c r="T50">
        <v>178</v>
      </c>
      <c r="U50" t="s">
        <v>50</v>
      </c>
      <c r="V50" t="s">
        <v>95</v>
      </c>
      <c r="X50" t="s">
        <v>52</v>
      </c>
      <c r="Y50" t="s">
        <v>67</v>
      </c>
      <c r="AA50">
        <v>0</v>
      </c>
      <c r="AB50" t="s">
        <v>54</v>
      </c>
      <c r="AC50" t="s">
        <v>55</v>
      </c>
      <c r="AD50">
        <v>34</v>
      </c>
      <c r="AE50">
        <v>8</v>
      </c>
      <c r="AF50">
        <v>3</v>
      </c>
      <c r="AG50">
        <v>2025</v>
      </c>
      <c r="AH50" s="13">
        <v>2600</v>
      </c>
      <c r="AI50" s="13">
        <v>1344.303344726562</v>
      </c>
      <c r="AJ50" s="13">
        <f t="shared" si="0"/>
        <v>1255.696655273438</v>
      </c>
      <c r="AK50" s="14">
        <f t="shared" si="1"/>
        <v>0.48296025202824538</v>
      </c>
      <c r="AL50" s="9">
        <v>2600</v>
      </c>
      <c r="AM50" s="9">
        <v>1576.3358674619401</v>
      </c>
      <c r="AN50" s="9">
        <f t="shared" si="2"/>
        <v>1023.6641325380599</v>
      </c>
      <c r="AO50" s="10">
        <f t="shared" si="3"/>
        <v>0.39371697405309997</v>
      </c>
      <c r="AP50" s="16">
        <v>2600</v>
      </c>
      <c r="AQ50" s="16">
        <v>1087.6406751599391</v>
      </c>
      <c r="AR50" s="16">
        <f t="shared" si="4"/>
        <v>1512.3593248400609</v>
      </c>
      <c r="AS50" s="17">
        <f t="shared" si="5"/>
        <v>0.58167666340002344</v>
      </c>
      <c r="AT50" s="6">
        <v>2600</v>
      </c>
      <c r="AU50" s="6">
        <v>1352.158813476562</v>
      </c>
      <c r="AV50" s="6">
        <f t="shared" si="6"/>
        <v>1247.841186523438</v>
      </c>
      <c r="AW50" s="7">
        <f t="shared" si="7"/>
        <v>0.47993891789362997</v>
      </c>
    </row>
    <row r="51" spans="1:49" x14ac:dyDescent="0.25">
      <c r="A51" t="s">
        <v>69</v>
      </c>
      <c r="B51" t="s">
        <v>70</v>
      </c>
      <c r="C51">
        <v>13801</v>
      </c>
      <c r="D51">
        <v>2024</v>
      </c>
      <c r="E51" t="s">
        <v>124</v>
      </c>
      <c r="F51" t="s">
        <v>125</v>
      </c>
      <c r="G51" t="s">
        <v>261</v>
      </c>
      <c r="I51">
        <v>4</v>
      </c>
      <c r="J51" t="s">
        <v>101</v>
      </c>
      <c r="K51">
        <v>4</v>
      </c>
      <c r="L51" t="s">
        <v>44</v>
      </c>
      <c r="M51">
        <v>2</v>
      </c>
      <c r="N51" t="s">
        <v>45</v>
      </c>
      <c r="O51" t="s">
        <v>46</v>
      </c>
      <c r="P51">
        <v>4</v>
      </c>
      <c r="Q51" t="s">
        <v>84</v>
      </c>
      <c r="R51" t="s">
        <v>85</v>
      </c>
      <c r="U51" t="s">
        <v>50</v>
      </c>
      <c r="W51" t="s">
        <v>262</v>
      </c>
      <c r="X51" t="s">
        <v>122</v>
      </c>
      <c r="Y51" t="s">
        <v>53</v>
      </c>
      <c r="AA51">
        <v>0</v>
      </c>
      <c r="AB51" t="s">
        <v>54</v>
      </c>
      <c r="AC51" t="s">
        <v>89</v>
      </c>
      <c r="AD51">
        <v>34</v>
      </c>
      <c r="AE51">
        <v>8</v>
      </c>
      <c r="AF51">
        <v>3</v>
      </c>
      <c r="AG51">
        <v>2025</v>
      </c>
      <c r="AH51" s="13">
        <v>18400</v>
      </c>
      <c r="AI51" s="13">
        <v>22911.595703125</v>
      </c>
      <c r="AJ51" s="13">
        <f t="shared" si="0"/>
        <v>4511.595703125</v>
      </c>
      <c r="AK51" s="14">
        <f t="shared" si="1"/>
        <v>0.24519541864809782</v>
      </c>
      <c r="AL51" s="9">
        <v>18400</v>
      </c>
      <c r="AM51" s="9">
        <v>22562.661133395592</v>
      </c>
      <c r="AN51" s="9">
        <f t="shared" si="2"/>
        <v>4162.6611333955916</v>
      </c>
      <c r="AO51" s="10">
        <f t="shared" si="3"/>
        <v>0.22623158333671695</v>
      </c>
      <c r="AP51" s="16">
        <v>18400</v>
      </c>
      <c r="AQ51" s="16">
        <v>19859.986588997399</v>
      </c>
      <c r="AR51" s="16">
        <f t="shared" si="4"/>
        <v>1459.9865889973989</v>
      </c>
      <c r="AS51" s="17">
        <f t="shared" si="5"/>
        <v>7.9347097228119501E-2</v>
      </c>
      <c r="AT51" s="6">
        <v>18400</v>
      </c>
      <c r="AU51" s="6">
        <v>22683.369140625</v>
      </c>
      <c r="AV51" s="6">
        <f t="shared" si="6"/>
        <v>4283.369140625</v>
      </c>
      <c r="AW51" s="7">
        <f t="shared" si="7"/>
        <v>0.2327918011209239</v>
      </c>
    </row>
    <row r="52" spans="1:49" x14ac:dyDescent="0.25">
      <c r="A52" t="s">
        <v>107</v>
      </c>
      <c r="B52" t="s">
        <v>108</v>
      </c>
      <c r="C52">
        <v>123844</v>
      </c>
      <c r="D52">
        <v>2014</v>
      </c>
      <c r="E52" t="s">
        <v>79</v>
      </c>
      <c r="F52" t="s">
        <v>263</v>
      </c>
      <c r="G52" t="s">
        <v>264</v>
      </c>
      <c r="I52">
        <v>4</v>
      </c>
      <c r="J52" t="s">
        <v>257</v>
      </c>
      <c r="K52">
        <v>4</v>
      </c>
      <c r="L52" t="s">
        <v>44</v>
      </c>
      <c r="M52">
        <v>1.4</v>
      </c>
      <c r="N52" t="s">
        <v>45</v>
      </c>
      <c r="O52" t="s">
        <v>46</v>
      </c>
      <c r="P52">
        <v>3</v>
      </c>
      <c r="Q52" t="s">
        <v>84</v>
      </c>
      <c r="R52" t="s">
        <v>85</v>
      </c>
      <c r="U52" t="s">
        <v>50</v>
      </c>
      <c r="V52" t="s">
        <v>95</v>
      </c>
      <c r="W52" t="s">
        <v>265</v>
      </c>
      <c r="X52" t="s">
        <v>87</v>
      </c>
      <c r="Y52" t="s">
        <v>67</v>
      </c>
      <c r="AA52">
        <v>0</v>
      </c>
      <c r="AB52" t="s">
        <v>54</v>
      </c>
      <c r="AC52" t="s">
        <v>89</v>
      </c>
      <c r="AD52">
        <v>34</v>
      </c>
      <c r="AE52">
        <v>8</v>
      </c>
      <c r="AF52">
        <v>3</v>
      </c>
      <c r="AG52">
        <v>2025</v>
      </c>
      <c r="AH52" s="13">
        <v>1600</v>
      </c>
      <c r="AI52" s="13">
        <v>2734.204345703125</v>
      </c>
      <c r="AJ52" s="13">
        <f t="shared" si="0"/>
        <v>1134.204345703125</v>
      </c>
      <c r="AK52" s="14">
        <f t="shared" si="1"/>
        <v>0.70887771606445316</v>
      </c>
      <c r="AL52" s="9">
        <v>1600</v>
      </c>
      <c r="AM52" s="9">
        <v>2544.8797871907809</v>
      </c>
      <c r="AN52" s="9">
        <f t="shared" si="2"/>
        <v>944.87978719078092</v>
      </c>
      <c r="AO52" s="10">
        <f t="shared" si="3"/>
        <v>0.59054986699423806</v>
      </c>
      <c r="AP52" s="16">
        <v>1600</v>
      </c>
      <c r="AQ52" s="16">
        <v>2215.2605038491988</v>
      </c>
      <c r="AR52" s="16">
        <f t="shared" si="4"/>
        <v>615.26050384919881</v>
      </c>
      <c r="AS52" s="17">
        <f t="shared" si="5"/>
        <v>0.38453781490574923</v>
      </c>
      <c r="AT52" s="6">
        <v>1600</v>
      </c>
      <c r="AU52" s="6">
        <v>2471.0400390625</v>
      </c>
      <c r="AV52" s="6">
        <f t="shared" si="6"/>
        <v>871.0400390625</v>
      </c>
      <c r="AW52" s="7">
        <f t="shared" si="7"/>
        <v>0.54440002441406254</v>
      </c>
    </row>
    <row r="53" spans="1:49" x14ac:dyDescent="0.25">
      <c r="A53" t="s">
        <v>38</v>
      </c>
      <c r="B53" t="s">
        <v>229</v>
      </c>
      <c r="C53">
        <v>83429</v>
      </c>
      <c r="D53">
        <v>2013</v>
      </c>
      <c r="E53" t="s">
        <v>58</v>
      </c>
      <c r="F53" t="s">
        <v>59</v>
      </c>
      <c r="G53" t="s">
        <v>266</v>
      </c>
      <c r="I53">
        <v>6</v>
      </c>
      <c r="J53" t="s">
        <v>94</v>
      </c>
      <c r="K53">
        <v>4</v>
      </c>
      <c r="L53" t="s">
        <v>44</v>
      </c>
      <c r="M53">
        <v>3.5</v>
      </c>
      <c r="N53" t="s">
        <v>45</v>
      </c>
      <c r="O53" t="s">
        <v>46</v>
      </c>
      <c r="P53">
        <v>1</v>
      </c>
      <c r="Q53" t="s">
        <v>47</v>
      </c>
      <c r="R53" t="s">
        <v>48</v>
      </c>
      <c r="T53">
        <v>290</v>
      </c>
      <c r="U53" t="s">
        <v>50</v>
      </c>
      <c r="V53" t="s">
        <v>64</v>
      </c>
      <c r="X53" t="s">
        <v>66</v>
      </c>
      <c r="Y53" t="s">
        <v>67</v>
      </c>
      <c r="AA53">
        <v>0</v>
      </c>
      <c r="AB53" t="s">
        <v>54</v>
      </c>
      <c r="AC53" t="s">
        <v>55</v>
      </c>
      <c r="AD53">
        <v>34</v>
      </c>
      <c r="AE53">
        <v>8</v>
      </c>
      <c r="AF53">
        <v>3</v>
      </c>
      <c r="AG53">
        <v>2025</v>
      </c>
      <c r="AH53" s="13">
        <v>5500</v>
      </c>
      <c r="AI53" s="13">
        <v>4533.3173828125</v>
      </c>
      <c r="AJ53" s="13">
        <f t="shared" si="0"/>
        <v>966.6826171875</v>
      </c>
      <c r="AK53" s="14">
        <f t="shared" si="1"/>
        <v>0.17576047585227272</v>
      </c>
      <c r="AL53" s="9">
        <v>5500</v>
      </c>
      <c r="AM53" s="9">
        <v>3600.2084711150051</v>
      </c>
      <c r="AN53" s="9">
        <f t="shared" si="2"/>
        <v>1899.7915288849949</v>
      </c>
      <c r="AO53" s="10">
        <f t="shared" si="3"/>
        <v>0.3454166416154536</v>
      </c>
      <c r="AP53" s="16">
        <v>5500</v>
      </c>
      <c r="AQ53" s="16">
        <v>3560.5048276241582</v>
      </c>
      <c r="AR53" s="16">
        <f t="shared" si="4"/>
        <v>1939.4951723758418</v>
      </c>
      <c r="AS53" s="17">
        <f t="shared" si="5"/>
        <v>0.35263548588651666</v>
      </c>
      <c r="AT53" s="6">
        <v>5500</v>
      </c>
      <c r="AU53" s="6">
        <v>3782.2744140625</v>
      </c>
      <c r="AV53" s="6">
        <f t="shared" si="6"/>
        <v>1717.7255859375</v>
      </c>
      <c r="AW53" s="7">
        <f t="shared" si="7"/>
        <v>0.31231374289772729</v>
      </c>
    </row>
    <row r="54" spans="1:49" x14ac:dyDescent="0.25">
      <c r="A54" t="s">
        <v>38</v>
      </c>
      <c r="B54" t="s">
        <v>267</v>
      </c>
      <c r="C54">
        <v>89294</v>
      </c>
      <c r="D54">
        <v>2018</v>
      </c>
      <c r="E54" t="s">
        <v>113</v>
      </c>
      <c r="F54" t="s">
        <v>253</v>
      </c>
      <c r="H54" t="s">
        <v>268</v>
      </c>
      <c r="I54">
        <v>4</v>
      </c>
      <c r="J54" t="s">
        <v>101</v>
      </c>
      <c r="K54">
        <v>4</v>
      </c>
      <c r="L54" t="s">
        <v>44</v>
      </c>
      <c r="M54">
        <v>2.4</v>
      </c>
      <c r="N54" t="s">
        <v>45</v>
      </c>
      <c r="O54" t="s">
        <v>46</v>
      </c>
      <c r="P54">
        <v>3</v>
      </c>
      <c r="Q54" t="s">
        <v>47</v>
      </c>
      <c r="R54" t="s">
        <v>48</v>
      </c>
      <c r="S54" t="s">
        <v>102</v>
      </c>
      <c r="T54">
        <v>173</v>
      </c>
      <c r="U54" t="s">
        <v>50</v>
      </c>
      <c r="V54" t="s">
        <v>95</v>
      </c>
      <c r="X54" t="s">
        <v>141</v>
      </c>
      <c r="Y54" t="s">
        <v>106</v>
      </c>
      <c r="Z54">
        <v>22995</v>
      </c>
      <c r="AA54">
        <v>0</v>
      </c>
      <c r="AB54" t="s">
        <v>54</v>
      </c>
      <c r="AC54" t="s">
        <v>55</v>
      </c>
      <c r="AD54">
        <v>34</v>
      </c>
      <c r="AE54">
        <v>8</v>
      </c>
      <c r="AF54">
        <v>3</v>
      </c>
      <c r="AG54">
        <v>2025</v>
      </c>
      <c r="AH54" s="13">
        <v>3100</v>
      </c>
      <c r="AI54" s="13">
        <v>5084.13916015625</v>
      </c>
      <c r="AJ54" s="13">
        <f t="shared" si="0"/>
        <v>1984.13916015625</v>
      </c>
      <c r="AK54" s="14">
        <f t="shared" si="1"/>
        <v>0.64004489037298384</v>
      </c>
      <c r="AL54" s="9">
        <v>3100</v>
      </c>
      <c r="AM54" s="9">
        <v>6028.1329723108092</v>
      </c>
      <c r="AN54" s="9">
        <f t="shared" si="2"/>
        <v>2928.1329723108092</v>
      </c>
      <c r="AO54" s="10">
        <f t="shared" si="3"/>
        <v>0.94455902332606745</v>
      </c>
      <c r="AP54" s="16">
        <v>3100</v>
      </c>
      <c r="AQ54" s="16">
        <v>6153.8271477128237</v>
      </c>
      <c r="AR54" s="16">
        <f t="shared" si="4"/>
        <v>3053.8271477128237</v>
      </c>
      <c r="AS54" s="17">
        <f t="shared" si="5"/>
        <v>0.9851055315202657</v>
      </c>
      <c r="AT54" s="6">
        <v>3100</v>
      </c>
      <c r="AU54" s="6">
        <v>6311.8310546875</v>
      </c>
      <c r="AV54" s="6">
        <f t="shared" si="6"/>
        <v>3211.8310546875</v>
      </c>
      <c r="AW54" s="7">
        <f t="shared" si="7"/>
        <v>1.0360745337701613</v>
      </c>
    </row>
    <row r="55" spans="1:49" x14ac:dyDescent="0.25">
      <c r="A55" t="s">
        <v>38</v>
      </c>
      <c r="B55" t="s">
        <v>229</v>
      </c>
      <c r="C55">
        <v>103862</v>
      </c>
      <c r="D55">
        <v>2019</v>
      </c>
      <c r="E55" t="s">
        <v>269</v>
      </c>
      <c r="F55" t="s">
        <v>270</v>
      </c>
      <c r="G55" t="s">
        <v>271</v>
      </c>
      <c r="I55">
        <v>4</v>
      </c>
      <c r="J55" t="s">
        <v>82</v>
      </c>
      <c r="K55">
        <v>4</v>
      </c>
      <c r="L55" t="s">
        <v>44</v>
      </c>
      <c r="M55">
        <v>2</v>
      </c>
      <c r="N55" t="s">
        <v>116</v>
      </c>
      <c r="O55" t="s">
        <v>46</v>
      </c>
      <c r="P55">
        <v>3</v>
      </c>
      <c r="Q55" t="s">
        <v>47</v>
      </c>
      <c r="R55" t="s">
        <v>48</v>
      </c>
      <c r="S55" t="s">
        <v>139</v>
      </c>
      <c r="T55">
        <v>248</v>
      </c>
      <c r="U55" t="s">
        <v>50</v>
      </c>
      <c r="X55" t="s">
        <v>141</v>
      </c>
      <c r="Y55" t="s">
        <v>67</v>
      </c>
      <c r="Z55">
        <v>41000</v>
      </c>
      <c r="AA55">
        <v>0</v>
      </c>
      <c r="AB55" t="s">
        <v>54</v>
      </c>
      <c r="AC55" t="s">
        <v>55</v>
      </c>
      <c r="AD55">
        <v>34</v>
      </c>
      <c r="AE55">
        <v>8</v>
      </c>
      <c r="AF55">
        <v>3</v>
      </c>
      <c r="AG55">
        <v>2025</v>
      </c>
      <c r="AH55" s="13">
        <v>9750</v>
      </c>
      <c r="AI55" s="13">
        <v>11680.5791015625</v>
      </c>
      <c r="AJ55" s="13">
        <f t="shared" si="0"/>
        <v>1930.5791015625</v>
      </c>
      <c r="AK55" s="14">
        <f t="shared" si="1"/>
        <v>0.19800811298076923</v>
      </c>
      <c r="AL55" s="9">
        <v>9750</v>
      </c>
      <c r="AM55" s="9">
        <v>11377.18215992246</v>
      </c>
      <c r="AN55" s="9">
        <f t="shared" si="2"/>
        <v>1627.1821599224604</v>
      </c>
      <c r="AO55" s="10">
        <f t="shared" si="3"/>
        <v>0.16689047794076517</v>
      </c>
      <c r="AP55" s="16">
        <v>9750</v>
      </c>
      <c r="AQ55" s="16">
        <v>10015.81077735922</v>
      </c>
      <c r="AR55" s="16">
        <f t="shared" si="4"/>
        <v>265.81077735922008</v>
      </c>
      <c r="AS55" s="17">
        <f t="shared" si="5"/>
        <v>2.7262643831714881E-2</v>
      </c>
      <c r="AT55" s="6">
        <v>9750</v>
      </c>
      <c r="AU55" s="6">
        <v>9977.0908203125</v>
      </c>
      <c r="AV55" s="6">
        <f t="shared" si="6"/>
        <v>227.0908203125</v>
      </c>
      <c r="AW55" s="7">
        <f t="shared" si="7"/>
        <v>2.3291366185897437E-2</v>
      </c>
    </row>
    <row r="56" spans="1:49" x14ac:dyDescent="0.25">
      <c r="A56" t="s">
        <v>69</v>
      </c>
      <c r="B56" t="s">
        <v>160</v>
      </c>
      <c r="C56">
        <v>109703</v>
      </c>
      <c r="D56">
        <v>2020</v>
      </c>
      <c r="E56" t="s">
        <v>79</v>
      </c>
      <c r="F56" t="s">
        <v>272</v>
      </c>
      <c r="G56" t="s">
        <v>273</v>
      </c>
      <c r="H56" t="s">
        <v>162</v>
      </c>
      <c r="I56">
        <v>8</v>
      </c>
      <c r="J56" t="s">
        <v>43</v>
      </c>
      <c r="K56">
        <v>4</v>
      </c>
      <c r="L56" t="s">
        <v>44</v>
      </c>
      <c r="M56">
        <v>5.3</v>
      </c>
      <c r="N56" t="s">
        <v>62</v>
      </c>
      <c r="O56" t="s">
        <v>46</v>
      </c>
      <c r="P56">
        <v>2</v>
      </c>
      <c r="Q56" t="s">
        <v>75</v>
      </c>
      <c r="R56" t="s">
        <v>76</v>
      </c>
      <c r="S56" t="s">
        <v>63</v>
      </c>
      <c r="U56" t="s">
        <v>50</v>
      </c>
      <c r="W56" t="s">
        <v>274</v>
      </c>
      <c r="X56" t="s">
        <v>66</v>
      </c>
      <c r="Y56" t="s">
        <v>67</v>
      </c>
      <c r="AA56">
        <v>0</v>
      </c>
      <c r="AB56" t="s">
        <v>54</v>
      </c>
      <c r="AC56" t="s">
        <v>78</v>
      </c>
      <c r="AD56">
        <v>34</v>
      </c>
      <c r="AE56">
        <v>8</v>
      </c>
      <c r="AF56">
        <v>3</v>
      </c>
      <c r="AG56">
        <v>2025</v>
      </c>
      <c r="AH56" s="13">
        <v>14000</v>
      </c>
      <c r="AI56" s="13">
        <v>20649.392578125</v>
      </c>
      <c r="AJ56" s="13">
        <f t="shared" si="0"/>
        <v>6649.392578125</v>
      </c>
      <c r="AK56" s="14">
        <f t="shared" si="1"/>
        <v>0.47495661272321427</v>
      </c>
      <c r="AL56" s="9">
        <v>14000</v>
      </c>
      <c r="AM56" s="9">
        <v>17762.327862592028</v>
      </c>
      <c r="AN56" s="9">
        <f t="shared" si="2"/>
        <v>3762.3278625920284</v>
      </c>
      <c r="AO56" s="10">
        <f t="shared" si="3"/>
        <v>0.26873770447085915</v>
      </c>
      <c r="AP56" s="16">
        <v>14000</v>
      </c>
      <c r="AQ56" s="16">
        <v>18914.293588785538</v>
      </c>
      <c r="AR56" s="16">
        <f t="shared" si="4"/>
        <v>4914.2935887855383</v>
      </c>
      <c r="AS56" s="17">
        <f t="shared" si="5"/>
        <v>0.35102097062753845</v>
      </c>
      <c r="AT56" s="6">
        <v>14000</v>
      </c>
      <c r="AU56" s="6">
        <v>19300.1484375</v>
      </c>
      <c r="AV56" s="6">
        <f t="shared" si="6"/>
        <v>5300.1484375</v>
      </c>
      <c r="AW56" s="7">
        <f t="shared" si="7"/>
        <v>0.37858203125000001</v>
      </c>
    </row>
    <row r="57" spans="1:49" x14ac:dyDescent="0.25">
      <c r="A57" t="s">
        <v>56</v>
      </c>
      <c r="B57" t="s">
        <v>57</v>
      </c>
      <c r="C57">
        <v>183350</v>
      </c>
      <c r="D57">
        <v>2006</v>
      </c>
      <c r="E57" t="s">
        <v>79</v>
      </c>
      <c r="F57" t="s">
        <v>275</v>
      </c>
      <c r="G57" t="s">
        <v>276</v>
      </c>
      <c r="I57">
        <v>4</v>
      </c>
      <c r="J57" t="s">
        <v>277</v>
      </c>
      <c r="K57">
        <v>2</v>
      </c>
      <c r="L57" t="s">
        <v>221</v>
      </c>
      <c r="M57">
        <v>2.2000000000000002</v>
      </c>
      <c r="N57" t="s">
        <v>45</v>
      </c>
      <c r="O57" t="s">
        <v>46</v>
      </c>
      <c r="Q57" t="s">
        <v>84</v>
      </c>
      <c r="R57" t="s">
        <v>251</v>
      </c>
      <c r="T57">
        <v>170</v>
      </c>
      <c r="U57" t="s">
        <v>50</v>
      </c>
      <c r="V57" t="s">
        <v>95</v>
      </c>
      <c r="W57" t="s">
        <v>278</v>
      </c>
      <c r="X57" t="s">
        <v>87</v>
      </c>
      <c r="Y57" t="s">
        <v>67</v>
      </c>
      <c r="AA57">
        <v>0</v>
      </c>
      <c r="AB57" t="s">
        <v>54</v>
      </c>
      <c r="AC57" t="s">
        <v>251</v>
      </c>
      <c r="AD57">
        <v>34</v>
      </c>
      <c r="AE57">
        <v>8</v>
      </c>
      <c r="AF57">
        <v>3</v>
      </c>
      <c r="AG57">
        <v>2025</v>
      </c>
      <c r="AH57" s="13">
        <v>1400</v>
      </c>
      <c r="AI57" s="13">
        <v>911.468017578125</v>
      </c>
      <c r="AJ57" s="13">
        <f t="shared" si="0"/>
        <v>488.531982421875</v>
      </c>
      <c r="AK57" s="14">
        <f t="shared" si="1"/>
        <v>0.34895141601562502</v>
      </c>
      <c r="AL57" s="9">
        <v>1400</v>
      </c>
      <c r="AM57" s="9">
        <v>979.43818699179599</v>
      </c>
      <c r="AN57" s="9">
        <f t="shared" si="2"/>
        <v>420.56181300820401</v>
      </c>
      <c r="AO57" s="10">
        <f t="shared" si="3"/>
        <v>0.30040129500585999</v>
      </c>
      <c r="AP57" s="16">
        <v>1400</v>
      </c>
      <c r="AQ57" s="16">
        <v>668.76542735922419</v>
      </c>
      <c r="AR57" s="16">
        <f t="shared" si="4"/>
        <v>731.23457264077581</v>
      </c>
      <c r="AS57" s="17">
        <f t="shared" si="5"/>
        <v>0.52231040902912562</v>
      </c>
      <c r="AT57" s="6">
        <v>1400</v>
      </c>
      <c r="AU57" s="6">
        <v>854.13946533203125</v>
      </c>
      <c r="AV57" s="6">
        <f t="shared" si="6"/>
        <v>545.86053466796875</v>
      </c>
      <c r="AW57" s="7">
        <f t="shared" si="7"/>
        <v>0.38990038190569198</v>
      </c>
    </row>
    <row r="58" spans="1:49" x14ac:dyDescent="0.25">
      <c r="A58" t="s">
        <v>38</v>
      </c>
      <c r="B58" t="s">
        <v>39</v>
      </c>
      <c r="C58">
        <v>61468</v>
      </c>
      <c r="D58">
        <v>2017</v>
      </c>
      <c r="E58" t="s">
        <v>150</v>
      </c>
      <c r="F58" t="s">
        <v>279</v>
      </c>
      <c r="G58" t="s">
        <v>232</v>
      </c>
      <c r="I58">
        <v>4</v>
      </c>
      <c r="J58" t="s">
        <v>43</v>
      </c>
      <c r="K58">
        <v>4</v>
      </c>
      <c r="L58" t="s">
        <v>44</v>
      </c>
      <c r="M58">
        <v>1.4</v>
      </c>
      <c r="N58" t="s">
        <v>45</v>
      </c>
      <c r="O58" t="s">
        <v>46</v>
      </c>
      <c r="P58">
        <v>4</v>
      </c>
      <c r="Q58" t="s">
        <v>47</v>
      </c>
      <c r="R58" t="s">
        <v>48</v>
      </c>
      <c r="S58" t="s">
        <v>102</v>
      </c>
      <c r="U58" t="s">
        <v>50</v>
      </c>
      <c r="W58" t="s">
        <v>280</v>
      </c>
      <c r="X58" t="s">
        <v>52</v>
      </c>
      <c r="Y58" t="s">
        <v>53</v>
      </c>
      <c r="Z58">
        <v>30465</v>
      </c>
      <c r="AA58">
        <v>0</v>
      </c>
      <c r="AB58" t="s">
        <v>54</v>
      </c>
      <c r="AC58" t="s">
        <v>55</v>
      </c>
      <c r="AD58">
        <v>34</v>
      </c>
      <c r="AE58">
        <v>8</v>
      </c>
      <c r="AF58">
        <v>3</v>
      </c>
      <c r="AG58">
        <v>2025</v>
      </c>
      <c r="AH58" s="13">
        <v>11750</v>
      </c>
      <c r="AI58" s="13">
        <v>12493.6025390625</v>
      </c>
      <c r="AJ58" s="13">
        <f t="shared" si="0"/>
        <v>743.6025390625</v>
      </c>
      <c r="AK58" s="14">
        <f t="shared" si="1"/>
        <v>6.3285322473404251E-2</v>
      </c>
      <c r="AL58" s="9">
        <v>11750</v>
      </c>
      <c r="AM58" s="9">
        <v>9781.5894497022764</v>
      </c>
      <c r="AN58" s="9">
        <f t="shared" si="2"/>
        <v>1968.4105502977236</v>
      </c>
      <c r="AO58" s="10">
        <f t="shared" si="3"/>
        <v>0.16752430215299777</v>
      </c>
      <c r="AP58" s="16">
        <v>11750</v>
      </c>
      <c r="AQ58" s="16">
        <v>8723.7151990317743</v>
      </c>
      <c r="AR58" s="16">
        <f t="shared" si="4"/>
        <v>3026.2848009682257</v>
      </c>
      <c r="AS58" s="17">
        <f t="shared" si="5"/>
        <v>0.25755615327389153</v>
      </c>
      <c r="AT58" s="6">
        <v>11750</v>
      </c>
      <c r="AU58" s="6">
        <v>9336.7978515625</v>
      </c>
      <c r="AV58" s="6">
        <f t="shared" si="6"/>
        <v>2413.2021484375</v>
      </c>
      <c r="AW58" s="7">
        <f t="shared" si="7"/>
        <v>0.20537890624999999</v>
      </c>
    </row>
    <row r="59" spans="1:49" x14ac:dyDescent="0.25">
      <c r="A59" t="s">
        <v>38</v>
      </c>
      <c r="B59" t="s">
        <v>167</v>
      </c>
      <c r="C59">
        <v>91786</v>
      </c>
      <c r="D59">
        <v>2021</v>
      </c>
      <c r="E59" t="s">
        <v>281</v>
      </c>
      <c r="F59" t="s">
        <v>282</v>
      </c>
      <c r="H59" t="s">
        <v>283</v>
      </c>
      <c r="I59">
        <v>6</v>
      </c>
      <c r="J59" t="s">
        <v>94</v>
      </c>
      <c r="K59">
        <v>4</v>
      </c>
      <c r="L59" t="s">
        <v>44</v>
      </c>
      <c r="M59">
        <v>3</v>
      </c>
      <c r="N59" t="s">
        <v>44</v>
      </c>
      <c r="O59" t="s">
        <v>46</v>
      </c>
      <c r="P59">
        <v>4</v>
      </c>
      <c r="Q59" t="s">
        <v>47</v>
      </c>
      <c r="R59" t="s">
        <v>48</v>
      </c>
      <c r="S59" t="s">
        <v>139</v>
      </c>
      <c r="T59">
        <v>400</v>
      </c>
      <c r="U59" t="s">
        <v>50</v>
      </c>
      <c r="V59" t="s">
        <v>64</v>
      </c>
      <c r="W59" t="s">
        <v>65</v>
      </c>
      <c r="X59" t="s">
        <v>66</v>
      </c>
      <c r="Y59" t="s">
        <v>67</v>
      </c>
      <c r="AA59">
        <v>0</v>
      </c>
      <c r="AB59" t="s">
        <v>54</v>
      </c>
      <c r="AC59" t="s">
        <v>68</v>
      </c>
      <c r="AD59">
        <v>34</v>
      </c>
      <c r="AE59">
        <v>8</v>
      </c>
      <c r="AF59">
        <v>3</v>
      </c>
      <c r="AG59">
        <v>2025</v>
      </c>
      <c r="AH59" s="13">
        <v>25500</v>
      </c>
      <c r="AI59" s="13">
        <v>23356.376953125</v>
      </c>
      <c r="AJ59" s="13">
        <f t="shared" si="0"/>
        <v>2143.623046875</v>
      </c>
      <c r="AK59" s="14">
        <f t="shared" si="1"/>
        <v>8.4063648897058821E-2</v>
      </c>
      <c r="AL59" s="9">
        <v>25500</v>
      </c>
      <c r="AM59" s="9">
        <v>26756.739625230181</v>
      </c>
      <c r="AN59" s="9">
        <f t="shared" si="2"/>
        <v>1256.7396252301805</v>
      </c>
      <c r="AO59" s="10">
        <f t="shared" si="3"/>
        <v>4.9283906871771789E-2</v>
      </c>
      <c r="AP59" s="16">
        <v>25500</v>
      </c>
      <c r="AQ59" s="16">
        <v>27753.19165101464</v>
      </c>
      <c r="AR59" s="16">
        <f t="shared" si="4"/>
        <v>2253.1916510146402</v>
      </c>
      <c r="AS59" s="17">
        <f t="shared" si="5"/>
        <v>8.8360456902534912E-2</v>
      </c>
      <c r="AT59" s="6">
        <v>25500</v>
      </c>
      <c r="AU59" s="6">
        <v>25082.2421875</v>
      </c>
      <c r="AV59" s="6">
        <f t="shared" si="6"/>
        <v>417.7578125</v>
      </c>
      <c r="AW59" s="7">
        <f t="shared" si="7"/>
        <v>1.6382659313725491E-2</v>
      </c>
    </row>
    <row r="60" spans="1:49" x14ac:dyDescent="0.25">
      <c r="A60" t="s">
        <v>56</v>
      </c>
      <c r="B60" t="s">
        <v>178</v>
      </c>
      <c r="C60">
        <v>176193</v>
      </c>
      <c r="D60">
        <v>2012</v>
      </c>
      <c r="E60" t="s">
        <v>145</v>
      </c>
      <c r="F60" t="s">
        <v>146</v>
      </c>
      <c r="G60" t="s">
        <v>284</v>
      </c>
      <c r="I60">
        <v>4</v>
      </c>
      <c r="J60" t="s">
        <v>82</v>
      </c>
      <c r="K60">
        <v>4</v>
      </c>
      <c r="L60" t="s">
        <v>44</v>
      </c>
      <c r="M60">
        <v>2.4</v>
      </c>
      <c r="N60" t="s">
        <v>62</v>
      </c>
      <c r="O60" t="s">
        <v>46</v>
      </c>
      <c r="P60">
        <v>4</v>
      </c>
      <c r="Q60" t="s">
        <v>47</v>
      </c>
      <c r="R60" t="s">
        <v>48</v>
      </c>
      <c r="S60" t="s">
        <v>63</v>
      </c>
      <c r="T60">
        <v>185</v>
      </c>
      <c r="U60" t="s">
        <v>50</v>
      </c>
      <c r="V60" t="s">
        <v>95</v>
      </c>
      <c r="W60" t="s">
        <v>285</v>
      </c>
      <c r="X60" t="s">
        <v>52</v>
      </c>
      <c r="Y60" t="s">
        <v>88</v>
      </c>
      <c r="AA60">
        <v>0</v>
      </c>
      <c r="AB60" t="s">
        <v>54</v>
      </c>
      <c r="AC60" t="s">
        <v>55</v>
      </c>
      <c r="AD60">
        <v>34</v>
      </c>
      <c r="AE60">
        <v>8</v>
      </c>
      <c r="AF60">
        <v>3</v>
      </c>
      <c r="AG60">
        <v>2025</v>
      </c>
      <c r="AH60" s="13">
        <v>4500</v>
      </c>
      <c r="AI60" s="13">
        <v>3124.444580078125</v>
      </c>
      <c r="AJ60" s="13">
        <f t="shared" si="0"/>
        <v>1375.555419921875</v>
      </c>
      <c r="AK60" s="14">
        <f t="shared" si="1"/>
        <v>0.30567898220486112</v>
      </c>
      <c r="AL60" s="9">
        <v>4500</v>
      </c>
      <c r="AM60" s="9">
        <v>4299.8525137602765</v>
      </c>
      <c r="AN60" s="9">
        <f t="shared" si="2"/>
        <v>200.14748623972355</v>
      </c>
      <c r="AO60" s="10">
        <f t="shared" si="3"/>
        <v>4.4477219164383013E-2</v>
      </c>
      <c r="AP60" s="16">
        <v>4500</v>
      </c>
      <c r="AQ60" s="16">
        <v>3956.0374579851682</v>
      </c>
      <c r="AR60" s="16">
        <f t="shared" si="4"/>
        <v>543.9625420148318</v>
      </c>
      <c r="AS60" s="17">
        <f t="shared" si="5"/>
        <v>0.12088056489218485</v>
      </c>
      <c r="AT60" s="6">
        <v>4500</v>
      </c>
      <c r="AU60" s="6">
        <v>3693.03173828125</v>
      </c>
      <c r="AV60" s="6">
        <f t="shared" si="6"/>
        <v>806.96826171875</v>
      </c>
      <c r="AW60" s="7">
        <f t="shared" si="7"/>
        <v>0.17932628038194445</v>
      </c>
    </row>
    <row r="61" spans="1:49" x14ac:dyDescent="0.25">
      <c r="A61" t="s">
        <v>38</v>
      </c>
      <c r="B61" t="s">
        <v>167</v>
      </c>
      <c r="C61">
        <v>125839</v>
      </c>
      <c r="D61">
        <v>2020</v>
      </c>
      <c r="E61" t="s">
        <v>79</v>
      </c>
      <c r="F61" t="s">
        <v>286</v>
      </c>
      <c r="G61" t="s">
        <v>287</v>
      </c>
      <c r="I61">
        <v>4</v>
      </c>
      <c r="J61" t="s">
        <v>43</v>
      </c>
      <c r="K61">
        <v>4</v>
      </c>
      <c r="L61" t="s">
        <v>44</v>
      </c>
      <c r="M61">
        <v>1.5</v>
      </c>
      <c r="N61" t="s">
        <v>45</v>
      </c>
      <c r="O61" t="s">
        <v>46</v>
      </c>
      <c r="P61">
        <v>5</v>
      </c>
      <c r="Q61" t="s">
        <v>84</v>
      </c>
      <c r="R61" t="s">
        <v>85</v>
      </c>
      <c r="S61" t="s">
        <v>102</v>
      </c>
      <c r="U61" t="s">
        <v>50</v>
      </c>
      <c r="V61" t="s">
        <v>95</v>
      </c>
      <c r="W61" t="s">
        <v>288</v>
      </c>
      <c r="X61" t="s">
        <v>87</v>
      </c>
      <c r="Y61" t="s">
        <v>67</v>
      </c>
      <c r="AA61">
        <v>0</v>
      </c>
      <c r="AB61" t="s">
        <v>54</v>
      </c>
      <c r="AC61" t="s">
        <v>89</v>
      </c>
      <c r="AD61">
        <v>34</v>
      </c>
      <c r="AE61">
        <v>8</v>
      </c>
      <c r="AF61">
        <v>3</v>
      </c>
      <c r="AG61">
        <v>2025</v>
      </c>
      <c r="AH61" s="13">
        <v>4500</v>
      </c>
      <c r="AI61" s="13">
        <v>10749.5986328125</v>
      </c>
      <c r="AJ61" s="13">
        <f t="shared" si="0"/>
        <v>6249.5986328125</v>
      </c>
      <c r="AK61" s="14">
        <f t="shared" si="1"/>
        <v>1.3887996961805555</v>
      </c>
      <c r="AL61" s="9">
        <v>4500</v>
      </c>
      <c r="AM61" s="9">
        <v>9964.5532450210285</v>
      </c>
      <c r="AN61" s="9">
        <f t="shared" si="2"/>
        <v>5464.5532450210285</v>
      </c>
      <c r="AO61" s="10">
        <f t="shared" si="3"/>
        <v>1.2143451655602286</v>
      </c>
      <c r="AP61" s="16">
        <v>4500</v>
      </c>
      <c r="AQ61" s="16">
        <v>9209.1261838838618</v>
      </c>
      <c r="AR61" s="16">
        <f t="shared" si="4"/>
        <v>4709.1261838838618</v>
      </c>
      <c r="AS61" s="17">
        <f t="shared" si="5"/>
        <v>1.0464724853075249</v>
      </c>
      <c r="AT61" s="6">
        <v>4500</v>
      </c>
      <c r="AU61" s="6">
        <v>9564.4658203125</v>
      </c>
      <c r="AV61" s="6">
        <f t="shared" si="6"/>
        <v>5064.4658203125</v>
      </c>
      <c r="AW61" s="7">
        <f t="shared" si="7"/>
        <v>1.1254368489583333</v>
      </c>
    </row>
    <row r="62" spans="1:49" x14ac:dyDescent="0.25">
      <c r="A62" t="s">
        <v>38</v>
      </c>
      <c r="B62" t="s">
        <v>289</v>
      </c>
      <c r="C62">
        <v>68391</v>
      </c>
      <c r="D62">
        <v>2018</v>
      </c>
      <c r="E62" t="s">
        <v>205</v>
      </c>
      <c r="F62" t="s">
        <v>206</v>
      </c>
      <c r="I62">
        <v>6</v>
      </c>
      <c r="J62" t="s">
        <v>82</v>
      </c>
      <c r="K62">
        <v>4</v>
      </c>
      <c r="L62" t="s">
        <v>44</v>
      </c>
      <c r="M62">
        <v>3.5</v>
      </c>
      <c r="N62" t="s">
        <v>45</v>
      </c>
      <c r="O62" t="s">
        <v>46</v>
      </c>
      <c r="P62">
        <v>3</v>
      </c>
      <c r="Q62" t="s">
        <v>47</v>
      </c>
      <c r="R62" t="s">
        <v>207</v>
      </c>
      <c r="S62" t="s">
        <v>49</v>
      </c>
      <c r="T62">
        <v>295</v>
      </c>
      <c r="U62" t="s">
        <v>50</v>
      </c>
      <c r="V62" t="s">
        <v>64</v>
      </c>
      <c r="X62" t="s">
        <v>141</v>
      </c>
      <c r="Y62" t="s">
        <v>67</v>
      </c>
      <c r="Z62">
        <v>43300</v>
      </c>
      <c r="AA62">
        <v>0</v>
      </c>
      <c r="AB62" t="s">
        <v>54</v>
      </c>
      <c r="AC62" t="s">
        <v>68</v>
      </c>
      <c r="AD62">
        <v>34</v>
      </c>
      <c r="AE62">
        <v>8</v>
      </c>
      <c r="AF62">
        <v>3</v>
      </c>
      <c r="AG62">
        <v>2025</v>
      </c>
      <c r="AH62" s="13">
        <v>11000</v>
      </c>
      <c r="AI62" s="13">
        <v>12713.248046875</v>
      </c>
      <c r="AJ62" s="13">
        <f t="shared" si="0"/>
        <v>1713.248046875</v>
      </c>
      <c r="AK62" s="14">
        <f t="shared" si="1"/>
        <v>0.15574982244318181</v>
      </c>
      <c r="AL62" s="9">
        <v>11000</v>
      </c>
      <c r="AM62" s="9">
        <v>12682.54308204309</v>
      </c>
      <c r="AN62" s="9">
        <f t="shared" si="2"/>
        <v>1682.5430820430902</v>
      </c>
      <c r="AO62" s="10">
        <f t="shared" si="3"/>
        <v>0.1529584620039173</v>
      </c>
      <c r="AP62" s="16">
        <v>11000</v>
      </c>
      <c r="AQ62" s="16">
        <v>12555.820741626119</v>
      </c>
      <c r="AR62" s="16">
        <f t="shared" si="4"/>
        <v>1555.8207416261193</v>
      </c>
      <c r="AS62" s="17">
        <f t="shared" si="5"/>
        <v>0.14143824923873813</v>
      </c>
      <c r="AT62" s="6">
        <v>11000</v>
      </c>
      <c r="AU62" s="6">
        <v>11161.1923828125</v>
      </c>
      <c r="AV62" s="6">
        <f t="shared" si="6"/>
        <v>161.1923828125</v>
      </c>
      <c r="AW62" s="7">
        <f t="shared" si="7"/>
        <v>1.4653852982954546E-2</v>
      </c>
    </row>
    <row r="63" spans="1:49" x14ac:dyDescent="0.25">
      <c r="A63" t="s">
        <v>38</v>
      </c>
      <c r="B63" t="s">
        <v>289</v>
      </c>
      <c r="C63">
        <v>160341</v>
      </c>
      <c r="D63">
        <v>2018</v>
      </c>
      <c r="E63" t="s">
        <v>71</v>
      </c>
      <c r="F63" t="s">
        <v>129</v>
      </c>
      <c r="I63">
        <v>4</v>
      </c>
      <c r="J63" t="s">
        <v>94</v>
      </c>
      <c r="K63">
        <v>4</v>
      </c>
      <c r="L63" t="s">
        <v>44</v>
      </c>
      <c r="M63">
        <v>2.5</v>
      </c>
      <c r="N63" t="s">
        <v>45</v>
      </c>
      <c r="O63" t="s">
        <v>46</v>
      </c>
      <c r="P63">
        <v>2</v>
      </c>
      <c r="Q63" t="s">
        <v>84</v>
      </c>
      <c r="R63" t="s">
        <v>85</v>
      </c>
      <c r="S63" t="s">
        <v>49</v>
      </c>
      <c r="U63" t="s">
        <v>50</v>
      </c>
      <c r="V63" t="s">
        <v>95</v>
      </c>
      <c r="X63" t="s">
        <v>87</v>
      </c>
      <c r="Y63" t="s">
        <v>67</v>
      </c>
      <c r="Z63">
        <v>23260</v>
      </c>
      <c r="AA63">
        <v>0</v>
      </c>
      <c r="AB63" t="s">
        <v>54</v>
      </c>
      <c r="AC63" t="s">
        <v>89</v>
      </c>
      <c r="AD63">
        <v>34</v>
      </c>
      <c r="AE63">
        <v>8</v>
      </c>
      <c r="AF63">
        <v>3</v>
      </c>
      <c r="AG63">
        <v>2025</v>
      </c>
      <c r="AH63" s="13">
        <v>2400</v>
      </c>
      <c r="AI63" s="13">
        <v>2028.99755859375</v>
      </c>
      <c r="AJ63" s="13">
        <f t="shared" si="0"/>
        <v>371.00244140625</v>
      </c>
      <c r="AK63" s="14">
        <f t="shared" si="1"/>
        <v>0.1545843505859375</v>
      </c>
      <c r="AL63" s="9">
        <v>2400</v>
      </c>
      <c r="AM63" s="9">
        <v>1974.255641965332</v>
      </c>
      <c r="AN63" s="9">
        <f t="shared" si="2"/>
        <v>425.74435803466804</v>
      </c>
      <c r="AO63" s="10">
        <f t="shared" si="3"/>
        <v>0.17739348251444501</v>
      </c>
      <c r="AP63" s="16">
        <v>2400</v>
      </c>
      <c r="AQ63" s="16">
        <v>1837.748921771002</v>
      </c>
      <c r="AR63" s="16">
        <f t="shared" si="4"/>
        <v>562.25107822899804</v>
      </c>
      <c r="AS63" s="17">
        <f t="shared" si="5"/>
        <v>0.23427128259541585</v>
      </c>
      <c r="AT63" s="6">
        <v>2400</v>
      </c>
      <c r="AU63" s="6">
        <v>2066.151611328125</v>
      </c>
      <c r="AV63" s="6">
        <f t="shared" si="6"/>
        <v>333.848388671875</v>
      </c>
      <c r="AW63" s="7">
        <f t="shared" si="7"/>
        <v>0.13910349527994792</v>
      </c>
    </row>
    <row r="64" spans="1:49" x14ac:dyDescent="0.25">
      <c r="A64" t="s">
        <v>69</v>
      </c>
      <c r="B64" t="s">
        <v>70</v>
      </c>
      <c r="C64">
        <v>97036</v>
      </c>
      <c r="D64">
        <v>2015</v>
      </c>
      <c r="E64" t="s">
        <v>213</v>
      </c>
      <c r="F64" t="s">
        <v>290</v>
      </c>
      <c r="G64" t="s">
        <v>215</v>
      </c>
      <c r="I64">
        <v>4</v>
      </c>
      <c r="J64" t="s">
        <v>101</v>
      </c>
      <c r="K64">
        <v>4</v>
      </c>
      <c r="L64" t="s">
        <v>44</v>
      </c>
      <c r="M64">
        <v>2</v>
      </c>
      <c r="N64" t="s">
        <v>116</v>
      </c>
      <c r="O64" t="s">
        <v>46</v>
      </c>
      <c r="P64">
        <v>3</v>
      </c>
      <c r="Q64" t="s">
        <v>84</v>
      </c>
      <c r="R64" t="s">
        <v>85</v>
      </c>
      <c r="S64" t="s">
        <v>117</v>
      </c>
      <c r="U64" t="s">
        <v>50</v>
      </c>
      <c r="V64" t="s">
        <v>95</v>
      </c>
      <c r="W64" t="s">
        <v>216</v>
      </c>
      <c r="X64" t="s">
        <v>87</v>
      </c>
      <c r="Y64" t="s">
        <v>67</v>
      </c>
      <c r="AA64">
        <v>0</v>
      </c>
      <c r="AB64" t="s">
        <v>54</v>
      </c>
      <c r="AC64" t="s">
        <v>89</v>
      </c>
      <c r="AD64">
        <v>34</v>
      </c>
      <c r="AE64">
        <v>8</v>
      </c>
      <c r="AF64">
        <v>3</v>
      </c>
      <c r="AG64">
        <v>2025</v>
      </c>
      <c r="AH64" s="13">
        <v>3700</v>
      </c>
      <c r="AI64" s="13">
        <v>6008.05712890625</v>
      </c>
      <c r="AJ64" s="13">
        <f t="shared" si="0"/>
        <v>2308.05712890625</v>
      </c>
      <c r="AK64" s="14">
        <f t="shared" si="1"/>
        <v>0.62379922402871624</v>
      </c>
      <c r="AL64" s="9">
        <v>3700</v>
      </c>
      <c r="AM64" s="9">
        <v>5025.5279177773236</v>
      </c>
      <c r="AN64" s="9">
        <f t="shared" si="2"/>
        <v>1325.5279177773236</v>
      </c>
      <c r="AO64" s="10">
        <f t="shared" si="3"/>
        <v>0.35825078858846587</v>
      </c>
      <c r="AP64" s="16">
        <v>3700</v>
      </c>
      <c r="AQ64" s="16">
        <v>5340.3437225475591</v>
      </c>
      <c r="AR64" s="16">
        <f t="shared" si="4"/>
        <v>1640.3437225475591</v>
      </c>
      <c r="AS64" s="17">
        <f t="shared" si="5"/>
        <v>0.44333614122907</v>
      </c>
      <c r="AT64" s="6">
        <v>3700</v>
      </c>
      <c r="AU64" s="6">
        <v>5394.6611328125</v>
      </c>
      <c r="AV64" s="6">
        <f t="shared" si="6"/>
        <v>1694.6611328125</v>
      </c>
      <c r="AW64" s="7">
        <f t="shared" si="7"/>
        <v>0.45801652238175677</v>
      </c>
    </row>
    <row r="65" spans="1:49" x14ac:dyDescent="0.25">
      <c r="A65" t="s">
        <v>107</v>
      </c>
      <c r="B65" t="s">
        <v>108</v>
      </c>
      <c r="C65">
        <v>136362</v>
      </c>
      <c r="D65">
        <v>2017</v>
      </c>
      <c r="E65" t="s">
        <v>79</v>
      </c>
      <c r="F65" t="s">
        <v>164</v>
      </c>
      <c r="G65" t="s">
        <v>165</v>
      </c>
      <c r="I65">
        <v>4</v>
      </c>
      <c r="J65" t="s">
        <v>94</v>
      </c>
      <c r="K65">
        <v>4</v>
      </c>
      <c r="L65" t="s">
        <v>44</v>
      </c>
      <c r="M65">
        <v>2.4</v>
      </c>
      <c r="N65" t="s">
        <v>44</v>
      </c>
      <c r="O65" t="s">
        <v>46</v>
      </c>
      <c r="P65">
        <v>2</v>
      </c>
      <c r="Q65" t="s">
        <v>47</v>
      </c>
      <c r="R65" t="s">
        <v>48</v>
      </c>
      <c r="S65" t="s">
        <v>139</v>
      </c>
      <c r="U65" t="s">
        <v>50</v>
      </c>
      <c r="W65" t="s">
        <v>166</v>
      </c>
      <c r="X65" t="s">
        <v>141</v>
      </c>
      <c r="Y65" t="s">
        <v>88</v>
      </c>
      <c r="Z65">
        <v>26750</v>
      </c>
      <c r="AA65">
        <v>0</v>
      </c>
      <c r="AB65" t="s">
        <v>54</v>
      </c>
      <c r="AC65" t="s">
        <v>55</v>
      </c>
      <c r="AD65">
        <v>34</v>
      </c>
      <c r="AE65">
        <v>8</v>
      </c>
      <c r="AF65">
        <v>3</v>
      </c>
      <c r="AG65">
        <v>2025</v>
      </c>
      <c r="AH65" s="13">
        <v>1700</v>
      </c>
      <c r="AI65" s="13">
        <v>3732.062255859375</v>
      </c>
      <c r="AJ65" s="13">
        <f t="shared" si="0"/>
        <v>2032.062255859375</v>
      </c>
      <c r="AK65" s="14">
        <f t="shared" si="1"/>
        <v>1.1953307387408088</v>
      </c>
      <c r="AL65" s="9">
        <v>1700</v>
      </c>
      <c r="AM65" s="9">
        <v>3702.5121308750358</v>
      </c>
      <c r="AN65" s="9">
        <f t="shared" si="2"/>
        <v>2002.5121308750358</v>
      </c>
      <c r="AO65" s="10">
        <f t="shared" si="3"/>
        <v>1.1779483122794328</v>
      </c>
      <c r="AP65" s="16">
        <v>1700</v>
      </c>
      <c r="AQ65" s="16">
        <v>2988.0514008132832</v>
      </c>
      <c r="AR65" s="16">
        <f t="shared" si="4"/>
        <v>1288.0514008132832</v>
      </c>
      <c r="AS65" s="17">
        <f t="shared" si="5"/>
        <v>0.75767729459604893</v>
      </c>
      <c r="AT65" s="6">
        <v>1700</v>
      </c>
      <c r="AU65" s="6">
        <v>3197.723388671875</v>
      </c>
      <c r="AV65" s="6">
        <f t="shared" si="6"/>
        <v>1497.723388671875</v>
      </c>
      <c r="AW65" s="7">
        <f t="shared" si="7"/>
        <v>0.88101375804227944</v>
      </c>
    </row>
    <row r="66" spans="1:49" x14ac:dyDescent="0.25">
      <c r="A66" t="s">
        <v>56</v>
      </c>
      <c r="B66" t="s">
        <v>123</v>
      </c>
      <c r="C66">
        <v>116390</v>
      </c>
      <c r="D66">
        <v>2013</v>
      </c>
      <c r="E66" t="s">
        <v>58</v>
      </c>
      <c r="F66" t="s">
        <v>291</v>
      </c>
      <c r="G66" t="s">
        <v>261</v>
      </c>
      <c r="I66">
        <v>6</v>
      </c>
      <c r="J66" t="s">
        <v>43</v>
      </c>
      <c r="K66">
        <v>4</v>
      </c>
      <c r="L66" t="s">
        <v>44</v>
      </c>
      <c r="M66">
        <v>3.5</v>
      </c>
      <c r="N66" t="s">
        <v>44</v>
      </c>
      <c r="O66" t="s">
        <v>46</v>
      </c>
      <c r="P66">
        <v>3</v>
      </c>
      <c r="Q66" t="s">
        <v>47</v>
      </c>
      <c r="R66" t="s">
        <v>48</v>
      </c>
      <c r="S66" t="s">
        <v>139</v>
      </c>
      <c r="T66">
        <v>288</v>
      </c>
      <c r="U66" t="s">
        <v>50</v>
      </c>
      <c r="V66" t="s">
        <v>64</v>
      </c>
      <c r="X66" t="s">
        <v>66</v>
      </c>
      <c r="Y66" t="s">
        <v>88</v>
      </c>
      <c r="AA66">
        <v>0</v>
      </c>
      <c r="AB66" t="s">
        <v>54</v>
      </c>
      <c r="AC66" t="s">
        <v>55</v>
      </c>
      <c r="AD66">
        <v>34</v>
      </c>
      <c r="AE66">
        <v>8</v>
      </c>
      <c r="AF66">
        <v>3</v>
      </c>
      <c r="AG66">
        <v>2025</v>
      </c>
      <c r="AH66" s="13">
        <v>2200</v>
      </c>
      <c r="AI66" s="13">
        <v>4067.266357421875</v>
      </c>
      <c r="AJ66" s="13">
        <f t="shared" si="0"/>
        <v>1867.266357421875</v>
      </c>
      <c r="AK66" s="14">
        <f t="shared" si="1"/>
        <v>0.84875743519176139</v>
      </c>
      <c r="AL66" s="9">
        <v>2200</v>
      </c>
      <c r="AM66" s="9">
        <v>3679.675586764336</v>
      </c>
      <c r="AN66" s="9">
        <f t="shared" si="2"/>
        <v>1479.675586764336</v>
      </c>
      <c r="AO66" s="10">
        <f t="shared" si="3"/>
        <v>0.67257981216560725</v>
      </c>
      <c r="AP66" s="16">
        <v>2200</v>
      </c>
      <c r="AQ66" s="16">
        <v>3500.32540694829</v>
      </c>
      <c r="AR66" s="16">
        <f t="shared" si="4"/>
        <v>1300.32540694829</v>
      </c>
      <c r="AS66" s="17">
        <f t="shared" si="5"/>
        <v>0.59105700315831367</v>
      </c>
      <c r="AT66" s="6">
        <v>2200</v>
      </c>
      <c r="AU66" s="6">
        <v>3691.161376953125</v>
      </c>
      <c r="AV66" s="6">
        <f t="shared" si="6"/>
        <v>1491.161376953125</v>
      </c>
      <c r="AW66" s="7">
        <f t="shared" si="7"/>
        <v>0.67780062588778411</v>
      </c>
    </row>
    <row r="67" spans="1:49" x14ac:dyDescent="0.25">
      <c r="A67" t="s">
        <v>38</v>
      </c>
      <c r="B67" t="s">
        <v>132</v>
      </c>
      <c r="C67">
        <v>114724</v>
      </c>
      <c r="D67">
        <v>2017</v>
      </c>
      <c r="E67" t="s">
        <v>40</v>
      </c>
      <c r="F67" t="s">
        <v>292</v>
      </c>
      <c r="G67" t="s">
        <v>232</v>
      </c>
      <c r="I67">
        <v>6</v>
      </c>
      <c r="J67" t="s">
        <v>82</v>
      </c>
      <c r="K67">
        <v>4</v>
      </c>
      <c r="L67" t="s">
        <v>44</v>
      </c>
      <c r="M67">
        <v>3.3</v>
      </c>
      <c r="N67" t="s">
        <v>45</v>
      </c>
      <c r="O67" t="s">
        <v>46</v>
      </c>
      <c r="P67">
        <v>2</v>
      </c>
      <c r="Q67" t="s">
        <v>84</v>
      </c>
      <c r="R67" t="s">
        <v>85</v>
      </c>
      <c r="S67" t="s">
        <v>102</v>
      </c>
      <c r="T67">
        <v>290</v>
      </c>
      <c r="U67" t="s">
        <v>50</v>
      </c>
      <c r="W67" t="s">
        <v>293</v>
      </c>
      <c r="X67" t="s">
        <v>87</v>
      </c>
      <c r="Y67" t="s">
        <v>53</v>
      </c>
      <c r="Z67">
        <v>31990</v>
      </c>
      <c r="AA67">
        <v>0</v>
      </c>
      <c r="AB67" t="s">
        <v>54</v>
      </c>
      <c r="AC67" t="s">
        <v>89</v>
      </c>
      <c r="AD67">
        <v>34</v>
      </c>
      <c r="AE67">
        <v>8</v>
      </c>
      <c r="AF67">
        <v>3</v>
      </c>
      <c r="AG67">
        <v>2025</v>
      </c>
      <c r="AH67" s="13">
        <v>4600</v>
      </c>
      <c r="AI67" s="13">
        <v>3369.518310546875</v>
      </c>
      <c r="AJ67" s="13">
        <f t="shared" ref="AJ67:AJ130" si="8">ABS(AH67-AI67)</f>
        <v>1230.481689453125</v>
      </c>
      <c r="AK67" s="14">
        <f t="shared" ref="AK67:AK130" si="9">ABS($AH67-AI67)/$AH67</f>
        <v>0.2674960194463315</v>
      </c>
      <c r="AL67" s="9">
        <v>4600</v>
      </c>
      <c r="AM67" s="9">
        <v>3927.472540700604</v>
      </c>
      <c r="AN67" s="9">
        <f t="shared" ref="AN67:AN130" si="10">ABS(AL67-AM67)</f>
        <v>672.52745929939601</v>
      </c>
      <c r="AO67" s="10">
        <f t="shared" ref="AO67:AO130" si="11">ABS($AL67-AM67)/$AL67</f>
        <v>0.14620162158682523</v>
      </c>
      <c r="AP67" s="16">
        <v>4600</v>
      </c>
      <c r="AQ67" s="16">
        <v>3627.959309049565</v>
      </c>
      <c r="AR67" s="16">
        <f t="shared" ref="AR67:AR130" si="12">ABS(AP67-AQ67)</f>
        <v>972.04069095043496</v>
      </c>
      <c r="AS67" s="17">
        <f t="shared" ref="AS67:AS130" si="13">ABS($AP67-AQ67)/$AP67</f>
        <v>0.21131319368487717</v>
      </c>
      <c r="AT67" s="6">
        <v>4600</v>
      </c>
      <c r="AU67" s="6">
        <v>3949.16357421875</v>
      </c>
      <c r="AV67" s="6">
        <f t="shared" ref="AV67:AV130" si="14">ABS(AT67-AU67)</f>
        <v>650.83642578125</v>
      </c>
      <c r="AW67" s="7">
        <f t="shared" ref="AW67:AW130" si="15">ABS($AT67-AU67)/$AT67</f>
        <v>0.14148617951766304</v>
      </c>
    </row>
    <row r="68" spans="1:49" x14ac:dyDescent="0.25">
      <c r="A68" t="s">
        <v>56</v>
      </c>
      <c r="B68" t="s">
        <v>196</v>
      </c>
      <c r="C68">
        <v>142099</v>
      </c>
      <c r="D68">
        <v>2014</v>
      </c>
      <c r="E68" t="s">
        <v>71</v>
      </c>
      <c r="F68" t="s">
        <v>294</v>
      </c>
      <c r="I68">
        <v>6</v>
      </c>
      <c r="J68" t="s">
        <v>43</v>
      </c>
      <c r="K68">
        <v>4</v>
      </c>
      <c r="L68" t="s">
        <v>44</v>
      </c>
      <c r="M68">
        <v>3.5</v>
      </c>
      <c r="N68" t="s">
        <v>45</v>
      </c>
      <c r="O68" t="s">
        <v>46</v>
      </c>
      <c r="Q68" t="s">
        <v>84</v>
      </c>
      <c r="R68" t="s">
        <v>85</v>
      </c>
      <c r="S68" t="s">
        <v>49</v>
      </c>
      <c r="U68" t="s">
        <v>50</v>
      </c>
      <c r="X68" t="s">
        <v>87</v>
      </c>
      <c r="Y68" t="s">
        <v>67</v>
      </c>
      <c r="AA68">
        <v>0</v>
      </c>
      <c r="AB68" t="s">
        <v>54</v>
      </c>
      <c r="AC68" t="s">
        <v>89</v>
      </c>
      <c r="AD68">
        <v>34</v>
      </c>
      <c r="AE68">
        <v>8</v>
      </c>
      <c r="AF68">
        <v>3</v>
      </c>
      <c r="AG68">
        <v>2025</v>
      </c>
      <c r="AH68" s="13">
        <v>3800</v>
      </c>
      <c r="AI68" s="13">
        <v>2306.131103515625</v>
      </c>
      <c r="AJ68" s="13">
        <f t="shared" si="8"/>
        <v>1493.868896484375</v>
      </c>
      <c r="AK68" s="14">
        <f t="shared" si="9"/>
        <v>0.39312339381167766</v>
      </c>
      <c r="AL68" s="9">
        <v>3800</v>
      </c>
      <c r="AM68" s="9">
        <v>2338.4998864665431</v>
      </c>
      <c r="AN68" s="9">
        <f t="shared" si="10"/>
        <v>1461.5001135334569</v>
      </c>
      <c r="AO68" s="10">
        <f t="shared" si="11"/>
        <v>0.38460529303512025</v>
      </c>
      <c r="AP68" s="16">
        <v>3800</v>
      </c>
      <c r="AQ68" s="16">
        <v>2548.3480416951361</v>
      </c>
      <c r="AR68" s="16">
        <f t="shared" si="12"/>
        <v>1251.6519583048639</v>
      </c>
      <c r="AS68" s="17">
        <f t="shared" si="13"/>
        <v>0.32938209429075366</v>
      </c>
      <c r="AT68" s="6">
        <v>3800</v>
      </c>
      <c r="AU68" s="6">
        <v>2287.89208984375</v>
      </c>
      <c r="AV68" s="6">
        <f t="shared" si="14"/>
        <v>1512.10791015625</v>
      </c>
      <c r="AW68" s="7">
        <f t="shared" si="15"/>
        <v>0.39792313425164472</v>
      </c>
    </row>
    <row r="69" spans="1:49" x14ac:dyDescent="0.25">
      <c r="A69" t="s">
        <v>38</v>
      </c>
      <c r="B69" t="s">
        <v>289</v>
      </c>
      <c r="C69">
        <v>167197</v>
      </c>
      <c r="D69">
        <v>2017</v>
      </c>
      <c r="E69" t="s">
        <v>40</v>
      </c>
      <c r="F69" t="s">
        <v>295</v>
      </c>
      <c r="G69" t="s">
        <v>296</v>
      </c>
      <c r="I69">
        <v>4</v>
      </c>
      <c r="J69" t="s">
        <v>74</v>
      </c>
      <c r="K69">
        <v>4</v>
      </c>
      <c r="L69" t="s">
        <v>44</v>
      </c>
      <c r="M69">
        <v>2.4</v>
      </c>
      <c r="N69" t="s">
        <v>45</v>
      </c>
      <c r="O69" t="s">
        <v>42</v>
      </c>
      <c r="Q69" t="s">
        <v>84</v>
      </c>
      <c r="R69" t="s">
        <v>85</v>
      </c>
      <c r="T69">
        <v>185</v>
      </c>
      <c r="U69" t="s">
        <v>50</v>
      </c>
      <c r="W69" t="s">
        <v>297</v>
      </c>
      <c r="X69" t="s">
        <v>87</v>
      </c>
      <c r="Y69" t="s">
        <v>67</v>
      </c>
      <c r="AA69">
        <v>0</v>
      </c>
      <c r="AB69" t="s">
        <v>54</v>
      </c>
      <c r="AC69" t="s">
        <v>89</v>
      </c>
      <c r="AD69">
        <v>34</v>
      </c>
      <c r="AE69">
        <v>8</v>
      </c>
      <c r="AF69">
        <v>3</v>
      </c>
      <c r="AG69">
        <v>2025</v>
      </c>
      <c r="AH69" s="13">
        <v>1400</v>
      </c>
      <c r="AI69" s="13">
        <v>876.13623046875</v>
      </c>
      <c r="AJ69" s="13">
        <f t="shared" si="8"/>
        <v>523.86376953125</v>
      </c>
      <c r="AK69" s="14">
        <f t="shared" si="9"/>
        <v>0.37418840680803572</v>
      </c>
      <c r="AL69" s="9">
        <v>1400</v>
      </c>
      <c r="AM69" s="9">
        <v>1010.100060390606</v>
      </c>
      <c r="AN69" s="9">
        <f t="shared" si="10"/>
        <v>389.89993960939398</v>
      </c>
      <c r="AO69" s="10">
        <f t="shared" si="11"/>
        <v>0.27849995686385287</v>
      </c>
      <c r="AP69" s="16">
        <v>1400</v>
      </c>
      <c r="AQ69" s="16">
        <v>955.24275920602338</v>
      </c>
      <c r="AR69" s="16">
        <f t="shared" si="12"/>
        <v>444.75724079397662</v>
      </c>
      <c r="AS69" s="17">
        <f t="shared" si="13"/>
        <v>0.31768374342426903</v>
      </c>
      <c r="AT69" s="6">
        <v>1400</v>
      </c>
      <c r="AU69" s="6">
        <v>922.22479248046875</v>
      </c>
      <c r="AV69" s="6">
        <f t="shared" si="14"/>
        <v>477.77520751953125</v>
      </c>
      <c r="AW69" s="7">
        <f t="shared" si="15"/>
        <v>0.34126800537109375</v>
      </c>
    </row>
    <row r="70" spans="1:49" x14ac:dyDescent="0.25">
      <c r="A70" t="s">
        <v>38</v>
      </c>
      <c r="B70" t="s">
        <v>267</v>
      </c>
      <c r="C70">
        <v>174382</v>
      </c>
      <c r="D70">
        <v>2016</v>
      </c>
      <c r="E70" t="s">
        <v>217</v>
      </c>
      <c r="F70" t="s">
        <v>298</v>
      </c>
      <c r="G70" t="s">
        <v>60</v>
      </c>
      <c r="H70" t="s">
        <v>299</v>
      </c>
      <c r="I70">
        <v>6</v>
      </c>
      <c r="J70" t="s">
        <v>74</v>
      </c>
      <c r="K70">
        <v>4</v>
      </c>
      <c r="L70" t="s">
        <v>44</v>
      </c>
      <c r="M70">
        <v>6.7</v>
      </c>
      <c r="N70" t="s">
        <v>62</v>
      </c>
      <c r="O70" t="s">
        <v>46</v>
      </c>
      <c r="Q70" t="s">
        <v>75</v>
      </c>
      <c r="R70" t="s">
        <v>76</v>
      </c>
      <c r="S70" t="s">
        <v>63</v>
      </c>
      <c r="U70" t="s">
        <v>300</v>
      </c>
      <c r="X70" t="s">
        <v>301</v>
      </c>
      <c r="Y70" t="s">
        <v>106</v>
      </c>
      <c r="AA70">
        <v>0</v>
      </c>
      <c r="AB70" t="s">
        <v>54</v>
      </c>
      <c r="AC70" t="s">
        <v>302</v>
      </c>
      <c r="AD70">
        <v>34</v>
      </c>
      <c r="AE70">
        <v>8</v>
      </c>
      <c r="AF70">
        <v>3</v>
      </c>
      <c r="AG70">
        <v>2025</v>
      </c>
      <c r="AH70" s="13">
        <v>14700</v>
      </c>
      <c r="AI70" s="13">
        <v>16806.41015625</v>
      </c>
      <c r="AJ70" s="13">
        <f t="shared" si="8"/>
        <v>2106.41015625</v>
      </c>
      <c r="AK70" s="14">
        <f t="shared" si="9"/>
        <v>0.14329320790816327</v>
      </c>
      <c r="AL70" s="9">
        <v>14700</v>
      </c>
      <c r="AM70" s="9">
        <v>12952.675587309959</v>
      </c>
      <c r="AN70" s="9">
        <f t="shared" si="10"/>
        <v>1747.3244126900408</v>
      </c>
      <c r="AO70" s="10">
        <f t="shared" si="11"/>
        <v>0.11886560630544496</v>
      </c>
      <c r="AP70" s="16">
        <v>14700</v>
      </c>
      <c r="AQ70" s="16">
        <v>13289.827292976821</v>
      </c>
      <c r="AR70" s="16">
        <f t="shared" si="12"/>
        <v>1410.1727070231791</v>
      </c>
      <c r="AS70" s="17">
        <f t="shared" si="13"/>
        <v>9.5930116124025785E-2</v>
      </c>
      <c r="AT70" s="6">
        <v>14700</v>
      </c>
      <c r="AU70" s="6">
        <v>16171.3017578125</v>
      </c>
      <c r="AV70" s="6">
        <f t="shared" si="14"/>
        <v>1471.3017578125</v>
      </c>
      <c r="AW70" s="7">
        <f t="shared" si="15"/>
        <v>0.1000885549532313</v>
      </c>
    </row>
    <row r="71" spans="1:49" x14ac:dyDescent="0.25">
      <c r="A71" t="s">
        <v>56</v>
      </c>
      <c r="B71" t="s">
        <v>303</v>
      </c>
      <c r="C71">
        <v>203466</v>
      </c>
      <c r="D71">
        <v>2011</v>
      </c>
      <c r="E71" t="s">
        <v>150</v>
      </c>
      <c r="F71" t="s">
        <v>304</v>
      </c>
      <c r="H71" t="s">
        <v>305</v>
      </c>
      <c r="I71">
        <v>4</v>
      </c>
      <c r="J71" t="s">
        <v>43</v>
      </c>
      <c r="K71">
        <v>4</v>
      </c>
      <c r="L71" t="s">
        <v>44</v>
      </c>
      <c r="M71">
        <v>2.4</v>
      </c>
      <c r="N71" t="s">
        <v>45</v>
      </c>
      <c r="Q71" t="s">
        <v>84</v>
      </c>
      <c r="R71" t="s">
        <v>85</v>
      </c>
      <c r="U71" t="s">
        <v>50</v>
      </c>
      <c r="W71" t="s">
        <v>306</v>
      </c>
      <c r="X71" t="s">
        <v>87</v>
      </c>
      <c r="Y71" t="s">
        <v>244</v>
      </c>
      <c r="AA71">
        <v>0</v>
      </c>
      <c r="AB71" t="s">
        <v>54</v>
      </c>
      <c r="AC71" t="s">
        <v>89</v>
      </c>
      <c r="AD71">
        <v>34</v>
      </c>
      <c r="AE71">
        <v>8</v>
      </c>
      <c r="AF71">
        <v>3</v>
      </c>
      <c r="AG71">
        <v>2025</v>
      </c>
      <c r="AH71" s="13">
        <v>900</v>
      </c>
      <c r="AI71" s="13">
        <v>635.5574951171875</v>
      </c>
      <c r="AJ71" s="13">
        <f t="shared" si="8"/>
        <v>264.4425048828125</v>
      </c>
      <c r="AK71" s="14">
        <f t="shared" si="9"/>
        <v>0.29382500542534723</v>
      </c>
      <c r="AL71" s="9">
        <v>900</v>
      </c>
      <c r="AM71" s="9">
        <v>1023.07240194256</v>
      </c>
      <c r="AN71" s="9">
        <f t="shared" si="10"/>
        <v>123.07240194255996</v>
      </c>
      <c r="AO71" s="10">
        <f t="shared" si="11"/>
        <v>0.13674711326951108</v>
      </c>
      <c r="AP71" s="16">
        <v>900</v>
      </c>
      <c r="AQ71" s="16">
        <v>793.50133076393581</v>
      </c>
      <c r="AR71" s="16">
        <f t="shared" si="12"/>
        <v>106.49866923606419</v>
      </c>
      <c r="AS71" s="17">
        <f t="shared" si="13"/>
        <v>0.11833185470673799</v>
      </c>
      <c r="AT71" s="6">
        <v>900</v>
      </c>
      <c r="AU71" s="6">
        <v>946.59405517578125</v>
      </c>
      <c r="AV71" s="6">
        <f t="shared" si="14"/>
        <v>46.59405517578125</v>
      </c>
      <c r="AW71" s="7">
        <f t="shared" si="15"/>
        <v>5.1771172417534719E-2</v>
      </c>
    </row>
    <row r="72" spans="1:49" x14ac:dyDescent="0.25">
      <c r="A72" t="s">
        <v>56</v>
      </c>
      <c r="B72" t="s">
        <v>178</v>
      </c>
      <c r="C72">
        <v>86922</v>
      </c>
      <c r="D72">
        <v>2013</v>
      </c>
      <c r="E72" t="s">
        <v>145</v>
      </c>
      <c r="F72" t="s">
        <v>307</v>
      </c>
      <c r="G72" t="s">
        <v>308</v>
      </c>
      <c r="I72">
        <v>6</v>
      </c>
      <c r="J72" t="s">
        <v>82</v>
      </c>
      <c r="K72">
        <v>2</v>
      </c>
      <c r="L72" t="s">
        <v>309</v>
      </c>
      <c r="M72">
        <v>3.5</v>
      </c>
      <c r="N72" t="s">
        <v>45</v>
      </c>
      <c r="O72" t="s">
        <v>46</v>
      </c>
      <c r="P72">
        <v>2</v>
      </c>
      <c r="Q72" t="s">
        <v>84</v>
      </c>
      <c r="R72" t="s">
        <v>251</v>
      </c>
      <c r="T72">
        <v>278</v>
      </c>
      <c r="U72" t="s">
        <v>50</v>
      </c>
      <c r="V72" t="s">
        <v>64</v>
      </c>
      <c r="W72" t="s">
        <v>310</v>
      </c>
      <c r="X72" t="s">
        <v>52</v>
      </c>
      <c r="Y72" t="s">
        <v>67</v>
      </c>
      <c r="AA72">
        <v>0</v>
      </c>
      <c r="AB72" t="s">
        <v>54</v>
      </c>
      <c r="AC72" t="s">
        <v>251</v>
      </c>
      <c r="AD72">
        <v>34</v>
      </c>
      <c r="AE72">
        <v>8</v>
      </c>
      <c r="AF72">
        <v>3</v>
      </c>
      <c r="AG72">
        <v>2025</v>
      </c>
      <c r="AH72" s="13">
        <v>3500</v>
      </c>
      <c r="AI72" s="13">
        <v>5673.38671875</v>
      </c>
      <c r="AJ72" s="13">
        <f t="shared" si="8"/>
        <v>2173.38671875</v>
      </c>
      <c r="AK72" s="14">
        <f t="shared" si="9"/>
        <v>0.62096763392857146</v>
      </c>
      <c r="AL72" s="9">
        <v>3500</v>
      </c>
      <c r="AM72" s="9">
        <v>6607.0970404531117</v>
      </c>
      <c r="AN72" s="9">
        <f t="shared" si="10"/>
        <v>3107.0970404531117</v>
      </c>
      <c r="AO72" s="10">
        <f t="shared" si="11"/>
        <v>0.8877420115580319</v>
      </c>
      <c r="AP72" s="16">
        <v>3500</v>
      </c>
      <c r="AQ72" s="16">
        <v>5493.1499913491807</v>
      </c>
      <c r="AR72" s="16">
        <f t="shared" si="12"/>
        <v>1993.1499913491807</v>
      </c>
      <c r="AS72" s="17">
        <f t="shared" si="13"/>
        <v>0.56947142609976587</v>
      </c>
      <c r="AT72" s="6">
        <v>3500</v>
      </c>
      <c r="AU72" s="6">
        <v>5767.0341796875</v>
      </c>
      <c r="AV72" s="6">
        <f t="shared" si="14"/>
        <v>2267.0341796875</v>
      </c>
      <c r="AW72" s="7">
        <f t="shared" si="15"/>
        <v>0.64772405133928568</v>
      </c>
    </row>
    <row r="73" spans="1:49" x14ac:dyDescent="0.25">
      <c r="A73" t="s">
        <v>38</v>
      </c>
      <c r="B73" t="s">
        <v>39</v>
      </c>
      <c r="C73">
        <v>180201</v>
      </c>
      <c r="D73">
        <v>2017</v>
      </c>
      <c r="E73" t="s">
        <v>79</v>
      </c>
      <c r="F73" t="s">
        <v>263</v>
      </c>
      <c r="G73" t="s">
        <v>273</v>
      </c>
      <c r="I73">
        <v>4</v>
      </c>
      <c r="J73" t="s">
        <v>74</v>
      </c>
      <c r="K73">
        <v>4</v>
      </c>
      <c r="L73" t="s">
        <v>44</v>
      </c>
      <c r="M73">
        <v>1.4</v>
      </c>
      <c r="N73" t="s">
        <v>45</v>
      </c>
      <c r="O73" t="s">
        <v>46</v>
      </c>
      <c r="P73">
        <v>3</v>
      </c>
      <c r="Q73" t="s">
        <v>84</v>
      </c>
      <c r="R73" t="s">
        <v>85</v>
      </c>
      <c r="U73" t="s">
        <v>50</v>
      </c>
      <c r="V73" t="s">
        <v>95</v>
      </c>
      <c r="W73" t="s">
        <v>311</v>
      </c>
      <c r="X73" t="s">
        <v>87</v>
      </c>
      <c r="Y73" t="s">
        <v>67</v>
      </c>
      <c r="Z73">
        <v>20150</v>
      </c>
      <c r="AA73">
        <v>0</v>
      </c>
      <c r="AB73" t="s">
        <v>54</v>
      </c>
      <c r="AC73" t="s">
        <v>89</v>
      </c>
      <c r="AD73">
        <v>34</v>
      </c>
      <c r="AE73">
        <v>8</v>
      </c>
      <c r="AF73">
        <v>3</v>
      </c>
      <c r="AG73">
        <v>2025</v>
      </c>
      <c r="AH73" s="13">
        <v>1000</v>
      </c>
      <c r="AI73" s="13">
        <v>2626.08837890625</v>
      </c>
      <c r="AJ73" s="13">
        <f t="shared" si="8"/>
        <v>1626.08837890625</v>
      </c>
      <c r="AK73" s="14">
        <f t="shared" si="9"/>
        <v>1.6260883789062499</v>
      </c>
      <c r="AL73" s="9">
        <v>1000</v>
      </c>
      <c r="AM73" s="9">
        <v>2003.2279322017971</v>
      </c>
      <c r="AN73" s="9">
        <f t="shared" si="10"/>
        <v>1003.2279322017971</v>
      </c>
      <c r="AO73" s="10">
        <f t="shared" si="11"/>
        <v>1.0032279322017972</v>
      </c>
      <c r="AP73" s="16">
        <v>1000</v>
      </c>
      <c r="AQ73" s="16">
        <v>1620.759012919829</v>
      </c>
      <c r="AR73" s="16">
        <f t="shared" si="12"/>
        <v>620.75901291982905</v>
      </c>
      <c r="AS73" s="17">
        <f t="shared" si="13"/>
        <v>0.62075901291982905</v>
      </c>
      <c r="AT73" s="6">
        <v>1000</v>
      </c>
      <c r="AU73" s="6">
        <v>1912.78369140625</v>
      </c>
      <c r="AV73" s="6">
        <f t="shared" si="14"/>
        <v>912.78369140625</v>
      </c>
      <c r="AW73" s="7">
        <f t="shared" si="15"/>
        <v>0.91278369140625004</v>
      </c>
    </row>
    <row r="74" spans="1:49" x14ac:dyDescent="0.25">
      <c r="A74" t="s">
        <v>38</v>
      </c>
      <c r="B74" t="s">
        <v>204</v>
      </c>
      <c r="C74">
        <v>105022</v>
      </c>
      <c r="D74">
        <v>2013</v>
      </c>
      <c r="E74" t="s">
        <v>40</v>
      </c>
      <c r="F74" t="s">
        <v>312</v>
      </c>
      <c r="G74" t="s">
        <v>313</v>
      </c>
      <c r="K74">
        <v>4</v>
      </c>
      <c r="M74">
        <v>2</v>
      </c>
      <c r="N74" t="s">
        <v>45</v>
      </c>
      <c r="O74" t="s">
        <v>46</v>
      </c>
      <c r="P74">
        <v>3</v>
      </c>
      <c r="Q74" t="s">
        <v>84</v>
      </c>
      <c r="R74" t="s">
        <v>85</v>
      </c>
      <c r="U74" t="s">
        <v>50</v>
      </c>
      <c r="W74" t="s">
        <v>314</v>
      </c>
      <c r="X74" t="s">
        <v>87</v>
      </c>
      <c r="Y74" t="s">
        <v>53</v>
      </c>
      <c r="AA74">
        <v>0</v>
      </c>
      <c r="AB74" t="s">
        <v>54</v>
      </c>
      <c r="AC74" t="s">
        <v>89</v>
      </c>
      <c r="AD74">
        <v>34</v>
      </c>
      <c r="AE74">
        <v>8</v>
      </c>
      <c r="AF74">
        <v>3</v>
      </c>
      <c r="AG74">
        <v>2025</v>
      </c>
      <c r="AH74" s="13">
        <v>3250</v>
      </c>
      <c r="AI74" s="13">
        <v>2266.980224609375</v>
      </c>
      <c r="AJ74" s="13">
        <f t="shared" si="8"/>
        <v>983.019775390625</v>
      </c>
      <c r="AK74" s="14">
        <f t="shared" si="9"/>
        <v>0.3024676231971154</v>
      </c>
      <c r="AL74" s="9">
        <v>3250</v>
      </c>
      <c r="AM74" s="9">
        <v>2514.7274195210698</v>
      </c>
      <c r="AN74" s="9">
        <f t="shared" si="10"/>
        <v>735.27258047893019</v>
      </c>
      <c r="AO74" s="10">
        <f t="shared" si="11"/>
        <v>0.22623771707044005</v>
      </c>
      <c r="AP74" s="16">
        <v>3250</v>
      </c>
      <c r="AQ74" s="16">
        <v>1925.786593879458</v>
      </c>
      <c r="AR74" s="16">
        <f t="shared" si="12"/>
        <v>1324.213406120542</v>
      </c>
      <c r="AS74" s="17">
        <f t="shared" si="13"/>
        <v>0.40745027880632062</v>
      </c>
      <c r="AT74" s="6">
        <v>3250</v>
      </c>
      <c r="AU74" s="6">
        <v>2526.322265625</v>
      </c>
      <c r="AV74" s="6">
        <f t="shared" si="14"/>
        <v>723.677734375</v>
      </c>
      <c r="AW74" s="7">
        <f t="shared" si="15"/>
        <v>0.22267007211538462</v>
      </c>
    </row>
    <row r="75" spans="1:49" x14ac:dyDescent="0.25">
      <c r="A75" t="s">
        <v>56</v>
      </c>
      <c r="B75" t="s">
        <v>178</v>
      </c>
      <c r="C75">
        <v>224504</v>
      </c>
      <c r="D75">
        <v>2010</v>
      </c>
      <c r="E75" t="s">
        <v>91</v>
      </c>
      <c r="F75" t="s">
        <v>315</v>
      </c>
      <c r="G75" t="s">
        <v>316</v>
      </c>
      <c r="H75" t="s">
        <v>317</v>
      </c>
      <c r="I75">
        <v>6</v>
      </c>
      <c r="J75" t="s">
        <v>94</v>
      </c>
      <c r="K75">
        <v>4</v>
      </c>
      <c r="L75" t="s">
        <v>44</v>
      </c>
      <c r="M75">
        <v>3.5</v>
      </c>
      <c r="N75" t="s">
        <v>44</v>
      </c>
      <c r="O75" t="s">
        <v>46</v>
      </c>
      <c r="P75">
        <v>3</v>
      </c>
      <c r="Q75" t="s">
        <v>47</v>
      </c>
      <c r="R75" t="s">
        <v>48</v>
      </c>
      <c r="S75" t="s">
        <v>63</v>
      </c>
      <c r="T75">
        <v>209</v>
      </c>
      <c r="U75" t="s">
        <v>50</v>
      </c>
      <c r="V75" t="s">
        <v>64</v>
      </c>
      <c r="W75" t="s">
        <v>318</v>
      </c>
      <c r="X75" t="s">
        <v>141</v>
      </c>
      <c r="Y75" t="s">
        <v>67</v>
      </c>
      <c r="AA75">
        <v>0</v>
      </c>
      <c r="AB75" t="s">
        <v>54</v>
      </c>
      <c r="AC75" t="s">
        <v>55</v>
      </c>
      <c r="AD75">
        <v>34</v>
      </c>
      <c r="AE75">
        <v>8</v>
      </c>
      <c r="AF75">
        <v>3</v>
      </c>
      <c r="AG75">
        <v>2025</v>
      </c>
      <c r="AH75" s="13">
        <v>4400</v>
      </c>
      <c r="AI75" s="13">
        <v>3331.674072265625</v>
      </c>
      <c r="AJ75" s="13">
        <f t="shared" si="8"/>
        <v>1068.325927734375</v>
      </c>
      <c r="AK75" s="14">
        <f t="shared" si="9"/>
        <v>0.24280134721235797</v>
      </c>
      <c r="AL75" s="9">
        <v>4400</v>
      </c>
      <c r="AM75" s="9">
        <v>2459.3875693979089</v>
      </c>
      <c r="AN75" s="9">
        <f t="shared" si="10"/>
        <v>1940.6124306020911</v>
      </c>
      <c r="AO75" s="10">
        <f t="shared" si="11"/>
        <v>0.44104827968229343</v>
      </c>
      <c r="AP75" s="16">
        <v>4400</v>
      </c>
      <c r="AQ75" s="16">
        <v>1536.9800702839029</v>
      </c>
      <c r="AR75" s="16">
        <f t="shared" si="12"/>
        <v>2863.0199297160971</v>
      </c>
      <c r="AS75" s="17">
        <f t="shared" si="13"/>
        <v>0.65068634766274935</v>
      </c>
      <c r="AT75" s="6">
        <v>4400</v>
      </c>
      <c r="AU75" s="6">
        <v>2311.9560546875</v>
      </c>
      <c r="AV75" s="6">
        <f t="shared" si="14"/>
        <v>2088.0439453125</v>
      </c>
      <c r="AW75" s="7">
        <f t="shared" si="15"/>
        <v>0.47455544211647727</v>
      </c>
    </row>
    <row r="76" spans="1:49" x14ac:dyDescent="0.25">
      <c r="A76" t="s">
        <v>69</v>
      </c>
      <c r="B76" t="s">
        <v>70</v>
      </c>
      <c r="C76">
        <v>142683</v>
      </c>
      <c r="D76">
        <v>2012</v>
      </c>
      <c r="E76" t="s">
        <v>58</v>
      </c>
      <c r="F76" t="s">
        <v>168</v>
      </c>
      <c r="I76">
        <v>6</v>
      </c>
      <c r="J76" t="s">
        <v>43</v>
      </c>
      <c r="K76">
        <v>4</v>
      </c>
      <c r="L76" t="s">
        <v>44</v>
      </c>
      <c r="M76">
        <v>3.7</v>
      </c>
      <c r="N76" t="s">
        <v>62</v>
      </c>
      <c r="O76" t="s">
        <v>46</v>
      </c>
      <c r="P76">
        <v>4</v>
      </c>
      <c r="Q76" t="s">
        <v>75</v>
      </c>
      <c r="R76" t="s">
        <v>76</v>
      </c>
      <c r="S76" t="s">
        <v>63</v>
      </c>
      <c r="T76">
        <v>302</v>
      </c>
      <c r="U76" t="s">
        <v>50</v>
      </c>
      <c r="V76" t="s">
        <v>64</v>
      </c>
      <c r="X76" t="s">
        <v>66</v>
      </c>
      <c r="Y76" t="s">
        <v>67</v>
      </c>
      <c r="AA76">
        <v>0</v>
      </c>
      <c r="AB76" t="s">
        <v>54</v>
      </c>
      <c r="AC76" t="s">
        <v>78</v>
      </c>
      <c r="AD76">
        <v>34</v>
      </c>
      <c r="AE76">
        <v>8</v>
      </c>
      <c r="AF76">
        <v>3</v>
      </c>
      <c r="AG76">
        <v>2025</v>
      </c>
      <c r="AH76" s="13">
        <v>8900</v>
      </c>
      <c r="AI76" s="13">
        <v>9241.3701171875</v>
      </c>
      <c r="AJ76" s="13">
        <f t="shared" si="8"/>
        <v>341.3701171875</v>
      </c>
      <c r="AK76" s="14">
        <f t="shared" si="9"/>
        <v>3.8356192942415733E-2</v>
      </c>
      <c r="AL76" s="9">
        <v>8900</v>
      </c>
      <c r="AM76" s="9">
        <v>7780.8333716679617</v>
      </c>
      <c r="AN76" s="9">
        <f t="shared" si="10"/>
        <v>1119.1666283320383</v>
      </c>
      <c r="AO76" s="10">
        <f t="shared" si="11"/>
        <v>0.12574905936315037</v>
      </c>
      <c r="AP76" s="16">
        <v>8900</v>
      </c>
      <c r="AQ76" s="16">
        <v>6809.6814021397558</v>
      </c>
      <c r="AR76" s="16">
        <f t="shared" si="12"/>
        <v>2090.3185978602442</v>
      </c>
      <c r="AS76" s="17">
        <f t="shared" si="13"/>
        <v>0.23486725818654428</v>
      </c>
      <c r="AT76" s="6">
        <v>8900</v>
      </c>
      <c r="AU76" s="6">
        <v>7552.17822265625</v>
      </c>
      <c r="AV76" s="6">
        <f t="shared" si="14"/>
        <v>1347.82177734375</v>
      </c>
      <c r="AW76" s="7">
        <f t="shared" si="15"/>
        <v>0.1514406491397472</v>
      </c>
    </row>
    <row r="77" spans="1:49" x14ac:dyDescent="0.25">
      <c r="A77" t="s">
        <v>56</v>
      </c>
      <c r="B77" t="s">
        <v>104</v>
      </c>
      <c r="C77">
        <v>148519</v>
      </c>
      <c r="D77">
        <v>2010</v>
      </c>
      <c r="E77" t="s">
        <v>169</v>
      </c>
      <c r="F77" t="s">
        <v>319</v>
      </c>
      <c r="G77" t="s">
        <v>320</v>
      </c>
      <c r="I77">
        <v>4</v>
      </c>
      <c r="J77" t="s">
        <v>74</v>
      </c>
      <c r="K77">
        <v>4</v>
      </c>
      <c r="L77" t="s">
        <v>44</v>
      </c>
      <c r="M77">
        <v>2.5</v>
      </c>
      <c r="N77" t="s">
        <v>44</v>
      </c>
      <c r="O77" t="s">
        <v>46</v>
      </c>
      <c r="Q77" t="s">
        <v>47</v>
      </c>
      <c r="R77" t="s">
        <v>48</v>
      </c>
      <c r="S77" t="s">
        <v>139</v>
      </c>
      <c r="X77" t="s">
        <v>52</v>
      </c>
      <c r="Y77" t="s">
        <v>97</v>
      </c>
      <c r="AA77">
        <v>0</v>
      </c>
      <c r="AB77" t="s">
        <v>54</v>
      </c>
      <c r="AC77" t="s">
        <v>55</v>
      </c>
      <c r="AD77">
        <v>34</v>
      </c>
      <c r="AE77">
        <v>8</v>
      </c>
      <c r="AF77">
        <v>3</v>
      </c>
      <c r="AG77">
        <v>2025</v>
      </c>
      <c r="AH77" s="13">
        <v>1300</v>
      </c>
      <c r="AI77" s="13">
        <v>1115.779907226562</v>
      </c>
      <c r="AJ77" s="13">
        <f t="shared" si="8"/>
        <v>184.22009277343795</v>
      </c>
      <c r="AK77" s="14">
        <f t="shared" si="9"/>
        <v>0.14170776367187535</v>
      </c>
      <c r="AL77" s="9">
        <v>1300</v>
      </c>
      <c r="AM77" s="9">
        <v>1361.2657625646809</v>
      </c>
      <c r="AN77" s="9">
        <f t="shared" si="10"/>
        <v>61.265762564680927</v>
      </c>
      <c r="AO77" s="10">
        <f t="shared" si="11"/>
        <v>4.7127509665139171E-2</v>
      </c>
      <c r="AP77" s="16">
        <v>1300</v>
      </c>
      <c r="AQ77" s="16">
        <v>1413.0974233896511</v>
      </c>
      <c r="AR77" s="16">
        <f t="shared" si="12"/>
        <v>113.09742338965111</v>
      </c>
      <c r="AS77" s="17">
        <f t="shared" si="13"/>
        <v>8.6998017992039323E-2</v>
      </c>
      <c r="AT77" s="6">
        <v>1300</v>
      </c>
      <c r="AU77" s="6">
        <v>1278.59912109375</v>
      </c>
      <c r="AV77" s="6">
        <f t="shared" si="14"/>
        <v>21.40087890625</v>
      </c>
      <c r="AW77" s="7">
        <f t="shared" si="15"/>
        <v>1.6462214543269231E-2</v>
      </c>
    </row>
    <row r="78" spans="1:49" x14ac:dyDescent="0.25">
      <c r="A78" t="s">
        <v>38</v>
      </c>
      <c r="B78" t="s">
        <v>267</v>
      </c>
      <c r="C78">
        <v>146388</v>
      </c>
      <c r="D78">
        <v>2017</v>
      </c>
      <c r="E78" t="s">
        <v>124</v>
      </c>
      <c r="F78" t="s">
        <v>321</v>
      </c>
      <c r="G78" t="s">
        <v>322</v>
      </c>
      <c r="I78">
        <v>4</v>
      </c>
      <c r="J78" t="s">
        <v>127</v>
      </c>
      <c r="K78">
        <v>4</v>
      </c>
      <c r="L78" t="s">
        <v>44</v>
      </c>
      <c r="M78">
        <v>2.4</v>
      </c>
      <c r="N78" t="s">
        <v>45</v>
      </c>
      <c r="O78" t="s">
        <v>323</v>
      </c>
      <c r="P78">
        <v>1</v>
      </c>
      <c r="Q78" t="s">
        <v>84</v>
      </c>
      <c r="R78" t="s">
        <v>85</v>
      </c>
      <c r="T78">
        <v>187</v>
      </c>
      <c r="U78" t="s">
        <v>50</v>
      </c>
      <c r="X78" t="s">
        <v>87</v>
      </c>
      <c r="Y78" t="s">
        <v>67</v>
      </c>
      <c r="Z78">
        <v>21950</v>
      </c>
      <c r="AA78">
        <v>0</v>
      </c>
      <c r="AB78" t="s">
        <v>54</v>
      </c>
      <c r="AC78" t="s">
        <v>89</v>
      </c>
      <c r="AD78">
        <v>34</v>
      </c>
      <c r="AE78">
        <v>8</v>
      </c>
      <c r="AF78">
        <v>3</v>
      </c>
      <c r="AG78">
        <v>2025</v>
      </c>
      <c r="AH78" s="13">
        <v>800</v>
      </c>
      <c r="AI78" s="13">
        <v>1405.158325195312</v>
      </c>
      <c r="AJ78" s="13">
        <f t="shared" si="8"/>
        <v>605.15832519531205</v>
      </c>
      <c r="AK78" s="14">
        <f t="shared" si="9"/>
        <v>0.75644790649414007</v>
      </c>
      <c r="AL78" s="9">
        <v>800</v>
      </c>
      <c r="AM78" s="9">
        <v>883.82798232755033</v>
      </c>
      <c r="AN78" s="9">
        <f t="shared" si="10"/>
        <v>83.82798232755033</v>
      </c>
      <c r="AO78" s="10">
        <f t="shared" si="11"/>
        <v>0.10478497790943792</v>
      </c>
      <c r="AP78" s="16">
        <v>800</v>
      </c>
      <c r="AQ78" s="16">
        <v>824.52081946116505</v>
      </c>
      <c r="AR78" s="16">
        <f t="shared" si="12"/>
        <v>24.520819461165047</v>
      </c>
      <c r="AS78" s="17">
        <f t="shared" si="13"/>
        <v>3.0651024326456309E-2</v>
      </c>
      <c r="AT78" s="6">
        <v>800</v>
      </c>
      <c r="AU78" s="6">
        <v>970.529296875</v>
      </c>
      <c r="AV78" s="6">
        <f t="shared" si="14"/>
        <v>170.529296875</v>
      </c>
      <c r="AW78" s="7">
        <f t="shared" si="15"/>
        <v>0.21316162109375</v>
      </c>
    </row>
    <row r="79" spans="1:49" x14ac:dyDescent="0.25">
      <c r="A79" t="s">
        <v>107</v>
      </c>
      <c r="B79" t="s">
        <v>108</v>
      </c>
      <c r="C79">
        <v>76878</v>
      </c>
      <c r="D79">
        <v>2020</v>
      </c>
      <c r="E79" t="s">
        <v>71</v>
      </c>
      <c r="F79" t="s">
        <v>324</v>
      </c>
      <c r="I79">
        <v>4</v>
      </c>
      <c r="J79" t="s">
        <v>82</v>
      </c>
      <c r="K79">
        <v>4</v>
      </c>
      <c r="L79" t="s">
        <v>44</v>
      </c>
      <c r="M79">
        <v>1.6</v>
      </c>
      <c r="N79" t="s">
        <v>45</v>
      </c>
      <c r="O79" t="s">
        <v>46</v>
      </c>
      <c r="P79">
        <v>1</v>
      </c>
      <c r="Q79" t="s">
        <v>84</v>
      </c>
      <c r="R79" t="s">
        <v>157</v>
      </c>
      <c r="S79" t="s">
        <v>49</v>
      </c>
      <c r="U79" t="s">
        <v>50</v>
      </c>
      <c r="X79" t="s">
        <v>87</v>
      </c>
      <c r="Y79" t="s">
        <v>106</v>
      </c>
      <c r="AA79">
        <v>0</v>
      </c>
      <c r="AB79" t="s">
        <v>54</v>
      </c>
      <c r="AC79" t="s">
        <v>159</v>
      </c>
      <c r="AD79">
        <v>34</v>
      </c>
      <c r="AE79">
        <v>8</v>
      </c>
      <c r="AF79">
        <v>3</v>
      </c>
      <c r="AG79">
        <v>2025</v>
      </c>
      <c r="AH79" s="13">
        <v>5000</v>
      </c>
      <c r="AI79" s="13">
        <v>5102.23095703125</v>
      </c>
      <c r="AJ79" s="13">
        <f t="shared" si="8"/>
        <v>102.23095703125</v>
      </c>
      <c r="AK79" s="14">
        <f t="shared" si="9"/>
        <v>2.0446191406250001E-2</v>
      </c>
      <c r="AL79" s="9">
        <v>5000</v>
      </c>
      <c r="AM79" s="9">
        <v>4470.6217451637731</v>
      </c>
      <c r="AN79" s="9">
        <f t="shared" si="10"/>
        <v>529.37825483622692</v>
      </c>
      <c r="AO79" s="10">
        <f t="shared" si="11"/>
        <v>0.10587565096724538</v>
      </c>
      <c r="AP79" s="16">
        <v>5000</v>
      </c>
      <c r="AQ79" s="16">
        <v>5217.6675425433659</v>
      </c>
      <c r="AR79" s="16">
        <f t="shared" si="12"/>
        <v>217.66754254336593</v>
      </c>
      <c r="AS79" s="17">
        <f t="shared" si="13"/>
        <v>4.3533508508673185E-2</v>
      </c>
      <c r="AT79" s="6">
        <v>5000</v>
      </c>
      <c r="AU79" s="6">
        <v>4699.19140625</v>
      </c>
      <c r="AV79" s="6">
        <f t="shared" si="14"/>
        <v>300.80859375</v>
      </c>
      <c r="AW79" s="7">
        <f t="shared" si="15"/>
        <v>6.0161718750000003E-2</v>
      </c>
    </row>
    <row r="80" spans="1:49" x14ac:dyDescent="0.25">
      <c r="A80" t="s">
        <v>107</v>
      </c>
      <c r="B80" t="s">
        <v>192</v>
      </c>
      <c r="C80">
        <v>96741</v>
      </c>
      <c r="D80">
        <v>2018</v>
      </c>
      <c r="E80" t="s">
        <v>58</v>
      </c>
      <c r="F80" t="s">
        <v>325</v>
      </c>
      <c r="G80" t="s">
        <v>261</v>
      </c>
      <c r="I80">
        <v>4</v>
      </c>
      <c r="J80" t="s">
        <v>257</v>
      </c>
      <c r="K80">
        <v>4</v>
      </c>
      <c r="L80" t="s">
        <v>44</v>
      </c>
      <c r="M80">
        <v>2</v>
      </c>
      <c r="N80" t="s">
        <v>44</v>
      </c>
      <c r="O80" t="s">
        <v>46</v>
      </c>
      <c r="Q80" t="s">
        <v>47</v>
      </c>
      <c r="R80" t="s">
        <v>48</v>
      </c>
      <c r="S80" t="s">
        <v>139</v>
      </c>
      <c r="T80">
        <v>245</v>
      </c>
      <c r="U80" t="s">
        <v>50</v>
      </c>
      <c r="V80" t="s">
        <v>95</v>
      </c>
      <c r="W80" t="s">
        <v>326</v>
      </c>
      <c r="X80" t="s">
        <v>141</v>
      </c>
      <c r="Y80" t="s">
        <v>88</v>
      </c>
      <c r="Z80">
        <v>32050</v>
      </c>
      <c r="AA80">
        <v>0</v>
      </c>
      <c r="AB80" t="s">
        <v>54</v>
      </c>
      <c r="AC80" t="s">
        <v>55</v>
      </c>
      <c r="AD80">
        <v>34</v>
      </c>
      <c r="AE80">
        <v>8</v>
      </c>
      <c r="AF80">
        <v>3</v>
      </c>
      <c r="AG80">
        <v>2025</v>
      </c>
      <c r="AH80" s="13">
        <v>8300</v>
      </c>
      <c r="AI80" s="13">
        <v>9185.9892578125</v>
      </c>
      <c r="AJ80" s="13">
        <f t="shared" si="8"/>
        <v>885.9892578125</v>
      </c>
      <c r="AK80" s="14">
        <f t="shared" si="9"/>
        <v>0.1067456937123494</v>
      </c>
      <c r="AL80" s="9">
        <v>8300</v>
      </c>
      <c r="AM80" s="9">
        <v>10115.5287285007</v>
      </c>
      <c r="AN80" s="9">
        <f t="shared" si="10"/>
        <v>1815.5287285006998</v>
      </c>
      <c r="AO80" s="10">
        <f t="shared" si="11"/>
        <v>0.21873840102418071</v>
      </c>
      <c r="AP80" s="16">
        <v>8300</v>
      </c>
      <c r="AQ80" s="16">
        <v>9697.6490008476194</v>
      </c>
      <c r="AR80" s="16">
        <f t="shared" si="12"/>
        <v>1397.6490008476194</v>
      </c>
      <c r="AS80" s="17">
        <f t="shared" si="13"/>
        <v>0.16839144588525534</v>
      </c>
      <c r="AT80" s="6">
        <v>8300</v>
      </c>
      <c r="AU80" s="6">
        <v>9562.1298828125</v>
      </c>
      <c r="AV80" s="6">
        <f t="shared" si="14"/>
        <v>1262.1298828125</v>
      </c>
      <c r="AW80" s="7">
        <f t="shared" si="15"/>
        <v>0.15206384130271083</v>
      </c>
    </row>
    <row r="81" spans="1:49" x14ac:dyDescent="0.25">
      <c r="A81" t="s">
        <v>56</v>
      </c>
      <c r="B81" t="s">
        <v>144</v>
      </c>
      <c r="C81">
        <v>109448</v>
      </c>
      <c r="D81">
        <v>2018</v>
      </c>
      <c r="E81" t="s">
        <v>40</v>
      </c>
      <c r="F81" t="s">
        <v>312</v>
      </c>
      <c r="G81" t="s">
        <v>327</v>
      </c>
      <c r="I81">
        <v>4</v>
      </c>
      <c r="J81" t="s">
        <v>82</v>
      </c>
      <c r="K81">
        <v>4</v>
      </c>
      <c r="L81" t="s">
        <v>44</v>
      </c>
      <c r="M81">
        <v>2</v>
      </c>
      <c r="N81" t="s">
        <v>45</v>
      </c>
      <c r="O81" t="s">
        <v>46</v>
      </c>
      <c r="Q81" t="s">
        <v>84</v>
      </c>
      <c r="R81" t="s">
        <v>85</v>
      </c>
      <c r="S81" t="s">
        <v>102</v>
      </c>
      <c r="T81">
        <v>147</v>
      </c>
      <c r="U81" t="s">
        <v>50</v>
      </c>
      <c r="W81" t="s">
        <v>328</v>
      </c>
      <c r="X81" t="s">
        <v>87</v>
      </c>
      <c r="Y81" t="s">
        <v>106</v>
      </c>
      <c r="Z81">
        <v>16800</v>
      </c>
      <c r="AA81">
        <v>0</v>
      </c>
      <c r="AB81" t="s">
        <v>54</v>
      </c>
      <c r="AC81" t="s">
        <v>89</v>
      </c>
      <c r="AD81">
        <v>34</v>
      </c>
      <c r="AE81">
        <v>8</v>
      </c>
      <c r="AF81">
        <v>3</v>
      </c>
      <c r="AG81">
        <v>2025</v>
      </c>
      <c r="AH81" s="13">
        <v>5300</v>
      </c>
      <c r="AI81" s="13">
        <v>4421.3408203125</v>
      </c>
      <c r="AJ81" s="13">
        <f t="shared" si="8"/>
        <v>878.6591796875</v>
      </c>
      <c r="AK81" s="14">
        <f t="shared" si="9"/>
        <v>0.16578475088443395</v>
      </c>
      <c r="AL81" s="9">
        <v>5300</v>
      </c>
      <c r="AM81" s="9">
        <v>4873.5960801583624</v>
      </c>
      <c r="AN81" s="9">
        <f t="shared" si="10"/>
        <v>426.40391984163762</v>
      </c>
      <c r="AO81" s="10">
        <f t="shared" si="11"/>
        <v>8.0453569781441053E-2</v>
      </c>
      <c r="AP81" s="16">
        <v>5300</v>
      </c>
      <c r="AQ81" s="16">
        <v>4473.4429898418512</v>
      </c>
      <c r="AR81" s="16">
        <f t="shared" si="12"/>
        <v>826.55701015814884</v>
      </c>
      <c r="AS81" s="17">
        <f t="shared" si="13"/>
        <v>0.15595415286002809</v>
      </c>
      <c r="AT81" s="6">
        <v>5300</v>
      </c>
      <c r="AU81" s="6">
        <v>4972.55615234375</v>
      </c>
      <c r="AV81" s="6">
        <f t="shared" si="14"/>
        <v>327.44384765625</v>
      </c>
      <c r="AW81" s="7">
        <f t="shared" si="15"/>
        <v>6.1781858048349056E-2</v>
      </c>
    </row>
    <row r="82" spans="1:49" x14ac:dyDescent="0.25">
      <c r="A82" t="s">
        <v>38</v>
      </c>
      <c r="B82" t="s">
        <v>204</v>
      </c>
      <c r="C82">
        <v>157191</v>
      </c>
      <c r="D82">
        <v>2017</v>
      </c>
      <c r="E82" t="s">
        <v>173</v>
      </c>
      <c r="F82" t="s">
        <v>329</v>
      </c>
      <c r="G82" t="s">
        <v>330</v>
      </c>
      <c r="I82">
        <v>4</v>
      </c>
      <c r="K82">
        <v>4</v>
      </c>
      <c r="M82">
        <v>2.4</v>
      </c>
      <c r="N82" t="s">
        <v>45</v>
      </c>
      <c r="O82" t="s">
        <v>46</v>
      </c>
      <c r="P82">
        <v>4</v>
      </c>
      <c r="Q82" t="s">
        <v>47</v>
      </c>
      <c r="R82" t="s">
        <v>48</v>
      </c>
      <c r="S82" t="s">
        <v>102</v>
      </c>
      <c r="T82">
        <v>180</v>
      </c>
      <c r="U82" t="s">
        <v>50</v>
      </c>
      <c r="X82" t="s">
        <v>52</v>
      </c>
      <c r="Y82" t="s">
        <v>331</v>
      </c>
      <c r="Z82">
        <v>19995</v>
      </c>
      <c r="AA82">
        <v>0</v>
      </c>
      <c r="AB82" t="s">
        <v>54</v>
      </c>
      <c r="AC82" t="s">
        <v>55</v>
      </c>
      <c r="AD82">
        <v>34</v>
      </c>
      <c r="AE82">
        <v>8</v>
      </c>
      <c r="AF82">
        <v>3</v>
      </c>
      <c r="AG82">
        <v>2025</v>
      </c>
      <c r="AH82" s="13">
        <v>3800</v>
      </c>
      <c r="AI82" s="13">
        <v>3383.11669921875</v>
      </c>
      <c r="AJ82" s="13">
        <f t="shared" si="8"/>
        <v>416.88330078125</v>
      </c>
      <c r="AK82" s="14">
        <f t="shared" si="9"/>
        <v>0.10970613178453947</v>
      </c>
      <c r="AL82" s="9">
        <v>3800</v>
      </c>
      <c r="AM82" s="9">
        <v>3060.2711086204072</v>
      </c>
      <c r="AN82" s="9">
        <f t="shared" si="10"/>
        <v>739.72889137959282</v>
      </c>
      <c r="AO82" s="10">
        <f t="shared" si="11"/>
        <v>0.19466549773147179</v>
      </c>
      <c r="AP82" s="16">
        <v>3800</v>
      </c>
      <c r="AQ82" s="16">
        <v>3133.2947386351229</v>
      </c>
      <c r="AR82" s="16">
        <f t="shared" si="12"/>
        <v>666.70526136487706</v>
      </c>
      <c r="AS82" s="17">
        <f t="shared" si="13"/>
        <v>0.17544875299075713</v>
      </c>
      <c r="AT82" s="6">
        <v>3800</v>
      </c>
      <c r="AU82" s="6">
        <v>3579.402099609375</v>
      </c>
      <c r="AV82" s="6">
        <f t="shared" si="14"/>
        <v>220.597900390625</v>
      </c>
      <c r="AW82" s="7">
        <f t="shared" si="15"/>
        <v>5.8052079050164476E-2</v>
      </c>
    </row>
    <row r="83" spans="1:49" x14ac:dyDescent="0.25">
      <c r="A83" t="s">
        <v>56</v>
      </c>
      <c r="B83" t="s">
        <v>303</v>
      </c>
      <c r="C83">
        <v>13034</v>
      </c>
      <c r="D83">
        <v>2023</v>
      </c>
      <c r="E83" t="s">
        <v>71</v>
      </c>
      <c r="F83" t="s">
        <v>324</v>
      </c>
      <c r="G83" t="s">
        <v>332</v>
      </c>
      <c r="I83">
        <v>4</v>
      </c>
      <c r="J83" t="s">
        <v>74</v>
      </c>
      <c r="K83">
        <v>4</v>
      </c>
      <c r="L83" t="s">
        <v>44</v>
      </c>
      <c r="M83">
        <v>1.6</v>
      </c>
      <c r="N83" t="s">
        <v>45</v>
      </c>
      <c r="O83" t="s">
        <v>46</v>
      </c>
      <c r="P83">
        <v>2</v>
      </c>
      <c r="Q83" t="s">
        <v>84</v>
      </c>
      <c r="R83" t="s">
        <v>157</v>
      </c>
      <c r="S83" t="s">
        <v>49</v>
      </c>
      <c r="U83" t="s">
        <v>50</v>
      </c>
      <c r="V83" t="s">
        <v>95</v>
      </c>
      <c r="X83" t="s">
        <v>122</v>
      </c>
      <c r="Y83" t="s">
        <v>106</v>
      </c>
      <c r="AA83">
        <v>0</v>
      </c>
      <c r="AB83" t="s">
        <v>54</v>
      </c>
      <c r="AC83" t="s">
        <v>159</v>
      </c>
      <c r="AD83">
        <v>34</v>
      </c>
      <c r="AE83">
        <v>8</v>
      </c>
      <c r="AF83">
        <v>3</v>
      </c>
      <c r="AG83">
        <v>2025</v>
      </c>
      <c r="AH83" s="13">
        <v>9200</v>
      </c>
      <c r="AI83" s="13">
        <v>12298.8828125</v>
      </c>
      <c r="AJ83" s="13">
        <f t="shared" si="8"/>
        <v>3098.8828125</v>
      </c>
      <c r="AK83" s="14">
        <f t="shared" si="9"/>
        <v>0.33683508831521741</v>
      </c>
      <c r="AL83" s="9">
        <v>9200</v>
      </c>
      <c r="AM83" s="9">
        <v>13643.594194417299</v>
      </c>
      <c r="AN83" s="9">
        <f t="shared" si="10"/>
        <v>4443.5941944172991</v>
      </c>
      <c r="AO83" s="10">
        <f t="shared" si="11"/>
        <v>0.48299936895840206</v>
      </c>
      <c r="AP83" s="16">
        <v>9200</v>
      </c>
      <c r="AQ83" s="16">
        <v>10938.69438245027</v>
      </c>
      <c r="AR83" s="16">
        <f t="shared" si="12"/>
        <v>1738.6943824502705</v>
      </c>
      <c r="AS83" s="17">
        <f t="shared" si="13"/>
        <v>0.18898851983155113</v>
      </c>
      <c r="AT83" s="6">
        <v>9200</v>
      </c>
      <c r="AU83" s="6">
        <v>11789.17578125</v>
      </c>
      <c r="AV83" s="6">
        <f t="shared" si="14"/>
        <v>2589.17578125</v>
      </c>
      <c r="AW83" s="7">
        <f t="shared" si="15"/>
        <v>0.28143215013586959</v>
      </c>
    </row>
    <row r="84" spans="1:49" x14ac:dyDescent="0.25">
      <c r="A84" t="s">
        <v>107</v>
      </c>
      <c r="B84" t="s">
        <v>108</v>
      </c>
      <c r="C84">
        <v>84733</v>
      </c>
      <c r="D84">
        <v>2021</v>
      </c>
      <c r="E84" t="s">
        <v>169</v>
      </c>
      <c r="F84" t="s">
        <v>333</v>
      </c>
      <c r="G84" t="s">
        <v>334</v>
      </c>
      <c r="I84">
        <v>4</v>
      </c>
      <c r="J84" t="s">
        <v>61</v>
      </c>
      <c r="K84">
        <v>4</v>
      </c>
      <c r="L84" t="s">
        <v>44</v>
      </c>
      <c r="M84">
        <v>2.4</v>
      </c>
      <c r="N84" t="s">
        <v>44</v>
      </c>
      <c r="O84" t="s">
        <v>46</v>
      </c>
      <c r="P84">
        <v>4</v>
      </c>
      <c r="Q84" t="s">
        <v>47</v>
      </c>
      <c r="R84" t="s">
        <v>48</v>
      </c>
      <c r="S84" t="s">
        <v>139</v>
      </c>
      <c r="T84">
        <v>260</v>
      </c>
      <c r="U84" t="s">
        <v>50</v>
      </c>
      <c r="X84" t="s">
        <v>141</v>
      </c>
      <c r="Y84" t="s">
        <v>67</v>
      </c>
      <c r="AA84">
        <v>0</v>
      </c>
      <c r="AB84" t="s">
        <v>54</v>
      </c>
      <c r="AC84" t="s">
        <v>68</v>
      </c>
      <c r="AD84">
        <v>34</v>
      </c>
      <c r="AE84">
        <v>8</v>
      </c>
      <c r="AF84">
        <v>3</v>
      </c>
      <c r="AG84">
        <v>2025</v>
      </c>
      <c r="AH84" s="13">
        <v>18000</v>
      </c>
      <c r="AI84" s="13">
        <v>17498.908203125</v>
      </c>
      <c r="AJ84" s="13">
        <f t="shared" si="8"/>
        <v>501.091796875</v>
      </c>
      <c r="AK84" s="14">
        <f t="shared" si="9"/>
        <v>2.7838433159722221E-2</v>
      </c>
      <c r="AL84" s="9">
        <v>18000</v>
      </c>
      <c r="AM84" s="9">
        <v>17488.52602422237</v>
      </c>
      <c r="AN84" s="9">
        <f t="shared" si="10"/>
        <v>511.47397577762968</v>
      </c>
      <c r="AO84" s="10">
        <f t="shared" si="11"/>
        <v>2.8415220876534981E-2</v>
      </c>
      <c r="AP84" s="16">
        <v>18000</v>
      </c>
      <c r="AQ84" s="16">
        <v>20106.256837987119</v>
      </c>
      <c r="AR84" s="16">
        <f t="shared" si="12"/>
        <v>2106.2568379871191</v>
      </c>
      <c r="AS84" s="17">
        <f t="shared" si="13"/>
        <v>0.11701426877706217</v>
      </c>
      <c r="AT84" s="6">
        <v>18000</v>
      </c>
      <c r="AU84" s="6">
        <v>18524.021484375</v>
      </c>
      <c r="AV84" s="6">
        <f t="shared" si="14"/>
        <v>524.021484375</v>
      </c>
      <c r="AW84" s="7">
        <f t="shared" si="15"/>
        <v>2.91123046875E-2</v>
      </c>
    </row>
    <row r="85" spans="1:49" x14ac:dyDescent="0.25">
      <c r="A85" t="s">
        <v>38</v>
      </c>
      <c r="B85" t="s">
        <v>229</v>
      </c>
      <c r="C85">
        <v>182691</v>
      </c>
      <c r="D85">
        <v>2006</v>
      </c>
      <c r="E85" t="s">
        <v>241</v>
      </c>
      <c r="F85" t="s">
        <v>335</v>
      </c>
      <c r="H85" t="s">
        <v>336</v>
      </c>
      <c r="I85">
        <v>8</v>
      </c>
      <c r="J85" t="s">
        <v>43</v>
      </c>
      <c r="K85">
        <v>4</v>
      </c>
      <c r="L85" t="s">
        <v>44</v>
      </c>
      <c r="M85">
        <v>5</v>
      </c>
      <c r="N85" t="s">
        <v>116</v>
      </c>
      <c r="O85" t="s">
        <v>46</v>
      </c>
      <c r="P85">
        <v>4</v>
      </c>
      <c r="Q85" t="s">
        <v>84</v>
      </c>
      <c r="R85" t="s">
        <v>85</v>
      </c>
      <c r="T85">
        <v>302</v>
      </c>
      <c r="U85" t="s">
        <v>50</v>
      </c>
      <c r="V85" t="s">
        <v>64</v>
      </c>
      <c r="X85" t="s">
        <v>87</v>
      </c>
      <c r="Y85" t="s">
        <v>244</v>
      </c>
      <c r="AA85">
        <v>0</v>
      </c>
      <c r="AB85" t="s">
        <v>54</v>
      </c>
      <c r="AC85" t="s">
        <v>89</v>
      </c>
      <c r="AD85">
        <v>34</v>
      </c>
      <c r="AE85">
        <v>8</v>
      </c>
      <c r="AF85">
        <v>3</v>
      </c>
      <c r="AG85">
        <v>2025</v>
      </c>
      <c r="AH85" s="13">
        <v>2000</v>
      </c>
      <c r="AI85" s="13">
        <v>1627.115234375</v>
      </c>
      <c r="AJ85" s="13">
        <f t="shared" si="8"/>
        <v>372.884765625</v>
      </c>
      <c r="AK85" s="14">
        <f t="shared" si="9"/>
        <v>0.1864423828125</v>
      </c>
      <c r="AL85" s="9">
        <v>2000</v>
      </c>
      <c r="AM85" s="9">
        <v>1456.665647392867</v>
      </c>
      <c r="AN85" s="9">
        <f t="shared" si="10"/>
        <v>543.33435260713304</v>
      </c>
      <c r="AO85" s="10">
        <f t="shared" si="11"/>
        <v>0.27166717630356652</v>
      </c>
      <c r="AP85" s="16">
        <v>2000</v>
      </c>
      <c r="AQ85" s="16">
        <v>1549.2929315489021</v>
      </c>
      <c r="AR85" s="16">
        <f t="shared" si="12"/>
        <v>450.70706845109794</v>
      </c>
      <c r="AS85" s="17">
        <f t="shared" si="13"/>
        <v>0.22535353422554896</v>
      </c>
      <c r="AT85" s="6">
        <v>2000</v>
      </c>
      <c r="AU85" s="6">
        <v>1516.668701171875</v>
      </c>
      <c r="AV85" s="6">
        <f t="shared" si="14"/>
        <v>483.331298828125</v>
      </c>
      <c r="AW85" s="7">
        <f t="shared" si="15"/>
        <v>0.24166564941406249</v>
      </c>
    </row>
    <row r="86" spans="1:49" x14ac:dyDescent="0.25">
      <c r="A86" t="s">
        <v>56</v>
      </c>
      <c r="B86" t="s">
        <v>178</v>
      </c>
      <c r="C86">
        <v>183877</v>
      </c>
      <c r="D86">
        <v>2005</v>
      </c>
      <c r="E86" t="s">
        <v>79</v>
      </c>
      <c r="F86" t="s">
        <v>272</v>
      </c>
      <c r="H86" t="s">
        <v>337</v>
      </c>
      <c r="I86">
        <v>8</v>
      </c>
      <c r="J86" t="s">
        <v>177</v>
      </c>
      <c r="K86">
        <v>4</v>
      </c>
      <c r="L86" t="s">
        <v>44</v>
      </c>
      <c r="M86">
        <v>5.3</v>
      </c>
      <c r="N86" t="s">
        <v>62</v>
      </c>
      <c r="O86" t="s">
        <v>46</v>
      </c>
      <c r="P86">
        <v>3</v>
      </c>
      <c r="Q86" t="s">
        <v>75</v>
      </c>
      <c r="R86" t="s">
        <v>76</v>
      </c>
      <c r="S86" t="s">
        <v>63</v>
      </c>
      <c r="V86" t="s">
        <v>64</v>
      </c>
      <c r="W86" t="s">
        <v>338</v>
      </c>
      <c r="X86" t="s">
        <v>66</v>
      </c>
      <c r="Y86" t="s">
        <v>88</v>
      </c>
      <c r="AA86">
        <v>0</v>
      </c>
      <c r="AB86" t="s">
        <v>54</v>
      </c>
      <c r="AC86" t="s">
        <v>78</v>
      </c>
      <c r="AD86">
        <v>34</v>
      </c>
      <c r="AE86">
        <v>8</v>
      </c>
      <c r="AF86">
        <v>3</v>
      </c>
      <c r="AG86">
        <v>2025</v>
      </c>
      <c r="AH86" s="13">
        <v>4100</v>
      </c>
      <c r="AI86" s="13">
        <v>1428.9853515625</v>
      </c>
      <c r="AJ86" s="13">
        <f t="shared" si="8"/>
        <v>2671.0146484375</v>
      </c>
      <c r="AK86" s="14">
        <f t="shared" si="9"/>
        <v>0.65146698742378051</v>
      </c>
      <c r="AL86" s="9">
        <v>4100</v>
      </c>
      <c r="AM86" s="9">
        <v>2957.8772164000079</v>
      </c>
      <c r="AN86" s="9">
        <f t="shared" si="10"/>
        <v>1142.1227835999921</v>
      </c>
      <c r="AO86" s="10">
        <f t="shared" si="11"/>
        <v>0.2785665325853639</v>
      </c>
      <c r="AP86" s="16">
        <v>4100</v>
      </c>
      <c r="AQ86" s="16">
        <v>2287.15851498857</v>
      </c>
      <c r="AR86" s="16">
        <f t="shared" si="12"/>
        <v>1812.84148501143</v>
      </c>
      <c r="AS86" s="17">
        <f t="shared" si="13"/>
        <v>0.44215645975888535</v>
      </c>
      <c r="AT86" s="6">
        <v>4100</v>
      </c>
      <c r="AU86" s="6">
        <v>2962.474609375</v>
      </c>
      <c r="AV86" s="6">
        <f t="shared" si="14"/>
        <v>1137.525390625</v>
      </c>
      <c r="AW86" s="7">
        <f t="shared" si="15"/>
        <v>0.27744521722560977</v>
      </c>
    </row>
    <row r="87" spans="1:49" x14ac:dyDescent="0.25">
      <c r="A87" t="s">
        <v>107</v>
      </c>
      <c r="B87" t="s">
        <v>108</v>
      </c>
      <c r="C87">
        <v>88231</v>
      </c>
      <c r="D87">
        <v>2016</v>
      </c>
      <c r="E87" t="s">
        <v>217</v>
      </c>
      <c r="F87" t="s">
        <v>162</v>
      </c>
      <c r="G87" t="s">
        <v>60</v>
      </c>
      <c r="H87" t="s">
        <v>299</v>
      </c>
      <c r="I87">
        <v>8</v>
      </c>
      <c r="J87" t="s">
        <v>101</v>
      </c>
      <c r="K87">
        <v>4</v>
      </c>
      <c r="L87" t="s">
        <v>44</v>
      </c>
      <c r="M87">
        <v>5.7</v>
      </c>
      <c r="N87" t="s">
        <v>62</v>
      </c>
      <c r="O87" t="s">
        <v>339</v>
      </c>
      <c r="P87">
        <v>3</v>
      </c>
      <c r="Q87" t="s">
        <v>75</v>
      </c>
      <c r="R87" t="s">
        <v>76</v>
      </c>
      <c r="S87" t="s">
        <v>63</v>
      </c>
      <c r="U87" t="s">
        <v>50</v>
      </c>
      <c r="X87" t="s">
        <v>66</v>
      </c>
      <c r="Y87" t="s">
        <v>67</v>
      </c>
      <c r="AA87">
        <v>0</v>
      </c>
      <c r="AB87" t="s">
        <v>54</v>
      </c>
      <c r="AC87" t="s">
        <v>78</v>
      </c>
      <c r="AD87">
        <v>34</v>
      </c>
      <c r="AE87">
        <v>8</v>
      </c>
      <c r="AF87">
        <v>3</v>
      </c>
      <c r="AG87">
        <v>2025</v>
      </c>
      <c r="AH87" s="13">
        <v>11800</v>
      </c>
      <c r="AI87" s="13">
        <v>11391.2080078125</v>
      </c>
      <c r="AJ87" s="13">
        <f t="shared" si="8"/>
        <v>408.7919921875</v>
      </c>
      <c r="AK87" s="14">
        <f t="shared" si="9"/>
        <v>3.4643389168432202E-2</v>
      </c>
      <c r="AL87" s="9">
        <v>11800</v>
      </c>
      <c r="AM87" s="9">
        <v>9435.2278894632636</v>
      </c>
      <c r="AN87" s="9">
        <f t="shared" si="10"/>
        <v>2364.7721105367364</v>
      </c>
      <c r="AO87" s="10">
        <f t="shared" si="11"/>
        <v>0.20040441614718105</v>
      </c>
      <c r="AP87" s="16">
        <v>11800</v>
      </c>
      <c r="AQ87" s="16">
        <v>11880.77048628404</v>
      </c>
      <c r="AR87" s="16">
        <f t="shared" si="12"/>
        <v>80.770486284040089</v>
      </c>
      <c r="AS87" s="17">
        <f t="shared" si="13"/>
        <v>6.8449564647491603E-3</v>
      </c>
      <c r="AT87" s="6">
        <v>11800</v>
      </c>
      <c r="AU87" s="6">
        <v>11431.357421875</v>
      </c>
      <c r="AV87" s="6">
        <f t="shared" si="14"/>
        <v>368.642578125</v>
      </c>
      <c r="AW87" s="7">
        <f t="shared" si="15"/>
        <v>3.1240896451271188E-2</v>
      </c>
    </row>
    <row r="88" spans="1:49" x14ac:dyDescent="0.25">
      <c r="A88" t="s">
        <v>56</v>
      </c>
      <c r="B88" t="s">
        <v>123</v>
      </c>
      <c r="C88">
        <v>63293</v>
      </c>
      <c r="D88">
        <v>2020</v>
      </c>
      <c r="E88" t="s">
        <v>169</v>
      </c>
      <c r="F88" t="s">
        <v>201</v>
      </c>
      <c r="G88" t="s">
        <v>232</v>
      </c>
      <c r="I88">
        <v>4</v>
      </c>
      <c r="J88" t="s">
        <v>61</v>
      </c>
      <c r="K88">
        <v>4</v>
      </c>
      <c r="L88" t="s">
        <v>44</v>
      </c>
      <c r="M88">
        <v>2.5</v>
      </c>
      <c r="N88" t="s">
        <v>44</v>
      </c>
      <c r="O88" t="s">
        <v>46</v>
      </c>
      <c r="P88">
        <v>4</v>
      </c>
      <c r="Q88" t="s">
        <v>47</v>
      </c>
      <c r="R88" t="s">
        <v>48</v>
      </c>
      <c r="S88" t="s">
        <v>63</v>
      </c>
      <c r="T88">
        <v>182</v>
      </c>
      <c r="U88" t="s">
        <v>50</v>
      </c>
      <c r="W88" t="s">
        <v>340</v>
      </c>
      <c r="X88" t="s">
        <v>52</v>
      </c>
      <c r="Y88" t="s">
        <v>67</v>
      </c>
      <c r="Z88">
        <v>28895</v>
      </c>
      <c r="AA88">
        <v>0</v>
      </c>
      <c r="AB88" t="s">
        <v>54</v>
      </c>
      <c r="AC88" t="s">
        <v>55</v>
      </c>
      <c r="AD88">
        <v>34</v>
      </c>
      <c r="AE88">
        <v>8</v>
      </c>
      <c r="AF88">
        <v>3</v>
      </c>
      <c r="AG88">
        <v>2025</v>
      </c>
      <c r="AH88" s="13">
        <v>16000</v>
      </c>
      <c r="AI88" s="13">
        <v>14390.544921875</v>
      </c>
      <c r="AJ88" s="13">
        <f t="shared" si="8"/>
        <v>1609.455078125</v>
      </c>
      <c r="AK88" s="14">
        <f t="shared" si="9"/>
        <v>0.10059094238281251</v>
      </c>
      <c r="AL88" s="9">
        <v>16000</v>
      </c>
      <c r="AM88" s="9">
        <v>14989.673759757839</v>
      </c>
      <c r="AN88" s="9">
        <f t="shared" si="10"/>
        <v>1010.3262402421606</v>
      </c>
      <c r="AO88" s="10">
        <f t="shared" si="11"/>
        <v>6.3145390015135042E-2</v>
      </c>
      <c r="AP88" s="16">
        <v>16000</v>
      </c>
      <c r="AQ88" s="16">
        <v>14979.09890958375</v>
      </c>
      <c r="AR88" s="16">
        <f t="shared" si="12"/>
        <v>1020.9010904162496</v>
      </c>
      <c r="AS88" s="17">
        <f t="shared" si="13"/>
        <v>6.3806318151015604E-2</v>
      </c>
      <c r="AT88" s="6">
        <v>16000</v>
      </c>
      <c r="AU88" s="6">
        <v>14503.0869140625</v>
      </c>
      <c r="AV88" s="6">
        <f t="shared" si="14"/>
        <v>1496.9130859375</v>
      </c>
      <c r="AW88" s="7">
        <f t="shared" si="15"/>
        <v>9.3557067871093746E-2</v>
      </c>
    </row>
    <row r="89" spans="1:49" x14ac:dyDescent="0.25">
      <c r="A89" t="s">
        <v>107</v>
      </c>
      <c r="B89" t="s">
        <v>108</v>
      </c>
      <c r="C89">
        <v>95824</v>
      </c>
      <c r="D89">
        <v>2010</v>
      </c>
      <c r="E89" t="s">
        <v>91</v>
      </c>
      <c r="F89" t="s">
        <v>341</v>
      </c>
      <c r="H89" t="s">
        <v>342</v>
      </c>
      <c r="I89">
        <v>4</v>
      </c>
      <c r="J89" t="s">
        <v>94</v>
      </c>
      <c r="K89">
        <v>4</v>
      </c>
      <c r="L89" t="s">
        <v>44</v>
      </c>
      <c r="M89">
        <v>1.8</v>
      </c>
      <c r="N89" t="s">
        <v>45</v>
      </c>
      <c r="O89" t="s">
        <v>46</v>
      </c>
      <c r="P89">
        <v>4</v>
      </c>
      <c r="Q89" t="s">
        <v>84</v>
      </c>
      <c r="R89" t="s">
        <v>85</v>
      </c>
      <c r="S89" t="s">
        <v>49</v>
      </c>
      <c r="T89">
        <v>132</v>
      </c>
      <c r="U89" t="s">
        <v>50</v>
      </c>
      <c r="V89" t="s">
        <v>95</v>
      </c>
      <c r="W89" t="s">
        <v>343</v>
      </c>
      <c r="X89" t="s">
        <v>87</v>
      </c>
      <c r="Y89" t="s">
        <v>67</v>
      </c>
      <c r="AA89">
        <v>0</v>
      </c>
      <c r="AB89" t="s">
        <v>54</v>
      </c>
      <c r="AC89" t="s">
        <v>89</v>
      </c>
      <c r="AD89">
        <v>34</v>
      </c>
      <c r="AE89">
        <v>8</v>
      </c>
      <c r="AF89">
        <v>3</v>
      </c>
      <c r="AG89">
        <v>2025</v>
      </c>
      <c r="AH89" s="13">
        <v>6900</v>
      </c>
      <c r="AI89" s="13">
        <v>3581.653076171875</v>
      </c>
      <c r="AJ89" s="13">
        <f t="shared" si="8"/>
        <v>3318.346923828125</v>
      </c>
      <c r="AK89" s="14">
        <f t="shared" si="9"/>
        <v>0.48091984403306159</v>
      </c>
      <c r="AL89" s="9">
        <v>6900</v>
      </c>
      <c r="AM89" s="9">
        <v>4377.2150076107691</v>
      </c>
      <c r="AN89" s="9">
        <f t="shared" si="10"/>
        <v>2522.7849923892309</v>
      </c>
      <c r="AO89" s="10">
        <f t="shared" si="11"/>
        <v>0.36562101338974362</v>
      </c>
      <c r="AP89" s="16">
        <v>6900</v>
      </c>
      <c r="AQ89" s="16">
        <v>3908.3606065040708</v>
      </c>
      <c r="AR89" s="16">
        <f t="shared" si="12"/>
        <v>2991.6393934959292</v>
      </c>
      <c r="AS89" s="17">
        <f t="shared" si="13"/>
        <v>0.4335709265936129</v>
      </c>
      <c r="AT89" s="6">
        <v>6900</v>
      </c>
      <c r="AU89" s="6">
        <v>4744.9951171875</v>
      </c>
      <c r="AV89" s="6">
        <f t="shared" si="14"/>
        <v>2155.0048828125</v>
      </c>
      <c r="AW89" s="7">
        <f t="shared" si="15"/>
        <v>0.31231954823369568</v>
      </c>
    </row>
    <row r="90" spans="1:49" x14ac:dyDescent="0.25">
      <c r="A90" t="s">
        <v>38</v>
      </c>
      <c r="B90" t="s">
        <v>229</v>
      </c>
      <c r="C90">
        <v>54955</v>
      </c>
      <c r="D90">
        <v>2020</v>
      </c>
      <c r="E90" t="s">
        <v>79</v>
      </c>
      <c r="F90" t="s">
        <v>344</v>
      </c>
      <c r="G90" t="s">
        <v>345</v>
      </c>
      <c r="I90">
        <v>8</v>
      </c>
      <c r="J90" t="s">
        <v>43</v>
      </c>
      <c r="K90">
        <v>4</v>
      </c>
      <c r="L90" t="s">
        <v>44</v>
      </c>
      <c r="M90">
        <v>5.3</v>
      </c>
      <c r="N90" t="s">
        <v>62</v>
      </c>
      <c r="O90" t="s">
        <v>46</v>
      </c>
      <c r="P90">
        <v>3</v>
      </c>
      <c r="Q90" t="s">
        <v>47</v>
      </c>
      <c r="R90" t="s">
        <v>48</v>
      </c>
      <c r="S90" t="s">
        <v>63</v>
      </c>
      <c r="U90" t="s">
        <v>50</v>
      </c>
      <c r="W90" t="s">
        <v>346</v>
      </c>
      <c r="X90" t="s">
        <v>77</v>
      </c>
      <c r="Y90" t="s">
        <v>67</v>
      </c>
      <c r="AA90">
        <v>0</v>
      </c>
      <c r="AB90" t="s">
        <v>54</v>
      </c>
      <c r="AC90" t="s">
        <v>68</v>
      </c>
      <c r="AD90">
        <v>34</v>
      </c>
      <c r="AE90">
        <v>8</v>
      </c>
      <c r="AF90">
        <v>3</v>
      </c>
      <c r="AG90">
        <v>2025</v>
      </c>
      <c r="AH90" s="13">
        <v>34000</v>
      </c>
      <c r="AI90" s="13">
        <v>40285.98046875</v>
      </c>
      <c r="AJ90" s="13">
        <f t="shared" si="8"/>
        <v>6285.98046875</v>
      </c>
      <c r="AK90" s="14">
        <f t="shared" si="9"/>
        <v>0.18488177849264706</v>
      </c>
      <c r="AL90" s="9">
        <v>34000</v>
      </c>
      <c r="AM90" s="9">
        <v>41410.87644824844</v>
      </c>
      <c r="AN90" s="9">
        <f t="shared" si="10"/>
        <v>7410.8764482484403</v>
      </c>
      <c r="AO90" s="10">
        <f t="shared" si="11"/>
        <v>0.21796695436024824</v>
      </c>
      <c r="AP90" s="16">
        <v>34000</v>
      </c>
      <c r="AQ90" s="16">
        <v>39598.275959141058</v>
      </c>
      <c r="AR90" s="16">
        <f t="shared" si="12"/>
        <v>5598.2759591410577</v>
      </c>
      <c r="AS90" s="17">
        <f t="shared" si="13"/>
        <v>0.16465517526885465</v>
      </c>
      <c r="AT90" s="6">
        <v>34000</v>
      </c>
      <c r="AU90" s="6">
        <v>37049.6953125</v>
      </c>
      <c r="AV90" s="6">
        <f t="shared" si="14"/>
        <v>3049.6953125</v>
      </c>
      <c r="AW90" s="7">
        <f t="shared" si="15"/>
        <v>8.9696920955882359E-2</v>
      </c>
    </row>
    <row r="91" spans="1:49" x14ac:dyDescent="0.25">
      <c r="A91" t="s">
        <v>38</v>
      </c>
      <c r="B91" t="s">
        <v>132</v>
      </c>
      <c r="C91">
        <v>47788</v>
      </c>
      <c r="D91">
        <v>2023</v>
      </c>
      <c r="E91" t="s">
        <v>58</v>
      </c>
      <c r="F91" t="s">
        <v>168</v>
      </c>
      <c r="G91" t="s">
        <v>347</v>
      </c>
      <c r="I91">
        <v>8</v>
      </c>
      <c r="J91" t="s">
        <v>74</v>
      </c>
      <c r="K91">
        <v>4</v>
      </c>
      <c r="L91" t="s">
        <v>44</v>
      </c>
      <c r="M91">
        <v>5</v>
      </c>
      <c r="N91" t="s">
        <v>62</v>
      </c>
      <c r="O91" t="s">
        <v>46</v>
      </c>
      <c r="P91">
        <v>4</v>
      </c>
      <c r="Q91" t="s">
        <v>75</v>
      </c>
      <c r="R91" t="s">
        <v>76</v>
      </c>
      <c r="S91" t="s">
        <v>63</v>
      </c>
      <c r="U91" t="s">
        <v>50</v>
      </c>
      <c r="V91" t="s">
        <v>64</v>
      </c>
      <c r="W91" t="s">
        <v>348</v>
      </c>
      <c r="X91" t="s">
        <v>77</v>
      </c>
      <c r="Y91" t="s">
        <v>67</v>
      </c>
      <c r="AA91">
        <v>0</v>
      </c>
      <c r="AB91" t="s">
        <v>54</v>
      </c>
      <c r="AC91" t="s">
        <v>78</v>
      </c>
      <c r="AD91">
        <v>34</v>
      </c>
      <c r="AE91">
        <v>8</v>
      </c>
      <c r="AF91">
        <v>3</v>
      </c>
      <c r="AG91">
        <v>2025</v>
      </c>
      <c r="AH91" s="13">
        <v>35200</v>
      </c>
      <c r="AI91" s="13">
        <v>40344.15234375</v>
      </c>
      <c r="AJ91" s="13">
        <f t="shared" si="8"/>
        <v>5144.15234375</v>
      </c>
      <c r="AK91" s="14">
        <f t="shared" si="9"/>
        <v>0.14614069158380683</v>
      </c>
      <c r="AL91" s="9">
        <v>35200</v>
      </c>
      <c r="AM91" s="9">
        <v>46021.161333014912</v>
      </c>
      <c r="AN91" s="9">
        <f t="shared" si="10"/>
        <v>10821.161333014912</v>
      </c>
      <c r="AO91" s="10">
        <f t="shared" si="11"/>
        <v>0.30741935605156001</v>
      </c>
      <c r="AP91" s="16">
        <v>35200</v>
      </c>
      <c r="AQ91" s="16">
        <v>42585.32233231057</v>
      </c>
      <c r="AR91" s="16">
        <f t="shared" si="12"/>
        <v>7385.3223323105703</v>
      </c>
      <c r="AS91" s="17">
        <f t="shared" si="13"/>
        <v>0.20981029353155028</v>
      </c>
      <c r="AT91" s="6">
        <v>35200</v>
      </c>
      <c r="AU91" s="6">
        <v>48782.6640625</v>
      </c>
      <c r="AV91" s="6">
        <f t="shared" si="14"/>
        <v>13582.6640625</v>
      </c>
      <c r="AW91" s="7">
        <f t="shared" si="15"/>
        <v>0.38587113813920454</v>
      </c>
    </row>
    <row r="92" spans="1:49" x14ac:dyDescent="0.25">
      <c r="A92" t="s">
        <v>38</v>
      </c>
      <c r="B92" t="s">
        <v>39</v>
      </c>
      <c r="C92">
        <v>163812</v>
      </c>
      <c r="D92">
        <v>2015</v>
      </c>
      <c r="E92" t="s">
        <v>145</v>
      </c>
      <c r="F92" t="s">
        <v>349</v>
      </c>
      <c r="G92" t="s">
        <v>284</v>
      </c>
      <c r="I92">
        <v>4</v>
      </c>
      <c r="J92" t="s">
        <v>101</v>
      </c>
      <c r="K92">
        <v>2</v>
      </c>
      <c r="L92" t="s">
        <v>44</v>
      </c>
      <c r="M92">
        <v>1.8</v>
      </c>
      <c r="N92" t="s">
        <v>45</v>
      </c>
      <c r="O92" t="s">
        <v>46</v>
      </c>
      <c r="P92">
        <v>4</v>
      </c>
      <c r="Q92" t="s">
        <v>84</v>
      </c>
      <c r="R92" t="s">
        <v>251</v>
      </c>
      <c r="T92">
        <v>143</v>
      </c>
      <c r="U92" t="s">
        <v>50</v>
      </c>
      <c r="V92" t="s">
        <v>95</v>
      </c>
      <c r="W92" t="s">
        <v>350</v>
      </c>
      <c r="X92" t="s">
        <v>122</v>
      </c>
      <c r="Y92" t="s">
        <v>88</v>
      </c>
      <c r="AA92">
        <v>0</v>
      </c>
      <c r="AB92" t="s">
        <v>54</v>
      </c>
      <c r="AC92" t="s">
        <v>251</v>
      </c>
      <c r="AD92">
        <v>34</v>
      </c>
      <c r="AE92">
        <v>8</v>
      </c>
      <c r="AF92">
        <v>3</v>
      </c>
      <c r="AG92">
        <v>2025</v>
      </c>
      <c r="AH92" s="13">
        <v>3100</v>
      </c>
      <c r="AI92" s="13">
        <v>4169.751953125</v>
      </c>
      <c r="AJ92" s="13">
        <f t="shared" si="8"/>
        <v>1069.751953125</v>
      </c>
      <c r="AK92" s="14">
        <f t="shared" si="9"/>
        <v>0.34508127520161291</v>
      </c>
      <c r="AL92" s="9">
        <v>3100</v>
      </c>
      <c r="AM92" s="9">
        <v>3397.136219577289</v>
      </c>
      <c r="AN92" s="9">
        <f t="shared" si="10"/>
        <v>297.13621957728901</v>
      </c>
      <c r="AO92" s="10">
        <f t="shared" si="11"/>
        <v>9.5850393412028709E-2</v>
      </c>
      <c r="AP92" s="16">
        <v>3100</v>
      </c>
      <c r="AQ92" s="16">
        <v>2823.4272674008698</v>
      </c>
      <c r="AR92" s="16">
        <f t="shared" si="12"/>
        <v>276.57273259913018</v>
      </c>
      <c r="AS92" s="17">
        <f t="shared" si="13"/>
        <v>8.9217010515848447E-2</v>
      </c>
      <c r="AT92" s="6">
        <v>3100</v>
      </c>
      <c r="AU92" s="6">
        <v>4373.7890625</v>
      </c>
      <c r="AV92" s="6">
        <f t="shared" si="14"/>
        <v>1273.7890625</v>
      </c>
      <c r="AW92" s="7">
        <f t="shared" si="15"/>
        <v>0.41089969758064515</v>
      </c>
    </row>
    <row r="93" spans="1:49" x14ac:dyDescent="0.25">
      <c r="A93" t="s">
        <v>38</v>
      </c>
      <c r="B93" t="s">
        <v>167</v>
      </c>
      <c r="C93">
        <v>111097</v>
      </c>
      <c r="D93">
        <v>2012</v>
      </c>
      <c r="E93" t="s">
        <v>79</v>
      </c>
      <c r="F93" t="s">
        <v>80</v>
      </c>
      <c r="G93" t="s">
        <v>273</v>
      </c>
      <c r="I93">
        <v>6</v>
      </c>
      <c r="J93" t="s">
        <v>94</v>
      </c>
      <c r="K93">
        <v>4</v>
      </c>
      <c r="L93" t="s">
        <v>44</v>
      </c>
      <c r="M93">
        <v>3.6</v>
      </c>
      <c r="N93" t="s">
        <v>45</v>
      </c>
      <c r="O93" t="s">
        <v>46</v>
      </c>
      <c r="P93">
        <v>3</v>
      </c>
      <c r="Q93" t="s">
        <v>84</v>
      </c>
      <c r="R93" t="s">
        <v>85</v>
      </c>
      <c r="U93" t="s">
        <v>50</v>
      </c>
      <c r="W93" t="s">
        <v>195</v>
      </c>
      <c r="X93" t="s">
        <v>87</v>
      </c>
      <c r="Y93" t="s">
        <v>88</v>
      </c>
      <c r="AA93">
        <v>0</v>
      </c>
      <c r="AB93" t="s">
        <v>54</v>
      </c>
      <c r="AC93" t="s">
        <v>89</v>
      </c>
      <c r="AD93">
        <v>34</v>
      </c>
      <c r="AE93">
        <v>8</v>
      </c>
      <c r="AF93">
        <v>3</v>
      </c>
      <c r="AG93">
        <v>2025</v>
      </c>
      <c r="AH93" s="13">
        <v>5000</v>
      </c>
      <c r="AI93" s="13">
        <v>2948.520751953125</v>
      </c>
      <c r="AJ93" s="13">
        <f t="shared" si="8"/>
        <v>2051.479248046875</v>
      </c>
      <c r="AK93" s="14">
        <f t="shared" si="9"/>
        <v>0.41029584960937499</v>
      </c>
      <c r="AL93" s="9">
        <v>5000</v>
      </c>
      <c r="AM93" s="9">
        <v>2947.44563668402</v>
      </c>
      <c r="AN93" s="9">
        <f t="shared" si="10"/>
        <v>2052.55436331598</v>
      </c>
      <c r="AO93" s="10">
        <f t="shared" si="11"/>
        <v>0.41051087266319602</v>
      </c>
      <c r="AP93" s="16">
        <v>5000</v>
      </c>
      <c r="AQ93" s="16">
        <v>2751.7136751950929</v>
      </c>
      <c r="AR93" s="16">
        <f t="shared" si="12"/>
        <v>2248.2863248049071</v>
      </c>
      <c r="AS93" s="17">
        <f t="shared" si="13"/>
        <v>0.44965726496098141</v>
      </c>
      <c r="AT93" s="6">
        <v>5000</v>
      </c>
      <c r="AU93" s="6">
        <v>2742.333984375</v>
      </c>
      <c r="AV93" s="6">
        <f t="shared" si="14"/>
        <v>2257.666015625</v>
      </c>
      <c r="AW93" s="7">
        <f t="shared" si="15"/>
        <v>0.451533203125</v>
      </c>
    </row>
    <row r="94" spans="1:49" x14ac:dyDescent="0.25">
      <c r="A94" t="s">
        <v>69</v>
      </c>
      <c r="B94" t="s">
        <v>70</v>
      </c>
      <c r="C94">
        <v>61020</v>
      </c>
      <c r="D94">
        <v>2020</v>
      </c>
      <c r="E94" t="s">
        <v>124</v>
      </c>
      <c r="F94" t="s">
        <v>351</v>
      </c>
      <c r="G94" t="s">
        <v>261</v>
      </c>
      <c r="I94">
        <v>4</v>
      </c>
      <c r="J94" t="s">
        <v>61</v>
      </c>
      <c r="K94">
        <v>4</v>
      </c>
      <c r="L94" t="s">
        <v>44</v>
      </c>
      <c r="M94">
        <v>2.4</v>
      </c>
      <c r="N94" t="s">
        <v>44</v>
      </c>
      <c r="O94" t="s">
        <v>46</v>
      </c>
      <c r="P94">
        <v>4</v>
      </c>
      <c r="Q94" t="s">
        <v>47</v>
      </c>
      <c r="R94" t="s">
        <v>48</v>
      </c>
      <c r="S94" t="s">
        <v>63</v>
      </c>
      <c r="T94">
        <v>185</v>
      </c>
      <c r="U94" t="s">
        <v>50</v>
      </c>
      <c r="W94" t="s">
        <v>352</v>
      </c>
      <c r="X94" t="s">
        <v>52</v>
      </c>
      <c r="Y94" t="s">
        <v>67</v>
      </c>
      <c r="Z94">
        <v>26400</v>
      </c>
      <c r="AA94">
        <v>0</v>
      </c>
      <c r="AB94" t="s">
        <v>54</v>
      </c>
      <c r="AC94" t="s">
        <v>55</v>
      </c>
      <c r="AD94">
        <v>34</v>
      </c>
      <c r="AE94">
        <v>8</v>
      </c>
      <c r="AF94">
        <v>3</v>
      </c>
      <c r="AG94">
        <v>2025</v>
      </c>
      <c r="AH94" s="13">
        <v>16000</v>
      </c>
      <c r="AI94" s="13">
        <v>16104.703125</v>
      </c>
      <c r="AJ94" s="13">
        <f t="shared" si="8"/>
        <v>104.703125</v>
      </c>
      <c r="AK94" s="14">
        <f t="shared" si="9"/>
        <v>6.5439453124999996E-3</v>
      </c>
      <c r="AL94" s="9">
        <v>16000</v>
      </c>
      <c r="AM94" s="9">
        <v>17698.032038825091</v>
      </c>
      <c r="AN94" s="9">
        <f t="shared" si="10"/>
        <v>1698.0320388250911</v>
      </c>
      <c r="AO94" s="10">
        <f t="shared" si="11"/>
        <v>0.1061270024265682</v>
      </c>
      <c r="AP94" s="16">
        <v>16000</v>
      </c>
      <c r="AQ94" s="16">
        <v>15990.01608313414</v>
      </c>
      <c r="AR94" s="16">
        <f t="shared" si="12"/>
        <v>9.9839168658600101</v>
      </c>
      <c r="AS94" s="17">
        <f t="shared" si="13"/>
        <v>6.2399480411625058E-4</v>
      </c>
      <c r="AT94" s="6">
        <v>16000</v>
      </c>
      <c r="AU94" s="6">
        <v>16205.2060546875</v>
      </c>
      <c r="AV94" s="6">
        <f t="shared" si="14"/>
        <v>205.2060546875</v>
      </c>
      <c r="AW94" s="7">
        <f t="shared" si="15"/>
        <v>1.282537841796875E-2</v>
      </c>
    </row>
    <row r="95" spans="1:49" x14ac:dyDescent="0.25">
      <c r="A95" t="s">
        <v>56</v>
      </c>
      <c r="B95" t="s">
        <v>144</v>
      </c>
      <c r="C95">
        <v>57837</v>
      </c>
      <c r="D95">
        <v>2019</v>
      </c>
      <c r="E95" t="s">
        <v>79</v>
      </c>
      <c r="F95" t="s">
        <v>272</v>
      </c>
      <c r="G95" t="s">
        <v>273</v>
      </c>
      <c r="H95" t="s">
        <v>162</v>
      </c>
      <c r="I95">
        <v>8</v>
      </c>
      <c r="J95" t="s">
        <v>94</v>
      </c>
      <c r="K95">
        <v>4</v>
      </c>
      <c r="L95" t="s">
        <v>44</v>
      </c>
      <c r="M95">
        <v>5.3</v>
      </c>
      <c r="N95" t="s">
        <v>62</v>
      </c>
      <c r="O95" t="s">
        <v>46</v>
      </c>
      <c r="P95">
        <v>5</v>
      </c>
      <c r="Q95" t="s">
        <v>75</v>
      </c>
      <c r="R95" t="s">
        <v>76</v>
      </c>
      <c r="S95" t="s">
        <v>63</v>
      </c>
      <c r="U95" t="s">
        <v>50</v>
      </c>
      <c r="W95" t="s">
        <v>274</v>
      </c>
      <c r="X95" t="s">
        <v>77</v>
      </c>
      <c r="Y95" t="s">
        <v>67</v>
      </c>
      <c r="Z95">
        <v>44195</v>
      </c>
      <c r="AA95">
        <v>0</v>
      </c>
      <c r="AB95" t="s">
        <v>54</v>
      </c>
      <c r="AC95" t="s">
        <v>78</v>
      </c>
      <c r="AD95">
        <v>34</v>
      </c>
      <c r="AE95">
        <v>8</v>
      </c>
      <c r="AF95">
        <v>3</v>
      </c>
      <c r="AG95">
        <v>2025</v>
      </c>
      <c r="AH95" s="13">
        <v>25500</v>
      </c>
      <c r="AI95" s="13">
        <v>38737.5859375</v>
      </c>
      <c r="AJ95" s="13">
        <f t="shared" si="8"/>
        <v>13237.5859375</v>
      </c>
      <c r="AK95" s="14">
        <f t="shared" si="9"/>
        <v>0.51912101715686276</v>
      </c>
      <c r="AL95" s="9">
        <v>25500</v>
      </c>
      <c r="AM95" s="9">
        <v>35061.415264101568</v>
      </c>
      <c r="AN95" s="9">
        <f t="shared" si="10"/>
        <v>9561.415264101568</v>
      </c>
      <c r="AO95" s="10">
        <f t="shared" si="11"/>
        <v>0.37495746133731639</v>
      </c>
      <c r="AP95" s="16">
        <v>25500</v>
      </c>
      <c r="AQ95" s="16">
        <v>32288.248345135351</v>
      </c>
      <c r="AR95" s="16">
        <f t="shared" si="12"/>
        <v>6788.248345135351</v>
      </c>
      <c r="AS95" s="17">
        <f t="shared" si="13"/>
        <v>0.2662058174562883</v>
      </c>
      <c r="AT95" s="6">
        <v>25500</v>
      </c>
      <c r="AU95" s="6">
        <v>33151</v>
      </c>
      <c r="AV95" s="6">
        <f t="shared" si="14"/>
        <v>7651</v>
      </c>
      <c r="AW95" s="7">
        <f t="shared" si="15"/>
        <v>0.30003921568627451</v>
      </c>
    </row>
    <row r="96" spans="1:49" x14ac:dyDescent="0.25">
      <c r="A96" t="s">
        <v>107</v>
      </c>
      <c r="B96" t="s">
        <v>108</v>
      </c>
      <c r="C96">
        <v>86767</v>
      </c>
      <c r="D96">
        <v>2018</v>
      </c>
      <c r="E96" t="s">
        <v>124</v>
      </c>
      <c r="F96" t="s">
        <v>125</v>
      </c>
      <c r="G96" t="s">
        <v>268</v>
      </c>
      <c r="I96">
        <v>4</v>
      </c>
      <c r="J96" t="s">
        <v>101</v>
      </c>
      <c r="K96">
        <v>4</v>
      </c>
      <c r="L96" t="s">
        <v>44</v>
      </c>
      <c r="M96">
        <v>2</v>
      </c>
      <c r="N96" t="s">
        <v>45</v>
      </c>
      <c r="O96" t="s">
        <v>46</v>
      </c>
      <c r="P96">
        <v>2</v>
      </c>
      <c r="Q96" t="s">
        <v>84</v>
      </c>
      <c r="R96" t="s">
        <v>85</v>
      </c>
      <c r="T96">
        <v>147</v>
      </c>
      <c r="U96" t="s">
        <v>50</v>
      </c>
      <c r="W96" t="s">
        <v>353</v>
      </c>
      <c r="X96" t="s">
        <v>87</v>
      </c>
      <c r="Y96" t="s">
        <v>53</v>
      </c>
      <c r="Z96">
        <v>16950</v>
      </c>
      <c r="AA96">
        <v>0</v>
      </c>
      <c r="AB96" t="s">
        <v>54</v>
      </c>
      <c r="AC96" t="s">
        <v>89</v>
      </c>
      <c r="AD96">
        <v>34</v>
      </c>
      <c r="AE96">
        <v>8</v>
      </c>
      <c r="AF96">
        <v>3</v>
      </c>
      <c r="AG96">
        <v>2025</v>
      </c>
      <c r="AH96" s="13">
        <v>4100</v>
      </c>
      <c r="AI96" s="13">
        <v>3037.37841796875</v>
      </c>
      <c r="AJ96" s="13">
        <f t="shared" si="8"/>
        <v>1062.62158203125</v>
      </c>
      <c r="AK96" s="14">
        <f t="shared" si="9"/>
        <v>0.25917599561737803</v>
      </c>
      <c r="AL96" s="9">
        <v>4100</v>
      </c>
      <c r="AM96" s="9">
        <v>4345.7978937503376</v>
      </c>
      <c r="AN96" s="9">
        <f t="shared" si="10"/>
        <v>245.79789375033761</v>
      </c>
      <c r="AO96" s="10">
        <f t="shared" si="11"/>
        <v>5.995070579276527E-2</v>
      </c>
      <c r="AP96" s="16">
        <v>4100</v>
      </c>
      <c r="AQ96" s="16">
        <v>4094.684951612971</v>
      </c>
      <c r="AR96" s="16">
        <f t="shared" si="12"/>
        <v>5.3150483870290373</v>
      </c>
      <c r="AS96" s="17">
        <f t="shared" si="13"/>
        <v>1.2963532651290334E-3</v>
      </c>
      <c r="AT96" s="6">
        <v>4100</v>
      </c>
      <c r="AU96" s="6">
        <v>4476.44091796875</v>
      </c>
      <c r="AV96" s="6">
        <f t="shared" si="14"/>
        <v>376.44091796875</v>
      </c>
      <c r="AW96" s="7">
        <f t="shared" si="15"/>
        <v>9.1814858041158534E-2</v>
      </c>
    </row>
    <row r="97" spans="1:49" x14ac:dyDescent="0.25">
      <c r="A97" t="s">
        <v>69</v>
      </c>
      <c r="B97" t="s">
        <v>70</v>
      </c>
      <c r="C97">
        <v>51387</v>
      </c>
      <c r="D97">
        <v>2022</v>
      </c>
      <c r="E97" t="s">
        <v>79</v>
      </c>
      <c r="F97" t="s">
        <v>354</v>
      </c>
      <c r="G97" t="s">
        <v>355</v>
      </c>
      <c r="H97" t="s">
        <v>162</v>
      </c>
      <c r="I97">
        <v>8</v>
      </c>
      <c r="J97" t="s">
        <v>82</v>
      </c>
      <c r="K97">
        <v>4</v>
      </c>
      <c r="L97" t="s">
        <v>44</v>
      </c>
      <c r="M97">
        <v>6.2</v>
      </c>
      <c r="N97" t="s">
        <v>62</v>
      </c>
      <c r="O97" t="s">
        <v>46</v>
      </c>
      <c r="P97">
        <v>4</v>
      </c>
      <c r="Q97" t="s">
        <v>75</v>
      </c>
      <c r="R97" t="s">
        <v>76</v>
      </c>
      <c r="S97" t="s">
        <v>63</v>
      </c>
      <c r="U97" t="s">
        <v>50</v>
      </c>
      <c r="V97" t="s">
        <v>64</v>
      </c>
      <c r="W97" t="s">
        <v>356</v>
      </c>
      <c r="X97" t="s">
        <v>66</v>
      </c>
      <c r="Y97" t="s">
        <v>106</v>
      </c>
      <c r="AA97">
        <v>0</v>
      </c>
      <c r="AB97" t="s">
        <v>54</v>
      </c>
      <c r="AC97" t="s">
        <v>78</v>
      </c>
      <c r="AD97">
        <v>34</v>
      </c>
      <c r="AE97">
        <v>8</v>
      </c>
      <c r="AF97">
        <v>3</v>
      </c>
      <c r="AG97">
        <v>2025</v>
      </c>
      <c r="AH97" s="13">
        <v>39600</v>
      </c>
      <c r="AI97" s="13">
        <v>46526.9921875</v>
      </c>
      <c r="AJ97" s="13">
        <f t="shared" si="8"/>
        <v>6926.9921875</v>
      </c>
      <c r="AK97" s="14">
        <f t="shared" si="9"/>
        <v>0.1749240451388889</v>
      </c>
      <c r="AL97" s="9">
        <v>39600</v>
      </c>
      <c r="AM97" s="9">
        <v>50813.927735632467</v>
      </c>
      <c r="AN97" s="9">
        <f t="shared" si="10"/>
        <v>11213.927735632467</v>
      </c>
      <c r="AO97" s="10">
        <f t="shared" si="11"/>
        <v>0.28317999332405219</v>
      </c>
      <c r="AP97" s="16">
        <v>39600</v>
      </c>
      <c r="AQ97" s="16">
        <v>31113.886188166191</v>
      </c>
      <c r="AR97" s="16">
        <f t="shared" si="12"/>
        <v>8486.1138118338095</v>
      </c>
      <c r="AS97" s="17">
        <f t="shared" si="13"/>
        <v>0.21429580332913661</v>
      </c>
      <c r="AT97" s="6">
        <v>39600</v>
      </c>
      <c r="AU97" s="6">
        <v>44103.3203125</v>
      </c>
      <c r="AV97" s="6">
        <f t="shared" si="14"/>
        <v>4503.3203125</v>
      </c>
      <c r="AW97" s="7">
        <f t="shared" si="15"/>
        <v>0.11372020991161616</v>
      </c>
    </row>
    <row r="98" spans="1:49" x14ac:dyDescent="0.25">
      <c r="A98" t="s">
        <v>107</v>
      </c>
      <c r="B98" t="s">
        <v>108</v>
      </c>
      <c r="C98">
        <v>199616</v>
      </c>
      <c r="D98">
        <v>2013</v>
      </c>
      <c r="E98" t="s">
        <v>58</v>
      </c>
      <c r="F98" t="s">
        <v>59</v>
      </c>
      <c r="G98" t="s">
        <v>171</v>
      </c>
      <c r="I98">
        <v>6</v>
      </c>
      <c r="J98" t="s">
        <v>82</v>
      </c>
      <c r="K98">
        <v>4</v>
      </c>
      <c r="L98" t="s">
        <v>44</v>
      </c>
      <c r="M98">
        <v>3.5</v>
      </c>
      <c r="N98" t="s">
        <v>45</v>
      </c>
      <c r="O98" t="s">
        <v>46</v>
      </c>
      <c r="Q98" t="s">
        <v>47</v>
      </c>
      <c r="R98" t="s">
        <v>48</v>
      </c>
      <c r="T98">
        <v>290</v>
      </c>
      <c r="U98" t="s">
        <v>50</v>
      </c>
      <c r="V98" t="s">
        <v>64</v>
      </c>
      <c r="X98" t="s">
        <v>66</v>
      </c>
      <c r="Y98" t="s">
        <v>67</v>
      </c>
      <c r="AA98">
        <v>0</v>
      </c>
      <c r="AB98" t="s">
        <v>54</v>
      </c>
      <c r="AC98" t="s">
        <v>55</v>
      </c>
      <c r="AD98">
        <v>34</v>
      </c>
      <c r="AE98">
        <v>8</v>
      </c>
      <c r="AF98">
        <v>3</v>
      </c>
      <c r="AG98">
        <v>2025</v>
      </c>
      <c r="AH98" s="13">
        <v>2400</v>
      </c>
      <c r="AI98" s="13">
        <v>2635.92919921875</v>
      </c>
      <c r="AJ98" s="13">
        <f t="shared" si="8"/>
        <v>235.92919921875</v>
      </c>
      <c r="AK98" s="14">
        <f t="shared" si="9"/>
        <v>9.8303833007812494E-2</v>
      </c>
      <c r="AL98" s="9">
        <v>2400</v>
      </c>
      <c r="AM98" s="9">
        <v>2460.358893283113</v>
      </c>
      <c r="AN98" s="9">
        <f t="shared" si="10"/>
        <v>60.358893283113048</v>
      </c>
      <c r="AO98" s="10">
        <f t="shared" si="11"/>
        <v>2.5149538867963769E-2</v>
      </c>
      <c r="AP98" s="16">
        <v>2400</v>
      </c>
      <c r="AQ98" s="16">
        <v>2019.9331198334819</v>
      </c>
      <c r="AR98" s="16">
        <f t="shared" si="12"/>
        <v>380.0668801665181</v>
      </c>
      <c r="AS98" s="17">
        <f t="shared" si="13"/>
        <v>0.15836120006938254</v>
      </c>
      <c r="AT98" s="6">
        <v>2400</v>
      </c>
      <c r="AU98" s="6">
        <v>2786.322021484375</v>
      </c>
      <c r="AV98" s="6">
        <f t="shared" si="14"/>
        <v>386.322021484375</v>
      </c>
      <c r="AW98" s="7">
        <f t="shared" si="15"/>
        <v>0.16096750895182291</v>
      </c>
    </row>
    <row r="99" spans="1:49" x14ac:dyDescent="0.25">
      <c r="A99" t="s">
        <v>38</v>
      </c>
      <c r="B99" t="s">
        <v>167</v>
      </c>
      <c r="C99">
        <v>127470</v>
      </c>
      <c r="D99">
        <v>2017</v>
      </c>
      <c r="E99" t="s">
        <v>124</v>
      </c>
      <c r="F99" t="s">
        <v>125</v>
      </c>
      <c r="G99" t="s">
        <v>357</v>
      </c>
      <c r="I99">
        <v>4</v>
      </c>
      <c r="J99" t="s">
        <v>43</v>
      </c>
      <c r="K99">
        <v>4</v>
      </c>
      <c r="L99" t="s">
        <v>44</v>
      </c>
      <c r="M99">
        <v>2</v>
      </c>
      <c r="N99" t="s">
        <v>45</v>
      </c>
      <c r="O99" t="s">
        <v>323</v>
      </c>
      <c r="Q99" t="s">
        <v>84</v>
      </c>
      <c r="R99" t="s">
        <v>85</v>
      </c>
      <c r="T99">
        <v>147</v>
      </c>
      <c r="U99" t="s">
        <v>50</v>
      </c>
      <c r="X99" t="s">
        <v>87</v>
      </c>
      <c r="Y99" t="s">
        <v>67</v>
      </c>
      <c r="Z99">
        <v>22350</v>
      </c>
      <c r="AA99">
        <v>0</v>
      </c>
      <c r="AB99" t="s">
        <v>54</v>
      </c>
      <c r="AC99" t="s">
        <v>89</v>
      </c>
      <c r="AD99">
        <v>34</v>
      </c>
      <c r="AE99">
        <v>8</v>
      </c>
      <c r="AF99">
        <v>3</v>
      </c>
      <c r="AG99">
        <v>2025</v>
      </c>
      <c r="AH99" s="13">
        <v>1000</v>
      </c>
      <c r="AI99" s="13">
        <v>1347.8779296875</v>
      </c>
      <c r="AJ99" s="13">
        <f t="shared" si="8"/>
        <v>347.8779296875</v>
      </c>
      <c r="AK99" s="14">
        <f t="shared" si="9"/>
        <v>0.34787792968749998</v>
      </c>
      <c r="AL99" s="9">
        <v>1000</v>
      </c>
      <c r="AM99" s="9">
        <v>1460.1193685354001</v>
      </c>
      <c r="AN99" s="9">
        <f t="shared" si="10"/>
        <v>460.1193685354001</v>
      </c>
      <c r="AO99" s="10">
        <f t="shared" si="11"/>
        <v>0.46011936853540009</v>
      </c>
      <c r="AP99" s="16">
        <v>1000</v>
      </c>
      <c r="AQ99" s="16">
        <v>1114.513776362546</v>
      </c>
      <c r="AR99" s="16">
        <f t="shared" si="12"/>
        <v>114.51377636254597</v>
      </c>
      <c r="AS99" s="17">
        <f t="shared" si="13"/>
        <v>0.11451377636254596</v>
      </c>
      <c r="AT99" s="6">
        <v>1000</v>
      </c>
      <c r="AU99" s="6">
        <v>1268.851318359375</v>
      </c>
      <c r="AV99" s="6">
        <f t="shared" si="14"/>
        <v>268.851318359375</v>
      </c>
      <c r="AW99" s="7">
        <f t="shared" si="15"/>
        <v>0.26885131835937498</v>
      </c>
    </row>
    <row r="100" spans="1:49" x14ac:dyDescent="0.25">
      <c r="A100" t="s">
        <v>56</v>
      </c>
      <c r="B100" t="s">
        <v>196</v>
      </c>
      <c r="C100">
        <v>142195</v>
      </c>
      <c r="D100">
        <v>2019</v>
      </c>
      <c r="E100" t="s">
        <v>58</v>
      </c>
      <c r="F100" t="s">
        <v>168</v>
      </c>
      <c r="I100">
        <v>6</v>
      </c>
      <c r="J100" t="s">
        <v>82</v>
      </c>
      <c r="K100">
        <v>4</v>
      </c>
      <c r="L100" t="s">
        <v>44</v>
      </c>
      <c r="M100">
        <v>3.5</v>
      </c>
      <c r="N100" t="s">
        <v>62</v>
      </c>
      <c r="O100" t="s">
        <v>46</v>
      </c>
      <c r="Q100" t="s">
        <v>75</v>
      </c>
      <c r="R100" t="s">
        <v>76</v>
      </c>
      <c r="S100" t="s">
        <v>63</v>
      </c>
      <c r="T100">
        <v>375</v>
      </c>
      <c r="U100" t="s">
        <v>50</v>
      </c>
      <c r="V100" t="s">
        <v>64</v>
      </c>
      <c r="W100" t="s">
        <v>65</v>
      </c>
      <c r="X100" t="s">
        <v>66</v>
      </c>
      <c r="Y100" t="s">
        <v>67</v>
      </c>
      <c r="AA100">
        <v>0</v>
      </c>
      <c r="AB100" t="s">
        <v>54</v>
      </c>
      <c r="AC100" t="s">
        <v>78</v>
      </c>
      <c r="AD100">
        <v>34</v>
      </c>
      <c r="AE100">
        <v>8</v>
      </c>
      <c r="AF100">
        <v>3</v>
      </c>
      <c r="AG100">
        <v>2025</v>
      </c>
      <c r="AH100" s="13">
        <v>12600</v>
      </c>
      <c r="AI100" s="13">
        <v>18145.14453125</v>
      </c>
      <c r="AJ100" s="13">
        <f t="shared" si="8"/>
        <v>5545.14453125</v>
      </c>
      <c r="AK100" s="14">
        <f t="shared" si="9"/>
        <v>0.44009083581349207</v>
      </c>
      <c r="AL100" s="9">
        <v>12600</v>
      </c>
      <c r="AM100" s="9">
        <v>17009.223204334881</v>
      </c>
      <c r="AN100" s="9">
        <f t="shared" si="10"/>
        <v>4409.2232043348813</v>
      </c>
      <c r="AO100" s="10">
        <f t="shared" si="11"/>
        <v>0.34993834955038738</v>
      </c>
      <c r="AP100" s="16">
        <v>12600</v>
      </c>
      <c r="AQ100" s="16">
        <v>18578.648821569859</v>
      </c>
      <c r="AR100" s="16">
        <f t="shared" si="12"/>
        <v>5978.6488215698591</v>
      </c>
      <c r="AS100" s="17">
        <f t="shared" si="13"/>
        <v>0.4744959382198301</v>
      </c>
      <c r="AT100" s="6">
        <v>12600</v>
      </c>
      <c r="AU100" s="6">
        <v>16678.4453125</v>
      </c>
      <c r="AV100" s="6">
        <f t="shared" si="14"/>
        <v>4078.4453125</v>
      </c>
      <c r="AW100" s="7">
        <f t="shared" si="15"/>
        <v>0.3236861359126984</v>
      </c>
    </row>
    <row r="101" spans="1:49" x14ac:dyDescent="0.25">
      <c r="A101" t="s">
        <v>56</v>
      </c>
      <c r="B101" t="s">
        <v>104</v>
      </c>
      <c r="C101">
        <v>248322</v>
      </c>
      <c r="D101">
        <v>2017</v>
      </c>
      <c r="E101" t="s">
        <v>71</v>
      </c>
      <c r="F101" t="s">
        <v>199</v>
      </c>
      <c r="I101">
        <v>4</v>
      </c>
      <c r="J101" t="s">
        <v>101</v>
      </c>
      <c r="K101">
        <v>4</v>
      </c>
      <c r="L101" t="s">
        <v>44</v>
      </c>
      <c r="M101">
        <v>2.5</v>
      </c>
      <c r="N101" t="s">
        <v>44</v>
      </c>
      <c r="O101" t="s">
        <v>46</v>
      </c>
      <c r="P101">
        <v>1</v>
      </c>
      <c r="Q101" t="s">
        <v>47</v>
      </c>
      <c r="R101" t="s">
        <v>207</v>
      </c>
      <c r="S101" t="s">
        <v>63</v>
      </c>
      <c r="T101">
        <v>170</v>
      </c>
      <c r="U101" t="s">
        <v>50</v>
      </c>
      <c r="X101" t="s">
        <v>52</v>
      </c>
      <c r="Y101" t="s">
        <v>97</v>
      </c>
      <c r="AA101">
        <v>0</v>
      </c>
      <c r="AB101" t="s">
        <v>54</v>
      </c>
      <c r="AC101" t="s">
        <v>55</v>
      </c>
      <c r="AD101">
        <v>34</v>
      </c>
      <c r="AE101">
        <v>8</v>
      </c>
      <c r="AF101">
        <v>3</v>
      </c>
      <c r="AG101">
        <v>2025</v>
      </c>
      <c r="AH101" s="13">
        <v>800</v>
      </c>
      <c r="AI101" s="13">
        <v>1041.056274414062</v>
      </c>
      <c r="AJ101" s="13">
        <f t="shared" si="8"/>
        <v>241.05627441406205</v>
      </c>
      <c r="AK101" s="14">
        <f t="shared" si="9"/>
        <v>0.30132034301757754</v>
      </c>
      <c r="AL101" s="9">
        <v>800</v>
      </c>
      <c r="AM101" s="9">
        <v>1177.476652307286</v>
      </c>
      <c r="AN101" s="9">
        <f t="shared" si="10"/>
        <v>377.47665230728603</v>
      </c>
      <c r="AO101" s="10">
        <f t="shared" si="11"/>
        <v>0.47184581538410753</v>
      </c>
      <c r="AP101" s="16">
        <v>800</v>
      </c>
      <c r="AQ101" s="16">
        <v>962.94518311952856</v>
      </c>
      <c r="AR101" s="16">
        <f t="shared" si="12"/>
        <v>162.94518311952856</v>
      </c>
      <c r="AS101" s="17">
        <f t="shared" si="13"/>
        <v>0.20368147889941071</v>
      </c>
      <c r="AT101" s="6">
        <v>800</v>
      </c>
      <c r="AU101" s="6">
        <v>1019.279724121094</v>
      </c>
      <c r="AV101" s="6">
        <f t="shared" si="14"/>
        <v>219.27972412109398</v>
      </c>
      <c r="AW101" s="7">
        <f t="shared" si="15"/>
        <v>0.27409965515136747</v>
      </c>
    </row>
    <row r="102" spans="1:49" x14ac:dyDescent="0.25">
      <c r="A102" t="s">
        <v>56</v>
      </c>
      <c r="B102" t="s">
        <v>123</v>
      </c>
      <c r="C102">
        <v>88818</v>
      </c>
      <c r="D102">
        <v>2016</v>
      </c>
      <c r="E102" t="s">
        <v>169</v>
      </c>
      <c r="F102" t="s">
        <v>319</v>
      </c>
      <c r="G102" t="s">
        <v>358</v>
      </c>
      <c r="I102">
        <v>4</v>
      </c>
      <c r="J102" t="s">
        <v>43</v>
      </c>
      <c r="K102">
        <v>4</v>
      </c>
      <c r="L102" t="s">
        <v>44</v>
      </c>
      <c r="M102">
        <v>2.5</v>
      </c>
      <c r="N102" t="s">
        <v>44</v>
      </c>
      <c r="O102" t="s">
        <v>46</v>
      </c>
      <c r="P102">
        <v>4</v>
      </c>
      <c r="Q102" t="s">
        <v>47</v>
      </c>
      <c r="R102" t="s">
        <v>48</v>
      </c>
      <c r="S102" t="s">
        <v>139</v>
      </c>
      <c r="U102" t="s">
        <v>50</v>
      </c>
      <c r="W102" t="s">
        <v>359</v>
      </c>
      <c r="X102" t="s">
        <v>52</v>
      </c>
      <c r="Y102" t="s">
        <v>97</v>
      </c>
      <c r="AA102">
        <v>0</v>
      </c>
      <c r="AB102" t="s">
        <v>54</v>
      </c>
      <c r="AC102" t="s">
        <v>55</v>
      </c>
      <c r="AD102">
        <v>34</v>
      </c>
      <c r="AE102">
        <v>8</v>
      </c>
      <c r="AF102">
        <v>3</v>
      </c>
      <c r="AG102">
        <v>2025</v>
      </c>
      <c r="AH102" s="13">
        <v>8700</v>
      </c>
      <c r="AI102" s="13">
        <v>7873.650390625</v>
      </c>
      <c r="AJ102" s="13">
        <f t="shared" si="8"/>
        <v>826.349609375</v>
      </c>
      <c r="AK102" s="14">
        <f t="shared" si="9"/>
        <v>9.4982713721264364E-2</v>
      </c>
      <c r="AL102" s="9">
        <v>8700</v>
      </c>
      <c r="AM102" s="9">
        <v>7411.0480390407429</v>
      </c>
      <c r="AN102" s="9">
        <f t="shared" si="10"/>
        <v>1288.9519609592571</v>
      </c>
      <c r="AO102" s="10">
        <f t="shared" si="11"/>
        <v>0.14815539781140885</v>
      </c>
      <c r="AP102" s="16">
        <v>8700</v>
      </c>
      <c r="AQ102" s="16">
        <v>8657.8414114022671</v>
      </c>
      <c r="AR102" s="16">
        <f t="shared" si="12"/>
        <v>42.158588597732887</v>
      </c>
      <c r="AS102" s="17">
        <f t="shared" si="13"/>
        <v>4.8458147813486077E-3</v>
      </c>
      <c r="AT102" s="6">
        <v>8700</v>
      </c>
      <c r="AU102" s="6">
        <v>6995.69580078125</v>
      </c>
      <c r="AV102" s="6">
        <f t="shared" si="14"/>
        <v>1704.30419921875</v>
      </c>
      <c r="AW102" s="7">
        <f t="shared" si="15"/>
        <v>0.19589703439295977</v>
      </c>
    </row>
    <row r="103" spans="1:49" x14ac:dyDescent="0.25">
      <c r="A103" t="s">
        <v>38</v>
      </c>
      <c r="B103" t="s">
        <v>167</v>
      </c>
      <c r="C103">
        <v>171899</v>
      </c>
      <c r="D103">
        <v>2018</v>
      </c>
      <c r="E103" t="s">
        <v>79</v>
      </c>
      <c r="F103" t="s">
        <v>164</v>
      </c>
      <c r="G103" t="s">
        <v>287</v>
      </c>
      <c r="I103">
        <v>4</v>
      </c>
      <c r="J103" t="s">
        <v>101</v>
      </c>
      <c r="K103">
        <v>4</v>
      </c>
      <c r="L103" t="s">
        <v>44</v>
      </c>
      <c r="M103">
        <v>1.5</v>
      </c>
      <c r="N103" t="s">
        <v>45</v>
      </c>
      <c r="O103" t="s">
        <v>46</v>
      </c>
      <c r="P103">
        <v>1</v>
      </c>
      <c r="Q103" t="s">
        <v>47</v>
      </c>
      <c r="R103" t="s">
        <v>48</v>
      </c>
      <c r="S103" t="s">
        <v>102</v>
      </c>
      <c r="U103" t="s">
        <v>50</v>
      </c>
      <c r="V103" t="s">
        <v>95</v>
      </c>
      <c r="W103" t="s">
        <v>198</v>
      </c>
      <c r="X103" t="s">
        <v>52</v>
      </c>
      <c r="Y103" t="s">
        <v>88</v>
      </c>
      <c r="AA103">
        <v>0</v>
      </c>
      <c r="AB103" t="s">
        <v>54</v>
      </c>
      <c r="AC103" t="s">
        <v>55</v>
      </c>
      <c r="AD103">
        <v>34</v>
      </c>
      <c r="AE103">
        <v>8</v>
      </c>
      <c r="AF103">
        <v>3</v>
      </c>
      <c r="AG103">
        <v>2025</v>
      </c>
      <c r="AH103" s="13">
        <v>2000</v>
      </c>
      <c r="AI103" s="13">
        <v>3333.441650390625</v>
      </c>
      <c r="AJ103" s="13">
        <f t="shared" si="8"/>
        <v>1333.441650390625</v>
      </c>
      <c r="AK103" s="14">
        <f t="shared" si="9"/>
        <v>0.66672082519531251</v>
      </c>
      <c r="AL103" s="9">
        <v>2000</v>
      </c>
      <c r="AM103" s="9">
        <v>2924.965147619655</v>
      </c>
      <c r="AN103" s="9">
        <f t="shared" si="10"/>
        <v>924.965147619655</v>
      </c>
      <c r="AO103" s="10">
        <f t="shared" si="11"/>
        <v>0.46248257380982749</v>
      </c>
      <c r="AP103" s="16">
        <v>2000</v>
      </c>
      <c r="AQ103" s="16">
        <v>2985.044250882564</v>
      </c>
      <c r="AR103" s="16">
        <f t="shared" si="12"/>
        <v>985.04425088256403</v>
      </c>
      <c r="AS103" s="17">
        <f t="shared" si="13"/>
        <v>0.49252212544128199</v>
      </c>
      <c r="AT103" s="6">
        <v>2000</v>
      </c>
      <c r="AU103" s="6">
        <v>2969.947998046875</v>
      </c>
      <c r="AV103" s="6">
        <f t="shared" si="14"/>
        <v>969.947998046875</v>
      </c>
      <c r="AW103" s="7">
        <f t="shared" si="15"/>
        <v>0.48497399902343752</v>
      </c>
    </row>
    <row r="104" spans="1:49" x14ac:dyDescent="0.25">
      <c r="A104" t="s">
        <v>107</v>
      </c>
      <c r="B104" t="s">
        <v>108</v>
      </c>
      <c r="C104">
        <v>65819</v>
      </c>
      <c r="D104">
        <v>2019</v>
      </c>
      <c r="E104" t="s">
        <v>40</v>
      </c>
      <c r="F104" t="s">
        <v>360</v>
      </c>
      <c r="G104" t="s">
        <v>361</v>
      </c>
      <c r="I104">
        <v>4</v>
      </c>
      <c r="J104" t="s">
        <v>94</v>
      </c>
      <c r="K104">
        <v>4</v>
      </c>
      <c r="L104" t="s">
        <v>44</v>
      </c>
      <c r="M104">
        <v>2.4</v>
      </c>
      <c r="N104" t="s">
        <v>45</v>
      </c>
      <c r="O104" t="s">
        <v>46</v>
      </c>
      <c r="P104">
        <v>4</v>
      </c>
      <c r="Q104" t="s">
        <v>47</v>
      </c>
      <c r="R104" t="s">
        <v>48</v>
      </c>
      <c r="S104" t="s">
        <v>49</v>
      </c>
      <c r="T104">
        <v>185</v>
      </c>
      <c r="U104" t="s">
        <v>50</v>
      </c>
      <c r="W104" t="s">
        <v>362</v>
      </c>
      <c r="X104" t="s">
        <v>141</v>
      </c>
      <c r="Y104" t="s">
        <v>67</v>
      </c>
      <c r="AA104">
        <v>0</v>
      </c>
      <c r="AB104" t="s">
        <v>54</v>
      </c>
      <c r="AC104" t="s">
        <v>55</v>
      </c>
      <c r="AD104">
        <v>34</v>
      </c>
      <c r="AE104">
        <v>8</v>
      </c>
      <c r="AF104">
        <v>3</v>
      </c>
      <c r="AG104">
        <v>2025</v>
      </c>
      <c r="AH104" s="13">
        <v>13900</v>
      </c>
      <c r="AI104" s="13">
        <v>13593.3212890625</v>
      </c>
      <c r="AJ104" s="13">
        <f t="shared" si="8"/>
        <v>306.6787109375</v>
      </c>
      <c r="AK104" s="14">
        <f t="shared" si="9"/>
        <v>2.2063216614208632E-2</v>
      </c>
      <c r="AL104" s="9">
        <v>13900</v>
      </c>
      <c r="AM104" s="9">
        <v>12780.823801416889</v>
      </c>
      <c r="AN104" s="9">
        <f t="shared" si="10"/>
        <v>1119.1761985831108</v>
      </c>
      <c r="AO104" s="10">
        <f t="shared" si="11"/>
        <v>8.0516273279360492E-2</v>
      </c>
      <c r="AP104" s="16">
        <v>13900</v>
      </c>
      <c r="AQ104" s="16">
        <v>12357.949848460359</v>
      </c>
      <c r="AR104" s="16">
        <f t="shared" si="12"/>
        <v>1542.0501515396409</v>
      </c>
      <c r="AS104" s="17">
        <f t="shared" si="13"/>
        <v>0.11093885982299574</v>
      </c>
      <c r="AT104" s="6">
        <v>13900</v>
      </c>
      <c r="AU104" s="6">
        <v>13357.84765625</v>
      </c>
      <c r="AV104" s="6">
        <f t="shared" si="14"/>
        <v>542.15234375</v>
      </c>
      <c r="AW104" s="7">
        <f t="shared" si="15"/>
        <v>3.9003765737410073E-2</v>
      </c>
    </row>
    <row r="105" spans="1:49" x14ac:dyDescent="0.25">
      <c r="A105" t="s">
        <v>56</v>
      </c>
      <c r="B105" t="s">
        <v>57</v>
      </c>
      <c r="C105">
        <v>56501</v>
      </c>
      <c r="D105">
        <v>2017</v>
      </c>
      <c r="E105" t="s">
        <v>145</v>
      </c>
      <c r="F105" t="s">
        <v>363</v>
      </c>
      <c r="G105" t="s">
        <v>364</v>
      </c>
      <c r="I105">
        <v>6</v>
      </c>
      <c r="J105" t="s">
        <v>74</v>
      </c>
      <c r="K105">
        <v>4</v>
      </c>
      <c r="L105" t="s">
        <v>44</v>
      </c>
      <c r="M105">
        <v>3.5</v>
      </c>
      <c r="N105" t="s">
        <v>45</v>
      </c>
      <c r="O105" t="s">
        <v>46</v>
      </c>
      <c r="P105">
        <v>4</v>
      </c>
      <c r="Q105" t="s">
        <v>47</v>
      </c>
      <c r="R105" t="s">
        <v>365</v>
      </c>
      <c r="S105" t="s">
        <v>49</v>
      </c>
      <c r="T105">
        <v>248</v>
      </c>
      <c r="U105" t="s">
        <v>50</v>
      </c>
      <c r="V105" t="s">
        <v>64</v>
      </c>
      <c r="W105" t="s">
        <v>366</v>
      </c>
      <c r="X105" t="s">
        <v>66</v>
      </c>
      <c r="Y105" t="s">
        <v>67</v>
      </c>
      <c r="Z105">
        <v>36500</v>
      </c>
      <c r="AA105">
        <v>0</v>
      </c>
      <c r="AB105" t="s">
        <v>54</v>
      </c>
      <c r="AC105" t="s">
        <v>365</v>
      </c>
      <c r="AD105">
        <v>34</v>
      </c>
      <c r="AE105">
        <v>8</v>
      </c>
      <c r="AF105">
        <v>3</v>
      </c>
      <c r="AG105">
        <v>2025</v>
      </c>
      <c r="AH105" s="13">
        <v>19600</v>
      </c>
      <c r="AI105" s="13">
        <v>20424.736328125</v>
      </c>
      <c r="AJ105" s="13">
        <f t="shared" si="8"/>
        <v>824.736328125</v>
      </c>
      <c r="AK105" s="14">
        <f t="shared" si="9"/>
        <v>4.2078384088010207E-2</v>
      </c>
      <c r="AL105" s="9">
        <v>19600</v>
      </c>
      <c r="AM105" s="9">
        <v>19927.748087818982</v>
      </c>
      <c r="AN105" s="9">
        <f t="shared" si="10"/>
        <v>327.74808781898173</v>
      </c>
      <c r="AO105" s="10">
        <f t="shared" si="11"/>
        <v>1.672184121525417E-2</v>
      </c>
      <c r="AP105" s="16">
        <v>19600</v>
      </c>
      <c r="AQ105" s="16">
        <v>17809.43185613447</v>
      </c>
      <c r="AR105" s="16">
        <f t="shared" si="12"/>
        <v>1790.5681438655301</v>
      </c>
      <c r="AS105" s="17">
        <f t="shared" si="13"/>
        <v>9.1355517544159701E-2</v>
      </c>
      <c r="AT105" s="6">
        <v>19600</v>
      </c>
      <c r="AU105" s="6">
        <v>17346.783203125</v>
      </c>
      <c r="AV105" s="6">
        <f t="shared" si="14"/>
        <v>2253.216796875</v>
      </c>
      <c r="AW105" s="7">
        <f t="shared" si="15"/>
        <v>0.11496004065688775</v>
      </c>
    </row>
    <row r="106" spans="1:49" x14ac:dyDescent="0.25">
      <c r="A106" t="s">
        <v>69</v>
      </c>
      <c r="B106" t="s">
        <v>70</v>
      </c>
      <c r="C106">
        <v>103670</v>
      </c>
      <c r="D106">
        <v>2024</v>
      </c>
      <c r="E106" t="s">
        <v>40</v>
      </c>
      <c r="F106" t="s">
        <v>367</v>
      </c>
      <c r="G106" t="s">
        <v>368</v>
      </c>
      <c r="I106">
        <v>6</v>
      </c>
      <c r="J106" t="s">
        <v>61</v>
      </c>
      <c r="K106">
        <v>4</v>
      </c>
      <c r="L106" t="s">
        <v>44</v>
      </c>
      <c r="M106">
        <v>3.8</v>
      </c>
      <c r="N106" t="s">
        <v>45</v>
      </c>
      <c r="O106" t="s">
        <v>46</v>
      </c>
      <c r="P106">
        <v>4</v>
      </c>
      <c r="Q106" t="s">
        <v>47</v>
      </c>
      <c r="R106" t="s">
        <v>48</v>
      </c>
      <c r="S106" t="s">
        <v>49</v>
      </c>
      <c r="T106">
        <v>291</v>
      </c>
      <c r="U106" t="s">
        <v>50</v>
      </c>
      <c r="W106" t="s">
        <v>369</v>
      </c>
      <c r="X106" t="s">
        <v>141</v>
      </c>
      <c r="Y106" t="s">
        <v>67</v>
      </c>
      <c r="AA106">
        <v>0</v>
      </c>
      <c r="AB106" t="s">
        <v>54</v>
      </c>
      <c r="AC106" t="s">
        <v>55</v>
      </c>
      <c r="AD106">
        <v>34</v>
      </c>
      <c r="AE106">
        <v>8</v>
      </c>
      <c r="AF106">
        <v>3</v>
      </c>
      <c r="AG106">
        <v>2025</v>
      </c>
      <c r="AH106" s="13">
        <v>19600</v>
      </c>
      <c r="AI106" s="13">
        <v>21974.353515625</v>
      </c>
      <c r="AJ106" s="13">
        <f t="shared" si="8"/>
        <v>2374.353515625</v>
      </c>
      <c r="AK106" s="14">
        <f t="shared" si="9"/>
        <v>0.12114048549107143</v>
      </c>
      <c r="AL106" s="9">
        <v>19600</v>
      </c>
      <c r="AM106" s="9">
        <v>27701.94396926125</v>
      </c>
      <c r="AN106" s="9">
        <f t="shared" si="10"/>
        <v>8101.9439692612505</v>
      </c>
      <c r="AO106" s="10">
        <f t="shared" si="11"/>
        <v>0.41336448822761485</v>
      </c>
      <c r="AP106" s="16">
        <v>19600</v>
      </c>
      <c r="AQ106" s="16">
        <v>24936.048429960061</v>
      </c>
      <c r="AR106" s="16">
        <f t="shared" si="12"/>
        <v>5336.0484299600612</v>
      </c>
      <c r="AS106" s="17">
        <f t="shared" si="13"/>
        <v>0.27224736887551332</v>
      </c>
      <c r="AT106" s="6">
        <v>19600</v>
      </c>
      <c r="AU106" s="6">
        <v>28943.4921875</v>
      </c>
      <c r="AV106" s="6">
        <f t="shared" si="14"/>
        <v>9343.4921875</v>
      </c>
      <c r="AW106" s="7">
        <f t="shared" si="15"/>
        <v>0.47670878507653064</v>
      </c>
    </row>
    <row r="107" spans="1:49" x14ac:dyDescent="0.25">
      <c r="A107" t="s">
        <v>56</v>
      </c>
      <c r="B107" t="s">
        <v>123</v>
      </c>
      <c r="C107">
        <v>186112</v>
      </c>
      <c r="D107">
        <v>2015</v>
      </c>
      <c r="E107" t="s">
        <v>173</v>
      </c>
      <c r="F107" t="s">
        <v>370</v>
      </c>
      <c r="G107" t="s">
        <v>236</v>
      </c>
      <c r="I107">
        <v>6</v>
      </c>
      <c r="J107" t="s">
        <v>43</v>
      </c>
      <c r="K107">
        <v>4</v>
      </c>
      <c r="L107" t="s">
        <v>44</v>
      </c>
      <c r="M107">
        <v>3.6</v>
      </c>
      <c r="N107" t="s">
        <v>62</v>
      </c>
      <c r="O107" t="s">
        <v>46</v>
      </c>
      <c r="P107">
        <v>4</v>
      </c>
      <c r="Q107" t="s">
        <v>47</v>
      </c>
      <c r="R107" t="s">
        <v>48</v>
      </c>
      <c r="S107" t="s">
        <v>63</v>
      </c>
      <c r="U107" t="s">
        <v>50</v>
      </c>
      <c r="X107" t="s">
        <v>141</v>
      </c>
      <c r="Y107" t="s">
        <v>67</v>
      </c>
      <c r="AA107">
        <v>0</v>
      </c>
      <c r="AB107" t="s">
        <v>54</v>
      </c>
      <c r="AC107" t="s">
        <v>55</v>
      </c>
      <c r="AD107">
        <v>34</v>
      </c>
      <c r="AE107">
        <v>8</v>
      </c>
      <c r="AF107">
        <v>3</v>
      </c>
      <c r="AG107">
        <v>2025</v>
      </c>
      <c r="AH107" s="13">
        <v>7600</v>
      </c>
      <c r="AI107" s="13">
        <v>5082.15576171875</v>
      </c>
      <c r="AJ107" s="13">
        <f t="shared" si="8"/>
        <v>2517.84423828125</v>
      </c>
      <c r="AK107" s="14">
        <f t="shared" si="9"/>
        <v>0.33129529451069079</v>
      </c>
      <c r="AL107" s="9">
        <v>7600</v>
      </c>
      <c r="AM107" s="9">
        <v>7072.1596058561254</v>
      </c>
      <c r="AN107" s="9">
        <f t="shared" si="10"/>
        <v>527.84039414387462</v>
      </c>
      <c r="AO107" s="10">
        <f t="shared" si="11"/>
        <v>6.9452683439983509E-2</v>
      </c>
      <c r="AP107" s="16">
        <v>7600</v>
      </c>
      <c r="AQ107" s="16">
        <v>5364.4168074098634</v>
      </c>
      <c r="AR107" s="16">
        <f t="shared" si="12"/>
        <v>2235.5831925901366</v>
      </c>
      <c r="AS107" s="17">
        <f t="shared" si="13"/>
        <v>0.29415568323554431</v>
      </c>
      <c r="AT107" s="6">
        <v>7600</v>
      </c>
      <c r="AU107" s="6">
        <v>5215.50390625</v>
      </c>
      <c r="AV107" s="6">
        <f t="shared" si="14"/>
        <v>2384.49609375</v>
      </c>
      <c r="AW107" s="7">
        <f t="shared" si="15"/>
        <v>0.31374948601973685</v>
      </c>
    </row>
    <row r="108" spans="1:49" x14ac:dyDescent="0.25">
      <c r="A108" t="s">
        <v>69</v>
      </c>
      <c r="B108" t="s">
        <v>70</v>
      </c>
      <c r="C108">
        <v>148492</v>
      </c>
      <c r="D108">
        <v>2014</v>
      </c>
      <c r="E108" t="s">
        <v>58</v>
      </c>
      <c r="F108" t="s">
        <v>258</v>
      </c>
      <c r="H108" t="s">
        <v>268</v>
      </c>
      <c r="I108">
        <v>4</v>
      </c>
      <c r="J108" t="s">
        <v>43</v>
      </c>
      <c r="K108">
        <v>4</v>
      </c>
      <c r="L108" t="s">
        <v>44</v>
      </c>
      <c r="M108">
        <v>1.6</v>
      </c>
      <c r="N108" t="s">
        <v>62</v>
      </c>
      <c r="O108" t="s">
        <v>42</v>
      </c>
      <c r="P108">
        <v>3</v>
      </c>
      <c r="Q108" t="s">
        <v>47</v>
      </c>
      <c r="R108" t="s">
        <v>48</v>
      </c>
      <c r="S108" t="s">
        <v>63</v>
      </c>
      <c r="T108">
        <v>178</v>
      </c>
      <c r="U108" t="s">
        <v>50</v>
      </c>
      <c r="V108" t="s">
        <v>95</v>
      </c>
      <c r="X108" t="s">
        <v>52</v>
      </c>
      <c r="Y108" t="s">
        <v>67</v>
      </c>
      <c r="AA108">
        <v>0</v>
      </c>
      <c r="AB108" t="s">
        <v>54</v>
      </c>
      <c r="AC108" t="s">
        <v>55</v>
      </c>
      <c r="AD108">
        <v>34</v>
      </c>
      <c r="AE108">
        <v>8</v>
      </c>
      <c r="AF108">
        <v>3</v>
      </c>
      <c r="AG108">
        <v>2025</v>
      </c>
      <c r="AH108" s="13">
        <v>300</v>
      </c>
      <c r="AI108" s="13">
        <v>1202.543823242188</v>
      </c>
      <c r="AJ108" s="13">
        <f t="shared" si="8"/>
        <v>902.54382324218795</v>
      </c>
      <c r="AK108" s="14">
        <f t="shared" si="9"/>
        <v>3.008479410807293</v>
      </c>
      <c r="AL108" s="9">
        <v>300</v>
      </c>
      <c r="AM108" s="9">
        <v>950.33850484166203</v>
      </c>
      <c r="AN108" s="9">
        <f t="shared" si="10"/>
        <v>650.33850484166203</v>
      </c>
      <c r="AO108" s="10">
        <f t="shared" si="11"/>
        <v>2.1677950161388733</v>
      </c>
      <c r="AP108" s="16">
        <v>300</v>
      </c>
      <c r="AQ108" s="16">
        <v>705.72477774573065</v>
      </c>
      <c r="AR108" s="16">
        <f t="shared" si="12"/>
        <v>405.72477774573065</v>
      </c>
      <c r="AS108" s="17">
        <f t="shared" si="13"/>
        <v>1.3524159258191022</v>
      </c>
      <c r="AT108" s="6">
        <v>300</v>
      </c>
      <c r="AU108" s="6">
        <v>798.66595458984375</v>
      </c>
      <c r="AV108" s="6">
        <f t="shared" si="14"/>
        <v>498.66595458984375</v>
      </c>
      <c r="AW108" s="7">
        <f t="shared" si="15"/>
        <v>1.6622198486328126</v>
      </c>
    </row>
    <row r="109" spans="1:49" x14ac:dyDescent="0.25">
      <c r="A109" t="s">
        <v>38</v>
      </c>
      <c r="B109" t="s">
        <v>132</v>
      </c>
      <c r="C109">
        <v>36512</v>
      </c>
      <c r="D109">
        <v>2023</v>
      </c>
      <c r="E109" t="s">
        <v>71</v>
      </c>
      <c r="F109" t="s">
        <v>199</v>
      </c>
      <c r="G109" t="s">
        <v>371</v>
      </c>
      <c r="I109">
        <v>3</v>
      </c>
      <c r="J109" t="s">
        <v>74</v>
      </c>
      <c r="K109">
        <v>4</v>
      </c>
      <c r="L109" t="s">
        <v>44</v>
      </c>
      <c r="M109">
        <v>1.5</v>
      </c>
      <c r="N109" t="s">
        <v>44</v>
      </c>
      <c r="O109" t="s">
        <v>46</v>
      </c>
      <c r="P109">
        <v>5</v>
      </c>
      <c r="Q109" t="s">
        <v>47</v>
      </c>
      <c r="R109" t="s">
        <v>48</v>
      </c>
      <c r="S109" t="s">
        <v>63</v>
      </c>
      <c r="U109" t="s">
        <v>50</v>
      </c>
      <c r="V109" t="s">
        <v>95</v>
      </c>
      <c r="X109" t="s">
        <v>52</v>
      </c>
      <c r="Y109" t="s">
        <v>97</v>
      </c>
      <c r="AA109">
        <v>0</v>
      </c>
      <c r="AB109" t="s">
        <v>54</v>
      </c>
      <c r="AC109" t="s">
        <v>55</v>
      </c>
      <c r="AD109">
        <v>34</v>
      </c>
      <c r="AE109">
        <v>8</v>
      </c>
      <c r="AF109">
        <v>3</v>
      </c>
      <c r="AG109">
        <v>2025</v>
      </c>
      <c r="AH109" s="13">
        <v>25700</v>
      </c>
      <c r="AI109" s="13">
        <v>19795.33984375</v>
      </c>
      <c r="AJ109" s="13">
        <f t="shared" si="8"/>
        <v>5904.66015625</v>
      </c>
      <c r="AK109" s="14">
        <f t="shared" si="9"/>
        <v>0.22975331347276265</v>
      </c>
      <c r="AL109" s="9">
        <v>25700</v>
      </c>
      <c r="AM109" s="9">
        <v>17016.522689514029</v>
      </c>
      <c r="AN109" s="9">
        <f t="shared" si="10"/>
        <v>8683.4773104859705</v>
      </c>
      <c r="AO109" s="10">
        <f t="shared" si="11"/>
        <v>0.33787849457143854</v>
      </c>
      <c r="AP109" s="16">
        <v>25700</v>
      </c>
      <c r="AQ109" s="16">
        <v>22552.245464819749</v>
      </c>
      <c r="AR109" s="16">
        <f t="shared" si="12"/>
        <v>3147.754535180251</v>
      </c>
      <c r="AS109" s="17">
        <f t="shared" si="13"/>
        <v>0.12248072121323934</v>
      </c>
      <c r="AT109" s="6">
        <v>25700</v>
      </c>
      <c r="AU109" s="6">
        <v>20624.142578125</v>
      </c>
      <c r="AV109" s="6">
        <f t="shared" si="14"/>
        <v>5075.857421875</v>
      </c>
      <c r="AW109" s="7">
        <f t="shared" si="15"/>
        <v>0.19750417983949417</v>
      </c>
    </row>
    <row r="110" spans="1:49" x14ac:dyDescent="0.25">
      <c r="A110" t="s">
        <v>107</v>
      </c>
      <c r="B110" t="s">
        <v>108</v>
      </c>
      <c r="C110">
        <v>113885</v>
      </c>
      <c r="D110">
        <v>2016</v>
      </c>
      <c r="E110" t="s">
        <v>71</v>
      </c>
      <c r="F110" t="s">
        <v>129</v>
      </c>
      <c r="I110">
        <v>4</v>
      </c>
      <c r="J110" t="s">
        <v>74</v>
      </c>
      <c r="K110">
        <v>4</v>
      </c>
      <c r="L110" t="s">
        <v>44</v>
      </c>
      <c r="M110">
        <v>2.5</v>
      </c>
      <c r="N110" t="s">
        <v>45</v>
      </c>
      <c r="O110" t="s">
        <v>46</v>
      </c>
      <c r="P110">
        <v>1</v>
      </c>
      <c r="Q110" t="s">
        <v>84</v>
      </c>
      <c r="R110" t="s">
        <v>85</v>
      </c>
      <c r="S110" t="s">
        <v>49</v>
      </c>
      <c r="U110" t="s">
        <v>50</v>
      </c>
      <c r="V110" t="s">
        <v>95</v>
      </c>
      <c r="X110" t="s">
        <v>87</v>
      </c>
      <c r="Y110" t="s">
        <v>67</v>
      </c>
      <c r="AA110">
        <v>0</v>
      </c>
      <c r="AB110" t="s">
        <v>54</v>
      </c>
      <c r="AC110" t="s">
        <v>89</v>
      </c>
      <c r="AD110">
        <v>34</v>
      </c>
      <c r="AE110">
        <v>8</v>
      </c>
      <c r="AF110">
        <v>3</v>
      </c>
      <c r="AG110">
        <v>2025</v>
      </c>
      <c r="AH110" s="13">
        <v>2100</v>
      </c>
      <c r="AI110" s="13">
        <v>1863.326904296875</v>
      </c>
      <c r="AJ110" s="13">
        <f t="shared" si="8"/>
        <v>236.673095703125</v>
      </c>
      <c r="AK110" s="14">
        <f t="shared" si="9"/>
        <v>0.11270147414434524</v>
      </c>
      <c r="AL110" s="9">
        <v>2100</v>
      </c>
      <c r="AM110" s="9">
        <v>1966.3230042382031</v>
      </c>
      <c r="AN110" s="9">
        <f t="shared" si="10"/>
        <v>133.67699576179689</v>
      </c>
      <c r="AO110" s="10">
        <f t="shared" si="11"/>
        <v>6.3655712267522327E-2</v>
      </c>
      <c r="AP110" s="16">
        <v>2100</v>
      </c>
      <c r="AQ110" s="16">
        <v>2066.712515589059</v>
      </c>
      <c r="AR110" s="16">
        <f t="shared" si="12"/>
        <v>33.287484410941033</v>
      </c>
      <c r="AS110" s="17">
        <f t="shared" si="13"/>
        <v>1.5851183052829062E-2</v>
      </c>
      <c r="AT110" s="6">
        <v>2100</v>
      </c>
      <c r="AU110" s="6">
        <v>1963.8896484375</v>
      </c>
      <c r="AV110" s="6">
        <f t="shared" si="14"/>
        <v>136.1103515625</v>
      </c>
      <c r="AW110" s="7">
        <f t="shared" si="15"/>
        <v>6.4814453125000004E-2</v>
      </c>
    </row>
    <row r="111" spans="1:49" x14ac:dyDescent="0.25">
      <c r="A111" t="s">
        <v>38</v>
      </c>
      <c r="B111" t="s">
        <v>229</v>
      </c>
      <c r="C111">
        <v>87859</v>
      </c>
      <c r="D111">
        <v>2015</v>
      </c>
      <c r="E111" t="s">
        <v>217</v>
      </c>
      <c r="F111" t="s">
        <v>162</v>
      </c>
      <c r="G111" t="s">
        <v>218</v>
      </c>
      <c r="I111">
        <v>6</v>
      </c>
      <c r="J111" t="s">
        <v>101</v>
      </c>
      <c r="K111">
        <v>2</v>
      </c>
      <c r="L111" t="s">
        <v>372</v>
      </c>
      <c r="M111">
        <v>3.6</v>
      </c>
      <c r="N111" t="s">
        <v>62</v>
      </c>
      <c r="Q111" t="s">
        <v>75</v>
      </c>
      <c r="R111" t="s">
        <v>76</v>
      </c>
      <c r="S111" t="s">
        <v>63</v>
      </c>
      <c r="U111" t="s">
        <v>50</v>
      </c>
      <c r="X111" t="s">
        <v>66</v>
      </c>
      <c r="Y111" t="s">
        <v>106</v>
      </c>
      <c r="AA111">
        <v>0</v>
      </c>
      <c r="AB111" t="s">
        <v>54</v>
      </c>
      <c r="AC111" t="s">
        <v>78</v>
      </c>
      <c r="AD111">
        <v>34</v>
      </c>
      <c r="AE111">
        <v>8</v>
      </c>
      <c r="AF111">
        <v>3</v>
      </c>
      <c r="AG111">
        <v>2025</v>
      </c>
      <c r="AH111" s="13">
        <v>15400</v>
      </c>
      <c r="AI111" s="13">
        <v>13039.09765625</v>
      </c>
      <c r="AJ111" s="13">
        <f t="shared" si="8"/>
        <v>2360.90234375</v>
      </c>
      <c r="AK111" s="14">
        <f t="shared" si="9"/>
        <v>0.15330534699675324</v>
      </c>
      <c r="AL111" s="9">
        <v>15400</v>
      </c>
      <c r="AM111" s="9">
        <v>13524.71381211168</v>
      </c>
      <c r="AN111" s="9">
        <f t="shared" si="10"/>
        <v>1875.2861878883195</v>
      </c>
      <c r="AO111" s="10">
        <f t="shared" si="11"/>
        <v>0.12177183038235841</v>
      </c>
      <c r="AP111" s="16">
        <v>15400</v>
      </c>
      <c r="AQ111" s="16">
        <v>14076.71322321271</v>
      </c>
      <c r="AR111" s="16">
        <f t="shared" si="12"/>
        <v>1323.2867767872904</v>
      </c>
      <c r="AS111" s="17">
        <f t="shared" si="13"/>
        <v>8.5927712778395476E-2</v>
      </c>
      <c r="AT111" s="6">
        <v>15400</v>
      </c>
      <c r="AU111" s="6">
        <v>12356.71875</v>
      </c>
      <c r="AV111" s="6">
        <f t="shared" si="14"/>
        <v>3043.28125</v>
      </c>
      <c r="AW111" s="7">
        <f t="shared" si="15"/>
        <v>0.1976156655844156</v>
      </c>
    </row>
    <row r="112" spans="1:49" x14ac:dyDescent="0.25">
      <c r="A112" t="s">
        <v>56</v>
      </c>
      <c r="B112" t="s">
        <v>303</v>
      </c>
      <c r="C112">
        <v>166917</v>
      </c>
      <c r="D112">
        <v>2013</v>
      </c>
      <c r="E112" t="s">
        <v>124</v>
      </c>
      <c r="F112" t="s">
        <v>373</v>
      </c>
      <c r="G112" t="s">
        <v>374</v>
      </c>
      <c r="I112">
        <v>4</v>
      </c>
      <c r="J112" t="s">
        <v>127</v>
      </c>
      <c r="K112">
        <v>4</v>
      </c>
      <c r="L112" t="s">
        <v>44</v>
      </c>
      <c r="M112">
        <v>1.6</v>
      </c>
      <c r="N112" t="s">
        <v>45</v>
      </c>
      <c r="O112" t="s">
        <v>46</v>
      </c>
      <c r="P112">
        <v>2</v>
      </c>
      <c r="Q112" t="s">
        <v>84</v>
      </c>
      <c r="R112" t="s">
        <v>85</v>
      </c>
      <c r="U112" t="s">
        <v>50</v>
      </c>
      <c r="W112" t="s">
        <v>375</v>
      </c>
      <c r="X112" t="s">
        <v>87</v>
      </c>
      <c r="Y112" t="s">
        <v>53</v>
      </c>
      <c r="AA112">
        <v>0</v>
      </c>
      <c r="AB112" t="s">
        <v>54</v>
      </c>
      <c r="AC112" t="s">
        <v>89</v>
      </c>
      <c r="AD112">
        <v>34</v>
      </c>
      <c r="AE112">
        <v>8</v>
      </c>
      <c r="AF112">
        <v>3</v>
      </c>
      <c r="AG112">
        <v>2025</v>
      </c>
      <c r="AH112" s="13">
        <v>800</v>
      </c>
      <c r="AI112" s="13">
        <v>926.3492431640625</v>
      </c>
      <c r="AJ112" s="13">
        <f t="shared" si="8"/>
        <v>126.3492431640625</v>
      </c>
      <c r="AK112" s="14">
        <f t="shared" si="9"/>
        <v>0.15793655395507813</v>
      </c>
      <c r="AL112" s="9">
        <v>800</v>
      </c>
      <c r="AM112" s="9">
        <v>1011.531833050414</v>
      </c>
      <c r="AN112" s="9">
        <f t="shared" si="10"/>
        <v>211.53183305041398</v>
      </c>
      <c r="AO112" s="10">
        <f t="shared" si="11"/>
        <v>0.26441479131301748</v>
      </c>
      <c r="AP112" s="16">
        <v>800</v>
      </c>
      <c r="AQ112" s="16">
        <v>827.67440040983388</v>
      </c>
      <c r="AR112" s="16">
        <f t="shared" si="12"/>
        <v>27.674400409833879</v>
      </c>
      <c r="AS112" s="17">
        <f t="shared" si="13"/>
        <v>3.4593000512292346E-2</v>
      </c>
      <c r="AT112" s="6">
        <v>800</v>
      </c>
      <c r="AU112" s="6">
        <v>923.840087890625</v>
      </c>
      <c r="AV112" s="6">
        <f t="shared" si="14"/>
        <v>123.840087890625</v>
      </c>
      <c r="AW112" s="7">
        <f t="shared" si="15"/>
        <v>0.15480010986328124</v>
      </c>
    </row>
    <row r="113" spans="1:49" x14ac:dyDescent="0.25">
      <c r="A113" t="s">
        <v>69</v>
      </c>
      <c r="B113" t="s">
        <v>128</v>
      </c>
      <c r="C113">
        <v>171090</v>
      </c>
      <c r="D113">
        <v>2010</v>
      </c>
      <c r="E113" t="s">
        <v>184</v>
      </c>
      <c r="F113" t="s">
        <v>376</v>
      </c>
      <c r="H113" t="s">
        <v>89</v>
      </c>
      <c r="I113">
        <v>4</v>
      </c>
      <c r="J113" t="s">
        <v>74</v>
      </c>
      <c r="K113">
        <v>4</v>
      </c>
      <c r="L113" t="s">
        <v>44</v>
      </c>
      <c r="M113">
        <v>2</v>
      </c>
      <c r="N113" t="s">
        <v>45</v>
      </c>
      <c r="Q113" t="s">
        <v>84</v>
      </c>
      <c r="R113" t="s">
        <v>85</v>
      </c>
      <c r="U113" t="s">
        <v>50</v>
      </c>
      <c r="W113" t="s">
        <v>377</v>
      </c>
      <c r="X113" t="s">
        <v>87</v>
      </c>
      <c r="Y113" t="s">
        <v>97</v>
      </c>
      <c r="AA113">
        <v>0</v>
      </c>
      <c r="AB113" t="s">
        <v>54</v>
      </c>
      <c r="AC113" t="s">
        <v>89</v>
      </c>
      <c r="AD113">
        <v>34</v>
      </c>
      <c r="AE113">
        <v>8</v>
      </c>
      <c r="AF113">
        <v>3</v>
      </c>
      <c r="AG113">
        <v>2025</v>
      </c>
      <c r="AH113" s="13">
        <v>1900</v>
      </c>
      <c r="AI113" s="13">
        <v>1219.419921875</v>
      </c>
      <c r="AJ113" s="13">
        <f t="shared" si="8"/>
        <v>680.580078125</v>
      </c>
      <c r="AK113" s="14">
        <f t="shared" si="9"/>
        <v>0.35820004111842108</v>
      </c>
      <c r="AL113" s="9">
        <v>1900</v>
      </c>
      <c r="AM113" s="9">
        <v>1204.0416993233271</v>
      </c>
      <c r="AN113" s="9">
        <f t="shared" si="10"/>
        <v>695.95830067667293</v>
      </c>
      <c r="AO113" s="10">
        <f t="shared" si="11"/>
        <v>0.36629384246140678</v>
      </c>
      <c r="AP113" s="16">
        <v>1900</v>
      </c>
      <c r="AQ113" s="16">
        <v>1023.357199378794</v>
      </c>
      <c r="AR113" s="16">
        <f t="shared" si="12"/>
        <v>876.64280062120599</v>
      </c>
      <c r="AS113" s="17">
        <f t="shared" si="13"/>
        <v>0.46139094769537159</v>
      </c>
      <c r="AT113" s="6">
        <v>1900</v>
      </c>
      <c r="AU113" s="6">
        <v>1227.058471679688</v>
      </c>
      <c r="AV113" s="6">
        <f t="shared" si="14"/>
        <v>672.94152832031205</v>
      </c>
      <c r="AW113" s="7">
        <f t="shared" si="15"/>
        <v>0.35417975174753263</v>
      </c>
    </row>
    <row r="114" spans="1:49" x14ac:dyDescent="0.25">
      <c r="A114" t="s">
        <v>107</v>
      </c>
      <c r="B114" t="s">
        <v>108</v>
      </c>
      <c r="C114">
        <v>107052</v>
      </c>
      <c r="D114">
        <v>2018</v>
      </c>
      <c r="E114" t="s">
        <v>40</v>
      </c>
      <c r="F114" t="s">
        <v>119</v>
      </c>
      <c r="G114" t="s">
        <v>378</v>
      </c>
      <c r="I114">
        <v>4</v>
      </c>
      <c r="J114" t="s">
        <v>74</v>
      </c>
      <c r="K114">
        <v>4</v>
      </c>
      <c r="L114" t="s">
        <v>44</v>
      </c>
      <c r="M114">
        <v>2</v>
      </c>
      <c r="N114" t="s">
        <v>45</v>
      </c>
      <c r="O114" t="s">
        <v>46</v>
      </c>
      <c r="P114">
        <v>1</v>
      </c>
      <c r="Q114" t="s">
        <v>47</v>
      </c>
      <c r="R114" t="s">
        <v>48</v>
      </c>
      <c r="S114" t="s">
        <v>49</v>
      </c>
      <c r="T114">
        <v>161</v>
      </c>
      <c r="U114" t="s">
        <v>50</v>
      </c>
      <c r="W114" t="s">
        <v>379</v>
      </c>
      <c r="X114" t="s">
        <v>52</v>
      </c>
      <c r="Y114" t="s">
        <v>53</v>
      </c>
      <c r="AA114">
        <v>0</v>
      </c>
      <c r="AB114" t="s">
        <v>54</v>
      </c>
      <c r="AC114" t="s">
        <v>55</v>
      </c>
      <c r="AD114">
        <v>34</v>
      </c>
      <c r="AE114">
        <v>8</v>
      </c>
      <c r="AF114">
        <v>3</v>
      </c>
      <c r="AG114">
        <v>2025</v>
      </c>
      <c r="AH114" s="13">
        <v>2400</v>
      </c>
      <c r="AI114" s="13">
        <v>2051.310302734375</v>
      </c>
      <c r="AJ114" s="13">
        <f t="shared" si="8"/>
        <v>348.689697265625</v>
      </c>
      <c r="AK114" s="14">
        <f t="shared" si="9"/>
        <v>0.14528737386067708</v>
      </c>
      <c r="AL114" s="9">
        <v>2400</v>
      </c>
      <c r="AM114" s="9">
        <v>2666.3589874275099</v>
      </c>
      <c r="AN114" s="9">
        <f t="shared" si="10"/>
        <v>266.35898742750987</v>
      </c>
      <c r="AO114" s="10">
        <f t="shared" si="11"/>
        <v>0.11098291142812912</v>
      </c>
      <c r="AP114" s="16">
        <v>2400</v>
      </c>
      <c r="AQ114" s="16">
        <v>2676.927925910029</v>
      </c>
      <c r="AR114" s="16">
        <f t="shared" si="12"/>
        <v>276.92792591002899</v>
      </c>
      <c r="AS114" s="17">
        <f t="shared" si="13"/>
        <v>0.11538663579584542</v>
      </c>
      <c r="AT114" s="6">
        <v>2400</v>
      </c>
      <c r="AU114" s="6">
        <v>2703.072998046875</v>
      </c>
      <c r="AV114" s="6">
        <f t="shared" si="14"/>
        <v>303.072998046875</v>
      </c>
      <c r="AW114" s="7">
        <f t="shared" si="15"/>
        <v>0.12628041585286459</v>
      </c>
    </row>
    <row r="115" spans="1:49" x14ac:dyDescent="0.25">
      <c r="A115" t="s">
        <v>38</v>
      </c>
      <c r="B115" t="s">
        <v>229</v>
      </c>
      <c r="C115">
        <v>80729</v>
      </c>
      <c r="D115">
        <v>2020</v>
      </c>
      <c r="E115" t="s">
        <v>91</v>
      </c>
      <c r="F115" t="s">
        <v>315</v>
      </c>
      <c r="G115" t="s">
        <v>380</v>
      </c>
      <c r="H115" t="s">
        <v>381</v>
      </c>
      <c r="I115">
        <v>6</v>
      </c>
      <c r="J115" t="s">
        <v>94</v>
      </c>
      <c r="K115">
        <v>4</v>
      </c>
      <c r="L115" t="s">
        <v>44</v>
      </c>
      <c r="M115">
        <v>3.5</v>
      </c>
      <c r="N115" t="s">
        <v>45</v>
      </c>
      <c r="O115" t="s">
        <v>46</v>
      </c>
      <c r="P115">
        <v>3</v>
      </c>
      <c r="Q115" t="s">
        <v>47</v>
      </c>
      <c r="R115" t="s">
        <v>48</v>
      </c>
      <c r="S115" t="s">
        <v>49</v>
      </c>
      <c r="T115">
        <v>295</v>
      </c>
      <c r="U115" t="s">
        <v>50</v>
      </c>
      <c r="V115" t="s">
        <v>64</v>
      </c>
      <c r="W115" t="s">
        <v>228</v>
      </c>
      <c r="X115" t="s">
        <v>141</v>
      </c>
      <c r="Y115" t="s">
        <v>67</v>
      </c>
      <c r="AA115">
        <v>0</v>
      </c>
      <c r="AB115" t="s">
        <v>54</v>
      </c>
      <c r="AC115" t="s">
        <v>55</v>
      </c>
      <c r="AD115">
        <v>34</v>
      </c>
      <c r="AE115">
        <v>8</v>
      </c>
      <c r="AF115">
        <v>3</v>
      </c>
      <c r="AG115">
        <v>2025</v>
      </c>
      <c r="AH115" s="13">
        <v>26100</v>
      </c>
      <c r="AI115" s="13">
        <v>19262.74609375</v>
      </c>
      <c r="AJ115" s="13">
        <f t="shared" si="8"/>
        <v>6837.25390625</v>
      </c>
      <c r="AK115" s="14">
        <f t="shared" si="9"/>
        <v>0.26196375119731802</v>
      </c>
      <c r="AL115" s="9">
        <v>26100</v>
      </c>
      <c r="AM115" s="9">
        <v>19456.370894750689</v>
      </c>
      <c r="AN115" s="9">
        <f t="shared" si="10"/>
        <v>6643.6291052493107</v>
      </c>
      <c r="AO115" s="10">
        <f t="shared" si="11"/>
        <v>0.25454517644633373</v>
      </c>
      <c r="AP115" s="16">
        <v>26100</v>
      </c>
      <c r="AQ115" s="16">
        <v>16804.95227227619</v>
      </c>
      <c r="AR115" s="16">
        <f t="shared" si="12"/>
        <v>9295.0477277238097</v>
      </c>
      <c r="AS115" s="17">
        <f t="shared" si="13"/>
        <v>0.35613209684765557</v>
      </c>
      <c r="AT115" s="6">
        <v>26100</v>
      </c>
      <c r="AU115" s="6">
        <v>17249.544921875</v>
      </c>
      <c r="AV115" s="6">
        <f t="shared" si="14"/>
        <v>8850.455078125</v>
      </c>
      <c r="AW115" s="7">
        <f t="shared" si="15"/>
        <v>0.33909789571360155</v>
      </c>
    </row>
    <row r="116" spans="1:49" x14ac:dyDescent="0.25">
      <c r="A116" t="s">
        <v>56</v>
      </c>
      <c r="B116" t="s">
        <v>123</v>
      </c>
      <c r="C116">
        <v>109840</v>
      </c>
      <c r="D116">
        <v>2011</v>
      </c>
      <c r="E116" t="s">
        <v>382</v>
      </c>
      <c r="F116" t="s">
        <v>383</v>
      </c>
      <c r="G116" t="s">
        <v>194</v>
      </c>
      <c r="H116" t="s">
        <v>384</v>
      </c>
      <c r="I116">
        <v>4</v>
      </c>
      <c r="J116" t="s">
        <v>82</v>
      </c>
      <c r="K116">
        <v>4</v>
      </c>
      <c r="L116" t="s">
        <v>44</v>
      </c>
      <c r="M116">
        <v>2.4</v>
      </c>
      <c r="N116" t="s">
        <v>45</v>
      </c>
      <c r="O116" t="s">
        <v>46</v>
      </c>
      <c r="P116">
        <v>4</v>
      </c>
      <c r="Q116" t="s">
        <v>84</v>
      </c>
      <c r="R116" t="s">
        <v>85</v>
      </c>
      <c r="S116" t="s">
        <v>102</v>
      </c>
      <c r="U116" t="s">
        <v>50</v>
      </c>
      <c r="X116" t="s">
        <v>87</v>
      </c>
      <c r="Y116" t="s">
        <v>67</v>
      </c>
      <c r="AA116">
        <v>0</v>
      </c>
      <c r="AB116" t="s">
        <v>54</v>
      </c>
      <c r="AC116" t="s">
        <v>89</v>
      </c>
      <c r="AD116">
        <v>34</v>
      </c>
      <c r="AE116">
        <v>8</v>
      </c>
      <c r="AF116">
        <v>3</v>
      </c>
      <c r="AG116">
        <v>2025</v>
      </c>
      <c r="AH116" s="13">
        <v>1500</v>
      </c>
      <c r="AI116" s="13">
        <v>2286.763671875</v>
      </c>
      <c r="AJ116" s="13">
        <f t="shared" si="8"/>
        <v>786.763671875</v>
      </c>
      <c r="AK116" s="14">
        <f t="shared" si="9"/>
        <v>0.52450911458333338</v>
      </c>
      <c r="AL116" s="9">
        <v>1500</v>
      </c>
      <c r="AM116" s="9">
        <v>1887.4256963980549</v>
      </c>
      <c r="AN116" s="9">
        <f t="shared" si="10"/>
        <v>387.42569639805492</v>
      </c>
      <c r="AO116" s="10">
        <f t="shared" si="11"/>
        <v>0.25828379759870329</v>
      </c>
      <c r="AP116" s="16">
        <v>1500</v>
      </c>
      <c r="AQ116" s="16">
        <v>1910.4139416745529</v>
      </c>
      <c r="AR116" s="16">
        <f t="shared" si="12"/>
        <v>410.41394167455292</v>
      </c>
      <c r="AS116" s="17">
        <f t="shared" si="13"/>
        <v>0.27360929444970195</v>
      </c>
      <c r="AT116" s="6">
        <v>1500</v>
      </c>
      <c r="AU116" s="6">
        <v>1929.856811523438</v>
      </c>
      <c r="AV116" s="6">
        <f t="shared" si="14"/>
        <v>429.85681152343795</v>
      </c>
      <c r="AW116" s="7">
        <f t="shared" si="15"/>
        <v>0.286571207682292</v>
      </c>
    </row>
    <row r="117" spans="1:49" x14ac:dyDescent="0.25">
      <c r="A117" t="s">
        <v>56</v>
      </c>
      <c r="B117" t="s">
        <v>303</v>
      </c>
      <c r="C117">
        <v>136480</v>
      </c>
      <c r="D117">
        <v>2010</v>
      </c>
      <c r="E117" t="s">
        <v>385</v>
      </c>
      <c r="F117" t="s">
        <v>386</v>
      </c>
      <c r="G117" t="s">
        <v>232</v>
      </c>
      <c r="I117">
        <v>6</v>
      </c>
      <c r="J117" t="s">
        <v>82</v>
      </c>
      <c r="K117">
        <v>4</v>
      </c>
      <c r="L117" t="s">
        <v>44</v>
      </c>
      <c r="M117">
        <v>3.2</v>
      </c>
      <c r="N117" t="s">
        <v>44</v>
      </c>
      <c r="Q117" t="s">
        <v>47</v>
      </c>
      <c r="R117" t="s">
        <v>48</v>
      </c>
      <c r="T117">
        <v>270</v>
      </c>
      <c r="U117" t="s">
        <v>50</v>
      </c>
      <c r="X117" t="s">
        <v>141</v>
      </c>
      <c r="Y117" t="s">
        <v>244</v>
      </c>
      <c r="AA117">
        <v>0</v>
      </c>
      <c r="AB117" t="s">
        <v>54</v>
      </c>
      <c r="AC117" t="s">
        <v>55</v>
      </c>
      <c r="AD117">
        <v>34</v>
      </c>
      <c r="AE117">
        <v>8</v>
      </c>
      <c r="AF117">
        <v>3</v>
      </c>
      <c r="AG117">
        <v>2025</v>
      </c>
      <c r="AH117" s="13">
        <v>800</v>
      </c>
      <c r="AI117" s="13">
        <v>2655.177978515625</v>
      </c>
      <c r="AJ117" s="13">
        <f t="shared" si="8"/>
        <v>1855.177978515625</v>
      </c>
      <c r="AK117" s="14">
        <f t="shared" si="9"/>
        <v>2.3189724731445311</v>
      </c>
      <c r="AL117" s="9">
        <v>800</v>
      </c>
      <c r="AM117" s="9">
        <v>2446.094643441872</v>
      </c>
      <c r="AN117" s="9">
        <f t="shared" si="10"/>
        <v>1646.094643441872</v>
      </c>
      <c r="AO117" s="10">
        <f t="shared" si="11"/>
        <v>2.0576183043023399</v>
      </c>
      <c r="AP117" s="16">
        <v>800</v>
      </c>
      <c r="AQ117" s="16">
        <v>2187.9226341514909</v>
      </c>
      <c r="AR117" s="16">
        <f t="shared" si="12"/>
        <v>1387.9226341514909</v>
      </c>
      <c r="AS117" s="17">
        <f t="shared" si="13"/>
        <v>1.7349032926893637</v>
      </c>
      <c r="AT117" s="6">
        <v>800</v>
      </c>
      <c r="AU117" s="6">
        <v>2510.68017578125</v>
      </c>
      <c r="AV117" s="6">
        <f t="shared" si="14"/>
        <v>1710.68017578125</v>
      </c>
      <c r="AW117" s="7">
        <f t="shared" si="15"/>
        <v>2.1383502197265627</v>
      </c>
    </row>
    <row r="118" spans="1:49" x14ac:dyDescent="0.25">
      <c r="A118" t="s">
        <v>69</v>
      </c>
      <c r="B118" t="s">
        <v>70</v>
      </c>
      <c r="C118">
        <v>40524</v>
      </c>
      <c r="D118">
        <v>2024</v>
      </c>
      <c r="E118" t="s">
        <v>79</v>
      </c>
      <c r="F118" t="s">
        <v>387</v>
      </c>
      <c r="G118" t="s">
        <v>273</v>
      </c>
      <c r="H118" t="s">
        <v>388</v>
      </c>
      <c r="I118">
        <v>8</v>
      </c>
      <c r="J118" t="s">
        <v>43</v>
      </c>
      <c r="K118">
        <v>4</v>
      </c>
      <c r="L118" t="s">
        <v>44</v>
      </c>
      <c r="M118">
        <v>6.6</v>
      </c>
      <c r="N118" t="s">
        <v>62</v>
      </c>
      <c r="O118" t="s">
        <v>46</v>
      </c>
      <c r="P118">
        <v>4</v>
      </c>
      <c r="Q118" t="s">
        <v>75</v>
      </c>
      <c r="R118" t="s">
        <v>76</v>
      </c>
      <c r="S118" t="s">
        <v>63</v>
      </c>
      <c r="U118" t="s">
        <v>300</v>
      </c>
      <c r="V118" t="s">
        <v>64</v>
      </c>
      <c r="W118" t="s">
        <v>389</v>
      </c>
      <c r="X118" t="s">
        <v>390</v>
      </c>
      <c r="Y118" t="s">
        <v>67</v>
      </c>
      <c r="AA118">
        <v>0</v>
      </c>
      <c r="AB118" t="s">
        <v>54</v>
      </c>
      <c r="AC118" t="s">
        <v>78</v>
      </c>
      <c r="AD118">
        <v>34</v>
      </c>
      <c r="AE118">
        <v>8</v>
      </c>
      <c r="AF118">
        <v>3</v>
      </c>
      <c r="AG118">
        <v>2025</v>
      </c>
      <c r="AH118" s="13">
        <v>51800</v>
      </c>
      <c r="AI118" s="13">
        <v>65721.765625</v>
      </c>
      <c r="AJ118" s="13">
        <f t="shared" si="8"/>
        <v>13921.765625</v>
      </c>
      <c r="AK118" s="14">
        <f t="shared" si="9"/>
        <v>0.26875995415057913</v>
      </c>
      <c r="AL118" s="9">
        <v>51800</v>
      </c>
      <c r="AM118" s="9">
        <v>59472.482160184059</v>
      </c>
      <c r="AN118" s="9">
        <f t="shared" si="10"/>
        <v>7672.4821601840595</v>
      </c>
      <c r="AO118" s="10">
        <f t="shared" si="11"/>
        <v>0.14811741621976948</v>
      </c>
      <c r="AP118" s="16">
        <v>51800</v>
      </c>
      <c r="AQ118" s="16">
        <v>62913.089737640526</v>
      </c>
      <c r="AR118" s="16">
        <f t="shared" si="12"/>
        <v>11113.089737640526</v>
      </c>
      <c r="AS118" s="17">
        <f t="shared" si="13"/>
        <v>0.21453841192356229</v>
      </c>
      <c r="AT118" s="6">
        <v>51800</v>
      </c>
      <c r="AU118" s="6">
        <v>56613.9765625</v>
      </c>
      <c r="AV118" s="6">
        <f t="shared" si="14"/>
        <v>4813.9765625</v>
      </c>
      <c r="AW118" s="7">
        <f t="shared" si="15"/>
        <v>9.2933910472972975E-2</v>
      </c>
    </row>
    <row r="119" spans="1:49" x14ac:dyDescent="0.25">
      <c r="A119" t="s">
        <v>107</v>
      </c>
      <c r="B119" t="s">
        <v>108</v>
      </c>
      <c r="C119">
        <v>3057</v>
      </c>
      <c r="D119">
        <v>2023</v>
      </c>
      <c r="E119" t="s">
        <v>79</v>
      </c>
      <c r="F119" t="s">
        <v>391</v>
      </c>
      <c r="G119" t="s">
        <v>392</v>
      </c>
      <c r="I119">
        <v>6</v>
      </c>
      <c r="J119" t="s">
        <v>101</v>
      </c>
      <c r="K119">
        <v>4</v>
      </c>
      <c r="L119" t="s">
        <v>44</v>
      </c>
      <c r="M119">
        <v>3.6</v>
      </c>
      <c r="N119" t="s">
        <v>44</v>
      </c>
      <c r="O119" t="s">
        <v>46</v>
      </c>
      <c r="P119">
        <v>5</v>
      </c>
      <c r="Q119" t="s">
        <v>47</v>
      </c>
      <c r="R119" t="s">
        <v>48</v>
      </c>
      <c r="S119" t="s">
        <v>139</v>
      </c>
      <c r="U119" t="s">
        <v>50</v>
      </c>
      <c r="V119" t="s">
        <v>64</v>
      </c>
      <c r="W119" t="s">
        <v>393</v>
      </c>
      <c r="X119" t="s">
        <v>66</v>
      </c>
      <c r="Y119" t="s">
        <v>106</v>
      </c>
      <c r="AA119">
        <v>0</v>
      </c>
      <c r="AB119" t="s">
        <v>54</v>
      </c>
      <c r="AC119" t="s">
        <v>55</v>
      </c>
      <c r="AD119">
        <v>34</v>
      </c>
      <c r="AE119">
        <v>8</v>
      </c>
      <c r="AF119">
        <v>3</v>
      </c>
      <c r="AG119">
        <v>2025</v>
      </c>
      <c r="AH119" s="13">
        <v>35700</v>
      </c>
      <c r="AI119" s="13">
        <v>46404.86328125</v>
      </c>
      <c r="AJ119" s="13">
        <f t="shared" si="8"/>
        <v>10704.86328125</v>
      </c>
      <c r="AK119" s="14">
        <f t="shared" si="9"/>
        <v>0.29985611432072828</v>
      </c>
      <c r="AL119" s="9">
        <v>35700</v>
      </c>
      <c r="AM119" s="9">
        <v>45057.793015438023</v>
      </c>
      <c r="AN119" s="9">
        <f t="shared" si="10"/>
        <v>9357.7930154380228</v>
      </c>
      <c r="AO119" s="10">
        <f t="shared" si="11"/>
        <v>0.26212305365372612</v>
      </c>
      <c r="AP119" s="16">
        <v>35700</v>
      </c>
      <c r="AQ119" s="16">
        <v>35925.284131695</v>
      </c>
      <c r="AR119" s="16">
        <f t="shared" si="12"/>
        <v>225.28413169499981</v>
      </c>
      <c r="AS119" s="17">
        <f t="shared" si="13"/>
        <v>6.3104798794117595E-3</v>
      </c>
      <c r="AT119" s="6">
        <v>35700</v>
      </c>
      <c r="AU119" s="6">
        <v>44103.3203125</v>
      </c>
      <c r="AV119" s="6">
        <f t="shared" si="14"/>
        <v>8403.3203125</v>
      </c>
      <c r="AW119" s="7">
        <f t="shared" si="15"/>
        <v>0.23538712359943978</v>
      </c>
    </row>
    <row r="120" spans="1:49" x14ac:dyDescent="0.25">
      <c r="A120" t="s">
        <v>69</v>
      </c>
      <c r="B120" t="s">
        <v>160</v>
      </c>
      <c r="C120">
        <v>106345</v>
      </c>
      <c r="D120">
        <v>2015</v>
      </c>
      <c r="E120" t="s">
        <v>269</v>
      </c>
      <c r="F120" t="s">
        <v>394</v>
      </c>
      <c r="H120" t="s">
        <v>395</v>
      </c>
      <c r="I120">
        <v>8</v>
      </c>
      <c r="J120" t="s">
        <v>82</v>
      </c>
      <c r="K120">
        <v>4</v>
      </c>
      <c r="L120" t="s">
        <v>44</v>
      </c>
      <c r="M120">
        <v>4.4000000000000004</v>
      </c>
      <c r="N120" t="s">
        <v>116</v>
      </c>
      <c r="O120" t="s">
        <v>46</v>
      </c>
      <c r="P120">
        <v>1</v>
      </c>
      <c r="Q120" t="s">
        <v>84</v>
      </c>
      <c r="R120" t="s">
        <v>85</v>
      </c>
      <c r="T120">
        <v>448</v>
      </c>
      <c r="U120" t="s">
        <v>50</v>
      </c>
      <c r="X120" t="s">
        <v>87</v>
      </c>
      <c r="Y120" t="s">
        <v>244</v>
      </c>
      <c r="AA120">
        <v>0</v>
      </c>
      <c r="AB120" t="s">
        <v>54</v>
      </c>
      <c r="AC120" t="s">
        <v>89</v>
      </c>
      <c r="AD120">
        <v>34</v>
      </c>
      <c r="AE120">
        <v>8</v>
      </c>
      <c r="AF120">
        <v>3</v>
      </c>
      <c r="AG120">
        <v>2025</v>
      </c>
      <c r="AH120" s="13">
        <v>6700</v>
      </c>
      <c r="AI120" s="13">
        <v>4208.73388671875</v>
      </c>
      <c r="AJ120" s="13">
        <f t="shared" si="8"/>
        <v>2491.26611328125</v>
      </c>
      <c r="AK120" s="14">
        <f t="shared" si="9"/>
        <v>0.37183076317630598</v>
      </c>
      <c r="AL120" s="9">
        <v>6700</v>
      </c>
      <c r="AM120" s="9">
        <v>5720.3963179199081</v>
      </c>
      <c r="AN120" s="9">
        <f t="shared" si="10"/>
        <v>979.60368208009186</v>
      </c>
      <c r="AO120" s="10">
        <f t="shared" si="11"/>
        <v>0.1462095047880734</v>
      </c>
      <c r="AP120" s="16">
        <v>6700</v>
      </c>
      <c r="AQ120" s="16">
        <v>4356.4022567563152</v>
      </c>
      <c r="AR120" s="16">
        <f t="shared" si="12"/>
        <v>2343.5977432436848</v>
      </c>
      <c r="AS120" s="17">
        <f t="shared" si="13"/>
        <v>0.3497907079468186</v>
      </c>
      <c r="AT120" s="6">
        <v>6700</v>
      </c>
      <c r="AU120" s="6">
        <v>5238.07861328125</v>
      </c>
      <c r="AV120" s="6">
        <f t="shared" si="14"/>
        <v>1461.92138671875</v>
      </c>
      <c r="AW120" s="7">
        <f t="shared" si="15"/>
        <v>0.21819722189832089</v>
      </c>
    </row>
    <row r="121" spans="1:49" x14ac:dyDescent="0.25">
      <c r="A121" t="s">
        <v>56</v>
      </c>
      <c r="B121" t="s">
        <v>196</v>
      </c>
      <c r="C121">
        <v>122780</v>
      </c>
      <c r="D121">
        <v>2020</v>
      </c>
      <c r="E121" t="s">
        <v>169</v>
      </c>
      <c r="F121" t="s">
        <v>396</v>
      </c>
      <c r="G121" t="s">
        <v>397</v>
      </c>
      <c r="I121">
        <v>4</v>
      </c>
      <c r="J121" t="s">
        <v>74</v>
      </c>
      <c r="K121">
        <v>4</v>
      </c>
      <c r="L121" t="s">
        <v>44</v>
      </c>
      <c r="M121">
        <v>2</v>
      </c>
      <c r="N121" t="s">
        <v>44</v>
      </c>
      <c r="O121" t="s">
        <v>46</v>
      </c>
      <c r="Q121" t="s">
        <v>47</v>
      </c>
      <c r="R121" t="s">
        <v>48</v>
      </c>
      <c r="S121" t="s">
        <v>139</v>
      </c>
      <c r="T121">
        <v>152</v>
      </c>
      <c r="U121" t="s">
        <v>50</v>
      </c>
      <c r="X121" t="s">
        <v>52</v>
      </c>
      <c r="Y121" t="s">
        <v>97</v>
      </c>
      <c r="Z121">
        <v>23195</v>
      </c>
      <c r="AA121">
        <v>0</v>
      </c>
      <c r="AB121" t="s">
        <v>54</v>
      </c>
      <c r="AC121" t="s">
        <v>55</v>
      </c>
      <c r="AD121">
        <v>34</v>
      </c>
      <c r="AE121">
        <v>8</v>
      </c>
      <c r="AF121">
        <v>3</v>
      </c>
      <c r="AG121">
        <v>2025</v>
      </c>
      <c r="AH121" s="13">
        <v>9600</v>
      </c>
      <c r="AI121" s="13">
        <v>6821.89501953125</v>
      </c>
      <c r="AJ121" s="13">
        <f t="shared" si="8"/>
        <v>2778.10498046875</v>
      </c>
      <c r="AK121" s="14">
        <f t="shared" si="9"/>
        <v>0.28938593546549479</v>
      </c>
      <c r="AL121" s="9">
        <v>9600</v>
      </c>
      <c r="AM121" s="9">
        <v>7834.8344131590738</v>
      </c>
      <c r="AN121" s="9">
        <f t="shared" si="10"/>
        <v>1765.1655868409262</v>
      </c>
      <c r="AO121" s="10">
        <f t="shared" si="11"/>
        <v>0.18387141529592982</v>
      </c>
      <c r="AP121" s="16">
        <v>9600</v>
      </c>
      <c r="AQ121" s="16">
        <v>9141.6366665137684</v>
      </c>
      <c r="AR121" s="16">
        <f t="shared" si="12"/>
        <v>458.36333348623157</v>
      </c>
      <c r="AS121" s="17">
        <f t="shared" si="13"/>
        <v>4.7746180571482458E-2</v>
      </c>
      <c r="AT121" s="6">
        <v>9600</v>
      </c>
      <c r="AU121" s="6">
        <v>6362.50830078125</v>
      </c>
      <c r="AV121" s="6">
        <f t="shared" si="14"/>
        <v>3237.49169921875</v>
      </c>
      <c r="AW121" s="7">
        <f t="shared" si="15"/>
        <v>0.33723871866861982</v>
      </c>
    </row>
    <row r="122" spans="1:49" x14ac:dyDescent="0.25">
      <c r="A122" t="s">
        <v>38</v>
      </c>
      <c r="B122" t="s">
        <v>167</v>
      </c>
      <c r="C122">
        <v>225044</v>
      </c>
      <c r="D122">
        <v>2010</v>
      </c>
      <c r="E122" t="s">
        <v>71</v>
      </c>
      <c r="F122" t="s">
        <v>238</v>
      </c>
      <c r="I122">
        <v>4</v>
      </c>
      <c r="J122" t="s">
        <v>61</v>
      </c>
      <c r="K122">
        <v>4</v>
      </c>
      <c r="L122" t="s">
        <v>44</v>
      </c>
      <c r="M122">
        <v>2</v>
      </c>
      <c r="N122" t="s">
        <v>45</v>
      </c>
      <c r="O122" t="s">
        <v>42</v>
      </c>
      <c r="Q122" t="s">
        <v>84</v>
      </c>
      <c r="R122" t="s">
        <v>85</v>
      </c>
      <c r="S122" t="s">
        <v>49</v>
      </c>
      <c r="T122">
        <v>140</v>
      </c>
      <c r="U122" t="s">
        <v>50</v>
      </c>
      <c r="X122" t="s">
        <v>87</v>
      </c>
      <c r="Y122" t="s">
        <v>106</v>
      </c>
      <c r="AA122">
        <v>0</v>
      </c>
      <c r="AB122" t="s">
        <v>54</v>
      </c>
      <c r="AC122" t="s">
        <v>89</v>
      </c>
      <c r="AD122">
        <v>34</v>
      </c>
      <c r="AE122">
        <v>8</v>
      </c>
      <c r="AF122">
        <v>3</v>
      </c>
      <c r="AG122">
        <v>2025</v>
      </c>
      <c r="AH122" s="13">
        <v>350</v>
      </c>
      <c r="AI122" s="13">
        <v>321.47613525390619</v>
      </c>
      <c r="AJ122" s="13">
        <f t="shared" si="8"/>
        <v>28.523864746093807</v>
      </c>
      <c r="AK122" s="14">
        <f t="shared" si="9"/>
        <v>8.1496756417410873E-2</v>
      </c>
      <c r="AL122" s="9">
        <v>350</v>
      </c>
      <c r="AM122" s="9">
        <v>341.75126594249389</v>
      </c>
      <c r="AN122" s="9">
        <f t="shared" si="10"/>
        <v>8.2487340575061125</v>
      </c>
      <c r="AO122" s="10">
        <f t="shared" si="11"/>
        <v>2.3567811592874608E-2</v>
      </c>
      <c r="AP122" s="16">
        <v>350</v>
      </c>
      <c r="AQ122" s="16">
        <v>382.67018366212187</v>
      </c>
      <c r="AR122" s="16">
        <f t="shared" si="12"/>
        <v>32.670183662121872</v>
      </c>
      <c r="AS122" s="17">
        <f t="shared" si="13"/>
        <v>9.334338189177678E-2</v>
      </c>
      <c r="AT122" s="6">
        <v>350</v>
      </c>
      <c r="AU122" s="6">
        <v>425.54299926757813</v>
      </c>
      <c r="AV122" s="6">
        <f t="shared" si="14"/>
        <v>75.542999267578125</v>
      </c>
      <c r="AW122" s="7">
        <f t="shared" si="15"/>
        <v>0.21583714076450894</v>
      </c>
    </row>
    <row r="123" spans="1:49" x14ac:dyDescent="0.25">
      <c r="A123" t="s">
        <v>56</v>
      </c>
      <c r="B123" t="s">
        <v>178</v>
      </c>
      <c r="C123">
        <v>114920</v>
      </c>
      <c r="D123">
        <v>2014</v>
      </c>
      <c r="E123" t="s">
        <v>58</v>
      </c>
      <c r="F123" t="s">
        <v>325</v>
      </c>
      <c r="G123" t="s">
        <v>236</v>
      </c>
      <c r="I123">
        <v>6</v>
      </c>
      <c r="J123" t="s">
        <v>82</v>
      </c>
      <c r="K123">
        <v>4</v>
      </c>
      <c r="L123" t="s">
        <v>44</v>
      </c>
      <c r="M123">
        <v>3.7</v>
      </c>
      <c r="N123" t="s">
        <v>44</v>
      </c>
      <c r="O123" t="s">
        <v>42</v>
      </c>
      <c r="P123">
        <v>1</v>
      </c>
      <c r="Q123" t="s">
        <v>47</v>
      </c>
      <c r="R123" t="s">
        <v>48</v>
      </c>
      <c r="S123" t="s">
        <v>139</v>
      </c>
      <c r="T123">
        <v>305</v>
      </c>
      <c r="U123" t="s">
        <v>50</v>
      </c>
      <c r="V123" t="s">
        <v>64</v>
      </c>
      <c r="X123" t="s">
        <v>141</v>
      </c>
      <c r="Y123" t="s">
        <v>88</v>
      </c>
      <c r="AA123">
        <v>0</v>
      </c>
      <c r="AB123" t="s">
        <v>54</v>
      </c>
      <c r="AC123" t="s">
        <v>55</v>
      </c>
      <c r="AD123">
        <v>34</v>
      </c>
      <c r="AE123">
        <v>8</v>
      </c>
      <c r="AF123">
        <v>3</v>
      </c>
      <c r="AG123">
        <v>2025</v>
      </c>
      <c r="AH123" s="13">
        <v>1100</v>
      </c>
      <c r="AI123" s="13">
        <v>1624.241455078125</v>
      </c>
      <c r="AJ123" s="13">
        <f t="shared" si="8"/>
        <v>524.241455078125</v>
      </c>
      <c r="AK123" s="14">
        <f t="shared" si="9"/>
        <v>0.47658314098011362</v>
      </c>
      <c r="AL123" s="9">
        <v>1100</v>
      </c>
      <c r="AM123" s="9">
        <v>1831.781405526767</v>
      </c>
      <c r="AN123" s="9">
        <f t="shared" si="10"/>
        <v>731.781405526767</v>
      </c>
      <c r="AO123" s="10">
        <f t="shared" si="11"/>
        <v>0.66525582320615184</v>
      </c>
      <c r="AP123" s="16">
        <v>1100</v>
      </c>
      <c r="AQ123" s="16">
        <v>1620.206401835763</v>
      </c>
      <c r="AR123" s="16">
        <f t="shared" si="12"/>
        <v>520.20640183576302</v>
      </c>
      <c r="AS123" s="17">
        <f t="shared" si="13"/>
        <v>0.47291491075978453</v>
      </c>
      <c r="AT123" s="6">
        <v>1100</v>
      </c>
      <c r="AU123" s="6">
        <v>1824.16064453125</v>
      </c>
      <c r="AV123" s="6">
        <f t="shared" si="14"/>
        <v>724.16064453125</v>
      </c>
      <c r="AW123" s="7">
        <f t="shared" si="15"/>
        <v>0.65832785866477272</v>
      </c>
    </row>
    <row r="124" spans="1:49" x14ac:dyDescent="0.25">
      <c r="A124" t="s">
        <v>56</v>
      </c>
      <c r="B124" t="s">
        <v>178</v>
      </c>
      <c r="C124">
        <v>248386</v>
      </c>
      <c r="D124">
        <v>2007</v>
      </c>
      <c r="E124" t="s">
        <v>188</v>
      </c>
      <c r="F124" t="s">
        <v>398</v>
      </c>
      <c r="G124" t="s">
        <v>236</v>
      </c>
      <c r="I124">
        <v>6</v>
      </c>
      <c r="J124" t="s">
        <v>94</v>
      </c>
      <c r="K124">
        <v>4</v>
      </c>
      <c r="L124" t="s">
        <v>44</v>
      </c>
      <c r="M124">
        <v>3.7</v>
      </c>
      <c r="N124" t="s">
        <v>44</v>
      </c>
      <c r="O124" t="s">
        <v>46</v>
      </c>
      <c r="P124">
        <v>4</v>
      </c>
      <c r="Q124" t="s">
        <v>47</v>
      </c>
      <c r="R124" t="s">
        <v>48</v>
      </c>
      <c r="T124">
        <v>300</v>
      </c>
      <c r="U124" t="s">
        <v>50</v>
      </c>
      <c r="V124" t="s">
        <v>64</v>
      </c>
      <c r="W124" t="s">
        <v>399</v>
      </c>
      <c r="X124" t="s">
        <v>141</v>
      </c>
      <c r="Y124" t="s">
        <v>88</v>
      </c>
      <c r="AA124">
        <v>0</v>
      </c>
      <c r="AB124" t="s">
        <v>54</v>
      </c>
      <c r="AC124" t="s">
        <v>55</v>
      </c>
      <c r="AD124">
        <v>34</v>
      </c>
      <c r="AE124">
        <v>8</v>
      </c>
      <c r="AF124">
        <v>3</v>
      </c>
      <c r="AG124">
        <v>2025</v>
      </c>
      <c r="AH124" s="13">
        <v>1000</v>
      </c>
      <c r="AI124" s="13">
        <v>1456.103637695312</v>
      </c>
      <c r="AJ124" s="13">
        <f t="shared" si="8"/>
        <v>456.10363769531205</v>
      </c>
      <c r="AK124" s="14">
        <f t="shared" si="9"/>
        <v>0.45610363769531204</v>
      </c>
      <c r="AL124" s="9">
        <v>1000</v>
      </c>
      <c r="AM124" s="9">
        <v>1508.010882597318</v>
      </c>
      <c r="AN124" s="9">
        <f t="shared" si="10"/>
        <v>508.01088259731796</v>
      </c>
      <c r="AO124" s="10">
        <f t="shared" si="11"/>
        <v>0.50801088259731797</v>
      </c>
      <c r="AP124" s="16">
        <v>1000</v>
      </c>
      <c r="AQ124" s="16">
        <v>1474.098560292349</v>
      </c>
      <c r="AR124" s="16">
        <f t="shared" si="12"/>
        <v>474.09856029234902</v>
      </c>
      <c r="AS124" s="17">
        <f t="shared" si="13"/>
        <v>0.47409856029234904</v>
      </c>
      <c r="AT124" s="6">
        <v>1000</v>
      </c>
      <c r="AU124" s="6">
        <v>1435.542236328125</v>
      </c>
      <c r="AV124" s="6">
        <f t="shared" si="14"/>
        <v>435.542236328125</v>
      </c>
      <c r="AW124" s="7">
        <f t="shared" si="15"/>
        <v>0.435542236328125</v>
      </c>
    </row>
    <row r="125" spans="1:49" x14ac:dyDescent="0.25">
      <c r="A125" t="s">
        <v>56</v>
      </c>
      <c r="B125" t="s">
        <v>123</v>
      </c>
      <c r="C125">
        <v>46385</v>
      </c>
      <c r="D125">
        <v>2016</v>
      </c>
      <c r="E125" t="s">
        <v>173</v>
      </c>
      <c r="F125" t="s">
        <v>370</v>
      </c>
      <c r="G125" t="s">
        <v>400</v>
      </c>
      <c r="H125" t="s">
        <v>401</v>
      </c>
      <c r="I125">
        <v>6</v>
      </c>
      <c r="J125" t="s">
        <v>43</v>
      </c>
      <c r="K125">
        <v>4</v>
      </c>
      <c r="L125" t="s">
        <v>44</v>
      </c>
      <c r="M125">
        <v>3.6</v>
      </c>
      <c r="N125" t="s">
        <v>62</v>
      </c>
      <c r="O125" t="s">
        <v>46</v>
      </c>
      <c r="P125">
        <v>4</v>
      </c>
      <c r="Q125" t="s">
        <v>47</v>
      </c>
      <c r="R125" t="s">
        <v>48</v>
      </c>
      <c r="S125" t="s">
        <v>63</v>
      </c>
      <c r="U125" t="s">
        <v>50</v>
      </c>
      <c r="X125" t="s">
        <v>141</v>
      </c>
      <c r="Y125" t="s">
        <v>67</v>
      </c>
      <c r="AA125">
        <v>0</v>
      </c>
      <c r="AB125" t="s">
        <v>54</v>
      </c>
      <c r="AC125" t="s">
        <v>55</v>
      </c>
      <c r="AD125">
        <v>34</v>
      </c>
      <c r="AE125">
        <v>8</v>
      </c>
      <c r="AF125">
        <v>3</v>
      </c>
      <c r="AG125">
        <v>2025</v>
      </c>
      <c r="AH125" s="13">
        <v>17900</v>
      </c>
      <c r="AI125" s="13">
        <v>19841.04296875</v>
      </c>
      <c r="AJ125" s="13">
        <f t="shared" si="8"/>
        <v>1941.04296875</v>
      </c>
      <c r="AK125" s="14">
        <f t="shared" si="9"/>
        <v>0.10843815467877095</v>
      </c>
      <c r="AL125" s="9">
        <v>17900</v>
      </c>
      <c r="AM125" s="9">
        <v>19193.12000820749</v>
      </c>
      <c r="AN125" s="9">
        <f t="shared" si="10"/>
        <v>1293.1200082074902</v>
      </c>
      <c r="AO125" s="10">
        <f t="shared" si="11"/>
        <v>7.224134124064191E-2</v>
      </c>
      <c r="AP125" s="16">
        <v>17900</v>
      </c>
      <c r="AQ125" s="16">
        <v>17403.382490072599</v>
      </c>
      <c r="AR125" s="16">
        <f t="shared" si="12"/>
        <v>496.61750992740053</v>
      </c>
      <c r="AS125" s="17">
        <f t="shared" si="13"/>
        <v>2.7743994968011203E-2</v>
      </c>
      <c r="AT125" s="6">
        <v>17900</v>
      </c>
      <c r="AU125" s="6">
        <v>16283.8017578125</v>
      </c>
      <c r="AV125" s="6">
        <f t="shared" si="14"/>
        <v>1616.1982421875</v>
      </c>
      <c r="AW125" s="7">
        <f t="shared" si="15"/>
        <v>9.0290404591480453E-2</v>
      </c>
    </row>
    <row r="126" spans="1:49" x14ac:dyDescent="0.25">
      <c r="A126" t="s">
        <v>107</v>
      </c>
      <c r="B126" t="s">
        <v>108</v>
      </c>
      <c r="C126">
        <v>83797</v>
      </c>
      <c r="D126">
        <v>2016</v>
      </c>
      <c r="E126" t="s">
        <v>213</v>
      </c>
      <c r="F126" t="s">
        <v>402</v>
      </c>
      <c r="H126" t="s">
        <v>403</v>
      </c>
      <c r="I126">
        <v>6</v>
      </c>
      <c r="J126" t="s">
        <v>43</v>
      </c>
      <c r="K126">
        <v>4</v>
      </c>
      <c r="L126" t="s">
        <v>44</v>
      </c>
      <c r="M126">
        <v>3</v>
      </c>
      <c r="N126" t="s">
        <v>44</v>
      </c>
      <c r="O126" t="s">
        <v>46</v>
      </c>
      <c r="P126">
        <v>5</v>
      </c>
      <c r="Q126" t="s">
        <v>84</v>
      </c>
      <c r="R126" t="s">
        <v>85</v>
      </c>
      <c r="U126" t="s">
        <v>50</v>
      </c>
      <c r="V126" t="s">
        <v>64</v>
      </c>
      <c r="W126" t="s">
        <v>404</v>
      </c>
      <c r="X126" t="s">
        <v>87</v>
      </c>
      <c r="Y126" t="s">
        <v>67</v>
      </c>
      <c r="AA126">
        <v>0</v>
      </c>
      <c r="AB126" t="s">
        <v>54</v>
      </c>
      <c r="AC126" t="s">
        <v>89</v>
      </c>
      <c r="AD126">
        <v>34</v>
      </c>
      <c r="AE126">
        <v>8</v>
      </c>
      <c r="AF126">
        <v>3</v>
      </c>
      <c r="AG126">
        <v>2025</v>
      </c>
      <c r="AH126" s="13">
        <v>18700</v>
      </c>
      <c r="AI126" s="13">
        <v>10079.921875</v>
      </c>
      <c r="AJ126" s="13">
        <f t="shared" si="8"/>
        <v>8620.078125</v>
      </c>
      <c r="AK126" s="14">
        <f t="shared" si="9"/>
        <v>0.46096674465240639</v>
      </c>
      <c r="AL126" s="9">
        <v>18700</v>
      </c>
      <c r="AM126" s="9">
        <v>15267.558122996101</v>
      </c>
      <c r="AN126" s="9">
        <f t="shared" si="10"/>
        <v>3432.4418770038992</v>
      </c>
      <c r="AO126" s="10">
        <f t="shared" si="11"/>
        <v>0.18355304155101065</v>
      </c>
      <c r="AP126" s="16">
        <v>18700</v>
      </c>
      <c r="AQ126" s="16">
        <v>17686.636311381069</v>
      </c>
      <c r="AR126" s="16">
        <f t="shared" si="12"/>
        <v>1013.3636886189306</v>
      </c>
      <c r="AS126" s="17">
        <f t="shared" si="13"/>
        <v>5.4190571583900032E-2</v>
      </c>
      <c r="AT126" s="6">
        <v>18700</v>
      </c>
      <c r="AU126" s="6">
        <v>14143.5556640625</v>
      </c>
      <c r="AV126" s="6">
        <f t="shared" si="14"/>
        <v>4556.4443359375</v>
      </c>
      <c r="AW126" s="7">
        <f t="shared" si="15"/>
        <v>0.24366012491644384</v>
      </c>
    </row>
    <row r="127" spans="1:49" x14ac:dyDescent="0.25">
      <c r="A127" t="s">
        <v>56</v>
      </c>
      <c r="B127" t="s">
        <v>178</v>
      </c>
      <c r="C127">
        <v>156906</v>
      </c>
      <c r="D127">
        <v>2013</v>
      </c>
      <c r="E127" t="s">
        <v>385</v>
      </c>
      <c r="F127" t="s">
        <v>405</v>
      </c>
      <c r="G127" t="s">
        <v>406</v>
      </c>
      <c r="I127">
        <v>4</v>
      </c>
      <c r="J127" t="s">
        <v>94</v>
      </c>
      <c r="K127">
        <v>4</v>
      </c>
      <c r="L127" t="s">
        <v>44</v>
      </c>
      <c r="M127">
        <v>2</v>
      </c>
      <c r="N127" t="s">
        <v>44</v>
      </c>
      <c r="O127" t="s">
        <v>46</v>
      </c>
      <c r="P127">
        <v>4</v>
      </c>
      <c r="Q127" t="s">
        <v>84</v>
      </c>
      <c r="R127" t="s">
        <v>85</v>
      </c>
      <c r="S127" t="s">
        <v>139</v>
      </c>
      <c r="T127">
        <v>211</v>
      </c>
      <c r="U127" t="s">
        <v>50</v>
      </c>
      <c r="X127" t="s">
        <v>87</v>
      </c>
      <c r="Y127" t="s">
        <v>244</v>
      </c>
      <c r="AA127">
        <v>0</v>
      </c>
      <c r="AB127" t="s">
        <v>54</v>
      </c>
      <c r="AC127" t="s">
        <v>89</v>
      </c>
      <c r="AD127">
        <v>34</v>
      </c>
      <c r="AE127">
        <v>8</v>
      </c>
      <c r="AF127">
        <v>3</v>
      </c>
      <c r="AG127">
        <v>2025</v>
      </c>
      <c r="AH127" s="13">
        <v>3400</v>
      </c>
      <c r="AI127" s="13">
        <v>3180.904296875</v>
      </c>
      <c r="AJ127" s="13">
        <f t="shared" si="8"/>
        <v>219.095703125</v>
      </c>
      <c r="AK127" s="14">
        <f t="shared" si="9"/>
        <v>6.4439912683823528E-2</v>
      </c>
      <c r="AL127" s="9">
        <v>3400</v>
      </c>
      <c r="AM127" s="9">
        <v>2787.2174702071488</v>
      </c>
      <c r="AN127" s="9">
        <f t="shared" si="10"/>
        <v>612.78252979285116</v>
      </c>
      <c r="AO127" s="10">
        <f t="shared" si="11"/>
        <v>0.18023015582142682</v>
      </c>
      <c r="AP127" s="16">
        <v>3400</v>
      </c>
      <c r="AQ127" s="16">
        <v>3354.9887919084158</v>
      </c>
      <c r="AR127" s="16">
        <f t="shared" si="12"/>
        <v>45.011208091584194</v>
      </c>
      <c r="AS127" s="17">
        <f t="shared" si="13"/>
        <v>1.3238590615171821E-2</v>
      </c>
      <c r="AT127" s="6">
        <v>3400</v>
      </c>
      <c r="AU127" s="6">
        <v>2672.813720703125</v>
      </c>
      <c r="AV127" s="6">
        <f t="shared" si="14"/>
        <v>727.186279296875</v>
      </c>
      <c r="AW127" s="7">
        <f t="shared" si="15"/>
        <v>0.21387831744025734</v>
      </c>
    </row>
    <row r="128" spans="1:49" x14ac:dyDescent="0.25">
      <c r="A128" t="s">
        <v>56</v>
      </c>
      <c r="B128" t="s">
        <v>123</v>
      </c>
      <c r="C128">
        <v>222822</v>
      </c>
      <c r="D128">
        <v>2014</v>
      </c>
      <c r="E128" t="s">
        <v>98</v>
      </c>
      <c r="F128" t="s">
        <v>99</v>
      </c>
      <c r="H128" t="s">
        <v>407</v>
      </c>
      <c r="I128">
        <v>6</v>
      </c>
      <c r="J128" t="s">
        <v>82</v>
      </c>
      <c r="K128">
        <v>4</v>
      </c>
      <c r="L128" t="s">
        <v>44</v>
      </c>
      <c r="M128">
        <v>3.6</v>
      </c>
      <c r="N128" t="s">
        <v>44</v>
      </c>
      <c r="O128" t="s">
        <v>339</v>
      </c>
      <c r="P128">
        <v>1</v>
      </c>
      <c r="Q128" t="s">
        <v>47</v>
      </c>
      <c r="R128" t="s">
        <v>48</v>
      </c>
      <c r="S128" t="s">
        <v>139</v>
      </c>
      <c r="U128" t="s">
        <v>50</v>
      </c>
      <c r="V128" t="s">
        <v>64</v>
      </c>
      <c r="W128" t="s">
        <v>153</v>
      </c>
      <c r="X128" t="s">
        <v>66</v>
      </c>
      <c r="Y128" t="s">
        <v>67</v>
      </c>
      <c r="AA128">
        <v>0</v>
      </c>
      <c r="AB128" t="s">
        <v>54</v>
      </c>
      <c r="AC128" t="s">
        <v>55</v>
      </c>
      <c r="AD128">
        <v>34</v>
      </c>
      <c r="AE128">
        <v>8</v>
      </c>
      <c r="AF128">
        <v>3</v>
      </c>
      <c r="AG128">
        <v>2025</v>
      </c>
      <c r="AH128" s="13">
        <v>450</v>
      </c>
      <c r="AI128" s="13">
        <v>611.94744873046875</v>
      </c>
      <c r="AJ128" s="13">
        <f t="shared" si="8"/>
        <v>161.94744873046875</v>
      </c>
      <c r="AK128" s="14">
        <f t="shared" si="9"/>
        <v>0.35988321940104168</v>
      </c>
      <c r="AL128" s="9">
        <v>450</v>
      </c>
      <c r="AM128" s="9">
        <v>675.92517200132522</v>
      </c>
      <c r="AN128" s="9">
        <f t="shared" si="10"/>
        <v>225.92517200132522</v>
      </c>
      <c r="AO128" s="10">
        <f t="shared" si="11"/>
        <v>0.50205593778072277</v>
      </c>
      <c r="AP128" s="16">
        <v>450</v>
      </c>
      <c r="AQ128" s="16">
        <v>415.2405631216177</v>
      </c>
      <c r="AR128" s="16">
        <f t="shared" si="12"/>
        <v>34.759436878382303</v>
      </c>
      <c r="AS128" s="17">
        <f t="shared" si="13"/>
        <v>7.7243193063071786E-2</v>
      </c>
      <c r="AT128" s="6">
        <v>450</v>
      </c>
      <c r="AU128" s="6">
        <v>639.2646484375</v>
      </c>
      <c r="AV128" s="6">
        <f t="shared" si="14"/>
        <v>189.2646484375</v>
      </c>
      <c r="AW128" s="7">
        <f t="shared" si="15"/>
        <v>0.42058810763888888</v>
      </c>
    </row>
    <row r="129" spans="1:49" x14ac:dyDescent="0.25">
      <c r="A129" t="s">
        <v>56</v>
      </c>
      <c r="B129" t="s">
        <v>178</v>
      </c>
      <c r="C129">
        <v>42192</v>
      </c>
      <c r="D129">
        <v>2023</v>
      </c>
      <c r="E129" t="s">
        <v>145</v>
      </c>
      <c r="F129" t="s">
        <v>307</v>
      </c>
      <c r="G129" t="s">
        <v>147</v>
      </c>
      <c r="I129">
        <v>4</v>
      </c>
      <c r="J129" t="s">
        <v>61</v>
      </c>
      <c r="K129">
        <v>4</v>
      </c>
      <c r="L129" t="s">
        <v>44</v>
      </c>
      <c r="M129">
        <v>2</v>
      </c>
      <c r="N129" t="s">
        <v>45</v>
      </c>
      <c r="O129" t="s">
        <v>46</v>
      </c>
      <c r="P129">
        <v>4</v>
      </c>
      <c r="Q129" t="s">
        <v>84</v>
      </c>
      <c r="R129" t="s">
        <v>85</v>
      </c>
      <c r="S129" t="s">
        <v>49</v>
      </c>
      <c r="T129">
        <v>146</v>
      </c>
      <c r="U129" t="s">
        <v>50</v>
      </c>
      <c r="V129" t="s">
        <v>95</v>
      </c>
      <c r="W129" t="s">
        <v>408</v>
      </c>
      <c r="X129" t="s">
        <v>52</v>
      </c>
      <c r="Y129" t="s">
        <v>67</v>
      </c>
      <c r="AA129">
        <v>1</v>
      </c>
      <c r="AB129" t="s">
        <v>130</v>
      </c>
      <c r="AC129" t="s">
        <v>131</v>
      </c>
      <c r="AD129">
        <v>34</v>
      </c>
      <c r="AE129">
        <v>8</v>
      </c>
      <c r="AF129">
        <v>3</v>
      </c>
      <c r="AG129">
        <v>2025</v>
      </c>
      <c r="AH129" s="13">
        <v>24200</v>
      </c>
      <c r="AI129" s="13">
        <v>25109.86328125</v>
      </c>
      <c r="AJ129" s="13">
        <f t="shared" si="8"/>
        <v>909.86328125</v>
      </c>
      <c r="AK129" s="14">
        <f t="shared" si="9"/>
        <v>3.759765625E-2</v>
      </c>
      <c r="AL129" s="9">
        <v>24200</v>
      </c>
      <c r="AM129" s="9">
        <v>23238.86938686897</v>
      </c>
      <c r="AN129" s="9">
        <f t="shared" si="10"/>
        <v>961.13061313103026</v>
      </c>
      <c r="AO129" s="10">
        <f t="shared" si="11"/>
        <v>3.9716141038472326E-2</v>
      </c>
      <c r="AP129" s="16">
        <v>24200</v>
      </c>
      <c r="AQ129" s="16">
        <v>27734.003766582438</v>
      </c>
      <c r="AR129" s="16">
        <f t="shared" si="12"/>
        <v>3534.0037665824384</v>
      </c>
      <c r="AS129" s="17">
        <f t="shared" si="13"/>
        <v>0.14603321349514209</v>
      </c>
      <c r="AT129" s="6">
        <v>24200</v>
      </c>
      <c r="AU129" s="6">
        <v>24393.728515625</v>
      </c>
      <c r="AV129" s="6">
        <f t="shared" si="14"/>
        <v>193.728515625</v>
      </c>
      <c r="AW129" s="7">
        <f t="shared" si="15"/>
        <v>8.0053105630165291E-3</v>
      </c>
    </row>
    <row r="130" spans="1:49" x14ac:dyDescent="0.25">
      <c r="A130" t="s">
        <v>56</v>
      </c>
      <c r="B130" t="s">
        <v>303</v>
      </c>
      <c r="C130">
        <v>108207</v>
      </c>
      <c r="D130">
        <v>2016</v>
      </c>
      <c r="E130" t="s">
        <v>40</v>
      </c>
      <c r="F130" t="s">
        <v>119</v>
      </c>
      <c r="G130" t="s">
        <v>378</v>
      </c>
      <c r="I130">
        <v>4</v>
      </c>
      <c r="J130" t="s">
        <v>43</v>
      </c>
      <c r="K130">
        <v>4</v>
      </c>
      <c r="L130" t="s">
        <v>44</v>
      </c>
      <c r="M130">
        <v>1.6</v>
      </c>
      <c r="N130" t="s">
        <v>45</v>
      </c>
      <c r="O130" t="s">
        <v>42</v>
      </c>
      <c r="P130">
        <v>3</v>
      </c>
      <c r="Q130" t="s">
        <v>47</v>
      </c>
      <c r="R130" t="s">
        <v>48</v>
      </c>
      <c r="U130" t="s">
        <v>50</v>
      </c>
      <c r="W130" t="s">
        <v>409</v>
      </c>
      <c r="X130" t="s">
        <v>122</v>
      </c>
      <c r="Y130" t="s">
        <v>53</v>
      </c>
      <c r="AA130">
        <v>0</v>
      </c>
      <c r="AB130" t="s">
        <v>54</v>
      </c>
      <c r="AC130" t="s">
        <v>55</v>
      </c>
      <c r="AD130">
        <v>34</v>
      </c>
      <c r="AE130">
        <v>8</v>
      </c>
      <c r="AF130">
        <v>3</v>
      </c>
      <c r="AG130">
        <v>2025</v>
      </c>
      <c r="AH130" s="13">
        <v>3100</v>
      </c>
      <c r="AI130" s="13">
        <v>1843.006225585938</v>
      </c>
      <c r="AJ130" s="13">
        <f t="shared" si="8"/>
        <v>1256.993774414062</v>
      </c>
      <c r="AK130" s="14">
        <f t="shared" si="9"/>
        <v>0.40548186271421355</v>
      </c>
      <c r="AL130" s="9">
        <v>3100</v>
      </c>
      <c r="AM130" s="9">
        <v>1711.1246091453449</v>
      </c>
      <c r="AN130" s="9">
        <f t="shared" si="10"/>
        <v>1388.8753908546551</v>
      </c>
      <c r="AO130" s="10">
        <f t="shared" si="11"/>
        <v>0.44802431963053391</v>
      </c>
      <c r="AP130" s="16">
        <v>3100</v>
      </c>
      <c r="AQ130" s="16">
        <v>1777.595415605344</v>
      </c>
      <c r="AR130" s="16">
        <f t="shared" si="12"/>
        <v>1322.404584394656</v>
      </c>
      <c r="AS130" s="17">
        <f t="shared" si="13"/>
        <v>0.42658212399827611</v>
      </c>
      <c r="AT130" s="6">
        <v>3100</v>
      </c>
      <c r="AU130" s="6">
        <v>1729.119873046875</v>
      </c>
      <c r="AV130" s="6">
        <f t="shared" si="14"/>
        <v>1370.880126953125</v>
      </c>
      <c r="AW130" s="7">
        <f t="shared" si="15"/>
        <v>0.44221939579133063</v>
      </c>
    </row>
    <row r="131" spans="1:49" x14ac:dyDescent="0.25">
      <c r="A131" t="s">
        <v>38</v>
      </c>
      <c r="B131" t="s">
        <v>410</v>
      </c>
      <c r="C131">
        <v>103547</v>
      </c>
      <c r="D131">
        <v>2018</v>
      </c>
      <c r="E131" t="s">
        <v>79</v>
      </c>
      <c r="F131" t="s">
        <v>411</v>
      </c>
      <c r="G131" t="s">
        <v>273</v>
      </c>
      <c r="I131">
        <v>6</v>
      </c>
      <c r="J131" t="s">
        <v>101</v>
      </c>
      <c r="K131">
        <v>2</v>
      </c>
      <c r="L131" t="s">
        <v>44</v>
      </c>
      <c r="M131">
        <v>3.6</v>
      </c>
      <c r="N131" t="s">
        <v>62</v>
      </c>
      <c r="O131" t="s">
        <v>46</v>
      </c>
      <c r="P131">
        <v>2</v>
      </c>
      <c r="Q131" t="s">
        <v>75</v>
      </c>
      <c r="R131" t="s">
        <v>76</v>
      </c>
      <c r="S131" t="s">
        <v>63</v>
      </c>
      <c r="U131" t="s">
        <v>50</v>
      </c>
      <c r="V131" t="s">
        <v>64</v>
      </c>
      <c r="W131" t="s">
        <v>412</v>
      </c>
      <c r="X131" t="s">
        <v>141</v>
      </c>
      <c r="Y131" t="s">
        <v>67</v>
      </c>
      <c r="Z131">
        <v>27100</v>
      </c>
      <c r="AA131">
        <v>0</v>
      </c>
      <c r="AB131" t="s">
        <v>54</v>
      </c>
      <c r="AC131" t="s">
        <v>78</v>
      </c>
      <c r="AD131">
        <v>34</v>
      </c>
      <c r="AE131">
        <v>8</v>
      </c>
      <c r="AF131">
        <v>3</v>
      </c>
      <c r="AG131">
        <v>2025</v>
      </c>
      <c r="AH131" s="13">
        <v>12100</v>
      </c>
      <c r="AI131" s="13">
        <v>15036.9873046875</v>
      </c>
      <c r="AJ131" s="13">
        <f t="shared" ref="AJ131:AJ194" si="16">ABS(AH131-AI131)</f>
        <v>2936.9873046875</v>
      </c>
      <c r="AK131" s="14">
        <f t="shared" ref="AK131:AK194" si="17">ABS($AH131-AI131)/$AH131</f>
        <v>0.24272622352789255</v>
      </c>
      <c r="AL131" s="9">
        <v>12100</v>
      </c>
      <c r="AM131" s="9">
        <v>13474.900888377389</v>
      </c>
      <c r="AN131" s="9">
        <f t="shared" ref="AN131:AN194" si="18">ABS(AL131-AM131)</f>
        <v>1374.9008883773895</v>
      </c>
      <c r="AO131" s="10">
        <f t="shared" ref="AO131:AO194" si="19">ABS($AL131-AM131)/$AL131</f>
        <v>0.11362817259317269</v>
      </c>
      <c r="AP131" s="16">
        <v>12100</v>
      </c>
      <c r="AQ131" s="16">
        <v>12622.551901840759</v>
      </c>
      <c r="AR131" s="16">
        <f t="shared" ref="AR131:AR194" si="20">ABS(AP131-AQ131)</f>
        <v>522.55190184075946</v>
      </c>
      <c r="AS131" s="17">
        <f t="shared" ref="AS131:AS194" si="21">ABS($AP131-AQ131)/$AP131</f>
        <v>4.3186107590145406E-2</v>
      </c>
      <c r="AT131" s="6">
        <v>12100</v>
      </c>
      <c r="AU131" s="6">
        <v>13270.787109375</v>
      </c>
      <c r="AV131" s="6">
        <f t="shared" ref="AV131:AV194" si="22">ABS(AT131-AU131)</f>
        <v>1170.787109375</v>
      </c>
      <c r="AW131" s="7">
        <f t="shared" ref="AW131:AW194" si="23">ABS($AT131-AU131)/$AT131</f>
        <v>9.6759265237603309E-2</v>
      </c>
    </row>
    <row r="132" spans="1:49" x14ac:dyDescent="0.25">
      <c r="A132" t="s">
        <v>38</v>
      </c>
      <c r="B132" t="s">
        <v>267</v>
      </c>
      <c r="C132">
        <v>267434</v>
      </c>
      <c r="D132">
        <v>2008</v>
      </c>
      <c r="E132" t="s">
        <v>91</v>
      </c>
      <c r="F132" t="s">
        <v>315</v>
      </c>
      <c r="G132" t="s">
        <v>316</v>
      </c>
      <c r="H132" t="s">
        <v>317</v>
      </c>
      <c r="I132">
        <v>6</v>
      </c>
      <c r="J132" t="s">
        <v>74</v>
      </c>
      <c r="K132">
        <v>4</v>
      </c>
      <c r="L132" t="s">
        <v>44</v>
      </c>
      <c r="M132">
        <v>3.3</v>
      </c>
      <c r="N132" t="s">
        <v>62</v>
      </c>
      <c r="O132" t="s">
        <v>46</v>
      </c>
      <c r="Q132" t="s">
        <v>47</v>
      </c>
      <c r="R132" t="s">
        <v>48</v>
      </c>
      <c r="S132" t="s">
        <v>63</v>
      </c>
      <c r="U132" t="s">
        <v>50</v>
      </c>
      <c r="V132" t="s">
        <v>64</v>
      </c>
      <c r="W132" t="s">
        <v>413</v>
      </c>
      <c r="X132" t="s">
        <v>141</v>
      </c>
      <c r="Y132" t="s">
        <v>97</v>
      </c>
      <c r="AA132">
        <v>1</v>
      </c>
      <c r="AB132" t="s">
        <v>130</v>
      </c>
      <c r="AC132" t="s">
        <v>149</v>
      </c>
      <c r="AD132">
        <v>34</v>
      </c>
      <c r="AE132">
        <v>8</v>
      </c>
      <c r="AF132">
        <v>3</v>
      </c>
      <c r="AG132">
        <v>2025</v>
      </c>
      <c r="AH132" s="13">
        <v>2400</v>
      </c>
      <c r="AI132" s="13">
        <v>1142.08203125</v>
      </c>
      <c r="AJ132" s="13">
        <f t="shared" si="16"/>
        <v>1257.91796875</v>
      </c>
      <c r="AK132" s="14">
        <f t="shared" si="17"/>
        <v>0.5241324869791667</v>
      </c>
      <c r="AL132" s="9">
        <v>2400</v>
      </c>
      <c r="AM132" s="9">
        <v>1792.5153481346181</v>
      </c>
      <c r="AN132" s="9">
        <f t="shared" si="18"/>
        <v>607.48465186538192</v>
      </c>
      <c r="AO132" s="10">
        <f t="shared" si="19"/>
        <v>0.25311860494390914</v>
      </c>
      <c r="AP132" s="16">
        <v>2400</v>
      </c>
      <c r="AQ132" s="16">
        <v>1072.5495104080469</v>
      </c>
      <c r="AR132" s="16">
        <f t="shared" si="20"/>
        <v>1327.4504895919531</v>
      </c>
      <c r="AS132" s="17">
        <f t="shared" si="21"/>
        <v>0.55310437066331375</v>
      </c>
      <c r="AT132" s="6">
        <v>2400</v>
      </c>
      <c r="AU132" s="6">
        <v>1803.033569335938</v>
      </c>
      <c r="AV132" s="6">
        <f t="shared" si="22"/>
        <v>596.96643066406205</v>
      </c>
      <c r="AW132" s="7">
        <f t="shared" si="23"/>
        <v>0.24873601277669252</v>
      </c>
    </row>
    <row r="133" spans="1:49" x14ac:dyDescent="0.25">
      <c r="A133" t="s">
        <v>107</v>
      </c>
      <c r="B133" t="s">
        <v>108</v>
      </c>
      <c r="C133">
        <v>115940</v>
      </c>
      <c r="D133">
        <v>2017</v>
      </c>
      <c r="E133" t="s">
        <v>98</v>
      </c>
      <c r="F133" t="s">
        <v>161</v>
      </c>
      <c r="G133" t="s">
        <v>100</v>
      </c>
      <c r="H133" t="s">
        <v>162</v>
      </c>
      <c r="I133">
        <v>8</v>
      </c>
      <c r="J133" t="s">
        <v>43</v>
      </c>
      <c r="K133">
        <v>4</v>
      </c>
      <c r="L133" t="s">
        <v>44</v>
      </c>
      <c r="M133">
        <v>5.3</v>
      </c>
      <c r="N133" t="s">
        <v>62</v>
      </c>
      <c r="O133" t="s">
        <v>46</v>
      </c>
      <c r="P133">
        <v>3</v>
      </c>
      <c r="Q133" t="s">
        <v>75</v>
      </c>
      <c r="R133" t="s">
        <v>76</v>
      </c>
      <c r="S133" t="s">
        <v>63</v>
      </c>
      <c r="U133" t="s">
        <v>50</v>
      </c>
      <c r="W133" t="s">
        <v>414</v>
      </c>
      <c r="X133" t="s">
        <v>77</v>
      </c>
      <c r="Y133" t="s">
        <v>106</v>
      </c>
      <c r="Z133">
        <v>40375</v>
      </c>
      <c r="AA133">
        <v>0</v>
      </c>
      <c r="AB133" t="s">
        <v>54</v>
      </c>
      <c r="AC133" t="s">
        <v>78</v>
      </c>
      <c r="AD133">
        <v>34</v>
      </c>
      <c r="AE133">
        <v>8</v>
      </c>
      <c r="AF133">
        <v>3</v>
      </c>
      <c r="AG133">
        <v>2025</v>
      </c>
      <c r="AH133" s="13">
        <v>15400</v>
      </c>
      <c r="AI133" s="13">
        <v>16606.716796875</v>
      </c>
      <c r="AJ133" s="13">
        <f t="shared" si="16"/>
        <v>1206.716796875</v>
      </c>
      <c r="AK133" s="14">
        <f t="shared" si="17"/>
        <v>7.8358233563311688E-2</v>
      </c>
      <c r="AL133" s="9">
        <v>15400</v>
      </c>
      <c r="AM133" s="9">
        <v>17975.575482749438</v>
      </c>
      <c r="AN133" s="9">
        <f t="shared" si="18"/>
        <v>2575.5754827494384</v>
      </c>
      <c r="AO133" s="10">
        <f t="shared" si="19"/>
        <v>0.167245161217496</v>
      </c>
      <c r="AP133" s="16">
        <v>15400</v>
      </c>
      <c r="AQ133" s="16">
        <v>17488.643416326358</v>
      </c>
      <c r="AR133" s="16">
        <f t="shared" si="20"/>
        <v>2088.6434163263584</v>
      </c>
      <c r="AS133" s="17">
        <f t="shared" si="21"/>
        <v>0.13562619586534794</v>
      </c>
      <c r="AT133" s="6">
        <v>15400</v>
      </c>
      <c r="AU133" s="6">
        <v>17816.4453125</v>
      </c>
      <c r="AV133" s="6">
        <f t="shared" si="22"/>
        <v>2416.4453125</v>
      </c>
      <c r="AW133" s="7">
        <f t="shared" si="23"/>
        <v>0.15691203327922079</v>
      </c>
    </row>
    <row r="134" spans="1:49" x14ac:dyDescent="0.25">
      <c r="A134" t="s">
        <v>107</v>
      </c>
      <c r="B134" t="s">
        <v>154</v>
      </c>
      <c r="C134">
        <v>216547</v>
      </c>
      <c r="D134">
        <v>2016</v>
      </c>
      <c r="E134" t="s">
        <v>58</v>
      </c>
      <c r="F134" t="s">
        <v>415</v>
      </c>
      <c r="H134" t="s">
        <v>416</v>
      </c>
      <c r="I134">
        <v>6</v>
      </c>
      <c r="J134" t="s">
        <v>61</v>
      </c>
      <c r="K134">
        <v>4</v>
      </c>
      <c r="L134" t="s">
        <v>44</v>
      </c>
      <c r="M134">
        <v>3.5</v>
      </c>
      <c r="N134" t="s">
        <v>62</v>
      </c>
      <c r="O134" t="s">
        <v>46</v>
      </c>
      <c r="Q134" t="s">
        <v>47</v>
      </c>
      <c r="R134" t="s">
        <v>48</v>
      </c>
      <c r="S134" t="s">
        <v>63</v>
      </c>
      <c r="T134">
        <v>365</v>
      </c>
      <c r="U134" t="s">
        <v>50</v>
      </c>
      <c r="V134" t="s">
        <v>64</v>
      </c>
      <c r="W134" t="s">
        <v>65</v>
      </c>
      <c r="X134" t="s">
        <v>77</v>
      </c>
      <c r="Y134" t="s">
        <v>67</v>
      </c>
      <c r="AA134">
        <v>0</v>
      </c>
      <c r="AB134" t="s">
        <v>54</v>
      </c>
      <c r="AC134" t="s">
        <v>55</v>
      </c>
      <c r="AD134">
        <v>34</v>
      </c>
      <c r="AE134">
        <v>8</v>
      </c>
      <c r="AF134">
        <v>3</v>
      </c>
      <c r="AG134">
        <v>2025</v>
      </c>
      <c r="AH134" s="13">
        <v>4100</v>
      </c>
      <c r="AI134" s="13">
        <v>4730.3125</v>
      </c>
      <c r="AJ134" s="13">
        <f t="shared" si="16"/>
        <v>630.3125</v>
      </c>
      <c r="AK134" s="14">
        <f t="shared" si="17"/>
        <v>0.15373475609756099</v>
      </c>
      <c r="AL134" s="9">
        <v>4100</v>
      </c>
      <c r="AM134" s="9">
        <v>4856.0858663628096</v>
      </c>
      <c r="AN134" s="9">
        <f t="shared" si="18"/>
        <v>756.08586636280961</v>
      </c>
      <c r="AO134" s="10">
        <f t="shared" si="19"/>
        <v>0.18441118691775843</v>
      </c>
      <c r="AP134" s="16">
        <v>4100</v>
      </c>
      <c r="AQ134" s="16">
        <v>3047.2707325857609</v>
      </c>
      <c r="AR134" s="16">
        <f t="shared" si="20"/>
        <v>1052.7292674142391</v>
      </c>
      <c r="AS134" s="17">
        <f t="shared" si="21"/>
        <v>0.25676323595469247</v>
      </c>
      <c r="AT134" s="6">
        <v>4100</v>
      </c>
      <c r="AU134" s="6">
        <v>4127.9560546875</v>
      </c>
      <c r="AV134" s="6">
        <f t="shared" si="22"/>
        <v>27.9560546875</v>
      </c>
      <c r="AW134" s="7">
        <f t="shared" si="23"/>
        <v>6.818549923780488E-3</v>
      </c>
    </row>
    <row r="135" spans="1:49" x14ac:dyDescent="0.25">
      <c r="A135" t="s">
        <v>38</v>
      </c>
      <c r="B135" t="s">
        <v>132</v>
      </c>
      <c r="C135">
        <v>50640</v>
      </c>
      <c r="D135">
        <v>2021</v>
      </c>
      <c r="E135" t="s">
        <v>173</v>
      </c>
      <c r="F135" t="s">
        <v>417</v>
      </c>
      <c r="G135" t="s">
        <v>418</v>
      </c>
      <c r="I135">
        <v>6</v>
      </c>
      <c r="J135" t="s">
        <v>43</v>
      </c>
      <c r="K135">
        <v>4</v>
      </c>
      <c r="L135" t="s">
        <v>44</v>
      </c>
      <c r="M135">
        <v>3.6</v>
      </c>
      <c r="N135" t="s">
        <v>62</v>
      </c>
      <c r="O135" t="s">
        <v>46</v>
      </c>
      <c r="P135">
        <v>4</v>
      </c>
      <c r="Q135" t="s">
        <v>75</v>
      </c>
      <c r="R135" t="s">
        <v>76</v>
      </c>
      <c r="S135" t="s">
        <v>63</v>
      </c>
      <c r="T135">
        <v>285</v>
      </c>
      <c r="U135" t="s">
        <v>50</v>
      </c>
      <c r="V135" t="s">
        <v>64</v>
      </c>
      <c r="X135" t="s">
        <v>66</v>
      </c>
      <c r="Y135" t="s">
        <v>67</v>
      </c>
      <c r="AA135">
        <v>0</v>
      </c>
      <c r="AB135" t="s">
        <v>54</v>
      </c>
      <c r="AC135" t="s">
        <v>78</v>
      </c>
      <c r="AD135">
        <v>34</v>
      </c>
      <c r="AE135">
        <v>8</v>
      </c>
      <c r="AF135">
        <v>3</v>
      </c>
      <c r="AG135">
        <v>2025</v>
      </c>
      <c r="AH135" s="13">
        <v>32000</v>
      </c>
      <c r="AI135" s="13">
        <v>27354.91796875</v>
      </c>
      <c r="AJ135" s="13">
        <f t="shared" si="16"/>
        <v>4645.08203125</v>
      </c>
      <c r="AK135" s="14">
        <f t="shared" si="17"/>
        <v>0.14515881347656251</v>
      </c>
      <c r="AL135" s="9">
        <v>32000</v>
      </c>
      <c r="AM135" s="9">
        <v>32488.170196226791</v>
      </c>
      <c r="AN135" s="9">
        <f t="shared" si="18"/>
        <v>488.17019622679072</v>
      </c>
      <c r="AO135" s="10">
        <f t="shared" si="19"/>
        <v>1.5255318632087209E-2</v>
      </c>
      <c r="AP135" s="16">
        <v>32000</v>
      </c>
      <c r="AQ135" s="16">
        <v>34402.976738248413</v>
      </c>
      <c r="AR135" s="16">
        <f t="shared" si="20"/>
        <v>2402.9767382484133</v>
      </c>
      <c r="AS135" s="17">
        <f t="shared" si="21"/>
        <v>7.5093023070262915E-2</v>
      </c>
      <c r="AT135" s="6">
        <v>32000</v>
      </c>
      <c r="AU135" s="6">
        <v>28804.6484375</v>
      </c>
      <c r="AV135" s="6">
        <f t="shared" si="22"/>
        <v>3195.3515625</v>
      </c>
      <c r="AW135" s="7">
        <f t="shared" si="23"/>
        <v>9.9854736328124999E-2</v>
      </c>
    </row>
    <row r="136" spans="1:49" x14ac:dyDescent="0.25">
      <c r="A136" t="s">
        <v>38</v>
      </c>
      <c r="B136" t="s">
        <v>410</v>
      </c>
      <c r="C136">
        <v>189109</v>
      </c>
      <c r="D136">
        <v>2003</v>
      </c>
      <c r="E136" t="s">
        <v>91</v>
      </c>
      <c r="F136" t="s">
        <v>341</v>
      </c>
      <c r="H136" t="s">
        <v>419</v>
      </c>
      <c r="I136">
        <v>4</v>
      </c>
      <c r="J136" t="s">
        <v>74</v>
      </c>
      <c r="K136">
        <v>4</v>
      </c>
      <c r="L136" t="s">
        <v>44</v>
      </c>
      <c r="M136">
        <v>1.8</v>
      </c>
      <c r="N136" t="s">
        <v>45</v>
      </c>
      <c r="O136" t="s">
        <v>46</v>
      </c>
      <c r="Q136" t="s">
        <v>84</v>
      </c>
      <c r="R136" t="s">
        <v>85</v>
      </c>
      <c r="S136" t="s">
        <v>49</v>
      </c>
      <c r="T136">
        <v>130</v>
      </c>
      <c r="U136" t="s">
        <v>50</v>
      </c>
      <c r="V136" t="s">
        <v>95</v>
      </c>
      <c r="W136" t="s">
        <v>158</v>
      </c>
      <c r="X136" t="s">
        <v>87</v>
      </c>
      <c r="Y136" t="s">
        <v>67</v>
      </c>
      <c r="AA136">
        <v>0</v>
      </c>
      <c r="AB136" t="s">
        <v>54</v>
      </c>
      <c r="AC136" t="s">
        <v>89</v>
      </c>
      <c r="AD136">
        <v>34</v>
      </c>
      <c r="AE136">
        <v>8</v>
      </c>
      <c r="AF136">
        <v>3</v>
      </c>
      <c r="AG136">
        <v>2025</v>
      </c>
      <c r="AH136" s="13">
        <v>100</v>
      </c>
      <c r="AI136" s="13">
        <v>1201.95751953125</v>
      </c>
      <c r="AJ136" s="13">
        <f t="shared" si="16"/>
        <v>1101.95751953125</v>
      </c>
      <c r="AK136" s="14">
        <f t="shared" si="17"/>
        <v>11.0195751953125</v>
      </c>
      <c r="AL136" s="9">
        <v>100</v>
      </c>
      <c r="AM136" s="9">
        <v>1083.2283922587269</v>
      </c>
      <c r="AN136" s="9">
        <f t="shared" si="18"/>
        <v>983.2283922587269</v>
      </c>
      <c r="AO136" s="10">
        <f t="shared" si="19"/>
        <v>9.8322839225872691</v>
      </c>
      <c r="AP136" s="16">
        <v>100</v>
      </c>
      <c r="AQ136" s="16">
        <v>886.32012131521219</v>
      </c>
      <c r="AR136" s="16">
        <f t="shared" si="20"/>
        <v>786.32012131521219</v>
      </c>
      <c r="AS136" s="17">
        <f t="shared" si="21"/>
        <v>7.8632012131521218</v>
      </c>
      <c r="AT136" s="6">
        <v>100</v>
      </c>
      <c r="AU136" s="6">
        <v>1035.489135742188</v>
      </c>
      <c r="AV136" s="6">
        <f t="shared" si="22"/>
        <v>935.48913574218795</v>
      </c>
      <c r="AW136" s="7">
        <f t="shared" si="23"/>
        <v>9.3548913574218791</v>
      </c>
    </row>
    <row r="137" spans="1:49" x14ac:dyDescent="0.25">
      <c r="A137" t="s">
        <v>38</v>
      </c>
      <c r="B137" t="s">
        <v>267</v>
      </c>
      <c r="C137">
        <v>64814</v>
      </c>
      <c r="D137">
        <v>2019</v>
      </c>
      <c r="E137" t="s">
        <v>58</v>
      </c>
      <c r="F137" t="s">
        <v>420</v>
      </c>
      <c r="H137" t="s">
        <v>421</v>
      </c>
      <c r="I137">
        <v>6</v>
      </c>
      <c r="J137" t="s">
        <v>43</v>
      </c>
      <c r="K137">
        <v>3</v>
      </c>
      <c r="L137" t="s">
        <v>44</v>
      </c>
      <c r="M137">
        <v>3.7</v>
      </c>
      <c r="N137" t="s">
        <v>116</v>
      </c>
      <c r="O137" t="s">
        <v>46</v>
      </c>
      <c r="P137">
        <v>2</v>
      </c>
      <c r="Q137" t="s">
        <v>75</v>
      </c>
      <c r="R137" t="s">
        <v>422</v>
      </c>
      <c r="S137" t="s">
        <v>139</v>
      </c>
      <c r="T137">
        <v>275</v>
      </c>
      <c r="U137" t="s">
        <v>50</v>
      </c>
      <c r="V137" t="s">
        <v>64</v>
      </c>
      <c r="X137" t="s">
        <v>423</v>
      </c>
      <c r="Y137" t="s">
        <v>67</v>
      </c>
      <c r="AA137">
        <v>0</v>
      </c>
      <c r="AB137" t="s">
        <v>54</v>
      </c>
      <c r="AC137" t="s">
        <v>424</v>
      </c>
      <c r="AD137">
        <v>34</v>
      </c>
      <c r="AE137">
        <v>8</v>
      </c>
      <c r="AF137">
        <v>3</v>
      </c>
      <c r="AG137">
        <v>2025</v>
      </c>
      <c r="AH137" s="13">
        <v>20500</v>
      </c>
      <c r="AI137" s="13">
        <v>14352.056640625</v>
      </c>
      <c r="AJ137" s="13">
        <f t="shared" si="16"/>
        <v>6147.943359375</v>
      </c>
      <c r="AK137" s="14">
        <f t="shared" si="17"/>
        <v>0.29989967606707318</v>
      </c>
      <c r="AL137" s="9">
        <v>20500</v>
      </c>
      <c r="AM137" s="9">
        <v>16975.010436508481</v>
      </c>
      <c r="AN137" s="9">
        <f t="shared" si="18"/>
        <v>3524.9895634915192</v>
      </c>
      <c r="AO137" s="10">
        <f t="shared" si="19"/>
        <v>0.17195071041422044</v>
      </c>
      <c r="AP137" s="16">
        <v>20500</v>
      </c>
      <c r="AQ137" s="16">
        <v>17361.915441416681</v>
      </c>
      <c r="AR137" s="16">
        <f t="shared" si="20"/>
        <v>3138.0845585833194</v>
      </c>
      <c r="AS137" s="17">
        <f t="shared" si="21"/>
        <v>0.15307729554064972</v>
      </c>
      <c r="AT137" s="6">
        <v>20500</v>
      </c>
      <c r="AU137" s="6">
        <v>15210.5361328125</v>
      </c>
      <c r="AV137" s="6">
        <f t="shared" si="22"/>
        <v>5289.4638671875</v>
      </c>
      <c r="AW137" s="7">
        <f t="shared" si="23"/>
        <v>0.25802262766768291</v>
      </c>
    </row>
    <row r="138" spans="1:49" x14ac:dyDescent="0.25">
      <c r="A138" t="s">
        <v>38</v>
      </c>
      <c r="B138" t="s">
        <v>167</v>
      </c>
      <c r="C138">
        <v>110721</v>
      </c>
      <c r="D138">
        <v>2016</v>
      </c>
      <c r="E138" t="s">
        <v>58</v>
      </c>
      <c r="F138" t="s">
        <v>425</v>
      </c>
      <c r="H138" t="s">
        <v>268</v>
      </c>
      <c r="I138">
        <v>4</v>
      </c>
      <c r="J138" t="s">
        <v>82</v>
      </c>
      <c r="K138">
        <v>4</v>
      </c>
      <c r="L138" t="s">
        <v>44</v>
      </c>
      <c r="M138">
        <v>1.5</v>
      </c>
      <c r="N138" t="s">
        <v>45</v>
      </c>
      <c r="Q138" t="s">
        <v>84</v>
      </c>
      <c r="R138" t="s">
        <v>85</v>
      </c>
      <c r="S138" t="s">
        <v>102</v>
      </c>
      <c r="U138" t="s">
        <v>50</v>
      </c>
      <c r="V138" t="s">
        <v>95</v>
      </c>
      <c r="X138" t="s">
        <v>87</v>
      </c>
      <c r="Y138" t="s">
        <v>106</v>
      </c>
      <c r="AA138">
        <v>0</v>
      </c>
      <c r="AB138" t="s">
        <v>54</v>
      </c>
      <c r="AC138" t="s">
        <v>89</v>
      </c>
      <c r="AD138">
        <v>34</v>
      </c>
      <c r="AE138">
        <v>8</v>
      </c>
      <c r="AF138">
        <v>3</v>
      </c>
      <c r="AG138">
        <v>2025</v>
      </c>
      <c r="AH138" s="13">
        <v>1100</v>
      </c>
      <c r="AI138" s="13">
        <v>4488.52880859375</v>
      </c>
      <c r="AJ138" s="13">
        <f t="shared" si="16"/>
        <v>3388.52880859375</v>
      </c>
      <c r="AK138" s="14">
        <f t="shared" si="17"/>
        <v>3.0804807350852275</v>
      </c>
      <c r="AL138" s="9">
        <v>1100</v>
      </c>
      <c r="AM138" s="9">
        <v>4302.0339336054676</v>
      </c>
      <c r="AN138" s="9">
        <f t="shared" si="18"/>
        <v>3202.0339336054676</v>
      </c>
      <c r="AO138" s="10">
        <f t="shared" si="19"/>
        <v>2.910939939641334</v>
      </c>
      <c r="AP138" s="16">
        <v>1100</v>
      </c>
      <c r="AQ138" s="16">
        <v>4109.6012916757209</v>
      </c>
      <c r="AR138" s="16">
        <f t="shared" si="20"/>
        <v>3009.6012916757209</v>
      </c>
      <c r="AS138" s="17">
        <f t="shared" si="21"/>
        <v>2.7360011742506551</v>
      </c>
      <c r="AT138" s="6">
        <v>1100</v>
      </c>
      <c r="AU138" s="6">
        <v>4459.91650390625</v>
      </c>
      <c r="AV138" s="6">
        <f t="shared" si="22"/>
        <v>3359.91650390625</v>
      </c>
      <c r="AW138" s="7">
        <f t="shared" si="23"/>
        <v>3.0544695490056819</v>
      </c>
    </row>
    <row r="139" spans="1:49" x14ac:dyDescent="0.25">
      <c r="A139" t="s">
        <v>38</v>
      </c>
      <c r="B139" t="s">
        <v>90</v>
      </c>
      <c r="C139">
        <v>175748</v>
      </c>
      <c r="D139">
        <v>2014</v>
      </c>
      <c r="E139" t="s">
        <v>91</v>
      </c>
      <c r="F139" t="s">
        <v>426</v>
      </c>
      <c r="G139" t="s">
        <v>427</v>
      </c>
      <c r="H139" t="s">
        <v>428</v>
      </c>
      <c r="I139">
        <v>6</v>
      </c>
      <c r="J139" t="s">
        <v>74</v>
      </c>
      <c r="K139">
        <v>4</v>
      </c>
      <c r="L139" t="s">
        <v>44</v>
      </c>
      <c r="M139">
        <v>4</v>
      </c>
      <c r="N139" t="s">
        <v>116</v>
      </c>
      <c r="O139" t="s">
        <v>46</v>
      </c>
      <c r="P139">
        <v>3</v>
      </c>
      <c r="Q139" t="s">
        <v>75</v>
      </c>
      <c r="R139" t="s">
        <v>76</v>
      </c>
      <c r="S139" t="s">
        <v>49</v>
      </c>
      <c r="T139">
        <v>236</v>
      </c>
      <c r="U139" t="s">
        <v>50</v>
      </c>
      <c r="V139" t="s">
        <v>64</v>
      </c>
      <c r="W139" t="s">
        <v>429</v>
      </c>
      <c r="X139" t="s">
        <v>87</v>
      </c>
      <c r="Y139" t="s">
        <v>106</v>
      </c>
      <c r="AA139">
        <v>0</v>
      </c>
      <c r="AB139" t="s">
        <v>54</v>
      </c>
      <c r="AC139" t="s">
        <v>78</v>
      </c>
      <c r="AD139">
        <v>34</v>
      </c>
      <c r="AE139">
        <v>8</v>
      </c>
      <c r="AF139">
        <v>3</v>
      </c>
      <c r="AG139">
        <v>2025</v>
      </c>
      <c r="AH139" s="13">
        <v>12750</v>
      </c>
      <c r="AI139" s="13">
        <v>7458.224609375</v>
      </c>
      <c r="AJ139" s="13">
        <f t="shared" si="16"/>
        <v>5291.775390625</v>
      </c>
      <c r="AK139" s="14">
        <f t="shared" si="17"/>
        <v>0.41504120710784315</v>
      </c>
      <c r="AL139" s="9">
        <v>12750</v>
      </c>
      <c r="AM139" s="9">
        <v>9417.1227287595975</v>
      </c>
      <c r="AN139" s="9">
        <f t="shared" si="18"/>
        <v>3332.8772712404025</v>
      </c>
      <c r="AO139" s="10">
        <f t="shared" si="19"/>
        <v>0.26140213892081587</v>
      </c>
      <c r="AP139" s="16">
        <v>12750</v>
      </c>
      <c r="AQ139" s="16">
        <v>6695.9263621111504</v>
      </c>
      <c r="AR139" s="16">
        <f t="shared" si="20"/>
        <v>6054.0736378888496</v>
      </c>
      <c r="AS139" s="17">
        <f t="shared" si="21"/>
        <v>0.47482930493245878</v>
      </c>
      <c r="AT139" s="6">
        <v>12750</v>
      </c>
      <c r="AU139" s="6">
        <v>8018.91552734375</v>
      </c>
      <c r="AV139" s="6">
        <f t="shared" si="22"/>
        <v>4731.08447265625</v>
      </c>
      <c r="AW139" s="7">
        <f t="shared" si="23"/>
        <v>0.3710654488357843</v>
      </c>
    </row>
    <row r="140" spans="1:49" x14ac:dyDescent="0.25">
      <c r="A140" t="s">
        <v>38</v>
      </c>
      <c r="B140" t="s">
        <v>289</v>
      </c>
      <c r="C140">
        <v>131414</v>
      </c>
      <c r="D140">
        <v>2016</v>
      </c>
      <c r="E140" t="s">
        <v>40</v>
      </c>
      <c r="F140" t="s">
        <v>360</v>
      </c>
      <c r="G140" t="s">
        <v>313</v>
      </c>
      <c r="I140">
        <v>4</v>
      </c>
      <c r="J140" t="s">
        <v>43</v>
      </c>
      <c r="K140">
        <v>4</v>
      </c>
      <c r="L140" t="s">
        <v>44</v>
      </c>
      <c r="M140">
        <v>2</v>
      </c>
      <c r="N140" t="s">
        <v>44</v>
      </c>
      <c r="Q140" t="s">
        <v>47</v>
      </c>
      <c r="R140" t="s">
        <v>48</v>
      </c>
      <c r="S140" t="s">
        <v>63</v>
      </c>
      <c r="U140" t="s">
        <v>50</v>
      </c>
      <c r="W140" t="s">
        <v>430</v>
      </c>
      <c r="X140" t="s">
        <v>141</v>
      </c>
      <c r="Y140" t="s">
        <v>67</v>
      </c>
      <c r="AA140">
        <v>0</v>
      </c>
      <c r="AB140" t="s">
        <v>54</v>
      </c>
      <c r="AC140" t="s">
        <v>55</v>
      </c>
      <c r="AD140">
        <v>34</v>
      </c>
      <c r="AE140">
        <v>8</v>
      </c>
      <c r="AF140">
        <v>3</v>
      </c>
      <c r="AG140">
        <v>2025</v>
      </c>
      <c r="AH140" s="13">
        <v>3000</v>
      </c>
      <c r="AI140" s="13">
        <v>4312.13818359375</v>
      </c>
      <c r="AJ140" s="13">
        <f t="shared" si="16"/>
        <v>1312.13818359375</v>
      </c>
      <c r="AK140" s="14">
        <f t="shared" si="17"/>
        <v>0.43737939453125002</v>
      </c>
      <c r="AL140" s="9">
        <v>3000</v>
      </c>
      <c r="AM140" s="9">
        <v>4175.1409760595261</v>
      </c>
      <c r="AN140" s="9">
        <f t="shared" si="18"/>
        <v>1175.1409760595261</v>
      </c>
      <c r="AO140" s="10">
        <f t="shared" si="19"/>
        <v>0.3917136586865087</v>
      </c>
      <c r="AP140" s="16">
        <v>3000</v>
      </c>
      <c r="AQ140" s="16">
        <v>3765.5632799230661</v>
      </c>
      <c r="AR140" s="16">
        <f t="shared" si="20"/>
        <v>765.56327992306615</v>
      </c>
      <c r="AS140" s="17">
        <f t="shared" si="21"/>
        <v>0.25518775997435539</v>
      </c>
      <c r="AT140" s="6">
        <v>3000</v>
      </c>
      <c r="AU140" s="6">
        <v>4541.88720703125</v>
      </c>
      <c r="AV140" s="6">
        <f t="shared" si="22"/>
        <v>1541.88720703125</v>
      </c>
      <c r="AW140" s="7">
        <f t="shared" si="23"/>
        <v>0.51396240234375001</v>
      </c>
    </row>
    <row r="141" spans="1:49" x14ac:dyDescent="0.25">
      <c r="A141" t="s">
        <v>56</v>
      </c>
      <c r="B141" t="s">
        <v>431</v>
      </c>
      <c r="C141">
        <v>90629</v>
      </c>
      <c r="D141">
        <v>2014</v>
      </c>
      <c r="E141" t="s">
        <v>145</v>
      </c>
      <c r="F141" t="s">
        <v>146</v>
      </c>
      <c r="G141" t="s">
        <v>432</v>
      </c>
      <c r="I141">
        <v>4</v>
      </c>
      <c r="J141" t="s">
        <v>43</v>
      </c>
      <c r="K141">
        <v>4</v>
      </c>
      <c r="L141" t="s">
        <v>44</v>
      </c>
      <c r="M141">
        <v>2.4</v>
      </c>
      <c r="N141" t="s">
        <v>44</v>
      </c>
      <c r="Q141" t="s">
        <v>47</v>
      </c>
      <c r="R141" t="s">
        <v>48</v>
      </c>
      <c r="S141" t="s">
        <v>139</v>
      </c>
      <c r="T141">
        <v>185</v>
      </c>
      <c r="U141" t="s">
        <v>50</v>
      </c>
      <c r="V141" t="s">
        <v>95</v>
      </c>
      <c r="W141" t="s">
        <v>285</v>
      </c>
      <c r="X141" t="s">
        <v>52</v>
      </c>
      <c r="Y141" t="s">
        <v>67</v>
      </c>
      <c r="AA141">
        <v>0</v>
      </c>
      <c r="AB141" t="s">
        <v>54</v>
      </c>
      <c r="AC141" t="s">
        <v>55</v>
      </c>
      <c r="AD141">
        <v>34</v>
      </c>
      <c r="AE141">
        <v>8</v>
      </c>
      <c r="AF141">
        <v>3</v>
      </c>
      <c r="AG141">
        <v>2025</v>
      </c>
      <c r="AH141" s="13">
        <v>11900</v>
      </c>
      <c r="AI141" s="13">
        <v>10901.248046875</v>
      </c>
      <c r="AJ141" s="13">
        <f t="shared" si="16"/>
        <v>998.751953125</v>
      </c>
      <c r="AK141" s="14">
        <f t="shared" si="17"/>
        <v>8.3928735556722686E-2</v>
      </c>
      <c r="AL141" s="9">
        <v>11900</v>
      </c>
      <c r="AM141" s="9">
        <v>10695.63246543234</v>
      </c>
      <c r="AN141" s="9">
        <f t="shared" si="18"/>
        <v>1204.3675345676602</v>
      </c>
      <c r="AO141" s="10">
        <f t="shared" si="19"/>
        <v>0.10120735584602186</v>
      </c>
      <c r="AP141" s="16">
        <v>11900</v>
      </c>
      <c r="AQ141" s="16">
        <v>8386.1456624453222</v>
      </c>
      <c r="AR141" s="16">
        <f t="shared" si="20"/>
        <v>3513.8543375546778</v>
      </c>
      <c r="AS141" s="17">
        <f t="shared" si="21"/>
        <v>0.29528187710543513</v>
      </c>
      <c r="AT141" s="6">
        <v>11900</v>
      </c>
      <c r="AU141" s="6">
        <v>9978.2802734375</v>
      </c>
      <c r="AV141" s="6">
        <f t="shared" si="22"/>
        <v>1921.7197265625</v>
      </c>
      <c r="AW141" s="7">
        <f t="shared" si="23"/>
        <v>0.16148905265231092</v>
      </c>
    </row>
    <row r="142" spans="1:49" x14ac:dyDescent="0.25">
      <c r="A142" t="s">
        <v>56</v>
      </c>
      <c r="B142" t="s">
        <v>144</v>
      </c>
      <c r="C142">
        <v>59233</v>
      </c>
      <c r="D142">
        <v>2018</v>
      </c>
      <c r="E142" t="s">
        <v>79</v>
      </c>
      <c r="F142" t="s">
        <v>263</v>
      </c>
      <c r="G142" t="s">
        <v>273</v>
      </c>
      <c r="I142">
        <v>4</v>
      </c>
      <c r="J142" t="s">
        <v>74</v>
      </c>
      <c r="K142">
        <v>4</v>
      </c>
      <c r="L142" t="s">
        <v>44</v>
      </c>
      <c r="M142">
        <v>1.4</v>
      </c>
      <c r="N142" t="s">
        <v>45</v>
      </c>
      <c r="O142" t="s">
        <v>46</v>
      </c>
      <c r="P142">
        <v>4</v>
      </c>
      <c r="Q142" t="s">
        <v>84</v>
      </c>
      <c r="R142" t="s">
        <v>85</v>
      </c>
      <c r="S142" t="s">
        <v>102</v>
      </c>
      <c r="U142" t="s">
        <v>50</v>
      </c>
      <c r="V142" t="s">
        <v>95</v>
      </c>
      <c r="W142" t="s">
        <v>311</v>
      </c>
      <c r="X142" t="s">
        <v>87</v>
      </c>
      <c r="Y142" t="s">
        <v>67</v>
      </c>
      <c r="Z142">
        <v>20920</v>
      </c>
      <c r="AA142">
        <v>0</v>
      </c>
      <c r="AB142" t="s">
        <v>54</v>
      </c>
      <c r="AC142" t="s">
        <v>89</v>
      </c>
      <c r="AD142">
        <v>34</v>
      </c>
      <c r="AE142">
        <v>8</v>
      </c>
      <c r="AF142">
        <v>3</v>
      </c>
      <c r="AG142">
        <v>2025</v>
      </c>
      <c r="AH142" s="13">
        <v>9000</v>
      </c>
      <c r="AI142" s="13">
        <v>11864.2763671875</v>
      </c>
      <c r="AJ142" s="13">
        <f t="shared" si="16"/>
        <v>2864.2763671875</v>
      </c>
      <c r="AK142" s="14">
        <f t="shared" si="17"/>
        <v>0.31825292968750002</v>
      </c>
      <c r="AL142" s="9">
        <v>9000</v>
      </c>
      <c r="AM142" s="9">
        <v>11267.03037808161</v>
      </c>
      <c r="AN142" s="9">
        <f t="shared" si="18"/>
        <v>2267.0303780816103</v>
      </c>
      <c r="AO142" s="10">
        <f t="shared" si="19"/>
        <v>0.25189226423129002</v>
      </c>
      <c r="AP142" s="16">
        <v>9000</v>
      </c>
      <c r="AQ142" s="16">
        <v>11063.242240053871</v>
      </c>
      <c r="AR142" s="16">
        <f t="shared" si="20"/>
        <v>2063.2422400538708</v>
      </c>
      <c r="AS142" s="17">
        <f t="shared" si="21"/>
        <v>0.22924913778376341</v>
      </c>
      <c r="AT142" s="6">
        <v>9000</v>
      </c>
      <c r="AU142" s="6">
        <v>10815.126953125</v>
      </c>
      <c r="AV142" s="6">
        <f t="shared" si="22"/>
        <v>1815.126953125</v>
      </c>
      <c r="AW142" s="7">
        <f t="shared" si="23"/>
        <v>0.20168077256944444</v>
      </c>
    </row>
    <row r="143" spans="1:49" x14ac:dyDescent="0.25">
      <c r="A143" t="s">
        <v>69</v>
      </c>
      <c r="B143" t="s">
        <v>128</v>
      </c>
      <c r="C143">
        <v>183972</v>
      </c>
      <c r="D143">
        <v>2007</v>
      </c>
      <c r="E143" t="s">
        <v>79</v>
      </c>
      <c r="F143" t="s">
        <v>433</v>
      </c>
      <c r="G143" t="s">
        <v>434</v>
      </c>
      <c r="H143" t="s">
        <v>435</v>
      </c>
      <c r="I143">
        <v>8</v>
      </c>
      <c r="J143" t="s">
        <v>101</v>
      </c>
      <c r="K143">
        <v>4</v>
      </c>
      <c r="L143" t="s">
        <v>44</v>
      </c>
      <c r="M143">
        <v>5.3</v>
      </c>
      <c r="N143" t="s">
        <v>116</v>
      </c>
      <c r="O143" t="s">
        <v>46</v>
      </c>
      <c r="Q143" t="s">
        <v>47</v>
      </c>
      <c r="R143" t="s">
        <v>436</v>
      </c>
      <c r="S143" t="s">
        <v>49</v>
      </c>
      <c r="V143" t="s">
        <v>64</v>
      </c>
      <c r="W143" t="s">
        <v>437</v>
      </c>
      <c r="X143" t="s">
        <v>66</v>
      </c>
      <c r="Y143" t="s">
        <v>106</v>
      </c>
      <c r="AA143">
        <v>0</v>
      </c>
      <c r="AB143" t="s">
        <v>54</v>
      </c>
      <c r="AC143" t="s">
        <v>55</v>
      </c>
      <c r="AD143">
        <v>34</v>
      </c>
      <c r="AE143">
        <v>8</v>
      </c>
      <c r="AF143">
        <v>3</v>
      </c>
      <c r="AG143">
        <v>2025</v>
      </c>
      <c r="AH143" s="13">
        <v>7500</v>
      </c>
      <c r="AI143" s="13">
        <v>3918.796875</v>
      </c>
      <c r="AJ143" s="13">
        <f t="shared" si="16"/>
        <v>3581.203125</v>
      </c>
      <c r="AK143" s="14">
        <f t="shared" si="17"/>
        <v>0.47749374999999999</v>
      </c>
      <c r="AL143" s="9">
        <v>7500</v>
      </c>
      <c r="AM143" s="9">
        <v>3607.5427043105001</v>
      </c>
      <c r="AN143" s="9">
        <f t="shared" si="18"/>
        <v>3892.4572956894999</v>
      </c>
      <c r="AO143" s="10">
        <f t="shared" si="19"/>
        <v>0.51899430609193331</v>
      </c>
      <c r="AP143" s="16">
        <v>7500</v>
      </c>
      <c r="AQ143" s="16">
        <v>2485.5707337382541</v>
      </c>
      <c r="AR143" s="16">
        <f t="shared" si="20"/>
        <v>5014.4292662617463</v>
      </c>
      <c r="AS143" s="17">
        <f t="shared" si="21"/>
        <v>0.66859056883489953</v>
      </c>
      <c r="AT143" s="6">
        <v>7500</v>
      </c>
      <c r="AU143" s="6">
        <v>3668.61083984375</v>
      </c>
      <c r="AV143" s="6">
        <f t="shared" si="22"/>
        <v>3831.38916015625</v>
      </c>
      <c r="AW143" s="7">
        <f t="shared" si="23"/>
        <v>0.51085188802083337</v>
      </c>
    </row>
    <row r="144" spans="1:49" x14ac:dyDescent="0.25">
      <c r="A144" t="s">
        <v>107</v>
      </c>
      <c r="B144" t="s">
        <v>256</v>
      </c>
      <c r="C144">
        <v>110263</v>
      </c>
      <c r="D144">
        <v>2006</v>
      </c>
      <c r="E144" t="s">
        <v>173</v>
      </c>
      <c r="F144" t="s">
        <v>438</v>
      </c>
      <c r="G144" t="s">
        <v>236</v>
      </c>
      <c r="H144" t="s">
        <v>439</v>
      </c>
      <c r="I144">
        <v>6</v>
      </c>
      <c r="J144" t="s">
        <v>94</v>
      </c>
      <c r="K144">
        <v>4</v>
      </c>
      <c r="L144" t="s">
        <v>44</v>
      </c>
      <c r="M144">
        <v>3.7</v>
      </c>
      <c r="N144" t="s">
        <v>116</v>
      </c>
      <c r="O144" t="s">
        <v>46</v>
      </c>
      <c r="P144">
        <v>2</v>
      </c>
      <c r="Q144" t="s">
        <v>47</v>
      </c>
      <c r="R144" t="s">
        <v>48</v>
      </c>
      <c r="S144" t="s">
        <v>49</v>
      </c>
      <c r="U144" t="s">
        <v>50</v>
      </c>
      <c r="V144" t="s">
        <v>64</v>
      </c>
      <c r="W144" t="s">
        <v>440</v>
      </c>
      <c r="X144" t="s">
        <v>141</v>
      </c>
      <c r="Y144" t="s">
        <v>67</v>
      </c>
      <c r="AA144">
        <v>0</v>
      </c>
      <c r="AB144" t="s">
        <v>54</v>
      </c>
      <c r="AC144" t="s">
        <v>55</v>
      </c>
      <c r="AD144">
        <v>34</v>
      </c>
      <c r="AE144">
        <v>8</v>
      </c>
      <c r="AF144">
        <v>3</v>
      </c>
      <c r="AG144">
        <v>2025</v>
      </c>
      <c r="AH144" s="13">
        <v>500</v>
      </c>
      <c r="AI144" s="13">
        <v>1035.923217773438</v>
      </c>
      <c r="AJ144" s="13">
        <f t="shared" si="16"/>
        <v>535.92321777343795</v>
      </c>
      <c r="AK144" s="14">
        <f t="shared" si="17"/>
        <v>1.071846435546876</v>
      </c>
      <c r="AL144" s="9">
        <v>500</v>
      </c>
      <c r="AM144" s="9">
        <v>781.49473630344619</v>
      </c>
      <c r="AN144" s="9">
        <f t="shared" si="18"/>
        <v>281.49473630344619</v>
      </c>
      <c r="AO144" s="10">
        <f t="shared" si="19"/>
        <v>0.56298947260689236</v>
      </c>
      <c r="AP144" s="16">
        <v>500</v>
      </c>
      <c r="AQ144" s="16">
        <v>675.6902367076043</v>
      </c>
      <c r="AR144" s="16">
        <f t="shared" si="20"/>
        <v>175.6902367076043</v>
      </c>
      <c r="AS144" s="17">
        <f t="shared" si="21"/>
        <v>0.35138047341520862</v>
      </c>
      <c r="AT144" s="6">
        <v>500</v>
      </c>
      <c r="AU144" s="6">
        <v>781.55279541015625</v>
      </c>
      <c r="AV144" s="6">
        <f t="shared" si="22"/>
        <v>281.55279541015625</v>
      </c>
      <c r="AW144" s="7">
        <f t="shared" si="23"/>
        <v>0.56310559082031253</v>
      </c>
    </row>
    <row r="145" spans="1:49" x14ac:dyDescent="0.25">
      <c r="A145" t="s">
        <v>56</v>
      </c>
      <c r="B145" t="s">
        <v>196</v>
      </c>
      <c r="C145">
        <v>88211</v>
      </c>
      <c r="D145">
        <v>2016</v>
      </c>
      <c r="E145" t="s">
        <v>441</v>
      </c>
      <c r="F145" t="s">
        <v>442</v>
      </c>
      <c r="H145" t="s">
        <v>443</v>
      </c>
      <c r="I145">
        <v>4</v>
      </c>
      <c r="J145" t="s">
        <v>82</v>
      </c>
      <c r="K145">
        <v>2</v>
      </c>
      <c r="L145" t="s">
        <v>44</v>
      </c>
      <c r="M145">
        <v>2</v>
      </c>
      <c r="N145" t="s">
        <v>45</v>
      </c>
      <c r="Q145" t="s">
        <v>84</v>
      </c>
      <c r="R145" t="s">
        <v>157</v>
      </c>
      <c r="T145">
        <v>189</v>
      </c>
      <c r="U145" t="s">
        <v>50</v>
      </c>
      <c r="X145" t="s">
        <v>87</v>
      </c>
      <c r="Y145" t="s">
        <v>444</v>
      </c>
      <c r="AA145">
        <v>0</v>
      </c>
      <c r="AB145" t="s">
        <v>54</v>
      </c>
      <c r="AC145" t="s">
        <v>159</v>
      </c>
      <c r="AD145">
        <v>34</v>
      </c>
      <c r="AE145">
        <v>8</v>
      </c>
      <c r="AF145">
        <v>3</v>
      </c>
      <c r="AG145">
        <v>2025</v>
      </c>
      <c r="AH145" s="13">
        <v>6000</v>
      </c>
      <c r="AI145" s="13">
        <v>5099.53076171875</v>
      </c>
      <c r="AJ145" s="13">
        <f t="shared" si="16"/>
        <v>900.46923828125</v>
      </c>
      <c r="AK145" s="14">
        <f t="shared" si="17"/>
        <v>0.15007820638020833</v>
      </c>
      <c r="AL145" s="9">
        <v>6000</v>
      </c>
      <c r="AM145" s="9">
        <v>4536.97539861532</v>
      </c>
      <c r="AN145" s="9">
        <f t="shared" si="18"/>
        <v>1463.02460138468</v>
      </c>
      <c r="AO145" s="10">
        <f t="shared" si="19"/>
        <v>0.24383743356411333</v>
      </c>
      <c r="AP145" s="16">
        <v>6000</v>
      </c>
      <c r="AQ145" s="16">
        <v>4020.105426441216</v>
      </c>
      <c r="AR145" s="16">
        <f t="shared" si="20"/>
        <v>1979.894573558784</v>
      </c>
      <c r="AS145" s="17">
        <f t="shared" si="21"/>
        <v>0.32998242892646401</v>
      </c>
      <c r="AT145" s="6">
        <v>6000</v>
      </c>
      <c r="AU145" s="6">
        <v>5175.26904296875</v>
      </c>
      <c r="AV145" s="6">
        <f t="shared" si="22"/>
        <v>824.73095703125</v>
      </c>
      <c r="AW145" s="7">
        <f t="shared" si="23"/>
        <v>0.13745515950520834</v>
      </c>
    </row>
    <row r="146" spans="1:49" x14ac:dyDescent="0.25">
      <c r="A146" t="s">
        <v>38</v>
      </c>
      <c r="B146" t="s">
        <v>132</v>
      </c>
      <c r="C146">
        <v>58213</v>
      </c>
      <c r="D146">
        <v>2018</v>
      </c>
      <c r="E146" t="s">
        <v>58</v>
      </c>
      <c r="F146" t="s">
        <v>59</v>
      </c>
      <c r="G146" t="s">
        <v>266</v>
      </c>
      <c r="I146">
        <v>4</v>
      </c>
      <c r="J146" t="s">
        <v>74</v>
      </c>
      <c r="K146">
        <v>4</v>
      </c>
      <c r="L146" t="s">
        <v>44</v>
      </c>
      <c r="M146">
        <v>2.2999999999999998</v>
      </c>
      <c r="N146" t="s">
        <v>45</v>
      </c>
      <c r="O146" t="s">
        <v>46</v>
      </c>
      <c r="P146">
        <v>5</v>
      </c>
      <c r="Q146" t="s">
        <v>47</v>
      </c>
      <c r="R146" t="s">
        <v>48</v>
      </c>
      <c r="S146" t="s">
        <v>102</v>
      </c>
      <c r="T146">
        <v>280</v>
      </c>
      <c r="U146" t="s">
        <v>50</v>
      </c>
      <c r="V146" t="s">
        <v>95</v>
      </c>
      <c r="W146" t="s">
        <v>445</v>
      </c>
      <c r="X146" t="s">
        <v>66</v>
      </c>
      <c r="Y146" t="s">
        <v>67</v>
      </c>
      <c r="Z146">
        <v>34175</v>
      </c>
      <c r="AA146">
        <v>0</v>
      </c>
      <c r="AB146" t="s">
        <v>54</v>
      </c>
      <c r="AC146" t="s">
        <v>68</v>
      </c>
      <c r="AD146">
        <v>34</v>
      </c>
      <c r="AE146">
        <v>8</v>
      </c>
      <c r="AF146">
        <v>3</v>
      </c>
      <c r="AG146">
        <v>2025</v>
      </c>
      <c r="AH146" s="13">
        <v>16100</v>
      </c>
      <c r="AI146" s="13">
        <v>19754.734375</v>
      </c>
      <c r="AJ146" s="13">
        <f t="shared" si="16"/>
        <v>3654.734375</v>
      </c>
      <c r="AK146" s="14">
        <f t="shared" si="17"/>
        <v>0.22700213509316769</v>
      </c>
      <c r="AL146" s="9">
        <v>16100</v>
      </c>
      <c r="AM146" s="9">
        <v>19330.633964590041</v>
      </c>
      <c r="AN146" s="9">
        <f t="shared" si="18"/>
        <v>3230.6339645900407</v>
      </c>
      <c r="AO146" s="10">
        <f t="shared" si="19"/>
        <v>0.20066049469503358</v>
      </c>
      <c r="AP146" s="16">
        <v>16100</v>
      </c>
      <c r="AQ146" s="16">
        <v>18386.710334182819</v>
      </c>
      <c r="AR146" s="16">
        <f t="shared" si="20"/>
        <v>2286.7103341828188</v>
      </c>
      <c r="AS146" s="17">
        <f t="shared" si="21"/>
        <v>0.14203169777533037</v>
      </c>
      <c r="AT146" s="6">
        <v>16100</v>
      </c>
      <c r="AU146" s="6">
        <v>18719.46875</v>
      </c>
      <c r="AV146" s="6">
        <f t="shared" si="22"/>
        <v>2619.46875</v>
      </c>
      <c r="AW146" s="7">
        <f t="shared" si="23"/>
        <v>0.16269992236024844</v>
      </c>
    </row>
    <row r="147" spans="1:49" x14ac:dyDescent="0.25">
      <c r="A147" t="s">
        <v>38</v>
      </c>
      <c r="B147" t="s">
        <v>267</v>
      </c>
      <c r="C147">
        <v>110459</v>
      </c>
      <c r="D147">
        <v>2017</v>
      </c>
      <c r="E147" t="s">
        <v>224</v>
      </c>
      <c r="F147" t="s">
        <v>446</v>
      </c>
      <c r="G147" t="s">
        <v>447</v>
      </c>
      <c r="H147" t="s">
        <v>448</v>
      </c>
      <c r="I147">
        <v>4</v>
      </c>
      <c r="J147" t="s">
        <v>43</v>
      </c>
      <c r="K147">
        <v>4</v>
      </c>
      <c r="L147" t="s">
        <v>44</v>
      </c>
      <c r="M147">
        <v>2</v>
      </c>
      <c r="N147" t="s">
        <v>116</v>
      </c>
      <c r="O147" t="s">
        <v>46</v>
      </c>
      <c r="P147">
        <v>3</v>
      </c>
      <c r="Q147" t="s">
        <v>84</v>
      </c>
      <c r="R147" t="s">
        <v>85</v>
      </c>
      <c r="S147" t="s">
        <v>49</v>
      </c>
      <c r="T147">
        <v>241</v>
      </c>
      <c r="U147" t="s">
        <v>50</v>
      </c>
      <c r="V147" t="s">
        <v>95</v>
      </c>
      <c r="W147" t="s">
        <v>449</v>
      </c>
      <c r="X147" t="s">
        <v>87</v>
      </c>
      <c r="Y147" t="s">
        <v>97</v>
      </c>
      <c r="AA147">
        <v>0</v>
      </c>
      <c r="AB147" t="s">
        <v>54</v>
      </c>
      <c r="AC147" t="s">
        <v>89</v>
      </c>
      <c r="AD147">
        <v>34</v>
      </c>
      <c r="AE147">
        <v>8</v>
      </c>
      <c r="AF147">
        <v>3</v>
      </c>
      <c r="AG147">
        <v>2025</v>
      </c>
      <c r="AH147" s="13">
        <v>10750</v>
      </c>
      <c r="AI147" s="13">
        <v>12050.69140625</v>
      </c>
      <c r="AJ147" s="13">
        <f t="shared" si="16"/>
        <v>1300.69140625</v>
      </c>
      <c r="AK147" s="14">
        <f t="shared" si="17"/>
        <v>0.12099454941860466</v>
      </c>
      <c r="AL147" s="9">
        <v>10750</v>
      </c>
      <c r="AM147" s="9">
        <v>11619.74661485708</v>
      </c>
      <c r="AN147" s="9">
        <f t="shared" si="18"/>
        <v>869.7466148570802</v>
      </c>
      <c r="AO147" s="10">
        <f t="shared" si="19"/>
        <v>8.0906661847170255E-2</v>
      </c>
      <c r="AP147" s="16">
        <v>10750</v>
      </c>
      <c r="AQ147" s="16">
        <v>8912.5013222218076</v>
      </c>
      <c r="AR147" s="16">
        <f t="shared" si="20"/>
        <v>1837.4986777781924</v>
      </c>
      <c r="AS147" s="17">
        <f t="shared" si="21"/>
        <v>0.17093010956076207</v>
      </c>
      <c r="AT147" s="6">
        <v>10750</v>
      </c>
      <c r="AU147" s="6">
        <v>9569.484375</v>
      </c>
      <c r="AV147" s="6">
        <f t="shared" si="22"/>
        <v>1180.515625</v>
      </c>
      <c r="AW147" s="7">
        <f t="shared" si="23"/>
        <v>0.10981540697674419</v>
      </c>
    </row>
    <row r="148" spans="1:49" x14ac:dyDescent="0.25">
      <c r="A148" t="s">
        <v>107</v>
      </c>
      <c r="B148" t="s">
        <v>154</v>
      </c>
      <c r="C148">
        <v>138062</v>
      </c>
      <c r="D148">
        <v>2021</v>
      </c>
      <c r="E148" t="s">
        <v>217</v>
      </c>
      <c r="F148" t="s">
        <v>388</v>
      </c>
      <c r="G148" t="s">
        <v>450</v>
      </c>
      <c r="H148" t="s">
        <v>451</v>
      </c>
      <c r="I148">
        <v>8</v>
      </c>
      <c r="J148" t="s">
        <v>43</v>
      </c>
      <c r="K148">
        <v>4</v>
      </c>
      <c r="L148" t="s">
        <v>44</v>
      </c>
      <c r="M148">
        <v>6.4</v>
      </c>
      <c r="N148" t="s">
        <v>62</v>
      </c>
      <c r="O148" t="s">
        <v>46</v>
      </c>
      <c r="P148">
        <v>3</v>
      </c>
      <c r="Q148" t="s">
        <v>75</v>
      </c>
      <c r="R148" t="s">
        <v>76</v>
      </c>
      <c r="S148" t="s">
        <v>63</v>
      </c>
      <c r="T148">
        <v>410</v>
      </c>
      <c r="U148" t="s">
        <v>50</v>
      </c>
      <c r="V148" t="s">
        <v>64</v>
      </c>
      <c r="X148" t="s">
        <v>390</v>
      </c>
      <c r="Y148" t="s">
        <v>106</v>
      </c>
      <c r="AA148">
        <v>0</v>
      </c>
      <c r="AB148" t="s">
        <v>54</v>
      </c>
      <c r="AC148" t="s">
        <v>78</v>
      </c>
      <c r="AD148">
        <v>34</v>
      </c>
      <c r="AE148">
        <v>8</v>
      </c>
      <c r="AF148">
        <v>3</v>
      </c>
      <c r="AG148">
        <v>2025</v>
      </c>
      <c r="AH148" s="13">
        <v>18000</v>
      </c>
      <c r="AI148" s="13">
        <v>17886.982421875</v>
      </c>
      <c r="AJ148" s="13">
        <f t="shared" si="16"/>
        <v>113.017578125</v>
      </c>
      <c r="AK148" s="14">
        <f t="shared" si="17"/>
        <v>6.2787543402777774E-3</v>
      </c>
      <c r="AL148" s="9">
        <v>18000</v>
      </c>
      <c r="AM148" s="9">
        <v>14572.224763162059</v>
      </c>
      <c r="AN148" s="9">
        <f t="shared" si="18"/>
        <v>3427.7752368379406</v>
      </c>
      <c r="AO148" s="10">
        <f t="shared" si="19"/>
        <v>0.19043195760210782</v>
      </c>
      <c r="AP148" s="16">
        <v>18000</v>
      </c>
      <c r="AQ148" s="16">
        <v>21556.401194242258</v>
      </c>
      <c r="AR148" s="16">
        <f t="shared" si="20"/>
        <v>3556.4011942422585</v>
      </c>
      <c r="AS148" s="17">
        <f t="shared" si="21"/>
        <v>0.19757784412456991</v>
      </c>
      <c r="AT148" s="6">
        <v>18000</v>
      </c>
      <c r="AU148" s="6">
        <v>18302.314453125</v>
      </c>
      <c r="AV148" s="6">
        <f t="shared" si="22"/>
        <v>302.314453125</v>
      </c>
      <c r="AW148" s="7">
        <f t="shared" si="23"/>
        <v>1.6795247395833334E-2</v>
      </c>
    </row>
    <row r="149" spans="1:49" x14ac:dyDescent="0.25">
      <c r="A149" t="s">
        <v>69</v>
      </c>
      <c r="B149" t="s">
        <v>452</v>
      </c>
      <c r="C149">
        <v>55809</v>
      </c>
      <c r="D149">
        <v>2016</v>
      </c>
      <c r="E149" t="s">
        <v>58</v>
      </c>
      <c r="F149" t="s">
        <v>453</v>
      </c>
      <c r="H149" t="s">
        <v>454</v>
      </c>
      <c r="I149">
        <v>10</v>
      </c>
      <c r="J149" t="s">
        <v>43</v>
      </c>
      <c r="K149">
        <v>3</v>
      </c>
      <c r="L149" t="s">
        <v>44</v>
      </c>
      <c r="M149">
        <v>6.8</v>
      </c>
      <c r="N149" t="s">
        <v>116</v>
      </c>
      <c r="O149" t="s">
        <v>46</v>
      </c>
      <c r="P149">
        <v>2</v>
      </c>
      <c r="Q149" t="s">
        <v>455</v>
      </c>
      <c r="R149" t="s">
        <v>456</v>
      </c>
      <c r="T149">
        <v>305</v>
      </c>
      <c r="U149" t="s">
        <v>50</v>
      </c>
      <c r="V149" t="s">
        <v>64</v>
      </c>
      <c r="X149" t="s">
        <v>457</v>
      </c>
      <c r="Y149" t="s">
        <v>67</v>
      </c>
      <c r="AA149">
        <v>0</v>
      </c>
      <c r="AB149" t="s">
        <v>54</v>
      </c>
      <c r="AC149" t="s">
        <v>458</v>
      </c>
      <c r="AD149">
        <v>34</v>
      </c>
      <c r="AE149">
        <v>8</v>
      </c>
      <c r="AF149">
        <v>3</v>
      </c>
      <c r="AG149">
        <v>2025</v>
      </c>
      <c r="AH149" s="13">
        <v>19500</v>
      </c>
      <c r="AI149" s="13">
        <v>20845.423828125</v>
      </c>
      <c r="AJ149" s="13">
        <f t="shared" si="16"/>
        <v>1345.423828125</v>
      </c>
      <c r="AK149" s="14">
        <f t="shared" si="17"/>
        <v>6.8996093750000001E-2</v>
      </c>
      <c r="AL149" s="9">
        <v>19500</v>
      </c>
      <c r="AM149" s="9">
        <v>17982.177635628719</v>
      </c>
      <c r="AN149" s="9">
        <f t="shared" si="18"/>
        <v>1517.8223643712809</v>
      </c>
      <c r="AO149" s="10">
        <f t="shared" si="19"/>
        <v>7.7837044326732358E-2</v>
      </c>
      <c r="AP149" s="16">
        <v>19500</v>
      </c>
      <c r="AQ149" s="16">
        <v>15899.48017276097</v>
      </c>
      <c r="AR149" s="16">
        <f t="shared" si="20"/>
        <v>3600.5198272390298</v>
      </c>
      <c r="AS149" s="17">
        <f t="shared" si="21"/>
        <v>0.18464204242251436</v>
      </c>
      <c r="AT149" s="6">
        <v>19500</v>
      </c>
      <c r="AU149" s="6">
        <v>14676.2958984375</v>
      </c>
      <c r="AV149" s="6">
        <f t="shared" si="22"/>
        <v>4823.7041015625</v>
      </c>
      <c r="AW149" s="7">
        <f t="shared" si="23"/>
        <v>0.24736944110576922</v>
      </c>
    </row>
    <row r="150" spans="1:49" x14ac:dyDescent="0.25">
      <c r="A150" t="s">
        <v>107</v>
      </c>
      <c r="B150" t="s">
        <v>256</v>
      </c>
      <c r="C150">
        <v>96656</v>
      </c>
      <c r="D150">
        <v>2021</v>
      </c>
      <c r="E150" t="s">
        <v>217</v>
      </c>
      <c r="F150" t="s">
        <v>162</v>
      </c>
      <c r="G150" t="s">
        <v>459</v>
      </c>
      <c r="H150" t="s">
        <v>460</v>
      </c>
      <c r="I150">
        <v>6</v>
      </c>
      <c r="J150" t="s">
        <v>82</v>
      </c>
      <c r="K150">
        <v>4</v>
      </c>
      <c r="L150" t="s">
        <v>44</v>
      </c>
      <c r="M150">
        <v>3.6</v>
      </c>
      <c r="N150" t="s">
        <v>62</v>
      </c>
      <c r="O150" t="s">
        <v>46</v>
      </c>
      <c r="P150">
        <v>4</v>
      </c>
      <c r="Q150" t="s">
        <v>75</v>
      </c>
      <c r="R150" t="s">
        <v>76</v>
      </c>
      <c r="S150" t="s">
        <v>63</v>
      </c>
      <c r="T150">
        <v>305</v>
      </c>
      <c r="U150" t="s">
        <v>50</v>
      </c>
      <c r="V150" t="s">
        <v>64</v>
      </c>
      <c r="X150" t="s">
        <v>66</v>
      </c>
      <c r="Y150" t="s">
        <v>67</v>
      </c>
      <c r="AA150">
        <v>0</v>
      </c>
      <c r="AB150" t="s">
        <v>54</v>
      </c>
      <c r="AC150" t="s">
        <v>78</v>
      </c>
      <c r="AD150">
        <v>34</v>
      </c>
      <c r="AE150">
        <v>8</v>
      </c>
      <c r="AF150">
        <v>3</v>
      </c>
      <c r="AG150">
        <v>2025</v>
      </c>
      <c r="AH150" s="13">
        <v>21600</v>
      </c>
      <c r="AI150" s="13">
        <v>16618.7421875</v>
      </c>
      <c r="AJ150" s="13">
        <f t="shared" si="16"/>
        <v>4981.2578125</v>
      </c>
      <c r="AK150" s="14">
        <f t="shared" si="17"/>
        <v>0.23061378761574075</v>
      </c>
      <c r="AL150" s="9">
        <v>21600</v>
      </c>
      <c r="AM150" s="9">
        <v>19157.18089365973</v>
      </c>
      <c r="AN150" s="9">
        <f t="shared" si="18"/>
        <v>2442.8191063402701</v>
      </c>
      <c r="AO150" s="10">
        <f t="shared" si="19"/>
        <v>0.11309347714538287</v>
      </c>
      <c r="AP150" s="16">
        <v>21600</v>
      </c>
      <c r="AQ150" s="16">
        <v>19180.869476685752</v>
      </c>
      <c r="AR150" s="16">
        <f t="shared" si="20"/>
        <v>2419.1305233142484</v>
      </c>
      <c r="AS150" s="17">
        <f t="shared" si="21"/>
        <v>0.11199678348677077</v>
      </c>
      <c r="AT150" s="6">
        <v>21600</v>
      </c>
      <c r="AU150" s="6">
        <v>17413.251953125</v>
      </c>
      <c r="AV150" s="6">
        <f t="shared" si="22"/>
        <v>4186.748046875</v>
      </c>
      <c r="AW150" s="7">
        <f t="shared" si="23"/>
        <v>0.19383092809606481</v>
      </c>
    </row>
    <row r="151" spans="1:49" x14ac:dyDescent="0.25">
      <c r="A151" t="s">
        <v>107</v>
      </c>
      <c r="B151" t="s">
        <v>192</v>
      </c>
      <c r="C151">
        <v>83266</v>
      </c>
      <c r="D151">
        <v>2020</v>
      </c>
      <c r="E151" t="s">
        <v>58</v>
      </c>
      <c r="F151" t="s">
        <v>325</v>
      </c>
      <c r="G151" t="s">
        <v>259</v>
      </c>
      <c r="I151">
        <v>4</v>
      </c>
      <c r="J151" t="s">
        <v>43</v>
      </c>
      <c r="K151">
        <v>4</v>
      </c>
      <c r="L151" t="s">
        <v>44</v>
      </c>
      <c r="M151">
        <v>2</v>
      </c>
      <c r="N151" t="s">
        <v>44</v>
      </c>
      <c r="O151" t="s">
        <v>46</v>
      </c>
      <c r="Q151" t="s">
        <v>47</v>
      </c>
      <c r="R151" t="s">
        <v>48</v>
      </c>
      <c r="S151" t="s">
        <v>139</v>
      </c>
      <c r="T151">
        <v>250</v>
      </c>
      <c r="U151" t="s">
        <v>50</v>
      </c>
      <c r="V151" t="s">
        <v>95</v>
      </c>
      <c r="W151" t="s">
        <v>326</v>
      </c>
      <c r="X151" t="s">
        <v>141</v>
      </c>
      <c r="Y151" t="s">
        <v>88</v>
      </c>
      <c r="AA151">
        <v>0</v>
      </c>
      <c r="AB151" t="s">
        <v>54</v>
      </c>
      <c r="AC151" t="s">
        <v>55</v>
      </c>
      <c r="AD151">
        <v>34</v>
      </c>
      <c r="AE151">
        <v>8</v>
      </c>
      <c r="AF151">
        <v>3</v>
      </c>
      <c r="AG151">
        <v>2025</v>
      </c>
      <c r="AH151" s="13">
        <v>14600</v>
      </c>
      <c r="AI151" s="13">
        <v>15663.1826171875</v>
      </c>
      <c r="AJ151" s="13">
        <f t="shared" si="16"/>
        <v>1063.1826171875</v>
      </c>
      <c r="AK151" s="14">
        <f t="shared" si="17"/>
        <v>7.2820727204623292E-2</v>
      </c>
      <c r="AL151" s="9">
        <v>14600</v>
      </c>
      <c r="AM151" s="9">
        <v>17005.261245691869</v>
      </c>
      <c r="AN151" s="9">
        <f t="shared" si="18"/>
        <v>2405.2612456918687</v>
      </c>
      <c r="AO151" s="10">
        <f t="shared" si="19"/>
        <v>0.16474392093779922</v>
      </c>
      <c r="AP151" s="16">
        <v>14600</v>
      </c>
      <c r="AQ151" s="16">
        <v>14784.55384669709</v>
      </c>
      <c r="AR151" s="16">
        <f t="shared" si="20"/>
        <v>184.55384669709019</v>
      </c>
      <c r="AS151" s="17">
        <f t="shared" si="21"/>
        <v>1.2640674431307548E-2</v>
      </c>
      <c r="AT151" s="6">
        <v>14600</v>
      </c>
      <c r="AU151" s="6">
        <v>15909.6142578125</v>
      </c>
      <c r="AV151" s="6">
        <f t="shared" si="22"/>
        <v>1309.6142578125</v>
      </c>
      <c r="AW151" s="7">
        <f t="shared" si="23"/>
        <v>8.9699606699486303E-2</v>
      </c>
    </row>
    <row r="152" spans="1:49" x14ac:dyDescent="0.25">
      <c r="A152" t="s">
        <v>107</v>
      </c>
      <c r="B152" t="s">
        <v>192</v>
      </c>
      <c r="C152">
        <v>172418</v>
      </c>
      <c r="D152">
        <v>2016</v>
      </c>
      <c r="E152" t="s">
        <v>58</v>
      </c>
      <c r="F152" t="s">
        <v>425</v>
      </c>
      <c r="H152" t="s">
        <v>259</v>
      </c>
      <c r="I152">
        <v>4</v>
      </c>
      <c r="J152" t="s">
        <v>74</v>
      </c>
      <c r="K152">
        <v>4</v>
      </c>
      <c r="L152" t="s">
        <v>44</v>
      </c>
      <c r="M152">
        <v>2</v>
      </c>
      <c r="N152" t="s">
        <v>45</v>
      </c>
      <c r="O152" t="s">
        <v>46</v>
      </c>
      <c r="Q152" t="s">
        <v>84</v>
      </c>
      <c r="R152" t="s">
        <v>85</v>
      </c>
      <c r="S152" t="s">
        <v>102</v>
      </c>
      <c r="T152">
        <v>240</v>
      </c>
      <c r="U152" t="s">
        <v>50</v>
      </c>
      <c r="V152" t="s">
        <v>95</v>
      </c>
      <c r="X152" t="s">
        <v>87</v>
      </c>
      <c r="Y152" t="s">
        <v>106</v>
      </c>
      <c r="AA152">
        <v>0</v>
      </c>
      <c r="AB152" t="s">
        <v>54</v>
      </c>
      <c r="AC152" t="s">
        <v>89</v>
      </c>
      <c r="AD152">
        <v>34</v>
      </c>
      <c r="AE152">
        <v>8</v>
      </c>
      <c r="AF152">
        <v>3</v>
      </c>
      <c r="AG152">
        <v>2025</v>
      </c>
      <c r="AH152" s="13">
        <v>5100</v>
      </c>
      <c r="AI152" s="13">
        <v>2540.04833984375</v>
      </c>
      <c r="AJ152" s="13">
        <f t="shared" si="16"/>
        <v>2559.95166015625</v>
      </c>
      <c r="AK152" s="14">
        <f t="shared" si="17"/>
        <v>0.5019513059129902</v>
      </c>
      <c r="AL152" s="9">
        <v>5100</v>
      </c>
      <c r="AM152" s="9">
        <v>2496.624020148101</v>
      </c>
      <c r="AN152" s="9">
        <f t="shared" si="18"/>
        <v>2603.375979851899</v>
      </c>
      <c r="AO152" s="10">
        <f t="shared" si="19"/>
        <v>0.51046587840233315</v>
      </c>
      <c r="AP152" s="16">
        <v>5100</v>
      </c>
      <c r="AQ152" s="16">
        <v>2456.5588608048351</v>
      </c>
      <c r="AR152" s="16">
        <f t="shared" si="20"/>
        <v>2643.4411391951649</v>
      </c>
      <c r="AS152" s="17">
        <f t="shared" si="21"/>
        <v>0.51832179199905193</v>
      </c>
      <c r="AT152" s="6">
        <v>5100</v>
      </c>
      <c r="AU152" s="6">
        <v>2600.12646484375</v>
      </c>
      <c r="AV152" s="6">
        <f t="shared" si="22"/>
        <v>2499.87353515625</v>
      </c>
      <c r="AW152" s="7">
        <f t="shared" si="23"/>
        <v>0.49017128140318628</v>
      </c>
    </row>
    <row r="153" spans="1:49" x14ac:dyDescent="0.25">
      <c r="A153" t="s">
        <v>56</v>
      </c>
      <c r="B153" t="s">
        <v>104</v>
      </c>
      <c r="C153">
        <v>117359</v>
      </c>
      <c r="D153">
        <v>2016</v>
      </c>
      <c r="E153" t="s">
        <v>173</v>
      </c>
      <c r="F153" t="s">
        <v>461</v>
      </c>
      <c r="G153" t="s">
        <v>462</v>
      </c>
      <c r="H153" t="s">
        <v>463</v>
      </c>
      <c r="I153">
        <v>6</v>
      </c>
      <c r="J153" t="s">
        <v>43</v>
      </c>
      <c r="K153">
        <v>4</v>
      </c>
      <c r="L153" t="s">
        <v>44</v>
      </c>
      <c r="M153">
        <v>3.6</v>
      </c>
      <c r="N153" t="s">
        <v>62</v>
      </c>
      <c r="Q153" t="s">
        <v>47</v>
      </c>
      <c r="R153" t="s">
        <v>48</v>
      </c>
      <c r="S153" t="s">
        <v>63</v>
      </c>
      <c r="U153" t="s">
        <v>50</v>
      </c>
      <c r="X153" t="s">
        <v>66</v>
      </c>
      <c r="Y153" t="s">
        <v>67</v>
      </c>
      <c r="AA153">
        <v>0</v>
      </c>
      <c r="AB153" t="s">
        <v>54</v>
      </c>
      <c r="AC153" t="s">
        <v>55</v>
      </c>
      <c r="AD153">
        <v>34</v>
      </c>
      <c r="AE153">
        <v>8</v>
      </c>
      <c r="AF153">
        <v>3</v>
      </c>
      <c r="AG153">
        <v>2025</v>
      </c>
      <c r="AH153" s="13">
        <v>6300</v>
      </c>
      <c r="AI153" s="13">
        <v>7627.56689453125</v>
      </c>
      <c r="AJ153" s="13">
        <f t="shared" si="16"/>
        <v>1327.56689453125</v>
      </c>
      <c r="AK153" s="14">
        <f t="shared" si="17"/>
        <v>0.21072490389384921</v>
      </c>
      <c r="AL153" s="9">
        <v>6300</v>
      </c>
      <c r="AM153" s="9">
        <v>7350.0915236229021</v>
      </c>
      <c r="AN153" s="9">
        <f t="shared" si="18"/>
        <v>1050.0915236229021</v>
      </c>
      <c r="AO153" s="10">
        <f t="shared" si="19"/>
        <v>0.16668119422585748</v>
      </c>
      <c r="AP153" s="16">
        <v>6300</v>
      </c>
      <c r="AQ153" s="16">
        <v>6633.7195675081684</v>
      </c>
      <c r="AR153" s="16">
        <f t="shared" si="20"/>
        <v>333.71956750816844</v>
      </c>
      <c r="AS153" s="17">
        <f t="shared" si="21"/>
        <v>5.2971359921931499E-2</v>
      </c>
      <c r="AT153" s="6">
        <v>6300</v>
      </c>
      <c r="AU153" s="6">
        <v>7528.732421875</v>
      </c>
      <c r="AV153" s="6">
        <f t="shared" si="22"/>
        <v>1228.732421875</v>
      </c>
      <c r="AW153" s="7">
        <f t="shared" si="23"/>
        <v>0.1950368923611111</v>
      </c>
    </row>
    <row r="154" spans="1:49" x14ac:dyDescent="0.25">
      <c r="A154" t="s">
        <v>56</v>
      </c>
      <c r="B154" t="s">
        <v>178</v>
      </c>
      <c r="C154">
        <v>130416</v>
      </c>
      <c r="D154">
        <v>2005</v>
      </c>
      <c r="E154" t="s">
        <v>382</v>
      </c>
      <c r="F154" t="s">
        <v>464</v>
      </c>
      <c r="G154" t="s">
        <v>194</v>
      </c>
      <c r="H154" t="s">
        <v>392</v>
      </c>
      <c r="I154">
        <v>6</v>
      </c>
      <c r="J154" t="s">
        <v>61</v>
      </c>
      <c r="K154">
        <v>4</v>
      </c>
      <c r="L154" t="s">
        <v>44</v>
      </c>
      <c r="M154">
        <v>3.8</v>
      </c>
      <c r="N154" t="s">
        <v>45</v>
      </c>
      <c r="O154" t="s">
        <v>46</v>
      </c>
      <c r="P154">
        <v>3</v>
      </c>
      <c r="Q154" t="s">
        <v>47</v>
      </c>
      <c r="R154" t="s">
        <v>365</v>
      </c>
      <c r="S154" t="s">
        <v>102</v>
      </c>
      <c r="U154" t="s">
        <v>50</v>
      </c>
      <c r="V154" t="s">
        <v>64</v>
      </c>
      <c r="X154" t="s">
        <v>141</v>
      </c>
      <c r="Y154" t="s">
        <v>88</v>
      </c>
      <c r="AA154">
        <v>0</v>
      </c>
      <c r="AB154" t="s">
        <v>54</v>
      </c>
      <c r="AC154" t="s">
        <v>365</v>
      </c>
      <c r="AD154">
        <v>34</v>
      </c>
      <c r="AE154">
        <v>8</v>
      </c>
      <c r="AF154">
        <v>3</v>
      </c>
      <c r="AG154">
        <v>2025</v>
      </c>
      <c r="AH154" s="13">
        <v>1000</v>
      </c>
      <c r="AI154" s="13">
        <v>1180.720947265625</v>
      </c>
      <c r="AJ154" s="13">
        <f t="shared" si="16"/>
        <v>180.720947265625</v>
      </c>
      <c r="AK154" s="14">
        <f t="shared" si="17"/>
        <v>0.18072094726562499</v>
      </c>
      <c r="AL154" s="9">
        <v>1000</v>
      </c>
      <c r="AM154" s="9">
        <v>1023.9573836759359</v>
      </c>
      <c r="AN154" s="9">
        <f t="shared" si="18"/>
        <v>23.957383675935944</v>
      </c>
      <c r="AO154" s="10">
        <f t="shared" si="19"/>
        <v>2.3957383675935945E-2</v>
      </c>
      <c r="AP154" s="16">
        <v>1000</v>
      </c>
      <c r="AQ154" s="16">
        <v>769.90088577987945</v>
      </c>
      <c r="AR154" s="16">
        <f t="shared" si="20"/>
        <v>230.09911422012055</v>
      </c>
      <c r="AS154" s="17">
        <f t="shared" si="21"/>
        <v>0.23009911422012055</v>
      </c>
      <c r="AT154" s="6">
        <v>1000</v>
      </c>
      <c r="AU154" s="6">
        <v>985.7486572265625</v>
      </c>
      <c r="AV154" s="6">
        <f t="shared" si="22"/>
        <v>14.2513427734375</v>
      </c>
      <c r="AW154" s="7">
        <f t="shared" si="23"/>
        <v>1.42513427734375E-2</v>
      </c>
    </row>
    <row r="155" spans="1:49" x14ac:dyDescent="0.25">
      <c r="A155" t="s">
        <v>69</v>
      </c>
      <c r="B155" t="s">
        <v>70</v>
      </c>
      <c r="C155">
        <v>123383</v>
      </c>
      <c r="D155">
        <v>2016</v>
      </c>
      <c r="E155" t="s">
        <v>58</v>
      </c>
      <c r="F155" t="s">
        <v>425</v>
      </c>
      <c r="H155" t="s">
        <v>42</v>
      </c>
      <c r="I155">
        <v>4</v>
      </c>
      <c r="J155" t="s">
        <v>61</v>
      </c>
      <c r="K155">
        <v>4</v>
      </c>
      <c r="L155" t="s">
        <v>44</v>
      </c>
      <c r="M155">
        <v>2.5</v>
      </c>
      <c r="N155" t="s">
        <v>45</v>
      </c>
      <c r="O155" t="s">
        <v>46</v>
      </c>
      <c r="P155">
        <v>3</v>
      </c>
      <c r="Q155" t="s">
        <v>84</v>
      </c>
      <c r="R155" t="s">
        <v>85</v>
      </c>
      <c r="S155" t="s">
        <v>102</v>
      </c>
      <c r="T155">
        <v>175</v>
      </c>
      <c r="U155" t="s">
        <v>50</v>
      </c>
      <c r="V155" t="s">
        <v>95</v>
      </c>
      <c r="X155" t="s">
        <v>87</v>
      </c>
      <c r="Y155" t="s">
        <v>106</v>
      </c>
      <c r="AA155">
        <v>0</v>
      </c>
      <c r="AB155" t="s">
        <v>54</v>
      </c>
      <c r="AC155" t="s">
        <v>89</v>
      </c>
      <c r="AD155">
        <v>34</v>
      </c>
      <c r="AE155">
        <v>8</v>
      </c>
      <c r="AF155">
        <v>3</v>
      </c>
      <c r="AG155">
        <v>2025</v>
      </c>
      <c r="AH155" s="13">
        <v>3750</v>
      </c>
      <c r="AI155" s="13">
        <v>3753.6669921875</v>
      </c>
      <c r="AJ155" s="13">
        <f t="shared" si="16"/>
        <v>3.6669921875</v>
      </c>
      <c r="AK155" s="14">
        <f t="shared" si="17"/>
        <v>9.7786458333333341E-4</v>
      </c>
      <c r="AL155" s="9">
        <v>3750</v>
      </c>
      <c r="AM155" s="9">
        <v>3238.9643091964958</v>
      </c>
      <c r="AN155" s="9">
        <f t="shared" si="18"/>
        <v>511.03569080350417</v>
      </c>
      <c r="AO155" s="10">
        <f t="shared" si="19"/>
        <v>0.13627618421426776</v>
      </c>
      <c r="AP155" s="16">
        <v>3750</v>
      </c>
      <c r="AQ155" s="16">
        <v>3351.3402817550682</v>
      </c>
      <c r="AR155" s="16">
        <f t="shared" si="20"/>
        <v>398.65971824493181</v>
      </c>
      <c r="AS155" s="17">
        <f t="shared" si="21"/>
        <v>0.10630925819864848</v>
      </c>
      <c r="AT155" s="6">
        <v>3750</v>
      </c>
      <c r="AU155" s="6">
        <v>3233.926025390625</v>
      </c>
      <c r="AV155" s="6">
        <f t="shared" si="22"/>
        <v>516.073974609375</v>
      </c>
      <c r="AW155" s="7">
        <f t="shared" si="23"/>
        <v>0.13761972656249999</v>
      </c>
    </row>
    <row r="156" spans="1:49" x14ac:dyDescent="0.25">
      <c r="A156" t="s">
        <v>56</v>
      </c>
      <c r="B156" t="s">
        <v>104</v>
      </c>
      <c r="C156">
        <v>262495</v>
      </c>
      <c r="D156">
        <v>2002</v>
      </c>
      <c r="E156" t="s">
        <v>79</v>
      </c>
      <c r="F156" t="s">
        <v>465</v>
      </c>
      <c r="H156" t="s">
        <v>337</v>
      </c>
      <c r="I156">
        <v>8</v>
      </c>
      <c r="J156" t="s">
        <v>74</v>
      </c>
      <c r="K156">
        <v>4</v>
      </c>
      <c r="L156" t="s">
        <v>44</v>
      </c>
      <c r="M156">
        <v>5.3</v>
      </c>
      <c r="N156" t="s">
        <v>62</v>
      </c>
      <c r="Q156" t="s">
        <v>47</v>
      </c>
      <c r="R156" t="s">
        <v>48</v>
      </c>
      <c r="S156" t="s">
        <v>63</v>
      </c>
      <c r="U156" t="s">
        <v>134</v>
      </c>
      <c r="V156" t="s">
        <v>64</v>
      </c>
      <c r="W156" t="s">
        <v>466</v>
      </c>
      <c r="X156" t="s">
        <v>66</v>
      </c>
      <c r="Y156" t="s">
        <v>67</v>
      </c>
      <c r="AA156">
        <v>0</v>
      </c>
      <c r="AB156" t="s">
        <v>54</v>
      </c>
      <c r="AC156" t="s">
        <v>55</v>
      </c>
      <c r="AD156">
        <v>34</v>
      </c>
      <c r="AE156">
        <v>8</v>
      </c>
      <c r="AF156">
        <v>3</v>
      </c>
      <c r="AG156">
        <v>2025</v>
      </c>
      <c r="AH156" s="13">
        <v>1000</v>
      </c>
      <c r="AI156" s="13">
        <v>563.534423828125</v>
      </c>
      <c r="AJ156" s="13">
        <f t="shared" si="16"/>
        <v>436.465576171875</v>
      </c>
      <c r="AK156" s="14">
        <f t="shared" si="17"/>
        <v>0.43646557617187498</v>
      </c>
      <c r="AL156" s="9">
        <v>1000</v>
      </c>
      <c r="AM156" s="9">
        <v>547.43221983675653</v>
      </c>
      <c r="AN156" s="9">
        <f t="shared" si="18"/>
        <v>452.56778016324347</v>
      </c>
      <c r="AO156" s="10">
        <f t="shared" si="19"/>
        <v>0.45256778016324345</v>
      </c>
      <c r="AP156" s="16">
        <v>1000</v>
      </c>
      <c r="AQ156" s="16">
        <v>392.25501129690639</v>
      </c>
      <c r="AR156" s="16">
        <f t="shared" si="20"/>
        <v>607.74498870309367</v>
      </c>
      <c r="AS156" s="17">
        <f t="shared" si="21"/>
        <v>0.60774498870309368</v>
      </c>
      <c r="AT156" s="6">
        <v>1000</v>
      </c>
      <c r="AU156" s="6">
        <v>670.97039794921875</v>
      </c>
      <c r="AV156" s="6">
        <f t="shared" si="22"/>
        <v>329.02960205078125</v>
      </c>
      <c r="AW156" s="7">
        <f t="shared" si="23"/>
        <v>0.32902960205078124</v>
      </c>
    </row>
    <row r="157" spans="1:49" x14ac:dyDescent="0.25">
      <c r="A157" t="s">
        <v>38</v>
      </c>
      <c r="B157" t="s">
        <v>167</v>
      </c>
      <c r="C157">
        <v>11869</v>
      </c>
      <c r="D157">
        <v>2018</v>
      </c>
      <c r="E157" t="s">
        <v>58</v>
      </c>
      <c r="F157" t="s">
        <v>168</v>
      </c>
      <c r="I157">
        <v>6</v>
      </c>
      <c r="J157" t="s">
        <v>43</v>
      </c>
      <c r="K157">
        <v>2</v>
      </c>
      <c r="L157" t="s">
        <v>44</v>
      </c>
      <c r="M157">
        <v>3.3</v>
      </c>
      <c r="N157" t="s">
        <v>62</v>
      </c>
      <c r="O157" t="s">
        <v>46</v>
      </c>
      <c r="P157">
        <v>5</v>
      </c>
      <c r="Q157" t="s">
        <v>75</v>
      </c>
      <c r="R157" t="s">
        <v>76</v>
      </c>
      <c r="S157" t="s">
        <v>63</v>
      </c>
      <c r="T157">
        <v>290</v>
      </c>
      <c r="U157" t="s">
        <v>50</v>
      </c>
      <c r="V157" t="s">
        <v>64</v>
      </c>
      <c r="W157" t="s">
        <v>467</v>
      </c>
      <c r="X157" t="s">
        <v>66</v>
      </c>
      <c r="Y157" t="s">
        <v>67</v>
      </c>
      <c r="AA157">
        <v>0</v>
      </c>
      <c r="AB157" t="s">
        <v>54</v>
      </c>
      <c r="AC157" t="s">
        <v>78</v>
      </c>
      <c r="AD157">
        <v>34</v>
      </c>
      <c r="AE157">
        <v>8</v>
      </c>
      <c r="AF157">
        <v>3</v>
      </c>
      <c r="AG157">
        <v>2025</v>
      </c>
      <c r="AH157" s="13">
        <v>24200</v>
      </c>
      <c r="AI157" s="13">
        <v>26974.16796875</v>
      </c>
      <c r="AJ157" s="13">
        <f t="shared" si="16"/>
        <v>2774.16796875</v>
      </c>
      <c r="AK157" s="14">
        <f t="shared" si="17"/>
        <v>0.11463504003099173</v>
      </c>
      <c r="AL157" s="9">
        <v>24200</v>
      </c>
      <c r="AM157" s="9">
        <v>26242.286036509031</v>
      </c>
      <c r="AN157" s="9">
        <f t="shared" si="18"/>
        <v>2042.286036509031</v>
      </c>
      <c r="AO157" s="10">
        <f t="shared" si="19"/>
        <v>8.4391984979712023E-2</v>
      </c>
      <c r="AP157" s="16">
        <v>24200</v>
      </c>
      <c r="AQ157" s="16">
        <v>25906.04327657662</v>
      </c>
      <c r="AR157" s="16">
        <f t="shared" si="20"/>
        <v>1706.04327657662</v>
      </c>
      <c r="AS157" s="17">
        <f t="shared" si="21"/>
        <v>7.0497656056885127E-2</v>
      </c>
      <c r="AT157" s="6">
        <v>24200</v>
      </c>
      <c r="AU157" s="6">
        <v>27144.75</v>
      </c>
      <c r="AV157" s="6">
        <f t="shared" si="22"/>
        <v>2944.75</v>
      </c>
      <c r="AW157" s="7">
        <f t="shared" si="23"/>
        <v>0.12168388429752067</v>
      </c>
    </row>
    <row r="158" spans="1:49" x14ac:dyDescent="0.25">
      <c r="A158" t="s">
        <v>56</v>
      </c>
      <c r="B158" t="s">
        <v>57</v>
      </c>
      <c r="C158">
        <v>66213</v>
      </c>
      <c r="D158">
        <v>2019</v>
      </c>
      <c r="E158" t="s">
        <v>58</v>
      </c>
      <c r="F158" t="s">
        <v>425</v>
      </c>
      <c r="H158" t="s">
        <v>42</v>
      </c>
      <c r="I158">
        <v>4</v>
      </c>
      <c r="J158" t="s">
        <v>257</v>
      </c>
      <c r="K158">
        <v>4</v>
      </c>
      <c r="L158" t="s">
        <v>44</v>
      </c>
      <c r="M158">
        <v>2.5</v>
      </c>
      <c r="N158" t="s">
        <v>45</v>
      </c>
      <c r="O158" t="s">
        <v>46</v>
      </c>
      <c r="P158">
        <v>2</v>
      </c>
      <c r="Q158" t="s">
        <v>84</v>
      </c>
      <c r="R158" t="s">
        <v>85</v>
      </c>
      <c r="T158">
        <v>175</v>
      </c>
      <c r="U158" t="s">
        <v>50</v>
      </c>
      <c r="V158" t="s">
        <v>95</v>
      </c>
      <c r="X158" t="s">
        <v>87</v>
      </c>
      <c r="Y158" t="s">
        <v>106</v>
      </c>
      <c r="Z158">
        <v>22840</v>
      </c>
      <c r="AA158">
        <v>0</v>
      </c>
      <c r="AB158" t="s">
        <v>54</v>
      </c>
      <c r="AC158" t="s">
        <v>89</v>
      </c>
      <c r="AD158">
        <v>34</v>
      </c>
      <c r="AE158">
        <v>8</v>
      </c>
      <c r="AF158">
        <v>3</v>
      </c>
      <c r="AG158">
        <v>2025</v>
      </c>
      <c r="AH158" s="13">
        <v>2750</v>
      </c>
      <c r="AI158" s="13">
        <v>6509.30908203125</v>
      </c>
      <c r="AJ158" s="13">
        <f t="shared" si="16"/>
        <v>3759.30908203125</v>
      </c>
      <c r="AK158" s="14">
        <f t="shared" si="17"/>
        <v>1.3670214843749999</v>
      </c>
      <c r="AL158" s="9">
        <v>2750</v>
      </c>
      <c r="AM158" s="9">
        <v>7525.2309579075982</v>
      </c>
      <c r="AN158" s="9">
        <f t="shared" si="18"/>
        <v>4775.2309579075982</v>
      </c>
      <c r="AO158" s="10">
        <f t="shared" si="19"/>
        <v>1.7364476210573083</v>
      </c>
      <c r="AP158" s="16">
        <v>2750</v>
      </c>
      <c r="AQ158" s="16">
        <v>6845.6311887409729</v>
      </c>
      <c r="AR158" s="16">
        <f t="shared" si="20"/>
        <v>4095.6311887409729</v>
      </c>
      <c r="AS158" s="17">
        <f t="shared" si="21"/>
        <v>1.4893204322694447</v>
      </c>
      <c r="AT158" s="6">
        <v>2750</v>
      </c>
      <c r="AU158" s="6">
        <v>7404.01025390625</v>
      </c>
      <c r="AV158" s="6">
        <f t="shared" si="22"/>
        <v>4654.01025390625</v>
      </c>
      <c r="AW158" s="7">
        <f t="shared" si="23"/>
        <v>1.6923673650568183</v>
      </c>
    </row>
    <row r="159" spans="1:49" x14ac:dyDescent="0.25">
      <c r="A159" t="s">
        <v>107</v>
      </c>
      <c r="B159" t="s">
        <v>108</v>
      </c>
      <c r="C159">
        <v>44240</v>
      </c>
      <c r="D159">
        <v>2024</v>
      </c>
      <c r="E159" t="s">
        <v>98</v>
      </c>
      <c r="F159" t="s">
        <v>468</v>
      </c>
      <c r="G159" t="s">
        <v>469</v>
      </c>
      <c r="H159" t="s">
        <v>388</v>
      </c>
      <c r="I159">
        <v>8</v>
      </c>
      <c r="J159" t="s">
        <v>43</v>
      </c>
      <c r="K159">
        <v>4</v>
      </c>
      <c r="L159" t="s">
        <v>44</v>
      </c>
      <c r="M159">
        <v>6.6</v>
      </c>
      <c r="N159" t="s">
        <v>62</v>
      </c>
      <c r="O159" t="s">
        <v>46</v>
      </c>
      <c r="P159">
        <v>5</v>
      </c>
      <c r="Q159" t="s">
        <v>75</v>
      </c>
      <c r="R159" t="s">
        <v>76</v>
      </c>
      <c r="S159" t="s">
        <v>63</v>
      </c>
      <c r="U159" t="s">
        <v>300</v>
      </c>
      <c r="V159" t="s">
        <v>64</v>
      </c>
      <c r="W159" t="s">
        <v>389</v>
      </c>
      <c r="X159" t="s">
        <v>301</v>
      </c>
      <c r="Y159" t="s">
        <v>67</v>
      </c>
      <c r="AA159">
        <v>0</v>
      </c>
      <c r="AB159" t="s">
        <v>54</v>
      </c>
      <c r="AC159" t="s">
        <v>302</v>
      </c>
      <c r="AD159">
        <v>34</v>
      </c>
      <c r="AE159">
        <v>8</v>
      </c>
      <c r="AF159">
        <v>3</v>
      </c>
      <c r="AG159">
        <v>2025</v>
      </c>
      <c r="AH159" s="13">
        <v>65000</v>
      </c>
      <c r="AI159" s="13">
        <v>71991.390625</v>
      </c>
      <c r="AJ159" s="13">
        <f t="shared" si="16"/>
        <v>6991.390625</v>
      </c>
      <c r="AK159" s="14">
        <f t="shared" si="17"/>
        <v>0.10755985576923077</v>
      </c>
      <c r="AL159" s="9">
        <v>65000</v>
      </c>
      <c r="AM159" s="9">
        <v>66478.639252239227</v>
      </c>
      <c r="AN159" s="9">
        <f t="shared" si="18"/>
        <v>1478.6392522392271</v>
      </c>
      <c r="AO159" s="10">
        <f t="shared" si="19"/>
        <v>2.27482961882958E-2</v>
      </c>
      <c r="AP159" s="16">
        <v>65000</v>
      </c>
      <c r="AQ159" s="16">
        <v>85025.969569624242</v>
      </c>
      <c r="AR159" s="16">
        <f t="shared" si="20"/>
        <v>20025.969569624242</v>
      </c>
      <c r="AS159" s="17">
        <f t="shared" si="21"/>
        <v>0.30809183953268066</v>
      </c>
      <c r="AT159" s="6">
        <v>65000</v>
      </c>
      <c r="AU159" s="6">
        <v>89658.484375</v>
      </c>
      <c r="AV159" s="6">
        <f t="shared" si="22"/>
        <v>24658.484375</v>
      </c>
      <c r="AW159" s="7">
        <f t="shared" si="23"/>
        <v>0.37936129807692309</v>
      </c>
    </row>
    <row r="160" spans="1:49" x14ac:dyDescent="0.25">
      <c r="A160" t="s">
        <v>107</v>
      </c>
      <c r="B160" t="s">
        <v>108</v>
      </c>
      <c r="C160">
        <v>70409</v>
      </c>
      <c r="D160">
        <v>2022</v>
      </c>
      <c r="E160" t="s">
        <v>79</v>
      </c>
      <c r="F160" t="s">
        <v>286</v>
      </c>
      <c r="G160" t="s">
        <v>287</v>
      </c>
      <c r="I160">
        <v>4</v>
      </c>
      <c r="J160" t="s">
        <v>74</v>
      </c>
      <c r="K160">
        <v>4</v>
      </c>
      <c r="L160" t="s">
        <v>44</v>
      </c>
      <c r="M160">
        <v>1.5</v>
      </c>
      <c r="N160" t="s">
        <v>45</v>
      </c>
      <c r="O160" t="s">
        <v>46</v>
      </c>
      <c r="P160">
        <v>4</v>
      </c>
      <c r="Q160" t="s">
        <v>84</v>
      </c>
      <c r="R160" t="s">
        <v>85</v>
      </c>
      <c r="S160" t="s">
        <v>102</v>
      </c>
      <c r="U160" t="s">
        <v>50</v>
      </c>
      <c r="V160" t="s">
        <v>95</v>
      </c>
      <c r="W160" t="s">
        <v>470</v>
      </c>
      <c r="X160" t="s">
        <v>87</v>
      </c>
      <c r="Y160" t="s">
        <v>67</v>
      </c>
      <c r="AA160">
        <v>0</v>
      </c>
      <c r="AB160" t="s">
        <v>54</v>
      </c>
      <c r="AC160" t="s">
        <v>89</v>
      </c>
      <c r="AD160">
        <v>34</v>
      </c>
      <c r="AE160">
        <v>8</v>
      </c>
      <c r="AF160">
        <v>3</v>
      </c>
      <c r="AG160">
        <v>2025</v>
      </c>
      <c r="AH160" s="13">
        <v>13900</v>
      </c>
      <c r="AI160" s="13">
        <v>16914.888671875</v>
      </c>
      <c r="AJ160" s="13">
        <f t="shared" si="16"/>
        <v>3014.888671875</v>
      </c>
      <c r="AK160" s="14">
        <f t="shared" si="17"/>
        <v>0.21689846560251799</v>
      </c>
      <c r="AL160" s="9">
        <v>13900</v>
      </c>
      <c r="AM160" s="9">
        <v>16343.285949983099</v>
      </c>
      <c r="AN160" s="9">
        <f t="shared" si="18"/>
        <v>2443.2859499830993</v>
      </c>
      <c r="AO160" s="10">
        <f t="shared" si="19"/>
        <v>0.17577596762468339</v>
      </c>
      <c r="AP160" s="16">
        <v>13900</v>
      </c>
      <c r="AQ160" s="16">
        <v>14832.12985465901</v>
      </c>
      <c r="AR160" s="16">
        <f t="shared" si="20"/>
        <v>932.12985465900965</v>
      </c>
      <c r="AS160" s="17">
        <f t="shared" si="21"/>
        <v>6.7059701774029465E-2</v>
      </c>
      <c r="AT160" s="6">
        <v>13900</v>
      </c>
      <c r="AU160" s="6">
        <v>15545.2109375</v>
      </c>
      <c r="AV160" s="6">
        <f t="shared" si="22"/>
        <v>1645.2109375</v>
      </c>
      <c r="AW160" s="7">
        <f t="shared" si="23"/>
        <v>0.11836049910071943</v>
      </c>
    </row>
    <row r="161" spans="1:49" x14ac:dyDescent="0.25">
      <c r="A161" t="s">
        <v>69</v>
      </c>
      <c r="B161" t="s">
        <v>160</v>
      </c>
      <c r="C161">
        <v>121803</v>
      </c>
      <c r="D161">
        <v>2017</v>
      </c>
      <c r="E161" t="s">
        <v>382</v>
      </c>
      <c r="F161" t="s">
        <v>471</v>
      </c>
      <c r="G161" t="s">
        <v>472</v>
      </c>
      <c r="I161">
        <v>6</v>
      </c>
      <c r="J161" t="s">
        <v>94</v>
      </c>
      <c r="K161">
        <v>4</v>
      </c>
      <c r="L161" t="s">
        <v>44</v>
      </c>
      <c r="M161">
        <v>3.6</v>
      </c>
      <c r="N161" t="s">
        <v>45</v>
      </c>
      <c r="O161" t="s">
        <v>46</v>
      </c>
      <c r="P161">
        <v>1</v>
      </c>
      <c r="Q161" t="s">
        <v>47</v>
      </c>
      <c r="R161" t="s">
        <v>365</v>
      </c>
      <c r="S161" t="s">
        <v>102</v>
      </c>
      <c r="T161">
        <v>287</v>
      </c>
      <c r="U161" t="s">
        <v>50</v>
      </c>
      <c r="V161" t="s">
        <v>64</v>
      </c>
      <c r="X161" t="s">
        <v>66</v>
      </c>
      <c r="Y161" t="s">
        <v>88</v>
      </c>
      <c r="Z161">
        <v>34995</v>
      </c>
      <c r="AA161">
        <v>0</v>
      </c>
      <c r="AB161" t="s">
        <v>54</v>
      </c>
      <c r="AC161" t="s">
        <v>365</v>
      </c>
      <c r="AD161">
        <v>34</v>
      </c>
      <c r="AE161">
        <v>8</v>
      </c>
      <c r="AF161">
        <v>3</v>
      </c>
      <c r="AG161">
        <v>2025</v>
      </c>
      <c r="AH161" s="13">
        <v>2100</v>
      </c>
      <c r="AI161" s="13">
        <v>5530.5703125</v>
      </c>
      <c r="AJ161" s="13">
        <f t="shared" si="16"/>
        <v>3430.5703125</v>
      </c>
      <c r="AK161" s="14">
        <f t="shared" si="17"/>
        <v>1.6336049107142858</v>
      </c>
      <c r="AL161" s="9">
        <v>2100</v>
      </c>
      <c r="AM161" s="9">
        <v>4221.5536129964212</v>
      </c>
      <c r="AN161" s="9">
        <f t="shared" si="18"/>
        <v>2121.5536129964212</v>
      </c>
      <c r="AO161" s="10">
        <f t="shared" si="19"/>
        <v>1.010263625236391</v>
      </c>
      <c r="AP161" s="16">
        <v>2100</v>
      </c>
      <c r="AQ161" s="16">
        <v>4084.7112013462811</v>
      </c>
      <c r="AR161" s="16">
        <f t="shared" si="20"/>
        <v>1984.7112013462811</v>
      </c>
      <c r="AS161" s="17">
        <f t="shared" si="21"/>
        <v>0.9451005720696577</v>
      </c>
      <c r="AT161" s="6">
        <v>2100</v>
      </c>
      <c r="AU161" s="6">
        <v>4211.529296875</v>
      </c>
      <c r="AV161" s="6">
        <f t="shared" si="22"/>
        <v>2111.529296875</v>
      </c>
      <c r="AW161" s="7">
        <f t="shared" si="23"/>
        <v>1.0054901413690476</v>
      </c>
    </row>
    <row r="162" spans="1:49" x14ac:dyDescent="0.25">
      <c r="A162" t="s">
        <v>38</v>
      </c>
      <c r="B162" t="s">
        <v>132</v>
      </c>
      <c r="C162">
        <v>123499</v>
      </c>
      <c r="D162">
        <v>2015</v>
      </c>
      <c r="E162" t="s">
        <v>150</v>
      </c>
      <c r="F162" t="s">
        <v>473</v>
      </c>
      <c r="G162" t="s">
        <v>120</v>
      </c>
      <c r="I162">
        <v>4</v>
      </c>
      <c r="J162" t="s">
        <v>82</v>
      </c>
      <c r="K162">
        <v>4</v>
      </c>
      <c r="L162" t="s">
        <v>44</v>
      </c>
      <c r="M162">
        <v>2.4</v>
      </c>
      <c r="N162" t="s">
        <v>45</v>
      </c>
      <c r="O162" t="s">
        <v>83</v>
      </c>
      <c r="Q162" t="s">
        <v>84</v>
      </c>
      <c r="R162" t="s">
        <v>85</v>
      </c>
      <c r="U162" t="s">
        <v>50</v>
      </c>
      <c r="W162" t="s">
        <v>474</v>
      </c>
      <c r="X162" t="s">
        <v>87</v>
      </c>
      <c r="Y162" t="s">
        <v>67</v>
      </c>
      <c r="AA162">
        <v>0</v>
      </c>
      <c r="AB162" t="s">
        <v>54</v>
      </c>
      <c r="AC162" t="s">
        <v>89</v>
      </c>
      <c r="AD162">
        <v>34</v>
      </c>
      <c r="AE162">
        <v>8</v>
      </c>
      <c r="AF162">
        <v>3</v>
      </c>
      <c r="AG162">
        <v>2025</v>
      </c>
      <c r="AH162" s="13">
        <v>600</v>
      </c>
      <c r="AI162" s="13">
        <v>920.0899658203125</v>
      </c>
      <c r="AJ162" s="13">
        <f t="shared" si="16"/>
        <v>320.0899658203125</v>
      </c>
      <c r="AK162" s="14">
        <f t="shared" si="17"/>
        <v>0.53348327636718751</v>
      </c>
      <c r="AL162" s="9">
        <v>600</v>
      </c>
      <c r="AM162" s="9">
        <v>1098.889616863624</v>
      </c>
      <c r="AN162" s="9">
        <f t="shared" si="18"/>
        <v>498.88961686362404</v>
      </c>
      <c r="AO162" s="10">
        <f t="shared" si="19"/>
        <v>0.83148269477270675</v>
      </c>
      <c r="AP162" s="16">
        <v>600</v>
      </c>
      <c r="AQ162" s="16">
        <v>821.93929100245225</v>
      </c>
      <c r="AR162" s="16">
        <f t="shared" si="20"/>
        <v>221.93929100245225</v>
      </c>
      <c r="AS162" s="17">
        <f t="shared" si="21"/>
        <v>0.36989881833742044</v>
      </c>
      <c r="AT162" s="6">
        <v>600</v>
      </c>
      <c r="AU162" s="6">
        <v>904.018798828125</v>
      </c>
      <c r="AV162" s="6">
        <f t="shared" si="22"/>
        <v>304.018798828125</v>
      </c>
      <c r="AW162" s="7">
        <f t="shared" si="23"/>
        <v>0.50669799804687499</v>
      </c>
    </row>
    <row r="163" spans="1:49" x14ac:dyDescent="0.25">
      <c r="A163" t="s">
        <v>69</v>
      </c>
      <c r="B163" t="s">
        <v>128</v>
      </c>
      <c r="C163">
        <v>330988</v>
      </c>
      <c r="D163">
        <v>2006</v>
      </c>
      <c r="E163" t="s">
        <v>145</v>
      </c>
      <c r="F163" t="s">
        <v>349</v>
      </c>
      <c r="G163" t="s">
        <v>313</v>
      </c>
      <c r="I163">
        <v>4</v>
      </c>
      <c r="J163" t="s">
        <v>74</v>
      </c>
      <c r="K163">
        <v>4</v>
      </c>
      <c r="L163" t="s">
        <v>44</v>
      </c>
      <c r="M163">
        <v>1.8</v>
      </c>
      <c r="N163" t="s">
        <v>45</v>
      </c>
      <c r="O163" t="s">
        <v>46</v>
      </c>
      <c r="P163">
        <v>3</v>
      </c>
      <c r="Q163" t="s">
        <v>84</v>
      </c>
      <c r="R163" t="s">
        <v>85</v>
      </c>
      <c r="T163">
        <v>140</v>
      </c>
      <c r="U163" t="s">
        <v>50</v>
      </c>
      <c r="V163" t="s">
        <v>95</v>
      </c>
      <c r="W163" t="s">
        <v>475</v>
      </c>
      <c r="X163" t="s">
        <v>122</v>
      </c>
      <c r="Y163" t="s">
        <v>67</v>
      </c>
      <c r="AA163">
        <v>0</v>
      </c>
      <c r="AB163" t="s">
        <v>54</v>
      </c>
      <c r="AC163" t="s">
        <v>89</v>
      </c>
      <c r="AD163">
        <v>34</v>
      </c>
      <c r="AE163">
        <v>8</v>
      </c>
      <c r="AF163">
        <v>3</v>
      </c>
      <c r="AG163">
        <v>2025</v>
      </c>
      <c r="AH163" s="13">
        <v>500</v>
      </c>
      <c r="AI163" s="13">
        <v>611.6502685546875</v>
      </c>
      <c r="AJ163" s="13">
        <f t="shared" si="16"/>
        <v>111.6502685546875</v>
      </c>
      <c r="AK163" s="14">
        <f t="shared" si="17"/>
        <v>0.223300537109375</v>
      </c>
      <c r="AL163" s="9">
        <v>500</v>
      </c>
      <c r="AM163" s="9">
        <v>1222.8906052994309</v>
      </c>
      <c r="AN163" s="9">
        <f t="shared" si="18"/>
        <v>722.89060529943094</v>
      </c>
      <c r="AO163" s="10">
        <f t="shared" si="19"/>
        <v>1.4457812105988619</v>
      </c>
      <c r="AP163" s="16">
        <v>500</v>
      </c>
      <c r="AQ163" s="16">
        <v>737.28169772089097</v>
      </c>
      <c r="AR163" s="16">
        <f t="shared" si="20"/>
        <v>237.28169772089097</v>
      </c>
      <c r="AS163" s="17">
        <f t="shared" si="21"/>
        <v>0.47456339544178194</v>
      </c>
      <c r="AT163" s="6">
        <v>500</v>
      </c>
      <c r="AU163" s="6">
        <v>924.49609375</v>
      </c>
      <c r="AV163" s="6">
        <f t="shared" si="22"/>
        <v>424.49609375</v>
      </c>
      <c r="AW163" s="7">
        <f t="shared" si="23"/>
        <v>0.84899218750000005</v>
      </c>
    </row>
    <row r="164" spans="1:49" x14ac:dyDescent="0.25">
      <c r="A164" t="s">
        <v>38</v>
      </c>
      <c r="B164" t="s">
        <v>229</v>
      </c>
      <c r="C164">
        <v>140385</v>
      </c>
      <c r="D164">
        <v>2018</v>
      </c>
      <c r="E164" t="s">
        <v>113</v>
      </c>
      <c r="F164" t="s">
        <v>142</v>
      </c>
      <c r="G164" t="s">
        <v>476</v>
      </c>
      <c r="I164">
        <v>6</v>
      </c>
      <c r="J164" t="s">
        <v>82</v>
      </c>
      <c r="K164">
        <v>4</v>
      </c>
      <c r="L164" t="s">
        <v>44</v>
      </c>
      <c r="M164">
        <v>3.6</v>
      </c>
      <c r="N164" t="s">
        <v>116</v>
      </c>
      <c r="Q164" t="s">
        <v>47</v>
      </c>
      <c r="R164" t="s">
        <v>48</v>
      </c>
      <c r="S164" t="s">
        <v>49</v>
      </c>
      <c r="T164">
        <v>295</v>
      </c>
      <c r="U164" t="s">
        <v>50</v>
      </c>
      <c r="V164" t="s">
        <v>64</v>
      </c>
      <c r="X164" t="s">
        <v>66</v>
      </c>
      <c r="Y164" t="s">
        <v>67</v>
      </c>
      <c r="AA164">
        <v>0</v>
      </c>
      <c r="AB164" t="s">
        <v>54</v>
      </c>
      <c r="AC164" t="s">
        <v>55</v>
      </c>
      <c r="AD164">
        <v>34</v>
      </c>
      <c r="AE164">
        <v>8</v>
      </c>
      <c r="AF164">
        <v>3</v>
      </c>
      <c r="AG164">
        <v>2025</v>
      </c>
      <c r="AH164" s="13">
        <v>7750</v>
      </c>
      <c r="AI164" s="13">
        <v>7428.56298828125</v>
      </c>
      <c r="AJ164" s="13">
        <f t="shared" si="16"/>
        <v>321.43701171875</v>
      </c>
      <c r="AK164" s="14">
        <f t="shared" si="17"/>
        <v>4.1475743447580649E-2</v>
      </c>
      <c r="AL164" s="9">
        <v>7750</v>
      </c>
      <c r="AM164" s="9">
        <v>8790.7132087394712</v>
      </c>
      <c r="AN164" s="9">
        <f t="shared" si="18"/>
        <v>1040.7132087394712</v>
      </c>
      <c r="AO164" s="10">
        <f t="shared" si="19"/>
        <v>0.13428557532122209</v>
      </c>
      <c r="AP164" s="16">
        <v>7750</v>
      </c>
      <c r="AQ164" s="16">
        <v>6846.4700111794637</v>
      </c>
      <c r="AR164" s="16">
        <f t="shared" si="20"/>
        <v>903.52998882053635</v>
      </c>
      <c r="AS164" s="17">
        <f t="shared" si="21"/>
        <v>0.11658451468652081</v>
      </c>
      <c r="AT164" s="6">
        <v>7750</v>
      </c>
      <c r="AU164" s="6">
        <v>8658.03515625</v>
      </c>
      <c r="AV164" s="6">
        <f t="shared" si="22"/>
        <v>908.03515625</v>
      </c>
      <c r="AW164" s="7">
        <f t="shared" si="23"/>
        <v>0.11716582661290323</v>
      </c>
    </row>
    <row r="165" spans="1:49" x14ac:dyDescent="0.25">
      <c r="A165" t="s">
        <v>69</v>
      </c>
      <c r="B165" t="s">
        <v>112</v>
      </c>
      <c r="C165">
        <v>52378</v>
      </c>
      <c r="D165">
        <v>2023</v>
      </c>
      <c r="E165" t="s">
        <v>184</v>
      </c>
      <c r="F165" t="s">
        <v>477</v>
      </c>
      <c r="G165" t="s">
        <v>478</v>
      </c>
      <c r="I165">
        <v>4</v>
      </c>
      <c r="J165" t="s">
        <v>94</v>
      </c>
      <c r="K165">
        <v>4</v>
      </c>
      <c r="L165" t="s">
        <v>44</v>
      </c>
      <c r="M165">
        <v>2.5</v>
      </c>
      <c r="N165" t="s">
        <v>44</v>
      </c>
      <c r="O165" t="s">
        <v>46</v>
      </c>
      <c r="Q165" t="s">
        <v>47</v>
      </c>
      <c r="R165" t="s">
        <v>48</v>
      </c>
      <c r="S165" t="s">
        <v>63</v>
      </c>
      <c r="T165">
        <v>227</v>
      </c>
      <c r="U165" t="s">
        <v>50</v>
      </c>
      <c r="V165" t="s">
        <v>95</v>
      </c>
      <c r="W165" t="s">
        <v>479</v>
      </c>
      <c r="X165" t="s">
        <v>141</v>
      </c>
      <c r="Y165" t="s">
        <v>97</v>
      </c>
      <c r="AA165">
        <v>0</v>
      </c>
      <c r="AB165" t="s">
        <v>54</v>
      </c>
      <c r="AC165" t="s">
        <v>68</v>
      </c>
      <c r="AD165">
        <v>34</v>
      </c>
      <c r="AE165">
        <v>8</v>
      </c>
      <c r="AF165">
        <v>3</v>
      </c>
      <c r="AG165">
        <v>2025</v>
      </c>
      <c r="AH165" s="13">
        <v>23500</v>
      </c>
      <c r="AI165" s="13">
        <v>24944.16796875</v>
      </c>
      <c r="AJ165" s="13">
        <f t="shared" si="16"/>
        <v>1444.16796875</v>
      </c>
      <c r="AK165" s="14">
        <f t="shared" si="17"/>
        <v>6.1453956117021279E-2</v>
      </c>
      <c r="AL165" s="9">
        <v>23500</v>
      </c>
      <c r="AM165" s="9">
        <v>28794.50918502823</v>
      </c>
      <c r="AN165" s="9">
        <f t="shared" si="18"/>
        <v>5294.5091850282297</v>
      </c>
      <c r="AO165" s="10">
        <f t="shared" si="19"/>
        <v>0.22529826319269061</v>
      </c>
      <c r="AP165" s="16">
        <v>23500</v>
      </c>
      <c r="AQ165" s="16">
        <v>22923.152293927971</v>
      </c>
      <c r="AR165" s="16">
        <f t="shared" si="20"/>
        <v>576.84770607202881</v>
      </c>
      <c r="AS165" s="17">
        <f t="shared" si="21"/>
        <v>2.4546710896682079E-2</v>
      </c>
      <c r="AT165" s="6">
        <v>23500</v>
      </c>
      <c r="AU165" s="6">
        <v>24690.18359375</v>
      </c>
      <c r="AV165" s="6">
        <f t="shared" si="22"/>
        <v>1190.18359375</v>
      </c>
      <c r="AW165" s="7">
        <f t="shared" si="23"/>
        <v>5.0646110372340424E-2</v>
      </c>
    </row>
    <row r="166" spans="1:49" x14ac:dyDescent="0.25">
      <c r="A166" t="s">
        <v>69</v>
      </c>
      <c r="B166" t="s">
        <v>70</v>
      </c>
      <c r="C166">
        <v>109509</v>
      </c>
      <c r="D166">
        <v>2016</v>
      </c>
      <c r="E166" t="s">
        <v>79</v>
      </c>
      <c r="F166" t="s">
        <v>272</v>
      </c>
      <c r="G166" t="s">
        <v>273</v>
      </c>
      <c r="H166" t="s">
        <v>162</v>
      </c>
      <c r="I166">
        <v>8</v>
      </c>
      <c r="J166" t="s">
        <v>82</v>
      </c>
      <c r="K166">
        <v>4</v>
      </c>
      <c r="L166" t="s">
        <v>44</v>
      </c>
      <c r="M166">
        <v>5.3</v>
      </c>
      <c r="N166" t="s">
        <v>116</v>
      </c>
      <c r="O166" t="s">
        <v>46</v>
      </c>
      <c r="P166">
        <v>4</v>
      </c>
      <c r="Q166" t="s">
        <v>75</v>
      </c>
      <c r="R166" t="s">
        <v>76</v>
      </c>
      <c r="S166" t="s">
        <v>49</v>
      </c>
      <c r="U166" t="s">
        <v>50</v>
      </c>
      <c r="W166" t="s">
        <v>480</v>
      </c>
      <c r="X166" t="s">
        <v>66</v>
      </c>
      <c r="Y166" t="s">
        <v>106</v>
      </c>
      <c r="AA166">
        <v>0</v>
      </c>
      <c r="AB166" t="s">
        <v>54</v>
      </c>
      <c r="AC166" t="s">
        <v>78</v>
      </c>
      <c r="AD166">
        <v>34</v>
      </c>
      <c r="AE166">
        <v>8</v>
      </c>
      <c r="AF166">
        <v>3</v>
      </c>
      <c r="AG166">
        <v>2025</v>
      </c>
      <c r="AH166" s="13">
        <v>16600</v>
      </c>
      <c r="AI166" s="13">
        <v>19765.36328125</v>
      </c>
      <c r="AJ166" s="13">
        <f t="shared" si="16"/>
        <v>3165.36328125</v>
      </c>
      <c r="AK166" s="14">
        <f t="shared" si="17"/>
        <v>0.19068453501506025</v>
      </c>
      <c r="AL166" s="9">
        <v>16600</v>
      </c>
      <c r="AM166" s="9">
        <v>16759.82605317398</v>
      </c>
      <c r="AN166" s="9">
        <f t="shared" si="18"/>
        <v>159.82605317397974</v>
      </c>
      <c r="AO166" s="10">
        <f t="shared" si="19"/>
        <v>9.6280754924084177E-3</v>
      </c>
      <c r="AP166" s="16">
        <v>16600</v>
      </c>
      <c r="AQ166" s="16">
        <v>18300.008939513122</v>
      </c>
      <c r="AR166" s="16">
        <f t="shared" si="20"/>
        <v>1700.0089395131217</v>
      </c>
      <c r="AS166" s="17">
        <f t="shared" si="21"/>
        <v>0.10241017707910371</v>
      </c>
      <c r="AT166" s="6">
        <v>16600</v>
      </c>
      <c r="AU166" s="6">
        <v>16921.01953125</v>
      </c>
      <c r="AV166" s="6">
        <f t="shared" si="22"/>
        <v>321.01953125</v>
      </c>
      <c r="AW166" s="7">
        <f t="shared" si="23"/>
        <v>1.9338525978915663E-2</v>
      </c>
    </row>
    <row r="167" spans="1:49" x14ac:dyDescent="0.25">
      <c r="A167" t="s">
        <v>56</v>
      </c>
      <c r="B167" t="s">
        <v>144</v>
      </c>
      <c r="C167">
        <v>7404</v>
      </c>
      <c r="D167">
        <v>2024</v>
      </c>
      <c r="E167" t="s">
        <v>113</v>
      </c>
      <c r="F167" t="s">
        <v>481</v>
      </c>
      <c r="H167" t="s">
        <v>482</v>
      </c>
      <c r="I167">
        <v>4</v>
      </c>
      <c r="J167" t="s">
        <v>74</v>
      </c>
      <c r="K167">
        <v>4</v>
      </c>
      <c r="L167" t="s">
        <v>44</v>
      </c>
      <c r="M167">
        <v>1.3</v>
      </c>
      <c r="N167" t="s">
        <v>44</v>
      </c>
      <c r="O167" t="s">
        <v>46</v>
      </c>
      <c r="P167">
        <v>3</v>
      </c>
      <c r="Q167" t="s">
        <v>47</v>
      </c>
      <c r="R167" t="s">
        <v>48</v>
      </c>
      <c r="S167" t="s">
        <v>139</v>
      </c>
      <c r="T167">
        <v>285</v>
      </c>
      <c r="U167" t="s">
        <v>483</v>
      </c>
      <c r="X167" t="s">
        <v>141</v>
      </c>
      <c r="Y167" t="s">
        <v>331</v>
      </c>
      <c r="AA167">
        <v>1</v>
      </c>
      <c r="AB167" t="s">
        <v>484</v>
      </c>
      <c r="AC167" t="s">
        <v>149</v>
      </c>
      <c r="AD167">
        <v>34</v>
      </c>
      <c r="AE167">
        <v>8</v>
      </c>
      <c r="AF167">
        <v>3</v>
      </c>
      <c r="AG167">
        <v>2025</v>
      </c>
      <c r="AH167" s="13">
        <v>20400</v>
      </c>
      <c r="AI167" s="13">
        <v>26682.96875</v>
      </c>
      <c r="AJ167" s="13">
        <f t="shared" si="16"/>
        <v>6282.96875</v>
      </c>
      <c r="AK167" s="14">
        <f t="shared" si="17"/>
        <v>0.30798866421568627</v>
      </c>
      <c r="AL167" s="9">
        <v>20400</v>
      </c>
      <c r="AM167" s="9">
        <v>32168.378607211209</v>
      </c>
      <c r="AN167" s="9">
        <f t="shared" si="18"/>
        <v>11768.378607211209</v>
      </c>
      <c r="AO167" s="10">
        <f t="shared" si="19"/>
        <v>0.57688130427505924</v>
      </c>
      <c r="AP167" s="16">
        <v>20400</v>
      </c>
      <c r="AQ167" s="16">
        <v>22140.145729903641</v>
      </c>
      <c r="AR167" s="16">
        <f t="shared" si="20"/>
        <v>1740.145729903641</v>
      </c>
      <c r="AS167" s="17">
        <f t="shared" si="21"/>
        <v>8.5301261269786322E-2</v>
      </c>
      <c r="AT167" s="6">
        <v>20400</v>
      </c>
      <c r="AU167" s="6">
        <v>29980.943359375</v>
      </c>
      <c r="AV167" s="6">
        <f t="shared" si="22"/>
        <v>9580.943359375</v>
      </c>
      <c r="AW167" s="7">
        <f t="shared" si="23"/>
        <v>0.46965408624387256</v>
      </c>
    </row>
    <row r="168" spans="1:49" x14ac:dyDescent="0.25">
      <c r="A168" t="s">
        <v>69</v>
      </c>
      <c r="B168" t="s">
        <v>112</v>
      </c>
      <c r="C168">
        <v>129814</v>
      </c>
      <c r="D168">
        <v>2012</v>
      </c>
      <c r="E168" t="s">
        <v>145</v>
      </c>
      <c r="F168" t="s">
        <v>485</v>
      </c>
      <c r="G168" t="s">
        <v>432</v>
      </c>
      <c r="I168">
        <v>6</v>
      </c>
      <c r="J168" t="s">
        <v>101</v>
      </c>
      <c r="K168">
        <v>4</v>
      </c>
      <c r="L168" t="s">
        <v>44</v>
      </c>
      <c r="M168">
        <v>3.5</v>
      </c>
      <c r="N168" t="s">
        <v>45</v>
      </c>
      <c r="O168" t="s">
        <v>46</v>
      </c>
      <c r="Q168" t="s">
        <v>47</v>
      </c>
      <c r="R168" t="s">
        <v>48</v>
      </c>
      <c r="S168" t="s">
        <v>49</v>
      </c>
      <c r="T168">
        <v>250</v>
      </c>
      <c r="U168" t="s">
        <v>50</v>
      </c>
      <c r="V168" t="s">
        <v>64</v>
      </c>
      <c r="W168" t="s">
        <v>486</v>
      </c>
      <c r="X168" t="s">
        <v>141</v>
      </c>
      <c r="Y168" t="s">
        <v>67</v>
      </c>
      <c r="AA168">
        <v>0</v>
      </c>
      <c r="AB168" t="s">
        <v>54</v>
      </c>
      <c r="AC168" t="s">
        <v>55</v>
      </c>
      <c r="AD168">
        <v>34</v>
      </c>
      <c r="AE168">
        <v>8</v>
      </c>
      <c r="AF168">
        <v>3</v>
      </c>
      <c r="AG168">
        <v>2025</v>
      </c>
      <c r="AH168" s="13">
        <v>5500</v>
      </c>
      <c r="AI168" s="13">
        <v>4917.02734375</v>
      </c>
      <c r="AJ168" s="13">
        <f t="shared" si="16"/>
        <v>582.97265625</v>
      </c>
      <c r="AK168" s="14">
        <f t="shared" si="17"/>
        <v>0.10599502840909091</v>
      </c>
      <c r="AL168" s="9">
        <v>5500</v>
      </c>
      <c r="AM168" s="9">
        <v>5333.5624415321599</v>
      </c>
      <c r="AN168" s="9">
        <f t="shared" si="18"/>
        <v>166.43755846784006</v>
      </c>
      <c r="AO168" s="10">
        <f t="shared" si="19"/>
        <v>3.0261374266880012E-2</v>
      </c>
      <c r="AP168" s="16">
        <v>5500</v>
      </c>
      <c r="AQ168" s="16">
        <v>4386.6032811464684</v>
      </c>
      <c r="AR168" s="16">
        <f t="shared" si="20"/>
        <v>1113.3967188535316</v>
      </c>
      <c r="AS168" s="17">
        <f t="shared" si="21"/>
        <v>0.20243576706427849</v>
      </c>
      <c r="AT168" s="6">
        <v>5500</v>
      </c>
      <c r="AU168" s="6">
        <v>5460.7890625</v>
      </c>
      <c r="AV168" s="6">
        <f t="shared" si="22"/>
        <v>39.2109375</v>
      </c>
      <c r="AW168" s="7">
        <f t="shared" si="23"/>
        <v>7.1292613636363637E-3</v>
      </c>
    </row>
    <row r="169" spans="1:49" x14ac:dyDescent="0.25">
      <c r="A169" t="s">
        <v>38</v>
      </c>
      <c r="B169" t="s">
        <v>167</v>
      </c>
      <c r="C169">
        <v>169364</v>
      </c>
      <c r="D169">
        <v>2010</v>
      </c>
      <c r="E169" t="s">
        <v>91</v>
      </c>
      <c r="F169" t="s">
        <v>315</v>
      </c>
      <c r="G169" t="s">
        <v>316</v>
      </c>
      <c r="H169" t="s">
        <v>317</v>
      </c>
      <c r="I169">
        <v>6</v>
      </c>
      <c r="J169" t="s">
        <v>82</v>
      </c>
      <c r="K169">
        <v>4</v>
      </c>
      <c r="L169" t="s">
        <v>44</v>
      </c>
      <c r="M169">
        <v>3.5</v>
      </c>
      <c r="N169" t="s">
        <v>45</v>
      </c>
      <c r="O169" t="s">
        <v>46</v>
      </c>
      <c r="P169">
        <v>4</v>
      </c>
      <c r="Q169" t="s">
        <v>47</v>
      </c>
      <c r="R169" t="s">
        <v>48</v>
      </c>
      <c r="S169" t="s">
        <v>49</v>
      </c>
      <c r="T169">
        <v>209</v>
      </c>
      <c r="U169" t="s">
        <v>50</v>
      </c>
      <c r="V169" t="s">
        <v>64</v>
      </c>
      <c r="W169" t="s">
        <v>318</v>
      </c>
      <c r="X169" t="s">
        <v>141</v>
      </c>
      <c r="Y169" t="s">
        <v>67</v>
      </c>
      <c r="AA169">
        <v>0</v>
      </c>
      <c r="AB169" t="s">
        <v>54</v>
      </c>
      <c r="AC169" t="s">
        <v>55</v>
      </c>
      <c r="AD169">
        <v>34</v>
      </c>
      <c r="AE169">
        <v>8</v>
      </c>
      <c r="AF169">
        <v>3</v>
      </c>
      <c r="AG169">
        <v>2025</v>
      </c>
      <c r="AH169" s="13">
        <v>4600</v>
      </c>
      <c r="AI169" s="13">
        <v>3991.437255859375</v>
      </c>
      <c r="AJ169" s="13">
        <f t="shared" si="16"/>
        <v>608.562744140625</v>
      </c>
      <c r="AK169" s="14">
        <f t="shared" si="17"/>
        <v>0.13229624872622284</v>
      </c>
      <c r="AL169" s="9">
        <v>4600</v>
      </c>
      <c r="AM169" s="9">
        <v>4170.4680146039336</v>
      </c>
      <c r="AN169" s="9">
        <f t="shared" si="18"/>
        <v>429.53198539606637</v>
      </c>
      <c r="AO169" s="10">
        <f t="shared" si="19"/>
        <v>9.3376518564362257E-2</v>
      </c>
      <c r="AP169" s="16">
        <v>4600</v>
      </c>
      <c r="AQ169" s="16">
        <v>3283.5514957477949</v>
      </c>
      <c r="AR169" s="16">
        <f t="shared" si="20"/>
        <v>1316.4485042522051</v>
      </c>
      <c r="AS169" s="17">
        <f t="shared" si="21"/>
        <v>0.28618445744613152</v>
      </c>
      <c r="AT169" s="6">
        <v>4600</v>
      </c>
      <c r="AU169" s="6">
        <v>3329.69775390625</v>
      </c>
      <c r="AV169" s="6">
        <f t="shared" si="22"/>
        <v>1270.30224609375</v>
      </c>
      <c r="AW169" s="7">
        <f t="shared" si="23"/>
        <v>0.27615266219429346</v>
      </c>
    </row>
    <row r="170" spans="1:49" x14ac:dyDescent="0.25">
      <c r="A170" t="s">
        <v>38</v>
      </c>
      <c r="B170" t="s">
        <v>267</v>
      </c>
      <c r="C170">
        <v>148366</v>
      </c>
      <c r="D170">
        <v>2010</v>
      </c>
      <c r="E170" t="s">
        <v>269</v>
      </c>
      <c r="F170" t="s">
        <v>487</v>
      </c>
      <c r="G170" t="s">
        <v>488</v>
      </c>
      <c r="I170">
        <v>6</v>
      </c>
      <c r="J170" t="s">
        <v>43</v>
      </c>
      <c r="K170">
        <v>4</v>
      </c>
      <c r="L170" t="s">
        <v>44</v>
      </c>
      <c r="M170">
        <v>3</v>
      </c>
      <c r="N170" t="s">
        <v>44</v>
      </c>
      <c r="O170" t="s">
        <v>46</v>
      </c>
      <c r="Q170" t="s">
        <v>47</v>
      </c>
      <c r="R170" t="s">
        <v>48</v>
      </c>
      <c r="S170" t="s">
        <v>139</v>
      </c>
      <c r="T170">
        <v>265</v>
      </c>
      <c r="U170" t="s">
        <v>300</v>
      </c>
      <c r="X170" t="s">
        <v>66</v>
      </c>
      <c r="Y170" t="s">
        <v>67</v>
      </c>
      <c r="AA170">
        <v>0</v>
      </c>
      <c r="AB170" t="s">
        <v>54</v>
      </c>
      <c r="AC170" t="s">
        <v>55</v>
      </c>
      <c r="AD170">
        <v>34</v>
      </c>
      <c r="AE170">
        <v>8</v>
      </c>
      <c r="AF170">
        <v>3</v>
      </c>
      <c r="AG170">
        <v>2025</v>
      </c>
      <c r="AH170" s="13">
        <v>2000</v>
      </c>
      <c r="AI170" s="13">
        <v>3363.923583984375</v>
      </c>
      <c r="AJ170" s="13">
        <f t="shared" si="16"/>
        <v>1363.923583984375</v>
      </c>
      <c r="AK170" s="14">
        <f t="shared" si="17"/>
        <v>0.68196179199218754</v>
      </c>
      <c r="AL170" s="9">
        <v>2000</v>
      </c>
      <c r="AM170" s="9">
        <v>2542.8255688511981</v>
      </c>
      <c r="AN170" s="9">
        <f t="shared" si="18"/>
        <v>542.82556885119811</v>
      </c>
      <c r="AO170" s="10">
        <f t="shared" si="19"/>
        <v>0.27141278442559907</v>
      </c>
      <c r="AP170" s="16">
        <v>2000</v>
      </c>
      <c r="AQ170" s="16">
        <v>2457.5193660293839</v>
      </c>
      <c r="AR170" s="16">
        <f t="shared" si="20"/>
        <v>457.51936602938395</v>
      </c>
      <c r="AS170" s="17">
        <f t="shared" si="21"/>
        <v>0.22875968301469196</v>
      </c>
      <c r="AT170" s="6">
        <v>2000</v>
      </c>
      <c r="AU170" s="6">
        <v>2611.527587890625</v>
      </c>
      <c r="AV170" s="6">
        <f t="shared" si="22"/>
        <v>611.527587890625</v>
      </c>
      <c r="AW170" s="7">
        <f t="shared" si="23"/>
        <v>0.3057637939453125</v>
      </c>
    </row>
    <row r="171" spans="1:49" x14ac:dyDescent="0.25">
      <c r="A171" t="s">
        <v>56</v>
      </c>
      <c r="B171" t="s">
        <v>489</v>
      </c>
      <c r="C171">
        <v>50910</v>
      </c>
      <c r="D171">
        <v>2022</v>
      </c>
      <c r="E171" t="s">
        <v>269</v>
      </c>
      <c r="F171" t="s">
        <v>490</v>
      </c>
      <c r="G171" t="s">
        <v>491</v>
      </c>
      <c r="H171" t="s">
        <v>492</v>
      </c>
      <c r="I171">
        <v>4</v>
      </c>
      <c r="J171" t="s">
        <v>43</v>
      </c>
      <c r="K171">
        <v>4</v>
      </c>
      <c r="L171" t="s">
        <v>44</v>
      </c>
      <c r="M171">
        <v>2</v>
      </c>
      <c r="N171" t="s">
        <v>44</v>
      </c>
      <c r="O171" t="s">
        <v>46</v>
      </c>
      <c r="Q171" t="s">
        <v>84</v>
      </c>
      <c r="R171" t="s">
        <v>85</v>
      </c>
      <c r="S171" t="s">
        <v>139</v>
      </c>
      <c r="T171">
        <v>248</v>
      </c>
      <c r="U171" t="s">
        <v>50</v>
      </c>
      <c r="X171" t="s">
        <v>87</v>
      </c>
      <c r="Y171" t="s">
        <v>244</v>
      </c>
      <c r="AA171">
        <v>0</v>
      </c>
      <c r="AB171" t="s">
        <v>54</v>
      </c>
      <c r="AC171" t="s">
        <v>89</v>
      </c>
      <c r="AD171">
        <v>34</v>
      </c>
      <c r="AE171">
        <v>8</v>
      </c>
      <c r="AF171">
        <v>3</v>
      </c>
      <c r="AG171">
        <v>2025</v>
      </c>
      <c r="AH171" s="13">
        <v>27900</v>
      </c>
      <c r="AI171" s="13">
        <v>32409.60546875</v>
      </c>
      <c r="AJ171" s="13">
        <f t="shared" si="16"/>
        <v>4509.60546875</v>
      </c>
      <c r="AK171" s="14">
        <f t="shared" si="17"/>
        <v>0.16163460461469534</v>
      </c>
      <c r="AL171" s="9">
        <v>27900</v>
      </c>
      <c r="AM171" s="9">
        <v>26462.86026277901</v>
      </c>
      <c r="AN171" s="9">
        <f t="shared" si="18"/>
        <v>1437.1397372209904</v>
      </c>
      <c r="AO171" s="10">
        <f t="shared" si="19"/>
        <v>5.151038484663048E-2</v>
      </c>
      <c r="AP171" s="16">
        <v>27900</v>
      </c>
      <c r="AQ171" s="16">
        <v>29626.394314146131</v>
      </c>
      <c r="AR171" s="16">
        <f t="shared" si="20"/>
        <v>1726.3943141461314</v>
      </c>
      <c r="AS171" s="17">
        <f t="shared" si="21"/>
        <v>6.1877932406671374E-2</v>
      </c>
      <c r="AT171" s="6">
        <v>27900</v>
      </c>
      <c r="AU171" s="6">
        <v>25814.109375</v>
      </c>
      <c r="AV171" s="6">
        <f t="shared" si="22"/>
        <v>2085.890625</v>
      </c>
      <c r="AW171" s="7">
        <f t="shared" si="23"/>
        <v>7.4763104838709682E-2</v>
      </c>
    </row>
    <row r="172" spans="1:49" x14ac:dyDescent="0.25">
      <c r="A172" t="s">
        <v>38</v>
      </c>
      <c r="B172" t="s">
        <v>493</v>
      </c>
      <c r="C172">
        <v>150138</v>
      </c>
      <c r="D172">
        <v>2017</v>
      </c>
      <c r="E172" t="s">
        <v>145</v>
      </c>
      <c r="F172" t="s">
        <v>494</v>
      </c>
      <c r="G172" t="s">
        <v>313</v>
      </c>
      <c r="I172">
        <v>4</v>
      </c>
      <c r="J172" t="s">
        <v>82</v>
      </c>
      <c r="K172">
        <v>4</v>
      </c>
      <c r="L172" t="s">
        <v>44</v>
      </c>
      <c r="M172">
        <v>1.8</v>
      </c>
      <c r="N172" t="s">
        <v>45</v>
      </c>
      <c r="O172" t="s">
        <v>83</v>
      </c>
      <c r="Q172" t="s">
        <v>47</v>
      </c>
      <c r="R172" t="s">
        <v>48</v>
      </c>
      <c r="S172" t="s">
        <v>49</v>
      </c>
      <c r="T172">
        <v>141</v>
      </c>
      <c r="U172" t="s">
        <v>50</v>
      </c>
      <c r="V172" t="s">
        <v>95</v>
      </c>
      <c r="W172" t="s">
        <v>495</v>
      </c>
      <c r="X172" t="s">
        <v>52</v>
      </c>
      <c r="Y172" t="s">
        <v>106</v>
      </c>
      <c r="Z172">
        <v>21415</v>
      </c>
      <c r="AA172">
        <v>0</v>
      </c>
      <c r="AB172" t="s">
        <v>54</v>
      </c>
      <c r="AC172" t="s">
        <v>55</v>
      </c>
      <c r="AD172">
        <v>34</v>
      </c>
      <c r="AE172">
        <v>8</v>
      </c>
      <c r="AF172">
        <v>3</v>
      </c>
      <c r="AG172">
        <v>2025</v>
      </c>
      <c r="AH172" s="13">
        <v>3200</v>
      </c>
      <c r="AI172" s="13">
        <v>3179.172119140625</v>
      </c>
      <c r="AJ172" s="13">
        <f t="shared" si="16"/>
        <v>20.827880859375</v>
      </c>
      <c r="AK172" s="14">
        <f t="shared" si="17"/>
        <v>6.5087127685546876E-3</v>
      </c>
      <c r="AL172" s="9">
        <v>3200</v>
      </c>
      <c r="AM172" s="9">
        <v>2172.4648643827131</v>
      </c>
      <c r="AN172" s="9">
        <f t="shared" si="18"/>
        <v>1027.5351356172869</v>
      </c>
      <c r="AO172" s="10">
        <f t="shared" si="19"/>
        <v>0.32110472988040217</v>
      </c>
      <c r="AP172" s="16">
        <v>3200</v>
      </c>
      <c r="AQ172" s="16">
        <v>3176.4277903344268</v>
      </c>
      <c r="AR172" s="16">
        <f t="shared" si="20"/>
        <v>23.572209665573155</v>
      </c>
      <c r="AS172" s="17">
        <f t="shared" si="21"/>
        <v>7.3663155204916108E-3</v>
      </c>
      <c r="AT172" s="6">
        <v>3200</v>
      </c>
      <c r="AU172" s="6">
        <v>2930.068603515625</v>
      </c>
      <c r="AV172" s="6">
        <f t="shared" si="22"/>
        <v>269.931396484375</v>
      </c>
      <c r="AW172" s="7">
        <f t="shared" si="23"/>
        <v>8.4353561401367183E-2</v>
      </c>
    </row>
    <row r="173" spans="1:49" x14ac:dyDescent="0.25">
      <c r="A173" t="s">
        <v>107</v>
      </c>
      <c r="B173" t="s">
        <v>154</v>
      </c>
      <c r="C173">
        <v>159579</v>
      </c>
      <c r="D173">
        <v>2014</v>
      </c>
      <c r="E173" t="s">
        <v>145</v>
      </c>
      <c r="F173" t="s">
        <v>349</v>
      </c>
      <c r="G173" t="s">
        <v>313</v>
      </c>
      <c r="I173">
        <v>4</v>
      </c>
      <c r="J173" t="s">
        <v>82</v>
      </c>
      <c r="K173">
        <v>4</v>
      </c>
      <c r="L173" t="s">
        <v>44</v>
      </c>
      <c r="M173">
        <v>1.8</v>
      </c>
      <c r="N173" t="s">
        <v>45</v>
      </c>
      <c r="O173" t="s">
        <v>46</v>
      </c>
      <c r="Q173" t="s">
        <v>84</v>
      </c>
      <c r="R173" t="s">
        <v>85</v>
      </c>
      <c r="T173">
        <v>143</v>
      </c>
      <c r="U173" t="s">
        <v>50</v>
      </c>
      <c r="V173" t="s">
        <v>95</v>
      </c>
      <c r="W173" t="s">
        <v>350</v>
      </c>
      <c r="X173" t="s">
        <v>122</v>
      </c>
      <c r="Y173" t="s">
        <v>67</v>
      </c>
      <c r="AA173">
        <v>0</v>
      </c>
      <c r="AB173" t="s">
        <v>54</v>
      </c>
      <c r="AC173" t="s">
        <v>89</v>
      </c>
      <c r="AD173">
        <v>34</v>
      </c>
      <c r="AE173">
        <v>8</v>
      </c>
      <c r="AF173">
        <v>3</v>
      </c>
      <c r="AG173">
        <v>2025</v>
      </c>
      <c r="AH173" s="13">
        <v>2800</v>
      </c>
      <c r="AI173" s="13">
        <v>3624.69677734375</v>
      </c>
      <c r="AJ173" s="13">
        <f t="shared" si="16"/>
        <v>824.69677734375</v>
      </c>
      <c r="AK173" s="14">
        <f t="shared" si="17"/>
        <v>0.29453456333705358</v>
      </c>
      <c r="AL173" s="9">
        <v>2800</v>
      </c>
      <c r="AM173" s="9">
        <v>4463.1040235068676</v>
      </c>
      <c r="AN173" s="9">
        <f t="shared" si="18"/>
        <v>1663.1040235068676</v>
      </c>
      <c r="AO173" s="10">
        <f t="shared" si="19"/>
        <v>0.5939657226810241</v>
      </c>
      <c r="AP173" s="16">
        <v>2800</v>
      </c>
      <c r="AQ173" s="16">
        <v>3431.249078079175</v>
      </c>
      <c r="AR173" s="16">
        <f t="shared" si="20"/>
        <v>631.24907807917498</v>
      </c>
      <c r="AS173" s="17">
        <f t="shared" si="21"/>
        <v>0.22544609931399107</v>
      </c>
      <c r="AT173" s="6">
        <v>2800</v>
      </c>
      <c r="AU173" s="6">
        <v>4156.71044921875</v>
      </c>
      <c r="AV173" s="6">
        <f t="shared" si="22"/>
        <v>1356.71044921875</v>
      </c>
      <c r="AW173" s="7">
        <f t="shared" si="23"/>
        <v>0.48453944614955358</v>
      </c>
    </row>
    <row r="174" spans="1:49" x14ac:dyDescent="0.25">
      <c r="A174" t="s">
        <v>56</v>
      </c>
      <c r="B174" t="s">
        <v>57</v>
      </c>
      <c r="C174">
        <v>196293</v>
      </c>
      <c r="D174">
        <v>2018</v>
      </c>
      <c r="E174" t="s">
        <v>382</v>
      </c>
      <c r="F174" t="s">
        <v>496</v>
      </c>
      <c r="G174" t="s">
        <v>497</v>
      </c>
      <c r="I174">
        <v>6</v>
      </c>
      <c r="J174" t="s">
        <v>94</v>
      </c>
      <c r="K174">
        <v>4</v>
      </c>
      <c r="L174" t="s">
        <v>44</v>
      </c>
      <c r="M174">
        <v>3.6</v>
      </c>
      <c r="N174" t="s">
        <v>44</v>
      </c>
      <c r="O174" t="s">
        <v>46</v>
      </c>
      <c r="Q174" t="s">
        <v>84</v>
      </c>
      <c r="R174" t="s">
        <v>85</v>
      </c>
      <c r="S174" t="s">
        <v>139</v>
      </c>
      <c r="T174">
        <v>292</v>
      </c>
      <c r="U174" t="s">
        <v>50</v>
      </c>
      <c r="V174" t="s">
        <v>64</v>
      </c>
      <c r="X174" t="s">
        <v>87</v>
      </c>
      <c r="Y174" t="s">
        <v>88</v>
      </c>
      <c r="AA174">
        <v>0</v>
      </c>
      <c r="AB174" t="s">
        <v>54</v>
      </c>
      <c r="AC174" t="s">
        <v>89</v>
      </c>
      <c r="AD174">
        <v>34</v>
      </c>
      <c r="AE174">
        <v>8</v>
      </c>
      <c r="AF174">
        <v>3</v>
      </c>
      <c r="AG174">
        <v>2025</v>
      </c>
      <c r="AH174" s="13">
        <v>4700</v>
      </c>
      <c r="AI174" s="13">
        <v>5891.89306640625</v>
      </c>
      <c r="AJ174" s="13">
        <f t="shared" si="16"/>
        <v>1191.89306640625</v>
      </c>
      <c r="AK174" s="14">
        <f t="shared" si="17"/>
        <v>0.25359426944813829</v>
      </c>
      <c r="AL174" s="9">
        <v>4700</v>
      </c>
      <c r="AM174" s="9">
        <v>4898.3688474374694</v>
      </c>
      <c r="AN174" s="9">
        <f t="shared" si="18"/>
        <v>198.36884743746941</v>
      </c>
      <c r="AO174" s="10">
        <f t="shared" si="19"/>
        <v>4.220613775265307E-2</v>
      </c>
      <c r="AP174" s="16">
        <v>4700</v>
      </c>
      <c r="AQ174" s="16">
        <v>5001.5356099634691</v>
      </c>
      <c r="AR174" s="16">
        <f t="shared" si="20"/>
        <v>301.53560996346914</v>
      </c>
      <c r="AS174" s="17">
        <f t="shared" si="21"/>
        <v>6.415651275818493E-2</v>
      </c>
      <c r="AT174" s="6">
        <v>4700</v>
      </c>
      <c r="AU174" s="6">
        <v>5063.42529296875</v>
      </c>
      <c r="AV174" s="6">
        <f t="shared" si="22"/>
        <v>363.42529296875</v>
      </c>
      <c r="AW174" s="7">
        <f t="shared" si="23"/>
        <v>7.7324530418882972E-2</v>
      </c>
    </row>
    <row r="175" spans="1:49" x14ac:dyDescent="0.25">
      <c r="A175" t="s">
        <v>38</v>
      </c>
      <c r="B175" t="s">
        <v>167</v>
      </c>
      <c r="C175">
        <v>219476</v>
      </c>
      <c r="D175">
        <v>2007</v>
      </c>
      <c r="E175" t="s">
        <v>98</v>
      </c>
      <c r="F175" t="s">
        <v>161</v>
      </c>
      <c r="H175" t="s">
        <v>337</v>
      </c>
      <c r="I175">
        <v>8</v>
      </c>
      <c r="J175" t="s">
        <v>101</v>
      </c>
      <c r="K175">
        <v>4</v>
      </c>
      <c r="L175" t="s">
        <v>44</v>
      </c>
      <c r="M175">
        <v>5.3</v>
      </c>
      <c r="N175" t="s">
        <v>62</v>
      </c>
      <c r="O175" t="s">
        <v>46</v>
      </c>
      <c r="Q175" t="s">
        <v>75</v>
      </c>
      <c r="R175" t="s">
        <v>76</v>
      </c>
      <c r="S175" t="s">
        <v>63</v>
      </c>
      <c r="U175" t="s">
        <v>50</v>
      </c>
      <c r="V175" t="s">
        <v>64</v>
      </c>
      <c r="W175" t="s">
        <v>498</v>
      </c>
      <c r="X175" t="s">
        <v>66</v>
      </c>
      <c r="Y175" t="s">
        <v>88</v>
      </c>
      <c r="AA175">
        <v>0</v>
      </c>
      <c r="AB175" t="s">
        <v>54</v>
      </c>
      <c r="AC175" t="s">
        <v>78</v>
      </c>
      <c r="AD175">
        <v>34</v>
      </c>
      <c r="AE175">
        <v>8</v>
      </c>
      <c r="AF175">
        <v>3</v>
      </c>
      <c r="AG175">
        <v>2025</v>
      </c>
      <c r="AH175" s="13">
        <v>5200</v>
      </c>
      <c r="AI175" s="13">
        <v>2761.721923828125</v>
      </c>
      <c r="AJ175" s="13">
        <f t="shared" si="16"/>
        <v>2438.278076171875</v>
      </c>
      <c r="AK175" s="14">
        <f t="shared" si="17"/>
        <v>0.46889963003305291</v>
      </c>
      <c r="AL175" s="9">
        <v>5200</v>
      </c>
      <c r="AM175" s="9">
        <v>2601.6617312938602</v>
      </c>
      <c r="AN175" s="9">
        <f t="shared" si="18"/>
        <v>2598.3382687061398</v>
      </c>
      <c r="AO175" s="10">
        <f t="shared" si="19"/>
        <v>0.49968043628964226</v>
      </c>
      <c r="AP175" s="16">
        <v>5200</v>
      </c>
      <c r="AQ175" s="16">
        <v>2292.646663957667</v>
      </c>
      <c r="AR175" s="16">
        <f t="shared" si="20"/>
        <v>2907.353336042333</v>
      </c>
      <c r="AS175" s="17">
        <f t="shared" si="21"/>
        <v>0.55910641077737178</v>
      </c>
      <c r="AT175" s="6">
        <v>5200</v>
      </c>
      <c r="AU175" s="6">
        <v>2844.520263671875</v>
      </c>
      <c r="AV175" s="6">
        <f t="shared" si="22"/>
        <v>2355.479736328125</v>
      </c>
      <c r="AW175" s="7">
        <f t="shared" si="23"/>
        <v>0.45297687237079326</v>
      </c>
    </row>
    <row r="176" spans="1:49" x14ac:dyDescent="0.25">
      <c r="A176" t="s">
        <v>56</v>
      </c>
      <c r="B176" t="s">
        <v>431</v>
      </c>
      <c r="C176">
        <v>54598</v>
      </c>
      <c r="D176">
        <v>2016</v>
      </c>
      <c r="E176" t="s">
        <v>150</v>
      </c>
      <c r="F176" t="s">
        <v>279</v>
      </c>
      <c r="G176" t="s">
        <v>499</v>
      </c>
      <c r="I176">
        <v>4</v>
      </c>
      <c r="J176" t="s">
        <v>74</v>
      </c>
      <c r="K176">
        <v>4</v>
      </c>
      <c r="L176" t="s">
        <v>44</v>
      </c>
      <c r="M176">
        <v>1.4</v>
      </c>
      <c r="N176" t="s">
        <v>44</v>
      </c>
      <c r="Q176" t="s">
        <v>47</v>
      </c>
      <c r="R176" t="s">
        <v>48</v>
      </c>
      <c r="S176" t="s">
        <v>139</v>
      </c>
      <c r="U176" t="s">
        <v>50</v>
      </c>
      <c r="V176" t="s">
        <v>95</v>
      </c>
      <c r="W176" t="s">
        <v>500</v>
      </c>
      <c r="X176" t="s">
        <v>52</v>
      </c>
      <c r="Y176" t="s">
        <v>53</v>
      </c>
      <c r="AA176">
        <v>0</v>
      </c>
      <c r="AB176" t="s">
        <v>54</v>
      </c>
      <c r="AC176" t="s">
        <v>55</v>
      </c>
      <c r="AD176">
        <v>34</v>
      </c>
      <c r="AE176">
        <v>8</v>
      </c>
      <c r="AF176">
        <v>3</v>
      </c>
      <c r="AG176">
        <v>2025</v>
      </c>
      <c r="AH176" s="13">
        <v>10400</v>
      </c>
      <c r="AI176" s="13">
        <v>11007.2294921875</v>
      </c>
      <c r="AJ176" s="13">
        <f t="shared" si="16"/>
        <v>607.2294921875</v>
      </c>
      <c r="AK176" s="14">
        <f t="shared" si="17"/>
        <v>5.8387451171875E-2</v>
      </c>
      <c r="AL176" s="9">
        <v>10400</v>
      </c>
      <c r="AM176" s="9">
        <v>9579.43692013074</v>
      </c>
      <c r="AN176" s="9">
        <f t="shared" si="18"/>
        <v>820.56307986926004</v>
      </c>
      <c r="AO176" s="10">
        <f t="shared" si="19"/>
        <v>7.8900296141275E-2</v>
      </c>
      <c r="AP176" s="16">
        <v>10400</v>
      </c>
      <c r="AQ176" s="16">
        <v>8611.7498509967554</v>
      </c>
      <c r="AR176" s="16">
        <f t="shared" si="20"/>
        <v>1788.2501490032446</v>
      </c>
      <c r="AS176" s="17">
        <f t="shared" si="21"/>
        <v>0.17194712971185044</v>
      </c>
      <c r="AT176" s="6">
        <v>10400</v>
      </c>
      <c r="AU176" s="6">
        <v>9512.21875</v>
      </c>
      <c r="AV176" s="6">
        <f t="shared" si="22"/>
        <v>887.78125</v>
      </c>
      <c r="AW176" s="7">
        <f t="shared" si="23"/>
        <v>8.5363581730769231E-2</v>
      </c>
    </row>
    <row r="177" spans="1:49" x14ac:dyDescent="0.25">
      <c r="A177" t="s">
        <v>69</v>
      </c>
      <c r="B177" t="s">
        <v>70</v>
      </c>
      <c r="C177">
        <v>42348</v>
      </c>
      <c r="D177">
        <v>2023</v>
      </c>
      <c r="E177" t="s">
        <v>91</v>
      </c>
      <c r="F177" t="s">
        <v>315</v>
      </c>
      <c r="G177" t="s">
        <v>501</v>
      </c>
      <c r="H177" t="s">
        <v>502</v>
      </c>
      <c r="I177">
        <v>4</v>
      </c>
      <c r="J177" t="s">
        <v>74</v>
      </c>
      <c r="K177">
        <v>4</v>
      </c>
      <c r="L177" t="s">
        <v>44</v>
      </c>
      <c r="M177">
        <v>2.4</v>
      </c>
      <c r="N177" t="s">
        <v>45</v>
      </c>
      <c r="O177" t="s">
        <v>46</v>
      </c>
      <c r="P177">
        <v>4</v>
      </c>
      <c r="Q177" t="s">
        <v>47</v>
      </c>
      <c r="R177" t="s">
        <v>48</v>
      </c>
      <c r="S177" t="s">
        <v>49</v>
      </c>
      <c r="T177">
        <v>265</v>
      </c>
      <c r="U177" t="s">
        <v>50</v>
      </c>
      <c r="V177" t="s">
        <v>95</v>
      </c>
      <c r="W177" t="s">
        <v>503</v>
      </c>
      <c r="X177" t="s">
        <v>141</v>
      </c>
      <c r="Y177" t="s">
        <v>67</v>
      </c>
      <c r="AA177">
        <v>0</v>
      </c>
      <c r="AB177" t="s">
        <v>54</v>
      </c>
      <c r="AC177" t="s">
        <v>68</v>
      </c>
      <c r="AD177">
        <v>34</v>
      </c>
      <c r="AE177">
        <v>8</v>
      </c>
      <c r="AF177">
        <v>3</v>
      </c>
      <c r="AG177">
        <v>2025</v>
      </c>
      <c r="AH177" s="13">
        <v>33000</v>
      </c>
      <c r="AI177" s="13">
        <v>24516.6171875</v>
      </c>
      <c r="AJ177" s="13">
        <f t="shared" si="16"/>
        <v>8483.3828125</v>
      </c>
      <c r="AK177" s="14">
        <f t="shared" si="17"/>
        <v>0.25707220643939394</v>
      </c>
      <c r="AL177" s="9">
        <v>33000</v>
      </c>
      <c r="AM177" s="9">
        <v>27281.837387602511</v>
      </c>
      <c r="AN177" s="9">
        <f t="shared" si="18"/>
        <v>5718.1626123974893</v>
      </c>
      <c r="AO177" s="10">
        <f t="shared" si="19"/>
        <v>0.17327765492113603</v>
      </c>
      <c r="AP177" s="16">
        <v>33000</v>
      </c>
      <c r="AQ177" s="16">
        <v>29401.80301148479</v>
      </c>
      <c r="AR177" s="16">
        <f t="shared" si="20"/>
        <v>3598.1969885152103</v>
      </c>
      <c r="AS177" s="17">
        <f t="shared" si="21"/>
        <v>0.10903627237924879</v>
      </c>
      <c r="AT177" s="6">
        <v>33000</v>
      </c>
      <c r="AU177" s="6">
        <v>25634.525390625</v>
      </c>
      <c r="AV177" s="6">
        <f t="shared" si="22"/>
        <v>7365.474609375</v>
      </c>
      <c r="AW177" s="7">
        <f t="shared" si="23"/>
        <v>0.2231962002840909</v>
      </c>
    </row>
    <row r="178" spans="1:49" x14ac:dyDescent="0.25">
      <c r="A178" t="s">
        <v>107</v>
      </c>
      <c r="B178" t="s">
        <v>192</v>
      </c>
      <c r="C178">
        <v>195721</v>
      </c>
      <c r="D178">
        <v>2017</v>
      </c>
      <c r="E178" t="s">
        <v>217</v>
      </c>
      <c r="F178" t="s">
        <v>504</v>
      </c>
      <c r="H178" t="s">
        <v>505</v>
      </c>
      <c r="I178">
        <v>6</v>
      </c>
      <c r="J178" t="s">
        <v>101</v>
      </c>
      <c r="K178">
        <v>4</v>
      </c>
      <c r="L178" t="s">
        <v>44</v>
      </c>
      <c r="M178">
        <v>6.7</v>
      </c>
      <c r="N178" t="s">
        <v>116</v>
      </c>
      <c r="O178" t="s">
        <v>46</v>
      </c>
      <c r="P178">
        <v>1</v>
      </c>
      <c r="Q178" t="s">
        <v>455</v>
      </c>
      <c r="R178" t="s">
        <v>506</v>
      </c>
      <c r="S178" t="s">
        <v>49</v>
      </c>
      <c r="U178" t="s">
        <v>300</v>
      </c>
      <c r="V178" t="s">
        <v>95</v>
      </c>
      <c r="X178" t="s">
        <v>507</v>
      </c>
      <c r="Y178" t="s">
        <v>106</v>
      </c>
      <c r="AA178">
        <v>0</v>
      </c>
      <c r="AB178" t="s">
        <v>54</v>
      </c>
      <c r="AC178" t="s">
        <v>458</v>
      </c>
      <c r="AD178">
        <v>34</v>
      </c>
      <c r="AE178">
        <v>8</v>
      </c>
      <c r="AF178">
        <v>3</v>
      </c>
      <c r="AG178">
        <v>2025</v>
      </c>
      <c r="AH178" s="13">
        <v>6000</v>
      </c>
      <c r="AI178" s="13">
        <v>8021.39404296875</v>
      </c>
      <c r="AJ178" s="13">
        <f t="shared" si="16"/>
        <v>2021.39404296875</v>
      </c>
      <c r="AK178" s="14">
        <f t="shared" si="17"/>
        <v>0.33689900716145832</v>
      </c>
      <c r="AL178" s="9">
        <v>6000</v>
      </c>
      <c r="AM178" s="9">
        <v>7931.7666226329402</v>
      </c>
      <c r="AN178" s="9">
        <f t="shared" si="18"/>
        <v>1931.7666226329402</v>
      </c>
      <c r="AO178" s="10">
        <f t="shared" si="19"/>
        <v>0.3219611037721567</v>
      </c>
      <c r="AP178" s="16">
        <v>6000</v>
      </c>
      <c r="AQ178" s="16">
        <v>9250.0534774972657</v>
      </c>
      <c r="AR178" s="16">
        <f t="shared" si="20"/>
        <v>3250.0534774972657</v>
      </c>
      <c r="AS178" s="17">
        <f t="shared" si="21"/>
        <v>0.5416755795828776</v>
      </c>
      <c r="AT178" s="6">
        <v>6000</v>
      </c>
      <c r="AU178" s="6">
        <v>6200.01123046875</v>
      </c>
      <c r="AV178" s="6">
        <f t="shared" si="22"/>
        <v>200.01123046875</v>
      </c>
      <c r="AW178" s="7">
        <f t="shared" si="23"/>
        <v>3.3335205078124999E-2</v>
      </c>
    </row>
    <row r="179" spans="1:49" x14ac:dyDescent="0.25">
      <c r="A179" t="s">
        <v>69</v>
      </c>
      <c r="B179" t="s">
        <v>70</v>
      </c>
      <c r="C179">
        <v>65312</v>
      </c>
      <c r="D179">
        <v>2020</v>
      </c>
      <c r="E179" t="s">
        <v>79</v>
      </c>
      <c r="F179" t="s">
        <v>272</v>
      </c>
      <c r="G179" t="s">
        <v>508</v>
      </c>
      <c r="H179" t="s">
        <v>162</v>
      </c>
      <c r="I179">
        <v>8</v>
      </c>
      <c r="J179" t="s">
        <v>61</v>
      </c>
      <c r="K179">
        <v>4</v>
      </c>
      <c r="L179" t="s">
        <v>44</v>
      </c>
      <c r="M179">
        <v>5.3</v>
      </c>
      <c r="N179" t="s">
        <v>62</v>
      </c>
      <c r="O179" t="s">
        <v>46</v>
      </c>
      <c r="P179">
        <v>5</v>
      </c>
      <c r="Q179" t="s">
        <v>75</v>
      </c>
      <c r="R179" t="s">
        <v>76</v>
      </c>
      <c r="S179" t="s">
        <v>63</v>
      </c>
      <c r="U179" t="s">
        <v>50</v>
      </c>
      <c r="W179" t="s">
        <v>274</v>
      </c>
      <c r="X179" t="s">
        <v>77</v>
      </c>
      <c r="Y179" t="s">
        <v>67</v>
      </c>
      <c r="AA179">
        <v>0</v>
      </c>
      <c r="AB179" t="s">
        <v>54</v>
      </c>
      <c r="AC179" t="s">
        <v>78</v>
      </c>
      <c r="AD179">
        <v>34</v>
      </c>
      <c r="AE179">
        <v>8</v>
      </c>
      <c r="AF179">
        <v>3</v>
      </c>
      <c r="AG179">
        <v>2025</v>
      </c>
      <c r="AH179" s="13">
        <v>33800</v>
      </c>
      <c r="AI179" s="13">
        <v>40016.78515625</v>
      </c>
      <c r="AJ179" s="13">
        <f t="shared" si="16"/>
        <v>6216.78515625</v>
      </c>
      <c r="AK179" s="14">
        <f t="shared" si="17"/>
        <v>0.18392855491863905</v>
      </c>
      <c r="AL179" s="9">
        <v>33800</v>
      </c>
      <c r="AM179" s="9">
        <v>37843.414604489961</v>
      </c>
      <c r="AN179" s="9">
        <f t="shared" si="18"/>
        <v>4043.4146044899608</v>
      </c>
      <c r="AO179" s="10">
        <f t="shared" si="19"/>
        <v>0.11962765102041303</v>
      </c>
      <c r="AP179" s="16">
        <v>33800</v>
      </c>
      <c r="AQ179" s="16">
        <v>38004.924342487648</v>
      </c>
      <c r="AR179" s="16">
        <f t="shared" si="20"/>
        <v>4204.9243424876477</v>
      </c>
      <c r="AS179" s="17">
        <f t="shared" si="21"/>
        <v>0.12440604563572923</v>
      </c>
      <c r="AT179" s="6">
        <v>33800</v>
      </c>
      <c r="AU179" s="6">
        <v>35602.453125</v>
      </c>
      <c r="AV179" s="6">
        <f t="shared" si="22"/>
        <v>1802.453125</v>
      </c>
      <c r="AW179" s="7">
        <f t="shared" si="23"/>
        <v>5.3327015532544382E-2</v>
      </c>
    </row>
    <row r="180" spans="1:49" x14ac:dyDescent="0.25">
      <c r="A180" t="s">
        <v>38</v>
      </c>
      <c r="B180" t="s">
        <v>410</v>
      </c>
      <c r="C180">
        <v>93757</v>
      </c>
      <c r="D180">
        <v>2020</v>
      </c>
      <c r="E180" t="s">
        <v>58</v>
      </c>
      <c r="F180" t="s">
        <v>425</v>
      </c>
      <c r="H180" t="s">
        <v>268</v>
      </c>
      <c r="I180">
        <v>4</v>
      </c>
      <c r="J180" t="s">
        <v>82</v>
      </c>
      <c r="K180">
        <v>4</v>
      </c>
      <c r="L180" t="s">
        <v>44</v>
      </c>
      <c r="M180">
        <v>1.5</v>
      </c>
      <c r="N180" t="s">
        <v>45</v>
      </c>
      <c r="O180" t="s">
        <v>46</v>
      </c>
      <c r="P180">
        <v>2</v>
      </c>
      <c r="Q180" t="s">
        <v>84</v>
      </c>
      <c r="R180" t="s">
        <v>85</v>
      </c>
      <c r="S180" t="s">
        <v>102</v>
      </c>
      <c r="T180">
        <v>181</v>
      </c>
      <c r="U180" t="s">
        <v>50</v>
      </c>
      <c r="V180" t="s">
        <v>95</v>
      </c>
      <c r="X180" t="s">
        <v>87</v>
      </c>
      <c r="Y180" t="s">
        <v>106</v>
      </c>
      <c r="AA180">
        <v>0</v>
      </c>
      <c r="AB180" t="s">
        <v>54</v>
      </c>
      <c r="AC180" t="s">
        <v>89</v>
      </c>
      <c r="AD180">
        <v>34</v>
      </c>
      <c r="AE180">
        <v>8</v>
      </c>
      <c r="AF180">
        <v>3</v>
      </c>
      <c r="AG180">
        <v>2025</v>
      </c>
      <c r="AH180" s="13">
        <v>7200</v>
      </c>
      <c r="AI180" s="13">
        <v>7013.62109375</v>
      </c>
      <c r="AJ180" s="13">
        <f t="shared" si="16"/>
        <v>186.37890625</v>
      </c>
      <c r="AK180" s="14">
        <f t="shared" si="17"/>
        <v>2.5885959201388888E-2</v>
      </c>
      <c r="AL180" s="9">
        <v>7200</v>
      </c>
      <c r="AM180" s="9">
        <v>6817.9222200979721</v>
      </c>
      <c r="AN180" s="9">
        <f t="shared" si="18"/>
        <v>382.07777990202794</v>
      </c>
      <c r="AO180" s="10">
        <f t="shared" si="19"/>
        <v>5.3066358319726101E-2</v>
      </c>
      <c r="AP180" s="16">
        <v>7200</v>
      </c>
      <c r="AQ180" s="16">
        <v>5726.6878751839949</v>
      </c>
      <c r="AR180" s="16">
        <f t="shared" si="20"/>
        <v>1473.3121248160051</v>
      </c>
      <c r="AS180" s="17">
        <f t="shared" si="21"/>
        <v>0.20462668400222292</v>
      </c>
      <c r="AT180" s="6">
        <v>7200</v>
      </c>
      <c r="AU180" s="6">
        <v>6658.0869140625</v>
      </c>
      <c r="AV180" s="6">
        <f t="shared" si="22"/>
        <v>541.9130859375</v>
      </c>
      <c r="AW180" s="7">
        <f t="shared" si="23"/>
        <v>7.5265706380208339E-2</v>
      </c>
    </row>
    <row r="181" spans="1:49" x14ac:dyDescent="0.25">
      <c r="A181" t="s">
        <v>69</v>
      </c>
      <c r="B181" t="s">
        <v>160</v>
      </c>
      <c r="C181">
        <v>163102</v>
      </c>
      <c r="D181">
        <v>2017</v>
      </c>
      <c r="E181" t="s">
        <v>98</v>
      </c>
      <c r="F181" t="s">
        <v>161</v>
      </c>
      <c r="G181" t="s">
        <v>218</v>
      </c>
      <c r="H181" t="s">
        <v>388</v>
      </c>
      <c r="I181">
        <v>8</v>
      </c>
      <c r="J181" t="s">
        <v>43</v>
      </c>
      <c r="K181">
        <v>4</v>
      </c>
      <c r="L181" t="s">
        <v>44</v>
      </c>
      <c r="M181">
        <v>6.6</v>
      </c>
      <c r="N181" t="s">
        <v>62</v>
      </c>
      <c r="O181" t="s">
        <v>46</v>
      </c>
      <c r="Q181" t="s">
        <v>75</v>
      </c>
      <c r="R181" t="s">
        <v>76</v>
      </c>
      <c r="S181" t="s">
        <v>63</v>
      </c>
      <c r="U181" t="s">
        <v>300</v>
      </c>
      <c r="V181" t="s">
        <v>64</v>
      </c>
      <c r="W181" t="s">
        <v>509</v>
      </c>
      <c r="X181" t="s">
        <v>390</v>
      </c>
      <c r="Y181" t="s">
        <v>67</v>
      </c>
      <c r="Z181">
        <v>49270</v>
      </c>
      <c r="AA181">
        <v>0</v>
      </c>
      <c r="AB181" t="s">
        <v>54</v>
      </c>
      <c r="AC181" t="s">
        <v>78</v>
      </c>
      <c r="AD181">
        <v>34</v>
      </c>
      <c r="AE181">
        <v>8</v>
      </c>
      <c r="AF181">
        <v>3</v>
      </c>
      <c r="AG181">
        <v>2025</v>
      </c>
      <c r="AH181" s="13">
        <v>25000</v>
      </c>
      <c r="AI181" s="13">
        <v>26271.201171875</v>
      </c>
      <c r="AJ181" s="13">
        <f t="shared" si="16"/>
        <v>1271.201171875</v>
      </c>
      <c r="AK181" s="14">
        <f t="shared" si="17"/>
        <v>5.0848046874999997E-2</v>
      </c>
      <c r="AL181" s="9">
        <v>25000</v>
      </c>
      <c r="AM181" s="9">
        <v>19461.697685065301</v>
      </c>
      <c r="AN181" s="9">
        <f t="shared" si="18"/>
        <v>5538.3023149346991</v>
      </c>
      <c r="AO181" s="10">
        <f t="shared" si="19"/>
        <v>0.22153209259738796</v>
      </c>
      <c r="AP181" s="16">
        <v>25000</v>
      </c>
      <c r="AQ181" s="16">
        <v>24049.247689964239</v>
      </c>
      <c r="AR181" s="16">
        <f t="shared" si="20"/>
        <v>950.75231003576118</v>
      </c>
      <c r="AS181" s="17">
        <f t="shared" si="21"/>
        <v>3.8030092401430446E-2</v>
      </c>
      <c r="AT181" s="6">
        <v>25000</v>
      </c>
      <c r="AU181" s="6">
        <v>22824.3359375</v>
      </c>
      <c r="AV181" s="6">
        <f t="shared" si="22"/>
        <v>2175.6640625</v>
      </c>
      <c r="AW181" s="7">
        <f t="shared" si="23"/>
        <v>8.7026562500000001E-2</v>
      </c>
    </row>
    <row r="182" spans="1:49" x14ac:dyDescent="0.25">
      <c r="A182" t="s">
        <v>56</v>
      </c>
      <c r="B182" t="s">
        <v>57</v>
      </c>
      <c r="C182">
        <v>106043</v>
      </c>
      <c r="D182">
        <v>2017</v>
      </c>
      <c r="E182" t="s">
        <v>98</v>
      </c>
      <c r="F182" t="s">
        <v>109</v>
      </c>
      <c r="H182" t="s">
        <v>218</v>
      </c>
      <c r="I182">
        <v>4</v>
      </c>
      <c r="J182" t="s">
        <v>74</v>
      </c>
      <c r="K182">
        <v>4</v>
      </c>
      <c r="L182" t="s">
        <v>44</v>
      </c>
      <c r="M182">
        <v>2.4</v>
      </c>
      <c r="N182" t="s">
        <v>45</v>
      </c>
      <c r="O182" t="s">
        <v>46</v>
      </c>
      <c r="Q182" t="s">
        <v>47</v>
      </c>
      <c r="R182" t="s">
        <v>48</v>
      </c>
      <c r="S182" t="s">
        <v>102</v>
      </c>
      <c r="U182" t="s">
        <v>50</v>
      </c>
      <c r="W182" t="s">
        <v>166</v>
      </c>
      <c r="X182" t="s">
        <v>52</v>
      </c>
      <c r="Y182" t="s">
        <v>88</v>
      </c>
      <c r="Z182">
        <v>30920</v>
      </c>
      <c r="AA182">
        <v>0</v>
      </c>
      <c r="AB182" t="s">
        <v>54</v>
      </c>
      <c r="AC182" t="s">
        <v>55</v>
      </c>
      <c r="AD182">
        <v>34</v>
      </c>
      <c r="AE182">
        <v>8</v>
      </c>
      <c r="AF182">
        <v>3</v>
      </c>
      <c r="AG182">
        <v>2025</v>
      </c>
      <c r="AH182" s="13">
        <v>6300</v>
      </c>
      <c r="AI182" s="13">
        <v>6822.162109375</v>
      </c>
      <c r="AJ182" s="13">
        <f t="shared" si="16"/>
        <v>522.162109375</v>
      </c>
      <c r="AK182" s="14">
        <f t="shared" si="17"/>
        <v>8.2882874503968251E-2</v>
      </c>
      <c r="AL182" s="9">
        <v>6300</v>
      </c>
      <c r="AM182" s="9">
        <v>6190.5206368550853</v>
      </c>
      <c r="AN182" s="9">
        <f t="shared" si="18"/>
        <v>109.47936314491471</v>
      </c>
      <c r="AO182" s="10">
        <f t="shared" si="19"/>
        <v>1.7377676689669001E-2</v>
      </c>
      <c r="AP182" s="16">
        <v>6300</v>
      </c>
      <c r="AQ182" s="16">
        <v>6281.8289754637954</v>
      </c>
      <c r="AR182" s="16">
        <f t="shared" si="20"/>
        <v>18.171024536204641</v>
      </c>
      <c r="AS182" s="17">
        <f t="shared" si="21"/>
        <v>2.8842896089213716E-3</v>
      </c>
      <c r="AT182" s="6">
        <v>6300</v>
      </c>
      <c r="AU182" s="6">
        <v>5812.9775390625</v>
      </c>
      <c r="AV182" s="6">
        <f t="shared" si="22"/>
        <v>487.0224609375</v>
      </c>
      <c r="AW182" s="7">
        <f t="shared" si="23"/>
        <v>7.7305152529761903E-2</v>
      </c>
    </row>
    <row r="183" spans="1:49" x14ac:dyDescent="0.25">
      <c r="A183" t="s">
        <v>56</v>
      </c>
      <c r="B183" t="s">
        <v>123</v>
      </c>
      <c r="C183">
        <v>93607</v>
      </c>
      <c r="D183">
        <v>2008</v>
      </c>
      <c r="E183" t="s">
        <v>124</v>
      </c>
      <c r="F183" t="s">
        <v>351</v>
      </c>
      <c r="I183">
        <v>6</v>
      </c>
      <c r="J183" t="s">
        <v>61</v>
      </c>
      <c r="K183">
        <v>4</v>
      </c>
      <c r="L183" t="s">
        <v>44</v>
      </c>
      <c r="M183">
        <v>3.3</v>
      </c>
      <c r="N183" t="s">
        <v>44</v>
      </c>
      <c r="O183" t="s">
        <v>46</v>
      </c>
      <c r="P183">
        <v>4</v>
      </c>
      <c r="Q183" t="s">
        <v>47</v>
      </c>
      <c r="R183" t="s">
        <v>48</v>
      </c>
      <c r="S183" t="s">
        <v>139</v>
      </c>
      <c r="T183">
        <v>242</v>
      </c>
      <c r="U183" t="s">
        <v>50</v>
      </c>
      <c r="V183" t="s">
        <v>64</v>
      </c>
      <c r="X183" t="s">
        <v>141</v>
      </c>
      <c r="Y183" t="s">
        <v>67</v>
      </c>
      <c r="AA183">
        <v>0</v>
      </c>
      <c r="AB183" t="s">
        <v>54</v>
      </c>
      <c r="AC183" t="s">
        <v>55</v>
      </c>
      <c r="AD183">
        <v>34</v>
      </c>
      <c r="AE183">
        <v>8</v>
      </c>
      <c r="AF183">
        <v>3</v>
      </c>
      <c r="AG183">
        <v>2025</v>
      </c>
      <c r="AH183" s="13">
        <v>3700</v>
      </c>
      <c r="AI183" s="13">
        <v>2303.821044921875</v>
      </c>
      <c r="AJ183" s="13">
        <f t="shared" si="16"/>
        <v>1396.178955078125</v>
      </c>
      <c r="AK183" s="14">
        <f t="shared" si="17"/>
        <v>0.37734566353462839</v>
      </c>
      <c r="AL183" s="9">
        <v>3700</v>
      </c>
      <c r="AM183" s="9">
        <v>2243.4495192798531</v>
      </c>
      <c r="AN183" s="9">
        <f t="shared" si="18"/>
        <v>1456.5504807201469</v>
      </c>
      <c r="AO183" s="10">
        <f t="shared" si="19"/>
        <v>0.3936622920865262</v>
      </c>
      <c r="AP183" s="16">
        <v>3700</v>
      </c>
      <c r="AQ183" s="16">
        <v>2282.3012345994712</v>
      </c>
      <c r="AR183" s="16">
        <f t="shared" si="20"/>
        <v>1417.6987654005288</v>
      </c>
      <c r="AS183" s="17">
        <f t="shared" si="21"/>
        <v>0.38316182848662939</v>
      </c>
      <c r="AT183" s="6">
        <v>3700</v>
      </c>
      <c r="AU183" s="6">
        <v>2398.540283203125</v>
      </c>
      <c r="AV183" s="6">
        <f t="shared" si="22"/>
        <v>1301.459716796875</v>
      </c>
      <c r="AW183" s="7">
        <f t="shared" si="23"/>
        <v>0.35174586940456082</v>
      </c>
    </row>
    <row r="184" spans="1:49" x14ac:dyDescent="0.25">
      <c r="A184" t="s">
        <v>38</v>
      </c>
      <c r="B184" t="s">
        <v>410</v>
      </c>
      <c r="C184">
        <v>28142</v>
      </c>
      <c r="D184">
        <v>2023</v>
      </c>
      <c r="E184" t="s">
        <v>58</v>
      </c>
      <c r="F184" t="s">
        <v>510</v>
      </c>
      <c r="H184" t="s">
        <v>511</v>
      </c>
      <c r="I184">
        <v>8</v>
      </c>
      <c r="J184" t="s">
        <v>43</v>
      </c>
      <c r="K184">
        <v>4</v>
      </c>
      <c r="L184" t="s">
        <v>44</v>
      </c>
      <c r="M184">
        <v>6.8</v>
      </c>
      <c r="N184" t="s">
        <v>62</v>
      </c>
      <c r="O184" t="s">
        <v>42</v>
      </c>
      <c r="Q184" t="s">
        <v>75</v>
      </c>
      <c r="R184" t="s">
        <v>76</v>
      </c>
      <c r="S184" t="s">
        <v>63</v>
      </c>
      <c r="U184" t="s">
        <v>50</v>
      </c>
      <c r="V184" t="s">
        <v>64</v>
      </c>
      <c r="X184" t="s">
        <v>390</v>
      </c>
      <c r="Y184" t="s">
        <v>67</v>
      </c>
      <c r="AA184">
        <v>0</v>
      </c>
      <c r="AB184" t="s">
        <v>54</v>
      </c>
      <c r="AC184" t="s">
        <v>78</v>
      </c>
      <c r="AD184">
        <v>34</v>
      </c>
      <c r="AE184">
        <v>8</v>
      </c>
      <c r="AF184">
        <v>3</v>
      </c>
      <c r="AG184">
        <v>2025</v>
      </c>
      <c r="AH184" s="13">
        <v>20000</v>
      </c>
      <c r="AI184" s="13">
        <v>17817.8046875</v>
      </c>
      <c r="AJ184" s="13">
        <f t="shared" si="16"/>
        <v>2182.1953125</v>
      </c>
      <c r="AK184" s="14">
        <f t="shared" si="17"/>
        <v>0.10910976562499999</v>
      </c>
      <c r="AL184" s="9">
        <v>20000</v>
      </c>
      <c r="AM184" s="9">
        <v>25745.527465312171</v>
      </c>
      <c r="AN184" s="9">
        <f t="shared" si="18"/>
        <v>5745.5274653121705</v>
      </c>
      <c r="AO184" s="10">
        <f t="shared" si="19"/>
        <v>0.28727637326560851</v>
      </c>
      <c r="AP184" s="16">
        <v>20000</v>
      </c>
      <c r="AQ184" s="16">
        <v>8694.0179486654379</v>
      </c>
      <c r="AR184" s="16">
        <f t="shared" si="20"/>
        <v>11305.982051334562</v>
      </c>
      <c r="AS184" s="17">
        <f t="shared" si="21"/>
        <v>0.56529910256672811</v>
      </c>
      <c r="AT184" s="6">
        <v>20000</v>
      </c>
      <c r="AU184" s="6">
        <v>24338.560546875</v>
      </c>
      <c r="AV184" s="6">
        <f t="shared" si="22"/>
        <v>4338.560546875</v>
      </c>
      <c r="AW184" s="7">
        <f t="shared" si="23"/>
        <v>0.21692802734375</v>
      </c>
    </row>
    <row r="185" spans="1:49" x14ac:dyDescent="0.25">
      <c r="A185" t="s">
        <v>69</v>
      </c>
      <c r="B185" t="s">
        <v>160</v>
      </c>
      <c r="C185">
        <v>163821</v>
      </c>
      <c r="D185">
        <v>2014</v>
      </c>
      <c r="E185" t="s">
        <v>145</v>
      </c>
      <c r="F185" t="s">
        <v>307</v>
      </c>
      <c r="G185" t="s">
        <v>512</v>
      </c>
      <c r="I185">
        <v>4</v>
      </c>
      <c r="J185" t="s">
        <v>74</v>
      </c>
      <c r="K185">
        <v>4</v>
      </c>
      <c r="L185" t="s">
        <v>44</v>
      </c>
      <c r="M185">
        <v>2.4</v>
      </c>
      <c r="N185" t="s">
        <v>45</v>
      </c>
      <c r="O185" t="s">
        <v>42</v>
      </c>
      <c r="Q185" t="s">
        <v>84</v>
      </c>
      <c r="R185" t="s">
        <v>85</v>
      </c>
      <c r="T185">
        <v>185</v>
      </c>
      <c r="U185" t="s">
        <v>50</v>
      </c>
      <c r="V185" t="s">
        <v>95</v>
      </c>
      <c r="W185" t="s">
        <v>513</v>
      </c>
      <c r="X185" t="s">
        <v>52</v>
      </c>
      <c r="Y185" t="s">
        <v>67</v>
      </c>
      <c r="AA185">
        <v>0</v>
      </c>
      <c r="AB185" t="s">
        <v>54</v>
      </c>
      <c r="AC185" t="s">
        <v>89</v>
      </c>
      <c r="AD185">
        <v>34</v>
      </c>
      <c r="AE185">
        <v>8</v>
      </c>
      <c r="AF185">
        <v>3</v>
      </c>
      <c r="AG185">
        <v>2025</v>
      </c>
      <c r="AH185" s="13">
        <v>2700</v>
      </c>
      <c r="AI185" s="13">
        <v>1807.138061523438</v>
      </c>
      <c r="AJ185" s="13">
        <f t="shared" si="16"/>
        <v>892.86193847656205</v>
      </c>
      <c r="AK185" s="14">
        <f t="shared" si="17"/>
        <v>0.33068960684317111</v>
      </c>
      <c r="AL185" s="9">
        <v>2700</v>
      </c>
      <c r="AM185" s="9">
        <v>1588.0791743753621</v>
      </c>
      <c r="AN185" s="9">
        <f t="shared" si="18"/>
        <v>1111.9208256246379</v>
      </c>
      <c r="AO185" s="10">
        <f t="shared" si="19"/>
        <v>0.41182252800912517</v>
      </c>
      <c r="AP185" s="16">
        <v>2700</v>
      </c>
      <c r="AQ185" s="16">
        <v>1385.224380231713</v>
      </c>
      <c r="AR185" s="16">
        <f t="shared" si="20"/>
        <v>1314.775619768287</v>
      </c>
      <c r="AS185" s="17">
        <f t="shared" si="21"/>
        <v>0.48695393324751368</v>
      </c>
      <c r="AT185" s="6">
        <v>2700</v>
      </c>
      <c r="AU185" s="6">
        <v>1561.0078125</v>
      </c>
      <c r="AV185" s="6">
        <f t="shared" si="22"/>
        <v>1138.9921875</v>
      </c>
      <c r="AW185" s="7">
        <f t="shared" si="23"/>
        <v>0.42184895833333336</v>
      </c>
    </row>
    <row r="186" spans="1:49" x14ac:dyDescent="0.25">
      <c r="A186" t="s">
        <v>56</v>
      </c>
      <c r="B186" t="s">
        <v>104</v>
      </c>
      <c r="C186">
        <v>118338</v>
      </c>
      <c r="D186">
        <v>2014</v>
      </c>
      <c r="E186" t="s">
        <v>241</v>
      </c>
      <c r="F186" t="s">
        <v>514</v>
      </c>
      <c r="G186" t="s">
        <v>515</v>
      </c>
      <c r="H186" t="s">
        <v>516</v>
      </c>
      <c r="I186">
        <v>6</v>
      </c>
      <c r="J186" t="s">
        <v>74</v>
      </c>
      <c r="K186">
        <v>4</v>
      </c>
      <c r="L186" t="s">
        <v>44</v>
      </c>
      <c r="M186">
        <v>3.5</v>
      </c>
      <c r="N186" t="s">
        <v>44</v>
      </c>
      <c r="O186" t="s">
        <v>46</v>
      </c>
      <c r="Q186" t="s">
        <v>84</v>
      </c>
      <c r="R186" t="s">
        <v>85</v>
      </c>
      <c r="S186" t="s">
        <v>139</v>
      </c>
      <c r="U186" t="s">
        <v>50</v>
      </c>
      <c r="V186" t="s">
        <v>64</v>
      </c>
      <c r="X186" t="s">
        <v>87</v>
      </c>
      <c r="Y186" t="s">
        <v>244</v>
      </c>
      <c r="AA186">
        <v>0</v>
      </c>
      <c r="AB186" t="s">
        <v>54</v>
      </c>
      <c r="AC186" t="s">
        <v>89</v>
      </c>
      <c r="AD186">
        <v>34</v>
      </c>
      <c r="AE186">
        <v>8</v>
      </c>
      <c r="AF186">
        <v>3</v>
      </c>
      <c r="AG186">
        <v>2025</v>
      </c>
      <c r="AH186" s="13">
        <v>3500</v>
      </c>
      <c r="AI186" s="13">
        <v>5084.97314453125</v>
      </c>
      <c r="AJ186" s="13">
        <f t="shared" si="16"/>
        <v>1584.97314453125</v>
      </c>
      <c r="AK186" s="14">
        <f t="shared" si="17"/>
        <v>0.45284946986607144</v>
      </c>
      <c r="AL186" s="9">
        <v>3500</v>
      </c>
      <c r="AM186" s="9">
        <v>5291.6717037782028</v>
      </c>
      <c r="AN186" s="9">
        <f t="shared" si="18"/>
        <v>1791.6717037782028</v>
      </c>
      <c r="AO186" s="10">
        <f t="shared" si="19"/>
        <v>0.51190620107948648</v>
      </c>
      <c r="AP186" s="16">
        <v>3500</v>
      </c>
      <c r="AQ186" s="16">
        <v>4086.0135694114269</v>
      </c>
      <c r="AR186" s="16">
        <f t="shared" si="20"/>
        <v>586.01356941142694</v>
      </c>
      <c r="AS186" s="17">
        <f t="shared" si="21"/>
        <v>0.16743244840326485</v>
      </c>
      <c r="AT186" s="6">
        <v>3500</v>
      </c>
      <c r="AU186" s="6">
        <v>5021.94384765625</v>
      </c>
      <c r="AV186" s="6">
        <f t="shared" si="22"/>
        <v>1521.94384765625</v>
      </c>
      <c r="AW186" s="7">
        <f t="shared" si="23"/>
        <v>0.43484109933035714</v>
      </c>
    </row>
    <row r="187" spans="1:49" x14ac:dyDescent="0.25">
      <c r="A187" t="s">
        <v>38</v>
      </c>
      <c r="B187" t="s">
        <v>132</v>
      </c>
      <c r="C187">
        <v>45171</v>
      </c>
      <c r="D187">
        <v>2024</v>
      </c>
      <c r="E187" t="s">
        <v>91</v>
      </c>
      <c r="F187" t="s">
        <v>517</v>
      </c>
      <c r="G187" t="s">
        <v>518</v>
      </c>
      <c r="H187" t="s">
        <v>519</v>
      </c>
      <c r="I187">
        <v>4</v>
      </c>
      <c r="J187" t="s">
        <v>74</v>
      </c>
      <c r="K187">
        <v>4</v>
      </c>
      <c r="L187" t="s">
        <v>44</v>
      </c>
      <c r="M187">
        <v>2.5</v>
      </c>
      <c r="N187" t="s">
        <v>44</v>
      </c>
      <c r="O187" t="s">
        <v>46</v>
      </c>
      <c r="P187">
        <v>4</v>
      </c>
      <c r="Q187" t="s">
        <v>47</v>
      </c>
      <c r="R187" t="s">
        <v>48</v>
      </c>
      <c r="S187" t="s">
        <v>63</v>
      </c>
      <c r="T187">
        <v>203</v>
      </c>
      <c r="U187" t="s">
        <v>50</v>
      </c>
      <c r="V187" t="s">
        <v>95</v>
      </c>
      <c r="W187" t="s">
        <v>520</v>
      </c>
      <c r="X187" t="s">
        <v>52</v>
      </c>
      <c r="Y187" t="s">
        <v>88</v>
      </c>
      <c r="AA187">
        <v>0</v>
      </c>
      <c r="AB187" t="s">
        <v>54</v>
      </c>
      <c r="AC187" t="s">
        <v>55</v>
      </c>
      <c r="AD187">
        <v>34</v>
      </c>
      <c r="AE187">
        <v>8</v>
      </c>
      <c r="AF187">
        <v>3</v>
      </c>
      <c r="AG187">
        <v>2025</v>
      </c>
      <c r="AH187" s="13">
        <v>23600</v>
      </c>
      <c r="AI187" s="13">
        <v>24039.880859375</v>
      </c>
      <c r="AJ187" s="13">
        <f t="shared" si="16"/>
        <v>439.880859375</v>
      </c>
      <c r="AK187" s="14">
        <f t="shared" si="17"/>
        <v>1.8639019465042372E-2</v>
      </c>
      <c r="AL187" s="9">
        <v>23600</v>
      </c>
      <c r="AM187" s="9">
        <v>22982.94882170729</v>
      </c>
      <c r="AN187" s="9">
        <f t="shared" si="18"/>
        <v>617.05117829270966</v>
      </c>
      <c r="AO187" s="10">
        <f t="shared" si="19"/>
        <v>2.6146236368335154E-2</v>
      </c>
      <c r="AP187" s="16">
        <v>23600</v>
      </c>
      <c r="AQ187" s="16">
        <v>22775.859809564259</v>
      </c>
      <c r="AR187" s="16">
        <f t="shared" si="20"/>
        <v>824.14019043574081</v>
      </c>
      <c r="AS187" s="17">
        <f t="shared" si="21"/>
        <v>3.4921194509989019E-2</v>
      </c>
      <c r="AT187" s="6">
        <v>23600</v>
      </c>
      <c r="AU187" s="6">
        <v>21200.4609375</v>
      </c>
      <c r="AV187" s="6">
        <f t="shared" si="22"/>
        <v>2399.5390625</v>
      </c>
      <c r="AW187" s="7">
        <f t="shared" si="23"/>
        <v>0.10167538400423728</v>
      </c>
    </row>
    <row r="188" spans="1:49" x14ac:dyDescent="0.25">
      <c r="A188" t="s">
        <v>38</v>
      </c>
      <c r="B188" t="s">
        <v>167</v>
      </c>
      <c r="C188">
        <v>44168</v>
      </c>
      <c r="D188">
        <v>2021</v>
      </c>
      <c r="E188" t="s">
        <v>58</v>
      </c>
      <c r="F188" t="s">
        <v>168</v>
      </c>
      <c r="H188" t="s">
        <v>521</v>
      </c>
      <c r="I188">
        <v>6</v>
      </c>
      <c r="J188" t="s">
        <v>101</v>
      </c>
      <c r="K188">
        <v>4</v>
      </c>
      <c r="L188" t="s">
        <v>44</v>
      </c>
      <c r="M188">
        <v>3.5</v>
      </c>
      <c r="N188" t="s">
        <v>62</v>
      </c>
      <c r="O188" t="s">
        <v>46</v>
      </c>
      <c r="P188">
        <v>5</v>
      </c>
      <c r="Q188" t="s">
        <v>75</v>
      </c>
      <c r="R188" t="s">
        <v>76</v>
      </c>
      <c r="S188" t="s">
        <v>63</v>
      </c>
      <c r="T188">
        <v>375</v>
      </c>
      <c r="U188" t="s">
        <v>50</v>
      </c>
      <c r="V188" t="s">
        <v>64</v>
      </c>
      <c r="W188" t="s">
        <v>65</v>
      </c>
      <c r="X188" t="s">
        <v>77</v>
      </c>
      <c r="Y188" t="s">
        <v>67</v>
      </c>
      <c r="AA188">
        <v>0</v>
      </c>
      <c r="AB188" t="s">
        <v>54</v>
      </c>
      <c r="AC188" t="s">
        <v>78</v>
      </c>
      <c r="AD188">
        <v>34</v>
      </c>
      <c r="AE188">
        <v>8</v>
      </c>
      <c r="AF188">
        <v>3</v>
      </c>
      <c r="AG188">
        <v>2025</v>
      </c>
      <c r="AH188" s="13">
        <v>32200</v>
      </c>
      <c r="AI188" s="13">
        <v>38397.57421875</v>
      </c>
      <c r="AJ188" s="13">
        <f t="shared" si="16"/>
        <v>6197.57421875</v>
      </c>
      <c r="AK188" s="14">
        <f t="shared" si="17"/>
        <v>0.19247124902950311</v>
      </c>
      <c r="AL188" s="9">
        <v>32200</v>
      </c>
      <c r="AM188" s="9">
        <v>42893.1973959073</v>
      </c>
      <c r="AN188" s="9">
        <f t="shared" si="18"/>
        <v>10693.1973959073</v>
      </c>
      <c r="AO188" s="10">
        <f t="shared" si="19"/>
        <v>0.33208687564929507</v>
      </c>
      <c r="AP188" s="16">
        <v>32200</v>
      </c>
      <c r="AQ188" s="16">
        <v>36779.282066251122</v>
      </c>
      <c r="AR188" s="16">
        <f t="shared" si="20"/>
        <v>4579.2820662511222</v>
      </c>
      <c r="AS188" s="17">
        <f t="shared" si="21"/>
        <v>0.14221372876556279</v>
      </c>
      <c r="AT188" s="6">
        <v>32200</v>
      </c>
      <c r="AU188" s="6">
        <v>43703.12890625</v>
      </c>
      <c r="AV188" s="6">
        <f t="shared" si="22"/>
        <v>11503.12890625</v>
      </c>
      <c r="AW188" s="7">
        <f t="shared" si="23"/>
        <v>0.35724002814440992</v>
      </c>
    </row>
    <row r="189" spans="1:49" x14ac:dyDescent="0.25">
      <c r="A189" t="s">
        <v>56</v>
      </c>
      <c r="B189" t="s">
        <v>178</v>
      </c>
      <c r="C189">
        <v>106270</v>
      </c>
      <c r="D189">
        <v>2019</v>
      </c>
      <c r="E189" t="s">
        <v>150</v>
      </c>
      <c r="F189" t="s">
        <v>522</v>
      </c>
      <c r="G189" t="s">
        <v>523</v>
      </c>
      <c r="I189">
        <v>4</v>
      </c>
      <c r="J189" t="s">
        <v>101</v>
      </c>
      <c r="K189">
        <v>4</v>
      </c>
      <c r="L189" t="s">
        <v>44</v>
      </c>
      <c r="M189">
        <v>2.5</v>
      </c>
      <c r="N189" t="s">
        <v>44</v>
      </c>
      <c r="O189" t="s">
        <v>46</v>
      </c>
      <c r="P189">
        <v>4</v>
      </c>
      <c r="Q189" t="s">
        <v>47</v>
      </c>
      <c r="R189" t="s">
        <v>48</v>
      </c>
      <c r="S189" t="s">
        <v>139</v>
      </c>
      <c r="U189" t="s">
        <v>50</v>
      </c>
      <c r="V189" t="s">
        <v>95</v>
      </c>
      <c r="W189" t="s">
        <v>524</v>
      </c>
      <c r="X189" t="s">
        <v>141</v>
      </c>
      <c r="Y189" t="s">
        <v>525</v>
      </c>
      <c r="Z189">
        <v>37550</v>
      </c>
      <c r="AA189">
        <v>0</v>
      </c>
      <c r="AB189" t="s">
        <v>54</v>
      </c>
      <c r="AC189" t="s">
        <v>55</v>
      </c>
      <c r="AD189">
        <v>34</v>
      </c>
      <c r="AE189">
        <v>8</v>
      </c>
      <c r="AF189">
        <v>3</v>
      </c>
      <c r="AG189">
        <v>2025</v>
      </c>
      <c r="AH189" s="13">
        <v>11800</v>
      </c>
      <c r="AI189" s="13">
        <v>13438.8251953125</v>
      </c>
      <c r="AJ189" s="13">
        <f t="shared" si="16"/>
        <v>1638.8251953125</v>
      </c>
      <c r="AK189" s="14">
        <f t="shared" si="17"/>
        <v>0.13888349112817797</v>
      </c>
      <c r="AL189" s="9">
        <v>11800</v>
      </c>
      <c r="AM189" s="9">
        <v>11591.82403115538</v>
      </c>
      <c r="AN189" s="9">
        <f t="shared" si="18"/>
        <v>208.17596884462</v>
      </c>
      <c r="AO189" s="10">
        <f t="shared" si="19"/>
        <v>1.7642031258018644E-2</v>
      </c>
      <c r="AP189" s="16">
        <v>11800</v>
      </c>
      <c r="AQ189" s="16">
        <v>9199.0795345439019</v>
      </c>
      <c r="AR189" s="16">
        <f t="shared" si="20"/>
        <v>2600.9204654560981</v>
      </c>
      <c r="AS189" s="17">
        <f t="shared" si="21"/>
        <v>0.22041698859797443</v>
      </c>
      <c r="AT189" s="6">
        <v>11800</v>
      </c>
      <c r="AU189" s="6">
        <v>10911.7861328125</v>
      </c>
      <c r="AV189" s="6">
        <f t="shared" si="22"/>
        <v>888.2138671875</v>
      </c>
      <c r="AW189" s="7">
        <f t="shared" si="23"/>
        <v>7.5272361626059325E-2</v>
      </c>
    </row>
    <row r="190" spans="1:49" x14ac:dyDescent="0.25">
      <c r="A190" t="s">
        <v>69</v>
      </c>
      <c r="B190" t="s">
        <v>70</v>
      </c>
      <c r="C190">
        <v>43714</v>
      </c>
      <c r="D190">
        <v>2024</v>
      </c>
      <c r="E190" t="s">
        <v>79</v>
      </c>
      <c r="F190" t="s">
        <v>272</v>
      </c>
      <c r="G190" t="s">
        <v>355</v>
      </c>
      <c r="H190" t="s">
        <v>162</v>
      </c>
      <c r="I190">
        <v>8</v>
      </c>
      <c r="J190" t="s">
        <v>43</v>
      </c>
      <c r="K190">
        <v>4</v>
      </c>
      <c r="L190" t="s">
        <v>44</v>
      </c>
      <c r="M190">
        <v>5.3</v>
      </c>
      <c r="N190" t="s">
        <v>62</v>
      </c>
      <c r="O190" t="s">
        <v>46</v>
      </c>
      <c r="P190">
        <v>5</v>
      </c>
      <c r="Q190" t="s">
        <v>75</v>
      </c>
      <c r="R190" t="s">
        <v>76</v>
      </c>
      <c r="S190" t="s">
        <v>63</v>
      </c>
      <c r="U190" t="s">
        <v>50</v>
      </c>
      <c r="W190" t="s">
        <v>526</v>
      </c>
      <c r="X190" t="s">
        <v>77</v>
      </c>
      <c r="Y190" t="s">
        <v>106</v>
      </c>
      <c r="AA190">
        <v>0</v>
      </c>
      <c r="AB190" t="s">
        <v>54</v>
      </c>
      <c r="AC190" t="s">
        <v>78</v>
      </c>
      <c r="AD190">
        <v>34</v>
      </c>
      <c r="AE190">
        <v>8</v>
      </c>
      <c r="AF190">
        <v>3</v>
      </c>
      <c r="AG190">
        <v>2025</v>
      </c>
      <c r="AH190" s="13">
        <v>47000</v>
      </c>
      <c r="AI190" s="13">
        <v>59542.703125</v>
      </c>
      <c r="AJ190" s="13">
        <f t="shared" si="16"/>
        <v>12542.703125</v>
      </c>
      <c r="AK190" s="14">
        <f t="shared" si="17"/>
        <v>0.2668660239361702</v>
      </c>
      <c r="AL190" s="9">
        <v>47000</v>
      </c>
      <c r="AM190" s="9">
        <v>50555.716135463161</v>
      </c>
      <c r="AN190" s="9">
        <f t="shared" si="18"/>
        <v>3555.7161354631608</v>
      </c>
      <c r="AO190" s="10">
        <f t="shared" si="19"/>
        <v>7.5653534797088529E-2</v>
      </c>
      <c r="AP190" s="16">
        <v>47000</v>
      </c>
      <c r="AQ190" s="16">
        <v>58554.811314015264</v>
      </c>
      <c r="AR190" s="16">
        <f t="shared" si="20"/>
        <v>11554.811314015264</v>
      </c>
      <c r="AS190" s="17">
        <f t="shared" si="21"/>
        <v>0.24584704923436732</v>
      </c>
      <c r="AT190" s="6">
        <v>47000</v>
      </c>
      <c r="AU190" s="6">
        <v>52890.58203125</v>
      </c>
      <c r="AV190" s="6">
        <f t="shared" si="22"/>
        <v>5890.58203125</v>
      </c>
      <c r="AW190" s="7">
        <f t="shared" si="23"/>
        <v>0.12533153257978724</v>
      </c>
    </row>
    <row r="191" spans="1:49" x14ac:dyDescent="0.25">
      <c r="A191" t="s">
        <v>69</v>
      </c>
      <c r="B191" t="s">
        <v>70</v>
      </c>
      <c r="C191">
        <v>66043</v>
      </c>
      <c r="D191">
        <v>2017</v>
      </c>
      <c r="E191" t="s">
        <v>79</v>
      </c>
      <c r="F191" t="s">
        <v>272</v>
      </c>
      <c r="G191" t="s">
        <v>527</v>
      </c>
      <c r="H191" t="s">
        <v>162</v>
      </c>
      <c r="I191">
        <v>6</v>
      </c>
      <c r="J191" t="s">
        <v>43</v>
      </c>
      <c r="K191">
        <v>4</v>
      </c>
      <c r="L191" t="s">
        <v>44</v>
      </c>
      <c r="M191">
        <v>4.3</v>
      </c>
      <c r="N191" t="s">
        <v>62</v>
      </c>
      <c r="O191" t="s">
        <v>46</v>
      </c>
      <c r="P191">
        <v>4</v>
      </c>
      <c r="Q191" t="s">
        <v>75</v>
      </c>
      <c r="R191" t="s">
        <v>76</v>
      </c>
      <c r="S191" t="s">
        <v>63</v>
      </c>
      <c r="U191" t="s">
        <v>50</v>
      </c>
      <c r="V191" t="s">
        <v>64</v>
      </c>
      <c r="W191" t="s">
        <v>528</v>
      </c>
      <c r="X191" t="s">
        <v>77</v>
      </c>
      <c r="Y191" t="s">
        <v>67</v>
      </c>
      <c r="Z191">
        <v>31810</v>
      </c>
      <c r="AA191">
        <v>0</v>
      </c>
      <c r="AB191" t="s">
        <v>54</v>
      </c>
      <c r="AC191" t="s">
        <v>78</v>
      </c>
      <c r="AD191">
        <v>34</v>
      </c>
      <c r="AE191">
        <v>8</v>
      </c>
      <c r="AF191">
        <v>3</v>
      </c>
      <c r="AG191">
        <v>2025</v>
      </c>
      <c r="AH191" s="13">
        <v>16800</v>
      </c>
      <c r="AI191" s="13">
        <v>18692.779296875</v>
      </c>
      <c r="AJ191" s="13">
        <f t="shared" si="16"/>
        <v>1892.779296875</v>
      </c>
      <c r="AK191" s="14">
        <f t="shared" si="17"/>
        <v>0.11266543433779762</v>
      </c>
      <c r="AL191" s="9">
        <v>16800</v>
      </c>
      <c r="AM191" s="9">
        <v>23568.455480031858</v>
      </c>
      <c r="AN191" s="9">
        <f t="shared" si="18"/>
        <v>6768.4554800318583</v>
      </c>
      <c r="AO191" s="10">
        <f t="shared" si="19"/>
        <v>0.40288425476380108</v>
      </c>
      <c r="AP191" s="16">
        <v>16800</v>
      </c>
      <c r="AQ191" s="16">
        <v>17761.81890453021</v>
      </c>
      <c r="AR191" s="16">
        <f t="shared" si="20"/>
        <v>961.81890453020969</v>
      </c>
      <c r="AS191" s="17">
        <f t="shared" si="21"/>
        <v>5.725112526965534E-2</v>
      </c>
      <c r="AT191" s="6">
        <v>16800</v>
      </c>
      <c r="AU191" s="6">
        <v>17661.123046875</v>
      </c>
      <c r="AV191" s="6">
        <f t="shared" si="22"/>
        <v>861.123046875</v>
      </c>
      <c r="AW191" s="7">
        <f t="shared" si="23"/>
        <v>5.1257324218749997E-2</v>
      </c>
    </row>
    <row r="192" spans="1:49" x14ac:dyDescent="0.25">
      <c r="A192" t="s">
        <v>69</v>
      </c>
      <c r="B192" t="s">
        <v>223</v>
      </c>
      <c r="C192">
        <v>228128</v>
      </c>
      <c r="D192">
        <v>2016</v>
      </c>
      <c r="E192" t="s">
        <v>79</v>
      </c>
      <c r="F192" t="s">
        <v>272</v>
      </c>
      <c r="G192" t="s">
        <v>529</v>
      </c>
      <c r="H192" t="s">
        <v>388</v>
      </c>
      <c r="I192">
        <v>8</v>
      </c>
      <c r="J192" t="s">
        <v>82</v>
      </c>
      <c r="K192">
        <v>4</v>
      </c>
      <c r="L192" t="s">
        <v>44</v>
      </c>
      <c r="M192">
        <v>6.6</v>
      </c>
      <c r="N192" t="s">
        <v>62</v>
      </c>
      <c r="O192" t="s">
        <v>46</v>
      </c>
      <c r="Q192" t="s">
        <v>75</v>
      </c>
      <c r="R192" t="s">
        <v>76</v>
      </c>
      <c r="S192" t="s">
        <v>63</v>
      </c>
      <c r="U192" t="s">
        <v>300</v>
      </c>
      <c r="V192" t="s">
        <v>64</v>
      </c>
      <c r="W192" t="s">
        <v>530</v>
      </c>
      <c r="X192" t="s">
        <v>390</v>
      </c>
      <c r="Y192" t="s">
        <v>67</v>
      </c>
      <c r="AA192">
        <v>0</v>
      </c>
      <c r="AB192" t="s">
        <v>54</v>
      </c>
      <c r="AC192" t="s">
        <v>78</v>
      </c>
      <c r="AD192">
        <v>34</v>
      </c>
      <c r="AE192">
        <v>8</v>
      </c>
      <c r="AF192">
        <v>3</v>
      </c>
      <c r="AG192">
        <v>2025</v>
      </c>
      <c r="AH192" s="13">
        <v>17000</v>
      </c>
      <c r="AI192" s="13">
        <v>23639.775390625</v>
      </c>
      <c r="AJ192" s="13">
        <f t="shared" si="16"/>
        <v>6639.775390625</v>
      </c>
      <c r="AK192" s="14">
        <f t="shared" si="17"/>
        <v>0.39057502297794117</v>
      </c>
      <c r="AL192" s="9">
        <v>17000</v>
      </c>
      <c r="AM192" s="9">
        <v>17722.83496854865</v>
      </c>
      <c r="AN192" s="9">
        <f t="shared" si="18"/>
        <v>722.83496854865007</v>
      </c>
      <c r="AO192" s="10">
        <f t="shared" si="19"/>
        <v>4.2519704032273536E-2</v>
      </c>
      <c r="AP192" s="16">
        <v>17000</v>
      </c>
      <c r="AQ192" s="16">
        <v>18838.826238893522</v>
      </c>
      <c r="AR192" s="16">
        <f t="shared" si="20"/>
        <v>1838.8262388935218</v>
      </c>
      <c r="AS192" s="17">
        <f t="shared" si="21"/>
        <v>0.10816624934667775</v>
      </c>
      <c r="AT192" s="6">
        <v>17000</v>
      </c>
      <c r="AU192" s="6">
        <v>17371.21875</v>
      </c>
      <c r="AV192" s="6">
        <f t="shared" si="22"/>
        <v>371.21875</v>
      </c>
      <c r="AW192" s="7">
        <f t="shared" si="23"/>
        <v>2.183639705882353E-2</v>
      </c>
    </row>
    <row r="193" spans="1:49" x14ac:dyDescent="0.25">
      <c r="A193" t="s">
        <v>56</v>
      </c>
      <c r="B193" t="s">
        <v>303</v>
      </c>
      <c r="C193">
        <v>94645</v>
      </c>
      <c r="D193">
        <v>2011</v>
      </c>
      <c r="E193" t="s">
        <v>441</v>
      </c>
      <c r="F193" t="s">
        <v>442</v>
      </c>
      <c r="H193" t="s">
        <v>443</v>
      </c>
      <c r="I193">
        <v>4</v>
      </c>
      <c r="J193" t="s">
        <v>74</v>
      </c>
      <c r="K193">
        <v>2</v>
      </c>
      <c r="L193" t="s">
        <v>309</v>
      </c>
      <c r="M193">
        <v>1.6</v>
      </c>
      <c r="N193" t="s">
        <v>45</v>
      </c>
      <c r="Q193" t="s">
        <v>84</v>
      </c>
      <c r="R193" t="s">
        <v>157</v>
      </c>
      <c r="T193">
        <v>180</v>
      </c>
      <c r="U193" t="s">
        <v>50</v>
      </c>
      <c r="X193" t="s">
        <v>87</v>
      </c>
      <c r="Y193" t="s">
        <v>234</v>
      </c>
      <c r="AA193">
        <v>0</v>
      </c>
      <c r="AB193" t="s">
        <v>54</v>
      </c>
      <c r="AC193" t="s">
        <v>159</v>
      </c>
      <c r="AD193">
        <v>34</v>
      </c>
      <c r="AE193">
        <v>8</v>
      </c>
      <c r="AF193">
        <v>3</v>
      </c>
      <c r="AG193">
        <v>2025</v>
      </c>
      <c r="AH193" s="13">
        <v>2500</v>
      </c>
      <c r="AI193" s="13">
        <v>2178.330078125</v>
      </c>
      <c r="AJ193" s="13">
        <f t="shared" si="16"/>
        <v>321.669921875</v>
      </c>
      <c r="AK193" s="14">
        <f t="shared" si="17"/>
        <v>0.12866796875</v>
      </c>
      <c r="AL193" s="9">
        <v>2500</v>
      </c>
      <c r="AM193" s="9">
        <v>2058.2825539867649</v>
      </c>
      <c r="AN193" s="9">
        <f t="shared" si="18"/>
        <v>441.71744601323508</v>
      </c>
      <c r="AO193" s="10">
        <f t="shared" si="19"/>
        <v>0.17668697840529404</v>
      </c>
      <c r="AP193" s="16">
        <v>2500</v>
      </c>
      <c r="AQ193" s="16">
        <v>2218.7249427404699</v>
      </c>
      <c r="AR193" s="16">
        <f t="shared" si="20"/>
        <v>281.27505725953006</v>
      </c>
      <c r="AS193" s="17">
        <f t="shared" si="21"/>
        <v>0.11251002290381203</v>
      </c>
      <c r="AT193" s="6">
        <v>2500</v>
      </c>
      <c r="AU193" s="6">
        <v>2257.381103515625</v>
      </c>
      <c r="AV193" s="6">
        <f t="shared" si="22"/>
        <v>242.618896484375</v>
      </c>
      <c r="AW193" s="7">
        <f t="shared" si="23"/>
        <v>9.704755859375E-2</v>
      </c>
    </row>
    <row r="194" spans="1:49" x14ac:dyDescent="0.25">
      <c r="A194" t="s">
        <v>69</v>
      </c>
      <c r="B194" t="s">
        <v>128</v>
      </c>
      <c r="C194">
        <v>117133</v>
      </c>
      <c r="D194">
        <v>2015</v>
      </c>
      <c r="E194" t="s">
        <v>184</v>
      </c>
      <c r="F194" t="s">
        <v>531</v>
      </c>
      <c r="G194" t="s">
        <v>532</v>
      </c>
      <c r="I194">
        <v>4</v>
      </c>
      <c r="J194" t="s">
        <v>74</v>
      </c>
      <c r="K194">
        <v>4</v>
      </c>
      <c r="L194" t="s">
        <v>44</v>
      </c>
      <c r="M194">
        <v>2.5</v>
      </c>
      <c r="N194" t="s">
        <v>45</v>
      </c>
      <c r="O194" t="s">
        <v>46</v>
      </c>
      <c r="P194">
        <v>3</v>
      </c>
      <c r="Q194" t="s">
        <v>84</v>
      </c>
      <c r="R194" t="s">
        <v>85</v>
      </c>
      <c r="S194" t="s">
        <v>49</v>
      </c>
      <c r="U194" t="s">
        <v>50</v>
      </c>
      <c r="X194" t="s">
        <v>87</v>
      </c>
      <c r="Y194" t="s">
        <v>97</v>
      </c>
      <c r="AA194">
        <v>0</v>
      </c>
      <c r="AB194" t="s">
        <v>54</v>
      </c>
      <c r="AC194" t="s">
        <v>89</v>
      </c>
      <c r="AD194">
        <v>34</v>
      </c>
      <c r="AE194">
        <v>8</v>
      </c>
      <c r="AF194">
        <v>3</v>
      </c>
      <c r="AG194">
        <v>2025</v>
      </c>
      <c r="AH194" s="13">
        <v>7000</v>
      </c>
      <c r="AI194" s="13">
        <v>6571.78125</v>
      </c>
      <c r="AJ194" s="13">
        <f t="shared" si="16"/>
        <v>428.21875</v>
      </c>
      <c r="AK194" s="14">
        <f t="shared" si="17"/>
        <v>6.1174107142857141E-2</v>
      </c>
      <c r="AL194" s="9">
        <v>7000</v>
      </c>
      <c r="AM194" s="9">
        <v>5150.4704976171561</v>
      </c>
      <c r="AN194" s="9">
        <f t="shared" si="18"/>
        <v>1849.5295023828439</v>
      </c>
      <c r="AO194" s="10">
        <f t="shared" si="19"/>
        <v>0.26421850034040628</v>
      </c>
      <c r="AP194" s="16">
        <v>7000</v>
      </c>
      <c r="AQ194" s="16">
        <v>4035.597822006468</v>
      </c>
      <c r="AR194" s="16">
        <f t="shared" si="20"/>
        <v>2964.402177993532</v>
      </c>
      <c r="AS194" s="17">
        <f t="shared" si="21"/>
        <v>0.42348602542764741</v>
      </c>
      <c r="AT194" s="6">
        <v>7000</v>
      </c>
      <c r="AU194" s="6">
        <v>5063.42529296875</v>
      </c>
      <c r="AV194" s="6">
        <f t="shared" si="22"/>
        <v>1936.57470703125</v>
      </c>
      <c r="AW194" s="7">
        <f t="shared" si="23"/>
        <v>0.27665352957589284</v>
      </c>
    </row>
    <row r="195" spans="1:49" x14ac:dyDescent="0.25">
      <c r="A195" t="s">
        <v>38</v>
      </c>
      <c r="B195" t="s">
        <v>229</v>
      </c>
      <c r="C195">
        <v>179375</v>
      </c>
      <c r="D195">
        <v>2012</v>
      </c>
      <c r="E195" t="s">
        <v>124</v>
      </c>
      <c r="F195" t="s">
        <v>533</v>
      </c>
      <c r="G195" t="s">
        <v>534</v>
      </c>
      <c r="I195">
        <v>4</v>
      </c>
      <c r="J195" t="s">
        <v>82</v>
      </c>
      <c r="K195">
        <v>4</v>
      </c>
      <c r="L195" t="s">
        <v>44</v>
      </c>
      <c r="M195">
        <v>2</v>
      </c>
      <c r="N195" t="s">
        <v>45</v>
      </c>
      <c r="O195" t="s">
        <v>46</v>
      </c>
      <c r="Q195" t="s">
        <v>47</v>
      </c>
      <c r="R195" t="s">
        <v>48</v>
      </c>
      <c r="S195" t="s">
        <v>49</v>
      </c>
      <c r="U195" t="s">
        <v>50</v>
      </c>
      <c r="W195" t="s">
        <v>535</v>
      </c>
      <c r="X195" t="s">
        <v>52</v>
      </c>
      <c r="Y195" t="s">
        <v>53</v>
      </c>
      <c r="AA195">
        <v>0</v>
      </c>
      <c r="AB195" t="s">
        <v>54</v>
      </c>
      <c r="AC195" t="s">
        <v>55</v>
      </c>
      <c r="AD195">
        <v>34</v>
      </c>
      <c r="AE195">
        <v>8</v>
      </c>
      <c r="AF195">
        <v>3</v>
      </c>
      <c r="AG195">
        <v>2025</v>
      </c>
      <c r="AH195" s="13">
        <v>1600</v>
      </c>
      <c r="AI195" s="13">
        <v>1329.228759765625</v>
      </c>
      <c r="AJ195" s="13">
        <f t="shared" ref="AJ195:AJ258" si="24">ABS(AH195-AI195)</f>
        <v>270.771240234375</v>
      </c>
      <c r="AK195" s="14">
        <f t="shared" ref="AK195:AK258" si="25">ABS($AH195-AI195)/$AH195</f>
        <v>0.16923202514648439</v>
      </c>
      <c r="AL195" s="9">
        <v>1600</v>
      </c>
      <c r="AM195" s="9">
        <v>1623.539179864121</v>
      </c>
      <c r="AN195" s="9">
        <f t="shared" ref="AN195:AN258" si="26">ABS(AL195-AM195)</f>
        <v>23.539179864121024</v>
      </c>
      <c r="AO195" s="10">
        <f t="shared" ref="AO195:AO258" si="27">ABS($AL195-AM195)/$AL195</f>
        <v>1.471198741507564E-2</v>
      </c>
      <c r="AP195" s="16">
        <v>1600</v>
      </c>
      <c r="AQ195" s="16">
        <v>1817.784850800675</v>
      </c>
      <c r="AR195" s="16">
        <f t="shared" ref="AR195:AR258" si="28">ABS(AP195-AQ195)</f>
        <v>217.78485080067503</v>
      </c>
      <c r="AS195" s="17">
        <f t="shared" ref="AS195:AS258" si="29">ABS($AP195-AQ195)/$AP195</f>
        <v>0.1361155317504219</v>
      </c>
      <c r="AT195" s="6">
        <v>1600</v>
      </c>
      <c r="AU195" s="6">
        <v>1623.255126953125</v>
      </c>
      <c r="AV195" s="6">
        <f t="shared" ref="AV195:AV258" si="30">ABS(AT195-AU195)</f>
        <v>23.255126953125</v>
      </c>
      <c r="AW195" s="7">
        <f t="shared" ref="AW195:AW258" si="31">ABS($AT195-AU195)/$AT195</f>
        <v>1.4534454345703125E-2</v>
      </c>
    </row>
    <row r="196" spans="1:49" x14ac:dyDescent="0.25">
      <c r="A196" t="s">
        <v>38</v>
      </c>
      <c r="B196" t="s">
        <v>90</v>
      </c>
      <c r="C196">
        <v>120026</v>
      </c>
      <c r="D196">
        <v>2010</v>
      </c>
      <c r="E196" t="s">
        <v>91</v>
      </c>
      <c r="F196" t="s">
        <v>92</v>
      </c>
      <c r="H196" t="s">
        <v>536</v>
      </c>
      <c r="I196">
        <v>4</v>
      </c>
      <c r="J196" t="s">
        <v>82</v>
      </c>
      <c r="K196">
        <v>4</v>
      </c>
      <c r="L196" t="s">
        <v>44</v>
      </c>
      <c r="M196">
        <v>2.5</v>
      </c>
      <c r="N196" t="s">
        <v>45</v>
      </c>
      <c r="O196" t="s">
        <v>42</v>
      </c>
      <c r="P196">
        <v>2</v>
      </c>
      <c r="Q196" t="s">
        <v>84</v>
      </c>
      <c r="R196" t="s">
        <v>85</v>
      </c>
      <c r="S196" t="s">
        <v>49</v>
      </c>
      <c r="T196">
        <v>169</v>
      </c>
      <c r="U196" t="s">
        <v>50</v>
      </c>
      <c r="V196" t="s">
        <v>95</v>
      </c>
      <c r="W196" t="s">
        <v>537</v>
      </c>
      <c r="X196" t="s">
        <v>87</v>
      </c>
      <c r="Y196" t="s">
        <v>67</v>
      </c>
      <c r="AA196">
        <v>0</v>
      </c>
      <c r="AB196" t="s">
        <v>54</v>
      </c>
      <c r="AC196" t="s">
        <v>89</v>
      </c>
      <c r="AD196">
        <v>34</v>
      </c>
      <c r="AE196">
        <v>8</v>
      </c>
      <c r="AF196">
        <v>3</v>
      </c>
      <c r="AG196">
        <v>2025</v>
      </c>
      <c r="AH196" s="13">
        <v>700</v>
      </c>
      <c r="AI196" s="13">
        <v>1285.229736328125</v>
      </c>
      <c r="AJ196" s="13">
        <f t="shared" si="24"/>
        <v>585.229736328125</v>
      </c>
      <c r="AK196" s="14">
        <f t="shared" si="25"/>
        <v>0.83604248046874996</v>
      </c>
      <c r="AL196" s="9">
        <v>700</v>
      </c>
      <c r="AM196" s="9">
        <v>1001.26655732532</v>
      </c>
      <c r="AN196" s="9">
        <f t="shared" si="26"/>
        <v>301.26655732532004</v>
      </c>
      <c r="AO196" s="10">
        <f t="shared" si="27"/>
        <v>0.43038079617902864</v>
      </c>
      <c r="AP196" s="16">
        <v>700</v>
      </c>
      <c r="AQ196" s="16">
        <v>585.74077776996387</v>
      </c>
      <c r="AR196" s="16">
        <f t="shared" si="28"/>
        <v>114.25922223003613</v>
      </c>
      <c r="AS196" s="17">
        <f t="shared" si="29"/>
        <v>0.16322746032862304</v>
      </c>
      <c r="AT196" s="6">
        <v>700</v>
      </c>
      <c r="AU196" s="6">
        <v>1038.526733398438</v>
      </c>
      <c r="AV196" s="6">
        <f t="shared" si="30"/>
        <v>338.52673339843795</v>
      </c>
      <c r="AW196" s="7">
        <f t="shared" si="31"/>
        <v>0.48360961914062567</v>
      </c>
    </row>
    <row r="197" spans="1:49" x14ac:dyDescent="0.25">
      <c r="A197" t="s">
        <v>38</v>
      </c>
      <c r="B197" t="s">
        <v>267</v>
      </c>
      <c r="C197">
        <v>157779</v>
      </c>
      <c r="D197">
        <v>2015</v>
      </c>
      <c r="E197" t="s">
        <v>124</v>
      </c>
      <c r="F197" t="s">
        <v>538</v>
      </c>
      <c r="G197" t="s">
        <v>534</v>
      </c>
      <c r="I197">
        <v>4</v>
      </c>
      <c r="J197" t="s">
        <v>74</v>
      </c>
      <c r="K197">
        <v>4</v>
      </c>
      <c r="L197" t="s">
        <v>44</v>
      </c>
      <c r="M197">
        <v>2.4</v>
      </c>
      <c r="N197" t="s">
        <v>45</v>
      </c>
      <c r="O197" t="s">
        <v>46</v>
      </c>
      <c r="P197">
        <v>3</v>
      </c>
      <c r="Q197" t="s">
        <v>47</v>
      </c>
      <c r="R197" t="s">
        <v>48</v>
      </c>
      <c r="S197" t="s">
        <v>49</v>
      </c>
      <c r="U197" t="s">
        <v>50</v>
      </c>
      <c r="V197" t="s">
        <v>95</v>
      </c>
      <c r="W197" t="s">
        <v>539</v>
      </c>
      <c r="X197" t="s">
        <v>52</v>
      </c>
      <c r="Y197" t="s">
        <v>67</v>
      </c>
      <c r="AA197">
        <v>0</v>
      </c>
      <c r="AB197" t="s">
        <v>54</v>
      </c>
      <c r="AC197" t="s">
        <v>55</v>
      </c>
      <c r="AD197">
        <v>34</v>
      </c>
      <c r="AE197">
        <v>8</v>
      </c>
      <c r="AF197">
        <v>3</v>
      </c>
      <c r="AG197">
        <v>2025</v>
      </c>
      <c r="AH197" s="13">
        <v>2600</v>
      </c>
      <c r="AI197" s="13">
        <v>2335.361328125</v>
      </c>
      <c r="AJ197" s="13">
        <f t="shared" si="24"/>
        <v>264.638671875</v>
      </c>
      <c r="AK197" s="14">
        <f t="shared" si="25"/>
        <v>0.10178410456730769</v>
      </c>
      <c r="AL197" s="9">
        <v>2600</v>
      </c>
      <c r="AM197" s="9">
        <v>2646.3630179134911</v>
      </c>
      <c r="AN197" s="9">
        <f t="shared" si="26"/>
        <v>46.363017913491149</v>
      </c>
      <c r="AO197" s="10">
        <f t="shared" si="27"/>
        <v>1.7831929966727365E-2</v>
      </c>
      <c r="AP197" s="16">
        <v>2600</v>
      </c>
      <c r="AQ197" s="16">
        <v>1882.7960632884719</v>
      </c>
      <c r="AR197" s="16">
        <f t="shared" si="28"/>
        <v>717.20393671152806</v>
      </c>
      <c r="AS197" s="17">
        <f t="shared" si="29"/>
        <v>0.27584766796597232</v>
      </c>
      <c r="AT197" s="6">
        <v>2600</v>
      </c>
      <c r="AU197" s="6">
        <v>2672.171142578125</v>
      </c>
      <c r="AV197" s="6">
        <f t="shared" si="30"/>
        <v>72.171142578125</v>
      </c>
      <c r="AW197" s="7">
        <f t="shared" si="31"/>
        <v>2.7758131760817307E-2</v>
      </c>
    </row>
    <row r="198" spans="1:49" x14ac:dyDescent="0.25">
      <c r="A198" t="s">
        <v>107</v>
      </c>
      <c r="B198" t="s">
        <v>256</v>
      </c>
      <c r="C198">
        <v>114813</v>
      </c>
      <c r="D198">
        <v>2020</v>
      </c>
      <c r="E198" t="s">
        <v>79</v>
      </c>
      <c r="F198" t="s">
        <v>286</v>
      </c>
      <c r="G198" t="s">
        <v>287</v>
      </c>
      <c r="I198">
        <v>4</v>
      </c>
      <c r="J198" t="s">
        <v>94</v>
      </c>
      <c r="K198">
        <v>4</v>
      </c>
      <c r="L198" t="s">
        <v>44</v>
      </c>
      <c r="M198">
        <v>1.5</v>
      </c>
      <c r="N198" t="s">
        <v>45</v>
      </c>
      <c r="O198" t="s">
        <v>83</v>
      </c>
      <c r="P198">
        <v>2</v>
      </c>
      <c r="Q198" t="s">
        <v>84</v>
      </c>
      <c r="R198" t="s">
        <v>85</v>
      </c>
      <c r="S198" t="s">
        <v>102</v>
      </c>
      <c r="U198" t="s">
        <v>50</v>
      </c>
      <c r="V198" t="s">
        <v>95</v>
      </c>
      <c r="W198" t="s">
        <v>288</v>
      </c>
      <c r="X198" t="s">
        <v>87</v>
      </c>
      <c r="Y198" t="s">
        <v>67</v>
      </c>
      <c r="AA198">
        <v>0</v>
      </c>
      <c r="AB198" t="s">
        <v>54</v>
      </c>
      <c r="AC198" t="s">
        <v>89</v>
      </c>
      <c r="AD198">
        <v>34</v>
      </c>
      <c r="AE198">
        <v>8</v>
      </c>
      <c r="AF198">
        <v>3</v>
      </c>
      <c r="AG198">
        <v>2025</v>
      </c>
      <c r="AH198" s="13">
        <v>3500</v>
      </c>
      <c r="AI198" s="13">
        <v>4723.06689453125</v>
      </c>
      <c r="AJ198" s="13">
        <f t="shared" si="24"/>
        <v>1223.06689453125</v>
      </c>
      <c r="AK198" s="14">
        <f t="shared" si="25"/>
        <v>0.34944768415178573</v>
      </c>
      <c r="AL198" s="9">
        <v>3500</v>
      </c>
      <c r="AM198" s="9">
        <v>4063.8617916109838</v>
      </c>
      <c r="AN198" s="9">
        <f t="shared" si="26"/>
        <v>563.8617916109838</v>
      </c>
      <c r="AO198" s="10">
        <f t="shared" si="27"/>
        <v>0.16110336903170966</v>
      </c>
      <c r="AP198" s="16">
        <v>3500</v>
      </c>
      <c r="AQ198" s="16">
        <v>4036.5243728222872</v>
      </c>
      <c r="AR198" s="16">
        <f t="shared" si="28"/>
        <v>536.52437282228721</v>
      </c>
      <c r="AS198" s="17">
        <f t="shared" si="29"/>
        <v>0.15329267794922491</v>
      </c>
      <c r="AT198" s="6">
        <v>3500</v>
      </c>
      <c r="AU198" s="6">
        <v>4098.63427734375</v>
      </c>
      <c r="AV198" s="6">
        <f t="shared" si="30"/>
        <v>598.63427734375</v>
      </c>
      <c r="AW198" s="7">
        <f t="shared" si="31"/>
        <v>0.17103836495535715</v>
      </c>
    </row>
    <row r="199" spans="1:49" x14ac:dyDescent="0.25">
      <c r="A199" t="s">
        <v>38</v>
      </c>
      <c r="B199" t="s">
        <v>167</v>
      </c>
      <c r="C199">
        <v>39984</v>
      </c>
      <c r="D199">
        <v>2019</v>
      </c>
      <c r="E199" t="s">
        <v>241</v>
      </c>
      <c r="F199" t="s">
        <v>540</v>
      </c>
      <c r="H199" t="s">
        <v>541</v>
      </c>
      <c r="I199">
        <v>6</v>
      </c>
      <c r="J199" t="s">
        <v>61</v>
      </c>
      <c r="K199">
        <v>3</v>
      </c>
      <c r="L199" t="s">
        <v>44</v>
      </c>
      <c r="M199">
        <v>3</v>
      </c>
      <c r="N199" t="s">
        <v>116</v>
      </c>
      <c r="O199" t="s">
        <v>46</v>
      </c>
      <c r="Q199" t="s">
        <v>47</v>
      </c>
      <c r="R199" t="s">
        <v>424</v>
      </c>
      <c r="S199" t="s">
        <v>49</v>
      </c>
      <c r="U199" t="s">
        <v>300</v>
      </c>
      <c r="V199" t="s">
        <v>64</v>
      </c>
      <c r="W199" t="s">
        <v>542</v>
      </c>
      <c r="X199" t="s">
        <v>390</v>
      </c>
      <c r="Y199" t="s">
        <v>244</v>
      </c>
      <c r="AA199">
        <v>0</v>
      </c>
      <c r="AB199" t="s">
        <v>54</v>
      </c>
      <c r="AC199" t="s">
        <v>424</v>
      </c>
      <c r="AD199">
        <v>34</v>
      </c>
      <c r="AE199">
        <v>8</v>
      </c>
      <c r="AF199">
        <v>3</v>
      </c>
      <c r="AG199">
        <v>2025</v>
      </c>
      <c r="AH199" s="13">
        <v>17300</v>
      </c>
      <c r="AI199" s="13">
        <v>39379.08984375</v>
      </c>
      <c r="AJ199" s="13">
        <f t="shared" si="24"/>
        <v>22079.08984375</v>
      </c>
      <c r="AK199" s="14">
        <f t="shared" si="25"/>
        <v>1.2762479678468208</v>
      </c>
      <c r="AL199" s="9">
        <v>17300</v>
      </c>
      <c r="AM199" s="9">
        <v>28870.975940910299</v>
      </c>
      <c r="AN199" s="9">
        <f t="shared" si="26"/>
        <v>11570.975940910299</v>
      </c>
      <c r="AO199" s="10">
        <f t="shared" si="27"/>
        <v>0.66884253993701148</v>
      </c>
      <c r="AP199" s="16">
        <v>17300</v>
      </c>
      <c r="AQ199" s="16">
        <v>31969.003768309311</v>
      </c>
      <c r="AR199" s="16">
        <f t="shared" si="28"/>
        <v>14669.003768309311</v>
      </c>
      <c r="AS199" s="17">
        <f t="shared" si="29"/>
        <v>0.84791929296585611</v>
      </c>
      <c r="AT199" s="6">
        <v>17300</v>
      </c>
      <c r="AU199" s="6">
        <v>27267.50390625</v>
      </c>
      <c r="AV199" s="6">
        <f t="shared" si="30"/>
        <v>9967.50390625</v>
      </c>
      <c r="AW199" s="7">
        <f t="shared" si="31"/>
        <v>0.5761562951589595</v>
      </c>
    </row>
    <row r="200" spans="1:49" x14ac:dyDescent="0.25">
      <c r="A200" t="s">
        <v>38</v>
      </c>
      <c r="B200" t="s">
        <v>132</v>
      </c>
      <c r="C200">
        <v>202527</v>
      </c>
      <c r="D200">
        <v>2012</v>
      </c>
      <c r="E200" t="s">
        <v>145</v>
      </c>
      <c r="F200" t="s">
        <v>363</v>
      </c>
      <c r="G200" t="s">
        <v>543</v>
      </c>
      <c r="I200">
        <v>6</v>
      </c>
      <c r="J200" t="s">
        <v>82</v>
      </c>
      <c r="K200">
        <v>4</v>
      </c>
      <c r="L200" t="s">
        <v>44</v>
      </c>
      <c r="M200">
        <v>3.5</v>
      </c>
      <c r="N200" t="s">
        <v>45</v>
      </c>
      <c r="O200" t="s">
        <v>46</v>
      </c>
      <c r="P200">
        <v>2</v>
      </c>
      <c r="Q200" t="s">
        <v>47</v>
      </c>
      <c r="R200" t="s">
        <v>365</v>
      </c>
      <c r="T200">
        <v>248</v>
      </c>
      <c r="U200" t="s">
        <v>50</v>
      </c>
      <c r="V200" t="s">
        <v>64</v>
      </c>
      <c r="W200" t="s">
        <v>366</v>
      </c>
      <c r="X200" t="s">
        <v>66</v>
      </c>
      <c r="Y200" t="s">
        <v>67</v>
      </c>
      <c r="AA200">
        <v>0</v>
      </c>
      <c r="AB200" t="s">
        <v>54</v>
      </c>
      <c r="AC200" t="s">
        <v>365</v>
      </c>
      <c r="AD200">
        <v>34</v>
      </c>
      <c r="AE200">
        <v>8</v>
      </c>
      <c r="AF200">
        <v>3</v>
      </c>
      <c r="AG200">
        <v>2025</v>
      </c>
      <c r="AH200" s="13">
        <v>2000</v>
      </c>
      <c r="AI200" s="13">
        <v>1727.556396484375</v>
      </c>
      <c r="AJ200" s="13">
        <f t="shared" si="24"/>
        <v>272.443603515625</v>
      </c>
      <c r="AK200" s="14">
        <f t="shared" si="25"/>
        <v>0.13622180175781251</v>
      </c>
      <c r="AL200" s="9">
        <v>2000</v>
      </c>
      <c r="AM200" s="9">
        <v>1947.9172159315081</v>
      </c>
      <c r="AN200" s="9">
        <f t="shared" si="26"/>
        <v>52.082784068491947</v>
      </c>
      <c r="AO200" s="10">
        <f t="shared" si="27"/>
        <v>2.6041392034245974E-2</v>
      </c>
      <c r="AP200" s="16">
        <v>2000</v>
      </c>
      <c r="AQ200" s="16">
        <v>1622.7222238548879</v>
      </c>
      <c r="AR200" s="16">
        <f t="shared" si="28"/>
        <v>377.27777614511206</v>
      </c>
      <c r="AS200" s="17">
        <f t="shared" si="29"/>
        <v>0.18863888807255602</v>
      </c>
      <c r="AT200" s="6">
        <v>2000</v>
      </c>
      <c r="AU200" s="6">
        <v>1667.101928710938</v>
      </c>
      <c r="AV200" s="6">
        <f t="shared" si="30"/>
        <v>332.89807128906205</v>
      </c>
      <c r="AW200" s="7">
        <f t="shared" si="31"/>
        <v>0.16644903564453103</v>
      </c>
    </row>
    <row r="201" spans="1:49" x14ac:dyDescent="0.25">
      <c r="A201" t="s">
        <v>38</v>
      </c>
      <c r="B201" t="s">
        <v>229</v>
      </c>
      <c r="C201">
        <v>50141</v>
      </c>
      <c r="D201">
        <v>2023</v>
      </c>
      <c r="E201" t="s">
        <v>173</v>
      </c>
      <c r="F201" t="s">
        <v>417</v>
      </c>
      <c r="G201" t="s">
        <v>544</v>
      </c>
      <c r="I201">
        <v>6</v>
      </c>
      <c r="J201" t="s">
        <v>94</v>
      </c>
      <c r="K201">
        <v>4</v>
      </c>
      <c r="L201" t="s">
        <v>44</v>
      </c>
      <c r="M201">
        <v>3.6</v>
      </c>
      <c r="N201" t="s">
        <v>62</v>
      </c>
      <c r="O201" t="s">
        <v>46</v>
      </c>
      <c r="P201">
        <v>4</v>
      </c>
      <c r="Q201" t="s">
        <v>75</v>
      </c>
      <c r="R201" t="s">
        <v>76</v>
      </c>
      <c r="S201" t="s">
        <v>63</v>
      </c>
      <c r="T201">
        <v>285</v>
      </c>
      <c r="U201" t="s">
        <v>50</v>
      </c>
      <c r="V201" t="s">
        <v>64</v>
      </c>
      <c r="X201" t="s">
        <v>141</v>
      </c>
      <c r="Y201" t="s">
        <v>67</v>
      </c>
      <c r="AA201">
        <v>0</v>
      </c>
      <c r="AB201" t="s">
        <v>54</v>
      </c>
      <c r="AC201" t="s">
        <v>78</v>
      </c>
      <c r="AD201">
        <v>34</v>
      </c>
      <c r="AE201">
        <v>8</v>
      </c>
      <c r="AF201">
        <v>3</v>
      </c>
      <c r="AG201">
        <v>2025</v>
      </c>
      <c r="AH201" s="13">
        <v>27500</v>
      </c>
      <c r="AI201" s="13">
        <v>33063.5078125</v>
      </c>
      <c r="AJ201" s="13">
        <f t="shared" si="24"/>
        <v>5563.5078125</v>
      </c>
      <c r="AK201" s="14">
        <f t="shared" si="25"/>
        <v>0.20230937500000001</v>
      </c>
      <c r="AL201" s="9">
        <v>27500</v>
      </c>
      <c r="AM201" s="9">
        <v>37439.943100069271</v>
      </c>
      <c r="AN201" s="9">
        <f t="shared" si="26"/>
        <v>9939.9431000692712</v>
      </c>
      <c r="AO201" s="10">
        <f t="shared" si="27"/>
        <v>0.3614524763661553</v>
      </c>
      <c r="AP201" s="16">
        <v>27500</v>
      </c>
      <c r="AQ201" s="16">
        <v>34892.858567413183</v>
      </c>
      <c r="AR201" s="16">
        <f t="shared" si="28"/>
        <v>7392.8585674131828</v>
      </c>
      <c r="AS201" s="17">
        <f t="shared" si="29"/>
        <v>0.26883122063320664</v>
      </c>
      <c r="AT201" s="6">
        <v>27500</v>
      </c>
      <c r="AU201" s="6">
        <v>31540.13671875</v>
      </c>
      <c r="AV201" s="6">
        <f t="shared" si="30"/>
        <v>4040.13671875</v>
      </c>
      <c r="AW201" s="7">
        <f t="shared" si="31"/>
        <v>0.1469140625</v>
      </c>
    </row>
    <row r="202" spans="1:49" x14ac:dyDescent="0.25">
      <c r="A202" t="s">
        <v>69</v>
      </c>
      <c r="B202" t="s">
        <v>545</v>
      </c>
      <c r="C202">
        <v>124749</v>
      </c>
      <c r="D202">
        <v>2016</v>
      </c>
      <c r="E202" t="s">
        <v>124</v>
      </c>
      <c r="F202" t="s">
        <v>125</v>
      </c>
      <c r="G202" t="s">
        <v>546</v>
      </c>
      <c r="I202">
        <v>4</v>
      </c>
      <c r="J202" t="s">
        <v>74</v>
      </c>
      <c r="K202">
        <v>4</v>
      </c>
      <c r="L202" t="s">
        <v>44</v>
      </c>
      <c r="M202">
        <v>1.8</v>
      </c>
      <c r="N202" t="s">
        <v>45</v>
      </c>
      <c r="O202" t="s">
        <v>46</v>
      </c>
      <c r="P202">
        <v>3</v>
      </c>
      <c r="Q202" t="s">
        <v>84</v>
      </c>
      <c r="R202" t="s">
        <v>85</v>
      </c>
      <c r="U202" t="s">
        <v>50</v>
      </c>
      <c r="W202" t="s">
        <v>547</v>
      </c>
      <c r="X202" t="s">
        <v>87</v>
      </c>
      <c r="Y202" t="s">
        <v>67</v>
      </c>
      <c r="AA202">
        <v>0</v>
      </c>
      <c r="AB202" t="s">
        <v>54</v>
      </c>
      <c r="AC202" t="s">
        <v>89</v>
      </c>
      <c r="AD202">
        <v>34</v>
      </c>
      <c r="AE202">
        <v>8</v>
      </c>
      <c r="AF202">
        <v>3</v>
      </c>
      <c r="AG202">
        <v>2025</v>
      </c>
      <c r="AH202" s="13">
        <v>2500</v>
      </c>
      <c r="AI202" s="13">
        <v>3290.350830078125</v>
      </c>
      <c r="AJ202" s="13">
        <f t="shared" si="24"/>
        <v>790.350830078125</v>
      </c>
      <c r="AK202" s="14">
        <f t="shared" si="25"/>
        <v>0.31614033203125003</v>
      </c>
      <c r="AL202" s="9">
        <v>2500</v>
      </c>
      <c r="AM202" s="9">
        <v>2936.8890176942432</v>
      </c>
      <c r="AN202" s="9">
        <f t="shared" si="26"/>
        <v>436.88901769424319</v>
      </c>
      <c r="AO202" s="10">
        <f t="shared" si="27"/>
        <v>0.17475560707769727</v>
      </c>
      <c r="AP202" s="16">
        <v>2500</v>
      </c>
      <c r="AQ202" s="16">
        <v>2754.8127556757399</v>
      </c>
      <c r="AR202" s="16">
        <f t="shared" si="28"/>
        <v>254.81275567573994</v>
      </c>
      <c r="AS202" s="17">
        <f t="shared" si="29"/>
        <v>0.10192510227029597</v>
      </c>
      <c r="AT202" s="6">
        <v>2500</v>
      </c>
      <c r="AU202" s="6">
        <v>3158.34716796875</v>
      </c>
      <c r="AV202" s="6">
        <f t="shared" si="30"/>
        <v>658.34716796875</v>
      </c>
      <c r="AW202" s="7">
        <f t="shared" si="31"/>
        <v>0.26333886718749999</v>
      </c>
    </row>
    <row r="203" spans="1:49" x14ac:dyDescent="0.25">
      <c r="A203" t="s">
        <v>69</v>
      </c>
      <c r="B203" t="s">
        <v>452</v>
      </c>
      <c r="C203">
        <v>32271</v>
      </c>
      <c r="D203">
        <v>2016</v>
      </c>
      <c r="E203" t="s">
        <v>58</v>
      </c>
      <c r="F203" t="s">
        <v>548</v>
      </c>
      <c r="I203">
        <v>10</v>
      </c>
      <c r="J203" t="s">
        <v>74</v>
      </c>
      <c r="K203">
        <v>1</v>
      </c>
      <c r="L203" t="s">
        <v>44</v>
      </c>
      <c r="M203">
        <v>6.8</v>
      </c>
      <c r="N203" t="s">
        <v>116</v>
      </c>
      <c r="O203" t="s">
        <v>46</v>
      </c>
      <c r="P203">
        <v>2</v>
      </c>
      <c r="Q203" t="s">
        <v>455</v>
      </c>
      <c r="R203" t="s">
        <v>549</v>
      </c>
      <c r="S203" t="s">
        <v>49</v>
      </c>
      <c r="T203">
        <v>362</v>
      </c>
      <c r="U203" t="s">
        <v>50</v>
      </c>
      <c r="V203" t="s">
        <v>64</v>
      </c>
      <c r="X203" t="s">
        <v>550</v>
      </c>
      <c r="Y203" t="s">
        <v>67</v>
      </c>
      <c r="AA203">
        <v>0</v>
      </c>
      <c r="AB203" t="s">
        <v>54</v>
      </c>
      <c r="AC203" t="s">
        <v>458</v>
      </c>
      <c r="AD203">
        <v>34</v>
      </c>
      <c r="AE203">
        <v>8</v>
      </c>
      <c r="AF203">
        <v>3</v>
      </c>
      <c r="AG203">
        <v>2025</v>
      </c>
      <c r="AH203" s="13">
        <v>34000</v>
      </c>
      <c r="AI203" s="13">
        <v>30925.76953125</v>
      </c>
      <c r="AJ203" s="13">
        <f t="shared" si="24"/>
        <v>3074.23046875</v>
      </c>
      <c r="AK203" s="14">
        <f t="shared" si="25"/>
        <v>9.0418543198529405E-2</v>
      </c>
      <c r="AL203" s="9">
        <v>34000</v>
      </c>
      <c r="AM203" s="9">
        <v>29290.94898112481</v>
      </c>
      <c r="AN203" s="9">
        <f t="shared" si="26"/>
        <v>4709.0510188751905</v>
      </c>
      <c r="AO203" s="10">
        <f t="shared" si="27"/>
        <v>0.13850150055515267</v>
      </c>
      <c r="AP203" s="16">
        <v>34000</v>
      </c>
      <c r="AQ203" s="16">
        <v>24481.094395760771</v>
      </c>
      <c r="AR203" s="16">
        <f t="shared" si="28"/>
        <v>9518.9056042392294</v>
      </c>
      <c r="AS203" s="17">
        <f t="shared" si="29"/>
        <v>0.27996781188938907</v>
      </c>
      <c r="AT203" s="6">
        <v>34000</v>
      </c>
      <c r="AU203" s="6">
        <v>28804.6484375</v>
      </c>
      <c r="AV203" s="6">
        <f t="shared" si="30"/>
        <v>5195.3515625</v>
      </c>
      <c r="AW203" s="7">
        <f t="shared" si="31"/>
        <v>0.15280445772058823</v>
      </c>
    </row>
    <row r="204" spans="1:49" x14ac:dyDescent="0.25">
      <c r="A204" t="s">
        <v>107</v>
      </c>
      <c r="B204" t="s">
        <v>108</v>
      </c>
      <c r="C204">
        <v>87664</v>
      </c>
      <c r="D204">
        <v>2018</v>
      </c>
      <c r="E204" t="s">
        <v>40</v>
      </c>
      <c r="F204" t="s">
        <v>41</v>
      </c>
      <c r="G204" t="s">
        <v>551</v>
      </c>
      <c r="I204">
        <v>4</v>
      </c>
      <c r="J204" t="s">
        <v>43</v>
      </c>
      <c r="K204">
        <v>4</v>
      </c>
      <c r="L204" t="s">
        <v>44</v>
      </c>
      <c r="M204">
        <v>2.4</v>
      </c>
      <c r="N204" t="s">
        <v>44</v>
      </c>
      <c r="O204" t="s">
        <v>46</v>
      </c>
      <c r="P204">
        <v>4</v>
      </c>
      <c r="Q204" t="s">
        <v>47</v>
      </c>
      <c r="R204" t="s">
        <v>48</v>
      </c>
      <c r="S204" t="s">
        <v>63</v>
      </c>
      <c r="T204">
        <v>181</v>
      </c>
      <c r="U204" t="s">
        <v>50</v>
      </c>
      <c r="V204" t="s">
        <v>95</v>
      </c>
      <c r="W204" t="s">
        <v>352</v>
      </c>
      <c r="X204" t="s">
        <v>52</v>
      </c>
      <c r="Y204" t="s">
        <v>53</v>
      </c>
      <c r="AA204">
        <v>0</v>
      </c>
      <c r="AB204" t="s">
        <v>54</v>
      </c>
      <c r="AC204" t="s">
        <v>55</v>
      </c>
      <c r="AD204">
        <v>34</v>
      </c>
      <c r="AE204">
        <v>8</v>
      </c>
      <c r="AF204">
        <v>3</v>
      </c>
      <c r="AG204">
        <v>2025</v>
      </c>
      <c r="AH204" s="13">
        <v>4400</v>
      </c>
      <c r="AI204" s="13">
        <v>9626.267578125</v>
      </c>
      <c r="AJ204" s="13">
        <f t="shared" si="24"/>
        <v>5226.267578125</v>
      </c>
      <c r="AK204" s="14">
        <f t="shared" si="25"/>
        <v>1.1877880859375001</v>
      </c>
      <c r="AL204" s="9">
        <v>4400</v>
      </c>
      <c r="AM204" s="9">
        <v>9459.0698687247295</v>
      </c>
      <c r="AN204" s="9">
        <f t="shared" si="26"/>
        <v>5059.0698687247295</v>
      </c>
      <c r="AO204" s="10">
        <f t="shared" si="27"/>
        <v>1.1497886065283476</v>
      </c>
      <c r="AP204" s="16">
        <v>4400</v>
      </c>
      <c r="AQ204" s="16">
        <v>9932.9940644464477</v>
      </c>
      <c r="AR204" s="16">
        <f t="shared" si="28"/>
        <v>5532.9940644464477</v>
      </c>
      <c r="AS204" s="17">
        <f t="shared" si="29"/>
        <v>1.2574986510105564</v>
      </c>
      <c r="AT204" s="6">
        <v>4400</v>
      </c>
      <c r="AU204" s="6">
        <v>9650.0390625</v>
      </c>
      <c r="AV204" s="6">
        <f t="shared" si="30"/>
        <v>5250.0390625</v>
      </c>
      <c r="AW204" s="7">
        <f t="shared" si="31"/>
        <v>1.1931906960227272</v>
      </c>
    </row>
    <row r="205" spans="1:49" x14ac:dyDescent="0.25">
      <c r="A205" t="s">
        <v>38</v>
      </c>
      <c r="B205" t="s">
        <v>39</v>
      </c>
      <c r="C205">
        <v>67988</v>
      </c>
      <c r="D205">
        <v>2022</v>
      </c>
      <c r="E205" t="s">
        <v>145</v>
      </c>
      <c r="F205" t="s">
        <v>349</v>
      </c>
      <c r="G205" t="s">
        <v>284</v>
      </c>
      <c r="I205">
        <v>4</v>
      </c>
      <c r="J205" t="s">
        <v>94</v>
      </c>
      <c r="K205">
        <v>4</v>
      </c>
      <c r="L205" t="s">
        <v>44</v>
      </c>
      <c r="M205">
        <v>2</v>
      </c>
      <c r="N205" t="s">
        <v>45</v>
      </c>
      <c r="O205" t="s">
        <v>46</v>
      </c>
      <c r="P205">
        <v>4</v>
      </c>
      <c r="Q205" t="s">
        <v>84</v>
      </c>
      <c r="R205" t="s">
        <v>85</v>
      </c>
      <c r="S205" t="s">
        <v>49</v>
      </c>
      <c r="T205">
        <v>158</v>
      </c>
      <c r="U205" t="s">
        <v>50</v>
      </c>
      <c r="V205" t="s">
        <v>95</v>
      </c>
      <c r="W205" t="s">
        <v>552</v>
      </c>
      <c r="X205" t="s">
        <v>122</v>
      </c>
      <c r="Y205" t="s">
        <v>88</v>
      </c>
      <c r="AA205">
        <v>0</v>
      </c>
      <c r="AB205" t="s">
        <v>54</v>
      </c>
      <c r="AC205" t="s">
        <v>89</v>
      </c>
      <c r="AD205">
        <v>34</v>
      </c>
      <c r="AE205">
        <v>8</v>
      </c>
      <c r="AF205">
        <v>3</v>
      </c>
      <c r="AG205">
        <v>2025</v>
      </c>
      <c r="AH205" s="13">
        <v>14500</v>
      </c>
      <c r="AI205" s="13">
        <v>18087.814453125</v>
      </c>
      <c r="AJ205" s="13">
        <f t="shared" si="24"/>
        <v>3587.814453125</v>
      </c>
      <c r="AK205" s="14">
        <f t="shared" si="25"/>
        <v>0.24743547952586206</v>
      </c>
      <c r="AL205" s="9">
        <v>14500</v>
      </c>
      <c r="AM205" s="9">
        <v>16800.382890140168</v>
      </c>
      <c r="AN205" s="9">
        <f t="shared" si="26"/>
        <v>2300.3828901401685</v>
      </c>
      <c r="AO205" s="10">
        <f t="shared" si="27"/>
        <v>0.15864709587173575</v>
      </c>
      <c r="AP205" s="16">
        <v>14500</v>
      </c>
      <c r="AQ205" s="16">
        <v>15567.620045857901</v>
      </c>
      <c r="AR205" s="16">
        <f t="shared" si="28"/>
        <v>1067.6200458579005</v>
      </c>
      <c r="AS205" s="17">
        <f t="shared" si="29"/>
        <v>7.3628968679855217E-2</v>
      </c>
      <c r="AT205" s="6">
        <v>14500</v>
      </c>
      <c r="AU205" s="6">
        <v>15972.49609375</v>
      </c>
      <c r="AV205" s="6">
        <f t="shared" si="30"/>
        <v>1472.49609375</v>
      </c>
      <c r="AW205" s="7">
        <f t="shared" si="31"/>
        <v>0.1015514547413793</v>
      </c>
    </row>
    <row r="206" spans="1:49" x14ac:dyDescent="0.25">
      <c r="A206" t="s">
        <v>56</v>
      </c>
      <c r="B206" t="s">
        <v>57</v>
      </c>
      <c r="C206">
        <v>46605</v>
      </c>
      <c r="D206">
        <v>2024</v>
      </c>
      <c r="E206" t="s">
        <v>91</v>
      </c>
      <c r="F206" t="s">
        <v>553</v>
      </c>
      <c r="G206" t="s">
        <v>554</v>
      </c>
      <c r="H206" t="s">
        <v>555</v>
      </c>
      <c r="I206">
        <v>6</v>
      </c>
      <c r="J206" t="s">
        <v>94</v>
      </c>
      <c r="K206">
        <v>4</v>
      </c>
      <c r="L206" t="s">
        <v>44</v>
      </c>
      <c r="M206">
        <v>4</v>
      </c>
      <c r="N206" t="s">
        <v>62</v>
      </c>
      <c r="O206" t="s">
        <v>46</v>
      </c>
      <c r="P206">
        <v>4</v>
      </c>
      <c r="Q206" t="s">
        <v>47</v>
      </c>
      <c r="R206" t="s">
        <v>48</v>
      </c>
      <c r="S206" t="s">
        <v>63</v>
      </c>
      <c r="T206">
        <v>270</v>
      </c>
      <c r="U206" t="s">
        <v>50</v>
      </c>
      <c r="V206" t="s">
        <v>64</v>
      </c>
      <c r="W206" t="s">
        <v>429</v>
      </c>
      <c r="X206" t="s">
        <v>66</v>
      </c>
      <c r="Y206" t="s">
        <v>97</v>
      </c>
      <c r="AA206">
        <v>0</v>
      </c>
      <c r="AB206" t="s">
        <v>54</v>
      </c>
      <c r="AC206" t="s">
        <v>55</v>
      </c>
      <c r="AD206">
        <v>34</v>
      </c>
      <c r="AE206">
        <v>8</v>
      </c>
      <c r="AF206">
        <v>3</v>
      </c>
      <c r="AG206">
        <v>2025</v>
      </c>
      <c r="AH206" s="13">
        <v>40700</v>
      </c>
      <c r="AI206" s="13">
        <v>40524.2734375</v>
      </c>
      <c r="AJ206" s="13">
        <f t="shared" si="24"/>
        <v>175.7265625</v>
      </c>
      <c r="AK206" s="14">
        <f t="shared" si="25"/>
        <v>4.3176059582309585E-3</v>
      </c>
      <c r="AL206" s="9">
        <v>40700</v>
      </c>
      <c r="AM206" s="9">
        <v>37459.265617092868</v>
      </c>
      <c r="AN206" s="9">
        <f t="shared" si="26"/>
        <v>3240.7343829071324</v>
      </c>
      <c r="AO206" s="10">
        <f t="shared" si="27"/>
        <v>7.9624923412951659E-2</v>
      </c>
      <c r="AP206" s="16">
        <v>40700</v>
      </c>
      <c r="AQ206" s="16">
        <v>33799.905470872829</v>
      </c>
      <c r="AR206" s="16">
        <f t="shared" si="28"/>
        <v>6900.094529127171</v>
      </c>
      <c r="AS206" s="17">
        <f t="shared" si="29"/>
        <v>0.16953549211614671</v>
      </c>
      <c r="AT206" s="6">
        <v>40700</v>
      </c>
      <c r="AU206" s="6">
        <v>37711.015625</v>
      </c>
      <c r="AV206" s="6">
        <f t="shared" si="30"/>
        <v>2988.984375</v>
      </c>
      <c r="AW206" s="7">
        <f t="shared" si="31"/>
        <v>7.3439419533169528E-2</v>
      </c>
    </row>
    <row r="207" spans="1:49" x14ac:dyDescent="0.25">
      <c r="A207" t="s">
        <v>107</v>
      </c>
      <c r="B207" t="s">
        <v>192</v>
      </c>
      <c r="C207">
        <v>146132</v>
      </c>
      <c r="D207">
        <v>2015</v>
      </c>
      <c r="E207" t="s">
        <v>98</v>
      </c>
      <c r="F207" t="s">
        <v>161</v>
      </c>
      <c r="G207" t="s">
        <v>218</v>
      </c>
      <c r="H207" t="s">
        <v>162</v>
      </c>
      <c r="I207">
        <v>8</v>
      </c>
      <c r="J207" t="s">
        <v>74</v>
      </c>
      <c r="K207">
        <v>4</v>
      </c>
      <c r="L207" t="s">
        <v>44</v>
      </c>
      <c r="M207">
        <v>5.3</v>
      </c>
      <c r="N207" t="s">
        <v>62</v>
      </c>
      <c r="O207" t="s">
        <v>46</v>
      </c>
      <c r="Q207" t="s">
        <v>75</v>
      </c>
      <c r="R207" t="s">
        <v>76</v>
      </c>
      <c r="S207" t="s">
        <v>63</v>
      </c>
      <c r="U207" t="s">
        <v>50</v>
      </c>
      <c r="W207" t="s">
        <v>163</v>
      </c>
      <c r="X207" t="s">
        <v>77</v>
      </c>
      <c r="Y207" t="s">
        <v>106</v>
      </c>
      <c r="AA207">
        <v>0</v>
      </c>
      <c r="AB207" t="s">
        <v>54</v>
      </c>
      <c r="AC207" t="s">
        <v>78</v>
      </c>
      <c r="AD207">
        <v>34</v>
      </c>
      <c r="AE207">
        <v>8</v>
      </c>
      <c r="AF207">
        <v>3</v>
      </c>
      <c r="AG207">
        <v>2025</v>
      </c>
      <c r="AH207" s="13">
        <v>14800</v>
      </c>
      <c r="AI207" s="13">
        <v>12436.953125</v>
      </c>
      <c r="AJ207" s="13">
        <f t="shared" si="24"/>
        <v>2363.046875</v>
      </c>
      <c r="AK207" s="14">
        <f t="shared" si="25"/>
        <v>0.1596653293918919</v>
      </c>
      <c r="AL207" s="9">
        <v>14800</v>
      </c>
      <c r="AM207" s="9">
        <v>12599.65681724223</v>
      </c>
      <c r="AN207" s="9">
        <f t="shared" si="26"/>
        <v>2200.3431827577697</v>
      </c>
      <c r="AO207" s="10">
        <f t="shared" si="27"/>
        <v>0.14867183667282227</v>
      </c>
      <c r="AP207" s="16">
        <v>14800</v>
      </c>
      <c r="AQ207" s="16">
        <v>14952.718604727301</v>
      </c>
      <c r="AR207" s="16">
        <f t="shared" si="28"/>
        <v>152.71860472730077</v>
      </c>
      <c r="AS207" s="17">
        <f t="shared" si="29"/>
        <v>1.0318824643736539E-2</v>
      </c>
      <c r="AT207" s="6">
        <v>14800</v>
      </c>
      <c r="AU207" s="6">
        <v>13387.8076171875</v>
      </c>
      <c r="AV207" s="6">
        <f t="shared" si="30"/>
        <v>1412.1923828125</v>
      </c>
      <c r="AW207" s="7">
        <f t="shared" si="31"/>
        <v>9.5418404244087832E-2</v>
      </c>
    </row>
    <row r="208" spans="1:49" x14ac:dyDescent="0.25">
      <c r="A208" t="s">
        <v>56</v>
      </c>
      <c r="B208" t="s">
        <v>178</v>
      </c>
      <c r="C208">
        <v>168588</v>
      </c>
      <c r="D208">
        <v>2002</v>
      </c>
      <c r="E208" t="s">
        <v>113</v>
      </c>
      <c r="F208" t="s">
        <v>142</v>
      </c>
      <c r="G208" t="s">
        <v>218</v>
      </c>
      <c r="H208" t="s">
        <v>556</v>
      </c>
      <c r="I208">
        <v>8</v>
      </c>
      <c r="J208" t="s">
        <v>94</v>
      </c>
      <c r="K208">
        <v>4</v>
      </c>
      <c r="L208" t="s">
        <v>44</v>
      </c>
      <c r="M208">
        <v>4.7</v>
      </c>
      <c r="N208" t="s">
        <v>62</v>
      </c>
      <c r="O208" t="s">
        <v>46</v>
      </c>
      <c r="P208">
        <v>2</v>
      </c>
      <c r="Q208" t="s">
        <v>47</v>
      </c>
      <c r="R208" t="s">
        <v>48</v>
      </c>
      <c r="S208" t="s">
        <v>63</v>
      </c>
      <c r="U208" t="s">
        <v>50</v>
      </c>
      <c r="V208" t="s">
        <v>64</v>
      </c>
      <c r="X208" t="s">
        <v>66</v>
      </c>
      <c r="Y208" t="s">
        <v>67</v>
      </c>
      <c r="AA208">
        <v>0</v>
      </c>
      <c r="AB208" t="s">
        <v>54</v>
      </c>
      <c r="AC208" t="s">
        <v>55</v>
      </c>
      <c r="AD208">
        <v>34</v>
      </c>
      <c r="AE208">
        <v>8</v>
      </c>
      <c r="AF208">
        <v>3</v>
      </c>
      <c r="AG208">
        <v>2025</v>
      </c>
      <c r="AH208" s="13">
        <v>600</v>
      </c>
      <c r="AI208" s="13">
        <v>502.3394775390625</v>
      </c>
      <c r="AJ208" s="13">
        <f t="shared" si="24"/>
        <v>97.6605224609375</v>
      </c>
      <c r="AK208" s="14">
        <f t="shared" si="25"/>
        <v>0.16276753743489583</v>
      </c>
      <c r="AL208" s="9">
        <v>600</v>
      </c>
      <c r="AM208" s="9">
        <v>677.80527085135134</v>
      </c>
      <c r="AN208" s="9">
        <f t="shared" si="26"/>
        <v>77.805270851351338</v>
      </c>
      <c r="AO208" s="10">
        <f t="shared" si="27"/>
        <v>0.1296754514189189</v>
      </c>
      <c r="AP208" s="16">
        <v>600</v>
      </c>
      <c r="AQ208" s="16">
        <v>583.60178795131424</v>
      </c>
      <c r="AR208" s="16">
        <f t="shared" si="28"/>
        <v>16.398212048685764</v>
      </c>
      <c r="AS208" s="17">
        <f t="shared" si="29"/>
        <v>2.7330353414476274E-2</v>
      </c>
      <c r="AT208" s="6">
        <v>600</v>
      </c>
      <c r="AU208" s="6">
        <v>622.7115478515625</v>
      </c>
      <c r="AV208" s="6">
        <f t="shared" si="30"/>
        <v>22.7115478515625</v>
      </c>
      <c r="AW208" s="7">
        <f t="shared" si="31"/>
        <v>3.7852579752604164E-2</v>
      </c>
    </row>
    <row r="209" spans="1:49" x14ac:dyDescent="0.25">
      <c r="A209" t="s">
        <v>56</v>
      </c>
      <c r="B209" t="s">
        <v>104</v>
      </c>
      <c r="C209">
        <v>33550</v>
      </c>
      <c r="D209">
        <v>2014</v>
      </c>
      <c r="E209" t="s">
        <v>58</v>
      </c>
      <c r="F209" t="s">
        <v>557</v>
      </c>
      <c r="H209" t="s">
        <v>454</v>
      </c>
      <c r="I209">
        <v>8</v>
      </c>
      <c r="J209" t="s">
        <v>43</v>
      </c>
      <c r="K209">
        <v>3</v>
      </c>
      <c r="L209" t="s">
        <v>44</v>
      </c>
      <c r="M209">
        <v>5.4</v>
      </c>
      <c r="N209" t="s">
        <v>116</v>
      </c>
      <c r="O209" t="s">
        <v>46</v>
      </c>
      <c r="P209">
        <v>4</v>
      </c>
      <c r="Q209" t="s">
        <v>75</v>
      </c>
      <c r="R209" t="s">
        <v>422</v>
      </c>
      <c r="S209" t="s">
        <v>49</v>
      </c>
      <c r="T209">
        <v>255</v>
      </c>
      <c r="U209" t="s">
        <v>50</v>
      </c>
      <c r="V209" t="s">
        <v>64</v>
      </c>
      <c r="W209" t="s">
        <v>558</v>
      </c>
      <c r="X209" t="s">
        <v>390</v>
      </c>
      <c r="Y209" t="s">
        <v>67</v>
      </c>
      <c r="AA209">
        <v>0</v>
      </c>
      <c r="AB209" t="s">
        <v>54</v>
      </c>
      <c r="AC209" t="s">
        <v>424</v>
      </c>
      <c r="AD209">
        <v>34</v>
      </c>
      <c r="AE209">
        <v>8</v>
      </c>
      <c r="AF209">
        <v>3</v>
      </c>
      <c r="AG209">
        <v>2025</v>
      </c>
      <c r="AH209" s="13">
        <v>8300</v>
      </c>
      <c r="AI209" s="13">
        <v>16276.51953125</v>
      </c>
      <c r="AJ209" s="13">
        <f t="shared" si="24"/>
        <v>7976.51953125</v>
      </c>
      <c r="AK209" s="14">
        <f t="shared" si="25"/>
        <v>0.96102644954819272</v>
      </c>
      <c r="AL209" s="9">
        <v>8300</v>
      </c>
      <c r="AM209" s="9">
        <v>16977.58474799796</v>
      </c>
      <c r="AN209" s="9">
        <f t="shared" si="26"/>
        <v>8677.5847479979602</v>
      </c>
      <c r="AO209" s="10">
        <f t="shared" si="27"/>
        <v>1.0454921383130074</v>
      </c>
      <c r="AP209" s="16">
        <v>8300</v>
      </c>
      <c r="AQ209" s="16">
        <v>19632.510808726991</v>
      </c>
      <c r="AR209" s="16">
        <f t="shared" si="28"/>
        <v>11332.510808726991</v>
      </c>
      <c r="AS209" s="17">
        <f t="shared" si="29"/>
        <v>1.3653627480393964</v>
      </c>
      <c r="AT209" s="6">
        <v>8300</v>
      </c>
      <c r="AU209" s="6">
        <v>15958.59375</v>
      </c>
      <c r="AV209" s="6">
        <f t="shared" si="30"/>
        <v>7658.59375</v>
      </c>
      <c r="AW209" s="7">
        <f t="shared" si="31"/>
        <v>0.92272213855421692</v>
      </c>
    </row>
    <row r="210" spans="1:49" x14ac:dyDescent="0.25">
      <c r="A210" t="s">
        <v>69</v>
      </c>
      <c r="B210" t="s">
        <v>128</v>
      </c>
      <c r="C210">
        <v>107962</v>
      </c>
      <c r="D210">
        <v>2021</v>
      </c>
      <c r="E210" t="s">
        <v>173</v>
      </c>
      <c r="F210" t="s">
        <v>370</v>
      </c>
      <c r="G210" t="s">
        <v>559</v>
      </c>
      <c r="I210">
        <v>4</v>
      </c>
      <c r="J210" t="s">
        <v>277</v>
      </c>
      <c r="K210">
        <v>4</v>
      </c>
      <c r="L210" t="s">
        <v>44</v>
      </c>
      <c r="M210">
        <v>2</v>
      </c>
      <c r="N210" t="s">
        <v>62</v>
      </c>
      <c r="O210" t="s">
        <v>46</v>
      </c>
      <c r="P210">
        <v>4</v>
      </c>
      <c r="Q210" t="s">
        <v>47</v>
      </c>
      <c r="R210" t="s">
        <v>48</v>
      </c>
      <c r="S210" t="s">
        <v>63</v>
      </c>
      <c r="T210">
        <v>270</v>
      </c>
      <c r="U210" t="s">
        <v>50</v>
      </c>
      <c r="V210" t="s">
        <v>95</v>
      </c>
      <c r="X210" t="s">
        <v>141</v>
      </c>
      <c r="Y210" t="s">
        <v>67</v>
      </c>
      <c r="AA210">
        <v>0</v>
      </c>
      <c r="AB210" t="s">
        <v>54</v>
      </c>
      <c r="AC210" t="s">
        <v>55</v>
      </c>
      <c r="AD210">
        <v>34</v>
      </c>
      <c r="AE210">
        <v>8</v>
      </c>
      <c r="AF210">
        <v>3</v>
      </c>
      <c r="AG210">
        <v>2025</v>
      </c>
      <c r="AH210" s="13">
        <v>20200</v>
      </c>
      <c r="AI210" s="13">
        <v>18985.96875</v>
      </c>
      <c r="AJ210" s="13">
        <f t="shared" si="24"/>
        <v>1214.03125</v>
      </c>
      <c r="AK210" s="14">
        <f t="shared" si="25"/>
        <v>6.0100556930693071E-2</v>
      </c>
      <c r="AL210" s="9">
        <v>20200</v>
      </c>
      <c r="AM210" s="9">
        <v>21502.214438421241</v>
      </c>
      <c r="AN210" s="9">
        <f t="shared" si="26"/>
        <v>1302.2144384212406</v>
      </c>
      <c r="AO210" s="10">
        <f t="shared" si="27"/>
        <v>6.4466061307982214E-2</v>
      </c>
      <c r="AP210" s="16">
        <v>20200</v>
      </c>
      <c r="AQ210" s="16">
        <v>19361.787843946338</v>
      </c>
      <c r="AR210" s="16">
        <f t="shared" si="28"/>
        <v>838.2121560536616</v>
      </c>
      <c r="AS210" s="17">
        <f t="shared" si="29"/>
        <v>4.1495651289785225E-2</v>
      </c>
      <c r="AT210" s="6">
        <v>20200</v>
      </c>
      <c r="AU210" s="6">
        <v>18318.6953125</v>
      </c>
      <c r="AV210" s="6">
        <f t="shared" si="30"/>
        <v>1881.3046875</v>
      </c>
      <c r="AW210" s="7">
        <f t="shared" si="31"/>
        <v>9.3133895420792076E-2</v>
      </c>
    </row>
    <row r="211" spans="1:49" x14ac:dyDescent="0.25">
      <c r="A211" t="s">
        <v>38</v>
      </c>
      <c r="B211" t="s">
        <v>39</v>
      </c>
      <c r="C211">
        <v>84346</v>
      </c>
      <c r="D211">
        <v>2018</v>
      </c>
      <c r="E211" t="s">
        <v>173</v>
      </c>
      <c r="F211" t="s">
        <v>329</v>
      </c>
      <c r="G211" t="s">
        <v>175</v>
      </c>
      <c r="I211">
        <v>4</v>
      </c>
      <c r="J211" t="s">
        <v>43</v>
      </c>
      <c r="K211">
        <v>4</v>
      </c>
      <c r="L211" t="s">
        <v>44</v>
      </c>
      <c r="M211">
        <v>2.4</v>
      </c>
      <c r="N211" t="s">
        <v>62</v>
      </c>
      <c r="O211" t="s">
        <v>46</v>
      </c>
      <c r="P211">
        <v>4</v>
      </c>
      <c r="Q211" t="s">
        <v>47</v>
      </c>
      <c r="R211" t="s">
        <v>48</v>
      </c>
      <c r="S211" t="s">
        <v>139</v>
      </c>
      <c r="T211">
        <v>180</v>
      </c>
      <c r="U211" t="s">
        <v>50</v>
      </c>
      <c r="X211" t="s">
        <v>52</v>
      </c>
      <c r="Y211" t="s">
        <v>331</v>
      </c>
      <c r="Z211">
        <v>26945</v>
      </c>
      <c r="AA211">
        <v>0</v>
      </c>
      <c r="AB211" t="s">
        <v>54</v>
      </c>
      <c r="AC211" t="s">
        <v>55</v>
      </c>
      <c r="AD211">
        <v>34</v>
      </c>
      <c r="AE211">
        <v>8</v>
      </c>
      <c r="AF211">
        <v>3</v>
      </c>
      <c r="AG211">
        <v>2025</v>
      </c>
      <c r="AH211" s="13">
        <v>10250</v>
      </c>
      <c r="AI211" s="13">
        <v>9972.2958984375</v>
      </c>
      <c r="AJ211" s="13">
        <f t="shared" si="24"/>
        <v>277.7041015625</v>
      </c>
      <c r="AK211" s="14">
        <f t="shared" si="25"/>
        <v>2.7093083079268294E-2</v>
      </c>
      <c r="AL211" s="9">
        <v>10250</v>
      </c>
      <c r="AM211" s="9">
        <v>11401.0195212582</v>
      </c>
      <c r="AN211" s="9">
        <f t="shared" si="26"/>
        <v>1151.0195212582003</v>
      </c>
      <c r="AO211" s="10">
        <f t="shared" si="27"/>
        <v>0.11229458743982441</v>
      </c>
      <c r="AP211" s="16">
        <v>10250</v>
      </c>
      <c r="AQ211" s="16">
        <v>10231.04667622224</v>
      </c>
      <c r="AR211" s="16">
        <f t="shared" si="28"/>
        <v>18.953323777759579</v>
      </c>
      <c r="AS211" s="17">
        <f t="shared" si="29"/>
        <v>1.8491047588058125E-3</v>
      </c>
      <c r="AT211" s="6">
        <v>10250</v>
      </c>
      <c r="AU211" s="6">
        <v>10448.9912109375</v>
      </c>
      <c r="AV211" s="6">
        <f t="shared" si="30"/>
        <v>198.9912109375</v>
      </c>
      <c r="AW211" s="7">
        <f t="shared" si="31"/>
        <v>1.9413776676829267E-2</v>
      </c>
    </row>
    <row r="212" spans="1:49" x14ac:dyDescent="0.25">
      <c r="A212" t="s">
        <v>38</v>
      </c>
      <c r="B212" t="s">
        <v>90</v>
      </c>
      <c r="C212">
        <v>227713</v>
      </c>
      <c r="D212">
        <v>2012</v>
      </c>
      <c r="E212" t="s">
        <v>124</v>
      </c>
      <c r="F212" t="s">
        <v>373</v>
      </c>
      <c r="G212" t="s">
        <v>560</v>
      </c>
      <c r="I212">
        <v>4</v>
      </c>
      <c r="J212" t="s">
        <v>94</v>
      </c>
      <c r="K212">
        <v>4</v>
      </c>
      <c r="L212" t="s">
        <v>44</v>
      </c>
      <c r="M212">
        <v>1.6</v>
      </c>
      <c r="N212" t="s">
        <v>45</v>
      </c>
      <c r="O212" t="s">
        <v>46</v>
      </c>
      <c r="P212">
        <v>3</v>
      </c>
      <c r="Q212" t="s">
        <v>84</v>
      </c>
      <c r="R212" t="s">
        <v>85</v>
      </c>
      <c r="U212" t="s">
        <v>50</v>
      </c>
      <c r="W212" t="s">
        <v>375</v>
      </c>
      <c r="X212" t="s">
        <v>87</v>
      </c>
      <c r="Y212" t="s">
        <v>53</v>
      </c>
      <c r="AA212">
        <v>0</v>
      </c>
      <c r="AB212" t="s">
        <v>54</v>
      </c>
      <c r="AC212" t="s">
        <v>89</v>
      </c>
      <c r="AD212">
        <v>34</v>
      </c>
      <c r="AE212">
        <v>8</v>
      </c>
      <c r="AF212">
        <v>3</v>
      </c>
      <c r="AG212">
        <v>2025</v>
      </c>
      <c r="AH212" s="13">
        <v>1300</v>
      </c>
      <c r="AI212" s="13">
        <v>968.11871337890625</v>
      </c>
      <c r="AJ212" s="13">
        <f t="shared" si="24"/>
        <v>331.88128662109375</v>
      </c>
      <c r="AK212" s="14">
        <f t="shared" si="25"/>
        <v>0.25529329740084133</v>
      </c>
      <c r="AL212" s="9">
        <v>1300</v>
      </c>
      <c r="AM212" s="9">
        <v>841.0013556186808</v>
      </c>
      <c r="AN212" s="9">
        <f t="shared" si="26"/>
        <v>458.9986443813192</v>
      </c>
      <c r="AO212" s="10">
        <f t="shared" si="27"/>
        <v>0.35307588029332243</v>
      </c>
      <c r="AP212" s="16">
        <v>1300</v>
      </c>
      <c r="AQ212" s="16">
        <v>796.00241809982833</v>
      </c>
      <c r="AR212" s="16">
        <f t="shared" si="28"/>
        <v>503.99758190017167</v>
      </c>
      <c r="AS212" s="17">
        <f t="shared" si="29"/>
        <v>0.38769044761551669</v>
      </c>
      <c r="AT212" s="6">
        <v>1300</v>
      </c>
      <c r="AU212" s="6">
        <v>820.95501708984375</v>
      </c>
      <c r="AV212" s="6">
        <f t="shared" si="30"/>
        <v>479.04498291015625</v>
      </c>
      <c r="AW212" s="7">
        <f t="shared" si="31"/>
        <v>0.36849614070012021</v>
      </c>
    </row>
    <row r="213" spans="1:49" x14ac:dyDescent="0.25">
      <c r="A213" t="s">
        <v>107</v>
      </c>
      <c r="B213" t="s">
        <v>108</v>
      </c>
      <c r="C213">
        <v>17594</v>
      </c>
      <c r="D213">
        <v>2023</v>
      </c>
      <c r="E213" t="s">
        <v>79</v>
      </c>
      <c r="F213" t="s">
        <v>164</v>
      </c>
      <c r="G213" t="s">
        <v>287</v>
      </c>
      <c r="I213">
        <v>4</v>
      </c>
      <c r="J213" t="s">
        <v>43</v>
      </c>
      <c r="K213">
        <v>4</v>
      </c>
      <c r="L213" t="s">
        <v>44</v>
      </c>
      <c r="M213">
        <v>1.5</v>
      </c>
      <c r="N213" t="s">
        <v>45</v>
      </c>
      <c r="O213" t="s">
        <v>46</v>
      </c>
      <c r="P213">
        <v>5</v>
      </c>
      <c r="Q213" t="s">
        <v>47</v>
      </c>
      <c r="R213" t="s">
        <v>48</v>
      </c>
      <c r="S213" t="s">
        <v>102</v>
      </c>
      <c r="U213" t="s">
        <v>50</v>
      </c>
      <c r="V213" t="s">
        <v>95</v>
      </c>
      <c r="W213" t="s">
        <v>561</v>
      </c>
      <c r="X213" t="s">
        <v>52</v>
      </c>
      <c r="Y213" t="s">
        <v>106</v>
      </c>
      <c r="AA213">
        <v>0</v>
      </c>
      <c r="AB213" t="s">
        <v>54</v>
      </c>
      <c r="AC213" t="s">
        <v>55</v>
      </c>
      <c r="AD213">
        <v>34</v>
      </c>
      <c r="AE213">
        <v>8</v>
      </c>
      <c r="AF213">
        <v>3</v>
      </c>
      <c r="AG213">
        <v>2025</v>
      </c>
      <c r="AH213" s="13">
        <v>20000</v>
      </c>
      <c r="AI213" s="13">
        <v>27095.42578125</v>
      </c>
      <c r="AJ213" s="13">
        <f t="shared" si="24"/>
        <v>7095.42578125</v>
      </c>
      <c r="AK213" s="14">
        <f t="shared" si="25"/>
        <v>0.35477128906249999</v>
      </c>
      <c r="AL213" s="9">
        <v>20000</v>
      </c>
      <c r="AM213" s="9">
        <v>24735.05416836491</v>
      </c>
      <c r="AN213" s="9">
        <f t="shared" si="26"/>
        <v>4735.0541683649099</v>
      </c>
      <c r="AO213" s="10">
        <f t="shared" si="27"/>
        <v>0.2367527084182455</v>
      </c>
      <c r="AP213" s="16">
        <v>20000</v>
      </c>
      <c r="AQ213" s="16">
        <v>23513.54737258848</v>
      </c>
      <c r="AR213" s="16">
        <f t="shared" si="28"/>
        <v>3513.5473725884804</v>
      </c>
      <c r="AS213" s="17">
        <f t="shared" si="29"/>
        <v>0.17567736862942401</v>
      </c>
      <c r="AT213" s="6">
        <v>20000</v>
      </c>
      <c r="AU213" s="6">
        <v>23946.955078125</v>
      </c>
      <c r="AV213" s="6">
        <f t="shared" si="30"/>
        <v>3946.955078125</v>
      </c>
      <c r="AW213" s="7">
        <f t="shared" si="31"/>
        <v>0.19734775390625001</v>
      </c>
    </row>
    <row r="214" spans="1:49" x14ac:dyDescent="0.25">
      <c r="A214" t="s">
        <v>38</v>
      </c>
      <c r="B214" t="s">
        <v>132</v>
      </c>
      <c r="C214">
        <v>109598</v>
      </c>
      <c r="D214">
        <v>2011</v>
      </c>
      <c r="E214" t="s">
        <v>173</v>
      </c>
      <c r="F214" t="s">
        <v>461</v>
      </c>
      <c r="G214" t="s">
        <v>462</v>
      </c>
      <c r="H214" t="s">
        <v>463</v>
      </c>
      <c r="I214">
        <v>6</v>
      </c>
      <c r="J214" t="s">
        <v>82</v>
      </c>
      <c r="K214">
        <v>4</v>
      </c>
      <c r="L214" t="s">
        <v>44</v>
      </c>
      <c r="M214">
        <v>3.6</v>
      </c>
      <c r="N214" t="s">
        <v>62</v>
      </c>
      <c r="O214" t="s">
        <v>46</v>
      </c>
      <c r="P214">
        <v>4</v>
      </c>
      <c r="Q214" t="s">
        <v>47</v>
      </c>
      <c r="R214" t="s">
        <v>48</v>
      </c>
      <c r="S214" t="s">
        <v>63</v>
      </c>
      <c r="U214" t="s">
        <v>50</v>
      </c>
      <c r="W214" t="s">
        <v>562</v>
      </c>
      <c r="X214" t="s">
        <v>66</v>
      </c>
      <c r="Y214" t="s">
        <v>67</v>
      </c>
      <c r="AA214">
        <v>0</v>
      </c>
      <c r="AB214" t="s">
        <v>54</v>
      </c>
      <c r="AC214" t="s">
        <v>55</v>
      </c>
      <c r="AD214">
        <v>34</v>
      </c>
      <c r="AE214">
        <v>8</v>
      </c>
      <c r="AF214">
        <v>3</v>
      </c>
      <c r="AG214">
        <v>2025</v>
      </c>
      <c r="AH214" s="13">
        <v>6800</v>
      </c>
      <c r="AI214" s="13">
        <v>5615.740234375</v>
      </c>
      <c r="AJ214" s="13">
        <f t="shared" si="24"/>
        <v>1184.259765625</v>
      </c>
      <c r="AK214" s="14">
        <f t="shared" si="25"/>
        <v>0.17415584788602942</v>
      </c>
      <c r="AL214" s="9">
        <v>6800</v>
      </c>
      <c r="AM214" s="9">
        <v>5031.2079275615824</v>
      </c>
      <c r="AN214" s="9">
        <f t="shared" si="26"/>
        <v>1768.7920724384176</v>
      </c>
      <c r="AO214" s="10">
        <f t="shared" si="27"/>
        <v>0.26011648124094378</v>
      </c>
      <c r="AP214" s="16">
        <v>6800</v>
      </c>
      <c r="AQ214" s="16">
        <v>5214.588923609258</v>
      </c>
      <c r="AR214" s="16">
        <f t="shared" si="28"/>
        <v>1585.411076390742</v>
      </c>
      <c r="AS214" s="17">
        <f t="shared" si="29"/>
        <v>0.23314868770452088</v>
      </c>
      <c r="AT214" s="6">
        <v>6800</v>
      </c>
      <c r="AU214" s="6">
        <v>5175.26904296875</v>
      </c>
      <c r="AV214" s="6">
        <f t="shared" si="30"/>
        <v>1624.73095703125</v>
      </c>
      <c r="AW214" s="7">
        <f t="shared" si="31"/>
        <v>0.23893102309283087</v>
      </c>
    </row>
    <row r="215" spans="1:49" x14ac:dyDescent="0.25">
      <c r="A215" t="s">
        <v>107</v>
      </c>
      <c r="B215" t="s">
        <v>256</v>
      </c>
      <c r="C215">
        <v>119041</v>
      </c>
      <c r="D215">
        <v>2013</v>
      </c>
      <c r="E215" t="s">
        <v>184</v>
      </c>
      <c r="F215" t="s">
        <v>185</v>
      </c>
      <c r="G215" t="s">
        <v>532</v>
      </c>
      <c r="I215">
        <v>4</v>
      </c>
      <c r="J215" t="s">
        <v>94</v>
      </c>
      <c r="K215">
        <v>4</v>
      </c>
      <c r="L215" t="s">
        <v>44</v>
      </c>
      <c r="M215">
        <v>2</v>
      </c>
      <c r="N215" t="s">
        <v>44</v>
      </c>
      <c r="O215" t="s">
        <v>46</v>
      </c>
      <c r="Q215" t="s">
        <v>47</v>
      </c>
      <c r="R215" t="s">
        <v>48</v>
      </c>
      <c r="S215" t="s">
        <v>63</v>
      </c>
      <c r="W215" t="s">
        <v>187</v>
      </c>
      <c r="X215" t="s">
        <v>52</v>
      </c>
      <c r="Y215" t="s">
        <v>97</v>
      </c>
      <c r="AA215">
        <v>0</v>
      </c>
      <c r="AB215" t="s">
        <v>54</v>
      </c>
      <c r="AC215" t="s">
        <v>55</v>
      </c>
      <c r="AD215">
        <v>34</v>
      </c>
      <c r="AE215">
        <v>8</v>
      </c>
      <c r="AF215">
        <v>3</v>
      </c>
      <c r="AG215">
        <v>2025</v>
      </c>
      <c r="AH215" s="13">
        <v>1000</v>
      </c>
      <c r="AI215" s="13">
        <v>4671.39306640625</v>
      </c>
      <c r="AJ215" s="13">
        <f t="shared" si="24"/>
        <v>3671.39306640625</v>
      </c>
      <c r="AK215" s="14">
        <f t="shared" si="25"/>
        <v>3.67139306640625</v>
      </c>
      <c r="AL215" s="9">
        <v>1000</v>
      </c>
      <c r="AM215" s="9">
        <v>4385.7122636560716</v>
      </c>
      <c r="AN215" s="9">
        <f t="shared" si="26"/>
        <v>3385.7122636560716</v>
      </c>
      <c r="AO215" s="10">
        <f t="shared" si="27"/>
        <v>3.3857122636560715</v>
      </c>
      <c r="AP215" s="16">
        <v>1000</v>
      </c>
      <c r="AQ215" s="16">
        <v>4099.1767418963191</v>
      </c>
      <c r="AR215" s="16">
        <f t="shared" si="28"/>
        <v>3099.1767418963191</v>
      </c>
      <c r="AS215" s="17">
        <f t="shared" si="29"/>
        <v>3.099176741896319</v>
      </c>
      <c r="AT215" s="6">
        <v>1000</v>
      </c>
      <c r="AU215" s="6">
        <v>3811.9287109375</v>
      </c>
      <c r="AV215" s="6">
        <f t="shared" si="30"/>
        <v>2811.9287109375</v>
      </c>
      <c r="AW215" s="7">
        <f t="shared" si="31"/>
        <v>2.8119287109375</v>
      </c>
    </row>
    <row r="216" spans="1:49" x14ac:dyDescent="0.25">
      <c r="A216" t="s">
        <v>56</v>
      </c>
      <c r="B216" t="s">
        <v>178</v>
      </c>
      <c r="C216">
        <v>142699</v>
      </c>
      <c r="D216">
        <v>2007</v>
      </c>
      <c r="E216" t="s">
        <v>145</v>
      </c>
      <c r="F216" t="s">
        <v>363</v>
      </c>
      <c r="G216" t="s">
        <v>563</v>
      </c>
      <c r="I216">
        <v>6</v>
      </c>
      <c r="J216" t="s">
        <v>94</v>
      </c>
      <c r="K216">
        <v>4</v>
      </c>
      <c r="L216" t="s">
        <v>44</v>
      </c>
      <c r="M216">
        <v>3.5</v>
      </c>
      <c r="N216" t="s">
        <v>45</v>
      </c>
      <c r="O216" t="s">
        <v>46</v>
      </c>
      <c r="P216">
        <v>3</v>
      </c>
      <c r="Q216" t="s">
        <v>47</v>
      </c>
      <c r="R216" t="s">
        <v>365</v>
      </c>
      <c r="T216">
        <v>244</v>
      </c>
      <c r="U216" t="s">
        <v>50</v>
      </c>
      <c r="V216" t="s">
        <v>64</v>
      </c>
      <c r="W216" t="s">
        <v>564</v>
      </c>
      <c r="X216" t="s">
        <v>141</v>
      </c>
      <c r="Y216" t="s">
        <v>67</v>
      </c>
      <c r="AA216">
        <v>0</v>
      </c>
      <c r="AB216" t="s">
        <v>54</v>
      </c>
      <c r="AC216" t="s">
        <v>365</v>
      </c>
      <c r="AD216">
        <v>34</v>
      </c>
      <c r="AE216">
        <v>8</v>
      </c>
      <c r="AF216">
        <v>3</v>
      </c>
      <c r="AG216">
        <v>2025</v>
      </c>
      <c r="AH216" s="13">
        <v>2400</v>
      </c>
      <c r="AI216" s="13">
        <v>1923.0234375</v>
      </c>
      <c r="AJ216" s="13">
        <f t="shared" si="24"/>
        <v>476.9765625</v>
      </c>
      <c r="AK216" s="14">
        <f t="shared" si="25"/>
        <v>0.19874023437499999</v>
      </c>
      <c r="AL216" s="9">
        <v>2400</v>
      </c>
      <c r="AM216" s="9">
        <v>1825.5708929287771</v>
      </c>
      <c r="AN216" s="9">
        <f t="shared" si="26"/>
        <v>574.42910707122292</v>
      </c>
      <c r="AO216" s="10">
        <f t="shared" si="27"/>
        <v>0.23934546127967621</v>
      </c>
      <c r="AP216" s="16">
        <v>2400</v>
      </c>
      <c r="AQ216" s="16">
        <v>1632.9116182997491</v>
      </c>
      <c r="AR216" s="16">
        <f t="shared" si="28"/>
        <v>767.08838170025092</v>
      </c>
      <c r="AS216" s="17">
        <f t="shared" si="29"/>
        <v>0.31962015904177121</v>
      </c>
      <c r="AT216" s="6">
        <v>2400</v>
      </c>
      <c r="AU216" s="6">
        <v>1756.659423828125</v>
      </c>
      <c r="AV216" s="6">
        <f t="shared" si="30"/>
        <v>643.340576171875</v>
      </c>
      <c r="AW216" s="7">
        <f t="shared" si="31"/>
        <v>0.26805857340494793</v>
      </c>
    </row>
    <row r="217" spans="1:49" x14ac:dyDescent="0.25">
      <c r="A217" t="s">
        <v>56</v>
      </c>
      <c r="B217" t="s">
        <v>144</v>
      </c>
      <c r="C217">
        <v>184924</v>
      </c>
      <c r="D217">
        <v>2004</v>
      </c>
      <c r="E217" t="s">
        <v>40</v>
      </c>
      <c r="F217" t="s">
        <v>360</v>
      </c>
      <c r="I217">
        <v>6</v>
      </c>
      <c r="J217" t="s">
        <v>61</v>
      </c>
      <c r="K217">
        <v>4</v>
      </c>
      <c r="L217" t="s">
        <v>44</v>
      </c>
      <c r="M217">
        <v>3.5</v>
      </c>
      <c r="N217" t="s">
        <v>62</v>
      </c>
      <c r="O217" t="s">
        <v>46</v>
      </c>
      <c r="Q217" t="s">
        <v>47</v>
      </c>
      <c r="R217" t="s">
        <v>48</v>
      </c>
      <c r="S217" t="s">
        <v>63</v>
      </c>
      <c r="U217" t="s">
        <v>50</v>
      </c>
      <c r="W217" t="s">
        <v>565</v>
      </c>
      <c r="X217" t="s">
        <v>141</v>
      </c>
      <c r="Y217" t="s">
        <v>53</v>
      </c>
      <c r="AA217">
        <v>0</v>
      </c>
      <c r="AB217" t="s">
        <v>54</v>
      </c>
      <c r="AC217" t="s">
        <v>55</v>
      </c>
      <c r="AD217">
        <v>34</v>
      </c>
      <c r="AE217">
        <v>8</v>
      </c>
      <c r="AF217">
        <v>3</v>
      </c>
      <c r="AG217">
        <v>2025</v>
      </c>
      <c r="AH217" s="13">
        <v>450</v>
      </c>
      <c r="AI217" s="13">
        <v>720.97857666015625</v>
      </c>
      <c r="AJ217" s="13">
        <f t="shared" si="24"/>
        <v>270.97857666015625</v>
      </c>
      <c r="AK217" s="14">
        <f t="shared" si="25"/>
        <v>0.60217461480034717</v>
      </c>
      <c r="AL217" s="9">
        <v>450</v>
      </c>
      <c r="AM217" s="9">
        <v>727.3554289917447</v>
      </c>
      <c r="AN217" s="9">
        <f t="shared" si="26"/>
        <v>277.3554289917447</v>
      </c>
      <c r="AO217" s="10">
        <f t="shared" si="27"/>
        <v>0.61634539775943264</v>
      </c>
      <c r="AP217" s="16">
        <v>450</v>
      </c>
      <c r="AQ217" s="16">
        <v>634.69784050255589</v>
      </c>
      <c r="AR217" s="16">
        <f t="shared" si="28"/>
        <v>184.69784050255589</v>
      </c>
      <c r="AS217" s="17">
        <f t="shared" si="29"/>
        <v>0.4104396455612353</v>
      </c>
      <c r="AT217" s="6">
        <v>450</v>
      </c>
      <c r="AU217" s="6">
        <v>719.8265380859375</v>
      </c>
      <c r="AV217" s="6">
        <f t="shared" si="30"/>
        <v>269.8265380859375</v>
      </c>
      <c r="AW217" s="7">
        <f t="shared" si="31"/>
        <v>0.59961452907986112</v>
      </c>
    </row>
    <row r="218" spans="1:49" x14ac:dyDescent="0.25">
      <c r="A218" t="s">
        <v>56</v>
      </c>
      <c r="B218" t="s">
        <v>178</v>
      </c>
      <c r="C218">
        <v>140512</v>
      </c>
      <c r="D218">
        <v>2001</v>
      </c>
      <c r="E218" t="s">
        <v>173</v>
      </c>
      <c r="F218" t="s">
        <v>370</v>
      </c>
      <c r="G218" t="s">
        <v>236</v>
      </c>
      <c r="H218" t="s">
        <v>566</v>
      </c>
      <c r="I218">
        <v>6</v>
      </c>
      <c r="J218" t="s">
        <v>277</v>
      </c>
      <c r="K218">
        <v>2</v>
      </c>
      <c r="L218" t="s">
        <v>44</v>
      </c>
      <c r="M218">
        <v>4</v>
      </c>
      <c r="N218" t="s">
        <v>62</v>
      </c>
      <c r="O218" t="s">
        <v>46</v>
      </c>
      <c r="P218">
        <v>4</v>
      </c>
      <c r="Q218" t="s">
        <v>47</v>
      </c>
      <c r="R218" t="s">
        <v>48</v>
      </c>
      <c r="S218" t="s">
        <v>63</v>
      </c>
      <c r="U218" t="s">
        <v>50</v>
      </c>
      <c r="V218" t="s">
        <v>64</v>
      </c>
      <c r="X218" t="s">
        <v>52</v>
      </c>
      <c r="Y218" t="s">
        <v>67</v>
      </c>
      <c r="AA218">
        <v>0</v>
      </c>
      <c r="AB218" t="s">
        <v>54</v>
      </c>
      <c r="AC218" t="s">
        <v>55</v>
      </c>
      <c r="AD218">
        <v>34</v>
      </c>
      <c r="AE218">
        <v>8</v>
      </c>
      <c r="AF218">
        <v>3</v>
      </c>
      <c r="AG218">
        <v>2025</v>
      </c>
      <c r="AH218" s="13">
        <v>4500</v>
      </c>
      <c r="AI218" s="13">
        <v>3436.749755859375</v>
      </c>
      <c r="AJ218" s="13">
        <f t="shared" si="24"/>
        <v>1063.250244140625</v>
      </c>
      <c r="AK218" s="14">
        <f t="shared" si="25"/>
        <v>0.23627783203125</v>
      </c>
      <c r="AL218" s="9">
        <v>4500</v>
      </c>
      <c r="AM218" s="9">
        <v>4670.9951277051623</v>
      </c>
      <c r="AN218" s="9">
        <f t="shared" si="26"/>
        <v>170.9951277051623</v>
      </c>
      <c r="AO218" s="10">
        <f t="shared" si="27"/>
        <v>3.7998917267813848E-2</v>
      </c>
      <c r="AP218" s="16">
        <v>4500</v>
      </c>
      <c r="AQ218" s="16">
        <v>4208.6100582603622</v>
      </c>
      <c r="AR218" s="16">
        <f t="shared" si="28"/>
        <v>291.38994173963783</v>
      </c>
      <c r="AS218" s="17">
        <f t="shared" si="29"/>
        <v>6.4753320386586183E-2</v>
      </c>
      <c r="AT218" s="6">
        <v>4500</v>
      </c>
      <c r="AU218" s="6">
        <v>3223.3740234375</v>
      </c>
      <c r="AV218" s="6">
        <f t="shared" si="30"/>
        <v>1276.6259765625</v>
      </c>
      <c r="AW218" s="7">
        <f t="shared" si="31"/>
        <v>0.28369466145833333</v>
      </c>
    </row>
    <row r="219" spans="1:49" x14ac:dyDescent="0.25">
      <c r="A219" t="s">
        <v>38</v>
      </c>
      <c r="B219" t="s">
        <v>204</v>
      </c>
      <c r="C219">
        <v>124544</v>
      </c>
      <c r="D219">
        <v>2001</v>
      </c>
      <c r="E219" t="s">
        <v>113</v>
      </c>
      <c r="F219" t="s">
        <v>567</v>
      </c>
      <c r="G219" t="s">
        <v>298</v>
      </c>
      <c r="I219">
        <v>8</v>
      </c>
      <c r="M219">
        <v>5.9</v>
      </c>
      <c r="N219" t="s">
        <v>116</v>
      </c>
      <c r="O219" t="s">
        <v>46</v>
      </c>
      <c r="P219">
        <v>1</v>
      </c>
      <c r="Q219" t="s">
        <v>568</v>
      </c>
      <c r="R219" t="s">
        <v>424</v>
      </c>
      <c r="U219" t="s">
        <v>50</v>
      </c>
      <c r="V219" t="s">
        <v>64</v>
      </c>
      <c r="X219" t="s">
        <v>569</v>
      </c>
      <c r="Y219" t="s">
        <v>67</v>
      </c>
      <c r="AA219">
        <v>0</v>
      </c>
      <c r="AB219" t="s">
        <v>54</v>
      </c>
      <c r="AC219" t="s">
        <v>424</v>
      </c>
      <c r="AD219">
        <v>34</v>
      </c>
      <c r="AE219">
        <v>8</v>
      </c>
      <c r="AF219">
        <v>3</v>
      </c>
      <c r="AG219">
        <v>2025</v>
      </c>
      <c r="AH219" s="13">
        <v>700</v>
      </c>
      <c r="AI219" s="13">
        <v>1048.391723632812</v>
      </c>
      <c r="AJ219" s="13">
        <f t="shared" si="24"/>
        <v>348.39172363281205</v>
      </c>
      <c r="AK219" s="14">
        <f t="shared" si="25"/>
        <v>0.49770246233258864</v>
      </c>
      <c r="AL219" s="9">
        <v>700</v>
      </c>
      <c r="AM219" s="9">
        <v>783.30143897410721</v>
      </c>
      <c r="AN219" s="9">
        <f t="shared" si="26"/>
        <v>83.301438974107214</v>
      </c>
      <c r="AO219" s="10">
        <f t="shared" si="27"/>
        <v>0.11900205567729602</v>
      </c>
      <c r="AP219" s="16">
        <v>700</v>
      </c>
      <c r="AQ219" s="16">
        <v>1009.106979943327</v>
      </c>
      <c r="AR219" s="16">
        <f t="shared" si="28"/>
        <v>309.10697994332702</v>
      </c>
      <c r="AS219" s="17">
        <f t="shared" si="29"/>
        <v>0.44158139991903861</v>
      </c>
      <c r="AT219" s="6">
        <v>700</v>
      </c>
      <c r="AU219" s="6">
        <v>939.97821044921875</v>
      </c>
      <c r="AV219" s="6">
        <f t="shared" si="30"/>
        <v>239.97821044921875</v>
      </c>
      <c r="AW219" s="7">
        <f t="shared" si="31"/>
        <v>0.34282601492745535</v>
      </c>
    </row>
    <row r="220" spans="1:49" x14ac:dyDescent="0.25">
      <c r="A220" t="s">
        <v>38</v>
      </c>
      <c r="B220" t="s">
        <v>167</v>
      </c>
      <c r="C220">
        <v>19285</v>
      </c>
      <c r="D220">
        <v>2024</v>
      </c>
      <c r="E220" t="s">
        <v>79</v>
      </c>
      <c r="F220" t="s">
        <v>570</v>
      </c>
      <c r="H220" t="s">
        <v>571</v>
      </c>
      <c r="I220">
        <v>6</v>
      </c>
      <c r="J220" t="s">
        <v>43</v>
      </c>
      <c r="K220">
        <v>3</v>
      </c>
      <c r="L220" t="s">
        <v>44</v>
      </c>
      <c r="M220">
        <v>4.3</v>
      </c>
      <c r="N220" t="s">
        <v>116</v>
      </c>
      <c r="O220" t="s">
        <v>46</v>
      </c>
      <c r="P220">
        <v>5</v>
      </c>
      <c r="Q220" t="s">
        <v>75</v>
      </c>
      <c r="R220" t="s">
        <v>422</v>
      </c>
      <c r="U220" t="s">
        <v>50</v>
      </c>
      <c r="V220" t="s">
        <v>64</v>
      </c>
      <c r="W220" t="s">
        <v>572</v>
      </c>
      <c r="X220" t="s">
        <v>423</v>
      </c>
      <c r="Y220" t="s">
        <v>67</v>
      </c>
      <c r="AA220">
        <v>0</v>
      </c>
      <c r="AB220" t="s">
        <v>54</v>
      </c>
      <c r="AC220" t="s">
        <v>424</v>
      </c>
      <c r="AD220">
        <v>34</v>
      </c>
      <c r="AE220">
        <v>8</v>
      </c>
      <c r="AF220">
        <v>3</v>
      </c>
      <c r="AG220">
        <v>2025</v>
      </c>
      <c r="AH220" s="13">
        <v>30000</v>
      </c>
      <c r="AI220" s="13">
        <v>22582.736328125</v>
      </c>
      <c r="AJ220" s="13">
        <f t="shared" si="24"/>
        <v>7417.263671875</v>
      </c>
      <c r="AK220" s="14">
        <f t="shared" si="25"/>
        <v>0.24724212239583335</v>
      </c>
      <c r="AL220" s="9">
        <v>30000</v>
      </c>
      <c r="AM220" s="9">
        <v>30948.203338527441</v>
      </c>
      <c r="AN220" s="9">
        <f t="shared" si="26"/>
        <v>948.20333852744079</v>
      </c>
      <c r="AO220" s="10">
        <f t="shared" si="27"/>
        <v>3.160677795091469E-2</v>
      </c>
      <c r="AP220" s="16">
        <v>30000</v>
      </c>
      <c r="AQ220" s="16">
        <v>31496.143603119472</v>
      </c>
      <c r="AR220" s="16">
        <f t="shared" si="28"/>
        <v>1496.1436031194717</v>
      </c>
      <c r="AS220" s="17">
        <f t="shared" si="29"/>
        <v>4.9871453437315721E-2</v>
      </c>
      <c r="AT220" s="6">
        <v>30000</v>
      </c>
      <c r="AU220" s="6">
        <v>30225.98046875</v>
      </c>
      <c r="AV220" s="6">
        <f t="shared" si="30"/>
        <v>225.98046875</v>
      </c>
      <c r="AW220" s="7">
        <f t="shared" si="31"/>
        <v>7.5326822916666663E-3</v>
      </c>
    </row>
    <row r="221" spans="1:49" x14ac:dyDescent="0.25">
      <c r="A221" t="s">
        <v>38</v>
      </c>
      <c r="B221" t="s">
        <v>204</v>
      </c>
      <c r="C221">
        <v>142602</v>
      </c>
      <c r="D221">
        <v>2015</v>
      </c>
      <c r="E221" t="s">
        <v>382</v>
      </c>
      <c r="F221" t="s">
        <v>383</v>
      </c>
      <c r="G221" t="s">
        <v>171</v>
      </c>
      <c r="I221">
        <v>4</v>
      </c>
      <c r="K221">
        <v>4</v>
      </c>
      <c r="M221">
        <v>2.4</v>
      </c>
      <c r="N221" t="s">
        <v>45</v>
      </c>
      <c r="O221" t="s">
        <v>83</v>
      </c>
      <c r="P221">
        <v>2</v>
      </c>
      <c r="Q221" t="s">
        <v>84</v>
      </c>
      <c r="R221" t="s">
        <v>85</v>
      </c>
      <c r="S221" t="s">
        <v>102</v>
      </c>
      <c r="U221" t="s">
        <v>50</v>
      </c>
      <c r="X221" t="s">
        <v>87</v>
      </c>
      <c r="Y221" t="s">
        <v>67</v>
      </c>
      <c r="AA221">
        <v>0</v>
      </c>
      <c r="AB221" t="s">
        <v>54</v>
      </c>
      <c r="AC221" t="s">
        <v>89</v>
      </c>
      <c r="AD221">
        <v>34</v>
      </c>
      <c r="AE221">
        <v>8</v>
      </c>
      <c r="AF221">
        <v>3</v>
      </c>
      <c r="AG221">
        <v>2025</v>
      </c>
      <c r="AH221" s="13">
        <v>900</v>
      </c>
      <c r="AI221" s="13">
        <v>1079.751708984375</v>
      </c>
      <c r="AJ221" s="13">
        <f t="shared" si="24"/>
        <v>179.751708984375</v>
      </c>
      <c r="AK221" s="14">
        <f t="shared" si="25"/>
        <v>0.19972412109375001</v>
      </c>
      <c r="AL221" s="9">
        <v>900</v>
      </c>
      <c r="AM221" s="9">
        <v>957.85100501172474</v>
      </c>
      <c r="AN221" s="9">
        <f t="shared" si="26"/>
        <v>57.851005011724737</v>
      </c>
      <c r="AO221" s="10">
        <f t="shared" si="27"/>
        <v>6.4278894457471925E-2</v>
      </c>
      <c r="AP221" s="16">
        <v>900</v>
      </c>
      <c r="AQ221" s="16">
        <v>785.18510767760688</v>
      </c>
      <c r="AR221" s="16">
        <f t="shared" si="28"/>
        <v>114.81489232239312</v>
      </c>
      <c r="AS221" s="17">
        <f t="shared" si="29"/>
        <v>0.1275721025804368</v>
      </c>
      <c r="AT221" s="6">
        <v>900</v>
      </c>
      <c r="AU221" s="6">
        <v>876.68682861328125</v>
      </c>
      <c r="AV221" s="6">
        <f t="shared" si="30"/>
        <v>23.31317138671875</v>
      </c>
      <c r="AW221" s="7">
        <f t="shared" si="31"/>
        <v>2.5903523763020832E-2</v>
      </c>
    </row>
    <row r="222" spans="1:49" x14ac:dyDescent="0.25">
      <c r="A222" t="s">
        <v>69</v>
      </c>
      <c r="B222" t="s">
        <v>70</v>
      </c>
      <c r="C222">
        <v>25265</v>
      </c>
      <c r="D222">
        <v>2024</v>
      </c>
      <c r="E222" t="s">
        <v>71</v>
      </c>
      <c r="F222" t="s">
        <v>238</v>
      </c>
      <c r="G222" t="s">
        <v>42</v>
      </c>
      <c r="I222">
        <v>4</v>
      </c>
      <c r="J222" t="s">
        <v>82</v>
      </c>
      <c r="K222">
        <v>4</v>
      </c>
      <c r="L222" t="s">
        <v>44</v>
      </c>
      <c r="M222">
        <v>2</v>
      </c>
      <c r="N222" t="s">
        <v>45</v>
      </c>
      <c r="O222" t="s">
        <v>46</v>
      </c>
      <c r="P222">
        <v>4</v>
      </c>
      <c r="Q222" t="s">
        <v>84</v>
      </c>
      <c r="R222" t="s">
        <v>85</v>
      </c>
      <c r="S222" t="s">
        <v>49</v>
      </c>
      <c r="U222" t="s">
        <v>50</v>
      </c>
      <c r="X222" t="s">
        <v>122</v>
      </c>
      <c r="Y222" t="s">
        <v>106</v>
      </c>
      <c r="AA222">
        <v>0</v>
      </c>
      <c r="AB222" t="s">
        <v>54</v>
      </c>
      <c r="AC222" t="s">
        <v>89</v>
      </c>
      <c r="AD222">
        <v>34</v>
      </c>
      <c r="AE222">
        <v>8</v>
      </c>
      <c r="AF222">
        <v>3</v>
      </c>
      <c r="AG222">
        <v>2025</v>
      </c>
      <c r="AH222" s="13">
        <v>15900</v>
      </c>
      <c r="AI222" s="13">
        <v>15124.349609375</v>
      </c>
      <c r="AJ222" s="13">
        <f t="shared" si="24"/>
        <v>775.650390625</v>
      </c>
      <c r="AK222" s="14">
        <f t="shared" si="25"/>
        <v>4.8783043435534593E-2</v>
      </c>
      <c r="AL222" s="9">
        <v>15900</v>
      </c>
      <c r="AM222" s="9">
        <v>16397.02152986954</v>
      </c>
      <c r="AN222" s="9">
        <f t="shared" si="26"/>
        <v>497.02152986954025</v>
      </c>
      <c r="AO222" s="10">
        <f t="shared" si="27"/>
        <v>3.1259215715065423E-2</v>
      </c>
      <c r="AP222" s="16">
        <v>15900</v>
      </c>
      <c r="AQ222" s="16">
        <v>14468.562184549281</v>
      </c>
      <c r="AR222" s="16">
        <f t="shared" si="28"/>
        <v>1431.4378154507194</v>
      </c>
      <c r="AS222" s="17">
        <f t="shared" si="29"/>
        <v>9.0027535562938327E-2</v>
      </c>
      <c r="AT222" s="6">
        <v>15900</v>
      </c>
      <c r="AU222" s="6">
        <v>14214.5380859375</v>
      </c>
      <c r="AV222" s="6">
        <f t="shared" si="30"/>
        <v>1685.4619140625</v>
      </c>
      <c r="AW222" s="7">
        <f t="shared" si="31"/>
        <v>0.10600389396619497</v>
      </c>
    </row>
    <row r="223" spans="1:49" x14ac:dyDescent="0.25">
      <c r="A223" t="s">
        <v>56</v>
      </c>
      <c r="B223" t="s">
        <v>57</v>
      </c>
      <c r="C223">
        <v>152928</v>
      </c>
      <c r="D223">
        <v>2020</v>
      </c>
      <c r="E223" t="s">
        <v>71</v>
      </c>
      <c r="F223" t="s">
        <v>129</v>
      </c>
      <c r="G223" t="s">
        <v>239</v>
      </c>
      <c r="I223">
        <v>4</v>
      </c>
      <c r="J223" t="s">
        <v>94</v>
      </c>
      <c r="K223">
        <v>4</v>
      </c>
      <c r="L223" t="s">
        <v>44</v>
      </c>
      <c r="M223">
        <v>2.5</v>
      </c>
      <c r="N223" t="s">
        <v>45</v>
      </c>
      <c r="O223" t="s">
        <v>46</v>
      </c>
      <c r="P223">
        <v>1</v>
      </c>
      <c r="Q223" t="s">
        <v>84</v>
      </c>
      <c r="R223" t="s">
        <v>85</v>
      </c>
      <c r="S223" t="s">
        <v>49</v>
      </c>
      <c r="U223" t="s">
        <v>50</v>
      </c>
      <c r="X223" t="s">
        <v>87</v>
      </c>
      <c r="Y223" t="s">
        <v>67</v>
      </c>
      <c r="Z223">
        <v>25700</v>
      </c>
      <c r="AA223">
        <v>0</v>
      </c>
      <c r="AB223" t="s">
        <v>54</v>
      </c>
      <c r="AC223" t="s">
        <v>89</v>
      </c>
      <c r="AD223">
        <v>34</v>
      </c>
      <c r="AE223">
        <v>8</v>
      </c>
      <c r="AF223">
        <v>3</v>
      </c>
      <c r="AG223">
        <v>2025</v>
      </c>
      <c r="AH223" s="13">
        <v>3300</v>
      </c>
      <c r="AI223" s="13">
        <v>3040.776123046875</v>
      </c>
      <c r="AJ223" s="13">
        <f t="shared" si="24"/>
        <v>259.223876953125</v>
      </c>
      <c r="AK223" s="14">
        <f t="shared" si="25"/>
        <v>7.8552689985795454E-2</v>
      </c>
      <c r="AL223" s="9">
        <v>3300</v>
      </c>
      <c r="AM223" s="9">
        <v>2644.914714041201</v>
      </c>
      <c r="AN223" s="9">
        <f t="shared" si="26"/>
        <v>655.08528595879898</v>
      </c>
      <c r="AO223" s="10">
        <f t="shared" si="27"/>
        <v>0.19851069271478758</v>
      </c>
      <c r="AP223" s="16">
        <v>3300</v>
      </c>
      <c r="AQ223" s="16">
        <v>3065.774426097229</v>
      </c>
      <c r="AR223" s="16">
        <f t="shared" si="28"/>
        <v>234.22557390277098</v>
      </c>
      <c r="AS223" s="17">
        <f t="shared" si="29"/>
        <v>7.0977446637203331E-2</v>
      </c>
      <c r="AT223" s="6">
        <v>3300</v>
      </c>
      <c r="AU223" s="6">
        <v>2849.439208984375</v>
      </c>
      <c r="AV223" s="6">
        <f t="shared" si="30"/>
        <v>450.560791015625</v>
      </c>
      <c r="AW223" s="7">
        <f t="shared" si="31"/>
        <v>0.13653357303503788</v>
      </c>
    </row>
    <row r="224" spans="1:49" x14ac:dyDescent="0.25">
      <c r="A224" t="s">
        <v>56</v>
      </c>
      <c r="B224" t="s">
        <v>303</v>
      </c>
      <c r="C224">
        <v>70625</v>
      </c>
      <c r="D224">
        <v>2017</v>
      </c>
      <c r="E224" t="s">
        <v>385</v>
      </c>
      <c r="F224" t="s">
        <v>573</v>
      </c>
      <c r="G224" t="s">
        <v>574</v>
      </c>
      <c r="I224">
        <v>4</v>
      </c>
      <c r="J224" t="s">
        <v>94</v>
      </c>
      <c r="K224">
        <v>4</v>
      </c>
      <c r="L224" t="s">
        <v>44</v>
      </c>
      <c r="M224">
        <v>2</v>
      </c>
      <c r="N224" t="s">
        <v>44</v>
      </c>
      <c r="O224" t="s">
        <v>46</v>
      </c>
      <c r="Q224" t="s">
        <v>47</v>
      </c>
      <c r="R224" t="s">
        <v>48</v>
      </c>
      <c r="S224" t="s">
        <v>139</v>
      </c>
      <c r="T224">
        <v>200</v>
      </c>
      <c r="U224" t="s">
        <v>50</v>
      </c>
      <c r="X224" t="s">
        <v>52</v>
      </c>
      <c r="Y224" t="s">
        <v>575</v>
      </c>
      <c r="Z224">
        <v>36600</v>
      </c>
      <c r="AA224">
        <v>0</v>
      </c>
      <c r="AB224" t="s">
        <v>54</v>
      </c>
      <c r="AC224" t="s">
        <v>55</v>
      </c>
      <c r="AD224">
        <v>34</v>
      </c>
      <c r="AE224">
        <v>8</v>
      </c>
      <c r="AF224">
        <v>3</v>
      </c>
      <c r="AG224">
        <v>2025</v>
      </c>
      <c r="AH224" s="13">
        <v>10250</v>
      </c>
      <c r="AI224" s="13">
        <v>13241.177734375</v>
      </c>
      <c r="AJ224" s="13">
        <f t="shared" si="24"/>
        <v>2991.177734375</v>
      </c>
      <c r="AK224" s="14">
        <f t="shared" si="25"/>
        <v>0.29182221798780489</v>
      </c>
      <c r="AL224" s="9">
        <v>10250</v>
      </c>
      <c r="AM224" s="9">
        <v>11704.51531614391</v>
      </c>
      <c r="AN224" s="9">
        <f t="shared" si="26"/>
        <v>1454.5153161439102</v>
      </c>
      <c r="AO224" s="10">
        <f t="shared" si="27"/>
        <v>0.14190393328233269</v>
      </c>
      <c r="AP224" s="16">
        <v>10250</v>
      </c>
      <c r="AQ224" s="16">
        <v>11099.10258355847</v>
      </c>
      <c r="AR224" s="16">
        <f t="shared" si="28"/>
        <v>849.10258355846963</v>
      </c>
      <c r="AS224" s="17">
        <f t="shared" si="29"/>
        <v>8.2839276444728743E-2</v>
      </c>
      <c r="AT224" s="6">
        <v>10250</v>
      </c>
      <c r="AU224" s="6">
        <v>10442.625</v>
      </c>
      <c r="AV224" s="6">
        <f t="shared" si="30"/>
        <v>192.625</v>
      </c>
      <c r="AW224" s="7">
        <f t="shared" si="31"/>
        <v>1.8792682926829268E-2</v>
      </c>
    </row>
    <row r="225" spans="1:49" x14ac:dyDescent="0.25">
      <c r="A225" t="s">
        <v>56</v>
      </c>
      <c r="B225" t="s">
        <v>178</v>
      </c>
      <c r="C225">
        <v>158954</v>
      </c>
      <c r="D225">
        <v>2015</v>
      </c>
      <c r="E225" t="s">
        <v>241</v>
      </c>
      <c r="F225" t="s">
        <v>514</v>
      </c>
      <c r="H225" t="s">
        <v>516</v>
      </c>
      <c r="I225">
        <v>4</v>
      </c>
      <c r="J225" t="s">
        <v>94</v>
      </c>
      <c r="K225">
        <v>4</v>
      </c>
      <c r="L225" t="s">
        <v>44</v>
      </c>
      <c r="M225">
        <v>2</v>
      </c>
      <c r="N225" t="s">
        <v>44</v>
      </c>
      <c r="O225" t="s">
        <v>46</v>
      </c>
      <c r="P225">
        <v>4</v>
      </c>
      <c r="Q225" t="s">
        <v>84</v>
      </c>
      <c r="R225" t="s">
        <v>85</v>
      </c>
      <c r="S225" t="s">
        <v>139</v>
      </c>
      <c r="U225" t="s">
        <v>50</v>
      </c>
      <c r="V225" t="s">
        <v>95</v>
      </c>
      <c r="X225" t="s">
        <v>87</v>
      </c>
      <c r="Y225" t="s">
        <v>67</v>
      </c>
      <c r="AA225">
        <v>0</v>
      </c>
      <c r="AB225" t="s">
        <v>54</v>
      </c>
      <c r="AC225" t="s">
        <v>89</v>
      </c>
      <c r="AD225">
        <v>34</v>
      </c>
      <c r="AE225">
        <v>8</v>
      </c>
      <c r="AF225">
        <v>3</v>
      </c>
      <c r="AG225">
        <v>2025</v>
      </c>
      <c r="AH225" s="13">
        <v>7800</v>
      </c>
      <c r="AI225" s="13">
        <v>3888.993896484375</v>
      </c>
      <c r="AJ225" s="13">
        <f t="shared" si="24"/>
        <v>3911.006103515625</v>
      </c>
      <c r="AK225" s="14">
        <f t="shared" si="25"/>
        <v>0.50141103891225958</v>
      </c>
      <c r="AL225" s="9">
        <v>7800</v>
      </c>
      <c r="AM225" s="9">
        <v>3726.647868269436</v>
      </c>
      <c r="AN225" s="9">
        <f t="shared" si="26"/>
        <v>4073.352131730564</v>
      </c>
      <c r="AO225" s="10">
        <f t="shared" si="27"/>
        <v>0.52222463227314919</v>
      </c>
      <c r="AP225" s="16">
        <v>7800</v>
      </c>
      <c r="AQ225" s="16">
        <v>3911.5990490604431</v>
      </c>
      <c r="AR225" s="16">
        <f t="shared" si="28"/>
        <v>3888.4009509395569</v>
      </c>
      <c r="AS225" s="17">
        <f t="shared" si="29"/>
        <v>0.49851294242814831</v>
      </c>
      <c r="AT225" s="6">
        <v>7800</v>
      </c>
      <c r="AU225" s="6">
        <v>5151.70703125</v>
      </c>
      <c r="AV225" s="6">
        <f t="shared" si="30"/>
        <v>2648.29296875</v>
      </c>
      <c r="AW225" s="7">
        <f t="shared" si="31"/>
        <v>0.33952473958333335</v>
      </c>
    </row>
    <row r="226" spans="1:49" x14ac:dyDescent="0.25">
      <c r="A226" t="s">
        <v>56</v>
      </c>
      <c r="B226" t="s">
        <v>57</v>
      </c>
      <c r="C226">
        <v>142504</v>
      </c>
      <c r="D226">
        <v>2017</v>
      </c>
      <c r="E226" t="s">
        <v>145</v>
      </c>
      <c r="F226" t="s">
        <v>485</v>
      </c>
      <c r="G226" t="s">
        <v>576</v>
      </c>
      <c r="I226">
        <v>6</v>
      </c>
      <c r="J226" t="s">
        <v>43</v>
      </c>
      <c r="K226">
        <v>4</v>
      </c>
      <c r="L226" t="s">
        <v>44</v>
      </c>
      <c r="M226">
        <v>3.5</v>
      </c>
      <c r="N226" t="s">
        <v>44</v>
      </c>
      <c r="O226" t="s">
        <v>46</v>
      </c>
      <c r="Q226" t="s">
        <v>47</v>
      </c>
      <c r="R226" t="s">
        <v>48</v>
      </c>
      <c r="S226" t="s">
        <v>63</v>
      </c>
      <c r="T226">
        <v>280</v>
      </c>
      <c r="U226" t="s">
        <v>50</v>
      </c>
      <c r="V226" t="s">
        <v>64</v>
      </c>
      <c r="W226" t="s">
        <v>577</v>
      </c>
      <c r="X226" t="s">
        <v>141</v>
      </c>
      <c r="Y226" t="s">
        <v>67</v>
      </c>
      <c r="Z226">
        <v>47070</v>
      </c>
      <c r="AA226">
        <v>0</v>
      </c>
      <c r="AB226" t="s">
        <v>54</v>
      </c>
      <c r="AC226" t="s">
        <v>68</v>
      </c>
      <c r="AD226">
        <v>34</v>
      </c>
      <c r="AE226">
        <v>8</v>
      </c>
      <c r="AF226">
        <v>3</v>
      </c>
      <c r="AG226">
        <v>2025</v>
      </c>
      <c r="AH226" s="13">
        <v>12900</v>
      </c>
      <c r="AI226" s="13">
        <v>11628.7021484375</v>
      </c>
      <c r="AJ226" s="13">
        <f t="shared" si="24"/>
        <v>1271.2978515625</v>
      </c>
      <c r="AK226" s="14">
        <f t="shared" si="25"/>
        <v>9.8550221051356593E-2</v>
      </c>
      <c r="AL226" s="9">
        <v>12900</v>
      </c>
      <c r="AM226" s="9">
        <v>11354.1039624968</v>
      </c>
      <c r="AN226" s="9">
        <f t="shared" si="26"/>
        <v>1545.8960375032002</v>
      </c>
      <c r="AO226" s="10">
        <f t="shared" si="27"/>
        <v>0.11983690213203102</v>
      </c>
      <c r="AP226" s="16">
        <v>12900</v>
      </c>
      <c r="AQ226" s="16">
        <v>11626.373329738841</v>
      </c>
      <c r="AR226" s="16">
        <f t="shared" si="28"/>
        <v>1273.6266702611592</v>
      </c>
      <c r="AS226" s="17">
        <f t="shared" si="29"/>
        <v>9.8730749632647996E-2</v>
      </c>
      <c r="AT226" s="6">
        <v>12900</v>
      </c>
      <c r="AU226" s="6">
        <v>10894.5654296875</v>
      </c>
      <c r="AV226" s="6">
        <f t="shared" si="30"/>
        <v>2005.4345703125</v>
      </c>
      <c r="AW226" s="7">
        <f t="shared" si="31"/>
        <v>0.15546004421027132</v>
      </c>
    </row>
    <row r="227" spans="1:49" x14ac:dyDescent="0.25">
      <c r="A227" t="s">
        <v>56</v>
      </c>
      <c r="B227" t="s">
        <v>178</v>
      </c>
      <c r="C227">
        <v>53201</v>
      </c>
      <c r="D227">
        <v>2018</v>
      </c>
      <c r="E227" t="s">
        <v>58</v>
      </c>
      <c r="F227" t="s">
        <v>420</v>
      </c>
      <c r="H227" t="s">
        <v>421</v>
      </c>
      <c r="I227">
        <v>6</v>
      </c>
      <c r="J227" t="s">
        <v>43</v>
      </c>
      <c r="K227">
        <v>3</v>
      </c>
      <c r="L227" t="s">
        <v>44</v>
      </c>
      <c r="M227">
        <v>3.7</v>
      </c>
      <c r="N227" t="s">
        <v>116</v>
      </c>
      <c r="O227" t="s">
        <v>46</v>
      </c>
      <c r="P227">
        <v>4</v>
      </c>
      <c r="Q227" t="s">
        <v>75</v>
      </c>
      <c r="R227" t="s">
        <v>422</v>
      </c>
      <c r="T227">
        <v>275</v>
      </c>
      <c r="U227" t="s">
        <v>50</v>
      </c>
      <c r="V227" t="s">
        <v>64</v>
      </c>
      <c r="X227" t="s">
        <v>423</v>
      </c>
      <c r="Y227" t="s">
        <v>67</v>
      </c>
      <c r="AA227">
        <v>0</v>
      </c>
      <c r="AB227" t="s">
        <v>54</v>
      </c>
      <c r="AC227" t="s">
        <v>424</v>
      </c>
      <c r="AD227">
        <v>34</v>
      </c>
      <c r="AE227">
        <v>8</v>
      </c>
      <c r="AF227">
        <v>3</v>
      </c>
      <c r="AG227">
        <v>2025</v>
      </c>
      <c r="AH227" s="13">
        <v>19000</v>
      </c>
      <c r="AI227" s="13">
        <v>19893.775390625</v>
      </c>
      <c r="AJ227" s="13">
        <f t="shared" si="24"/>
        <v>893.775390625</v>
      </c>
      <c r="AK227" s="14">
        <f t="shared" si="25"/>
        <v>4.7040810032894738E-2</v>
      </c>
      <c r="AL227" s="9">
        <v>19000</v>
      </c>
      <c r="AM227" s="9">
        <v>22431.655314584001</v>
      </c>
      <c r="AN227" s="9">
        <f t="shared" si="26"/>
        <v>3431.6553145840007</v>
      </c>
      <c r="AO227" s="10">
        <f t="shared" si="27"/>
        <v>0.18061343760968424</v>
      </c>
      <c r="AP227" s="16">
        <v>19000</v>
      </c>
      <c r="AQ227" s="16">
        <v>20167.36784155721</v>
      </c>
      <c r="AR227" s="16">
        <f t="shared" si="28"/>
        <v>1167.3678415572103</v>
      </c>
      <c r="AS227" s="17">
        <f t="shared" si="29"/>
        <v>6.1440412713537389E-2</v>
      </c>
      <c r="AT227" s="6">
        <v>19000</v>
      </c>
      <c r="AU227" s="6">
        <v>20276.6484375</v>
      </c>
      <c r="AV227" s="6">
        <f t="shared" si="30"/>
        <v>1276.6484375</v>
      </c>
      <c r="AW227" s="7">
        <f t="shared" si="31"/>
        <v>6.7192023026315786E-2</v>
      </c>
    </row>
    <row r="228" spans="1:49" x14ac:dyDescent="0.25">
      <c r="A228" t="s">
        <v>56</v>
      </c>
      <c r="B228" t="s">
        <v>57</v>
      </c>
      <c r="C228">
        <v>107222</v>
      </c>
      <c r="D228">
        <v>2022</v>
      </c>
      <c r="E228" t="s">
        <v>58</v>
      </c>
      <c r="F228" t="s">
        <v>168</v>
      </c>
      <c r="G228" t="s">
        <v>347</v>
      </c>
      <c r="I228">
        <v>8</v>
      </c>
      <c r="J228" t="s">
        <v>43</v>
      </c>
      <c r="K228">
        <v>4</v>
      </c>
      <c r="L228" t="s">
        <v>44</v>
      </c>
      <c r="M228">
        <v>5</v>
      </c>
      <c r="N228" t="s">
        <v>62</v>
      </c>
      <c r="O228" t="s">
        <v>46</v>
      </c>
      <c r="P228">
        <v>4</v>
      </c>
      <c r="Q228" t="s">
        <v>75</v>
      </c>
      <c r="R228" t="s">
        <v>76</v>
      </c>
      <c r="S228" t="s">
        <v>63</v>
      </c>
      <c r="T228">
        <v>400</v>
      </c>
      <c r="U228" t="s">
        <v>50</v>
      </c>
      <c r="V228" t="s">
        <v>64</v>
      </c>
      <c r="W228" t="s">
        <v>348</v>
      </c>
      <c r="X228" t="s">
        <v>77</v>
      </c>
      <c r="Y228" t="s">
        <v>67</v>
      </c>
      <c r="AA228">
        <v>0</v>
      </c>
      <c r="AB228" t="s">
        <v>54</v>
      </c>
      <c r="AC228" t="s">
        <v>78</v>
      </c>
      <c r="AD228">
        <v>34</v>
      </c>
      <c r="AE228">
        <v>8</v>
      </c>
      <c r="AF228">
        <v>3</v>
      </c>
      <c r="AG228">
        <v>2025</v>
      </c>
      <c r="AH228" s="13">
        <v>28000</v>
      </c>
      <c r="AI228" s="13">
        <v>24907.15625</v>
      </c>
      <c r="AJ228" s="13">
        <f t="shared" si="24"/>
        <v>3092.84375</v>
      </c>
      <c r="AK228" s="14">
        <f t="shared" si="25"/>
        <v>0.11045870535714286</v>
      </c>
      <c r="AL228" s="9">
        <v>28000</v>
      </c>
      <c r="AM228" s="9">
        <v>26979.74145941313</v>
      </c>
      <c r="AN228" s="9">
        <f t="shared" si="26"/>
        <v>1020.2585405868704</v>
      </c>
      <c r="AO228" s="10">
        <f t="shared" si="27"/>
        <v>3.6437805020959654E-2</v>
      </c>
      <c r="AP228" s="16">
        <v>28000</v>
      </c>
      <c r="AQ228" s="16">
        <v>28453.880175401111</v>
      </c>
      <c r="AR228" s="16">
        <f t="shared" si="28"/>
        <v>453.88017540111105</v>
      </c>
      <c r="AS228" s="17">
        <f t="shared" si="29"/>
        <v>1.6210006264325394E-2</v>
      </c>
      <c r="AT228" s="6">
        <v>28000</v>
      </c>
      <c r="AU228" s="6">
        <v>28563.83203125</v>
      </c>
      <c r="AV228" s="6">
        <f t="shared" si="30"/>
        <v>563.83203125</v>
      </c>
      <c r="AW228" s="7">
        <f t="shared" si="31"/>
        <v>2.013685825892857E-2</v>
      </c>
    </row>
    <row r="229" spans="1:49" x14ac:dyDescent="0.25">
      <c r="A229" t="s">
        <v>56</v>
      </c>
      <c r="B229" t="s">
        <v>178</v>
      </c>
      <c r="C229">
        <v>89714</v>
      </c>
      <c r="D229">
        <v>2020</v>
      </c>
      <c r="E229" t="s">
        <v>145</v>
      </c>
      <c r="F229" t="s">
        <v>307</v>
      </c>
      <c r="G229" t="s">
        <v>578</v>
      </c>
      <c r="I229">
        <v>4</v>
      </c>
      <c r="J229" t="s">
        <v>82</v>
      </c>
      <c r="K229">
        <v>4</v>
      </c>
      <c r="L229" t="s">
        <v>44</v>
      </c>
      <c r="M229">
        <v>2</v>
      </c>
      <c r="N229" t="s">
        <v>45</v>
      </c>
      <c r="O229" t="s">
        <v>46</v>
      </c>
      <c r="P229">
        <v>3</v>
      </c>
      <c r="Q229" t="s">
        <v>84</v>
      </c>
      <c r="R229" t="s">
        <v>85</v>
      </c>
      <c r="S229" t="s">
        <v>49</v>
      </c>
      <c r="T229">
        <v>252</v>
      </c>
      <c r="U229" t="s">
        <v>50</v>
      </c>
      <c r="V229" t="s">
        <v>95</v>
      </c>
      <c r="W229" t="s">
        <v>579</v>
      </c>
      <c r="X229" t="s">
        <v>52</v>
      </c>
      <c r="Y229" t="s">
        <v>67</v>
      </c>
      <c r="AA229">
        <v>0</v>
      </c>
      <c r="AB229" t="s">
        <v>54</v>
      </c>
      <c r="AC229" t="s">
        <v>89</v>
      </c>
      <c r="AD229">
        <v>34</v>
      </c>
      <c r="AE229">
        <v>8</v>
      </c>
      <c r="AF229">
        <v>3</v>
      </c>
      <c r="AG229">
        <v>2025</v>
      </c>
      <c r="AH229" s="13">
        <v>16400</v>
      </c>
      <c r="AI229" s="13">
        <v>16912.33984375</v>
      </c>
      <c r="AJ229" s="13">
        <f t="shared" si="24"/>
        <v>512.33984375</v>
      </c>
      <c r="AK229" s="14">
        <f t="shared" si="25"/>
        <v>3.1240234374999998E-2</v>
      </c>
      <c r="AL229" s="9">
        <v>16400</v>
      </c>
      <c r="AM229" s="9">
        <v>15760.113516657029</v>
      </c>
      <c r="AN229" s="9">
        <f t="shared" si="26"/>
        <v>639.88648334297068</v>
      </c>
      <c r="AO229" s="10">
        <f t="shared" si="27"/>
        <v>3.90174684965226E-2</v>
      </c>
      <c r="AP229" s="16">
        <v>16400</v>
      </c>
      <c r="AQ229" s="16">
        <v>14991.381587051201</v>
      </c>
      <c r="AR229" s="16">
        <f t="shared" si="28"/>
        <v>1408.6184129487992</v>
      </c>
      <c r="AS229" s="17">
        <f t="shared" si="29"/>
        <v>8.5891366643219461E-2</v>
      </c>
      <c r="AT229" s="6">
        <v>16400</v>
      </c>
      <c r="AU229" s="6">
        <v>15708.4814453125</v>
      </c>
      <c r="AV229" s="6">
        <f t="shared" si="30"/>
        <v>691.5185546875</v>
      </c>
      <c r="AW229" s="7">
        <f t="shared" si="31"/>
        <v>4.2165765529725611E-2</v>
      </c>
    </row>
    <row r="230" spans="1:49" x14ac:dyDescent="0.25">
      <c r="A230" t="s">
        <v>107</v>
      </c>
      <c r="B230" t="s">
        <v>256</v>
      </c>
      <c r="C230">
        <v>218190</v>
      </c>
      <c r="D230">
        <v>2022</v>
      </c>
      <c r="E230" t="s">
        <v>58</v>
      </c>
      <c r="F230" t="s">
        <v>258</v>
      </c>
      <c r="H230" t="s">
        <v>259</v>
      </c>
      <c r="I230">
        <v>4</v>
      </c>
      <c r="J230" t="s">
        <v>43</v>
      </c>
      <c r="K230">
        <v>4</v>
      </c>
      <c r="L230" t="s">
        <v>44</v>
      </c>
      <c r="M230">
        <v>2</v>
      </c>
      <c r="N230" t="s">
        <v>44</v>
      </c>
      <c r="O230" t="s">
        <v>46</v>
      </c>
      <c r="P230">
        <v>3</v>
      </c>
      <c r="Q230" t="s">
        <v>47</v>
      </c>
      <c r="R230" t="s">
        <v>48</v>
      </c>
      <c r="S230" t="s">
        <v>63</v>
      </c>
      <c r="T230">
        <v>250</v>
      </c>
      <c r="U230" t="s">
        <v>50</v>
      </c>
      <c r="W230" t="s">
        <v>580</v>
      </c>
      <c r="X230" t="s">
        <v>52</v>
      </c>
      <c r="Y230" t="s">
        <v>67</v>
      </c>
      <c r="AA230">
        <v>0</v>
      </c>
      <c r="AB230" t="s">
        <v>54</v>
      </c>
      <c r="AC230" t="s">
        <v>55</v>
      </c>
      <c r="AD230">
        <v>34</v>
      </c>
      <c r="AE230">
        <v>8</v>
      </c>
      <c r="AF230">
        <v>3</v>
      </c>
      <c r="AG230">
        <v>2025</v>
      </c>
      <c r="AH230" s="13">
        <v>6500</v>
      </c>
      <c r="AI230" s="13">
        <v>8127.51708984375</v>
      </c>
      <c r="AJ230" s="13">
        <f t="shared" si="24"/>
        <v>1627.51708984375</v>
      </c>
      <c r="AK230" s="14">
        <f t="shared" si="25"/>
        <v>0.25038724459134615</v>
      </c>
      <c r="AL230" s="9">
        <v>6500</v>
      </c>
      <c r="AM230" s="9">
        <v>9619.5842046388389</v>
      </c>
      <c r="AN230" s="9">
        <f t="shared" si="26"/>
        <v>3119.5842046388389</v>
      </c>
      <c r="AO230" s="10">
        <f t="shared" si="27"/>
        <v>0.47993603148289826</v>
      </c>
      <c r="AP230" s="16">
        <v>6500</v>
      </c>
      <c r="AQ230" s="16">
        <v>6391.1806080834267</v>
      </c>
      <c r="AR230" s="16">
        <f t="shared" si="28"/>
        <v>108.8193919165733</v>
      </c>
      <c r="AS230" s="17">
        <f t="shared" si="29"/>
        <v>1.6741444910242046E-2</v>
      </c>
      <c r="AT230" s="6">
        <v>6500</v>
      </c>
      <c r="AU230" s="6">
        <v>7067.734375</v>
      </c>
      <c r="AV230" s="6">
        <f t="shared" si="30"/>
        <v>567.734375</v>
      </c>
      <c r="AW230" s="7">
        <f t="shared" si="31"/>
        <v>8.7343749999999998E-2</v>
      </c>
    </row>
    <row r="231" spans="1:49" x14ac:dyDescent="0.25">
      <c r="A231" t="s">
        <v>38</v>
      </c>
      <c r="B231" t="s">
        <v>167</v>
      </c>
      <c r="C231">
        <v>51407</v>
      </c>
      <c r="D231">
        <v>2019</v>
      </c>
      <c r="E231" t="s">
        <v>79</v>
      </c>
      <c r="F231" t="s">
        <v>286</v>
      </c>
      <c r="G231" t="s">
        <v>287</v>
      </c>
      <c r="I231">
        <v>4</v>
      </c>
      <c r="J231" t="s">
        <v>43</v>
      </c>
      <c r="K231">
        <v>4</v>
      </c>
      <c r="L231" t="s">
        <v>44</v>
      </c>
      <c r="M231">
        <v>1.5</v>
      </c>
      <c r="N231" t="s">
        <v>45</v>
      </c>
      <c r="O231" t="s">
        <v>46</v>
      </c>
      <c r="P231">
        <v>4</v>
      </c>
      <c r="Q231" t="s">
        <v>84</v>
      </c>
      <c r="R231" t="s">
        <v>85</v>
      </c>
      <c r="U231" t="s">
        <v>50</v>
      </c>
      <c r="V231" t="s">
        <v>95</v>
      </c>
      <c r="W231" t="s">
        <v>288</v>
      </c>
      <c r="X231" t="s">
        <v>87</v>
      </c>
      <c r="Y231" t="s">
        <v>67</v>
      </c>
      <c r="Z231">
        <v>27495</v>
      </c>
      <c r="AA231">
        <v>0</v>
      </c>
      <c r="AB231" t="s">
        <v>54</v>
      </c>
      <c r="AC231" t="s">
        <v>89</v>
      </c>
      <c r="AD231">
        <v>34</v>
      </c>
      <c r="AE231">
        <v>8</v>
      </c>
      <c r="AF231">
        <v>3</v>
      </c>
      <c r="AG231">
        <v>2025</v>
      </c>
      <c r="AH231" s="13">
        <v>13200</v>
      </c>
      <c r="AI231" s="13">
        <v>15461.7431640625</v>
      </c>
      <c r="AJ231" s="13">
        <f t="shared" si="24"/>
        <v>2261.7431640625</v>
      </c>
      <c r="AK231" s="14">
        <f t="shared" si="25"/>
        <v>0.17134417909564395</v>
      </c>
      <c r="AL231" s="9">
        <v>13200</v>
      </c>
      <c r="AM231" s="9">
        <v>14998.46653994016</v>
      </c>
      <c r="AN231" s="9">
        <f t="shared" si="26"/>
        <v>1798.4665399401601</v>
      </c>
      <c r="AO231" s="10">
        <f t="shared" si="27"/>
        <v>0.13624746514698183</v>
      </c>
      <c r="AP231" s="16">
        <v>13200</v>
      </c>
      <c r="AQ231" s="16">
        <v>14462.22715617474</v>
      </c>
      <c r="AR231" s="16">
        <f t="shared" si="28"/>
        <v>1262.2271561747402</v>
      </c>
      <c r="AS231" s="17">
        <f t="shared" si="29"/>
        <v>9.5623269407177289E-2</v>
      </c>
      <c r="AT231" s="6">
        <v>13200</v>
      </c>
      <c r="AU231" s="6">
        <v>13910.353515625</v>
      </c>
      <c r="AV231" s="6">
        <f t="shared" si="30"/>
        <v>710.353515625</v>
      </c>
      <c r="AW231" s="7">
        <f t="shared" si="31"/>
        <v>5.3814660274621215E-2</v>
      </c>
    </row>
    <row r="232" spans="1:49" x14ac:dyDescent="0.25">
      <c r="A232" t="s">
        <v>38</v>
      </c>
      <c r="B232" t="s">
        <v>132</v>
      </c>
      <c r="C232">
        <v>163269</v>
      </c>
      <c r="D232">
        <v>2011</v>
      </c>
      <c r="E232" t="s">
        <v>169</v>
      </c>
      <c r="F232" t="s">
        <v>581</v>
      </c>
      <c r="G232" t="s">
        <v>582</v>
      </c>
      <c r="H232" t="s">
        <v>583</v>
      </c>
      <c r="I232">
        <v>4</v>
      </c>
      <c r="J232" t="s">
        <v>61</v>
      </c>
      <c r="K232">
        <v>4</v>
      </c>
      <c r="L232" t="s">
        <v>221</v>
      </c>
      <c r="M232">
        <v>2.5</v>
      </c>
      <c r="N232" t="s">
        <v>44</v>
      </c>
      <c r="O232" t="s">
        <v>46</v>
      </c>
      <c r="P232">
        <v>2</v>
      </c>
      <c r="Q232" t="s">
        <v>84</v>
      </c>
      <c r="R232" t="s">
        <v>85</v>
      </c>
      <c r="S232" t="s">
        <v>63</v>
      </c>
      <c r="X232" t="s">
        <v>87</v>
      </c>
      <c r="Y232" t="s">
        <v>97</v>
      </c>
      <c r="AA232">
        <v>0</v>
      </c>
      <c r="AB232" t="s">
        <v>54</v>
      </c>
      <c r="AC232" t="s">
        <v>89</v>
      </c>
      <c r="AD232">
        <v>34</v>
      </c>
      <c r="AE232">
        <v>8</v>
      </c>
      <c r="AF232">
        <v>3</v>
      </c>
      <c r="AG232">
        <v>2025</v>
      </c>
      <c r="AH232" s="13">
        <v>3100</v>
      </c>
      <c r="AI232" s="13">
        <v>2062.149658203125</v>
      </c>
      <c r="AJ232" s="13">
        <f t="shared" si="24"/>
        <v>1037.850341796875</v>
      </c>
      <c r="AK232" s="14">
        <f t="shared" si="25"/>
        <v>0.3347904328377016</v>
      </c>
      <c r="AL232" s="9">
        <v>3100</v>
      </c>
      <c r="AM232" s="9">
        <v>2329.818224798114</v>
      </c>
      <c r="AN232" s="9">
        <f t="shared" si="26"/>
        <v>770.18177520188601</v>
      </c>
      <c r="AO232" s="10">
        <f t="shared" si="27"/>
        <v>0.24844573393609226</v>
      </c>
      <c r="AP232" s="16">
        <v>3100</v>
      </c>
      <c r="AQ232" s="16">
        <v>1540.1531800426469</v>
      </c>
      <c r="AR232" s="16">
        <f t="shared" si="28"/>
        <v>1559.8468199573531</v>
      </c>
      <c r="AS232" s="17">
        <f t="shared" si="29"/>
        <v>0.50317639353463006</v>
      </c>
      <c r="AT232" s="6">
        <v>3100</v>
      </c>
      <c r="AU232" s="6">
        <v>1763.489868164062</v>
      </c>
      <c r="AV232" s="6">
        <f t="shared" si="30"/>
        <v>1336.510131835938</v>
      </c>
      <c r="AW232" s="7">
        <f t="shared" si="31"/>
        <v>0.43113230059223806</v>
      </c>
    </row>
    <row r="233" spans="1:49" x14ac:dyDescent="0.25">
      <c r="A233" t="s">
        <v>38</v>
      </c>
      <c r="B233" t="s">
        <v>118</v>
      </c>
      <c r="C233">
        <v>162725</v>
      </c>
      <c r="D233">
        <v>2015</v>
      </c>
      <c r="E233" t="s">
        <v>58</v>
      </c>
      <c r="F233" t="s">
        <v>510</v>
      </c>
      <c r="H233" t="s">
        <v>584</v>
      </c>
      <c r="I233">
        <v>8</v>
      </c>
      <c r="J233" t="s">
        <v>43</v>
      </c>
      <c r="K233">
        <v>4</v>
      </c>
      <c r="L233" t="s">
        <v>44</v>
      </c>
      <c r="M233">
        <v>6.2</v>
      </c>
      <c r="N233" t="s">
        <v>62</v>
      </c>
      <c r="O233" t="s">
        <v>46</v>
      </c>
      <c r="Q233" t="s">
        <v>75</v>
      </c>
      <c r="R233" t="s">
        <v>76</v>
      </c>
      <c r="S233" t="s">
        <v>63</v>
      </c>
      <c r="T233">
        <v>383</v>
      </c>
      <c r="U233" t="s">
        <v>50</v>
      </c>
      <c r="V233" t="s">
        <v>64</v>
      </c>
      <c r="X233" t="s">
        <v>390</v>
      </c>
      <c r="Y233" t="s">
        <v>67</v>
      </c>
      <c r="AA233">
        <v>0</v>
      </c>
      <c r="AB233" t="s">
        <v>54</v>
      </c>
      <c r="AC233" t="s">
        <v>78</v>
      </c>
      <c r="AD233">
        <v>34</v>
      </c>
      <c r="AE233">
        <v>8</v>
      </c>
      <c r="AF233">
        <v>3</v>
      </c>
      <c r="AG233">
        <v>2025</v>
      </c>
      <c r="AH233" s="13">
        <v>15800</v>
      </c>
      <c r="AI233" s="13">
        <v>9730.9755859375</v>
      </c>
      <c r="AJ233" s="13">
        <f t="shared" si="24"/>
        <v>6069.0244140625</v>
      </c>
      <c r="AK233" s="14">
        <f t="shared" si="25"/>
        <v>0.38411546924446205</v>
      </c>
      <c r="AL233" s="9">
        <v>15800</v>
      </c>
      <c r="AM233" s="9">
        <v>11176.002348278809</v>
      </c>
      <c r="AN233" s="9">
        <f t="shared" si="26"/>
        <v>4623.9976517211908</v>
      </c>
      <c r="AO233" s="10">
        <f t="shared" si="27"/>
        <v>0.29265807922286019</v>
      </c>
      <c r="AP233" s="16">
        <v>15800</v>
      </c>
      <c r="AQ233" s="16">
        <v>9796.4732612476018</v>
      </c>
      <c r="AR233" s="16">
        <f t="shared" si="28"/>
        <v>6003.5267387523982</v>
      </c>
      <c r="AS233" s="17">
        <f t="shared" si="29"/>
        <v>0.37997004675648088</v>
      </c>
      <c r="AT233" s="6">
        <v>15800</v>
      </c>
      <c r="AU233" s="6">
        <v>11307.0380859375</v>
      </c>
      <c r="AV233" s="6">
        <f t="shared" si="30"/>
        <v>4492.9619140625</v>
      </c>
      <c r="AW233" s="7">
        <f t="shared" si="31"/>
        <v>0.28436467810522154</v>
      </c>
    </row>
    <row r="234" spans="1:49" x14ac:dyDescent="0.25">
      <c r="A234" t="s">
        <v>38</v>
      </c>
      <c r="B234" t="s">
        <v>167</v>
      </c>
      <c r="C234">
        <v>127302</v>
      </c>
      <c r="D234">
        <v>2017</v>
      </c>
      <c r="E234" t="s">
        <v>79</v>
      </c>
      <c r="F234" t="s">
        <v>585</v>
      </c>
      <c r="G234" t="s">
        <v>586</v>
      </c>
      <c r="I234">
        <v>6</v>
      </c>
      <c r="J234" t="s">
        <v>61</v>
      </c>
      <c r="K234">
        <v>4</v>
      </c>
      <c r="L234" t="s">
        <v>44</v>
      </c>
      <c r="M234">
        <v>3.6</v>
      </c>
      <c r="N234" t="s">
        <v>45</v>
      </c>
      <c r="O234" t="s">
        <v>46</v>
      </c>
      <c r="P234">
        <v>1</v>
      </c>
      <c r="Q234" t="s">
        <v>47</v>
      </c>
      <c r="R234" t="s">
        <v>48</v>
      </c>
      <c r="S234" t="s">
        <v>102</v>
      </c>
      <c r="U234" t="s">
        <v>50</v>
      </c>
      <c r="V234" t="s">
        <v>64</v>
      </c>
      <c r="W234" t="s">
        <v>587</v>
      </c>
      <c r="X234" t="s">
        <v>66</v>
      </c>
      <c r="Y234" t="s">
        <v>67</v>
      </c>
      <c r="Z234">
        <v>26750</v>
      </c>
      <c r="AA234">
        <v>0</v>
      </c>
      <c r="AB234" t="s">
        <v>54</v>
      </c>
      <c r="AC234" t="s">
        <v>68</v>
      </c>
      <c r="AD234">
        <v>34</v>
      </c>
      <c r="AE234">
        <v>8</v>
      </c>
      <c r="AF234">
        <v>3</v>
      </c>
      <c r="AG234">
        <v>2025</v>
      </c>
      <c r="AH234" s="13">
        <v>2500</v>
      </c>
      <c r="AI234" s="13">
        <v>3715.866943359375</v>
      </c>
      <c r="AJ234" s="13">
        <f t="shared" si="24"/>
        <v>1215.866943359375</v>
      </c>
      <c r="AK234" s="14">
        <f t="shared" si="25"/>
        <v>0.48634677734374998</v>
      </c>
      <c r="AL234" s="9">
        <v>2500</v>
      </c>
      <c r="AM234" s="9">
        <v>3567.4953238089788</v>
      </c>
      <c r="AN234" s="9">
        <f t="shared" si="26"/>
        <v>1067.4953238089788</v>
      </c>
      <c r="AO234" s="10">
        <f t="shared" si="27"/>
        <v>0.42699812952359151</v>
      </c>
      <c r="AP234" s="16">
        <v>2500</v>
      </c>
      <c r="AQ234" s="16">
        <v>3772.3428433508839</v>
      </c>
      <c r="AR234" s="16">
        <f t="shared" si="28"/>
        <v>1272.3428433508839</v>
      </c>
      <c r="AS234" s="17">
        <f t="shared" si="29"/>
        <v>0.50893713734035351</v>
      </c>
      <c r="AT234" s="6">
        <v>2500</v>
      </c>
      <c r="AU234" s="6">
        <v>3209.128173828125</v>
      </c>
      <c r="AV234" s="6">
        <f t="shared" si="30"/>
        <v>709.128173828125</v>
      </c>
      <c r="AW234" s="7">
        <f t="shared" si="31"/>
        <v>0.28365126953125003</v>
      </c>
    </row>
    <row r="235" spans="1:49" x14ac:dyDescent="0.25">
      <c r="A235" t="s">
        <v>69</v>
      </c>
      <c r="B235" t="s">
        <v>160</v>
      </c>
      <c r="C235">
        <v>155970</v>
      </c>
      <c r="D235">
        <v>2013</v>
      </c>
      <c r="E235" t="s">
        <v>382</v>
      </c>
      <c r="F235" t="s">
        <v>496</v>
      </c>
      <c r="G235" t="s">
        <v>588</v>
      </c>
      <c r="I235">
        <v>8</v>
      </c>
      <c r="J235" t="s">
        <v>94</v>
      </c>
      <c r="K235">
        <v>4</v>
      </c>
      <c r="L235" t="s">
        <v>44</v>
      </c>
      <c r="M235">
        <v>5.7</v>
      </c>
      <c r="N235" t="s">
        <v>116</v>
      </c>
      <c r="O235" t="s">
        <v>46</v>
      </c>
      <c r="Q235" t="s">
        <v>84</v>
      </c>
      <c r="R235" t="s">
        <v>85</v>
      </c>
      <c r="S235" t="s">
        <v>117</v>
      </c>
      <c r="U235" t="s">
        <v>50</v>
      </c>
      <c r="X235" t="s">
        <v>87</v>
      </c>
      <c r="Y235" t="s">
        <v>88</v>
      </c>
      <c r="AA235">
        <v>0</v>
      </c>
      <c r="AB235" t="s">
        <v>54</v>
      </c>
      <c r="AC235" t="s">
        <v>89</v>
      </c>
      <c r="AD235">
        <v>34</v>
      </c>
      <c r="AE235">
        <v>8</v>
      </c>
      <c r="AF235">
        <v>3</v>
      </c>
      <c r="AG235">
        <v>2025</v>
      </c>
      <c r="AH235" s="13">
        <v>3100</v>
      </c>
      <c r="AI235" s="13">
        <v>3293.59814453125</v>
      </c>
      <c r="AJ235" s="13">
        <f t="shared" si="24"/>
        <v>193.59814453125</v>
      </c>
      <c r="AK235" s="14">
        <f t="shared" si="25"/>
        <v>6.2451014364919358E-2</v>
      </c>
      <c r="AL235" s="9">
        <v>3100</v>
      </c>
      <c r="AM235" s="9">
        <v>3357.3572444309129</v>
      </c>
      <c r="AN235" s="9">
        <f t="shared" si="26"/>
        <v>257.35724443091294</v>
      </c>
      <c r="AO235" s="10">
        <f t="shared" si="27"/>
        <v>8.3018465945455783E-2</v>
      </c>
      <c r="AP235" s="16">
        <v>3100</v>
      </c>
      <c r="AQ235" s="16">
        <v>2916.7739220181538</v>
      </c>
      <c r="AR235" s="16">
        <f t="shared" si="28"/>
        <v>183.22607798184617</v>
      </c>
      <c r="AS235" s="17">
        <f t="shared" si="29"/>
        <v>5.9105186445756831E-2</v>
      </c>
      <c r="AT235" s="6">
        <v>3100</v>
      </c>
      <c r="AU235" s="6">
        <v>3220.884033203125</v>
      </c>
      <c r="AV235" s="6">
        <f t="shared" si="30"/>
        <v>120.884033203125</v>
      </c>
      <c r="AW235" s="7">
        <f t="shared" si="31"/>
        <v>3.8994849420362902E-2</v>
      </c>
    </row>
    <row r="236" spans="1:49" x14ac:dyDescent="0.25">
      <c r="A236" t="s">
        <v>56</v>
      </c>
      <c r="B236" t="s">
        <v>57</v>
      </c>
      <c r="C236">
        <v>52631</v>
      </c>
      <c r="D236">
        <v>2024</v>
      </c>
      <c r="E236" t="s">
        <v>79</v>
      </c>
      <c r="F236" t="s">
        <v>286</v>
      </c>
      <c r="G236" t="s">
        <v>287</v>
      </c>
      <c r="I236">
        <v>4</v>
      </c>
      <c r="J236" t="s">
        <v>43</v>
      </c>
      <c r="K236">
        <v>4</v>
      </c>
      <c r="L236" t="s">
        <v>44</v>
      </c>
      <c r="M236">
        <v>1.5</v>
      </c>
      <c r="N236" t="s">
        <v>45</v>
      </c>
      <c r="O236" t="s">
        <v>46</v>
      </c>
      <c r="P236">
        <v>2</v>
      </c>
      <c r="Q236" t="s">
        <v>84</v>
      </c>
      <c r="R236" t="s">
        <v>85</v>
      </c>
      <c r="U236" t="s">
        <v>50</v>
      </c>
      <c r="V236" t="s">
        <v>95</v>
      </c>
      <c r="W236" t="s">
        <v>589</v>
      </c>
      <c r="X236" t="s">
        <v>122</v>
      </c>
      <c r="Y236" t="s">
        <v>67</v>
      </c>
      <c r="AA236">
        <v>0</v>
      </c>
      <c r="AB236" t="s">
        <v>54</v>
      </c>
      <c r="AC236" t="s">
        <v>89</v>
      </c>
      <c r="AD236">
        <v>34</v>
      </c>
      <c r="AE236">
        <v>8</v>
      </c>
      <c r="AF236">
        <v>3</v>
      </c>
      <c r="AG236">
        <v>2025</v>
      </c>
      <c r="AH236" s="13">
        <v>13000</v>
      </c>
      <c r="AI236" s="13">
        <v>16431.541015625</v>
      </c>
      <c r="AJ236" s="13">
        <f t="shared" si="24"/>
        <v>3431.541015625</v>
      </c>
      <c r="AK236" s="14">
        <f t="shared" si="25"/>
        <v>0.26396469350961538</v>
      </c>
      <c r="AL236" s="9">
        <v>13000</v>
      </c>
      <c r="AM236" s="9">
        <v>14783.21215368646</v>
      </c>
      <c r="AN236" s="9">
        <f t="shared" si="26"/>
        <v>1783.2121536864597</v>
      </c>
      <c r="AO236" s="10">
        <f t="shared" si="27"/>
        <v>0.13717016566818921</v>
      </c>
      <c r="AP236" s="16">
        <v>13000</v>
      </c>
      <c r="AQ236" s="16">
        <v>12496.632076346081</v>
      </c>
      <c r="AR236" s="16">
        <f t="shared" si="28"/>
        <v>503.36792365391921</v>
      </c>
      <c r="AS236" s="17">
        <f t="shared" si="29"/>
        <v>3.8720609511839942E-2</v>
      </c>
      <c r="AT236" s="6">
        <v>13000</v>
      </c>
      <c r="AU236" s="6">
        <v>15397.6259765625</v>
      </c>
      <c r="AV236" s="6">
        <f t="shared" si="30"/>
        <v>2397.6259765625</v>
      </c>
      <c r="AW236" s="7">
        <f t="shared" si="31"/>
        <v>0.18443276742788461</v>
      </c>
    </row>
    <row r="237" spans="1:49" x14ac:dyDescent="0.25">
      <c r="A237" t="s">
        <v>107</v>
      </c>
      <c r="B237" t="s">
        <v>108</v>
      </c>
      <c r="C237">
        <v>17624</v>
      </c>
      <c r="D237">
        <v>2023</v>
      </c>
      <c r="E237" t="s">
        <v>71</v>
      </c>
      <c r="F237" t="s">
        <v>590</v>
      </c>
      <c r="G237" t="s">
        <v>371</v>
      </c>
      <c r="I237">
        <v>6</v>
      </c>
      <c r="J237" t="s">
        <v>177</v>
      </c>
      <c r="K237">
        <v>4</v>
      </c>
      <c r="L237" t="s">
        <v>44</v>
      </c>
      <c r="M237">
        <v>3.5</v>
      </c>
      <c r="N237" t="s">
        <v>62</v>
      </c>
      <c r="O237" t="s">
        <v>46</v>
      </c>
      <c r="P237">
        <v>5</v>
      </c>
      <c r="Q237" t="s">
        <v>47</v>
      </c>
      <c r="R237" t="s">
        <v>48</v>
      </c>
      <c r="S237" t="s">
        <v>63</v>
      </c>
      <c r="U237" t="s">
        <v>50</v>
      </c>
      <c r="V237" t="s">
        <v>64</v>
      </c>
      <c r="X237" t="s">
        <v>66</v>
      </c>
      <c r="Y237" t="s">
        <v>67</v>
      </c>
      <c r="AA237">
        <v>0</v>
      </c>
      <c r="AB237" t="s">
        <v>54</v>
      </c>
      <c r="AC237" t="s">
        <v>68</v>
      </c>
      <c r="AD237">
        <v>34</v>
      </c>
      <c r="AE237">
        <v>8</v>
      </c>
      <c r="AF237">
        <v>3</v>
      </c>
      <c r="AG237">
        <v>2025</v>
      </c>
      <c r="AH237" s="13">
        <v>34500</v>
      </c>
      <c r="AI237" s="13">
        <v>34575.8984375</v>
      </c>
      <c r="AJ237" s="13">
        <f t="shared" si="24"/>
        <v>75.8984375</v>
      </c>
      <c r="AK237" s="14">
        <f t="shared" si="25"/>
        <v>2.1999547101449277E-3</v>
      </c>
      <c r="AL237" s="9">
        <v>34500</v>
      </c>
      <c r="AM237" s="9">
        <v>26035.25052184689</v>
      </c>
      <c r="AN237" s="9">
        <f t="shared" si="26"/>
        <v>8464.7494781531095</v>
      </c>
      <c r="AO237" s="10">
        <f t="shared" si="27"/>
        <v>0.2453550573377713</v>
      </c>
      <c r="AP237" s="16">
        <v>34500</v>
      </c>
      <c r="AQ237" s="16">
        <v>38248.357091236547</v>
      </c>
      <c r="AR237" s="16">
        <f t="shared" si="28"/>
        <v>3748.3570912365467</v>
      </c>
      <c r="AS237" s="17">
        <f t="shared" si="29"/>
        <v>0.10864803163004483</v>
      </c>
      <c r="AT237" s="6">
        <v>34500</v>
      </c>
      <c r="AU237" s="6">
        <v>31873.97265625</v>
      </c>
      <c r="AV237" s="6">
        <f t="shared" si="30"/>
        <v>2626.02734375</v>
      </c>
      <c r="AW237" s="7">
        <f t="shared" si="31"/>
        <v>7.6116734601449271E-2</v>
      </c>
    </row>
    <row r="238" spans="1:49" x14ac:dyDescent="0.25">
      <c r="A238" t="s">
        <v>107</v>
      </c>
      <c r="B238" t="s">
        <v>108</v>
      </c>
      <c r="C238">
        <v>37584</v>
      </c>
      <c r="D238">
        <v>2022</v>
      </c>
      <c r="E238" t="s">
        <v>79</v>
      </c>
      <c r="F238" t="s">
        <v>164</v>
      </c>
      <c r="G238" t="s">
        <v>287</v>
      </c>
      <c r="I238">
        <v>4</v>
      </c>
      <c r="J238" t="s">
        <v>43</v>
      </c>
      <c r="K238">
        <v>4</v>
      </c>
      <c r="L238" t="s">
        <v>44</v>
      </c>
      <c r="M238">
        <v>1.5</v>
      </c>
      <c r="N238" t="s">
        <v>45</v>
      </c>
      <c r="O238" t="s">
        <v>46</v>
      </c>
      <c r="P238">
        <v>5</v>
      </c>
      <c r="Q238" t="s">
        <v>47</v>
      </c>
      <c r="R238" t="s">
        <v>48</v>
      </c>
      <c r="S238" t="s">
        <v>102</v>
      </c>
      <c r="U238" t="s">
        <v>50</v>
      </c>
      <c r="V238" t="s">
        <v>95</v>
      </c>
      <c r="W238" t="s">
        <v>591</v>
      </c>
      <c r="X238" t="s">
        <v>52</v>
      </c>
      <c r="Y238" t="s">
        <v>106</v>
      </c>
      <c r="AA238">
        <v>0</v>
      </c>
      <c r="AB238" t="s">
        <v>54</v>
      </c>
      <c r="AC238" t="s">
        <v>55</v>
      </c>
      <c r="AD238">
        <v>34</v>
      </c>
      <c r="AE238">
        <v>8</v>
      </c>
      <c r="AF238">
        <v>3</v>
      </c>
      <c r="AG238">
        <v>2025</v>
      </c>
      <c r="AH238" s="13">
        <v>17200</v>
      </c>
      <c r="AI238" s="13">
        <v>25205.37890625</v>
      </c>
      <c r="AJ238" s="13">
        <f t="shared" si="24"/>
        <v>8005.37890625</v>
      </c>
      <c r="AK238" s="14">
        <f t="shared" si="25"/>
        <v>0.46542900617732558</v>
      </c>
      <c r="AL238" s="9">
        <v>17200</v>
      </c>
      <c r="AM238" s="9">
        <v>22138.40525802003</v>
      </c>
      <c r="AN238" s="9">
        <f t="shared" si="26"/>
        <v>4938.4052580200296</v>
      </c>
      <c r="AO238" s="10">
        <f t="shared" si="27"/>
        <v>0.28711658476860635</v>
      </c>
      <c r="AP238" s="16">
        <v>17200</v>
      </c>
      <c r="AQ238" s="16">
        <v>21270.233594734189</v>
      </c>
      <c r="AR238" s="16">
        <f t="shared" si="28"/>
        <v>4070.233594734189</v>
      </c>
      <c r="AS238" s="17">
        <f t="shared" si="29"/>
        <v>0.23664148806594121</v>
      </c>
      <c r="AT238" s="6">
        <v>17200</v>
      </c>
      <c r="AU238" s="6">
        <v>21217.61328125</v>
      </c>
      <c r="AV238" s="6">
        <f t="shared" si="30"/>
        <v>4017.61328125</v>
      </c>
      <c r="AW238" s="7">
        <f t="shared" si="31"/>
        <v>0.23358216751453489</v>
      </c>
    </row>
    <row r="239" spans="1:49" x14ac:dyDescent="0.25">
      <c r="A239" t="s">
        <v>38</v>
      </c>
      <c r="B239" t="s">
        <v>132</v>
      </c>
      <c r="C239">
        <v>42386</v>
      </c>
      <c r="D239">
        <v>2018</v>
      </c>
      <c r="E239" t="s">
        <v>169</v>
      </c>
      <c r="F239" t="s">
        <v>219</v>
      </c>
      <c r="G239" t="s">
        <v>592</v>
      </c>
      <c r="I239">
        <v>4</v>
      </c>
      <c r="J239" t="s">
        <v>94</v>
      </c>
      <c r="K239">
        <v>4</v>
      </c>
      <c r="L239" t="s">
        <v>44</v>
      </c>
      <c r="M239">
        <v>2.5</v>
      </c>
      <c r="N239" t="s">
        <v>44</v>
      </c>
      <c r="O239" t="s">
        <v>46</v>
      </c>
      <c r="P239">
        <v>4</v>
      </c>
      <c r="Q239" t="s">
        <v>84</v>
      </c>
      <c r="R239" t="s">
        <v>85</v>
      </c>
      <c r="S239" t="s">
        <v>139</v>
      </c>
      <c r="T239">
        <v>175</v>
      </c>
      <c r="U239" t="s">
        <v>50</v>
      </c>
      <c r="W239" t="s">
        <v>340</v>
      </c>
      <c r="X239" t="s">
        <v>87</v>
      </c>
      <c r="Y239" t="s">
        <v>67</v>
      </c>
      <c r="AA239">
        <v>0</v>
      </c>
      <c r="AB239" t="s">
        <v>54</v>
      </c>
      <c r="AC239" t="s">
        <v>89</v>
      </c>
      <c r="AD239">
        <v>34</v>
      </c>
      <c r="AE239">
        <v>8</v>
      </c>
      <c r="AF239">
        <v>3</v>
      </c>
      <c r="AG239">
        <v>2025</v>
      </c>
      <c r="AH239" s="13">
        <v>14000</v>
      </c>
      <c r="AI239" s="13">
        <v>15907.171875</v>
      </c>
      <c r="AJ239" s="13">
        <f t="shared" si="24"/>
        <v>1907.171875</v>
      </c>
      <c r="AK239" s="14">
        <f t="shared" si="25"/>
        <v>0.13622656250000001</v>
      </c>
      <c r="AL239" s="9">
        <v>14000</v>
      </c>
      <c r="AM239" s="9">
        <v>13583.98643509063</v>
      </c>
      <c r="AN239" s="9">
        <f t="shared" si="26"/>
        <v>416.01356490936996</v>
      </c>
      <c r="AO239" s="10">
        <f t="shared" si="27"/>
        <v>2.9715254636383567E-2</v>
      </c>
      <c r="AP239" s="16">
        <v>14000</v>
      </c>
      <c r="AQ239" s="16">
        <v>13533.379378497681</v>
      </c>
      <c r="AR239" s="16">
        <f t="shared" si="28"/>
        <v>466.62062150231941</v>
      </c>
      <c r="AS239" s="17">
        <f t="shared" si="29"/>
        <v>3.3330044393022812E-2</v>
      </c>
      <c r="AT239" s="6">
        <v>14000</v>
      </c>
      <c r="AU239" s="6">
        <v>14311.6513671875</v>
      </c>
      <c r="AV239" s="6">
        <f t="shared" si="30"/>
        <v>311.6513671875</v>
      </c>
      <c r="AW239" s="7">
        <f t="shared" si="31"/>
        <v>2.2260811941964286E-2</v>
      </c>
    </row>
    <row r="240" spans="1:49" x14ac:dyDescent="0.25">
      <c r="A240" t="s">
        <v>69</v>
      </c>
      <c r="B240" t="s">
        <v>112</v>
      </c>
      <c r="C240">
        <v>71548</v>
      </c>
      <c r="D240">
        <v>2017</v>
      </c>
      <c r="E240" t="s">
        <v>385</v>
      </c>
      <c r="F240" t="s">
        <v>593</v>
      </c>
      <c r="G240" t="s">
        <v>594</v>
      </c>
      <c r="I240">
        <v>4</v>
      </c>
      <c r="J240" t="s">
        <v>82</v>
      </c>
      <c r="K240">
        <v>4</v>
      </c>
      <c r="L240" t="s">
        <v>44</v>
      </c>
      <c r="M240">
        <v>2</v>
      </c>
      <c r="N240" t="s">
        <v>45</v>
      </c>
      <c r="O240" t="s">
        <v>46</v>
      </c>
      <c r="P240">
        <v>5</v>
      </c>
      <c r="Q240" t="s">
        <v>84</v>
      </c>
      <c r="R240" t="s">
        <v>85</v>
      </c>
      <c r="T240">
        <v>252</v>
      </c>
      <c r="U240" t="s">
        <v>50</v>
      </c>
      <c r="X240" t="s">
        <v>87</v>
      </c>
      <c r="Y240" t="s">
        <v>244</v>
      </c>
      <c r="AA240">
        <v>0</v>
      </c>
      <c r="AB240" t="s">
        <v>54</v>
      </c>
      <c r="AC240" t="s">
        <v>89</v>
      </c>
      <c r="AD240">
        <v>34</v>
      </c>
      <c r="AE240">
        <v>8</v>
      </c>
      <c r="AF240">
        <v>3</v>
      </c>
      <c r="AG240">
        <v>2025</v>
      </c>
      <c r="AH240" s="13">
        <v>8900</v>
      </c>
      <c r="AI240" s="13">
        <v>12758.4345703125</v>
      </c>
      <c r="AJ240" s="13">
        <f t="shared" si="24"/>
        <v>3858.4345703125</v>
      </c>
      <c r="AK240" s="14">
        <f t="shared" si="25"/>
        <v>0.43353197419241574</v>
      </c>
      <c r="AL240" s="9">
        <v>8900</v>
      </c>
      <c r="AM240" s="9">
        <v>10609.48557947677</v>
      </c>
      <c r="AN240" s="9">
        <f t="shared" si="26"/>
        <v>1709.48557947677</v>
      </c>
      <c r="AO240" s="10">
        <f t="shared" si="27"/>
        <v>0.19207703140188426</v>
      </c>
      <c r="AP240" s="16">
        <v>8900</v>
      </c>
      <c r="AQ240" s="16">
        <v>12130.4868896158</v>
      </c>
      <c r="AR240" s="16">
        <f t="shared" si="28"/>
        <v>3230.4868896158005</v>
      </c>
      <c r="AS240" s="17">
        <f t="shared" si="29"/>
        <v>0.36297605501301128</v>
      </c>
      <c r="AT240" s="6">
        <v>8900</v>
      </c>
      <c r="AU240" s="6">
        <v>11481.5439453125</v>
      </c>
      <c r="AV240" s="6">
        <f t="shared" si="30"/>
        <v>2581.5439453125</v>
      </c>
      <c r="AW240" s="7">
        <f t="shared" si="31"/>
        <v>0.29006111745084268</v>
      </c>
    </row>
    <row r="241" spans="1:49" x14ac:dyDescent="0.25">
      <c r="A241" t="s">
        <v>38</v>
      </c>
      <c r="B241" t="s">
        <v>90</v>
      </c>
      <c r="C241">
        <v>131296</v>
      </c>
      <c r="D241">
        <v>2014</v>
      </c>
      <c r="E241" t="s">
        <v>169</v>
      </c>
      <c r="F241" t="s">
        <v>319</v>
      </c>
      <c r="G241" t="s">
        <v>595</v>
      </c>
      <c r="I241">
        <v>4</v>
      </c>
      <c r="J241" t="s">
        <v>74</v>
      </c>
      <c r="K241">
        <v>4</v>
      </c>
      <c r="L241" t="s">
        <v>44</v>
      </c>
      <c r="M241">
        <v>2.5</v>
      </c>
      <c r="N241" t="s">
        <v>44</v>
      </c>
      <c r="O241" t="s">
        <v>46</v>
      </c>
      <c r="P241">
        <v>4</v>
      </c>
      <c r="Q241" t="s">
        <v>47</v>
      </c>
      <c r="R241" t="s">
        <v>48</v>
      </c>
      <c r="S241" t="s">
        <v>139</v>
      </c>
      <c r="U241" t="s">
        <v>50</v>
      </c>
      <c r="V241" t="s">
        <v>596</v>
      </c>
      <c r="W241" t="s">
        <v>597</v>
      </c>
      <c r="X241" t="s">
        <v>52</v>
      </c>
      <c r="Y241" t="s">
        <v>97</v>
      </c>
      <c r="AA241">
        <v>0</v>
      </c>
      <c r="AB241" t="s">
        <v>54</v>
      </c>
      <c r="AC241" t="s">
        <v>55</v>
      </c>
      <c r="AD241">
        <v>34</v>
      </c>
      <c r="AE241">
        <v>8</v>
      </c>
      <c r="AF241">
        <v>3</v>
      </c>
      <c r="AG241">
        <v>2025</v>
      </c>
      <c r="AH241" s="13">
        <v>4500</v>
      </c>
      <c r="AI241" s="13">
        <v>3526.146240234375</v>
      </c>
      <c r="AJ241" s="13">
        <f t="shared" si="24"/>
        <v>973.853759765625</v>
      </c>
      <c r="AK241" s="14">
        <f t="shared" si="25"/>
        <v>0.21641194661458332</v>
      </c>
      <c r="AL241" s="9">
        <v>4500</v>
      </c>
      <c r="AM241" s="9">
        <v>4079.1122306032098</v>
      </c>
      <c r="AN241" s="9">
        <f t="shared" si="26"/>
        <v>420.88776939679019</v>
      </c>
      <c r="AO241" s="10">
        <f t="shared" si="27"/>
        <v>9.3530615421508936E-2</v>
      </c>
      <c r="AP241" s="16">
        <v>4500</v>
      </c>
      <c r="AQ241" s="16">
        <v>3780.5924683074632</v>
      </c>
      <c r="AR241" s="16">
        <f t="shared" si="28"/>
        <v>719.40753169253685</v>
      </c>
      <c r="AS241" s="17">
        <f t="shared" si="29"/>
        <v>0.1598683403761193</v>
      </c>
      <c r="AT241" s="6">
        <v>4500</v>
      </c>
      <c r="AU241" s="6">
        <v>3765.7822265625</v>
      </c>
      <c r="AV241" s="6">
        <f t="shared" si="30"/>
        <v>734.2177734375</v>
      </c>
      <c r="AW241" s="7">
        <f t="shared" si="31"/>
        <v>0.16315950520833333</v>
      </c>
    </row>
    <row r="242" spans="1:49" x14ac:dyDescent="0.25">
      <c r="A242" t="s">
        <v>107</v>
      </c>
      <c r="B242" t="s">
        <v>108</v>
      </c>
      <c r="C242">
        <v>71942</v>
      </c>
      <c r="D242">
        <v>2021</v>
      </c>
      <c r="E242" t="s">
        <v>98</v>
      </c>
      <c r="F242" t="s">
        <v>99</v>
      </c>
      <c r="H242" t="s">
        <v>218</v>
      </c>
      <c r="I242">
        <v>6</v>
      </c>
      <c r="J242" t="s">
        <v>82</v>
      </c>
      <c r="K242">
        <v>4</v>
      </c>
      <c r="L242" t="s">
        <v>44</v>
      </c>
      <c r="M242">
        <v>3.6</v>
      </c>
      <c r="N242" t="s">
        <v>44</v>
      </c>
      <c r="O242" t="s">
        <v>46</v>
      </c>
      <c r="P242">
        <v>3</v>
      </c>
      <c r="Q242" t="s">
        <v>47</v>
      </c>
      <c r="R242" t="s">
        <v>48</v>
      </c>
      <c r="S242" t="s">
        <v>139</v>
      </c>
      <c r="U242" t="s">
        <v>50</v>
      </c>
      <c r="V242" t="s">
        <v>64</v>
      </c>
      <c r="W242" t="s">
        <v>393</v>
      </c>
      <c r="X242" t="s">
        <v>66</v>
      </c>
      <c r="Y242" t="s">
        <v>67</v>
      </c>
      <c r="AA242">
        <v>0</v>
      </c>
      <c r="AB242" t="s">
        <v>54</v>
      </c>
      <c r="AC242" t="s">
        <v>55</v>
      </c>
      <c r="AD242">
        <v>34</v>
      </c>
      <c r="AE242">
        <v>8</v>
      </c>
      <c r="AF242">
        <v>3</v>
      </c>
      <c r="AG242">
        <v>2025</v>
      </c>
      <c r="AH242" s="13">
        <v>19800</v>
      </c>
      <c r="AI242" s="13">
        <v>23808.56640625</v>
      </c>
      <c r="AJ242" s="13">
        <f t="shared" si="24"/>
        <v>4008.56640625</v>
      </c>
      <c r="AK242" s="14">
        <f t="shared" si="25"/>
        <v>0.20245284880050504</v>
      </c>
      <c r="AL242" s="9">
        <v>19800</v>
      </c>
      <c r="AM242" s="9">
        <v>20679.607508770721</v>
      </c>
      <c r="AN242" s="9">
        <f t="shared" si="26"/>
        <v>879.60750877072132</v>
      </c>
      <c r="AO242" s="10">
        <f t="shared" si="27"/>
        <v>4.4424621655086934E-2</v>
      </c>
      <c r="AP242" s="16">
        <v>19800</v>
      </c>
      <c r="AQ242" s="16">
        <v>21592.806020074531</v>
      </c>
      <c r="AR242" s="16">
        <f t="shared" si="28"/>
        <v>1792.8060200745313</v>
      </c>
      <c r="AS242" s="17">
        <f t="shared" si="29"/>
        <v>9.0545758589622785E-2</v>
      </c>
      <c r="AT242" s="6">
        <v>19800</v>
      </c>
      <c r="AU242" s="6">
        <v>21299.076171875</v>
      </c>
      <c r="AV242" s="6">
        <f t="shared" si="30"/>
        <v>1499.076171875</v>
      </c>
      <c r="AW242" s="7">
        <f t="shared" si="31"/>
        <v>7.5710917771464645E-2</v>
      </c>
    </row>
    <row r="243" spans="1:49" x14ac:dyDescent="0.25">
      <c r="A243" t="s">
        <v>69</v>
      </c>
      <c r="B243" t="s">
        <v>70</v>
      </c>
      <c r="C243">
        <v>120157</v>
      </c>
      <c r="D243">
        <v>2019</v>
      </c>
      <c r="E243" t="s">
        <v>79</v>
      </c>
      <c r="F243" t="s">
        <v>598</v>
      </c>
      <c r="G243" t="s">
        <v>273</v>
      </c>
      <c r="H243" t="s">
        <v>162</v>
      </c>
      <c r="I243">
        <v>8</v>
      </c>
      <c r="J243" t="s">
        <v>43</v>
      </c>
      <c r="K243">
        <v>4</v>
      </c>
      <c r="L243" t="s">
        <v>44</v>
      </c>
      <c r="M243">
        <v>5.3</v>
      </c>
      <c r="N243" t="s">
        <v>62</v>
      </c>
      <c r="O243" t="s">
        <v>46</v>
      </c>
      <c r="P243">
        <v>4</v>
      </c>
      <c r="Q243" t="s">
        <v>75</v>
      </c>
      <c r="R243" t="s">
        <v>76</v>
      </c>
      <c r="S243" t="s">
        <v>63</v>
      </c>
      <c r="U243" t="s">
        <v>50</v>
      </c>
      <c r="W243" t="s">
        <v>599</v>
      </c>
      <c r="X243" t="s">
        <v>77</v>
      </c>
      <c r="Y243" t="s">
        <v>88</v>
      </c>
      <c r="AA243">
        <v>0</v>
      </c>
      <c r="AB243" t="s">
        <v>54</v>
      </c>
      <c r="AC243" t="s">
        <v>78</v>
      </c>
      <c r="AD243">
        <v>34</v>
      </c>
      <c r="AE243">
        <v>8</v>
      </c>
      <c r="AF243">
        <v>3</v>
      </c>
      <c r="AG243">
        <v>2025</v>
      </c>
      <c r="AH243" s="13">
        <v>19600</v>
      </c>
      <c r="AI243" s="13">
        <v>20570.21875</v>
      </c>
      <c r="AJ243" s="13">
        <f t="shared" si="24"/>
        <v>970.21875</v>
      </c>
      <c r="AK243" s="14">
        <f t="shared" si="25"/>
        <v>4.9500956632653061E-2</v>
      </c>
      <c r="AL243" s="9">
        <v>19600</v>
      </c>
      <c r="AM243" s="9">
        <v>20705.58962966246</v>
      </c>
      <c r="AN243" s="9">
        <f t="shared" si="26"/>
        <v>1105.5896296624596</v>
      </c>
      <c r="AO243" s="10">
        <f t="shared" si="27"/>
        <v>5.6407634166452024E-2</v>
      </c>
      <c r="AP243" s="16">
        <v>19600</v>
      </c>
      <c r="AQ243" s="16">
        <v>19513.117020642861</v>
      </c>
      <c r="AR243" s="16">
        <f t="shared" si="28"/>
        <v>86.882979357138538</v>
      </c>
      <c r="AS243" s="17">
        <f t="shared" si="29"/>
        <v>4.4328050692417622E-3</v>
      </c>
      <c r="AT243" s="6">
        <v>19600</v>
      </c>
      <c r="AU243" s="6">
        <v>19860.599609375</v>
      </c>
      <c r="AV243" s="6">
        <f t="shared" si="30"/>
        <v>260.599609375</v>
      </c>
      <c r="AW243" s="7">
        <f t="shared" si="31"/>
        <v>1.32958984375E-2</v>
      </c>
    </row>
    <row r="244" spans="1:49" x14ac:dyDescent="0.25">
      <c r="A244" t="s">
        <v>69</v>
      </c>
      <c r="B244" t="s">
        <v>70</v>
      </c>
      <c r="C244">
        <v>80835</v>
      </c>
      <c r="D244">
        <v>2018</v>
      </c>
      <c r="E244" t="s">
        <v>173</v>
      </c>
      <c r="F244" t="s">
        <v>461</v>
      </c>
      <c r="G244" t="s">
        <v>463</v>
      </c>
      <c r="H244" t="s">
        <v>600</v>
      </c>
      <c r="I244">
        <v>6</v>
      </c>
      <c r="J244" t="s">
        <v>82</v>
      </c>
      <c r="K244">
        <v>4</v>
      </c>
      <c r="L244" t="s">
        <v>44</v>
      </c>
      <c r="M244">
        <v>3.6</v>
      </c>
      <c r="N244" t="s">
        <v>62</v>
      </c>
      <c r="O244" t="s">
        <v>46</v>
      </c>
      <c r="P244">
        <v>3</v>
      </c>
      <c r="Q244" t="s">
        <v>47</v>
      </c>
      <c r="R244" t="s">
        <v>48</v>
      </c>
      <c r="S244" t="s">
        <v>63</v>
      </c>
      <c r="T244">
        <v>295</v>
      </c>
      <c r="U244" t="s">
        <v>50</v>
      </c>
      <c r="V244" t="s">
        <v>64</v>
      </c>
      <c r="X244" t="s">
        <v>66</v>
      </c>
      <c r="Y244" t="s">
        <v>67</v>
      </c>
      <c r="Z244">
        <v>53995</v>
      </c>
      <c r="AA244">
        <v>0</v>
      </c>
      <c r="AB244" t="s">
        <v>54</v>
      </c>
      <c r="AC244" t="s">
        <v>55</v>
      </c>
      <c r="AD244">
        <v>34</v>
      </c>
      <c r="AE244">
        <v>8</v>
      </c>
      <c r="AF244">
        <v>3</v>
      </c>
      <c r="AG244">
        <v>2025</v>
      </c>
      <c r="AH244" s="13">
        <v>16000</v>
      </c>
      <c r="AI244" s="13">
        <v>14286.9130859375</v>
      </c>
      <c r="AJ244" s="13">
        <f t="shared" si="24"/>
        <v>1713.0869140625</v>
      </c>
      <c r="AK244" s="14">
        <f t="shared" si="25"/>
        <v>0.10706793212890625</v>
      </c>
      <c r="AL244" s="9">
        <v>16000</v>
      </c>
      <c r="AM244" s="9">
        <v>15380.969336580951</v>
      </c>
      <c r="AN244" s="9">
        <f t="shared" si="26"/>
        <v>619.03066341904923</v>
      </c>
      <c r="AO244" s="10">
        <f t="shared" si="27"/>
        <v>3.8689416463690576E-2</v>
      </c>
      <c r="AP244" s="16">
        <v>16000</v>
      </c>
      <c r="AQ244" s="16">
        <v>15101.20887766689</v>
      </c>
      <c r="AR244" s="16">
        <f t="shared" si="28"/>
        <v>898.79112233311025</v>
      </c>
      <c r="AS244" s="17">
        <f t="shared" si="29"/>
        <v>5.6174445145819388E-2</v>
      </c>
      <c r="AT244" s="6">
        <v>16000</v>
      </c>
      <c r="AU244" s="6">
        <v>15453.2666015625</v>
      </c>
      <c r="AV244" s="6">
        <f t="shared" si="30"/>
        <v>546.7333984375</v>
      </c>
      <c r="AW244" s="7">
        <f t="shared" si="31"/>
        <v>3.4170837402343751E-2</v>
      </c>
    </row>
    <row r="245" spans="1:49" x14ac:dyDescent="0.25">
      <c r="A245" t="s">
        <v>56</v>
      </c>
      <c r="B245" t="s">
        <v>104</v>
      </c>
      <c r="C245">
        <v>203610</v>
      </c>
      <c r="D245">
        <v>2013</v>
      </c>
      <c r="E245" t="s">
        <v>145</v>
      </c>
      <c r="F245" t="s">
        <v>485</v>
      </c>
      <c r="G245" t="s">
        <v>432</v>
      </c>
      <c r="I245">
        <v>6</v>
      </c>
      <c r="J245" t="s">
        <v>94</v>
      </c>
      <c r="K245">
        <v>4</v>
      </c>
      <c r="L245" t="s">
        <v>44</v>
      </c>
      <c r="M245">
        <v>3.5</v>
      </c>
      <c r="N245" t="s">
        <v>62</v>
      </c>
      <c r="O245" t="s">
        <v>46</v>
      </c>
      <c r="P245">
        <v>4</v>
      </c>
      <c r="Q245" t="s">
        <v>47</v>
      </c>
      <c r="R245" t="s">
        <v>48</v>
      </c>
      <c r="S245" t="s">
        <v>63</v>
      </c>
      <c r="T245">
        <v>250</v>
      </c>
      <c r="U245" t="s">
        <v>50</v>
      </c>
      <c r="V245" t="s">
        <v>64</v>
      </c>
      <c r="W245" t="s">
        <v>486</v>
      </c>
      <c r="X245" t="s">
        <v>66</v>
      </c>
      <c r="Y245" t="s">
        <v>67</v>
      </c>
      <c r="AA245">
        <v>0</v>
      </c>
      <c r="AB245" t="s">
        <v>54</v>
      </c>
      <c r="AC245" t="s">
        <v>55</v>
      </c>
      <c r="AD245">
        <v>34</v>
      </c>
      <c r="AE245">
        <v>8</v>
      </c>
      <c r="AF245">
        <v>3</v>
      </c>
      <c r="AG245">
        <v>2025</v>
      </c>
      <c r="AH245" s="13">
        <v>3100</v>
      </c>
      <c r="AI245" s="13">
        <v>3265.50048828125</v>
      </c>
      <c r="AJ245" s="13">
        <f t="shared" si="24"/>
        <v>165.50048828125</v>
      </c>
      <c r="AK245" s="14">
        <f t="shared" si="25"/>
        <v>5.3387254284274197E-2</v>
      </c>
      <c r="AL245" s="9">
        <v>3100</v>
      </c>
      <c r="AM245" s="9">
        <v>3077.5014525497049</v>
      </c>
      <c r="AN245" s="9">
        <f t="shared" si="26"/>
        <v>22.498547450295064</v>
      </c>
      <c r="AO245" s="10">
        <f t="shared" si="27"/>
        <v>7.2575959517080851E-3</v>
      </c>
      <c r="AP245" s="16">
        <v>3100</v>
      </c>
      <c r="AQ245" s="16">
        <v>2363.6829127925762</v>
      </c>
      <c r="AR245" s="16">
        <f t="shared" si="28"/>
        <v>736.31708720742381</v>
      </c>
      <c r="AS245" s="17">
        <f t="shared" si="29"/>
        <v>0.23752164103465284</v>
      </c>
      <c r="AT245" s="6">
        <v>3100</v>
      </c>
      <c r="AU245" s="6">
        <v>3187.064208984375</v>
      </c>
      <c r="AV245" s="6">
        <f t="shared" si="30"/>
        <v>87.064208984375</v>
      </c>
      <c r="AW245" s="7">
        <f t="shared" si="31"/>
        <v>2.8085228704637095E-2</v>
      </c>
    </row>
    <row r="246" spans="1:49" x14ac:dyDescent="0.25">
      <c r="A246" t="s">
        <v>56</v>
      </c>
      <c r="B246" t="s">
        <v>303</v>
      </c>
      <c r="C246">
        <v>100953</v>
      </c>
      <c r="D246">
        <v>2015</v>
      </c>
      <c r="E246" t="s">
        <v>173</v>
      </c>
      <c r="F246" t="s">
        <v>461</v>
      </c>
      <c r="G246" t="s">
        <v>544</v>
      </c>
      <c r="I246">
        <v>6</v>
      </c>
      <c r="J246" t="s">
        <v>82</v>
      </c>
      <c r="K246">
        <v>4</v>
      </c>
      <c r="L246" t="s">
        <v>44</v>
      </c>
      <c r="M246">
        <v>3.6</v>
      </c>
      <c r="N246" t="s">
        <v>62</v>
      </c>
      <c r="Q246" t="s">
        <v>47</v>
      </c>
      <c r="R246" t="s">
        <v>48</v>
      </c>
      <c r="S246" t="s">
        <v>63</v>
      </c>
      <c r="U246" t="s">
        <v>50</v>
      </c>
      <c r="X246" t="s">
        <v>66</v>
      </c>
      <c r="Y246" t="s">
        <v>67</v>
      </c>
      <c r="AA246">
        <v>0</v>
      </c>
      <c r="AB246" t="s">
        <v>54</v>
      </c>
      <c r="AC246" t="s">
        <v>55</v>
      </c>
      <c r="AD246">
        <v>34</v>
      </c>
      <c r="AE246">
        <v>8</v>
      </c>
      <c r="AF246">
        <v>3</v>
      </c>
      <c r="AG246">
        <v>2025</v>
      </c>
      <c r="AH246" s="13">
        <v>11000</v>
      </c>
      <c r="AI246" s="13">
        <v>9787.494140625</v>
      </c>
      <c r="AJ246" s="13">
        <f t="shared" si="24"/>
        <v>1212.505859375</v>
      </c>
      <c r="AK246" s="14">
        <f t="shared" si="25"/>
        <v>0.11022780539772727</v>
      </c>
      <c r="AL246" s="9">
        <v>11000</v>
      </c>
      <c r="AM246" s="9">
        <v>8324.8936076305763</v>
      </c>
      <c r="AN246" s="9">
        <f t="shared" si="26"/>
        <v>2675.1063923694237</v>
      </c>
      <c r="AO246" s="10">
        <f t="shared" si="27"/>
        <v>0.24319149021540215</v>
      </c>
      <c r="AP246" s="16">
        <v>11000</v>
      </c>
      <c r="AQ246" s="16">
        <v>8126.3968183863381</v>
      </c>
      <c r="AR246" s="16">
        <f t="shared" si="28"/>
        <v>2873.6031816136619</v>
      </c>
      <c r="AS246" s="17">
        <f t="shared" si="29"/>
        <v>0.26123665287396924</v>
      </c>
      <c r="AT246" s="6">
        <v>11000</v>
      </c>
      <c r="AU246" s="6">
        <v>9258.0703125</v>
      </c>
      <c r="AV246" s="6">
        <f t="shared" si="30"/>
        <v>1741.9296875</v>
      </c>
      <c r="AW246" s="7">
        <f t="shared" si="31"/>
        <v>0.15835724431818182</v>
      </c>
    </row>
    <row r="247" spans="1:49" x14ac:dyDescent="0.25">
      <c r="A247" t="s">
        <v>69</v>
      </c>
      <c r="B247" t="s">
        <v>70</v>
      </c>
      <c r="C247">
        <v>201924</v>
      </c>
      <c r="D247">
        <v>2013</v>
      </c>
      <c r="E247" t="s">
        <v>169</v>
      </c>
      <c r="F247" t="s">
        <v>201</v>
      </c>
      <c r="G247" t="s">
        <v>601</v>
      </c>
      <c r="I247">
        <v>4</v>
      </c>
      <c r="J247" t="s">
        <v>74</v>
      </c>
      <c r="K247">
        <v>4</v>
      </c>
      <c r="L247" t="s">
        <v>44</v>
      </c>
      <c r="M247">
        <v>2.5</v>
      </c>
      <c r="N247" t="s">
        <v>44</v>
      </c>
      <c r="O247" t="s">
        <v>46</v>
      </c>
      <c r="P247">
        <v>3</v>
      </c>
      <c r="Q247" t="s">
        <v>47</v>
      </c>
      <c r="R247" t="s">
        <v>48</v>
      </c>
      <c r="S247" t="s">
        <v>139</v>
      </c>
      <c r="W247" t="s">
        <v>602</v>
      </c>
      <c r="X247" t="s">
        <v>52</v>
      </c>
      <c r="Y247" t="s">
        <v>67</v>
      </c>
      <c r="AA247">
        <v>0</v>
      </c>
      <c r="AB247" t="s">
        <v>54</v>
      </c>
      <c r="AC247" t="s">
        <v>55</v>
      </c>
      <c r="AD247">
        <v>34</v>
      </c>
      <c r="AE247">
        <v>8</v>
      </c>
      <c r="AF247">
        <v>3</v>
      </c>
      <c r="AG247">
        <v>2025</v>
      </c>
      <c r="AH247" s="13">
        <v>600</v>
      </c>
      <c r="AI247" s="13">
        <v>1392.307495117188</v>
      </c>
      <c r="AJ247" s="13">
        <f t="shared" si="24"/>
        <v>792.30749511718795</v>
      </c>
      <c r="AK247" s="14">
        <f t="shared" si="25"/>
        <v>1.3205124918619799</v>
      </c>
      <c r="AL247" s="9">
        <v>600</v>
      </c>
      <c r="AM247" s="9">
        <v>1292.051000004557</v>
      </c>
      <c r="AN247" s="9">
        <f t="shared" si="26"/>
        <v>692.05100000455695</v>
      </c>
      <c r="AO247" s="10">
        <f t="shared" si="27"/>
        <v>1.1534183333409282</v>
      </c>
      <c r="AP247" s="16">
        <v>600</v>
      </c>
      <c r="AQ247" s="16">
        <v>971.45809112883478</v>
      </c>
      <c r="AR247" s="16">
        <f t="shared" si="28"/>
        <v>371.45809112883478</v>
      </c>
      <c r="AS247" s="17">
        <f t="shared" si="29"/>
        <v>0.61909681854805798</v>
      </c>
      <c r="AT247" s="6">
        <v>600</v>
      </c>
      <c r="AU247" s="6">
        <v>1209.232788085938</v>
      </c>
      <c r="AV247" s="6">
        <f t="shared" si="30"/>
        <v>609.23278808593795</v>
      </c>
      <c r="AW247" s="7">
        <f t="shared" si="31"/>
        <v>1.01538798014323</v>
      </c>
    </row>
    <row r="248" spans="1:49" x14ac:dyDescent="0.25">
      <c r="A248" t="s">
        <v>107</v>
      </c>
      <c r="B248" t="s">
        <v>192</v>
      </c>
      <c r="C248">
        <v>92444</v>
      </c>
      <c r="D248">
        <v>2019</v>
      </c>
      <c r="E248" t="s">
        <v>603</v>
      </c>
      <c r="F248" t="s">
        <v>604</v>
      </c>
      <c r="H248" t="s">
        <v>605</v>
      </c>
      <c r="I248">
        <v>4</v>
      </c>
      <c r="J248" t="s">
        <v>101</v>
      </c>
      <c r="K248">
        <v>4</v>
      </c>
      <c r="L248" t="s">
        <v>44</v>
      </c>
      <c r="M248">
        <v>1.4</v>
      </c>
      <c r="N248" t="s">
        <v>45</v>
      </c>
      <c r="O248" t="s">
        <v>46</v>
      </c>
      <c r="Q248" t="s">
        <v>47</v>
      </c>
      <c r="R248" t="s">
        <v>48</v>
      </c>
      <c r="S248" t="s">
        <v>102</v>
      </c>
      <c r="T248">
        <v>160</v>
      </c>
      <c r="U248" t="s">
        <v>50</v>
      </c>
      <c r="V248" t="s">
        <v>95</v>
      </c>
      <c r="X248" t="s">
        <v>52</v>
      </c>
      <c r="Y248" t="s">
        <v>606</v>
      </c>
      <c r="Z248">
        <v>24320</v>
      </c>
      <c r="AA248">
        <v>0</v>
      </c>
      <c r="AB248" t="s">
        <v>54</v>
      </c>
      <c r="AC248" t="s">
        <v>55</v>
      </c>
      <c r="AD248">
        <v>34</v>
      </c>
      <c r="AE248">
        <v>8</v>
      </c>
      <c r="AF248">
        <v>3</v>
      </c>
      <c r="AG248">
        <v>2025</v>
      </c>
      <c r="AH248" s="13">
        <v>3600</v>
      </c>
      <c r="AI248" s="13">
        <v>4754.904296875</v>
      </c>
      <c r="AJ248" s="13">
        <f t="shared" si="24"/>
        <v>1154.904296875</v>
      </c>
      <c r="AK248" s="14">
        <f t="shared" si="25"/>
        <v>0.32080674913194446</v>
      </c>
      <c r="AL248" s="9">
        <v>3600</v>
      </c>
      <c r="AM248" s="9">
        <v>5175.4812216120736</v>
      </c>
      <c r="AN248" s="9">
        <f t="shared" si="26"/>
        <v>1575.4812216120736</v>
      </c>
      <c r="AO248" s="10">
        <f t="shared" si="27"/>
        <v>0.43763367267002046</v>
      </c>
      <c r="AP248" s="16">
        <v>3600</v>
      </c>
      <c r="AQ248" s="16">
        <v>6343.9320326204324</v>
      </c>
      <c r="AR248" s="16">
        <f t="shared" si="28"/>
        <v>2743.9320326204324</v>
      </c>
      <c r="AS248" s="17">
        <f t="shared" si="29"/>
        <v>0.76220334239456455</v>
      </c>
      <c r="AT248" s="6">
        <v>3600</v>
      </c>
      <c r="AU248" s="6">
        <v>6069.85693359375</v>
      </c>
      <c r="AV248" s="6">
        <f t="shared" si="30"/>
        <v>2469.85693359375</v>
      </c>
      <c r="AW248" s="7">
        <f t="shared" si="31"/>
        <v>0.68607137044270838</v>
      </c>
    </row>
    <row r="249" spans="1:49" x14ac:dyDescent="0.25">
      <c r="A249" t="s">
        <v>107</v>
      </c>
      <c r="B249" t="s">
        <v>108</v>
      </c>
      <c r="C249">
        <v>99210</v>
      </c>
      <c r="D249">
        <v>2018</v>
      </c>
      <c r="E249" t="s">
        <v>607</v>
      </c>
      <c r="F249" t="s">
        <v>608</v>
      </c>
      <c r="H249" t="s">
        <v>316</v>
      </c>
      <c r="I249">
        <v>4</v>
      </c>
      <c r="J249" t="s">
        <v>43</v>
      </c>
      <c r="K249">
        <v>4</v>
      </c>
      <c r="L249" t="s">
        <v>44</v>
      </c>
      <c r="M249">
        <v>2</v>
      </c>
      <c r="N249" t="s">
        <v>62</v>
      </c>
      <c r="O249" t="s">
        <v>46</v>
      </c>
      <c r="P249">
        <v>3</v>
      </c>
      <c r="Q249" t="s">
        <v>47</v>
      </c>
      <c r="R249" t="s">
        <v>48</v>
      </c>
      <c r="S249" t="s">
        <v>63</v>
      </c>
      <c r="T249">
        <v>148</v>
      </c>
      <c r="U249" t="s">
        <v>50</v>
      </c>
      <c r="V249" t="s">
        <v>95</v>
      </c>
      <c r="W249" t="s">
        <v>609</v>
      </c>
      <c r="X249" t="s">
        <v>52</v>
      </c>
      <c r="Y249" t="s">
        <v>97</v>
      </c>
      <c r="Z249">
        <v>20395</v>
      </c>
      <c r="AA249">
        <v>0</v>
      </c>
      <c r="AB249" t="s">
        <v>54</v>
      </c>
      <c r="AC249" t="s">
        <v>55</v>
      </c>
      <c r="AD249">
        <v>34</v>
      </c>
      <c r="AE249">
        <v>8</v>
      </c>
      <c r="AF249">
        <v>3</v>
      </c>
      <c r="AG249">
        <v>2025</v>
      </c>
      <c r="AH249" s="13">
        <v>7400</v>
      </c>
      <c r="AI249" s="13">
        <v>5444.71240234375</v>
      </c>
      <c r="AJ249" s="13">
        <f t="shared" si="24"/>
        <v>1955.28759765625</v>
      </c>
      <c r="AK249" s="14">
        <f t="shared" si="25"/>
        <v>0.2642280537373311</v>
      </c>
      <c r="AL249" s="9">
        <v>7400</v>
      </c>
      <c r="AM249" s="9">
        <v>5435.4345860184249</v>
      </c>
      <c r="AN249" s="9">
        <f t="shared" si="26"/>
        <v>1964.5654139815751</v>
      </c>
      <c r="AO249" s="10">
        <f t="shared" si="27"/>
        <v>0.26548181270021287</v>
      </c>
      <c r="AP249" s="16">
        <v>7400</v>
      </c>
      <c r="AQ249" s="16">
        <v>7423.9733129481028</v>
      </c>
      <c r="AR249" s="16">
        <f t="shared" si="28"/>
        <v>23.97331294810283</v>
      </c>
      <c r="AS249" s="17">
        <f t="shared" si="29"/>
        <v>3.2396368848787607E-3</v>
      </c>
      <c r="AT249" s="6">
        <v>7400</v>
      </c>
      <c r="AU249" s="6">
        <v>5150.9794921875</v>
      </c>
      <c r="AV249" s="6">
        <f t="shared" si="30"/>
        <v>2249.0205078125</v>
      </c>
      <c r="AW249" s="7">
        <f t="shared" si="31"/>
        <v>0.30392169024493243</v>
      </c>
    </row>
    <row r="250" spans="1:49" x14ac:dyDescent="0.25">
      <c r="A250" t="s">
        <v>38</v>
      </c>
      <c r="B250" t="s">
        <v>132</v>
      </c>
      <c r="C250">
        <v>165020</v>
      </c>
      <c r="D250">
        <v>2018</v>
      </c>
      <c r="E250" t="s">
        <v>385</v>
      </c>
      <c r="F250" t="s">
        <v>386</v>
      </c>
      <c r="G250" t="s">
        <v>574</v>
      </c>
      <c r="I250">
        <v>4</v>
      </c>
      <c r="J250" t="s">
        <v>61</v>
      </c>
      <c r="K250">
        <v>4</v>
      </c>
      <c r="L250" t="s">
        <v>44</v>
      </c>
      <c r="M250">
        <v>2</v>
      </c>
      <c r="N250" t="s">
        <v>44</v>
      </c>
      <c r="O250" t="s">
        <v>323</v>
      </c>
      <c r="P250">
        <v>3</v>
      </c>
      <c r="Q250" t="s">
        <v>47</v>
      </c>
      <c r="R250" t="s">
        <v>48</v>
      </c>
      <c r="S250" t="s">
        <v>139</v>
      </c>
      <c r="T250">
        <v>252</v>
      </c>
      <c r="U250" t="s">
        <v>50</v>
      </c>
      <c r="V250" t="s">
        <v>95</v>
      </c>
      <c r="X250" t="s">
        <v>141</v>
      </c>
      <c r="Y250" t="s">
        <v>106</v>
      </c>
      <c r="Z250">
        <v>45500</v>
      </c>
      <c r="AA250">
        <v>0</v>
      </c>
      <c r="AB250" t="s">
        <v>54</v>
      </c>
      <c r="AC250" t="s">
        <v>55</v>
      </c>
      <c r="AD250">
        <v>34</v>
      </c>
      <c r="AE250">
        <v>8</v>
      </c>
      <c r="AF250">
        <v>3</v>
      </c>
      <c r="AG250">
        <v>2025</v>
      </c>
      <c r="AH250" s="13">
        <v>5600</v>
      </c>
      <c r="AI250" s="13">
        <v>4809.80908203125</v>
      </c>
      <c r="AJ250" s="13">
        <f t="shared" si="24"/>
        <v>790.19091796875</v>
      </c>
      <c r="AK250" s="14">
        <f t="shared" si="25"/>
        <v>0.14110552106584823</v>
      </c>
      <c r="AL250" s="9">
        <v>5600</v>
      </c>
      <c r="AM250" s="9">
        <v>3149.1165416674348</v>
      </c>
      <c r="AN250" s="9">
        <f t="shared" si="26"/>
        <v>2450.8834583325652</v>
      </c>
      <c r="AO250" s="10">
        <f t="shared" si="27"/>
        <v>0.43765776041652948</v>
      </c>
      <c r="AP250" s="16">
        <v>5600</v>
      </c>
      <c r="AQ250" s="16">
        <v>3149.5719069863162</v>
      </c>
      <c r="AR250" s="16">
        <f t="shared" si="28"/>
        <v>2450.4280930136838</v>
      </c>
      <c r="AS250" s="17">
        <f t="shared" si="29"/>
        <v>0.43757644518101496</v>
      </c>
      <c r="AT250" s="6">
        <v>5600</v>
      </c>
      <c r="AU250" s="6">
        <v>3383.9365234375</v>
      </c>
      <c r="AV250" s="6">
        <f t="shared" si="30"/>
        <v>2216.0634765625</v>
      </c>
      <c r="AW250" s="7">
        <f t="shared" si="31"/>
        <v>0.39572562081473212</v>
      </c>
    </row>
    <row r="251" spans="1:49" x14ac:dyDescent="0.25">
      <c r="A251" t="s">
        <v>56</v>
      </c>
      <c r="B251" t="s">
        <v>104</v>
      </c>
      <c r="C251">
        <v>194895</v>
      </c>
      <c r="D251">
        <v>2012</v>
      </c>
      <c r="E251" t="s">
        <v>188</v>
      </c>
      <c r="F251" t="s">
        <v>610</v>
      </c>
      <c r="I251">
        <v>4</v>
      </c>
      <c r="J251" t="s">
        <v>74</v>
      </c>
      <c r="K251">
        <v>4</v>
      </c>
      <c r="L251" t="s">
        <v>44</v>
      </c>
      <c r="M251">
        <v>2.2999999999999998</v>
      </c>
      <c r="N251" t="s">
        <v>44</v>
      </c>
      <c r="Q251" t="s">
        <v>47</v>
      </c>
      <c r="R251" t="s">
        <v>48</v>
      </c>
      <c r="S251" t="s">
        <v>63</v>
      </c>
      <c r="T251">
        <v>240</v>
      </c>
      <c r="U251" t="s">
        <v>50</v>
      </c>
      <c r="V251" t="s">
        <v>95</v>
      </c>
      <c r="W251" t="s">
        <v>611</v>
      </c>
      <c r="X251" t="s">
        <v>52</v>
      </c>
      <c r="Y251" t="s">
        <v>67</v>
      </c>
      <c r="AA251">
        <v>0</v>
      </c>
      <c r="AB251" t="s">
        <v>54</v>
      </c>
      <c r="AC251" t="s">
        <v>55</v>
      </c>
      <c r="AD251">
        <v>34</v>
      </c>
      <c r="AE251">
        <v>8</v>
      </c>
      <c r="AF251">
        <v>3</v>
      </c>
      <c r="AG251">
        <v>2025</v>
      </c>
      <c r="AH251" s="13">
        <v>1800</v>
      </c>
      <c r="AI251" s="13">
        <v>1881.073120117188</v>
      </c>
      <c r="AJ251" s="13">
        <f t="shared" si="24"/>
        <v>81.073120117187955</v>
      </c>
      <c r="AK251" s="14">
        <f t="shared" si="25"/>
        <v>4.5040622287326644E-2</v>
      </c>
      <c r="AL251" s="9">
        <v>1800</v>
      </c>
      <c r="AM251" s="9">
        <v>1813.6035859329829</v>
      </c>
      <c r="AN251" s="9">
        <f t="shared" si="26"/>
        <v>13.603585932982924</v>
      </c>
      <c r="AO251" s="10">
        <f t="shared" si="27"/>
        <v>7.5575477405460684E-3</v>
      </c>
      <c r="AP251" s="16">
        <v>1800</v>
      </c>
      <c r="AQ251" s="16">
        <v>1894.274442683206</v>
      </c>
      <c r="AR251" s="16">
        <f t="shared" si="28"/>
        <v>94.274442683205962</v>
      </c>
      <c r="AS251" s="17">
        <f t="shared" si="29"/>
        <v>5.2374690379558865E-2</v>
      </c>
      <c r="AT251" s="6">
        <v>1800</v>
      </c>
      <c r="AU251" s="6">
        <v>1869.470092773438</v>
      </c>
      <c r="AV251" s="6">
        <f t="shared" si="30"/>
        <v>69.470092773437955</v>
      </c>
      <c r="AW251" s="7">
        <f t="shared" si="31"/>
        <v>3.859449598524331E-2</v>
      </c>
    </row>
    <row r="252" spans="1:49" x14ac:dyDescent="0.25">
      <c r="A252" t="s">
        <v>38</v>
      </c>
      <c r="B252" t="s">
        <v>289</v>
      </c>
      <c r="C252">
        <v>154972</v>
      </c>
      <c r="D252">
        <v>2015</v>
      </c>
      <c r="E252" t="s">
        <v>385</v>
      </c>
      <c r="F252" t="s">
        <v>612</v>
      </c>
      <c r="G252" t="s">
        <v>232</v>
      </c>
      <c r="I252">
        <v>4</v>
      </c>
      <c r="J252" t="s">
        <v>82</v>
      </c>
      <c r="K252">
        <v>4</v>
      </c>
      <c r="L252" t="s">
        <v>44</v>
      </c>
      <c r="M252">
        <v>1.8</v>
      </c>
      <c r="N252" t="s">
        <v>45</v>
      </c>
      <c r="Q252" t="s">
        <v>84</v>
      </c>
      <c r="R252" t="s">
        <v>85</v>
      </c>
      <c r="T252">
        <v>170</v>
      </c>
      <c r="U252" t="s">
        <v>50</v>
      </c>
      <c r="X252" t="s">
        <v>87</v>
      </c>
      <c r="Y252" t="s">
        <v>613</v>
      </c>
      <c r="AA252">
        <v>0</v>
      </c>
      <c r="AB252" t="s">
        <v>54</v>
      </c>
      <c r="AC252" t="s">
        <v>89</v>
      </c>
      <c r="AD252">
        <v>34</v>
      </c>
      <c r="AE252">
        <v>8</v>
      </c>
      <c r="AF252">
        <v>3</v>
      </c>
      <c r="AG252">
        <v>2025</v>
      </c>
      <c r="AH252" s="13">
        <v>1400</v>
      </c>
      <c r="AI252" s="13">
        <v>1955.559326171875</v>
      </c>
      <c r="AJ252" s="13">
        <f t="shared" si="24"/>
        <v>555.559326171875</v>
      </c>
      <c r="AK252" s="14">
        <f t="shared" si="25"/>
        <v>0.39682809012276787</v>
      </c>
      <c r="AL252" s="9">
        <v>1400</v>
      </c>
      <c r="AM252" s="9">
        <v>1922.899283972881</v>
      </c>
      <c r="AN252" s="9">
        <f t="shared" si="26"/>
        <v>522.89928397288099</v>
      </c>
      <c r="AO252" s="10">
        <f t="shared" si="27"/>
        <v>0.37349948855205783</v>
      </c>
      <c r="AP252" s="16">
        <v>1400</v>
      </c>
      <c r="AQ252" s="16">
        <v>1757.179979558972</v>
      </c>
      <c r="AR252" s="16">
        <f t="shared" si="28"/>
        <v>357.17997955897204</v>
      </c>
      <c r="AS252" s="17">
        <f t="shared" si="29"/>
        <v>0.25512855682783719</v>
      </c>
      <c r="AT252" s="6">
        <v>1400</v>
      </c>
      <c r="AU252" s="6">
        <v>2137.587890625</v>
      </c>
      <c r="AV252" s="6">
        <f t="shared" si="30"/>
        <v>737.587890625</v>
      </c>
      <c r="AW252" s="7">
        <f t="shared" si="31"/>
        <v>0.52684849330357142</v>
      </c>
    </row>
    <row r="253" spans="1:49" x14ac:dyDescent="0.25">
      <c r="A253" t="s">
        <v>107</v>
      </c>
      <c r="B253" t="s">
        <v>614</v>
      </c>
      <c r="C253">
        <v>134157</v>
      </c>
      <c r="D253">
        <v>2013</v>
      </c>
      <c r="E253" t="s">
        <v>58</v>
      </c>
      <c r="F253" t="s">
        <v>615</v>
      </c>
      <c r="H253" t="s">
        <v>454</v>
      </c>
      <c r="I253">
        <v>8</v>
      </c>
      <c r="J253" t="s">
        <v>43</v>
      </c>
      <c r="K253">
        <v>3</v>
      </c>
      <c r="L253" t="s">
        <v>44</v>
      </c>
      <c r="M253">
        <v>5.4</v>
      </c>
      <c r="N253" t="s">
        <v>116</v>
      </c>
      <c r="O253" t="s">
        <v>46</v>
      </c>
      <c r="Q253" t="s">
        <v>75</v>
      </c>
      <c r="R253" t="s">
        <v>422</v>
      </c>
      <c r="S253" t="s">
        <v>49</v>
      </c>
      <c r="T253">
        <v>255</v>
      </c>
      <c r="U253" t="s">
        <v>50</v>
      </c>
      <c r="V253" t="s">
        <v>64</v>
      </c>
      <c r="W253" t="s">
        <v>558</v>
      </c>
      <c r="X253" t="s">
        <v>423</v>
      </c>
      <c r="Y253" t="s">
        <v>67</v>
      </c>
      <c r="AA253">
        <v>0</v>
      </c>
      <c r="AB253" t="s">
        <v>54</v>
      </c>
      <c r="AC253" t="s">
        <v>424</v>
      </c>
      <c r="AD253">
        <v>34</v>
      </c>
      <c r="AE253">
        <v>8</v>
      </c>
      <c r="AF253">
        <v>3</v>
      </c>
      <c r="AG253">
        <v>2025</v>
      </c>
      <c r="AH253" s="13">
        <v>2300</v>
      </c>
      <c r="AI253" s="13">
        <v>4261.05908203125</v>
      </c>
      <c r="AJ253" s="13">
        <f t="shared" si="24"/>
        <v>1961.05908203125</v>
      </c>
      <c r="AK253" s="14">
        <f t="shared" si="25"/>
        <v>0.85263438349184784</v>
      </c>
      <c r="AL253" s="9">
        <v>2300</v>
      </c>
      <c r="AM253" s="9">
        <v>4812.4950680434522</v>
      </c>
      <c r="AN253" s="9">
        <f t="shared" si="26"/>
        <v>2512.4950680434522</v>
      </c>
      <c r="AO253" s="10">
        <f t="shared" si="27"/>
        <v>1.0923891600188922</v>
      </c>
      <c r="AP253" s="16">
        <v>2300</v>
      </c>
      <c r="AQ253" s="16">
        <v>3994.7502925334188</v>
      </c>
      <c r="AR253" s="16">
        <f t="shared" si="28"/>
        <v>1694.7502925334188</v>
      </c>
      <c r="AS253" s="17">
        <f t="shared" si="29"/>
        <v>0.73684795327539954</v>
      </c>
      <c r="AT253" s="6">
        <v>2300</v>
      </c>
      <c r="AU253" s="6">
        <v>5067.19873046875</v>
      </c>
      <c r="AV253" s="6">
        <f t="shared" si="30"/>
        <v>2767.19873046875</v>
      </c>
      <c r="AW253" s="7">
        <f t="shared" si="31"/>
        <v>1.2031298828125001</v>
      </c>
    </row>
    <row r="254" spans="1:49" x14ac:dyDescent="0.25">
      <c r="A254" t="s">
        <v>69</v>
      </c>
      <c r="B254" t="s">
        <v>70</v>
      </c>
      <c r="C254">
        <v>153548</v>
      </c>
      <c r="D254">
        <v>2014</v>
      </c>
      <c r="E254" t="s">
        <v>113</v>
      </c>
      <c r="F254" t="s">
        <v>142</v>
      </c>
      <c r="G254" t="s">
        <v>171</v>
      </c>
      <c r="I254">
        <v>6</v>
      </c>
      <c r="J254" t="s">
        <v>74</v>
      </c>
      <c r="K254">
        <v>4</v>
      </c>
      <c r="L254" t="s">
        <v>44</v>
      </c>
      <c r="M254">
        <v>3.6</v>
      </c>
      <c r="N254" t="s">
        <v>44</v>
      </c>
      <c r="O254" t="s">
        <v>46</v>
      </c>
      <c r="P254">
        <v>3</v>
      </c>
      <c r="Q254" t="s">
        <v>47</v>
      </c>
      <c r="R254" t="s">
        <v>48</v>
      </c>
      <c r="S254" t="s">
        <v>139</v>
      </c>
      <c r="T254">
        <v>295</v>
      </c>
      <c r="U254" t="s">
        <v>50</v>
      </c>
      <c r="V254" t="s">
        <v>64</v>
      </c>
      <c r="X254" t="s">
        <v>66</v>
      </c>
      <c r="Y254" t="s">
        <v>67</v>
      </c>
      <c r="AA254">
        <v>0</v>
      </c>
      <c r="AB254" t="s">
        <v>54</v>
      </c>
      <c r="AC254" t="s">
        <v>55</v>
      </c>
      <c r="AD254">
        <v>34</v>
      </c>
      <c r="AE254">
        <v>8</v>
      </c>
      <c r="AF254">
        <v>3</v>
      </c>
      <c r="AG254">
        <v>2025</v>
      </c>
      <c r="AH254" s="13">
        <v>3500</v>
      </c>
      <c r="AI254" s="13">
        <v>4680.26416015625</v>
      </c>
      <c r="AJ254" s="13">
        <f t="shared" si="24"/>
        <v>1180.26416015625</v>
      </c>
      <c r="AK254" s="14">
        <f t="shared" si="25"/>
        <v>0.33721833147321428</v>
      </c>
      <c r="AL254" s="9">
        <v>3500</v>
      </c>
      <c r="AM254" s="9">
        <v>4451.6095464882264</v>
      </c>
      <c r="AN254" s="9">
        <f t="shared" si="26"/>
        <v>951.60954648822644</v>
      </c>
      <c r="AO254" s="10">
        <f t="shared" si="27"/>
        <v>0.27188844185377897</v>
      </c>
      <c r="AP254" s="16">
        <v>3500</v>
      </c>
      <c r="AQ254" s="16">
        <v>3588.408727860613</v>
      </c>
      <c r="AR254" s="16">
        <f t="shared" si="28"/>
        <v>88.408727860612998</v>
      </c>
      <c r="AS254" s="17">
        <f t="shared" si="29"/>
        <v>2.5259636531603714E-2</v>
      </c>
      <c r="AT254" s="6">
        <v>3500</v>
      </c>
      <c r="AU254" s="6">
        <v>4140.765625</v>
      </c>
      <c r="AV254" s="6">
        <f t="shared" si="30"/>
        <v>640.765625</v>
      </c>
      <c r="AW254" s="7">
        <f t="shared" si="31"/>
        <v>0.18307589285714285</v>
      </c>
    </row>
    <row r="255" spans="1:49" x14ac:dyDescent="0.25">
      <c r="A255" t="s">
        <v>38</v>
      </c>
      <c r="B255" t="s">
        <v>229</v>
      </c>
      <c r="C255">
        <v>141037</v>
      </c>
      <c r="D255">
        <v>2013</v>
      </c>
      <c r="E255" t="s">
        <v>71</v>
      </c>
      <c r="F255" t="s">
        <v>590</v>
      </c>
      <c r="I255">
        <v>6</v>
      </c>
      <c r="J255" t="s">
        <v>74</v>
      </c>
      <c r="K255">
        <v>4</v>
      </c>
      <c r="L255" t="s">
        <v>44</v>
      </c>
      <c r="M255">
        <v>3.5</v>
      </c>
      <c r="N255" t="s">
        <v>45</v>
      </c>
      <c r="O255" t="s">
        <v>46</v>
      </c>
      <c r="P255">
        <v>3</v>
      </c>
      <c r="Q255" t="s">
        <v>47</v>
      </c>
      <c r="R255" t="s">
        <v>207</v>
      </c>
      <c r="S255" t="s">
        <v>49</v>
      </c>
      <c r="U255" t="s">
        <v>50</v>
      </c>
      <c r="X255" t="s">
        <v>141</v>
      </c>
      <c r="Y255" t="s">
        <v>67</v>
      </c>
      <c r="AA255">
        <v>0</v>
      </c>
      <c r="AB255" t="s">
        <v>54</v>
      </c>
      <c r="AC255" t="s">
        <v>55</v>
      </c>
      <c r="AD255">
        <v>34</v>
      </c>
      <c r="AE255">
        <v>8</v>
      </c>
      <c r="AF255">
        <v>3</v>
      </c>
      <c r="AG255">
        <v>2025</v>
      </c>
      <c r="AH255" s="13">
        <v>1300</v>
      </c>
      <c r="AI255" s="13">
        <v>1593.137817382812</v>
      </c>
      <c r="AJ255" s="13">
        <f t="shared" si="24"/>
        <v>293.13781738281205</v>
      </c>
      <c r="AK255" s="14">
        <f t="shared" si="25"/>
        <v>0.22549062875600925</v>
      </c>
      <c r="AL255" s="9">
        <v>1300</v>
      </c>
      <c r="AM255" s="9">
        <v>1801.366251333083</v>
      </c>
      <c r="AN255" s="9">
        <f t="shared" si="26"/>
        <v>501.36625133308303</v>
      </c>
      <c r="AO255" s="10">
        <f t="shared" si="27"/>
        <v>0.38566634717929466</v>
      </c>
      <c r="AP255" s="16">
        <v>1300</v>
      </c>
      <c r="AQ255" s="16">
        <v>1867.544601595795</v>
      </c>
      <c r="AR255" s="16">
        <f t="shared" si="28"/>
        <v>567.54460159579503</v>
      </c>
      <c r="AS255" s="17">
        <f t="shared" si="29"/>
        <v>0.43657277045830389</v>
      </c>
      <c r="AT255" s="6">
        <v>1300</v>
      </c>
      <c r="AU255" s="6">
        <v>1729.119873046875</v>
      </c>
      <c r="AV255" s="6">
        <f t="shared" si="30"/>
        <v>429.119873046875</v>
      </c>
      <c r="AW255" s="7">
        <f t="shared" si="31"/>
        <v>0.33009221003605771</v>
      </c>
    </row>
    <row r="256" spans="1:49" x14ac:dyDescent="0.25">
      <c r="A256" t="s">
        <v>38</v>
      </c>
      <c r="B256" t="s">
        <v>204</v>
      </c>
      <c r="C256">
        <v>104295</v>
      </c>
      <c r="D256">
        <v>2015</v>
      </c>
      <c r="E256" t="s">
        <v>71</v>
      </c>
      <c r="F256" t="s">
        <v>616</v>
      </c>
      <c r="I256">
        <v>8</v>
      </c>
      <c r="J256" t="s">
        <v>82</v>
      </c>
      <c r="K256">
        <v>4</v>
      </c>
      <c r="L256" t="s">
        <v>44</v>
      </c>
      <c r="M256">
        <v>5.6</v>
      </c>
      <c r="N256" t="s">
        <v>116</v>
      </c>
      <c r="O256" t="s">
        <v>46</v>
      </c>
      <c r="P256">
        <v>3</v>
      </c>
      <c r="Q256" t="s">
        <v>47</v>
      </c>
      <c r="R256" t="s">
        <v>48</v>
      </c>
      <c r="S256" t="s">
        <v>49</v>
      </c>
      <c r="U256" t="s">
        <v>50</v>
      </c>
      <c r="X256" t="s">
        <v>77</v>
      </c>
      <c r="Y256" t="s">
        <v>67</v>
      </c>
      <c r="AA256">
        <v>0</v>
      </c>
      <c r="AB256" t="s">
        <v>54</v>
      </c>
      <c r="AC256" t="s">
        <v>55</v>
      </c>
      <c r="AD256">
        <v>34</v>
      </c>
      <c r="AE256">
        <v>8</v>
      </c>
      <c r="AF256">
        <v>3</v>
      </c>
      <c r="AG256">
        <v>2025</v>
      </c>
      <c r="AH256" s="13">
        <v>7250</v>
      </c>
      <c r="AI256" s="13">
        <v>9317.3955078125</v>
      </c>
      <c r="AJ256" s="13">
        <f t="shared" si="24"/>
        <v>2067.3955078125</v>
      </c>
      <c r="AK256" s="14">
        <f t="shared" si="25"/>
        <v>0.28515800107758621</v>
      </c>
      <c r="AL256" s="9">
        <v>7250</v>
      </c>
      <c r="AM256" s="9">
        <v>8589.1938004823241</v>
      </c>
      <c r="AN256" s="9">
        <f t="shared" si="26"/>
        <v>1339.1938004823241</v>
      </c>
      <c r="AO256" s="10">
        <f t="shared" si="27"/>
        <v>0.18471638627342402</v>
      </c>
      <c r="AP256" s="16">
        <v>7250</v>
      </c>
      <c r="AQ256" s="16">
        <v>8239.2349509811229</v>
      </c>
      <c r="AR256" s="16">
        <f t="shared" si="28"/>
        <v>989.23495098112289</v>
      </c>
      <c r="AS256" s="17">
        <f t="shared" si="29"/>
        <v>0.13644620013532729</v>
      </c>
      <c r="AT256" s="6">
        <v>7250</v>
      </c>
      <c r="AU256" s="6">
        <v>8166.57177734375</v>
      </c>
      <c r="AV256" s="6">
        <f t="shared" si="30"/>
        <v>916.57177734375</v>
      </c>
      <c r="AW256" s="7">
        <f t="shared" si="31"/>
        <v>0.12642369342672413</v>
      </c>
    </row>
    <row r="257" spans="1:49" x14ac:dyDescent="0.25">
      <c r="A257" t="s">
        <v>107</v>
      </c>
      <c r="B257" t="s">
        <v>108</v>
      </c>
      <c r="C257">
        <v>196664</v>
      </c>
      <c r="D257">
        <v>2016</v>
      </c>
      <c r="E257" t="s">
        <v>91</v>
      </c>
      <c r="F257" t="s">
        <v>617</v>
      </c>
      <c r="H257" t="s">
        <v>618</v>
      </c>
      <c r="I257">
        <v>4</v>
      </c>
      <c r="J257" t="s">
        <v>43</v>
      </c>
      <c r="K257">
        <v>4</v>
      </c>
      <c r="L257" t="s">
        <v>44</v>
      </c>
      <c r="M257">
        <v>1.5</v>
      </c>
      <c r="N257" t="s">
        <v>45</v>
      </c>
      <c r="O257" t="s">
        <v>46</v>
      </c>
      <c r="P257">
        <v>1</v>
      </c>
      <c r="Q257" t="s">
        <v>84</v>
      </c>
      <c r="R257" t="s">
        <v>157</v>
      </c>
      <c r="S257" t="s">
        <v>49</v>
      </c>
      <c r="T257">
        <v>72</v>
      </c>
      <c r="U257" t="s">
        <v>50</v>
      </c>
      <c r="V257" t="s">
        <v>95</v>
      </c>
      <c r="W257" t="s">
        <v>619</v>
      </c>
      <c r="X257" t="s">
        <v>87</v>
      </c>
      <c r="Y257" t="s">
        <v>97</v>
      </c>
      <c r="AA257">
        <v>1</v>
      </c>
      <c r="AB257" t="s">
        <v>130</v>
      </c>
      <c r="AC257" t="s">
        <v>620</v>
      </c>
      <c r="AD257">
        <v>34</v>
      </c>
      <c r="AE257">
        <v>8</v>
      </c>
      <c r="AF257">
        <v>3</v>
      </c>
      <c r="AG257">
        <v>2025</v>
      </c>
      <c r="AH257" s="13">
        <v>1600</v>
      </c>
      <c r="AI257" s="13">
        <v>1635.32861328125</v>
      </c>
      <c r="AJ257" s="13">
        <f t="shared" si="24"/>
        <v>35.32861328125</v>
      </c>
      <c r="AK257" s="14">
        <f t="shared" si="25"/>
        <v>2.2080383300781249E-2</v>
      </c>
      <c r="AL257" s="9">
        <v>1600</v>
      </c>
      <c r="AM257" s="9">
        <v>1422.1729273708131</v>
      </c>
      <c r="AN257" s="9">
        <f t="shared" si="26"/>
        <v>177.82707262918689</v>
      </c>
      <c r="AO257" s="10">
        <f t="shared" si="27"/>
        <v>0.11114192039324181</v>
      </c>
      <c r="AP257" s="16">
        <v>1600</v>
      </c>
      <c r="AQ257" s="16">
        <v>1065.7778220115049</v>
      </c>
      <c r="AR257" s="16">
        <f t="shared" si="28"/>
        <v>534.2221779884951</v>
      </c>
      <c r="AS257" s="17">
        <f t="shared" si="29"/>
        <v>0.33388886124280942</v>
      </c>
      <c r="AT257" s="6">
        <v>1600</v>
      </c>
      <c r="AU257" s="6">
        <v>1657.913330078125</v>
      </c>
      <c r="AV257" s="6">
        <f t="shared" si="30"/>
        <v>57.913330078125</v>
      </c>
      <c r="AW257" s="7">
        <f t="shared" si="31"/>
        <v>3.6195831298828127E-2</v>
      </c>
    </row>
    <row r="258" spans="1:49" x14ac:dyDescent="0.25">
      <c r="A258" t="s">
        <v>107</v>
      </c>
      <c r="B258" t="s">
        <v>192</v>
      </c>
      <c r="C258">
        <v>161411</v>
      </c>
      <c r="D258">
        <v>2017</v>
      </c>
      <c r="E258" t="s">
        <v>79</v>
      </c>
      <c r="F258" t="s">
        <v>585</v>
      </c>
      <c r="G258" t="s">
        <v>586</v>
      </c>
      <c r="I258">
        <v>6</v>
      </c>
      <c r="J258" t="s">
        <v>101</v>
      </c>
      <c r="K258">
        <v>4</v>
      </c>
      <c r="L258" t="s">
        <v>44</v>
      </c>
      <c r="M258">
        <v>3.6</v>
      </c>
      <c r="N258" t="s">
        <v>44</v>
      </c>
      <c r="O258" t="s">
        <v>46</v>
      </c>
      <c r="Q258" t="s">
        <v>47</v>
      </c>
      <c r="R258" t="s">
        <v>48</v>
      </c>
      <c r="S258" t="s">
        <v>139</v>
      </c>
      <c r="U258" t="s">
        <v>50</v>
      </c>
      <c r="V258" t="s">
        <v>64</v>
      </c>
      <c r="W258" t="s">
        <v>587</v>
      </c>
      <c r="X258" t="s">
        <v>66</v>
      </c>
      <c r="Y258" t="s">
        <v>67</v>
      </c>
      <c r="Z258">
        <v>26750</v>
      </c>
      <c r="AA258">
        <v>0</v>
      </c>
      <c r="AB258" t="s">
        <v>54</v>
      </c>
      <c r="AC258" t="s">
        <v>68</v>
      </c>
      <c r="AD258">
        <v>34</v>
      </c>
      <c r="AE258">
        <v>8</v>
      </c>
      <c r="AF258">
        <v>3</v>
      </c>
      <c r="AG258">
        <v>2025</v>
      </c>
      <c r="AH258" s="13">
        <v>3000</v>
      </c>
      <c r="AI258" s="13">
        <v>4027.895751953125</v>
      </c>
      <c r="AJ258" s="13">
        <f t="shared" si="24"/>
        <v>1027.895751953125</v>
      </c>
      <c r="AK258" s="14">
        <f t="shared" si="25"/>
        <v>0.34263191731770831</v>
      </c>
      <c r="AL258" s="9">
        <v>3000</v>
      </c>
      <c r="AM258" s="9">
        <v>4331.1174084559816</v>
      </c>
      <c r="AN258" s="9">
        <f t="shared" si="26"/>
        <v>1331.1174084559816</v>
      </c>
      <c r="AO258" s="10">
        <f t="shared" si="27"/>
        <v>0.44370580281866051</v>
      </c>
      <c r="AP258" s="16">
        <v>3000</v>
      </c>
      <c r="AQ258" s="16">
        <v>4593.516318286509</v>
      </c>
      <c r="AR258" s="16">
        <f t="shared" si="28"/>
        <v>1593.516318286509</v>
      </c>
      <c r="AS258" s="17">
        <f t="shared" si="29"/>
        <v>0.53117210609550303</v>
      </c>
      <c r="AT258" s="6">
        <v>3000</v>
      </c>
      <c r="AU258" s="6">
        <v>4280.25048828125</v>
      </c>
      <c r="AV258" s="6">
        <f t="shared" si="30"/>
        <v>1280.25048828125</v>
      </c>
      <c r="AW258" s="7">
        <f t="shared" si="31"/>
        <v>0.42675016276041666</v>
      </c>
    </row>
    <row r="259" spans="1:49" x14ac:dyDescent="0.25">
      <c r="A259" t="s">
        <v>38</v>
      </c>
      <c r="B259" t="s">
        <v>204</v>
      </c>
      <c r="C259">
        <v>56908</v>
      </c>
      <c r="D259">
        <v>2023</v>
      </c>
      <c r="E259" t="s">
        <v>40</v>
      </c>
      <c r="F259" t="s">
        <v>621</v>
      </c>
      <c r="G259" t="s">
        <v>622</v>
      </c>
      <c r="K259">
        <v>4</v>
      </c>
      <c r="L259" t="s">
        <v>44</v>
      </c>
      <c r="M259">
        <v>1.6</v>
      </c>
      <c r="N259" t="s">
        <v>45</v>
      </c>
      <c r="O259" t="s">
        <v>46</v>
      </c>
      <c r="P259">
        <v>4</v>
      </c>
      <c r="Q259" t="s">
        <v>84</v>
      </c>
      <c r="R259" t="s">
        <v>85</v>
      </c>
      <c r="U259" t="s">
        <v>50</v>
      </c>
      <c r="W259" t="s">
        <v>623</v>
      </c>
      <c r="X259" t="s">
        <v>87</v>
      </c>
      <c r="Y259" t="s">
        <v>67</v>
      </c>
      <c r="AA259">
        <v>0</v>
      </c>
      <c r="AB259" t="s">
        <v>54</v>
      </c>
      <c r="AC259" t="s">
        <v>89</v>
      </c>
      <c r="AD259">
        <v>34</v>
      </c>
      <c r="AE259">
        <v>8</v>
      </c>
      <c r="AF259">
        <v>3</v>
      </c>
      <c r="AG259">
        <v>2025</v>
      </c>
      <c r="AH259" s="13">
        <v>18750</v>
      </c>
      <c r="AI259" s="13">
        <v>21533.041015625</v>
      </c>
      <c r="AJ259" s="13">
        <f t="shared" ref="AJ259:AJ322" si="32">ABS(AH259-AI259)</f>
        <v>2783.041015625</v>
      </c>
      <c r="AK259" s="14">
        <f t="shared" ref="AK259:AK322" si="33">ABS($AH259-AI259)/$AH259</f>
        <v>0.14842885416666668</v>
      </c>
      <c r="AL259" s="9">
        <v>18750</v>
      </c>
      <c r="AM259" s="9">
        <v>21256.936823997599</v>
      </c>
      <c r="AN259" s="9">
        <f t="shared" ref="AN259:AN322" si="34">ABS(AL259-AM259)</f>
        <v>2506.9368239975993</v>
      </c>
      <c r="AO259" s="10">
        <f t="shared" ref="AO259:AO322" si="35">ABS($AL259-AM259)/$AL259</f>
        <v>0.13370329727987196</v>
      </c>
      <c r="AP259" s="16">
        <v>18750</v>
      </c>
      <c r="AQ259" s="16">
        <v>18809.324063347489</v>
      </c>
      <c r="AR259" s="16">
        <f t="shared" ref="AR259:AR322" si="36">ABS(AP259-AQ259)</f>
        <v>59.324063347488845</v>
      </c>
      <c r="AS259" s="17">
        <f t="shared" ref="AS259:AS322" si="37">ABS($AP259-AQ259)/$AP259</f>
        <v>3.163950045199405E-3</v>
      </c>
      <c r="AT259" s="6">
        <v>18750</v>
      </c>
      <c r="AU259" s="6">
        <v>22775.91015625</v>
      </c>
      <c r="AV259" s="6">
        <f t="shared" ref="AV259:AV322" si="38">ABS(AT259-AU259)</f>
        <v>4025.91015625</v>
      </c>
      <c r="AW259" s="7">
        <f t="shared" ref="AW259:AW322" si="39">ABS($AT259-AU259)/$AT259</f>
        <v>0.21471520833333332</v>
      </c>
    </row>
    <row r="260" spans="1:49" x14ac:dyDescent="0.25">
      <c r="A260" t="s">
        <v>38</v>
      </c>
      <c r="B260" t="s">
        <v>204</v>
      </c>
      <c r="C260">
        <v>133158</v>
      </c>
      <c r="D260">
        <v>2016</v>
      </c>
      <c r="E260" t="s">
        <v>79</v>
      </c>
      <c r="F260" t="s">
        <v>179</v>
      </c>
      <c r="G260" t="s">
        <v>586</v>
      </c>
      <c r="I260">
        <v>4</v>
      </c>
      <c r="K260">
        <v>4</v>
      </c>
      <c r="M260">
        <v>1.4</v>
      </c>
      <c r="N260" t="s">
        <v>45</v>
      </c>
      <c r="O260" t="s">
        <v>46</v>
      </c>
      <c r="P260">
        <v>2</v>
      </c>
      <c r="Q260" t="s">
        <v>47</v>
      </c>
      <c r="R260" t="s">
        <v>48</v>
      </c>
      <c r="S260" t="s">
        <v>102</v>
      </c>
      <c r="U260" t="s">
        <v>50</v>
      </c>
      <c r="V260" t="s">
        <v>95</v>
      </c>
      <c r="W260" t="s">
        <v>624</v>
      </c>
      <c r="X260" t="s">
        <v>52</v>
      </c>
      <c r="Y260" t="s">
        <v>106</v>
      </c>
      <c r="AA260">
        <v>0</v>
      </c>
      <c r="AB260" t="s">
        <v>54</v>
      </c>
      <c r="AC260" t="s">
        <v>55</v>
      </c>
      <c r="AD260">
        <v>34</v>
      </c>
      <c r="AE260">
        <v>8</v>
      </c>
      <c r="AF260">
        <v>3</v>
      </c>
      <c r="AG260">
        <v>2025</v>
      </c>
      <c r="AH260" s="13">
        <v>1400</v>
      </c>
      <c r="AI260" s="13">
        <v>2448.58349609375</v>
      </c>
      <c r="AJ260" s="13">
        <f t="shared" si="32"/>
        <v>1048.58349609375</v>
      </c>
      <c r="AK260" s="14">
        <f t="shared" si="33"/>
        <v>0.74898821149553574</v>
      </c>
      <c r="AL260" s="9">
        <v>1400</v>
      </c>
      <c r="AM260" s="9">
        <v>2418.2846810192632</v>
      </c>
      <c r="AN260" s="9">
        <f t="shared" si="34"/>
        <v>1018.2846810192632</v>
      </c>
      <c r="AO260" s="10">
        <f t="shared" si="35"/>
        <v>0.72734620072804512</v>
      </c>
      <c r="AP260" s="16">
        <v>1400</v>
      </c>
      <c r="AQ260" s="16">
        <v>1924.4420576566281</v>
      </c>
      <c r="AR260" s="16">
        <f t="shared" si="36"/>
        <v>524.44205765662809</v>
      </c>
      <c r="AS260" s="17">
        <f t="shared" si="37"/>
        <v>0.37460146975473435</v>
      </c>
      <c r="AT260" s="6">
        <v>1400</v>
      </c>
      <c r="AU260" s="6">
        <v>2453.817138671875</v>
      </c>
      <c r="AV260" s="6">
        <f t="shared" si="38"/>
        <v>1053.817138671875</v>
      </c>
      <c r="AW260" s="7">
        <f t="shared" si="39"/>
        <v>0.75272652762276782</v>
      </c>
    </row>
    <row r="261" spans="1:49" x14ac:dyDescent="0.25">
      <c r="A261" t="s">
        <v>56</v>
      </c>
      <c r="B261" t="s">
        <v>104</v>
      </c>
      <c r="C261">
        <v>140779</v>
      </c>
      <c r="D261">
        <v>2016</v>
      </c>
      <c r="E261" t="s">
        <v>625</v>
      </c>
      <c r="F261" t="s">
        <v>626</v>
      </c>
      <c r="G261" t="s">
        <v>627</v>
      </c>
      <c r="I261">
        <v>4</v>
      </c>
      <c r="J261" t="s">
        <v>43</v>
      </c>
      <c r="K261">
        <v>4</v>
      </c>
      <c r="L261" t="s">
        <v>44</v>
      </c>
      <c r="M261">
        <v>2</v>
      </c>
      <c r="N261" t="s">
        <v>44</v>
      </c>
      <c r="O261" t="s">
        <v>46</v>
      </c>
      <c r="P261">
        <v>4</v>
      </c>
      <c r="Q261" t="s">
        <v>47</v>
      </c>
      <c r="R261" t="s">
        <v>48</v>
      </c>
      <c r="S261" t="s">
        <v>139</v>
      </c>
      <c r="T261">
        <v>316</v>
      </c>
      <c r="U261" t="s">
        <v>50</v>
      </c>
      <c r="W261" t="s">
        <v>628</v>
      </c>
      <c r="X261" t="s">
        <v>141</v>
      </c>
      <c r="Y261" t="s">
        <v>629</v>
      </c>
      <c r="AA261">
        <v>0</v>
      </c>
      <c r="AB261" t="s">
        <v>54</v>
      </c>
      <c r="AC261" t="s">
        <v>55</v>
      </c>
      <c r="AD261">
        <v>34</v>
      </c>
      <c r="AE261">
        <v>8</v>
      </c>
      <c r="AF261">
        <v>3</v>
      </c>
      <c r="AG261">
        <v>2025</v>
      </c>
      <c r="AH261" s="13">
        <v>9400</v>
      </c>
      <c r="AI261" s="13">
        <v>5693.015625</v>
      </c>
      <c r="AJ261" s="13">
        <f t="shared" si="32"/>
        <v>3706.984375</v>
      </c>
      <c r="AK261" s="14">
        <f t="shared" si="33"/>
        <v>0.39436003989361701</v>
      </c>
      <c r="AL261" s="9">
        <v>9400</v>
      </c>
      <c r="AM261" s="9">
        <v>5701.4648386417066</v>
      </c>
      <c r="AN261" s="9">
        <f t="shared" si="34"/>
        <v>3698.5351613582934</v>
      </c>
      <c r="AO261" s="10">
        <f t="shared" si="35"/>
        <v>0.39346118737854185</v>
      </c>
      <c r="AP261" s="16">
        <v>9400</v>
      </c>
      <c r="AQ261" s="16">
        <v>6151.2489327470676</v>
      </c>
      <c r="AR261" s="16">
        <f t="shared" si="36"/>
        <v>3248.7510672529324</v>
      </c>
      <c r="AS261" s="17">
        <f t="shared" si="37"/>
        <v>0.3456118156652056</v>
      </c>
      <c r="AT261" s="6">
        <v>9400</v>
      </c>
      <c r="AU261" s="6">
        <v>5650.9677734375</v>
      </c>
      <c r="AV261" s="6">
        <f t="shared" si="38"/>
        <v>3749.0322265625</v>
      </c>
      <c r="AW261" s="7">
        <f t="shared" si="39"/>
        <v>0.39883321559175533</v>
      </c>
    </row>
    <row r="262" spans="1:49" x14ac:dyDescent="0.25">
      <c r="A262" t="s">
        <v>38</v>
      </c>
      <c r="B262" t="s">
        <v>229</v>
      </c>
      <c r="C262">
        <v>193863</v>
      </c>
      <c r="D262">
        <v>2013</v>
      </c>
      <c r="E262" t="s">
        <v>79</v>
      </c>
      <c r="F262" t="s">
        <v>570</v>
      </c>
      <c r="H262" t="s">
        <v>571</v>
      </c>
      <c r="I262">
        <v>8</v>
      </c>
      <c r="J262" t="s">
        <v>43</v>
      </c>
      <c r="K262">
        <v>3</v>
      </c>
      <c r="L262" t="s">
        <v>44</v>
      </c>
      <c r="M262">
        <v>4.8</v>
      </c>
      <c r="N262" t="s">
        <v>116</v>
      </c>
      <c r="O262" t="s">
        <v>46</v>
      </c>
      <c r="P262">
        <v>3</v>
      </c>
      <c r="Q262" t="s">
        <v>75</v>
      </c>
      <c r="R262" t="s">
        <v>422</v>
      </c>
      <c r="S262" t="s">
        <v>49</v>
      </c>
      <c r="U262" t="s">
        <v>50</v>
      </c>
      <c r="W262" t="s">
        <v>630</v>
      </c>
      <c r="X262" t="s">
        <v>423</v>
      </c>
      <c r="Y262" t="s">
        <v>67</v>
      </c>
      <c r="AA262">
        <v>0</v>
      </c>
      <c r="AB262" t="s">
        <v>54</v>
      </c>
      <c r="AC262" t="s">
        <v>424</v>
      </c>
      <c r="AD262">
        <v>34</v>
      </c>
      <c r="AE262">
        <v>8</v>
      </c>
      <c r="AF262">
        <v>3</v>
      </c>
      <c r="AG262">
        <v>2025</v>
      </c>
      <c r="AH262" s="13">
        <v>4250</v>
      </c>
      <c r="AI262" s="13">
        <v>2549.159423828125</v>
      </c>
      <c r="AJ262" s="13">
        <f t="shared" si="32"/>
        <v>1700.840576171875</v>
      </c>
      <c r="AK262" s="14">
        <f t="shared" si="33"/>
        <v>0.40019778262867645</v>
      </c>
      <c r="AL262" s="9">
        <v>4250</v>
      </c>
      <c r="AM262" s="9">
        <v>3585.458920494963</v>
      </c>
      <c r="AN262" s="9">
        <f t="shared" si="34"/>
        <v>664.54107950503703</v>
      </c>
      <c r="AO262" s="10">
        <f t="shared" si="35"/>
        <v>0.15636260694236165</v>
      </c>
      <c r="AP262" s="16">
        <v>4250</v>
      </c>
      <c r="AQ262" s="16">
        <v>2821.293567418556</v>
      </c>
      <c r="AR262" s="16">
        <f t="shared" si="36"/>
        <v>1428.706432581444</v>
      </c>
      <c r="AS262" s="17">
        <f t="shared" si="37"/>
        <v>0.336166219430928</v>
      </c>
      <c r="AT262" s="6">
        <v>4250</v>
      </c>
      <c r="AU262" s="6">
        <v>3562.641845703125</v>
      </c>
      <c r="AV262" s="6">
        <f t="shared" si="38"/>
        <v>687.358154296875</v>
      </c>
      <c r="AW262" s="7">
        <f t="shared" si="39"/>
        <v>0.16173133042279411</v>
      </c>
    </row>
    <row r="263" spans="1:49" x14ac:dyDescent="0.25">
      <c r="A263" t="s">
        <v>38</v>
      </c>
      <c r="B263" t="s">
        <v>204</v>
      </c>
      <c r="C263">
        <v>106382</v>
      </c>
      <c r="D263">
        <v>2015</v>
      </c>
      <c r="E263" t="s">
        <v>173</v>
      </c>
      <c r="F263" t="s">
        <v>631</v>
      </c>
      <c r="G263" t="s">
        <v>236</v>
      </c>
      <c r="I263">
        <v>4</v>
      </c>
      <c r="K263">
        <v>4</v>
      </c>
      <c r="M263">
        <v>2</v>
      </c>
      <c r="N263" t="s">
        <v>45</v>
      </c>
      <c r="O263" t="s">
        <v>46</v>
      </c>
      <c r="P263">
        <v>2</v>
      </c>
      <c r="Q263" t="s">
        <v>47</v>
      </c>
      <c r="R263" t="s">
        <v>48</v>
      </c>
      <c r="S263" t="s">
        <v>102</v>
      </c>
      <c r="U263" t="s">
        <v>50</v>
      </c>
      <c r="X263" t="s">
        <v>52</v>
      </c>
      <c r="Y263" t="s">
        <v>67</v>
      </c>
      <c r="AA263">
        <v>0</v>
      </c>
      <c r="AB263" t="s">
        <v>54</v>
      </c>
      <c r="AC263" t="s">
        <v>55</v>
      </c>
      <c r="AD263">
        <v>34</v>
      </c>
      <c r="AE263">
        <v>8</v>
      </c>
      <c r="AF263">
        <v>3</v>
      </c>
      <c r="AG263">
        <v>2025</v>
      </c>
      <c r="AH263" s="13">
        <v>2400</v>
      </c>
      <c r="AI263" s="13">
        <v>2634.3115234375</v>
      </c>
      <c r="AJ263" s="13">
        <f t="shared" si="32"/>
        <v>234.3115234375</v>
      </c>
      <c r="AK263" s="14">
        <f t="shared" si="33"/>
        <v>9.7629801432291663E-2</v>
      </c>
      <c r="AL263" s="9">
        <v>2400</v>
      </c>
      <c r="AM263" s="9">
        <v>2613.866659070065</v>
      </c>
      <c r="AN263" s="9">
        <f t="shared" si="34"/>
        <v>213.866659070065</v>
      </c>
      <c r="AO263" s="10">
        <f t="shared" si="35"/>
        <v>8.9111107945860413E-2</v>
      </c>
      <c r="AP263" s="16">
        <v>2400</v>
      </c>
      <c r="AQ263" s="16">
        <v>2371.871239727509</v>
      </c>
      <c r="AR263" s="16">
        <f t="shared" si="36"/>
        <v>28.128760272491036</v>
      </c>
      <c r="AS263" s="17">
        <f t="shared" si="37"/>
        <v>1.1720316780204599E-2</v>
      </c>
      <c r="AT263" s="6">
        <v>2400</v>
      </c>
      <c r="AU263" s="6">
        <v>2056.111083984375</v>
      </c>
      <c r="AV263" s="6">
        <f t="shared" si="38"/>
        <v>343.888916015625</v>
      </c>
      <c r="AW263" s="7">
        <f t="shared" si="39"/>
        <v>0.14328704833984374</v>
      </c>
    </row>
    <row r="264" spans="1:49" x14ac:dyDescent="0.25">
      <c r="A264" t="s">
        <v>69</v>
      </c>
      <c r="B264" t="s">
        <v>128</v>
      </c>
      <c r="C264">
        <v>131127</v>
      </c>
      <c r="D264">
        <v>2018</v>
      </c>
      <c r="E264" t="s">
        <v>40</v>
      </c>
      <c r="F264" t="s">
        <v>295</v>
      </c>
      <c r="G264" t="s">
        <v>313</v>
      </c>
      <c r="I264">
        <v>4</v>
      </c>
      <c r="J264" t="s">
        <v>74</v>
      </c>
      <c r="K264">
        <v>4</v>
      </c>
      <c r="L264" t="s">
        <v>44</v>
      </c>
      <c r="M264">
        <v>2.4</v>
      </c>
      <c r="N264" t="s">
        <v>45</v>
      </c>
      <c r="Q264" t="s">
        <v>84</v>
      </c>
      <c r="R264" t="s">
        <v>85</v>
      </c>
      <c r="S264" t="s">
        <v>102</v>
      </c>
      <c r="T264">
        <v>185</v>
      </c>
      <c r="U264" t="s">
        <v>50</v>
      </c>
      <c r="W264" t="s">
        <v>632</v>
      </c>
      <c r="X264" t="s">
        <v>87</v>
      </c>
      <c r="Y264" t="s">
        <v>67</v>
      </c>
      <c r="Z264">
        <v>25700</v>
      </c>
      <c r="AA264">
        <v>0</v>
      </c>
      <c r="AB264" t="s">
        <v>54</v>
      </c>
      <c r="AC264" t="s">
        <v>89</v>
      </c>
      <c r="AD264">
        <v>34</v>
      </c>
      <c r="AE264">
        <v>8</v>
      </c>
      <c r="AF264">
        <v>3</v>
      </c>
      <c r="AG264">
        <v>2025</v>
      </c>
      <c r="AH264" s="13">
        <v>7100</v>
      </c>
      <c r="AI264" s="13">
        <v>4239.0087890625</v>
      </c>
      <c r="AJ264" s="13">
        <f t="shared" si="32"/>
        <v>2860.9912109375</v>
      </c>
      <c r="AK264" s="14">
        <f t="shared" si="33"/>
        <v>0.40295650858274645</v>
      </c>
      <c r="AL264" s="9">
        <v>7100</v>
      </c>
      <c r="AM264" s="9">
        <v>4172.8742046453899</v>
      </c>
      <c r="AN264" s="9">
        <f t="shared" si="34"/>
        <v>2927.1257953546101</v>
      </c>
      <c r="AO264" s="10">
        <f t="shared" si="35"/>
        <v>0.41227123878233946</v>
      </c>
      <c r="AP264" s="16">
        <v>7100</v>
      </c>
      <c r="AQ264" s="16">
        <v>4218.5067616159058</v>
      </c>
      <c r="AR264" s="16">
        <f t="shared" si="36"/>
        <v>2881.4932383840942</v>
      </c>
      <c r="AS264" s="17">
        <f t="shared" si="37"/>
        <v>0.40584411808226678</v>
      </c>
      <c r="AT264" s="6">
        <v>7100</v>
      </c>
      <c r="AU264" s="6">
        <v>4488.1689453125</v>
      </c>
      <c r="AV264" s="6">
        <f t="shared" si="38"/>
        <v>2611.8310546875</v>
      </c>
      <c r="AW264" s="7">
        <f t="shared" si="39"/>
        <v>0.36786352882922535</v>
      </c>
    </row>
    <row r="265" spans="1:49" x14ac:dyDescent="0.25">
      <c r="A265" t="s">
        <v>69</v>
      </c>
      <c r="B265" t="s">
        <v>112</v>
      </c>
      <c r="C265">
        <v>190783</v>
      </c>
      <c r="D265">
        <v>2013</v>
      </c>
      <c r="E265" t="s">
        <v>124</v>
      </c>
      <c r="F265" t="s">
        <v>538</v>
      </c>
      <c r="G265" t="s">
        <v>633</v>
      </c>
      <c r="I265">
        <v>4</v>
      </c>
      <c r="J265" t="s">
        <v>82</v>
      </c>
      <c r="K265">
        <v>4</v>
      </c>
      <c r="L265" t="s">
        <v>44</v>
      </c>
      <c r="M265">
        <v>2.4</v>
      </c>
      <c r="N265" t="s">
        <v>45</v>
      </c>
      <c r="O265" t="s">
        <v>46</v>
      </c>
      <c r="Q265" t="s">
        <v>47</v>
      </c>
      <c r="R265" t="s">
        <v>48</v>
      </c>
      <c r="S265" t="s">
        <v>49</v>
      </c>
      <c r="U265" t="s">
        <v>50</v>
      </c>
      <c r="W265" t="s">
        <v>634</v>
      </c>
      <c r="X265" t="s">
        <v>52</v>
      </c>
      <c r="Y265" t="s">
        <v>67</v>
      </c>
      <c r="AA265">
        <v>0</v>
      </c>
      <c r="AB265" t="s">
        <v>54</v>
      </c>
      <c r="AC265" t="s">
        <v>55</v>
      </c>
      <c r="AD265">
        <v>34</v>
      </c>
      <c r="AE265">
        <v>8</v>
      </c>
      <c r="AF265">
        <v>3</v>
      </c>
      <c r="AG265">
        <v>2025</v>
      </c>
      <c r="AH265" s="13">
        <v>800</v>
      </c>
      <c r="AI265" s="13">
        <v>1530.007202148438</v>
      </c>
      <c r="AJ265" s="13">
        <f t="shared" si="32"/>
        <v>730.00720214843795</v>
      </c>
      <c r="AK265" s="14">
        <f t="shared" si="33"/>
        <v>0.91250900268554747</v>
      </c>
      <c r="AL265" s="9">
        <v>800</v>
      </c>
      <c r="AM265" s="9">
        <v>1911.179121936309</v>
      </c>
      <c r="AN265" s="9">
        <f t="shared" si="34"/>
        <v>1111.179121936309</v>
      </c>
      <c r="AO265" s="10">
        <f t="shared" si="35"/>
        <v>1.3889739024203862</v>
      </c>
      <c r="AP265" s="16">
        <v>800</v>
      </c>
      <c r="AQ265" s="16">
        <v>1836.347379939815</v>
      </c>
      <c r="AR265" s="16">
        <f t="shared" si="36"/>
        <v>1036.347379939815</v>
      </c>
      <c r="AS265" s="17">
        <f t="shared" si="37"/>
        <v>1.2954342249247688</v>
      </c>
      <c r="AT265" s="6">
        <v>800</v>
      </c>
      <c r="AU265" s="6">
        <v>1882.081298828125</v>
      </c>
      <c r="AV265" s="6">
        <f t="shared" si="38"/>
        <v>1082.081298828125</v>
      </c>
      <c r="AW265" s="7">
        <f t="shared" si="39"/>
        <v>1.3526016235351563</v>
      </c>
    </row>
    <row r="266" spans="1:49" x14ac:dyDescent="0.25">
      <c r="A266" t="s">
        <v>38</v>
      </c>
      <c r="B266" t="s">
        <v>39</v>
      </c>
      <c r="C266">
        <v>59496</v>
      </c>
      <c r="D266">
        <v>2021</v>
      </c>
      <c r="E266" t="s">
        <v>217</v>
      </c>
      <c r="F266" t="s">
        <v>162</v>
      </c>
      <c r="G266" t="s">
        <v>73</v>
      </c>
      <c r="H266" t="s">
        <v>635</v>
      </c>
      <c r="I266">
        <v>8</v>
      </c>
      <c r="J266" t="s">
        <v>43</v>
      </c>
      <c r="K266">
        <v>4</v>
      </c>
      <c r="L266" t="s">
        <v>44</v>
      </c>
      <c r="M266">
        <v>6.2</v>
      </c>
      <c r="N266" t="s">
        <v>62</v>
      </c>
      <c r="O266" t="s">
        <v>46</v>
      </c>
      <c r="P266">
        <v>4</v>
      </c>
      <c r="Q266" t="s">
        <v>75</v>
      </c>
      <c r="R266" t="s">
        <v>76</v>
      </c>
      <c r="S266" t="s">
        <v>63</v>
      </c>
      <c r="U266" t="s">
        <v>50</v>
      </c>
      <c r="V266" t="s">
        <v>64</v>
      </c>
      <c r="X266" t="s">
        <v>77</v>
      </c>
      <c r="Y266" t="s">
        <v>67</v>
      </c>
      <c r="AA266">
        <v>0</v>
      </c>
      <c r="AB266" t="s">
        <v>54</v>
      </c>
      <c r="AC266" t="s">
        <v>78</v>
      </c>
      <c r="AD266">
        <v>34</v>
      </c>
      <c r="AE266">
        <v>8</v>
      </c>
      <c r="AF266">
        <v>3</v>
      </c>
      <c r="AG266">
        <v>2025</v>
      </c>
      <c r="AH266" s="13">
        <v>63000</v>
      </c>
      <c r="AI266" s="13">
        <v>48056.3046875</v>
      </c>
      <c r="AJ266" s="13">
        <f t="shared" si="32"/>
        <v>14943.6953125</v>
      </c>
      <c r="AK266" s="14">
        <f t="shared" si="33"/>
        <v>0.23720151289682539</v>
      </c>
      <c r="AL266" s="9">
        <v>63000</v>
      </c>
      <c r="AM266" s="9">
        <v>40507.854657656913</v>
      </c>
      <c r="AN266" s="9">
        <f t="shared" si="34"/>
        <v>22492.145342343087</v>
      </c>
      <c r="AO266" s="10">
        <f t="shared" si="35"/>
        <v>0.35701818003719188</v>
      </c>
      <c r="AP266" s="16">
        <v>63000</v>
      </c>
      <c r="AQ266" s="16">
        <v>46399.457558215203</v>
      </c>
      <c r="AR266" s="16">
        <f t="shared" si="36"/>
        <v>16600.542441784797</v>
      </c>
      <c r="AS266" s="17">
        <f t="shared" si="37"/>
        <v>0.26350067367912378</v>
      </c>
      <c r="AT266" s="6">
        <v>63000</v>
      </c>
      <c r="AU266" s="6">
        <v>40705.82421875</v>
      </c>
      <c r="AV266" s="6">
        <f t="shared" si="38"/>
        <v>22294.17578125</v>
      </c>
      <c r="AW266" s="7">
        <f t="shared" si="39"/>
        <v>0.3538758060515873</v>
      </c>
    </row>
    <row r="267" spans="1:49" x14ac:dyDescent="0.25">
      <c r="A267" t="s">
        <v>56</v>
      </c>
      <c r="B267" t="s">
        <v>196</v>
      </c>
      <c r="C267">
        <v>175750</v>
      </c>
      <c r="D267">
        <v>2018</v>
      </c>
      <c r="E267" t="s">
        <v>58</v>
      </c>
      <c r="F267" t="s">
        <v>415</v>
      </c>
      <c r="H267" t="s">
        <v>171</v>
      </c>
      <c r="I267">
        <v>6</v>
      </c>
      <c r="J267" t="s">
        <v>43</v>
      </c>
      <c r="K267">
        <v>4</v>
      </c>
      <c r="L267" t="s">
        <v>44</v>
      </c>
      <c r="M267">
        <v>3.5</v>
      </c>
      <c r="N267" t="s">
        <v>62</v>
      </c>
      <c r="O267" t="s">
        <v>46</v>
      </c>
      <c r="Q267" t="s">
        <v>47</v>
      </c>
      <c r="R267" t="s">
        <v>48</v>
      </c>
      <c r="S267" t="s">
        <v>63</v>
      </c>
      <c r="T267">
        <v>310</v>
      </c>
      <c r="U267" t="s">
        <v>50</v>
      </c>
      <c r="V267" t="s">
        <v>64</v>
      </c>
      <c r="W267" t="s">
        <v>636</v>
      </c>
      <c r="X267" t="s">
        <v>77</v>
      </c>
      <c r="Y267" t="s">
        <v>67</v>
      </c>
      <c r="Z267">
        <v>62675</v>
      </c>
      <c r="AA267">
        <v>0</v>
      </c>
      <c r="AB267" t="s">
        <v>54</v>
      </c>
      <c r="AC267" t="s">
        <v>68</v>
      </c>
      <c r="AD267">
        <v>34</v>
      </c>
      <c r="AE267">
        <v>8</v>
      </c>
      <c r="AF267">
        <v>3</v>
      </c>
      <c r="AG267">
        <v>2025</v>
      </c>
      <c r="AH267" s="13">
        <v>7800</v>
      </c>
      <c r="AI267" s="13">
        <v>9840.107421875</v>
      </c>
      <c r="AJ267" s="13">
        <f t="shared" si="32"/>
        <v>2040.107421875</v>
      </c>
      <c r="AK267" s="14">
        <f t="shared" si="33"/>
        <v>0.26155223357371793</v>
      </c>
      <c r="AL267" s="9">
        <v>7800</v>
      </c>
      <c r="AM267" s="9">
        <v>11543.175282180729</v>
      </c>
      <c r="AN267" s="9">
        <f t="shared" si="34"/>
        <v>3743.1752821807295</v>
      </c>
      <c r="AO267" s="10">
        <f t="shared" si="35"/>
        <v>0.47989426694624737</v>
      </c>
      <c r="AP267" s="16">
        <v>7800</v>
      </c>
      <c r="AQ267" s="16">
        <v>7378.3758825630221</v>
      </c>
      <c r="AR267" s="16">
        <f t="shared" si="36"/>
        <v>421.62411743697794</v>
      </c>
      <c r="AS267" s="17">
        <f t="shared" si="37"/>
        <v>5.405437403038179E-2</v>
      </c>
      <c r="AT267" s="6">
        <v>7800</v>
      </c>
      <c r="AU267" s="6">
        <v>9121.966796875</v>
      </c>
      <c r="AV267" s="6">
        <f t="shared" si="38"/>
        <v>1321.966796875</v>
      </c>
      <c r="AW267" s="7">
        <f t="shared" si="39"/>
        <v>0.16948292267628204</v>
      </c>
    </row>
    <row r="268" spans="1:49" x14ac:dyDescent="0.25">
      <c r="A268" t="s">
        <v>69</v>
      </c>
      <c r="B268" t="s">
        <v>223</v>
      </c>
      <c r="C268">
        <v>62809</v>
      </c>
      <c r="D268">
        <v>2021</v>
      </c>
      <c r="E268" t="s">
        <v>98</v>
      </c>
      <c r="F268" t="s">
        <v>637</v>
      </c>
      <c r="H268" t="s">
        <v>638</v>
      </c>
      <c r="I268">
        <v>8</v>
      </c>
      <c r="J268" t="s">
        <v>82</v>
      </c>
      <c r="K268">
        <v>4</v>
      </c>
      <c r="L268" t="s">
        <v>44</v>
      </c>
      <c r="M268">
        <v>6.2</v>
      </c>
      <c r="N268" t="s">
        <v>62</v>
      </c>
      <c r="O268" t="s">
        <v>46</v>
      </c>
      <c r="P268">
        <v>4</v>
      </c>
      <c r="Q268" t="s">
        <v>47</v>
      </c>
      <c r="R268" t="s">
        <v>48</v>
      </c>
      <c r="S268" t="s">
        <v>63</v>
      </c>
      <c r="U268" t="s">
        <v>50</v>
      </c>
      <c r="V268" t="s">
        <v>64</v>
      </c>
      <c r="W268" t="s">
        <v>639</v>
      </c>
      <c r="X268" t="s">
        <v>77</v>
      </c>
      <c r="Y268" t="s">
        <v>67</v>
      </c>
      <c r="AA268">
        <v>0</v>
      </c>
      <c r="AB268" t="s">
        <v>54</v>
      </c>
      <c r="AC268" t="s">
        <v>55</v>
      </c>
      <c r="AD268">
        <v>34</v>
      </c>
      <c r="AE268">
        <v>8</v>
      </c>
      <c r="AF268">
        <v>3</v>
      </c>
      <c r="AG268">
        <v>2025</v>
      </c>
      <c r="AH268" s="13">
        <v>47000</v>
      </c>
      <c r="AI268" s="13">
        <v>50479.18359375</v>
      </c>
      <c r="AJ268" s="13">
        <f t="shared" si="32"/>
        <v>3479.18359375</v>
      </c>
      <c r="AK268" s="14">
        <f t="shared" si="33"/>
        <v>7.4025182845744678E-2</v>
      </c>
      <c r="AL268" s="9">
        <v>47000</v>
      </c>
      <c r="AM268" s="9">
        <v>50807.563418172882</v>
      </c>
      <c r="AN268" s="9">
        <f t="shared" si="34"/>
        <v>3807.5634181728819</v>
      </c>
      <c r="AO268" s="10">
        <f t="shared" si="35"/>
        <v>8.101198762069961E-2</v>
      </c>
      <c r="AP268" s="16">
        <v>47000</v>
      </c>
      <c r="AQ268" s="16">
        <v>50771.01753397697</v>
      </c>
      <c r="AR268" s="16">
        <f t="shared" si="36"/>
        <v>3771.0175339769703</v>
      </c>
      <c r="AS268" s="17">
        <f t="shared" si="37"/>
        <v>8.0234415616531288E-2</v>
      </c>
      <c r="AT268" s="6">
        <v>47000</v>
      </c>
      <c r="AU268" s="6">
        <v>52890.58203125</v>
      </c>
      <c r="AV268" s="6">
        <f t="shared" si="38"/>
        <v>5890.58203125</v>
      </c>
      <c r="AW268" s="7">
        <f t="shared" si="39"/>
        <v>0.12533153257978724</v>
      </c>
    </row>
    <row r="269" spans="1:49" x14ac:dyDescent="0.25">
      <c r="A269" t="s">
        <v>38</v>
      </c>
      <c r="B269" t="s">
        <v>289</v>
      </c>
      <c r="C269">
        <v>99754</v>
      </c>
      <c r="D269">
        <v>2012</v>
      </c>
      <c r="E269" t="s">
        <v>58</v>
      </c>
      <c r="F269" t="s">
        <v>59</v>
      </c>
      <c r="G269" t="s">
        <v>120</v>
      </c>
      <c r="I269">
        <v>6</v>
      </c>
      <c r="J269" t="s">
        <v>43</v>
      </c>
      <c r="K269">
        <v>4</v>
      </c>
      <c r="L269" t="s">
        <v>44</v>
      </c>
      <c r="M269">
        <v>3.5</v>
      </c>
      <c r="N269" t="s">
        <v>62</v>
      </c>
      <c r="O269" t="s">
        <v>46</v>
      </c>
      <c r="P269">
        <v>2</v>
      </c>
      <c r="Q269" t="s">
        <v>47</v>
      </c>
      <c r="R269" t="s">
        <v>48</v>
      </c>
      <c r="S269" t="s">
        <v>63</v>
      </c>
      <c r="T269">
        <v>290</v>
      </c>
      <c r="U269" t="s">
        <v>50</v>
      </c>
      <c r="V269" t="s">
        <v>64</v>
      </c>
      <c r="X269" t="s">
        <v>66</v>
      </c>
      <c r="Y269" t="s">
        <v>67</v>
      </c>
      <c r="AA269">
        <v>0</v>
      </c>
      <c r="AB269" t="s">
        <v>54</v>
      </c>
      <c r="AC269" t="s">
        <v>55</v>
      </c>
      <c r="AD269">
        <v>34</v>
      </c>
      <c r="AE269">
        <v>8</v>
      </c>
      <c r="AF269">
        <v>3</v>
      </c>
      <c r="AG269">
        <v>2025</v>
      </c>
      <c r="AH269" s="13">
        <v>3600</v>
      </c>
      <c r="AI269" s="13">
        <v>3404.14990234375</v>
      </c>
      <c r="AJ269" s="13">
        <f t="shared" si="32"/>
        <v>195.85009765625</v>
      </c>
      <c r="AK269" s="14">
        <f t="shared" si="33"/>
        <v>5.4402804904513886E-2</v>
      </c>
      <c r="AL269" s="9">
        <v>3600</v>
      </c>
      <c r="AM269" s="9">
        <v>3530.4935531094102</v>
      </c>
      <c r="AN269" s="9">
        <f t="shared" si="34"/>
        <v>69.506446890589814</v>
      </c>
      <c r="AO269" s="10">
        <f t="shared" si="35"/>
        <v>1.9307346358497169E-2</v>
      </c>
      <c r="AP269" s="16">
        <v>3600</v>
      </c>
      <c r="AQ269" s="16">
        <v>3306.0953073191822</v>
      </c>
      <c r="AR269" s="16">
        <f t="shared" si="36"/>
        <v>293.90469268081779</v>
      </c>
      <c r="AS269" s="17">
        <f t="shared" si="37"/>
        <v>8.1640192411338269E-2</v>
      </c>
      <c r="AT269" s="6">
        <v>3600</v>
      </c>
      <c r="AU269" s="6">
        <v>3129.208251953125</v>
      </c>
      <c r="AV269" s="6">
        <f t="shared" si="38"/>
        <v>470.791748046875</v>
      </c>
      <c r="AW269" s="7">
        <f t="shared" si="39"/>
        <v>0.13077548556857638</v>
      </c>
    </row>
    <row r="270" spans="1:49" x14ac:dyDescent="0.25">
      <c r="A270" t="s">
        <v>56</v>
      </c>
      <c r="B270" t="s">
        <v>178</v>
      </c>
      <c r="C270">
        <v>49637</v>
      </c>
      <c r="D270">
        <v>2021</v>
      </c>
      <c r="E270" t="s">
        <v>640</v>
      </c>
      <c r="F270" t="s">
        <v>641</v>
      </c>
      <c r="J270" t="s">
        <v>74</v>
      </c>
      <c r="K270">
        <v>4</v>
      </c>
      <c r="L270" t="s">
        <v>44</v>
      </c>
      <c r="N270" t="s">
        <v>44</v>
      </c>
      <c r="O270" t="s">
        <v>46</v>
      </c>
      <c r="P270">
        <v>4</v>
      </c>
      <c r="Q270" t="s">
        <v>84</v>
      </c>
      <c r="R270" t="s">
        <v>48</v>
      </c>
      <c r="U270" t="s">
        <v>483</v>
      </c>
      <c r="X270" t="s">
        <v>141</v>
      </c>
      <c r="Y270" t="s">
        <v>67</v>
      </c>
      <c r="AA270">
        <v>1</v>
      </c>
      <c r="AB270" t="s">
        <v>484</v>
      </c>
      <c r="AC270" t="s">
        <v>149</v>
      </c>
      <c r="AD270">
        <v>34</v>
      </c>
      <c r="AE270">
        <v>8</v>
      </c>
      <c r="AF270">
        <v>3</v>
      </c>
      <c r="AG270">
        <v>2025</v>
      </c>
      <c r="AH270" s="13">
        <v>22600</v>
      </c>
      <c r="AI270" s="13">
        <v>20234.45703125</v>
      </c>
      <c r="AJ270" s="13">
        <f t="shared" si="32"/>
        <v>2365.54296875</v>
      </c>
      <c r="AK270" s="14">
        <f t="shared" si="33"/>
        <v>0.10467004286504425</v>
      </c>
      <c r="AL270" s="9">
        <v>22600</v>
      </c>
      <c r="AM270" s="9">
        <v>22296.511280321749</v>
      </c>
      <c r="AN270" s="9">
        <f t="shared" si="34"/>
        <v>303.48871967825107</v>
      </c>
      <c r="AO270" s="10">
        <f t="shared" si="35"/>
        <v>1.3428704410542083E-2</v>
      </c>
      <c r="AP270" s="16">
        <v>22600</v>
      </c>
      <c r="AQ270" s="16">
        <v>21075.16216573468</v>
      </c>
      <c r="AR270" s="16">
        <f t="shared" si="36"/>
        <v>1524.8378342653195</v>
      </c>
      <c r="AS270" s="17">
        <f t="shared" si="37"/>
        <v>6.747070063120883E-2</v>
      </c>
      <c r="AT270" s="6">
        <v>22600</v>
      </c>
      <c r="AU270" s="6">
        <v>22008.66796875</v>
      </c>
      <c r="AV270" s="6">
        <f t="shared" si="38"/>
        <v>591.33203125</v>
      </c>
      <c r="AW270" s="7">
        <f t="shared" si="39"/>
        <v>2.6165134126106195E-2</v>
      </c>
    </row>
    <row r="271" spans="1:49" x14ac:dyDescent="0.25">
      <c r="A271" t="s">
        <v>38</v>
      </c>
      <c r="B271" t="s">
        <v>132</v>
      </c>
      <c r="C271">
        <v>131477</v>
      </c>
      <c r="D271">
        <v>2016</v>
      </c>
      <c r="E271" t="s">
        <v>79</v>
      </c>
      <c r="F271" t="s">
        <v>642</v>
      </c>
      <c r="G271" t="s">
        <v>643</v>
      </c>
      <c r="I271">
        <v>6</v>
      </c>
      <c r="J271" t="s">
        <v>43</v>
      </c>
      <c r="K271">
        <v>4</v>
      </c>
      <c r="L271" t="s">
        <v>44</v>
      </c>
      <c r="M271">
        <v>3.6</v>
      </c>
      <c r="N271" t="s">
        <v>45</v>
      </c>
      <c r="O271" t="s">
        <v>46</v>
      </c>
      <c r="P271">
        <v>2</v>
      </c>
      <c r="Q271" t="s">
        <v>84</v>
      </c>
      <c r="R271" t="s">
        <v>85</v>
      </c>
      <c r="U271" t="s">
        <v>50</v>
      </c>
      <c r="W271" t="s">
        <v>86</v>
      </c>
      <c r="X271" t="s">
        <v>87</v>
      </c>
      <c r="Y271" t="s">
        <v>88</v>
      </c>
      <c r="AA271">
        <v>0</v>
      </c>
      <c r="AB271" t="s">
        <v>54</v>
      </c>
      <c r="AC271" t="s">
        <v>89</v>
      </c>
      <c r="AD271">
        <v>34</v>
      </c>
      <c r="AE271">
        <v>8</v>
      </c>
      <c r="AF271">
        <v>3</v>
      </c>
      <c r="AG271">
        <v>2025</v>
      </c>
      <c r="AH271" s="13">
        <v>2100</v>
      </c>
      <c r="AI271" s="13">
        <v>2473.2900390625</v>
      </c>
      <c r="AJ271" s="13">
        <f t="shared" si="32"/>
        <v>373.2900390625</v>
      </c>
      <c r="AK271" s="14">
        <f t="shared" si="33"/>
        <v>0.17775716145833334</v>
      </c>
      <c r="AL271" s="9">
        <v>2100</v>
      </c>
      <c r="AM271" s="9">
        <v>1796.423387175206</v>
      </c>
      <c r="AN271" s="9">
        <f t="shared" si="34"/>
        <v>303.57661282479398</v>
      </c>
      <c r="AO271" s="10">
        <f t="shared" si="35"/>
        <v>0.14456029182133046</v>
      </c>
      <c r="AP271" s="16">
        <v>2100</v>
      </c>
      <c r="AQ271" s="16">
        <v>2581.5413237155158</v>
      </c>
      <c r="AR271" s="16">
        <f t="shared" si="36"/>
        <v>481.54132371551577</v>
      </c>
      <c r="AS271" s="17">
        <f t="shared" si="37"/>
        <v>0.22930539224548371</v>
      </c>
      <c r="AT271" s="6">
        <v>2100</v>
      </c>
      <c r="AU271" s="6">
        <v>2037.391845703125</v>
      </c>
      <c r="AV271" s="6">
        <f t="shared" si="38"/>
        <v>62.608154296875</v>
      </c>
      <c r="AW271" s="7">
        <f t="shared" si="39"/>
        <v>2.9813406808035715E-2</v>
      </c>
    </row>
    <row r="272" spans="1:49" x14ac:dyDescent="0.25">
      <c r="A272" t="s">
        <v>69</v>
      </c>
      <c r="B272" t="s">
        <v>70</v>
      </c>
      <c r="C272">
        <v>290017</v>
      </c>
      <c r="D272">
        <v>2012</v>
      </c>
      <c r="E272" t="s">
        <v>58</v>
      </c>
      <c r="F272" t="s">
        <v>510</v>
      </c>
      <c r="H272" t="s">
        <v>511</v>
      </c>
      <c r="I272">
        <v>8</v>
      </c>
      <c r="J272" t="s">
        <v>43</v>
      </c>
      <c r="K272">
        <v>4</v>
      </c>
      <c r="L272" t="s">
        <v>44</v>
      </c>
      <c r="M272">
        <v>6.7</v>
      </c>
      <c r="N272" t="s">
        <v>62</v>
      </c>
      <c r="O272" t="s">
        <v>83</v>
      </c>
      <c r="Q272" t="s">
        <v>75</v>
      </c>
      <c r="R272" t="s">
        <v>76</v>
      </c>
      <c r="S272" t="s">
        <v>63</v>
      </c>
      <c r="T272">
        <v>400</v>
      </c>
      <c r="U272" t="s">
        <v>300</v>
      </c>
      <c r="V272" t="s">
        <v>64</v>
      </c>
      <c r="X272" t="s">
        <v>390</v>
      </c>
      <c r="Y272" t="s">
        <v>67</v>
      </c>
      <c r="AA272">
        <v>0</v>
      </c>
      <c r="AB272" t="s">
        <v>54</v>
      </c>
      <c r="AC272" t="s">
        <v>78</v>
      </c>
      <c r="AD272">
        <v>34</v>
      </c>
      <c r="AE272">
        <v>8</v>
      </c>
      <c r="AF272">
        <v>3</v>
      </c>
      <c r="AG272">
        <v>2025</v>
      </c>
      <c r="AH272" s="13">
        <v>7200</v>
      </c>
      <c r="AI272" s="13">
        <v>1739.648071289062</v>
      </c>
      <c r="AJ272" s="13">
        <f t="shared" si="32"/>
        <v>5460.3519287109375</v>
      </c>
      <c r="AK272" s="14">
        <f t="shared" si="33"/>
        <v>0.75838221232096359</v>
      </c>
      <c r="AL272" s="9">
        <v>7200</v>
      </c>
      <c r="AM272" s="9">
        <v>2070.514291392486</v>
      </c>
      <c r="AN272" s="9">
        <f t="shared" si="34"/>
        <v>5129.4857086075135</v>
      </c>
      <c r="AO272" s="10">
        <f t="shared" si="35"/>
        <v>0.71242857063993248</v>
      </c>
      <c r="AP272" s="16">
        <v>7200</v>
      </c>
      <c r="AQ272" s="16">
        <v>2888.4158059234351</v>
      </c>
      <c r="AR272" s="16">
        <f t="shared" si="36"/>
        <v>4311.5841940765649</v>
      </c>
      <c r="AS272" s="17">
        <f t="shared" si="37"/>
        <v>0.59883113806618959</v>
      </c>
      <c r="AT272" s="6">
        <v>7200</v>
      </c>
      <c r="AU272" s="6">
        <v>2670.095703125</v>
      </c>
      <c r="AV272" s="6">
        <f t="shared" si="38"/>
        <v>4529.904296875</v>
      </c>
      <c r="AW272" s="7">
        <f t="shared" si="39"/>
        <v>0.6291533745659722</v>
      </c>
    </row>
    <row r="273" spans="1:49" x14ac:dyDescent="0.25">
      <c r="A273" t="s">
        <v>38</v>
      </c>
      <c r="B273" t="s">
        <v>267</v>
      </c>
      <c r="C273">
        <v>194873</v>
      </c>
      <c r="D273">
        <v>2012</v>
      </c>
      <c r="E273" t="s">
        <v>58</v>
      </c>
      <c r="F273" t="s">
        <v>258</v>
      </c>
      <c r="H273" t="s">
        <v>266</v>
      </c>
      <c r="I273">
        <v>6</v>
      </c>
      <c r="J273" t="s">
        <v>94</v>
      </c>
      <c r="K273">
        <v>4</v>
      </c>
      <c r="L273" t="s">
        <v>44</v>
      </c>
      <c r="M273">
        <v>3</v>
      </c>
      <c r="N273" t="s">
        <v>62</v>
      </c>
      <c r="O273" t="s">
        <v>46</v>
      </c>
      <c r="Q273" t="s">
        <v>47</v>
      </c>
      <c r="R273" t="s">
        <v>48</v>
      </c>
      <c r="T273">
        <v>240</v>
      </c>
      <c r="U273" t="s">
        <v>50</v>
      </c>
      <c r="V273" t="s">
        <v>64</v>
      </c>
      <c r="X273" t="s">
        <v>52</v>
      </c>
      <c r="Y273" t="s">
        <v>67</v>
      </c>
      <c r="AA273">
        <v>0</v>
      </c>
      <c r="AB273" t="s">
        <v>54</v>
      </c>
      <c r="AC273" t="s">
        <v>55</v>
      </c>
      <c r="AD273">
        <v>34</v>
      </c>
      <c r="AE273">
        <v>8</v>
      </c>
      <c r="AF273">
        <v>3</v>
      </c>
      <c r="AG273">
        <v>2025</v>
      </c>
      <c r="AH273" s="13">
        <v>1700</v>
      </c>
      <c r="AI273" s="13">
        <v>1412.62744140625</v>
      </c>
      <c r="AJ273" s="13">
        <f t="shared" si="32"/>
        <v>287.37255859375</v>
      </c>
      <c r="AK273" s="14">
        <f t="shared" si="33"/>
        <v>0.16904268152573529</v>
      </c>
      <c r="AL273" s="9">
        <v>1700</v>
      </c>
      <c r="AM273" s="9">
        <v>1378.359696986287</v>
      </c>
      <c r="AN273" s="9">
        <f t="shared" si="34"/>
        <v>321.64030301371304</v>
      </c>
      <c r="AO273" s="10">
        <f t="shared" si="35"/>
        <v>0.18920017824336061</v>
      </c>
      <c r="AP273" s="16">
        <v>1700</v>
      </c>
      <c r="AQ273" s="16">
        <v>1289.077132964884</v>
      </c>
      <c r="AR273" s="16">
        <f t="shared" si="36"/>
        <v>410.92286703511604</v>
      </c>
      <c r="AS273" s="17">
        <f t="shared" si="37"/>
        <v>0.24171933355006825</v>
      </c>
      <c r="AT273" s="6">
        <v>1700</v>
      </c>
      <c r="AU273" s="6">
        <v>1278.59912109375</v>
      </c>
      <c r="AV273" s="6">
        <f t="shared" si="38"/>
        <v>421.40087890625</v>
      </c>
      <c r="AW273" s="7">
        <f t="shared" si="39"/>
        <v>0.24788286994485295</v>
      </c>
    </row>
    <row r="274" spans="1:49" x14ac:dyDescent="0.25">
      <c r="A274" t="s">
        <v>56</v>
      </c>
      <c r="B274" t="s">
        <v>178</v>
      </c>
      <c r="C274">
        <v>147734</v>
      </c>
      <c r="D274">
        <v>2022</v>
      </c>
      <c r="E274" t="s">
        <v>145</v>
      </c>
      <c r="F274" t="s">
        <v>644</v>
      </c>
      <c r="G274" t="s">
        <v>313</v>
      </c>
      <c r="I274">
        <v>4</v>
      </c>
      <c r="J274" t="s">
        <v>74</v>
      </c>
      <c r="K274">
        <v>4</v>
      </c>
      <c r="L274" t="s">
        <v>44</v>
      </c>
      <c r="M274">
        <v>1.5</v>
      </c>
      <c r="N274" t="s">
        <v>45</v>
      </c>
      <c r="O274" t="s">
        <v>46</v>
      </c>
      <c r="P274">
        <v>4</v>
      </c>
      <c r="Q274" t="s">
        <v>84</v>
      </c>
      <c r="R274" t="s">
        <v>85</v>
      </c>
      <c r="S274" t="s">
        <v>49</v>
      </c>
      <c r="T274">
        <v>107</v>
      </c>
      <c r="U274" t="s">
        <v>50</v>
      </c>
      <c r="V274" t="s">
        <v>95</v>
      </c>
      <c r="W274" t="s">
        <v>645</v>
      </c>
      <c r="X274" t="s">
        <v>122</v>
      </c>
      <c r="Y274" t="s">
        <v>67</v>
      </c>
      <c r="AA274">
        <v>1</v>
      </c>
      <c r="AB274" t="s">
        <v>130</v>
      </c>
      <c r="AC274" t="s">
        <v>131</v>
      </c>
      <c r="AD274">
        <v>34</v>
      </c>
      <c r="AE274">
        <v>8</v>
      </c>
      <c r="AF274">
        <v>3</v>
      </c>
      <c r="AG274">
        <v>2025</v>
      </c>
      <c r="AH274" s="13">
        <v>11500</v>
      </c>
      <c r="AI274" s="13">
        <v>12152.802734375</v>
      </c>
      <c r="AJ274" s="13">
        <f t="shared" si="32"/>
        <v>652.802734375</v>
      </c>
      <c r="AK274" s="14">
        <f t="shared" si="33"/>
        <v>5.6765455163043481E-2</v>
      </c>
      <c r="AL274" s="9">
        <v>11500</v>
      </c>
      <c r="AM274" s="9">
        <v>11215.23032449498</v>
      </c>
      <c r="AN274" s="9">
        <f t="shared" si="34"/>
        <v>284.76967550502013</v>
      </c>
      <c r="AO274" s="10">
        <f t="shared" si="35"/>
        <v>2.4762580478697404E-2</v>
      </c>
      <c r="AP274" s="16">
        <v>11500</v>
      </c>
      <c r="AQ274" s="16">
        <v>11595.79899450411</v>
      </c>
      <c r="AR274" s="16">
        <f t="shared" si="36"/>
        <v>95.798994504109942</v>
      </c>
      <c r="AS274" s="17">
        <f t="shared" si="37"/>
        <v>8.3303473481834735E-3</v>
      </c>
      <c r="AT274" s="6">
        <v>11500</v>
      </c>
      <c r="AU274" s="6">
        <v>10281.544921875</v>
      </c>
      <c r="AV274" s="6">
        <f t="shared" si="38"/>
        <v>1218.455078125</v>
      </c>
      <c r="AW274" s="7">
        <f t="shared" si="39"/>
        <v>0.10595261548913043</v>
      </c>
    </row>
    <row r="275" spans="1:49" x14ac:dyDescent="0.25">
      <c r="A275" t="s">
        <v>56</v>
      </c>
      <c r="B275" t="s">
        <v>57</v>
      </c>
      <c r="C275">
        <v>118102</v>
      </c>
      <c r="D275">
        <v>2016</v>
      </c>
      <c r="E275" t="s">
        <v>58</v>
      </c>
      <c r="F275" t="s">
        <v>646</v>
      </c>
      <c r="G275" t="s">
        <v>261</v>
      </c>
      <c r="I275">
        <v>6</v>
      </c>
      <c r="J275" t="s">
        <v>82</v>
      </c>
      <c r="K275">
        <v>4</v>
      </c>
      <c r="L275" t="s">
        <v>44</v>
      </c>
      <c r="M275">
        <v>3.5</v>
      </c>
      <c r="N275" t="s">
        <v>45</v>
      </c>
      <c r="O275" t="s">
        <v>46</v>
      </c>
      <c r="P275">
        <v>1</v>
      </c>
      <c r="Q275" t="s">
        <v>84</v>
      </c>
      <c r="R275" t="s">
        <v>85</v>
      </c>
      <c r="S275" t="s">
        <v>102</v>
      </c>
      <c r="T275">
        <v>288</v>
      </c>
      <c r="U275" t="s">
        <v>50</v>
      </c>
      <c r="V275" t="s">
        <v>64</v>
      </c>
      <c r="X275" t="s">
        <v>87</v>
      </c>
      <c r="Y275" t="s">
        <v>67</v>
      </c>
      <c r="AA275">
        <v>0</v>
      </c>
      <c r="AB275" t="s">
        <v>54</v>
      </c>
      <c r="AC275" t="s">
        <v>89</v>
      </c>
      <c r="AD275">
        <v>34</v>
      </c>
      <c r="AE275">
        <v>8</v>
      </c>
      <c r="AF275">
        <v>3</v>
      </c>
      <c r="AG275">
        <v>2025</v>
      </c>
      <c r="AH275" s="13">
        <v>4000</v>
      </c>
      <c r="AI275" s="13">
        <v>2944.874755859375</v>
      </c>
      <c r="AJ275" s="13">
        <f t="shared" si="32"/>
        <v>1055.125244140625</v>
      </c>
      <c r="AK275" s="14">
        <f t="shared" si="33"/>
        <v>0.26378131103515623</v>
      </c>
      <c r="AL275" s="9">
        <v>4000</v>
      </c>
      <c r="AM275" s="9">
        <v>2939.4861700677229</v>
      </c>
      <c r="AN275" s="9">
        <f t="shared" si="34"/>
        <v>1060.5138299322771</v>
      </c>
      <c r="AO275" s="10">
        <f t="shared" si="35"/>
        <v>0.26512845748306929</v>
      </c>
      <c r="AP275" s="16">
        <v>4000</v>
      </c>
      <c r="AQ275" s="16">
        <v>2037.3177187029401</v>
      </c>
      <c r="AR275" s="16">
        <f t="shared" si="36"/>
        <v>1962.6822812970599</v>
      </c>
      <c r="AS275" s="17">
        <f t="shared" si="37"/>
        <v>0.49067057032426498</v>
      </c>
      <c r="AT275" s="6">
        <v>4000</v>
      </c>
      <c r="AU275" s="6">
        <v>2703.072998046875</v>
      </c>
      <c r="AV275" s="6">
        <f t="shared" si="38"/>
        <v>1296.927001953125</v>
      </c>
      <c r="AW275" s="7">
        <f t="shared" si="39"/>
        <v>0.32423175048828123</v>
      </c>
    </row>
    <row r="276" spans="1:49" x14ac:dyDescent="0.25">
      <c r="A276" t="s">
        <v>56</v>
      </c>
      <c r="B276" t="s">
        <v>178</v>
      </c>
      <c r="C276">
        <v>9879</v>
      </c>
      <c r="D276">
        <v>2024</v>
      </c>
      <c r="E276" t="s">
        <v>91</v>
      </c>
      <c r="F276" t="s">
        <v>517</v>
      </c>
      <c r="G276" t="s">
        <v>647</v>
      </c>
      <c r="H276" t="s">
        <v>519</v>
      </c>
      <c r="I276">
        <v>4</v>
      </c>
      <c r="J276" t="s">
        <v>82</v>
      </c>
      <c r="K276">
        <v>4</v>
      </c>
      <c r="L276" t="s">
        <v>44</v>
      </c>
      <c r="M276">
        <v>2.5</v>
      </c>
      <c r="N276" t="s">
        <v>44</v>
      </c>
      <c r="Q276" t="s">
        <v>47</v>
      </c>
      <c r="R276" t="s">
        <v>48</v>
      </c>
      <c r="S276" t="s">
        <v>63</v>
      </c>
      <c r="T276">
        <v>176</v>
      </c>
      <c r="U276" t="s">
        <v>50</v>
      </c>
      <c r="V276" t="s">
        <v>95</v>
      </c>
      <c r="W276" t="s">
        <v>648</v>
      </c>
      <c r="X276" t="s">
        <v>52</v>
      </c>
      <c r="Y276" t="s">
        <v>88</v>
      </c>
      <c r="AA276">
        <v>1</v>
      </c>
      <c r="AB276" t="s">
        <v>130</v>
      </c>
      <c r="AC276" t="s">
        <v>149</v>
      </c>
      <c r="AD276">
        <v>34</v>
      </c>
      <c r="AE276">
        <v>8</v>
      </c>
      <c r="AF276">
        <v>3</v>
      </c>
      <c r="AG276">
        <v>2025</v>
      </c>
      <c r="AH276" s="13">
        <v>35600</v>
      </c>
      <c r="AI276" s="13">
        <v>29555.466796875</v>
      </c>
      <c r="AJ276" s="13">
        <f t="shared" si="32"/>
        <v>6044.533203125</v>
      </c>
      <c r="AK276" s="14">
        <f t="shared" si="33"/>
        <v>0.16979025851474719</v>
      </c>
      <c r="AL276" s="9">
        <v>35600</v>
      </c>
      <c r="AM276" s="9">
        <v>31301.0764751241</v>
      </c>
      <c r="AN276" s="9">
        <f t="shared" si="34"/>
        <v>4298.9235248758996</v>
      </c>
      <c r="AO276" s="10">
        <f t="shared" si="35"/>
        <v>0.12075627878864886</v>
      </c>
      <c r="AP276" s="16">
        <v>35600</v>
      </c>
      <c r="AQ276" s="16">
        <v>33043.586557978721</v>
      </c>
      <c r="AR276" s="16">
        <f t="shared" si="36"/>
        <v>2556.4134420212795</v>
      </c>
      <c r="AS276" s="17">
        <f t="shared" si="37"/>
        <v>7.1809366348912343E-2</v>
      </c>
      <c r="AT276" s="6">
        <v>35600</v>
      </c>
      <c r="AU276" s="6">
        <v>29993.353515625</v>
      </c>
      <c r="AV276" s="6">
        <f t="shared" si="38"/>
        <v>5606.646484375</v>
      </c>
      <c r="AW276" s="7">
        <f t="shared" si="39"/>
        <v>0.15749006978581462</v>
      </c>
    </row>
    <row r="277" spans="1:49" x14ac:dyDescent="0.25">
      <c r="A277" t="s">
        <v>56</v>
      </c>
      <c r="B277" t="s">
        <v>57</v>
      </c>
      <c r="C277">
        <v>187448</v>
      </c>
      <c r="D277">
        <v>2019</v>
      </c>
      <c r="E277" t="s">
        <v>58</v>
      </c>
      <c r="F277" t="s">
        <v>168</v>
      </c>
      <c r="I277">
        <v>8</v>
      </c>
      <c r="J277" t="s">
        <v>43</v>
      </c>
      <c r="K277">
        <v>4</v>
      </c>
      <c r="L277" t="s">
        <v>44</v>
      </c>
      <c r="M277">
        <v>5</v>
      </c>
      <c r="N277" t="s">
        <v>116</v>
      </c>
      <c r="O277" t="s">
        <v>46</v>
      </c>
      <c r="P277">
        <v>2</v>
      </c>
      <c r="Q277" t="s">
        <v>75</v>
      </c>
      <c r="R277" t="s">
        <v>76</v>
      </c>
      <c r="S277" t="s">
        <v>49</v>
      </c>
      <c r="T277">
        <v>395</v>
      </c>
      <c r="U277" t="s">
        <v>50</v>
      </c>
      <c r="V277" t="s">
        <v>64</v>
      </c>
      <c r="W277" t="s">
        <v>649</v>
      </c>
      <c r="X277" t="s">
        <v>66</v>
      </c>
      <c r="Y277" t="s">
        <v>67</v>
      </c>
      <c r="AA277">
        <v>0</v>
      </c>
      <c r="AB277" t="s">
        <v>54</v>
      </c>
      <c r="AC277" t="s">
        <v>78</v>
      </c>
      <c r="AD277">
        <v>34</v>
      </c>
      <c r="AE277">
        <v>8</v>
      </c>
      <c r="AF277">
        <v>3</v>
      </c>
      <c r="AG277">
        <v>2025</v>
      </c>
      <c r="AH277" s="13">
        <v>7000</v>
      </c>
      <c r="AI277" s="13">
        <v>5480.55029296875</v>
      </c>
      <c r="AJ277" s="13">
        <f t="shared" si="32"/>
        <v>1519.44970703125</v>
      </c>
      <c r="AK277" s="14">
        <f t="shared" si="33"/>
        <v>0.21706424386160714</v>
      </c>
      <c r="AL277" s="9">
        <v>7000</v>
      </c>
      <c r="AM277" s="9">
        <v>6916.638486334683</v>
      </c>
      <c r="AN277" s="9">
        <f t="shared" si="34"/>
        <v>83.361513665317034</v>
      </c>
      <c r="AO277" s="10">
        <f t="shared" si="35"/>
        <v>1.1908787666473863E-2</v>
      </c>
      <c r="AP277" s="16">
        <v>7000</v>
      </c>
      <c r="AQ277" s="16">
        <v>6522.9514029201528</v>
      </c>
      <c r="AR277" s="16">
        <f t="shared" si="36"/>
        <v>477.04859707984724</v>
      </c>
      <c r="AS277" s="17">
        <f t="shared" si="37"/>
        <v>6.8149799582835319E-2</v>
      </c>
      <c r="AT277" s="6">
        <v>7000</v>
      </c>
      <c r="AU277" s="6">
        <v>6912.26953125</v>
      </c>
      <c r="AV277" s="6">
        <f t="shared" si="38"/>
        <v>87.73046875</v>
      </c>
      <c r="AW277" s="7">
        <f t="shared" si="39"/>
        <v>1.2532924107142858E-2</v>
      </c>
    </row>
    <row r="278" spans="1:49" x14ac:dyDescent="0.25">
      <c r="A278" t="s">
        <v>56</v>
      </c>
      <c r="B278" t="s">
        <v>178</v>
      </c>
      <c r="C278">
        <v>63775</v>
      </c>
      <c r="D278">
        <v>2021</v>
      </c>
      <c r="E278" t="s">
        <v>91</v>
      </c>
      <c r="F278" t="s">
        <v>650</v>
      </c>
      <c r="G278" t="s">
        <v>651</v>
      </c>
      <c r="H278" t="s">
        <v>652</v>
      </c>
      <c r="I278">
        <v>8</v>
      </c>
      <c r="J278" t="s">
        <v>74</v>
      </c>
      <c r="K278">
        <v>4</v>
      </c>
      <c r="L278" t="s">
        <v>44</v>
      </c>
      <c r="M278">
        <v>5.7</v>
      </c>
      <c r="N278" t="s">
        <v>62</v>
      </c>
      <c r="O278" t="s">
        <v>46</v>
      </c>
      <c r="P278">
        <v>5</v>
      </c>
      <c r="Q278" t="s">
        <v>75</v>
      </c>
      <c r="R278" t="s">
        <v>76</v>
      </c>
      <c r="S278" t="s">
        <v>63</v>
      </c>
      <c r="T278">
        <v>381</v>
      </c>
      <c r="U278" t="s">
        <v>50</v>
      </c>
      <c r="V278" t="s">
        <v>64</v>
      </c>
      <c r="W278" t="s">
        <v>653</v>
      </c>
      <c r="X278" t="s">
        <v>77</v>
      </c>
      <c r="Y278" t="s">
        <v>67</v>
      </c>
      <c r="Z278">
        <v>35715</v>
      </c>
      <c r="AA278">
        <v>0</v>
      </c>
      <c r="AB278" t="s">
        <v>54</v>
      </c>
      <c r="AC278" t="s">
        <v>78</v>
      </c>
      <c r="AD278">
        <v>34</v>
      </c>
      <c r="AE278">
        <v>8</v>
      </c>
      <c r="AF278">
        <v>3</v>
      </c>
      <c r="AG278">
        <v>2025</v>
      </c>
      <c r="AH278" s="13">
        <v>37600</v>
      </c>
      <c r="AI278" s="13">
        <v>37262.84375</v>
      </c>
      <c r="AJ278" s="13">
        <f t="shared" si="32"/>
        <v>337.15625</v>
      </c>
      <c r="AK278" s="14">
        <f t="shared" si="33"/>
        <v>8.9669215425531908E-3</v>
      </c>
      <c r="AL278" s="9">
        <v>37600</v>
      </c>
      <c r="AM278" s="9">
        <v>31547.79671577963</v>
      </c>
      <c r="AN278" s="9">
        <f t="shared" si="34"/>
        <v>6052.2032842203698</v>
      </c>
      <c r="AO278" s="10">
        <f t="shared" si="35"/>
        <v>0.16096285330373325</v>
      </c>
      <c r="AP278" s="16">
        <v>37600</v>
      </c>
      <c r="AQ278" s="16">
        <v>35254.263277565748</v>
      </c>
      <c r="AR278" s="16">
        <f t="shared" si="36"/>
        <v>2345.7367224342524</v>
      </c>
      <c r="AS278" s="17">
        <f t="shared" si="37"/>
        <v>6.2386614958357775E-2</v>
      </c>
      <c r="AT278" s="6">
        <v>37600</v>
      </c>
      <c r="AU278" s="6">
        <v>32738.404296875</v>
      </c>
      <c r="AV278" s="6">
        <f t="shared" si="38"/>
        <v>4861.595703125</v>
      </c>
      <c r="AW278" s="7">
        <f t="shared" si="39"/>
        <v>0.12929775806183511</v>
      </c>
    </row>
    <row r="279" spans="1:49" x14ac:dyDescent="0.25">
      <c r="A279" t="s">
        <v>107</v>
      </c>
      <c r="B279" t="s">
        <v>614</v>
      </c>
      <c r="C279">
        <v>144727</v>
      </c>
      <c r="D279">
        <v>2012</v>
      </c>
      <c r="E279" t="s">
        <v>213</v>
      </c>
      <c r="F279" t="s">
        <v>654</v>
      </c>
      <c r="G279" t="s">
        <v>215</v>
      </c>
      <c r="I279">
        <v>6</v>
      </c>
      <c r="J279" t="s">
        <v>82</v>
      </c>
      <c r="K279">
        <v>4</v>
      </c>
      <c r="L279" t="s">
        <v>44</v>
      </c>
      <c r="M279">
        <v>3.6</v>
      </c>
      <c r="N279" t="s">
        <v>45</v>
      </c>
      <c r="O279" t="s">
        <v>46</v>
      </c>
      <c r="Q279" t="s">
        <v>47</v>
      </c>
      <c r="R279" t="s">
        <v>48</v>
      </c>
      <c r="S279" t="s">
        <v>102</v>
      </c>
      <c r="U279" t="s">
        <v>50</v>
      </c>
      <c r="W279" t="s">
        <v>655</v>
      </c>
      <c r="X279" t="s">
        <v>141</v>
      </c>
      <c r="Y279" t="s">
        <v>106</v>
      </c>
      <c r="AA279">
        <v>0</v>
      </c>
      <c r="AB279" t="s">
        <v>54</v>
      </c>
      <c r="AC279" t="s">
        <v>55</v>
      </c>
      <c r="AD279">
        <v>34</v>
      </c>
      <c r="AE279">
        <v>8</v>
      </c>
      <c r="AF279">
        <v>3</v>
      </c>
      <c r="AG279">
        <v>2025</v>
      </c>
      <c r="AH279" s="13">
        <v>2400</v>
      </c>
      <c r="AI279" s="13">
        <v>2559.52880859375</v>
      </c>
      <c r="AJ279" s="13">
        <f t="shared" si="32"/>
        <v>159.52880859375</v>
      </c>
      <c r="AK279" s="14">
        <f t="shared" si="33"/>
        <v>6.6470336914062497E-2</v>
      </c>
      <c r="AL279" s="9">
        <v>2400</v>
      </c>
      <c r="AM279" s="9">
        <v>2580.28421834351</v>
      </c>
      <c r="AN279" s="9">
        <f t="shared" si="34"/>
        <v>180.28421834351002</v>
      </c>
      <c r="AO279" s="10">
        <f t="shared" si="35"/>
        <v>7.5118424309795845E-2</v>
      </c>
      <c r="AP279" s="16">
        <v>2400</v>
      </c>
      <c r="AQ279" s="16">
        <v>2132.1472826572722</v>
      </c>
      <c r="AR279" s="16">
        <f t="shared" si="36"/>
        <v>267.85271734272783</v>
      </c>
      <c r="AS279" s="17">
        <f t="shared" si="37"/>
        <v>0.11160529889280327</v>
      </c>
      <c r="AT279" s="6">
        <v>2400</v>
      </c>
      <c r="AU279" s="6">
        <v>2330.619140625</v>
      </c>
      <c r="AV279" s="6">
        <f t="shared" si="38"/>
        <v>69.380859375</v>
      </c>
      <c r="AW279" s="7">
        <f t="shared" si="39"/>
        <v>2.8908691406249999E-2</v>
      </c>
    </row>
    <row r="280" spans="1:49" x14ac:dyDescent="0.25">
      <c r="A280" t="s">
        <v>38</v>
      </c>
      <c r="B280" t="s">
        <v>229</v>
      </c>
      <c r="C280">
        <v>172359</v>
      </c>
      <c r="D280">
        <v>2014</v>
      </c>
      <c r="E280" t="s">
        <v>40</v>
      </c>
      <c r="F280" t="s">
        <v>295</v>
      </c>
      <c r="G280" t="s">
        <v>656</v>
      </c>
      <c r="I280">
        <v>4</v>
      </c>
      <c r="J280" t="s">
        <v>43</v>
      </c>
      <c r="K280">
        <v>4</v>
      </c>
      <c r="L280" t="s">
        <v>44</v>
      </c>
      <c r="M280">
        <v>2.4</v>
      </c>
      <c r="N280" t="s">
        <v>45</v>
      </c>
      <c r="O280" t="s">
        <v>46</v>
      </c>
      <c r="Q280" t="s">
        <v>84</v>
      </c>
      <c r="R280" t="s">
        <v>85</v>
      </c>
      <c r="U280" t="s">
        <v>50</v>
      </c>
      <c r="W280" t="s">
        <v>539</v>
      </c>
      <c r="X280" t="s">
        <v>87</v>
      </c>
      <c r="Y280" t="s">
        <v>67</v>
      </c>
      <c r="AA280">
        <v>0</v>
      </c>
      <c r="AB280" t="s">
        <v>54</v>
      </c>
      <c r="AC280" t="s">
        <v>89</v>
      </c>
      <c r="AD280">
        <v>34</v>
      </c>
      <c r="AE280">
        <v>8</v>
      </c>
      <c r="AF280">
        <v>3</v>
      </c>
      <c r="AG280">
        <v>2025</v>
      </c>
      <c r="AH280" s="13">
        <v>900</v>
      </c>
      <c r="AI280" s="13">
        <v>1565.203125</v>
      </c>
      <c r="AJ280" s="13">
        <f t="shared" si="32"/>
        <v>665.203125</v>
      </c>
      <c r="AK280" s="14">
        <f t="shared" si="33"/>
        <v>0.73911458333333335</v>
      </c>
      <c r="AL280" s="9">
        <v>900</v>
      </c>
      <c r="AM280" s="9">
        <v>1689.339332290557</v>
      </c>
      <c r="AN280" s="9">
        <f t="shared" si="34"/>
        <v>789.33933229055697</v>
      </c>
      <c r="AO280" s="10">
        <f t="shared" si="35"/>
        <v>0.87704370254506325</v>
      </c>
      <c r="AP280" s="16">
        <v>900</v>
      </c>
      <c r="AQ280" s="16">
        <v>1535.2615005048649</v>
      </c>
      <c r="AR280" s="16">
        <f t="shared" si="36"/>
        <v>635.2615005048649</v>
      </c>
      <c r="AS280" s="17">
        <f t="shared" si="37"/>
        <v>0.70584611167207212</v>
      </c>
      <c r="AT280" s="6">
        <v>900</v>
      </c>
      <c r="AU280" s="6">
        <v>1620.10205078125</v>
      </c>
      <c r="AV280" s="6">
        <f t="shared" si="38"/>
        <v>720.10205078125</v>
      </c>
      <c r="AW280" s="7">
        <f t="shared" si="39"/>
        <v>0.80011338975694446</v>
      </c>
    </row>
    <row r="281" spans="1:49" x14ac:dyDescent="0.25">
      <c r="A281" t="s">
        <v>69</v>
      </c>
      <c r="B281" t="s">
        <v>70</v>
      </c>
      <c r="C281">
        <v>302443</v>
      </c>
      <c r="D281">
        <v>2008</v>
      </c>
      <c r="E281" t="s">
        <v>79</v>
      </c>
      <c r="F281" t="s">
        <v>465</v>
      </c>
      <c r="G281" t="s">
        <v>434</v>
      </c>
      <c r="H281" t="s">
        <v>435</v>
      </c>
      <c r="I281">
        <v>8</v>
      </c>
      <c r="J281" t="s">
        <v>257</v>
      </c>
      <c r="K281">
        <v>4</v>
      </c>
      <c r="L281" t="s">
        <v>44</v>
      </c>
      <c r="M281">
        <v>5.3</v>
      </c>
      <c r="N281" t="s">
        <v>116</v>
      </c>
      <c r="O281" t="s">
        <v>46</v>
      </c>
      <c r="Q281" t="s">
        <v>47</v>
      </c>
      <c r="R281" t="s">
        <v>48</v>
      </c>
      <c r="S281" t="s">
        <v>49</v>
      </c>
      <c r="V281" t="s">
        <v>64</v>
      </c>
      <c r="W281" t="s">
        <v>437</v>
      </c>
      <c r="X281" t="s">
        <v>77</v>
      </c>
      <c r="Y281" t="s">
        <v>67</v>
      </c>
      <c r="AA281">
        <v>0</v>
      </c>
      <c r="AB281" t="s">
        <v>54</v>
      </c>
      <c r="AC281" t="s">
        <v>55</v>
      </c>
      <c r="AD281">
        <v>34</v>
      </c>
      <c r="AE281">
        <v>8</v>
      </c>
      <c r="AF281">
        <v>3</v>
      </c>
      <c r="AG281">
        <v>2025</v>
      </c>
      <c r="AH281" s="13">
        <v>2200</v>
      </c>
      <c r="AI281" s="13">
        <v>1758.853271484375</v>
      </c>
      <c r="AJ281" s="13">
        <f t="shared" si="32"/>
        <v>441.146728515625</v>
      </c>
      <c r="AK281" s="14">
        <f t="shared" si="33"/>
        <v>0.20052124023437501</v>
      </c>
      <c r="AL281" s="9">
        <v>2200</v>
      </c>
      <c r="AM281" s="9">
        <v>1744.3391983513909</v>
      </c>
      <c r="AN281" s="9">
        <f t="shared" si="34"/>
        <v>455.66080164860909</v>
      </c>
      <c r="AO281" s="10">
        <f t="shared" si="35"/>
        <v>0.20711854620391323</v>
      </c>
      <c r="AP281" s="16">
        <v>2200</v>
      </c>
      <c r="AQ281" s="16">
        <v>1149.401607781467</v>
      </c>
      <c r="AR281" s="16">
        <f t="shared" si="36"/>
        <v>1050.598392218533</v>
      </c>
      <c r="AS281" s="17">
        <f t="shared" si="37"/>
        <v>0.47754472373569684</v>
      </c>
      <c r="AT281" s="6">
        <v>2200</v>
      </c>
      <c r="AU281" s="6">
        <v>1835.112182617188</v>
      </c>
      <c r="AV281" s="6">
        <f t="shared" si="38"/>
        <v>364.88781738281205</v>
      </c>
      <c r="AW281" s="7">
        <f t="shared" si="39"/>
        <v>0.16585809881036911</v>
      </c>
    </row>
    <row r="282" spans="1:49" x14ac:dyDescent="0.25">
      <c r="A282" t="s">
        <v>56</v>
      </c>
      <c r="B282" t="s">
        <v>178</v>
      </c>
      <c r="C282">
        <v>79648</v>
      </c>
      <c r="D282">
        <v>2020</v>
      </c>
      <c r="E282" t="s">
        <v>136</v>
      </c>
      <c r="F282" t="s">
        <v>657</v>
      </c>
      <c r="H282" t="s">
        <v>658</v>
      </c>
      <c r="I282">
        <v>4</v>
      </c>
      <c r="J282" t="s">
        <v>43</v>
      </c>
      <c r="K282">
        <v>4</v>
      </c>
      <c r="L282" t="s">
        <v>44</v>
      </c>
      <c r="M282">
        <v>2</v>
      </c>
      <c r="N282" t="s">
        <v>44</v>
      </c>
      <c r="O282" t="s">
        <v>46</v>
      </c>
      <c r="P282">
        <v>4</v>
      </c>
      <c r="Q282" t="s">
        <v>47</v>
      </c>
      <c r="R282" t="s">
        <v>48</v>
      </c>
      <c r="S282" t="s">
        <v>139</v>
      </c>
      <c r="T282">
        <v>184</v>
      </c>
      <c r="U282" t="s">
        <v>50</v>
      </c>
      <c r="X282" t="s">
        <v>141</v>
      </c>
      <c r="Y282" t="s">
        <v>106</v>
      </c>
      <c r="AA282">
        <v>0</v>
      </c>
      <c r="AB282" t="s">
        <v>54</v>
      </c>
      <c r="AC282" t="s">
        <v>55</v>
      </c>
      <c r="AD282">
        <v>34</v>
      </c>
      <c r="AE282">
        <v>8</v>
      </c>
      <c r="AF282">
        <v>3</v>
      </c>
      <c r="AG282">
        <v>2025</v>
      </c>
      <c r="AH282" s="13">
        <v>12000</v>
      </c>
      <c r="AI282" s="13">
        <v>12184.173828125</v>
      </c>
      <c r="AJ282" s="13">
        <f t="shared" si="32"/>
        <v>184.173828125</v>
      </c>
      <c r="AK282" s="14">
        <f t="shared" si="33"/>
        <v>1.5347819010416666E-2</v>
      </c>
      <c r="AL282" s="9">
        <v>12000</v>
      </c>
      <c r="AM282" s="9">
        <v>11173.989086225631</v>
      </c>
      <c r="AN282" s="9">
        <f t="shared" si="34"/>
        <v>826.01091377436933</v>
      </c>
      <c r="AO282" s="10">
        <f t="shared" si="35"/>
        <v>6.883424281453078E-2</v>
      </c>
      <c r="AP282" s="16">
        <v>12000</v>
      </c>
      <c r="AQ282" s="16">
        <v>11948.984914409561</v>
      </c>
      <c r="AR282" s="16">
        <f t="shared" si="36"/>
        <v>51.015085590439412</v>
      </c>
      <c r="AS282" s="17">
        <f t="shared" si="37"/>
        <v>4.2512571325366176E-3</v>
      </c>
      <c r="AT282" s="6">
        <v>12000</v>
      </c>
      <c r="AU282" s="6">
        <v>12642.537109375</v>
      </c>
      <c r="AV282" s="6">
        <f t="shared" si="38"/>
        <v>642.537109375</v>
      </c>
      <c r="AW282" s="7">
        <f t="shared" si="39"/>
        <v>5.3544759114583333E-2</v>
      </c>
    </row>
    <row r="283" spans="1:49" x14ac:dyDescent="0.25">
      <c r="A283" t="s">
        <v>69</v>
      </c>
      <c r="B283" t="s">
        <v>70</v>
      </c>
      <c r="C283">
        <v>50286</v>
      </c>
      <c r="D283">
        <v>2018</v>
      </c>
      <c r="E283" t="s">
        <v>98</v>
      </c>
      <c r="F283" t="s">
        <v>109</v>
      </c>
      <c r="H283" t="s">
        <v>218</v>
      </c>
      <c r="I283">
        <v>4</v>
      </c>
      <c r="J283" t="s">
        <v>74</v>
      </c>
      <c r="K283">
        <v>4</v>
      </c>
      <c r="L283" t="s">
        <v>44</v>
      </c>
      <c r="M283">
        <v>2</v>
      </c>
      <c r="N283" t="s">
        <v>45</v>
      </c>
      <c r="O283" t="s">
        <v>46</v>
      </c>
      <c r="P283">
        <v>5</v>
      </c>
      <c r="Q283" t="s">
        <v>47</v>
      </c>
      <c r="R283" t="s">
        <v>48</v>
      </c>
      <c r="S283" t="s">
        <v>102</v>
      </c>
      <c r="U283" t="s">
        <v>50</v>
      </c>
      <c r="V283" t="s">
        <v>95</v>
      </c>
      <c r="W283" t="s">
        <v>659</v>
      </c>
      <c r="X283" t="s">
        <v>52</v>
      </c>
      <c r="Y283" t="s">
        <v>106</v>
      </c>
      <c r="Z283">
        <v>31400</v>
      </c>
      <c r="AA283">
        <v>0</v>
      </c>
      <c r="AB283" t="s">
        <v>54</v>
      </c>
      <c r="AC283" t="s">
        <v>55</v>
      </c>
      <c r="AD283">
        <v>34</v>
      </c>
      <c r="AE283">
        <v>8</v>
      </c>
      <c r="AF283">
        <v>3</v>
      </c>
      <c r="AG283">
        <v>2025</v>
      </c>
      <c r="AH283" s="13">
        <v>12600</v>
      </c>
      <c r="AI283" s="13">
        <v>16993.943359375</v>
      </c>
      <c r="AJ283" s="13">
        <f t="shared" si="32"/>
        <v>4393.943359375</v>
      </c>
      <c r="AK283" s="14">
        <f t="shared" si="33"/>
        <v>0.34872566344246031</v>
      </c>
      <c r="AL283" s="9">
        <v>12600</v>
      </c>
      <c r="AM283" s="9">
        <v>18237.419398890619</v>
      </c>
      <c r="AN283" s="9">
        <f t="shared" si="34"/>
        <v>5637.419398890619</v>
      </c>
      <c r="AO283" s="10">
        <f t="shared" si="35"/>
        <v>0.44741423800719199</v>
      </c>
      <c r="AP283" s="16">
        <v>12600</v>
      </c>
      <c r="AQ283" s="16">
        <v>17835.829562327381</v>
      </c>
      <c r="AR283" s="16">
        <f t="shared" si="36"/>
        <v>5235.8295623273807</v>
      </c>
      <c r="AS283" s="17">
        <f t="shared" si="37"/>
        <v>0.41554202875614132</v>
      </c>
      <c r="AT283" s="6">
        <v>12600</v>
      </c>
      <c r="AU283" s="6">
        <v>15861.4658203125</v>
      </c>
      <c r="AV283" s="6">
        <f t="shared" si="38"/>
        <v>3261.4658203125</v>
      </c>
      <c r="AW283" s="7">
        <f t="shared" si="39"/>
        <v>0.25884649367559526</v>
      </c>
    </row>
    <row r="284" spans="1:49" x14ac:dyDescent="0.25">
      <c r="A284" t="s">
        <v>56</v>
      </c>
      <c r="B284" t="s">
        <v>196</v>
      </c>
      <c r="C284">
        <v>61923</v>
      </c>
      <c r="D284">
        <v>2018</v>
      </c>
      <c r="E284" t="s">
        <v>660</v>
      </c>
      <c r="F284" t="s">
        <v>661</v>
      </c>
      <c r="G284" t="s">
        <v>662</v>
      </c>
      <c r="I284">
        <v>6</v>
      </c>
      <c r="J284" t="s">
        <v>43</v>
      </c>
      <c r="K284">
        <v>4</v>
      </c>
      <c r="L284" t="s">
        <v>44</v>
      </c>
      <c r="M284">
        <v>3</v>
      </c>
      <c r="N284" t="s">
        <v>62</v>
      </c>
      <c r="O284" t="s">
        <v>46</v>
      </c>
      <c r="Q284" t="s">
        <v>47</v>
      </c>
      <c r="R284" t="s">
        <v>48</v>
      </c>
      <c r="S284" t="s">
        <v>139</v>
      </c>
      <c r="T284">
        <v>380</v>
      </c>
      <c r="U284" t="s">
        <v>50</v>
      </c>
      <c r="V284" t="s">
        <v>64</v>
      </c>
      <c r="W284" t="s">
        <v>663</v>
      </c>
      <c r="X284" t="s">
        <v>66</v>
      </c>
      <c r="Y284" t="s">
        <v>234</v>
      </c>
      <c r="Z284">
        <v>94050</v>
      </c>
      <c r="AA284">
        <v>0</v>
      </c>
      <c r="AB284" t="s">
        <v>54</v>
      </c>
      <c r="AC284" t="s">
        <v>55</v>
      </c>
      <c r="AD284">
        <v>34</v>
      </c>
      <c r="AE284">
        <v>8</v>
      </c>
      <c r="AF284">
        <v>3</v>
      </c>
      <c r="AG284">
        <v>2025</v>
      </c>
      <c r="AH284" s="13">
        <v>21750</v>
      </c>
      <c r="AI284" s="13">
        <v>25243.703125</v>
      </c>
      <c r="AJ284" s="13">
        <f t="shared" si="32"/>
        <v>3493.703125</v>
      </c>
      <c r="AK284" s="14">
        <f t="shared" si="33"/>
        <v>0.16063002873563217</v>
      </c>
      <c r="AL284" s="9">
        <v>21750</v>
      </c>
      <c r="AM284" s="9">
        <v>25042.050750155649</v>
      </c>
      <c r="AN284" s="9">
        <f t="shared" si="34"/>
        <v>3292.0507501556494</v>
      </c>
      <c r="AO284" s="10">
        <f t="shared" si="35"/>
        <v>0.15135865517957009</v>
      </c>
      <c r="AP284" s="16">
        <v>21750</v>
      </c>
      <c r="AQ284" s="16">
        <v>23284.724699431779</v>
      </c>
      <c r="AR284" s="16">
        <f t="shared" si="36"/>
        <v>1534.7246994317793</v>
      </c>
      <c r="AS284" s="17">
        <f t="shared" si="37"/>
        <v>7.0562055146288702E-2</v>
      </c>
      <c r="AT284" s="6">
        <v>21750</v>
      </c>
      <c r="AU284" s="6">
        <v>24248.224609375</v>
      </c>
      <c r="AV284" s="6">
        <f t="shared" si="38"/>
        <v>2498.224609375</v>
      </c>
      <c r="AW284" s="7">
        <f t="shared" si="39"/>
        <v>0.11486090158045976</v>
      </c>
    </row>
    <row r="285" spans="1:49" x14ac:dyDescent="0.25">
      <c r="A285" t="s">
        <v>38</v>
      </c>
      <c r="B285" t="s">
        <v>39</v>
      </c>
      <c r="C285">
        <v>21560</v>
      </c>
      <c r="D285">
        <v>2021</v>
      </c>
      <c r="E285" t="s">
        <v>184</v>
      </c>
      <c r="F285" t="s">
        <v>185</v>
      </c>
      <c r="G285" t="s">
        <v>664</v>
      </c>
      <c r="I285">
        <v>4</v>
      </c>
      <c r="J285" t="s">
        <v>43</v>
      </c>
      <c r="K285">
        <v>4</v>
      </c>
      <c r="L285" t="s">
        <v>44</v>
      </c>
      <c r="M285">
        <v>2.5</v>
      </c>
      <c r="N285" t="s">
        <v>44</v>
      </c>
      <c r="O285" t="s">
        <v>46</v>
      </c>
      <c r="P285">
        <v>5</v>
      </c>
      <c r="Q285" t="s">
        <v>47</v>
      </c>
      <c r="R285" t="s">
        <v>48</v>
      </c>
      <c r="S285" t="s">
        <v>63</v>
      </c>
      <c r="T285">
        <v>227</v>
      </c>
      <c r="U285" t="s">
        <v>50</v>
      </c>
      <c r="V285" t="s">
        <v>95</v>
      </c>
      <c r="W285" t="s">
        <v>665</v>
      </c>
      <c r="X285" t="s">
        <v>52</v>
      </c>
      <c r="Y285" t="s">
        <v>97</v>
      </c>
      <c r="AA285">
        <v>0</v>
      </c>
      <c r="AB285" t="s">
        <v>54</v>
      </c>
      <c r="AC285" t="s">
        <v>55</v>
      </c>
      <c r="AD285">
        <v>34</v>
      </c>
      <c r="AE285">
        <v>8</v>
      </c>
      <c r="AF285">
        <v>3</v>
      </c>
      <c r="AG285">
        <v>2025</v>
      </c>
      <c r="AH285" s="13">
        <v>25000</v>
      </c>
      <c r="AI285" s="13">
        <v>22714.7578125</v>
      </c>
      <c r="AJ285" s="13">
        <f t="shared" si="32"/>
        <v>2285.2421875</v>
      </c>
      <c r="AK285" s="14">
        <f t="shared" si="33"/>
        <v>9.1409687500000003E-2</v>
      </c>
      <c r="AL285" s="9">
        <v>25000</v>
      </c>
      <c r="AM285" s="9">
        <v>26582.807201637199</v>
      </c>
      <c r="AN285" s="9">
        <f t="shared" si="34"/>
        <v>1582.8072016371989</v>
      </c>
      <c r="AO285" s="10">
        <f t="shared" si="35"/>
        <v>6.3312288065487957E-2</v>
      </c>
      <c r="AP285" s="16">
        <v>25000</v>
      </c>
      <c r="AQ285" s="16">
        <v>21970.047413988788</v>
      </c>
      <c r="AR285" s="16">
        <f t="shared" si="36"/>
        <v>3029.9525860112117</v>
      </c>
      <c r="AS285" s="17">
        <f t="shared" si="37"/>
        <v>0.12119810344044847</v>
      </c>
      <c r="AT285" s="6">
        <v>25000</v>
      </c>
      <c r="AU285" s="6">
        <v>22119.900390625</v>
      </c>
      <c r="AV285" s="6">
        <f t="shared" si="38"/>
        <v>2880.099609375</v>
      </c>
      <c r="AW285" s="7">
        <f t="shared" si="39"/>
        <v>0.115203984375</v>
      </c>
    </row>
    <row r="286" spans="1:49" x14ac:dyDescent="0.25">
      <c r="A286" t="s">
        <v>107</v>
      </c>
      <c r="B286" t="s">
        <v>154</v>
      </c>
      <c r="C286">
        <v>96339</v>
      </c>
      <c r="D286">
        <v>2020</v>
      </c>
      <c r="E286" t="s">
        <v>58</v>
      </c>
      <c r="F286" t="s">
        <v>258</v>
      </c>
      <c r="H286" t="s">
        <v>268</v>
      </c>
      <c r="I286">
        <v>3</v>
      </c>
      <c r="J286" t="s">
        <v>43</v>
      </c>
      <c r="K286">
        <v>4</v>
      </c>
      <c r="L286" t="s">
        <v>44</v>
      </c>
      <c r="M286">
        <v>1.5</v>
      </c>
      <c r="N286" t="s">
        <v>44</v>
      </c>
      <c r="O286" t="s">
        <v>46</v>
      </c>
      <c r="P286">
        <v>3</v>
      </c>
      <c r="Q286" t="s">
        <v>47</v>
      </c>
      <c r="R286" t="s">
        <v>48</v>
      </c>
      <c r="S286" t="s">
        <v>63</v>
      </c>
      <c r="U286" t="s">
        <v>50</v>
      </c>
      <c r="V286" t="s">
        <v>95</v>
      </c>
      <c r="X286" t="s">
        <v>52</v>
      </c>
      <c r="Y286" t="s">
        <v>67</v>
      </c>
      <c r="AA286">
        <v>0</v>
      </c>
      <c r="AB286" t="s">
        <v>54</v>
      </c>
      <c r="AC286" t="s">
        <v>55</v>
      </c>
      <c r="AD286">
        <v>34</v>
      </c>
      <c r="AE286">
        <v>8</v>
      </c>
      <c r="AF286">
        <v>3</v>
      </c>
      <c r="AG286">
        <v>2025</v>
      </c>
      <c r="AH286" s="13">
        <v>4000</v>
      </c>
      <c r="AI286" s="13">
        <v>9947.99609375</v>
      </c>
      <c r="AJ286" s="13">
        <f t="shared" si="32"/>
        <v>5947.99609375</v>
      </c>
      <c r="AK286" s="14">
        <f t="shared" si="33"/>
        <v>1.4869990234374999</v>
      </c>
      <c r="AL286" s="9">
        <v>4000</v>
      </c>
      <c r="AM286" s="9">
        <v>8111.8826545985576</v>
      </c>
      <c r="AN286" s="9">
        <f t="shared" si="34"/>
        <v>4111.8826545985576</v>
      </c>
      <c r="AO286" s="10">
        <f t="shared" si="35"/>
        <v>1.0279706636496393</v>
      </c>
      <c r="AP286" s="16">
        <v>4000</v>
      </c>
      <c r="AQ286" s="16">
        <v>9055.2304222981402</v>
      </c>
      <c r="AR286" s="16">
        <f t="shared" si="36"/>
        <v>5055.2304222981402</v>
      </c>
      <c r="AS286" s="17">
        <f t="shared" si="37"/>
        <v>1.2638076055745351</v>
      </c>
      <c r="AT286" s="6">
        <v>4000</v>
      </c>
      <c r="AU286" s="6">
        <v>8378.1005859375</v>
      </c>
      <c r="AV286" s="6">
        <f t="shared" si="38"/>
        <v>4378.1005859375</v>
      </c>
      <c r="AW286" s="7">
        <f t="shared" si="39"/>
        <v>1.094525146484375</v>
      </c>
    </row>
    <row r="287" spans="1:49" x14ac:dyDescent="0.25">
      <c r="A287" t="s">
        <v>69</v>
      </c>
      <c r="B287" t="s">
        <v>70</v>
      </c>
      <c r="C287">
        <v>4539</v>
      </c>
      <c r="D287">
        <v>2021</v>
      </c>
      <c r="E287" t="s">
        <v>666</v>
      </c>
      <c r="F287" t="s">
        <v>667</v>
      </c>
      <c r="H287" t="s">
        <v>668</v>
      </c>
      <c r="I287">
        <v>4</v>
      </c>
      <c r="J287" t="s">
        <v>61</v>
      </c>
      <c r="L287" t="s">
        <v>44</v>
      </c>
      <c r="M287">
        <v>750</v>
      </c>
      <c r="N287" t="s">
        <v>44</v>
      </c>
      <c r="O287" t="s">
        <v>46</v>
      </c>
      <c r="Q287" t="s">
        <v>669</v>
      </c>
      <c r="R287" t="s">
        <v>670</v>
      </c>
      <c r="T287">
        <v>147</v>
      </c>
      <c r="U287" t="s">
        <v>50</v>
      </c>
      <c r="W287" t="s">
        <v>671</v>
      </c>
      <c r="X287" t="s">
        <v>672</v>
      </c>
      <c r="Y287" t="s">
        <v>97</v>
      </c>
      <c r="AA287">
        <v>0</v>
      </c>
      <c r="AB287" t="s">
        <v>54</v>
      </c>
      <c r="AC287" t="s">
        <v>673</v>
      </c>
      <c r="AD287">
        <v>34</v>
      </c>
      <c r="AE287">
        <v>8</v>
      </c>
      <c r="AF287">
        <v>3</v>
      </c>
      <c r="AG287">
        <v>2025</v>
      </c>
      <c r="AH287" s="13">
        <v>7200</v>
      </c>
      <c r="AI287" s="13">
        <v>7412.00146484375</v>
      </c>
      <c r="AJ287" s="13">
        <f t="shared" si="32"/>
        <v>212.00146484375</v>
      </c>
      <c r="AK287" s="14">
        <f t="shared" si="33"/>
        <v>2.9444647894965276E-2</v>
      </c>
      <c r="AL287" s="9">
        <v>7200</v>
      </c>
      <c r="AM287" s="9">
        <v>7389.5136440578362</v>
      </c>
      <c r="AN287" s="9">
        <f t="shared" si="34"/>
        <v>189.51364405783625</v>
      </c>
      <c r="AO287" s="10">
        <f t="shared" si="35"/>
        <v>2.6321339452477256E-2</v>
      </c>
      <c r="AP287" s="16">
        <v>7200</v>
      </c>
      <c r="AQ287" s="16">
        <v>11511.54223772053</v>
      </c>
      <c r="AR287" s="16">
        <f t="shared" si="36"/>
        <v>4311.5422377205305</v>
      </c>
      <c r="AS287" s="17">
        <f t="shared" si="37"/>
        <v>0.59882531079451817</v>
      </c>
      <c r="AT287" s="6">
        <v>7200</v>
      </c>
      <c r="AU287" s="6">
        <v>8182.67236328125</v>
      </c>
      <c r="AV287" s="6">
        <f t="shared" si="38"/>
        <v>982.67236328125</v>
      </c>
      <c r="AW287" s="7">
        <f t="shared" si="39"/>
        <v>0.13648227267795138</v>
      </c>
    </row>
    <row r="288" spans="1:49" x14ac:dyDescent="0.25">
      <c r="A288" t="s">
        <v>56</v>
      </c>
      <c r="B288" t="s">
        <v>104</v>
      </c>
      <c r="C288">
        <v>174308</v>
      </c>
      <c r="D288">
        <v>2010</v>
      </c>
      <c r="E288" t="s">
        <v>58</v>
      </c>
      <c r="F288" t="s">
        <v>59</v>
      </c>
      <c r="G288" t="s">
        <v>266</v>
      </c>
      <c r="I288">
        <v>6</v>
      </c>
      <c r="J288" t="s">
        <v>82</v>
      </c>
      <c r="K288">
        <v>4</v>
      </c>
      <c r="L288" t="s">
        <v>44</v>
      </c>
      <c r="M288">
        <v>4</v>
      </c>
      <c r="N288" t="s">
        <v>62</v>
      </c>
      <c r="O288" t="s">
        <v>46</v>
      </c>
      <c r="Q288" t="s">
        <v>47</v>
      </c>
      <c r="R288" t="s">
        <v>48</v>
      </c>
      <c r="S288" t="s">
        <v>63</v>
      </c>
      <c r="T288">
        <v>210</v>
      </c>
      <c r="U288" t="s">
        <v>50</v>
      </c>
      <c r="V288" t="s">
        <v>64</v>
      </c>
      <c r="W288" t="s">
        <v>558</v>
      </c>
      <c r="X288" t="s">
        <v>66</v>
      </c>
      <c r="Y288" t="s">
        <v>67</v>
      </c>
      <c r="AA288">
        <v>0</v>
      </c>
      <c r="AB288" t="s">
        <v>54</v>
      </c>
      <c r="AC288" t="s">
        <v>55</v>
      </c>
      <c r="AD288">
        <v>34</v>
      </c>
      <c r="AE288">
        <v>8</v>
      </c>
      <c r="AF288">
        <v>3</v>
      </c>
      <c r="AG288">
        <v>2025</v>
      </c>
      <c r="AH288" s="13">
        <v>900</v>
      </c>
      <c r="AI288" s="13">
        <v>1326.038818359375</v>
      </c>
      <c r="AJ288" s="13">
        <f t="shared" si="32"/>
        <v>426.038818359375</v>
      </c>
      <c r="AK288" s="14">
        <f t="shared" si="33"/>
        <v>0.47337646484375001</v>
      </c>
      <c r="AL288" s="9">
        <v>900</v>
      </c>
      <c r="AM288" s="9">
        <v>1202.3008626635469</v>
      </c>
      <c r="AN288" s="9">
        <f t="shared" si="34"/>
        <v>302.30086266354692</v>
      </c>
      <c r="AO288" s="10">
        <f t="shared" si="35"/>
        <v>0.33588984740394101</v>
      </c>
      <c r="AP288" s="16">
        <v>900</v>
      </c>
      <c r="AQ288" s="16">
        <v>805.29096578962083</v>
      </c>
      <c r="AR288" s="16">
        <f t="shared" si="36"/>
        <v>94.709034210379173</v>
      </c>
      <c r="AS288" s="17">
        <f t="shared" si="37"/>
        <v>0.10523226023375463</v>
      </c>
      <c r="AT288" s="6">
        <v>900</v>
      </c>
      <c r="AU288" s="6">
        <v>1286.404174804688</v>
      </c>
      <c r="AV288" s="6">
        <f t="shared" si="38"/>
        <v>386.40417480468795</v>
      </c>
      <c r="AW288" s="7">
        <f t="shared" si="39"/>
        <v>0.42933797200520885</v>
      </c>
    </row>
    <row r="289" spans="1:49" x14ac:dyDescent="0.25">
      <c r="A289" t="s">
        <v>107</v>
      </c>
      <c r="B289" t="s">
        <v>108</v>
      </c>
      <c r="C289">
        <v>37960</v>
      </c>
      <c r="D289">
        <v>2020</v>
      </c>
      <c r="E289" t="s">
        <v>79</v>
      </c>
      <c r="F289" t="s">
        <v>286</v>
      </c>
      <c r="G289" t="s">
        <v>674</v>
      </c>
      <c r="I289">
        <v>4</v>
      </c>
      <c r="J289" t="s">
        <v>74</v>
      </c>
      <c r="K289">
        <v>4</v>
      </c>
      <c r="L289" t="s">
        <v>44</v>
      </c>
      <c r="M289">
        <v>1.5</v>
      </c>
      <c r="N289" t="s">
        <v>45</v>
      </c>
      <c r="O289" t="s">
        <v>46</v>
      </c>
      <c r="P289">
        <v>4</v>
      </c>
      <c r="Q289" t="s">
        <v>84</v>
      </c>
      <c r="R289" t="s">
        <v>85</v>
      </c>
      <c r="S289" t="s">
        <v>102</v>
      </c>
      <c r="U289" t="s">
        <v>50</v>
      </c>
      <c r="V289" t="s">
        <v>95</v>
      </c>
      <c r="W289" t="s">
        <v>288</v>
      </c>
      <c r="X289" t="s">
        <v>87</v>
      </c>
      <c r="Y289" t="s">
        <v>67</v>
      </c>
      <c r="AA289">
        <v>0</v>
      </c>
      <c r="AB289" t="s">
        <v>54</v>
      </c>
      <c r="AC289" t="s">
        <v>89</v>
      </c>
      <c r="AD289">
        <v>34</v>
      </c>
      <c r="AE289">
        <v>8</v>
      </c>
      <c r="AF289">
        <v>3</v>
      </c>
      <c r="AG289">
        <v>2025</v>
      </c>
      <c r="AH289" s="13">
        <v>15100</v>
      </c>
      <c r="AI289" s="13">
        <v>19711.919921875</v>
      </c>
      <c r="AJ289" s="13">
        <f t="shared" si="32"/>
        <v>4611.919921875</v>
      </c>
      <c r="AK289" s="14">
        <f t="shared" si="33"/>
        <v>0.30542516038907286</v>
      </c>
      <c r="AL289" s="9">
        <v>15100</v>
      </c>
      <c r="AM289" s="9">
        <v>18581.624024500921</v>
      </c>
      <c r="AN289" s="9">
        <f t="shared" si="34"/>
        <v>3481.6240245009212</v>
      </c>
      <c r="AO289" s="10">
        <f t="shared" si="35"/>
        <v>0.23057112745039213</v>
      </c>
      <c r="AP289" s="16">
        <v>15100</v>
      </c>
      <c r="AQ289" s="16">
        <v>15796.726879932119</v>
      </c>
      <c r="AR289" s="16">
        <f t="shared" si="36"/>
        <v>696.72687993211912</v>
      </c>
      <c r="AS289" s="17">
        <f t="shared" si="37"/>
        <v>4.6140852975637026E-2</v>
      </c>
      <c r="AT289" s="6">
        <v>15100</v>
      </c>
      <c r="AU289" s="6">
        <v>16327.220703125</v>
      </c>
      <c r="AV289" s="6">
        <f t="shared" si="38"/>
        <v>1227.220703125</v>
      </c>
      <c r="AW289" s="7">
        <f t="shared" si="39"/>
        <v>8.1272894246688737E-2</v>
      </c>
    </row>
    <row r="290" spans="1:49" x14ac:dyDescent="0.25">
      <c r="A290" t="s">
        <v>38</v>
      </c>
      <c r="B290" t="s">
        <v>132</v>
      </c>
      <c r="C290">
        <v>129754</v>
      </c>
      <c r="D290">
        <v>2014</v>
      </c>
      <c r="E290" t="s">
        <v>173</v>
      </c>
      <c r="F290" t="s">
        <v>461</v>
      </c>
      <c r="G290" t="s">
        <v>462</v>
      </c>
      <c r="I290">
        <v>6</v>
      </c>
      <c r="J290" t="s">
        <v>74</v>
      </c>
      <c r="K290">
        <v>4</v>
      </c>
      <c r="L290" t="s">
        <v>44</v>
      </c>
      <c r="M290">
        <v>3.6</v>
      </c>
      <c r="N290" t="s">
        <v>62</v>
      </c>
      <c r="O290" t="s">
        <v>46</v>
      </c>
      <c r="P290">
        <v>2</v>
      </c>
      <c r="Q290" t="s">
        <v>47</v>
      </c>
      <c r="R290" t="s">
        <v>48</v>
      </c>
      <c r="S290" t="s">
        <v>63</v>
      </c>
      <c r="U290" t="s">
        <v>50</v>
      </c>
      <c r="X290" t="s">
        <v>66</v>
      </c>
      <c r="Y290" t="s">
        <v>67</v>
      </c>
      <c r="AA290">
        <v>0</v>
      </c>
      <c r="AB290" t="s">
        <v>54</v>
      </c>
      <c r="AC290" t="s">
        <v>55</v>
      </c>
      <c r="AD290">
        <v>34</v>
      </c>
      <c r="AE290">
        <v>8</v>
      </c>
      <c r="AF290">
        <v>3</v>
      </c>
      <c r="AG290">
        <v>2025</v>
      </c>
      <c r="AH290" s="13">
        <v>6200</v>
      </c>
      <c r="AI290" s="13">
        <v>4140.595703125</v>
      </c>
      <c r="AJ290" s="13">
        <f t="shared" si="32"/>
        <v>2059.404296875</v>
      </c>
      <c r="AK290" s="14">
        <f t="shared" si="33"/>
        <v>0.33216198336693548</v>
      </c>
      <c r="AL290" s="9">
        <v>6200</v>
      </c>
      <c r="AM290" s="9">
        <v>4110.0836859339088</v>
      </c>
      <c r="AN290" s="9">
        <f t="shared" si="34"/>
        <v>2089.9163140660912</v>
      </c>
      <c r="AO290" s="10">
        <f t="shared" si="35"/>
        <v>0.33708327646227276</v>
      </c>
      <c r="AP290" s="16">
        <v>6200</v>
      </c>
      <c r="AQ290" s="16">
        <v>3562.7654676066099</v>
      </c>
      <c r="AR290" s="16">
        <f t="shared" si="36"/>
        <v>2637.2345323933901</v>
      </c>
      <c r="AS290" s="17">
        <f t="shared" si="37"/>
        <v>0.42536040845054679</v>
      </c>
      <c r="AT290" s="6">
        <v>6200</v>
      </c>
      <c r="AU290" s="6">
        <v>3688.634033203125</v>
      </c>
      <c r="AV290" s="6">
        <f t="shared" si="38"/>
        <v>2511.365966796875</v>
      </c>
      <c r="AW290" s="7">
        <f t="shared" si="39"/>
        <v>0.40505902690272177</v>
      </c>
    </row>
    <row r="291" spans="1:49" x14ac:dyDescent="0.25">
      <c r="A291" t="s">
        <v>56</v>
      </c>
      <c r="B291" t="s">
        <v>57</v>
      </c>
      <c r="C291">
        <v>196785</v>
      </c>
      <c r="D291">
        <v>2008</v>
      </c>
      <c r="E291" t="s">
        <v>79</v>
      </c>
      <c r="F291" t="s">
        <v>164</v>
      </c>
      <c r="G291" t="s">
        <v>586</v>
      </c>
      <c r="I291">
        <v>6</v>
      </c>
      <c r="J291" t="s">
        <v>61</v>
      </c>
      <c r="K291">
        <v>4</v>
      </c>
      <c r="L291" t="s">
        <v>44</v>
      </c>
      <c r="M291">
        <v>3.4</v>
      </c>
      <c r="N291" t="s">
        <v>44</v>
      </c>
      <c r="O291" t="s">
        <v>46</v>
      </c>
      <c r="Q291" t="s">
        <v>47</v>
      </c>
      <c r="R291" t="s">
        <v>48</v>
      </c>
      <c r="S291" t="s">
        <v>139</v>
      </c>
      <c r="V291" t="s">
        <v>64</v>
      </c>
      <c r="W291" t="s">
        <v>675</v>
      </c>
      <c r="X291" t="s">
        <v>141</v>
      </c>
      <c r="Y291" t="s">
        <v>88</v>
      </c>
      <c r="AA291">
        <v>0</v>
      </c>
      <c r="AB291" t="s">
        <v>54</v>
      </c>
      <c r="AC291" t="s">
        <v>55</v>
      </c>
      <c r="AD291">
        <v>34</v>
      </c>
      <c r="AE291">
        <v>8</v>
      </c>
      <c r="AF291">
        <v>3</v>
      </c>
      <c r="AG291">
        <v>2025</v>
      </c>
      <c r="AH291" s="13">
        <v>500</v>
      </c>
      <c r="AI291" s="13">
        <v>878.364990234375</v>
      </c>
      <c r="AJ291" s="13">
        <f t="shared" si="32"/>
        <v>378.364990234375</v>
      </c>
      <c r="AK291" s="14">
        <f t="shared" si="33"/>
        <v>0.75672998046874995</v>
      </c>
      <c r="AL291" s="9">
        <v>500</v>
      </c>
      <c r="AM291" s="9">
        <v>803.82122587677679</v>
      </c>
      <c r="AN291" s="9">
        <f t="shared" si="34"/>
        <v>303.82122587677679</v>
      </c>
      <c r="AO291" s="10">
        <f t="shared" si="35"/>
        <v>0.60764245175355358</v>
      </c>
      <c r="AP291" s="16">
        <v>500</v>
      </c>
      <c r="AQ291" s="16">
        <v>581.05185334276678</v>
      </c>
      <c r="AR291" s="16">
        <f t="shared" si="36"/>
        <v>81.051853342766776</v>
      </c>
      <c r="AS291" s="17">
        <f t="shared" si="37"/>
        <v>0.16210370668553356</v>
      </c>
      <c r="AT291" s="6">
        <v>500</v>
      </c>
      <c r="AU291" s="6">
        <v>749.5052490234375</v>
      </c>
      <c r="AV291" s="6">
        <f t="shared" si="38"/>
        <v>249.5052490234375</v>
      </c>
      <c r="AW291" s="7">
        <f t="shared" si="39"/>
        <v>0.49901049804687497</v>
      </c>
    </row>
    <row r="292" spans="1:49" x14ac:dyDescent="0.25">
      <c r="A292" t="s">
        <v>38</v>
      </c>
      <c r="B292" t="s">
        <v>229</v>
      </c>
      <c r="C292">
        <v>41244</v>
      </c>
      <c r="D292">
        <v>2024</v>
      </c>
      <c r="E292" t="s">
        <v>40</v>
      </c>
      <c r="F292" t="s">
        <v>41</v>
      </c>
      <c r="G292" t="s">
        <v>284</v>
      </c>
      <c r="I292">
        <v>4</v>
      </c>
      <c r="J292" t="s">
        <v>74</v>
      </c>
      <c r="K292">
        <v>4</v>
      </c>
      <c r="L292" t="s">
        <v>44</v>
      </c>
      <c r="M292">
        <v>2.5</v>
      </c>
      <c r="N292" t="s">
        <v>44</v>
      </c>
      <c r="O292" t="s">
        <v>46</v>
      </c>
      <c r="P292">
        <v>4</v>
      </c>
      <c r="Q292" t="s">
        <v>47</v>
      </c>
      <c r="R292" t="s">
        <v>48</v>
      </c>
      <c r="S292" t="s">
        <v>63</v>
      </c>
      <c r="U292" t="s">
        <v>50</v>
      </c>
      <c r="W292" t="s">
        <v>676</v>
      </c>
      <c r="X292" t="s">
        <v>52</v>
      </c>
      <c r="Y292" t="s">
        <v>53</v>
      </c>
      <c r="AA292">
        <v>0</v>
      </c>
      <c r="AB292" t="s">
        <v>54</v>
      </c>
      <c r="AC292" t="s">
        <v>55</v>
      </c>
      <c r="AD292">
        <v>34</v>
      </c>
      <c r="AE292">
        <v>8</v>
      </c>
      <c r="AF292">
        <v>3</v>
      </c>
      <c r="AG292">
        <v>2025</v>
      </c>
      <c r="AH292" s="13">
        <v>20000</v>
      </c>
      <c r="AI292" s="13">
        <v>21829.681640625</v>
      </c>
      <c r="AJ292" s="13">
        <f t="shared" si="32"/>
        <v>1829.681640625</v>
      </c>
      <c r="AK292" s="14">
        <f t="shared" si="33"/>
        <v>9.1484082031249997E-2</v>
      </c>
      <c r="AL292" s="9">
        <v>20000</v>
      </c>
      <c r="AM292" s="9">
        <v>18076.187499645301</v>
      </c>
      <c r="AN292" s="9">
        <f t="shared" si="34"/>
        <v>1923.8125003546993</v>
      </c>
      <c r="AO292" s="10">
        <f t="shared" si="35"/>
        <v>9.6190625017734968E-2</v>
      </c>
      <c r="AP292" s="16">
        <v>20000</v>
      </c>
      <c r="AQ292" s="16">
        <v>17911.23263951678</v>
      </c>
      <c r="AR292" s="16">
        <f t="shared" si="36"/>
        <v>2088.7673604832198</v>
      </c>
      <c r="AS292" s="17">
        <f t="shared" si="37"/>
        <v>0.104438368024161</v>
      </c>
      <c r="AT292" s="6">
        <v>20000</v>
      </c>
      <c r="AU292" s="6">
        <v>18512.08203125</v>
      </c>
      <c r="AV292" s="6">
        <f t="shared" si="38"/>
        <v>1487.91796875</v>
      </c>
      <c r="AW292" s="7">
        <f t="shared" si="39"/>
        <v>7.4395898437499997E-2</v>
      </c>
    </row>
    <row r="293" spans="1:49" x14ac:dyDescent="0.25">
      <c r="A293" t="s">
        <v>56</v>
      </c>
      <c r="B293" t="s">
        <v>123</v>
      </c>
      <c r="C293">
        <v>34102</v>
      </c>
      <c r="D293">
        <v>2022</v>
      </c>
      <c r="E293" t="s">
        <v>145</v>
      </c>
      <c r="F293" t="s">
        <v>307</v>
      </c>
      <c r="G293" t="s">
        <v>677</v>
      </c>
      <c r="I293">
        <v>4</v>
      </c>
      <c r="J293" t="s">
        <v>61</v>
      </c>
      <c r="K293">
        <v>4</v>
      </c>
      <c r="L293" t="s">
        <v>44</v>
      </c>
      <c r="M293">
        <v>1.5</v>
      </c>
      <c r="N293" t="s">
        <v>45</v>
      </c>
      <c r="O293" t="s">
        <v>46</v>
      </c>
      <c r="P293">
        <v>4</v>
      </c>
      <c r="Q293" t="s">
        <v>84</v>
      </c>
      <c r="R293" t="s">
        <v>85</v>
      </c>
      <c r="S293" t="s">
        <v>49</v>
      </c>
      <c r="T293">
        <v>192</v>
      </c>
      <c r="U293" t="s">
        <v>50</v>
      </c>
      <c r="V293" t="s">
        <v>95</v>
      </c>
      <c r="W293" t="s">
        <v>678</v>
      </c>
      <c r="X293" t="s">
        <v>52</v>
      </c>
      <c r="Y293" t="s">
        <v>67</v>
      </c>
      <c r="AA293">
        <v>0</v>
      </c>
      <c r="AB293" t="s">
        <v>54</v>
      </c>
      <c r="AC293" t="s">
        <v>89</v>
      </c>
      <c r="AD293">
        <v>34</v>
      </c>
      <c r="AE293">
        <v>8</v>
      </c>
      <c r="AF293">
        <v>3</v>
      </c>
      <c r="AG293">
        <v>2025</v>
      </c>
      <c r="AH293" s="13">
        <v>23400</v>
      </c>
      <c r="AI293" s="13">
        <v>25047.4609375</v>
      </c>
      <c r="AJ293" s="13">
        <f t="shared" si="32"/>
        <v>1647.4609375</v>
      </c>
      <c r="AK293" s="14">
        <f t="shared" si="33"/>
        <v>7.0404313568376065E-2</v>
      </c>
      <c r="AL293" s="9">
        <v>23400</v>
      </c>
      <c r="AM293" s="9">
        <v>25725.77634457708</v>
      </c>
      <c r="AN293" s="9">
        <f t="shared" si="34"/>
        <v>2325.7763445770797</v>
      </c>
      <c r="AO293" s="10">
        <f t="shared" si="35"/>
        <v>9.9392151477652985E-2</v>
      </c>
      <c r="AP293" s="16">
        <v>23400</v>
      </c>
      <c r="AQ293" s="16">
        <v>22922.571616317618</v>
      </c>
      <c r="AR293" s="16">
        <f t="shared" si="36"/>
        <v>477.42838368238154</v>
      </c>
      <c r="AS293" s="17">
        <f t="shared" si="37"/>
        <v>2.0402922379588954E-2</v>
      </c>
      <c r="AT293" s="6">
        <v>23400</v>
      </c>
      <c r="AU293" s="6">
        <v>24122.654296875</v>
      </c>
      <c r="AV293" s="6">
        <f t="shared" si="38"/>
        <v>722.654296875</v>
      </c>
      <c r="AW293" s="7">
        <f t="shared" si="39"/>
        <v>3.0882662259615383E-2</v>
      </c>
    </row>
    <row r="294" spans="1:49" x14ac:dyDescent="0.25">
      <c r="A294" t="s">
        <v>107</v>
      </c>
      <c r="B294" t="s">
        <v>154</v>
      </c>
      <c r="C294">
        <v>86111</v>
      </c>
      <c r="D294">
        <v>2022</v>
      </c>
      <c r="E294" t="s">
        <v>173</v>
      </c>
      <c r="F294" t="s">
        <v>461</v>
      </c>
      <c r="G294" t="s">
        <v>679</v>
      </c>
      <c r="I294">
        <v>6</v>
      </c>
      <c r="J294" t="s">
        <v>43</v>
      </c>
      <c r="K294">
        <v>4</v>
      </c>
      <c r="L294" t="s">
        <v>44</v>
      </c>
      <c r="M294">
        <v>3.6</v>
      </c>
      <c r="N294" t="s">
        <v>62</v>
      </c>
      <c r="O294" t="s">
        <v>46</v>
      </c>
      <c r="P294">
        <v>5</v>
      </c>
      <c r="Q294" t="s">
        <v>47</v>
      </c>
      <c r="R294" t="s">
        <v>48</v>
      </c>
      <c r="S294" t="s">
        <v>63</v>
      </c>
      <c r="T294">
        <v>295</v>
      </c>
      <c r="U294" t="s">
        <v>50</v>
      </c>
      <c r="V294" t="s">
        <v>64</v>
      </c>
      <c r="X294" t="s">
        <v>66</v>
      </c>
      <c r="Y294" t="s">
        <v>67</v>
      </c>
      <c r="AA294">
        <v>0</v>
      </c>
      <c r="AB294" t="s">
        <v>54</v>
      </c>
      <c r="AC294" t="s">
        <v>55</v>
      </c>
      <c r="AD294">
        <v>34</v>
      </c>
      <c r="AE294">
        <v>8</v>
      </c>
      <c r="AF294">
        <v>3</v>
      </c>
      <c r="AG294">
        <v>2025</v>
      </c>
      <c r="AH294" s="13">
        <v>20800</v>
      </c>
      <c r="AI294" s="13">
        <v>26607.267578125</v>
      </c>
      <c r="AJ294" s="13">
        <f t="shared" si="32"/>
        <v>5807.267578125</v>
      </c>
      <c r="AK294" s="14">
        <f t="shared" si="33"/>
        <v>0.27919555664062501</v>
      </c>
      <c r="AL294" s="9">
        <v>20800</v>
      </c>
      <c r="AM294" s="9">
        <v>25739.04157582574</v>
      </c>
      <c r="AN294" s="9">
        <f t="shared" si="34"/>
        <v>4939.0415758257404</v>
      </c>
      <c r="AO294" s="10">
        <f t="shared" si="35"/>
        <v>0.23745392191469905</v>
      </c>
      <c r="AP294" s="16">
        <v>20800</v>
      </c>
      <c r="AQ294" s="16">
        <v>22942.796797618139</v>
      </c>
      <c r="AR294" s="16">
        <f t="shared" si="36"/>
        <v>2142.796797618139</v>
      </c>
      <c r="AS294" s="17">
        <f t="shared" si="37"/>
        <v>0.10301907680856437</v>
      </c>
      <c r="AT294" s="6">
        <v>20800</v>
      </c>
      <c r="AU294" s="6">
        <v>25814.109375</v>
      </c>
      <c r="AV294" s="6">
        <f t="shared" si="38"/>
        <v>5014.109375</v>
      </c>
      <c r="AW294" s="7">
        <f t="shared" si="39"/>
        <v>0.24106295072115386</v>
      </c>
    </row>
    <row r="295" spans="1:49" x14ac:dyDescent="0.25">
      <c r="A295" t="s">
        <v>69</v>
      </c>
      <c r="B295" t="s">
        <v>70</v>
      </c>
      <c r="C295">
        <v>126530</v>
      </c>
      <c r="D295">
        <v>2018</v>
      </c>
      <c r="E295" t="s">
        <v>145</v>
      </c>
      <c r="F295" t="s">
        <v>146</v>
      </c>
      <c r="G295" t="s">
        <v>284</v>
      </c>
      <c r="I295">
        <v>4</v>
      </c>
      <c r="J295" t="s">
        <v>43</v>
      </c>
      <c r="K295">
        <v>4</v>
      </c>
      <c r="L295" t="s">
        <v>44</v>
      </c>
      <c r="M295">
        <v>2.4</v>
      </c>
      <c r="N295" t="s">
        <v>45</v>
      </c>
      <c r="O295" t="s">
        <v>46</v>
      </c>
      <c r="P295">
        <v>4</v>
      </c>
      <c r="Q295" t="s">
        <v>47</v>
      </c>
      <c r="R295" t="s">
        <v>48</v>
      </c>
      <c r="S295" t="s">
        <v>49</v>
      </c>
      <c r="T295">
        <v>184</v>
      </c>
      <c r="U295" t="s">
        <v>50</v>
      </c>
      <c r="V295" t="s">
        <v>95</v>
      </c>
      <c r="W295" t="s">
        <v>680</v>
      </c>
      <c r="X295" t="s">
        <v>52</v>
      </c>
      <c r="Y295" t="s">
        <v>67</v>
      </c>
      <c r="Z295">
        <v>24250</v>
      </c>
      <c r="AA295">
        <v>0</v>
      </c>
      <c r="AB295" t="s">
        <v>54</v>
      </c>
      <c r="AC295" t="s">
        <v>55</v>
      </c>
      <c r="AD295">
        <v>34</v>
      </c>
      <c r="AE295">
        <v>8</v>
      </c>
      <c r="AF295">
        <v>3</v>
      </c>
      <c r="AG295">
        <v>2025</v>
      </c>
      <c r="AH295" s="13">
        <v>9800</v>
      </c>
      <c r="AI295" s="13">
        <v>13041.6591796875</v>
      </c>
      <c r="AJ295" s="13">
        <f t="shared" si="32"/>
        <v>3241.6591796875</v>
      </c>
      <c r="AK295" s="14">
        <f t="shared" si="33"/>
        <v>0.33078154894770406</v>
      </c>
      <c r="AL295" s="9">
        <v>9800</v>
      </c>
      <c r="AM295" s="9">
        <v>11254.848391916519</v>
      </c>
      <c r="AN295" s="9">
        <f t="shared" si="34"/>
        <v>1454.8483919165192</v>
      </c>
      <c r="AO295" s="10">
        <f t="shared" si="35"/>
        <v>0.14845391754250195</v>
      </c>
      <c r="AP295" s="16">
        <v>9800</v>
      </c>
      <c r="AQ295" s="16">
        <v>10381.75358524733</v>
      </c>
      <c r="AR295" s="16">
        <f t="shared" si="36"/>
        <v>581.75358524733019</v>
      </c>
      <c r="AS295" s="17">
        <f t="shared" si="37"/>
        <v>5.9362610739523487E-2</v>
      </c>
      <c r="AT295" s="6">
        <v>9800</v>
      </c>
      <c r="AU295" s="6">
        <v>11502.26953125</v>
      </c>
      <c r="AV295" s="6">
        <f t="shared" si="38"/>
        <v>1702.26953125</v>
      </c>
      <c r="AW295" s="7">
        <f t="shared" si="39"/>
        <v>0.17370097257653061</v>
      </c>
    </row>
    <row r="296" spans="1:49" x14ac:dyDescent="0.25">
      <c r="A296" t="s">
        <v>38</v>
      </c>
      <c r="B296" t="s">
        <v>267</v>
      </c>
      <c r="C296">
        <v>77693</v>
      </c>
      <c r="D296">
        <v>2019</v>
      </c>
      <c r="E296" t="s">
        <v>173</v>
      </c>
      <c r="F296" t="s">
        <v>461</v>
      </c>
      <c r="H296" t="s">
        <v>171</v>
      </c>
      <c r="I296">
        <v>6</v>
      </c>
      <c r="J296" t="s">
        <v>74</v>
      </c>
      <c r="K296">
        <v>4</v>
      </c>
      <c r="L296" t="s">
        <v>44</v>
      </c>
      <c r="M296">
        <v>3.6</v>
      </c>
      <c r="N296" t="s">
        <v>62</v>
      </c>
      <c r="O296" t="s">
        <v>46</v>
      </c>
      <c r="P296">
        <v>4</v>
      </c>
      <c r="Q296" t="s">
        <v>47</v>
      </c>
      <c r="R296" t="s">
        <v>48</v>
      </c>
      <c r="S296" t="s">
        <v>63</v>
      </c>
      <c r="T296">
        <v>295</v>
      </c>
      <c r="U296" t="s">
        <v>50</v>
      </c>
      <c r="V296" t="s">
        <v>64</v>
      </c>
      <c r="X296" t="s">
        <v>66</v>
      </c>
      <c r="Y296" t="s">
        <v>67</v>
      </c>
      <c r="Z296">
        <v>38445</v>
      </c>
      <c r="AA296">
        <v>0</v>
      </c>
      <c r="AB296" t="s">
        <v>54</v>
      </c>
      <c r="AC296" t="s">
        <v>55</v>
      </c>
      <c r="AD296">
        <v>34</v>
      </c>
      <c r="AE296">
        <v>8</v>
      </c>
      <c r="AF296">
        <v>3</v>
      </c>
      <c r="AG296">
        <v>2025</v>
      </c>
      <c r="AH296" s="13">
        <v>15500</v>
      </c>
      <c r="AI296" s="13">
        <v>17993.75</v>
      </c>
      <c r="AJ296" s="13">
        <f t="shared" si="32"/>
        <v>2493.75</v>
      </c>
      <c r="AK296" s="14">
        <f t="shared" si="33"/>
        <v>0.16088709677419355</v>
      </c>
      <c r="AL296" s="9">
        <v>15500</v>
      </c>
      <c r="AM296" s="9">
        <v>18273.465373812571</v>
      </c>
      <c r="AN296" s="9">
        <f t="shared" si="34"/>
        <v>2773.4653738125708</v>
      </c>
      <c r="AO296" s="10">
        <f t="shared" si="35"/>
        <v>0.17893324992339166</v>
      </c>
      <c r="AP296" s="16">
        <v>15500</v>
      </c>
      <c r="AQ296" s="16">
        <v>18445.31665513683</v>
      </c>
      <c r="AR296" s="16">
        <f t="shared" si="36"/>
        <v>2945.3166551368304</v>
      </c>
      <c r="AS296" s="17">
        <f t="shared" si="37"/>
        <v>0.19002042936366648</v>
      </c>
      <c r="AT296" s="6">
        <v>15500</v>
      </c>
      <c r="AU296" s="6">
        <v>16327.220703125</v>
      </c>
      <c r="AV296" s="6">
        <f t="shared" si="38"/>
        <v>827.220703125</v>
      </c>
      <c r="AW296" s="7">
        <f t="shared" si="39"/>
        <v>5.3369077620967743E-2</v>
      </c>
    </row>
    <row r="297" spans="1:49" x14ac:dyDescent="0.25">
      <c r="A297" t="s">
        <v>38</v>
      </c>
      <c r="B297" t="s">
        <v>204</v>
      </c>
      <c r="C297">
        <v>174667</v>
      </c>
      <c r="D297">
        <v>2018</v>
      </c>
      <c r="E297" t="s">
        <v>184</v>
      </c>
      <c r="F297" t="s">
        <v>376</v>
      </c>
      <c r="G297" t="s">
        <v>194</v>
      </c>
      <c r="I297">
        <v>4</v>
      </c>
      <c r="K297">
        <v>5</v>
      </c>
      <c r="M297">
        <v>2.5</v>
      </c>
      <c r="N297" t="s">
        <v>45</v>
      </c>
      <c r="O297" t="s">
        <v>46</v>
      </c>
      <c r="P297">
        <v>3</v>
      </c>
      <c r="Q297" t="s">
        <v>84</v>
      </c>
      <c r="R297" t="s">
        <v>157</v>
      </c>
      <c r="S297" t="s">
        <v>102</v>
      </c>
      <c r="T297">
        <v>184</v>
      </c>
      <c r="U297" t="s">
        <v>50</v>
      </c>
      <c r="V297" t="s">
        <v>95</v>
      </c>
      <c r="W297" t="s">
        <v>479</v>
      </c>
      <c r="X297" t="s">
        <v>87</v>
      </c>
      <c r="Y297" t="s">
        <v>106</v>
      </c>
      <c r="Z297">
        <v>21890</v>
      </c>
      <c r="AA297">
        <v>0</v>
      </c>
      <c r="AB297" t="s">
        <v>54</v>
      </c>
      <c r="AC297" t="s">
        <v>159</v>
      </c>
      <c r="AD297">
        <v>34</v>
      </c>
      <c r="AE297">
        <v>8</v>
      </c>
      <c r="AF297">
        <v>3</v>
      </c>
      <c r="AG297">
        <v>2025</v>
      </c>
      <c r="AH297" s="13">
        <v>3500</v>
      </c>
      <c r="AI297" s="13">
        <v>3433.443359375</v>
      </c>
      <c r="AJ297" s="13">
        <f t="shared" si="32"/>
        <v>66.556640625</v>
      </c>
      <c r="AK297" s="14">
        <f t="shared" si="33"/>
        <v>1.9016183035714285E-2</v>
      </c>
      <c r="AL297" s="9">
        <v>3500</v>
      </c>
      <c r="AM297" s="9">
        <v>2637.5158925804931</v>
      </c>
      <c r="AN297" s="9">
        <f t="shared" si="34"/>
        <v>862.48410741950693</v>
      </c>
      <c r="AO297" s="10">
        <f t="shared" si="35"/>
        <v>0.24642403069128768</v>
      </c>
      <c r="AP297" s="16">
        <v>3500</v>
      </c>
      <c r="AQ297" s="16">
        <v>3268.817125196957</v>
      </c>
      <c r="AR297" s="16">
        <f t="shared" si="36"/>
        <v>231.18287480304298</v>
      </c>
      <c r="AS297" s="17">
        <f t="shared" si="37"/>
        <v>6.6052249943726563E-2</v>
      </c>
      <c r="AT297" s="6">
        <v>3500</v>
      </c>
      <c r="AU297" s="6">
        <v>2969.947998046875</v>
      </c>
      <c r="AV297" s="6">
        <f t="shared" si="38"/>
        <v>530.052001953125</v>
      </c>
      <c r="AW297" s="7">
        <f t="shared" si="39"/>
        <v>0.15144342912946429</v>
      </c>
    </row>
    <row r="298" spans="1:49" x14ac:dyDescent="0.25">
      <c r="A298" t="s">
        <v>107</v>
      </c>
      <c r="B298" t="s">
        <v>108</v>
      </c>
      <c r="C298">
        <v>95914</v>
      </c>
      <c r="D298">
        <v>2014</v>
      </c>
      <c r="E298" t="s">
        <v>58</v>
      </c>
      <c r="F298" t="s">
        <v>425</v>
      </c>
      <c r="H298" t="s">
        <v>268</v>
      </c>
      <c r="I298">
        <v>4</v>
      </c>
      <c r="J298" t="s">
        <v>260</v>
      </c>
      <c r="K298">
        <v>4</v>
      </c>
      <c r="L298" t="s">
        <v>44</v>
      </c>
      <c r="M298">
        <v>2.5</v>
      </c>
      <c r="N298" t="s">
        <v>45</v>
      </c>
      <c r="O298" t="s">
        <v>46</v>
      </c>
      <c r="P298">
        <v>2</v>
      </c>
      <c r="Q298" t="s">
        <v>84</v>
      </c>
      <c r="R298" t="s">
        <v>85</v>
      </c>
      <c r="S298" t="s">
        <v>102</v>
      </c>
      <c r="T298">
        <v>175</v>
      </c>
      <c r="U298" t="s">
        <v>50</v>
      </c>
      <c r="V298" t="s">
        <v>95</v>
      </c>
      <c r="X298" t="s">
        <v>87</v>
      </c>
      <c r="Y298" t="s">
        <v>106</v>
      </c>
      <c r="AA298">
        <v>0</v>
      </c>
      <c r="AB298" t="s">
        <v>54</v>
      </c>
      <c r="AC298" t="s">
        <v>89</v>
      </c>
      <c r="AD298">
        <v>34</v>
      </c>
      <c r="AE298">
        <v>8</v>
      </c>
      <c r="AF298">
        <v>3</v>
      </c>
      <c r="AG298">
        <v>2025</v>
      </c>
      <c r="AH298" s="13">
        <v>2000</v>
      </c>
      <c r="AI298" s="13">
        <v>2610.252197265625</v>
      </c>
      <c r="AJ298" s="13">
        <f t="shared" si="32"/>
        <v>610.252197265625</v>
      </c>
      <c r="AK298" s="14">
        <f t="shared" si="33"/>
        <v>0.30512609863281248</v>
      </c>
      <c r="AL298" s="9">
        <v>2000</v>
      </c>
      <c r="AM298" s="9">
        <v>3252.2497995006029</v>
      </c>
      <c r="AN298" s="9">
        <f t="shared" si="34"/>
        <v>1252.2497995006029</v>
      </c>
      <c r="AO298" s="10">
        <f t="shared" si="35"/>
        <v>0.62612489975030139</v>
      </c>
      <c r="AP298" s="16">
        <v>2000</v>
      </c>
      <c r="AQ298" s="16">
        <v>2682.7613739039339</v>
      </c>
      <c r="AR298" s="16">
        <f t="shared" si="36"/>
        <v>682.76137390393387</v>
      </c>
      <c r="AS298" s="17">
        <f t="shared" si="37"/>
        <v>0.34138068695196694</v>
      </c>
      <c r="AT298" s="6">
        <v>2000</v>
      </c>
      <c r="AU298" s="6">
        <v>2915.80126953125</v>
      </c>
      <c r="AV298" s="6">
        <f t="shared" si="38"/>
        <v>915.80126953125</v>
      </c>
      <c r="AW298" s="7">
        <f t="shared" si="39"/>
        <v>0.45790063476562498</v>
      </c>
    </row>
    <row r="299" spans="1:49" x14ac:dyDescent="0.25">
      <c r="A299" t="s">
        <v>38</v>
      </c>
      <c r="B299" t="s">
        <v>267</v>
      </c>
      <c r="C299">
        <v>97391</v>
      </c>
      <c r="D299">
        <v>2005</v>
      </c>
      <c r="E299" t="s">
        <v>136</v>
      </c>
      <c r="F299" t="s">
        <v>681</v>
      </c>
      <c r="G299" t="s">
        <v>682</v>
      </c>
      <c r="I299">
        <v>4</v>
      </c>
      <c r="J299" t="s">
        <v>257</v>
      </c>
      <c r="K299">
        <v>2</v>
      </c>
      <c r="L299" t="s">
        <v>221</v>
      </c>
      <c r="M299">
        <v>1.8</v>
      </c>
      <c r="N299" t="s">
        <v>45</v>
      </c>
      <c r="O299" t="s">
        <v>46</v>
      </c>
      <c r="Q299" t="s">
        <v>84</v>
      </c>
      <c r="R299" t="s">
        <v>683</v>
      </c>
      <c r="T299">
        <v>150</v>
      </c>
      <c r="U299" t="s">
        <v>50</v>
      </c>
      <c r="X299" t="s">
        <v>87</v>
      </c>
      <c r="Y299" t="s">
        <v>106</v>
      </c>
      <c r="AA299">
        <v>0</v>
      </c>
      <c r="AB299" t="s">
        <v>54</v>
      </c>
      <c r="AC299" t="s">
        <v>684</v>
      </c>
      <c r="AD299">
        <v>34</v>
      </c>
      <c r="AE299">
        <v>8</v>
      </c>
      <c r="AF299">
        <v>3</v>
      </c>
      <c r="AG299">
        <v>2025</v>
      </c>
      <c r="AH299" s="13">
        <v>2000</v>
      </c>
      <c r="AI299" s="13">
        <v>1041.046875</v>
      </c>
      <c r="AJ299" s="13">
        <f t="shared" si="32"/>
        <v>958.953125</v>
      </c>
      <c r="AK299" s="14">
        <f t="shared" si="33"/>
        <v>0.47947656249999998</v>
      </c>
      <c r="AL299" s="9">
        <v>2000</v>
      </c>
      <c r="AM299" s="9">
        <v>1087.869433116603</v>
      </c>
      <c r="AN299" s="9">
        <f t="shared" si="34"/>
        <v>912.13056688339702</v>
      </c>
      <c r="AO299" s="10">
        <f t="shared" si="35"/>
        <v>0.4560652834416985</v>
      </c>
      <c r="AP299" s="16">
        <v>2000</v>
      </c>
      <c r="AQ299" s="16">
        <v>856.88976107897031</v>
      </c>
      <c r="AR299" s="16">
        <f t="shared" si="36"/>
        <v>1143.1102389210296</v>
      </c>
      <c r="AS299" s="17">
        <f t="shared" si="37"/>
        <v>0.57155511946051474</v>
      </c>
      <c r="AT299" s="6">
        <v>2000</v>
      </c>
      <c r="AU299" s="6">
        <v>1373.665161132812</v>
      </c>
      <c r="AV299" s="6">
        <f t="shared" si="38"/>
        <v>626.33483886718795</v>
      </c>
      <c r="AW299" s="7">
        <f t="shared" si="39"/>
        <v>0.313167419433594</v>
      </c>
    </row>
    <row r="300" spans="1:49" x14ac:dyDescent="0.25">
      <c r="A300" t="s">
        <v>38</v>
      </c>
      <c r="B300" t="s">
        <v>90</v>
      </c>
      <c r="C300">
        <v>194356</v>
      </c>
      <c r="D300">
        <v>2006</v>
      </c>
      <c r="E300" t="s">
        <v>91</v>
      </c>
      <c r="F300" t="s">
        <v>426</v>
      </c>
      <c r="G300" t="s">
        <v>685</v>
      </c>
      <c r="H300" t="s">
        <v>686</v>
      </c>
      <c r="I300">
        <v>6</v>
      </c>
      <c r="J300" t="s">
        <v>94</v>
      </c>
      <c r="K300">
        <v>4</v>
      </c>
      <c r="L300" t="s">
        <v>44</v>
      </c>
      <c r="M300">
        <v>4</v>
      </c>
      <c r="N300" t="s">
        <v>116</v>
      </c>
      <c r="O300" t="s">
        <v>46</v>
      </c>
      <c r="P300">
        <v>3</v>
      </c>
      <c r="Q300" t="s">
        <v>75</v>
      </c>
      <c r="R300" t="s">
        <v>76</v>
      </c>
      <c r="S300" t="s">
        <v>49</v>
      </c>
      <c r="T300">
        <v>236</v>
      </c>
      <c r="U300" t="s">
        <v>50</v>
      </c>
      <c r="V300" t="s">
        <v>64</v>
      </c>
      <c r="W300" t="s">
        <v>429</v>
      </c>
      <c r="X300" t="s">
        <v>141</v>
      </c>
      <c r="Y300" t="s">
        <v>67</v>
      </c>
      <c r="AA300">
        <v>0</v>
      </c>
      <c r="AB300" t="s">
        <v>54</v>
      </c>
      <c r="AC300" t="s">
        <v>78</v>
      </c>
      <c r="AD300">
        <v>34</v>
      </c>
      <c r="AE300">
        <v>8</v>
      </c>
      <c r="AF300">
        <v>3</v>
      </c>
      <c r="AG300">
        <v>2025</v>
      </c>
      <c r="AH300" s="13">
        <v>6300</v>
      </c>
      <c r="AI300" s="13">
        <v>4738.6943359375</v>
      </c>
      <c r="AJ300" s="13">
        <f t="shared" si="32"/>
        <v>1561.3056640625</v>
      </c>
      <c r="AK300" s="14">
        <f t="shared" si="33"/>
        <v>0.2478262958829365</v>
      </c>
      <c r="AL300" s="9">
        <v>6300</v>
      </c>
      <c r="AM300" s="9">
        <v>5341.4987877119347</v>
      </c>
      <c r="AN300" s="9">
        <f t="shared" si="34"/>
        <v>958.50121228806529</v>
      </c>
      <c r="AO300" s="10">
        <f t="shared" si="35"/>
        <v>0.15214304956953417</v>
      </c>
      <c r="AP300" s="16">
        <v>6300</v>
      </c>
      <c r="AQ300" s="16">
        <v>3470.3247050633122</v>
      </c>
      <c r="AR300" s="16">
        <f t="shared" si="36"/>
        <v>2829.6752949366878</v>
      </c>
      <c r="AS300" s="17">
        <f t="shared" si="37"/>
        <v>0.44915480872010916</v>
      </c>
      <c r="AT300" s="6">
        <v>6300</v>
      </c>
      <c r="AU300" s="6">
        <v>5070.90234375</v>
      </c>
      <c r="AV300" s="6">
        <f t="shared" si="38"/>
        <v>1229.09765625</v>
      </c>
      <c r="AW300" s="7">
        <f t="shared" si="39"/>
        <v>0.19509486607142856</v>
      </c>
    </row>
    <row r="301" spans="1:49" x14ac:dyDescent="0.25">
      <c r="A301" t="s">
        <v>69</v>
      </c>
      <c r="B301" t="s">
        <v>160</v>
      </c>
      <c r="C301">
        <v>60982</v>
      </c>
      <c r="D301">
        <v>2022</v>
      </c>
      <c r="E301" t="s">
        <v>91</v>
      </c>
      <c r="F301" t="s">
        <v>517</v>
      </c>
      <c r="G301" t="s">
        <v>687</v>
      </c>
      <c r="H301" t="s">
        <v>519</v>
      </c>
      <c r="I301">
        <v>4</v>
      </c>
      <c r="J301" t="s">
        <v>82</v>
      </c>
      <c r="K301">
        <v>4</v>
      </c>
      <c r="L301" t="s">
        <v>44</v>
      </c>
      <c r="M301">
        <v>2.5</v>
      </c>
      <c r="N301" t="s">
        <v>44</v>
      </c>
      <c r="O301" t="s">
        <v>46</v>
      </c>
      <c r="P301">
        <v>4</v>
      </c>
      <c r="Q301" t="s">
        <v>47</v>
      </c>
      <c r="R301" t="s">
        <v>48</v>
      </c>
      <c r="S301" t="s">
        <v>63</v>
      </c>
      <c r="T301">
        <v>203</v>
      </c>
      <c r="U301" t="s">
        <v>50</v>
      </c>
      <c r="V301" t="s">
        <v>95</v>
      </c>
      <c r="W301" t="s">
        <v>520</v>
      </c>
      <c r="X301" t="s">
        <v>52</v>
      </c>
      <c r="Y301" t="s">
        <v>88</v>
      </c>
      <c r="AA301">
        <v>0</v>
      </c>
      <c r="AB301" t="s">
        <v>54</v>
      </c>
      <c r="AC301" t="s">
        <v>55</v>
      </c>
      <c r="AD301">
        <v>34</v>
      </c>
      <c r="AE301">
        <v>8</v>
      </c>
      <c r="AF301">
        <v>3</v>
      </c>
      <c r="AG301">
        <v>2025</v>
      </c>
      <c r="AH301" s="13">
        <v>22600</v>
      </c>
      <c r="AI301" s="13">
        <v>21446.041015625</v>
      </c>
      <c r="AJ301" s="13">
        <f t="shared" si="32"/>
        <v>1153.958984375</v>
      </c>
      <c r="AK301" s="14">
        <f t="shared" si="33"/>
        <v>5.1060132051991149E-2</v>
      </c>
      <c r="AL301" s="9">
        <v>22600</v>
      </c>
      <c r="AM301" s="9">
        <v>20559.733534709991</v>
      </c>
      <c r="AN301" s="9">
        <f t="shared" si="34"/>
        <v>2040.2664652900094</v>
      </c>
      <c r="AO301" s="10">
        <f t="shared" si="35"/>
        <v>9.027727722522165E-2</v>
      </c>
      <c r="AP301" s="16">
        <v>22600</v>
      </c>
      <c r="AQ301" s="16">
        <v>20079.147038479139</v>
      </c>
      <c r="AR301" s="16">
        <f t="shared" si="36"/>
        <v>2520.8529615208608</v>
      </c>
      <c r="AS301" s="17">
        <f t="shared" si="37"/>
        <v>0.11154216643897615</v>
      </c>
      <c r="AT301" s="6">
        <v>22600</v>
      </c>
      <c r="AU301" s="6">
        <v>19572.638671875</v>
      </c>
      <c r="AV301" s="6">
        <f t="shared" si="38"/>
        <v>3027.361328125</v>
      </c>
      <c r="AW301" s="7">
        <f t="shared" si="39"/>
        <v>0.13395404106747788</v>
      </c>
    </row>
    <row r="302" spans="1:49" x14ac:dyDescent="0.25">
      <c r="A302" t="s">
        <v>38</v>
      </c>
      <c r="B302" t="s">
        <v>167</v>
      </c>
      <c r="C302">
        <v>112787</v>
      </c>
      <c r="D302">
        <v>2018</v>
      </c>
      <c r="E302" t="s">
        <v>58</v>
      </c>
      <c r="F302" t="s">
        <v>258</v>
      </c>
      <c r="H302" t="s">
        <v>268</v>
      </c>
      <c r="I302">
        <v>4</v>
      </c>
      <c r="J302" t="s">
        <v>101</v>
      </c>
      <c r="K302">
        <v>4</v>
      </c>
      <c r="L302" t="s">
        <v>44</v>
      </c>
      <c r="M302">
        <v>1.5</v>
      </c>
      <c r="N302" t="s">
        <v>45</v>
      </c>
      <c r="O302" t="s">
        <v>42</v>
      </c>
      <c r="P302">
        <v>2</v>
      </c>
      <c r="Q302" t="s">
        <v>47</v>
      </c>
      <c r="R302" t="s">
        <v>48</v>
      </c>
      <c r="S302" t="s">
        <v>49</v>
      </c>
      <c r="T302">
        <v>170</v>
      </c>
      <c r="U302" t="s">
        <v>50</v>
      </c>
      <c r="V302" t="s">
        <v>95</v>
      </c>
      <c r="W302" t="s">
        <v>688</v>
      </c>
      <c r="X302" t="s">
        <v>52</v>
      </c>
      <c r="Y302" t="s">
        <v>67</v>
      </c>
      <c r="Z302">
        <v>25700</v>
      </c>
      <c r="AA302">
        <v>0</v>
      </c>
      <c r="AB302" t="s">
        <v>54</v>
      </c>
      <c r="AC302" t="s">
        <v>55</v>
      </c>
      <c r="AD302">
        <v>34</v>
      </c>
      <c r="AE302">
        <v>8</v>
      </c>
      <c r="AF302">
        <v>3</v>
      </c>
      <c r="AG302">
        <v>2025</v>
      </c>
      <c r="AH302" s="13">
        <v>1100</v>
      </c>
      <c r="AI302" s="13">
        <v>2386.927490234375</v>
      </c>
      <c r="AJ302" s="13">
        <f t="shared" si="32"/>
        <v>1286.927490234375</v>
      </c>
      <c r="AK302" s="14">
        <f t="shared" si="33"/>
        <v>1.16993408203125</v>
      </c>
      <c r="AL302" s="9">
        <v>1100</v>
      </c>
      <c r="AM302" s="9">
        <v>2458.2428583475562</v>
      </c>
      <c r="AN302" s="9">
        <f t="shared" si="34"/>
        <v>1358.2428583475562</v>
      </c>
      <c r="AO302" s="10">
        <f t="shared" si="35"/>
        <v>1.2347662348614148</v>
      </c>
      <c r="AP302" s="16">
        <v>1100</v>
      </c>
      <c r="AQ302" s="16">
        <v>2151.590750880971</v>
      </c>
      <c r="AR302" s="16">
        <f t="shared" si="36"/>
        <v>1051.590750880971</v>
      </c>
      <c r="AS302" s="17">
        <f t="shared" si="37"/>
        <v>0.95599159170997361</v>
      </c>
      <c r="AT302" s="6">
        <v>1100</v>
      </c>
      <c r="AU302" s="6">
        <v>2121.133544921875</v>
      </c>
      <c r="AV302" s="6">
        <f t="shared" si="38"/>
        <v>1021.133544921875</v>
      </c>
      <c r="AW302" s="7">
        <f t="shared" si="39"/>
        <v>0.92830322265624998</v>
      </c>
    </row>
    <row r="303" spans="1:49" x14ac:dyDescent="0.25">
      <c r="A303" t="s">
        <v>107</v>
      </c>
      <c r="B303" t="s">
        <v>108</v>
      </c>
      <c r="C303">
        <v>14489</v>
      </c>
      <c r="D303">
        <v>2023</v>
      </c>
      <c r="E303" t="s">
        <v>79</v>
      </c>
      <c r="F303" t="s">
        <v>391</v>
      </c>
      <c r="G303" t="s">
        <v>264</v>
      </c>
      <c r="I303">
        <v>4</v>
      </c>
      <c r="J303" t="s">
        <v>74</v>
      </c>
      <c r="K303">
        <v>4</v>
      </c>
      <c r="L303" t="s">
        <v>44</v>
      </c>
      <c r="M303">
        <v>2</v>
      </c>
      <c r="N303" t="s">
        <v>45</v>
      </c>
      <c r="O303" t="s">
        <v>46</v>
      </c>
      <c r="P303">
        <v>5</v>
      </c>
      <c r="Q303" t="s">
        <v>47</v>
      </c>
      <c r="R303" t="s">
        <v>48</v>
      </c>
      <c r="S303" t="s">
        <v>102</v>
      </c>
      <c r="U303" t="s">
        <v>50</v>
      </c>
      <c r="V303" t="s">
        <v>95</v>
      </c>
      <c r="W303" t="s">
        <v>689</v>
      </c>
      <c r="X303" t="s">
        <v>66</v>
      </c>
      <c r="Y303" t="s">
        <v>106</v>
      </c>
      <c r="AA303">
        <v>0</v>
      </c>
      <c r="AB303" t="s">
        <v>54</v>
      </c>
      <c r="AC303" t="s">
        <v>55</v>
      </c>
      <c r="AD303">
        <v>34</v>
      </c>
      <c r="AE303">
        <v>8</v>
      </c>
      <c r="AF303">
        <v>3</v>
      </c>
      <c r="AG303">
        <v>2025</v>
      </c>
      <c r="AH303" s="13">
        <v>24400</v>
      </c>
      <c r="AI303" s="13">
        <v>29193.966796875</v>
      </c>
      <c r="AJ303" s="13">
        <f t="shared" si="32"/>
        <v>4793.966796875</v>
      </c>
      <c r="AK303" s="14">
        <f t="shared" si="33"/>
        <v>0.1964740490522541</v>
      </c>
      <c r="AL303" s="9">
        <v>24400</v>
      </c>
      <c r="AM303" s="9">
        <v>28745.57857063261</v>
      </c>
      <c r="AN303" s="9">
        <f t="shared" si="34"/>
        <v>4345.5785706326096</v>
      </c>
      <c r="AO303" s="10">
        <f t="shared" si="35"/>
        <v>0.17809748240297579</v>
      </c>
      <c r="AP303" s="16">
        <v>24400</v>
      </c>
      <c r="AQ303" s="16">
        <v>27669.863426695309</v>
      </c>
      <c r="AR303" s="16">
        <f t="shared" si="36"/>
        <v>3269.8634266953086</v>
      </c>
      <c r="AS303" s="17">
        <f t="shared" si="37"/>
        <v>0.13401079617603723</v>
      </c>
      <c r="AT303" s="6">
        <v>24400</v>
      </c>
      <c r="AU303" s="6">
        <v>28284.3203125</v>
      </c>
      <c r="AV303" s="6">
        <f t="shared" si="38"/>
        <v>3884.3203125</v>
      </c>
      <c r="AW303" s="7">
        <f t="shared" si="39"/>
        <v>0.15919345543032787</v>
      </c>
    </row>
    <row r="304" spans="1:49" x14ac:dyDescent="0.25">
      <c r="A304" t="s">
        <v>69</v>
      </c>
      <c r="B304" t="s">
        <v>160</v>
      </c>
      <c r="C304">
        <v>189432</v>
      </c>
      <c r="D304">
        <v>2013</v>
      </c>
      <c r="E304" t="s">
        <v>145</v>
      </c>
      <c r="F304" t="s">
        <v>307</v>
      </c>
      <c r="G304" t="s">
        <v>284</v>
      </c>
      <c r="I304">
        <v>4</v>
      </c>
      <c r="J304" t="s">
        <v>74</v>
      </c>
      <c r="K304">
        <v>4</v>
      </c>
      <c r="L304" t="s">
        <v>44</v>
      </c>
      <c r="M304">
        <v>2.4</v>
      </c>
      <c r="N304" t="s">
        <v>45</v>
      </c>
      <c r="Q304" t="s">
        <v>84</v>
      </c>
      <c r="R304" t="s">
        <v>85</v>
      </c>
      <c r="T304">
        <v>185</v>
      </c>
      <c r="U304" t="s">
        <v>50</v>
      </c>
      <c r="V304" t="s">
        <v>95</v>
      </c>
      <c r="W304" t="s">
        <v>513</v>
      </c>
      <c r="X304" t="s">
        <v>52</v>
      </c>
      <c r="Y304" t="s">
        <v>67</v>
      </c>
      <c r="AA304">
        <v>0</v>
      </c>
      <c r="AB304" t="s">
        <v>54</v>
      </c>
      <c r="AC304" t="s">
        <v>89</v>
      </c>
      <c r="AD304">
        <v>34</v>
      </c>
      <c r="AE304">
        <v>8</v>
      </c>
      <c r="AF304">
        <v>3</v>
      </c>
      <c r="AG304">
        <v>2025</v>
      </c>
      <c r="AH304" s="13">
        <v>600</v>
      </c>
      <c r="AI304" s="13">
        <v>2651.8896484375</v>
      </c>
      <c r="AJ304" s="13">
        <f t="shared" si="32"/>
        <v>2051.8896484375</v>
      </c>
      <c r="AK304" s="14">
        <f t="shared" si="33"/>
        <v>3.4198160807291669</v>
      </c>
      <c r="AL304" s="9">
        <v>600</v>
      </c>
      <c r="AM304" s="9">
        <v>2531.159669373812</v>
      </c>
      <c r="AN304" s="9">
        <f t="shared" si="34"/>
        <v>1931.159669373812</v>
      </c>
      <c r="AO304" s="10">
        <f t="shared" si="35"/>
        <v>3.2185994489563532</v>
      </c>
      <c r="AP304" s="16">
        <v>600</v>
      </c>
      <c r="AQ304" s="16">
        <v>2355.2732207680101</v>
      </c>
      <c r="AR304" s="16">
        <f t="shared" si="36"/>
        <v>1755.2732207680101</v>
      </c>
      <c r="AS304" s="17">
        <f t="shared" si="37"/>
        <v>2.9254553679466837</v>
      </c>
      <c r="AT304" s="6">
        <v>600</v>
      </c>
      <c r="AU304" s="6">
        <v>2583.613525390625</v>
      </c>
      <c r="AV304" s="6">
        <f t="shared" si="38"/>
        <v>1983.613525390625</v>
      </c>
      <c r="AW304" s="7">
        <f t="shared" si="39"/>
        <v>3.3060225423177085</v>
      </c>
    </row>
    <row r="305" spans="1:49" x14ac:dyDescent="0.25">
      <c r="A305" t="s">
        <v>69</v>
      </c>
      <c r="B305" t="s">
        <v>70</v>
      </c>
      <c r="C305">
        <v>184608</v>
      </c>
      <c r="D305">
        <v>2016</v>
      </c>
      <c r="E305" t="s">
        <v>145</v>
      </c>
      <c r="F305" t="s">
        <v>146</v>
      </c>
      <c r="G305" t="s">
        <v>194</v>
      </c>
      <c r="I305">
        <v>4</v>
      </c>
      <c r="J305" t="s">
        <v>82</v>
      </c>
      <c r="K305">
        <v>4</v>
      </c>
      <c r="L305" t="s">
        <v>44</v>
      </c>
      <c r="M305">
        <v>2.4</v>
      </c>
      <c r="N305" t="s">
        <v>45</v>
      </c>
      <c r="Q305" t="s">
        <v>47</v>
      </c>
      <c r="R305" t="s">
        <v>48</v>
      </c>
      <c r="S305" t="s">
        <v>49</v>
      </c>
      <c r="T305">
        <v>185</v>
      </c>
      <c r="U305" t="s">
        <v>50</v>
      </c>
      <c r="V305" t="s">
        <v>95</v>
      </c>
      <c r="W305" t="s">
        <v>690</v>
      </c>
      <c r="X305" t="s">
        <v>52</v>
      </c>
      <c r="Y305" t="s">
        <v>67</v>
      </c>
      <c r="AA305">
        <v>0</v>
      </c>
      <c r="AB305" t="s">
        <v>54</v>
      </c>
      <c r="AC305" t="s">
        <v>55</v>
      </c>
      <c r="AD305">
        <v>34</v>
      </c>
      <c r="AE305">
        <v>8</v>
      </c>
      <c r="AF305">
        <v>3</v>
      </c>
      <c r="AG305">
        <v>2025</v>
      </c>
      <c r="AH305" s="13">
        <v>6800</v>
      </c>
      <c r="AI305" s="13">
        <v>6472.6572265625</v>
      </c>
      <c r="AJ305" s="13">
        <f t="shared" si="32"/>
        <v>327.3427734375</v>
      </c>
      <c r="AK305" s="14">
        <f t="shared" si="33"/>
        <v>4.8138643152573532E-2</v>
      </c>
      <c r="AL305" s="9">
        <v>6800</v>
      </c>
      <c r="AM305" s="9">
        <v>5357.3647344557012</v>
      </c>
      <c r="AN305" s="9">
        <f t="shared" si="34"/>
        <v>1442.6352655442988</v>
      </c>
      <c r="AO305" s="10">
        <f t="shared" si="35"/>
        <v>0.21215224493298512</v>
      </c>
      <c r="AP305" s="16">
        <v>6800</v>
      </c>
      <c r="AQ305" s="16">
        <v>5562.158179975132</v>
      </c>
      <c r="AR305" s="16">
        <f t="shared" si="36"/>
        <v>1237.841820024868</v>
      </c>
      <c r="AS305" s="17">
        <f t="shared" si="37"/>
        <v>0.18203556176836294</v>
      </c>
      <c r="AT305" s="6">
        <v>6800</v>
      </c>
      <c r="AU305" s="6">
        <v>5840.2265625</v>
      </c>
      <c r="AV305" s="6">
        <f t="shared" si="38"/>
        <v>959.7734375</v>
      </c>
      <c r="AW305" s="7">
        <f t="shared" si="39"/>
        <v>0.14114315257352941</v>
      </c>
    </row>
    <row r="306" spans="1:49" x14ac:dyDescent="0.25">
      <c r="A306" t="s">
        <v>56</v>
      </c>
      <c r="B306" t="s">
        <v>178</v>
      </c>
      <c r="C306">
        <v>149108</v>
      </c>
      <c r="D306">
        <v>2016</v>
      </c>
      <c r="E306" t="s">
        <v>98</v>
      </c>
      <c r="F306" t="s">
        <v>109</v>
      </c>
      <c r="H306" t="s">
        <v>691</v>
      </c>
      <c r="I306">
        <v>4</v>
      </c>
      <c r="J306" t="s">
        <v>74</v>
      </c>
      <c r="K306">
        <v>4</v>
      </c>
      <c r="L306" t="s">
        <v>44</v>
      </c>
      <c r="M306">
        <v>2.4</v>
      </c>
      <c r="N306" t="s">
        <v>44</v>
      </c>
      <c r="O306" t="s">
        <v>46</v>
      </c>
      <c r="P306">
        <v>4</v>
      </c>
      <c r="Q306" t="s">
        <v>47</v>
      </c>
      <c r="R306" t="s">
        <v>48</v>
      </c>
      <c r="S306" t="s">
        <v>139</v>
      </c>
      <c r="U306" t="s">
        <v>50</v>
      </c>
      <c r="W306" t="s">
        <v>692</v>
      </c>
      <c r="X306" t="s">
        <v>141</v>
      </c>
      <c r="Y306" t="s">
        <v>88</v>
      </c>
      <c r="AA306">
        <v>0</v>
      </c>
      <c r="AB306" t="s">
        <v>54</v>
      </c>
      <c r="AC306" t="s">
        <v>55</v>
      </c>
      <c r="AD306">
        <v>34</v>
      </c>
      <c r="AE306">
        <v>8</v>
      </c>
      <c r="AF306">
        <v>3</v>
      </c>
      <c r="AG306">
        <v>2025</v>
      </c>
      <c r="AH306" s="13">
        <v>3400</v>
      </c>
      <c r="AI306" s="13">
        <v>4122.9111328125</v>
      </c>
      <c r="AJ306" s="13">
        <f t="shared" si="32"/>
        <v>722.9111328125</v>
      </c>
      <c r="AK306" s="14">
        <f t="shared" si="33"/>
        <v>0.21262092141544117</v>
      </c>
      <c r="AL306" s="9">
        <v>3400</v>
      </c>
      <c r="AM306" s="9">
        <v>4264.6674885773591</v>
      </c>
      <c r="AN306" s="9">
        <f t="shared" si="34"/>
        <v>864.66748857735911</v>
      </c>
      <c r="AO306" s="10">
        <f t="shared" si="35"/>
        <v>0.25431396722863503</v>
      </c>
      <c r="AP306" s="16">
        <v>3400</v>
      </c>
      <c r="AQ306" s="16">
        <v>3093.0577950943621</v>
      </c>
      <c r="AR306" s="16">
        <f t="shared" si="36"/>
        <v>306.94220490563794</v>
      </c>
      <c r="AS306" s="17">
        <f t="shared" si="37"/>
        <v>9.0277119089893512E-2</v>
      </c>
      <c r="AT306" s="6">
        <v>3400</v>
      </c>
      <c r="AU306" s="6">
        <v>3811.9287109375</v>
      </c>
      <c r="AV306" s="6">
        <f t="shared" si="38"/>
        <v>411.9287109375</v>
      </c>
      <c r="AW306" s="7">
        <f t="shared" si="39"/>
        <v>0.12115550321691176</v>
      </c>
    </row>
    <row r="307" spans="1:49" x14ac:dyDescent="0.25">
      <c r="A307" t="s">
        <v>38</v>
      </c>
      <c r="B307" t="s">
        <v>229</v>
      </c>
      <c r="C307">
        <v>99827</v>
      </c>
      <c r="D307">
        <v>2021</v>
      </c>
      <c r="E307" t="s">
        <v>124</v>
      </c>
      <c r="F307" t="s">
        <v>321</v>
      </c>
      <c r="G307" t="s">
        <v>171</v>
      </c>
      <c r="I307">
        <v>4</v>
      </c>
      <c r="J307" t="s">
        <v>74</v>
      </c>
      <c r="K307">
        <v>4</v>
      </c>
      <c r="L307" t="s">
        <v>44</v>
      </c>
      <c r="M307">
        <v>1.6</v>
      </c>
      <c r="N307" t="s">
        <v>45</v>
      </c>
      <c r="O307" t="s">
        <v>46</v>
      </c>
      <c r="P307">
        <v>3</v>
      </c>
      <c r="Q307" t="s">
        <v>84</v>
      </c>
      <c r="R307" t="s">
        <v>85</v>
      </c>
      <c r="S307" t="s">
        <v>102</v>
      </c>
      <c r="T307">
        <v>180</v>
      </c>
      <c r="U307" t="s">
        <v>50</v>
      </c>
      <c r="W307" t="s">
        <v>623</v>
      </c>
      <c r="X307" t="s">
        <v>87</v>
      </c>
      <c r="Y307" t="s">
        <v>53</v>
      </c>
      <c r="AA307">
        <v>0</v>
      </c>
      <c r="AB307" t="s">
        <v>54</v>
      </c>
      <c r="AC307" t="s">
        <v>89</v>
      </c>
      <c r="AD307">
        <v>34</v>
      </c>
      <c r="AE307">
        <v>8</v>
      </c>
      <c r="AF307">
        <v>3</v>
      </c>
      <c r="AG307">
        <v>2025</v>
      </c>
      <c r="AH307" s="13">
        <v>12500</v>
      </c>
      <c r="AI307" s="13">
        <v>11735.171875</v>
      </c>
      <c r="AJ307" s="13">
        <f t="shared" si="32"/>
        <v>764.828125</v>
      </c>
      <c r="AK307" s="14">
        <f t="shared" si="33"/>
        <v>6.1186249999999998E-2</v>
      </c>
      <c r="AL307" s="9">
        <v>12500</v>
      </c>
      <c r="AM307" s="9">
        <v>9173.0193476670574</v>
      </c>
      <c r="AN307" s="9">
        <f t="shared" si="34"/>
        <v>3326.9806523329426</v>
      </c>
      <c r="AO307" s="10">
        <f t="shared" si="35"/>
        <v>0.26615845218663542</v>
      </c>
      <c r="AP307" s="16">
        <v>12500</v>
      </c>
      <c r="AQ307" s="16">
        <v>8339.3741486490635</v>
      </c>
      <c r="AR307" s="16">
        <f t="shared" si="36"/>
        <v>4160.6258513509365</v>
      </c>
      <c r="AS307" s="17">
        <f t="shared" si="37"/>
        <v>0.33285006810807494</v>
      </c>
      <c r="AT307" s="6">
        <v>12500</v>
      </c>
      <c r="AU307" s="6">
        <v>10208.9521484375</v>
      </c>
      <c r="AV307" s="6">
        <f t="shared" si="38"/>
        <v>2291.0478515625</v>
      </c>
      <c r="AW307" s="7">
        <f t="shared" si="39"/>
        <v>0.18328382812499999</v>
      </c>
    </row>
    <row r="308" spans="1:49" x14ac:dyDescent="0.25">
      <c r="A308" t="s">
        <v>38</v>
      </c>
      <c r="B308" t="s">
        <v>229</v>
      </c>
      <c r="C308">
        <v>39274</v>
      </c>
      <c r="D308">
        <v>2023</v>
      </c>
      <c r="E308" t="s">
        <v>91</v>
      </c>
      <c r="F308" t="s">
        <v>92</v>
      </c>
      <c r="G308" t="s">
        <v>693</v>
      </c>
      <c r="H308" t="s">
        <v>502</v>
      </c>
      <c r="I308">
        <v>4</v>
      </c>
      <c r="J308" t="s">
        <v>82</v>
      </c>
      <c r="K308">
        <v>4</v>
      </c>
      <c r="L308" t="s">
        <v>44</v>
      </c>
      <c r="M308">
        <v>2.5</v>
      </c>
      <c r="N308" t="s">
        <v>45</v>
      </c>
      <c r="O308" t="s">
        <v>46</v>
      </c>
      <c r="Q308" t="s">
        <v>84</v>
      </c>
      <c r="R308" t="s">
        <v>85</v>
      </c>
      <c r="S308" t="s">
        <v>49</v>
      </c>
      <c r="T308">
        <v>205</v>
      </c>
      <c r="U308" t="s">
        <v>50</v>
      </c>
      <c r="V308" t="s">
        <v>95</v>
      </c>
      <c r="W308" t="s">
        <v>520</v>
      </c>
      <c r="X308" t="s">
        <v>87</v>
      </c>
      <c r="Y308" t="s">
        <v>67</v>
      </c>
      <c r="AA308">
        <v>0</v>
      </c>
      <c r="AB308" t="s">
        <v>54</v>
      </c>
      <c r="AC308" t="s">
        <v>89</v>
      </c>
      <c r="AD308">
        <v>34</v>
      </c>
      <c r="AE308">
        <v>8</v>
      </c>
      <c r="AF308">
        <v>3</v>
      </c>
      <c r="AG308">
        <v>2025</v>
      </c>
      <c r="AH308" s="13">
        <v>25250</v>
      </c>
      <c r="AI308" s="13">
        <v>23726.5546875</v>
      </c>
      <c r="AJ308" s="13">
        <f t="shared" si="32"/>
        <v>1523.4453125</v>
      </c>
      <c r="AK308" s="14">
        <f t="shared" si="33"/>
        <v>6.033446782178218E-2</v>
      </c>
      <c r="AL308" s="9">
        <v>25250</v>
      </c>
      <c r="AM308" s="9">
        <v>20936.888886838002</v>
      </c>
      <c r="AN308" s="9">
        <f t="shared" si="34"/>
        <v>4313.1111131619982</v>
      </c>
      <c r="AO308" s="10">
        <f t="shared" si="35"/>
        <v>0.17081628170938606</v>
      </c>
      <c r="AP308" s="16">
        <v>25250</v>
      </c>
      <c r="AQ308" s="16">
        <v>20298.982406729221</v>
      </c>
      <c r="AR308" s="16">
        <f t="shared" si="36"/>
        <v>4951.0175932707789</v>
      </c>
      <c r="AS308" s="17">
        <f t="shared" si="37"/>
        <v>0.19607990468399125</v>
      </c>
      <c r="AT308" s="6">
        <v>25250</v>
      </c>
      <c r="AU308" s="6">
        <v>19763.404296875</v>
      </c>
      <c r="AV308" s="6">
        <f t="shared" si="38"/>
        <v>5486.595703125</v>
      </c>
      <c r="AW308" s="7">
        <f t="shared" si="39"/>
        <v>0.21729091893564356</v>
      </c>
    </row>
    <row r="309" spans="1:49" x14ac:dyDescent="0.25">
      <c r="A309" t="s">
        <v>56</v>
      </c>
      <c r="B309" t="s">
        <v>303</v>
      </c>
      <c r="C309">
        <v>88360</v>
      </c>
      <c r="D309">
        <v>2015</v>
      </c>
      <c r="E309" t="s">
        <v>173</v>
      </c>
      <c r="F309" t="s">
        <v>461</v>
      </c>
      <c r="G309" t="s">
        <v>171</v>
      </c>
      <c r="I309">
        <v>6</v>
      </c>
      <c r="J309" t="s">
        <v>82</v>
      </c>
      <c r="K309">
        <v>4</v>
      </c>
      <c r="L309" t="s">
        <v>44</v>
      </c>
      <c r="M309">
        <v>3.6</v>
      </c>
      <c r="N309" t="s">
        <v>116</v>
      </c>
      <c r="Q309" t="s">
        <v>47</v>
      </c>
      <c r="R309" t="s">
        <v>48</v>
      </c>
      <c r="S309" t="s">
        <v>49</v>
      </c>
      <c r="U309" t="s">
        <v>50</v>
      </c>
      <c r="X309" t="s">
        <v>66</v>
      </c>
      <c r="Y309" t="s">
        <v>67</v>
      </c>
      <c r="AA309">
        <v>0</v>
      </c>
      <c r="AB309" t="s">
        <v>54</v>
      </c>
      <c r="AC309" t="s">
        <v>55</v>
      </c>
      <c r="AD309">
        <v>34</v>
      </c>
      <c r="AE309">
        <v>8</v>
      </c>
      <c r="AF309">
        <v>3</v>
      </c>
      <c r="AG309">
        <v>2025</v>
      </c>
      <c r="AH309" s="13">
        <v>9800</v>
      </c>
      <c r="AI309" s="13">
        <v>10153.2626953125</v>
      </c>
      <c r="AJ309" s="13">
        <f t="shared" si="32"/>
        <v>353.2626953125</v>
      </c>
      <c r="AK309" s="14">
        <f t="shared" si="33"/>
        <v>3.6047213807397963E-2</v>
      </c>
      <c r="AL309" s="9">
        <v>9800</v>
      </c>
      <c r="AM309" s="9">
        <v>9469.9414230963484</v>
      </c>
      <c r="AN309" s="9">
        <f t="shared" si="34"/>
        <v>330.05857690365156</v>
      </c>
      <c r="AO309" s="10">
        <f t="shared" si="35"/>
        <v>3.3679446622821588E-2</v>
      </c>
      <c r="AP309" s="16">
        <v>9800</v>
      </c>
      <c r="AQ309" s="16">
        <v>8684.5495988238381</v>
      </c>
      <c r="AR309" s="16">
        <f t="shared" si="36"/>
        <v>1115.4504011761619</v>
      </c>
      <c r="AS309" s="17">
        <f t="shared" si="37"/>
        <v>0.11382146950777162</v>
      </c>
      <c r="AT309" s="6">
        <v>9800</v>
      </c>
      <c r="AU309" s="6">
        <v>8921.91796875</v>
      </c>
      <c r="AV309" s="6">
        <f t="shared" si="38"/>
        <v>878.08203125</v>
      </c>
      <c r="AW309" s="7">
        <f t="shared" si="39"/>
        <v>8.9600207270408169E-2</v>
      </c>
    </row>
    <row r="310" spans="1:49" x14ac:dyDescent="0.25">
      <c r="A310" t="s">
        <v>38</v>
      </c>
      <c r="B310" t="s">
        <v>229</v>
      </c>
      <c r="C310">
        <v>52523</v>
      </c>
      <c r="D310">
        <v>2023</v>
      </c>
      <c r="E310" t="s">
        <v>91</v>
      </c>
      <c r="F310" t="s">
        <v>92</v>
      </c>
      <c r="G310" t="s">
        <v>268</v>
      </c>
      <c r="H310" t="s">
        <v>502</v>
      </c>
      <c r="I310">
        <v>4</v>
      </c>
      <c r="J310" t="s">
        <v>74</v>
      </c>
      <c r="K310">
        <v>4</v>
      </c>
      <c r="L310" t="s">
        <v>44</v>
      </c>
      <c r="M310">
        <v>2.5</v>
      </c>
      <c r="N310" t="s">
        <v>45</v>
      </c>
      <c r="O310" t="s">
        <v>46</v>
      </c>
      <c r="P310">
        <v>3</v>
      </c>
      <c r="Q310" t="s">
        <v>84</v>
      </c>
      <c r="R310" t="s">
        <v>85</v>
      </c>
      <c r="S310" t="s">
        <v>49</v>
      </c>
      <c r="T310">
        <v>202</v>
      </c>
      <c r="U310" t="s">
        <v>50</v>
      </c>
      <c r="V310" t="s">
        <v>95</v>
      </c>
      <c r="W310" t="s">
        <v>520</v>
      </c>
      <c r="X310" t="s">
        <v>87</v>
      </c>
      <c r="Y310" t="s">
        <v>67</v>
      </c>
      <c r="AA310">
        <v>0</v>
      </c>
      <c r="AB310" t="s">
        <v>54</v>
      </c>
      <c r="AC310" t="s">
        <v>89</v>
      </c>
      <c r="AD310">
        <v>34</v>
      </c>
      <c r="AE310">
        <v>8</v>
      </c>
      <c r="AF310">
        <v>3</v>
      </c>
      <c r="AG310">
        <v>2025</v>
      </c>
      <c r="AH310" s="13">
        <v>18000</v>
      </c>
      <c r="AI310" s="13">
        <v>15233.517578125</v>
      </c>
      <c r="AJ310" s="13">
        <f t="shared" si="32"/>
        <v>2766.482421875</v>
      </c>
      <c r="AK310" s="14">
        <f t="shared" si="33"/>
        <v>0.15369346788194443</v>
      </c>
      <c r="AL310" s="9">
        <v>18000</v>
      </c>
      <c r="AM310" s="9">
        <v>17020.631989835991</v>
      </c>
      <c r="AN310" s="9">
        <f t="shared" si="34"/>
        <v>979.36801016400932</v>
      </c>
      <c r="AO310" s="10">
        <f t="shared" si="35"/>
        <v>5.4409333898000518E-2</v>
      </c>
      <c r="AP310" s="16">
        <v>18000</v>
      </c>
      <c r="AQ310" s="16">
        <v>16099.59506488274</v>
      </c>
      <c r="AR310" s="16">
        <f t="shared" si="36"/>
        <v>1900.4049351172598</v>
      </c>
      <c r="AS310" s="17">
        <f t="shared" si="37"/>
        <v>0.10557805195095887</v>
      </c>
      <c r="AT310" s="6">
        <v>18000</v>
      </c>
      <c r="AU310" s="6">
        <v>15793.3564453125</v>
      </c>
      <c r="AV310" s="6">
        <f t="shared" si="38"/>
        <v>2206.6435546875</v>
      </c>
      <c r="AW310" s="7">
        <f t="shared" si="39"/>
        <v>0.12259130859375</v>
      </c>
    </row>
    <row r="311" spans="1:49" x14ac:dyDescent="0.25">
      <c r="A311" t="s">
        <v>69</v>
      </c>
      <c r="B311" t="s">
        <v>128</v>
      </c>
      <c r="C311">
        <v>185034</v>
      </c>
      <c r="D311">
        <v>2011</v>
      </c>
      <c r="E311" t="s">
        <v>91</v>
      </c>
      <c r="F311" t="s">
        <v>92</v>
      </c>
      <c r="G311" t="s">
        <v>120</v>
      </c>
      <c r="H311" t="s">
        <v>536</v>
      </c>
      <c r="I311">
        <v>4</v>
      </c>
      <c r="J311" t="s">
        <v>694</v>
      </c>
      <c r="K311">
        <v>4</v>
      </c>
      <c r="L311" t="s">
        <v>44</v>
      </c>
      <c r="M311">
        <v>2.5</v>
      </c>
      <c r="N311" t="s">
        <v>45</v>
      </c>
      <c r="Q311" t="s">
        <v>84</v>
      </c>
      <c r="R311" t="s">
        <v>85</v>
      </c>
      <c r="S311" t="s">
        <v>49</v>
      </c>
      <c r="U311" t="s">
        <v>50</v>
      </c>
      <c r="V311" t="s">
        <v>95</v>
      </c>
      <c r="W311" t="s">
        <v>537</v>
      </c>
      <c r="X311" t="s">
        <v>87</v>
      </c>
      <c r="Y311" t="s">
        <v>67</v>
      </c>
      <c r="AA311">
        <v>0</v>
      </c>
      <c r="AB311" t="s">
        <v>54</v>
      </c>
      <c r="AC311" t="s">
        <v>89</v>
      </c>
      <c r="AD311">
        <v>34</v>
      </c>
      <c r="AE311">
        <v>8</v>
      </c>
      <c r="AF311">
        <v>3</v>
      </c>
      <c r="AG311">
        <v>2025</v>
      </c>
      <c r="AH311" s="13">
        <v>5000</v>
      </c>
      <c r="AI311" s="13">
        <v>2445.444580078125</v>
      </c>
      <c r="AJ311" s="13">
        <f t="shared" si="32"/>
        <v>2554.555419921875</v>
      </c>
      <c r="AK311" s="14">
        <f t="shared" si="33"/>
        <v>0.51091108398437501</v>
      </c>
      <c r="AL311" s="9">
        <v>5000</v>
      </c>
      <c r="AM311" s="9">
        <v>1888.761172962659</v>
      </c>
      <c r="AN311" s="9">
        <f t="shared" si="34"/>
        <v>3111.2388270373413</v>
      </c>
      <c r="AO311" s="10">
        <f t="shared" si="35"/>
        <v>0.62224776540746829</v>
      </c>
      <c r="AP311" s="16">
        <v>5000</v>
      </c>
      <c r="AQ311" s="16">
        <v>1396.599264051978</v>
      </c>
      <c r="AR311" s="16">
        <f t="shared" si="36"/>
        <v>3603.400735948022</v>
      </c>
      <c r="AS311" s="17">
        <f t="shared" si="37"/>
        <v>0.72068014718960438</v>
      </c>
      <c r="AT311" s="6">
        <v>5000</v>
      </c>
      <c r="AU311" s="6">
        <v>1963.638671875</v>
      </c>
      <c r="AV311" s="6">
        <f t="shared" si="38"/>
        <v>3036.361328125</v>
      </c>
      <c r="AW311" s="7">
        <f t="shared" si="39"/>
        <v>0.60727226562500003</v>
      </c>
    </row>
    <row r="312" spans="1:49" x14ac:dyDescent="0.25">
      <c r="A312" t="s">
        <v>107</v>
      </c>
      <c r="B312" t="s">
        <v>192</v>
      </c>
      <c r="C312">
        <v>82141</v>
      </c>
      <c r="D312">
        <v>2018</v>
      </c>
      <c r="E312" t="s">
        <v>124</v>
      </c>
      <c r="F312" t="s">
        <v>321</v>
      </c>
      <c r="G312" t="s">
        <v>322</v>
      </c>
      <c r="I312">
        <v>4</v>
      </c>
      <c r="J312" t="s">
        <v>61</v>
      </c>
      <c r="K312">
        <v>4</v>
      </c>
      <c r="L312" t="s">
        <v>44</v>
      </c>
      <c r="M312">
        <v>2.4</v>
      </c>
      <c r="N312" t="s">
        <v>45</v>
      </c>
      <c r="O312" t="s">
        <v>46</v>
      </c>
      <c r="Q312" t="s">
        <v>84</v>
      </c>
      <c r="R312" t="s">
        <v>85</v>
      </c>
      <c r="T312">
        <v>187</v>
      </c>
      <c r="U312" t="s">
        <v>50</v>
      </c>
      <c r="W312" t="s">
        <v>362</v>
      </c>
      <c r="X312" t="s">
        <v>87</v>
      </c>
      <c r="Y312" t="s">
        <v>67</v>
      </c>
      <c r="AA312">
        <v>0</v>
      </c>
      <c r="AB312" t="s">
        <v>54</v>
      </c>
      <c r="AC312" t="s">
        <v>89</v>
      </c>
      <c r="AD312">
        <v>34</v>
      </c>
      <c r="AE312">
        <v>8</v>
      </c>
      <c r="AF312">
        <v>3</v>
      </c>
      <c r="AG312">
        <v>2025</v>
      </c>
      <c r="AH312" s="13">
        <v>8500</v>
      </c>
      <c r="AI312" s="13">
        <v>8236.7958984375</v>
      </c>
      <c r="AJ312" s="13">
        <f t="shared" si="32"/>
        <v>263.2041015625</v>
      </c>
      <c r="AK312" s="14">
        <f t="shared" si="33"/>
        <v>3.0965188419117648E-2</v>
      </c>
      <c r="AL312" s="9">
        <v>8500</v>
      </c>
      <c r="AM312" s="9">
        <v>7643.0676262055058</v>
      </c>
      <c r="AN312" s="9">
        <f t="shared" si="34"/>
        <v>856.9323737944942</v>
      </c>
      <c r="AO312" s="10">
        <f t="shared" si="35"/>
        <v>0.10081557338758755</v>
      </c>
      <c r="AP312" s="16">
        <v>8500</v>
      </c>
      <c r="AQ312" s="16">
        <v>6450.30619571227</v>
      </c>
      <c r="AR312" s="16">
        <f t="shared" si="36"/>
        <v>2049.69380428773</v>
      </c>
      <c r="AS312" s="17">
        <f t="shared" si="37"/>
        <v>0.24114044756326236</v>
      </c>
      <c r="AT312" s="6">
        <v>8500</v>
      </c>
      <c r="AU312" s="6">
        <v>8280.0234375</v>
      </c>
      <c r="AV312" s="6">
        <f t="shared" si="38"/>
        <v>219.9765625</v>
      </c>
      <c r="AW312" s="7">
        <f t="shared" si="39"/>
        <v>2.5879595588235296E-2</v>
      </c>
    </row>
    <row r="313" spans="1:49" x14ac:dyDescent="0.25">
      <c r="A313" t="s">
        <v>38</v>
      </c>
      <c r="B313" t="s">
        <v>167</v>
      </c>
      <c r="C313">
        <v>63016</v>
      </c>
      <c r="D313">
        <v>2023</v>
      </c>
      <c r="E313" t="s">
        <v>241</v>
      </c>
      <c r="F313" t="s">
        <v>695</v>
      </c>
      <c r="H313" t="s">
        <v>696</v>
      </c>
      <c r="I313">
        <v>4</v>
      </c>
      <c r="J313" t="s">
        <v>74</v>
      </c>
      <c r="K313">
        <v>4</v>
      </c>
      <c r="L313" t="s">
        <v>44</v>
      </c>
      <c r="M313">
        <v>3</v>
      </c>
      <c r="N313" t="s">
        <v>44</v>
      </c>
      <c r="O313" t="s">
        <v>46</v>
      </c>
      <c r="P313">
        <v>4</v>
      </c>
      <c r="Q313" t="s">
        <v>47</v>
      </c>
      <c r="R313" t="s">
        <v>48</v>
      </c>
      <c r="S313" t="s">
        <v>139</v>
      </c>
      <c r="T313">
        <v>362</v>
      </c>
      <c r="U313" t="s">
        <v>50</v>
      </c>
      <c r="V313" t="s">
        <v>95</v>
      </c>
      <c r="W313" t="s">
        <v>697</v>
      </c>
      <c r="X313" t="s">
        <v>66</v>
      </c>
      <c r="Y313" t="s">
        <v>67</v>
      </c>
      <c r="AA313">
        <v>0</v>
      </c>
      <c r="AB313" t="s">
        <v>54</v>
      </c>
      <c r="AC313" t="s">
        <v>55</v>
      </c>
      <c r="AD313">
        <v>34</v>
      </c>
      <c r="AE313">
        <v>8</v>
      </c>
      <c r="AF313">
        <v>3</v>
      </c>
      <c r="AG313">
        <v>2025</v>
      </c>
      <c r="AH313" s="13">
        <v>42500</v>
      </c>
      <c r="AI313" s="13">
        <v>38537.27734375</v>
      </c>
      <c r="AJ313" s="13">
        <f t="shared" si="32"/>
        <v>3962.72265625</v>
      </c>
      <c r="AK313" s="14">
        <f t="shared" si="33"/>
        <v>9.3240533088235295E-2</v>
      </c>
      <c r="AL313" s="9">
        <v>42500</v>
      </c>
      <c r="AM313" s="9">
        <v>33639.968536504501</v>
      </c>
      <c r="AN313" s="9">
        <f t="shared" si="34"/>
        <v>8860.0314634954993</v>
      </c>
      <c r="AO313" s="10">
        <f t="shared" si="35"/>
        <v>0.20847132855283529</v>
      </c>
      <c r="AP313" s="16">
        <v>42500</v>
      </c>
      <c r="AQ313" s="16">
        <v>37178.359160756983</v>
      </c>
      <c r="AR313" s="16">
        <f t="shared" si="36"/>
        <v>5321.6408392430167</v>
      </c>
      <c r="AS313" s="17">
        <f t="shared" si="37"/>
        <v>0.12521507857042391</v>
      </c>
      <c r="AT313" s="6">
        <v>42500</v>
      </c>
      <c r="AU313" s="6">
        <v>31343.99609375</v>
      </c>
      <c r="AV313" s="6">
        <f t="shared" si="38"/>
        <v>11156.00390625</v>
      </c>
      <c r="AW313" s="7">
        <f t="shared" si="39"/>
        <v>0.26249420955882352</v>
      </c>
    </row>
    <row r="314" spans="1:49" x14ac:dyDescent="0.25">
      <c r="A314" t="s">
        <v>107</v>
      </c>
      <c r="B314" t="s">
        <v>154</v>
      </c>
      <c r="C314">
        <v>62949</v>
      </c>
      <c r="D314">
        <v>2012</v>
      </c>
      <c r="E314" t="s">
        <v>150</v>
      </c>
      <c r="F314" t="s">
        <v>151</v>
      </c>
      <c r="G314" t="s">
        <v>232</v>
      </c>
      <c r="I314">
        <v>6</v>
      </c>
      <c r="J314" t="s">
        <v>82</v>
      </c>
      <c r="K314">
        <v>4</v>
      </c>
      <c r="L314" t="s">
        <v>44</v>
      </c>
      <c r="M314">
        <v>3.6</v>
      </c>
      <c r="N314" t="s">
        <v>44</v>
      </c>
      <c r="O314" t="s">
        <v>46</v>
      </c>
      <c r="Q314" t="s">
        <v>47</v>
      </c>
      <c r="R314" t="s">
        <v>48</v>
      </c>
      <c r="S314" t="s">
        <v>139</v>
      </c>
      <c r="U314" t="s">
        <v>50</v>
      </c>
      <c r="V314" t="s">
        <v>64</v>
      </c>
      <c r="W314" t="s">
        <v>153</v>
      </c>
      <c r="X314" t="s">
        <v>66</v>
      </c>
      <c r="Y314" t="s">
        <v>67</v>
      </c>
      <c r="AA314">
        <v>0</v>
      </c>
      <c r="AB314" t="s">
        <v>54</v>
      </c>
      <c r="AC314" t="s">
        <v>55</v>
      </c>
      <c r="AD314">
        <v>34</v>
      </c>
      <c r="AE314">
        <v>8</v>
      </c>
      <c r="AF314">
        <v>3</v>
      </c>
      <c r="AG314">
        <v>2025</v>
      </c>
      <c r="AH314" s="13">
        <v>8000</v>
      </c>
      <c r="AI314" s="13">
        <v>7669.806640625</v>
      </c>
      <c r="AJ314" s="13">
        <f t="shared" si="32"/>
        <v>330.193359375</v>
      </c>
      <c r="AK314" s="14">
        <f t="shared" si="33"/>
        <v>4.1274169921874999E-2</v>
      </c>
      <c r="AL314" s="9">
        <v>8000</v>
      </c>
      <c r="AM314" s="9">
        <v>5258.0269178053468</v>
      </c>
      <c r="AN314" s="9">
        <f t="shared" si="34"/>
        <v>2741.9730821946532</v>
      </c>
      <c r="AO314" s="10">
        <f t="shared" si="35"/>
        <v>0.34274663527433163</v>
      </c>
      <c r="AP314" s="16">
        <v>8000</v>
      </c>
      <c r="AQ314" s="16">
        <v>5542.8280382438998</v>
      </c>
      <c r="AR314" s="16">
        <f t="shared" si="36"/>
        <v>2457.1719617561002</v>
      </c>
      <c r="AS314" s="17">
        <f t="shared" si="37"/>
        <v>0.30714649521951254</v>
      </c>
      <c r="AT314" s="6">
        <v>8000</v>
      </c>
      <c r="AU314" s="6">
        <v>5887.80322265625</v>
      </c>
      <c r="AV314" s="6">
        <f t="shared" si="38"/>
        <v>2112.19677734375</v>
      </c>
      <c r="AW314" s="7">
        <f t="shared" si="39"/>
        <v>0.26402459716796878</v>
      </c>
    </row>
    <row r="315" spans="1:49" x14ac:dyDescent="0.25">
      <c r="A315" t="s">
        <v>69</v>
      </c>
      <c r="B315" t="s">
        <v>223</v>
      </c>
      <c r="C315">
        <v>183440</v>
      </c>
      <c r="D315">
        <v>2015</v>
      </c>
      <c r="E315" t="s">
        <v>79</v>
      </c>
      <c r="F315" t="s">
        <v>465</v>
      </c>
      <c r="G315" t="s">
        <v>698</v>
      </c>
      <c r="H315" t="s">
        <v>435</v>
      </c>
      <c r="I315">
        <v>8</v>
      </c>
      <c r="J315" t="s">
        <v>82</v>
      </c>
      <c r="K315">
        <v>4</v>
      </c>
      <c r="L315" t="s">
        <v>44</v>
      </c>
      <c r="M315">
        <v>5.3</v>
      </c>
      <c r="N315" t="s">
        <v>116</v>
      </c>
      <c r="O315" t="s">
        <v>46</v>
      </c>
      <c r="Q315" t="s">
        <v>47</v>
      </c>
      <c r="R315" t="s">
        <v>48</v>
      </c>
      <c r="U315" t="s">
        <v>50</v>
      </c>
      <c r="W315" t="s">
        <v>163</v>
      </c>
      <c r="X315" t="s">
        <v>77</v>
      </c>
      <c r="Y315" t="s">
        <v>67</v>
      </c>
      <c r="AA315">
        <v>0</v>
      </c>
      <c r="AB315" t="s">
        <v>54</v>
      </c>
      <c r="AC315" t="s">
        <v>55</v>
      </c>
      <c r="AD315">
        <v>34</v>
      </c>
      <c r="AE315">
        <v>8</v>
      </c>
      <c r="AF315">
        <v>3</v>
      </c>
      <c r="AG315">
        <v>2025</v>
      </c>
      <c r="AH315" s="13">
        <v>9000</v>
      </c>
      <c r="AI315" s="13">
        <v>10404.091796875</v>
      </c>
      <c r="AJ315" s="13">
        <f t="shared" si="32"/>
        <v>1404.091796875</v>
      </c>
      <c r="AK315" s="14">
        <f t="shared" si="33"/>
        <v>0.15601019965277776</v>
      </c>
      <c r="AL315" s="9">
        <v>9000</v>
      </c>
      <c r="AM315" s="9">
        <v>9419.7272791101204</v>
      </c>
      <c r="AN315" s="9">
        <f t="shared" si="34"/>
        <v>419.72727911012043</v>
      </c>
      <c r="AO315" s="10">
        <f t="shared" si="35"/>
        <v>4.6636364345568934E-2</v>
      </c>
      <c r="AP315" s="16">
        <v>9000</v>
      </c>
      <c r="AQ315" s="16">
        <v>8894.5760763158341</v>
      </c>
      <c r="AR315" s="16">
        <f t="shared" si="36"/>
        <v>105.42392368416586</v>
      </c>
      <c r="AS315" s="17">
        <f t="shared" si="37"/>
        <v>1.1713769298240652E-2</v>
      </c>
      <c r="AT315" s="6">
        <v>9000</v>
      </c>
      <c r="AU315" s="6">
        <v>10355.6318359375</v>
      </c>
      <c r="AV315" s="6">
        <f t="shared" si="38"/>
        <v>1355.6318359375</v>
      </c>
      <c r="AW315" s="7">
        <f t="shared" si="39"/>
        <v>0.1506257595486111</v>
      </c>
    </row>
    <row r="316" spans="1:49" x14ac:dyDescent="0.25">
      <c r="A316" t="s">
        <v>69</v>
      </c>
      <c r="B316" t="s">
        <v>128</v>
      </c>
      <c r="C316">
        <v>166954</v>
      </c>
      <c r="D316">
        <v>2018</v>
      </c>
      <c r="E316" t="s">
        <v>71</v>
      </c>
      <c r="F316" t="s">
        <v>238</v>
      </c>
      <c r="I316">
        <v>4</v>
      </c>
      <c r="J316" t="s">
        <v>43</v>
      </c>
      <c r="K316">
        <v>4</v>
      </c>
      <c r="L316" t="s">
        <v>44</v>
      </c>
      <c r="M316">
        <v>1.8</v>
      </c>
      <c r="N316" t="s">
        <v>45</v>
      </c>
      <c r="O316" t="s">
        <v>46</v>
      </c>
      <c r="Q316" t="s">
        <v>84</v>
      </c>
      <c r="R316" t="s">
        <v>85</v>
      </c>
      <c r="S316" t="s">
        <v>49</v>
      </c>
      <c r="T316">
        <v>130</v>
      </c>
      <c r="U316" t="s">
        <v>50</v>
      </c>
      <c r="V316" t="s">
        <v>95</v>
      </c>
      <c r="X316" t="s">
        <v>87</v>
      </c>
      <c r="Y316" t="s">
        <v>106</v>
      </c>
      <c r="Z316">
        <v>16685</v>
      </c>
      <c r="AA316">
        <v>0</v>
      </c>
      <c r="AB316" t="s">
        <v>54</v>
      </c>
      <c r="AC316" t="s">
        <v>89</v>
      </c>
      <c r="AD316">
        <v>34</v>
      </c>
      <c r="AE316">
        <v>8</v>
      </c>
      <c r="AF316">
        <v>3</v>
      </c>
      <c r="AG316">
        <v>2025</v>
      </c>
      <c r="AH316" s="13">
        <v>1900</v>
      </c>
      <c r="AI316" s="13">
        <v>1862.121826171875</v>
      </c>
      <c r="AJ316" s="13">
        <f t="shared" si="32"/>
        <v>37.878173828125</v>
      </c>
      <c r="AK316" s="14">
        <f t="shared" si="33"/>
        <v>1.9935880962171054E-2</v>
      </c>
      <c r="AL316" s="9">
        <v>1900</v>
      </c>
      <c r="AM316" s="9">
        <v>2009.840300979846</v>
      </c>
      <c r="AN316" s="9">
        <f t="shared" si="34"/>
        <v>109.84030097984601</v>
      </c>
      <c r="AO316" s="10">
        <f t="shared" si="35"/>
        <v>5.781068472623474E-2</v>
      </c>
      <c r="AP316" s="16">
        <v>1900</v>
      </c>
      <c r="AQ316" s="16">
        <v>2226.7709295364862</v>
      </c>
      <c r="AR316" s="16">
        <f t="shared" si="36"/>
        <v>326.77092953648616</v>
      </c>
      <c r="AS316" s="17">
        <f t="shared" si="37"/>
        <v>0.17198469975604536</v>
      </c>
      <c r="AT316" s="6">
        <v>1900</v>
      </c>
      <c r="AU316" s="6">
        <v>1799.264526367188</v>
      </c>
      <c r="AV316" s="6">
        <f t="shared" si="38"/>
        <v>100.73547363281205</v>
      </c>
      <c r="AW316" s="7">
        <f t="shared" si="39"/>
        <v>5.3018670333058973E-2</v>
      </c>
    </row>
    <row r="317" spans="1:49" x14ac:dyDescent="0.25">
      <c r="A317" t="s">
        <v>56</v>
      </c>
      <c r="B317" t="s">
        <v>144</v>
      </c>
      <c r="C317">
        <v>92648</v>
      </c>
      <c r="D317">
        <v>2018</v>
      </c>
      <c r="E317" t="s">
        <v>58</v>
      </c>
      <c r="F317" t="s">
        <v>168</v>
      </c>
      <c r="I317">
        <v>6</v>
      </c>
      <c r="J317" t="s">
        <v>74</v>
      </c>
      <c r="K317">
        <v>4</v>
      </c>
      <c r="L317" t="s">
        <v>44</v>
      </c>
      <c r="M317">
        <v>3.5</v>
      </c>
      <c r="N317" t="s">
        <v>62</v>
      </c>
      <c r="O317" t="s">
        <v>46</v>
      </c>
      <c r="P317">
        <v>4</v>
      </c>
      <c r="Q317" t="s">
        <v>75</v>
      </c>
      <c r="R317" t="s">
        <v>76</v>
      </c>
      <c r="S317" t="s">
        <v>63</v>
      </c>
      <c r="T317">
        <v>375</v>
      </c>
      <c r="U317" t="s">
        <v>50</v>
      </c>
      <c r="V317" t="s">
        <v>64</v>
      </c>
      <c r="W317" t="s">
        <v>636</v>
      </c>
      <c r="X317" t="s">
        <v>66</v>
      </c>
      <c r="Y317" t="s">
        <v>67</v>
      </c>
      <c r="AA317">
        <v>0</v>
      </c>
      <c r="AB317" t="s">
        <v>54</v>
      </c>
      <c r="AC317" t="s">
        <v>78</v>
      </c>
      <c r="AD317">
        <v>34</v>
      </c>
      <c r="AE317">
        <v>8</v>
      </c>
      <c r="AF317">
        <v>3</v>
      </c>
      <c r="AG317">
        <v>2025</v>
      </c>
      <c r="AH317" s="13">
        <v>22200</v>
      </c>
      <c r="AI317" s="13">
        <v>21507.40625</v>
      </c>
      <c r="AJ317" s="13">
        <f t="shared" si="32"/>
        <v>692.59375</v>
      </c>
      <c r="AK317" s="14">
        <f t="shared" si="33"/>
        <v>3.1197916666666665E-2</v>
      </c>
      <c r="AL317" s="9">
        <v>22200</v>
      </c>
      <c r="AM317" s="9">
        <v>25671.440544699999</v>
      </c>
      <c r="AN317" s="9">
        <f t="shared" si="34"/>
        <v>3471.440544699999</v>
      </c>
      <c r="AO317" s="10">
        <f t="shared" si="35"/>
        <v>0.15637119570720717</v>
      </c>
      <c r="AP317" s="16">
        <v>22200</v>
      </c>
      <c r="AQ317" s="16">
        <v>24642.64121826916</v>
      </c>
      <c r="AR317" s="16">
        <f t="shared" si="36"/>
        <v>2442.6412182691602</v>
      </c>
      <c r="AS317" s="17">
        <f t="shared" si="37"/>
        <v>0.11002888370581802</v>
      </c>
      <c r="AT317" s="6">
        <v>22200</v>
      </c>
      <c r="AU317" s="6">
        <v>22581.099609375</v>
      </c>
      <c r="AV317" s="6">
        <f t="shared" si="38"/>
        <v>381.099609375</v>
      </c>
      <c r="AW317" s="7">
        <f t="shared" si="39"/>
        <v>1.7166649070945946E-2</v>
      </c>
    </row>
    <row r="318" spans="1:49" x14ac:dyDescent="0.25">
      <c r="A318" t="s">
        <v>56</v>
      </c>
      <c r="B318" t="s">
        <v>178</v>
      </c>
      <c r="C318">
        <v>158893</v>
      </c>
      <c r="D318">
        <v>2012</v>
      </c>
      <c r="E318" t="s">
        <v>145</v>
      </c>
      <c r="F318" t="s">
        <v>485</v>
      </c>
      <c r="G318" t="s">
        <v>578</v>
      </c>
      <c r="I318">
        <v>6</v>
      </c>
      <c r="J318" t="s">
        <v>43</v>
      </c>
      <c r="K318">
        <v>4</v>
      </c>
      <c r="L318" t="s">
        <v>44</v>
      </c>
      <c r="M318">
        <v>3.5</v>
      </c>
      <c r="N318" t="s">
        <v>62</v>
      </c>
      <c r="O318" t="s">
        <v>46</v>
      </c>
      <c r="P318">
        <v>4</v>
      </c>
      <c r="Q318" t="s">
        <v>47</v>
      </c>
      <c r="R318" t="s">
        <v>48</v>
      </c>
      <c r="S318" t="s">
        <v>63</v>
      </c>
      <c r="T318">
        <v>250</v>
      </c>
      <c r="U318" t="s">
        <v>50</v>
      </c>
      <c r="V318" t="s">
        <v>64</v>
      </c>
      <c r="W318" t="s">
        <v>486</v>
      </c>
      <c r="X318" t="s">
        <v>66</v>
      </c>
      <c r="Y318" t="s">
        <v>67</v>
      </c>
      <c r="AA318">
        <v>0</v>
      </c>
      <c r="AB318" t="s">
        <v>54</v>
      </c>
      <c r="AC318" t="s">
        <v>55</v>
      </c>
      <c r="AD318">
        <v>34</v>
      </c>
      <c r="AE318">
        <v>8</v>
      </c>
      <c r="AF318">
        <v>3</v>
      </c>
      <c r="AG318">
        <v>2025</v>
      </c>
      <c r="AH318" s="13">
        <v>6600</v>
      </c>
      <c r="AI318" s="13">
        <v>5328.70849609375</v>
      </c>
      <c r="AJ318" s="13">
        <f t="shared" si="32"/>
        <v>1271.29150390625</v>
      </c>
      <c r="AK318" s="14">
        <f t="shared" si="33"/>
        <v>0.19261992483428031</v>
      </c>
      <c r="AL318" s="9">
        <v>6600</v>
      </c>
      <c r="AM318" s="9">
        <v>4976.516727325683</v>
      </c>
      <c r="AN318" s="9">
        <f t="shared" si="34"/>
        <v>1623.483272674317</v>
      </c>
      <c r="AO318" s="10">
        <f t="shared" si="35"/>
        <v>0.24598231404156318</v>
      </c>
      <c r="AP318" s="16">
        <v>6600</v>
      </c>
      <c r="AQ318" s="16">
        <v>4882.7318629425718</v>
      </c>
      <c r="AR318" s="16">
        <f t="shared" si="36"/>
        <v>1717.2681370574282</v>
      </c>
      <c r="AS318" s="17">
        <f t="shared" si="37"/>
        <v>0.26019214197839824</v>
      </c>
      <c r="AT318" s="6">
        <v>6600</v>
      </c>
      <c r="AU318" s="6">
        <v>4734.38427734375</v>
      </c>
      <c r="AV318" s="6">
        <f t="shared" si="38"/>
        <v>1865.61572265625</v>
      </c>
      <c r="AW318" s="7">
        <f t="shared" si="39"/>
        <v>0.28266904888731059</v>
      </c>
    </row>
    <row r="319" spans="1:49" x14ac:dyDescent="0.25">
      <c r="A319" t="s">
        <v>56</v>
      </c>
      <c r="B319" t="s">
        <v>178</v>
      </c>
      <c r="C319">
        <v>146103</v>
      </c>
      <c r="D319">
        <v>2013</v>
      </c>
      <c r="E319" t="s">
        <v>79</v>
      </c>
      <c r="F319" t="s">
        <v>286</v>
      </c>
      <c r="G319" t="s">
        <v>434</v>
      </c>
      <c r="I319">
        <v>4</v>
      </c>
      <c r="J319" t="s">
        <v>74</v>
      </c>
      <c r="K319">
        <v>4</v>
      </c>
      <c r="L319" t="s">
        <v>44</v>
      </c>
      <c r="M319">
        <v>2.5</v>
      </c>
      <c r="N319" t="s">
        <v>45</v>
      </c>
      <c r="O319" t="s">
        <v>46</v>
      </c>
      <c r="P319">
        <v>1</v>
      </c>
      <c r="Q319" t="s">
        <v>84</v>
      </c>
      <c r="R319" t="s">
        <v>85</v>
      </c>
      <c r="U319" t="s">
        <v>50</v>
      </c>
      <c r="V319" t="s">
        <v>95</v>
      </c>
      <c r="W319" t="s">
        <v>699</v>
      </c>
      <c r="X319" t="s">
        <v>87</v>
      </c>
      <c r="Y319" t="s">
        <v>67</v>
      </c>
      <c r="AA319">
        <v>0</v>
      </c>
      <c r="AB319" t="s">
        <v>54</v>
      </c>
      <c r="AC319" t="s">
        <v>89</v>
      </c>
      <c r="AD319">
        <v>34</v>
      </c>
      <c r="AE319">
        <v>8</v>
      </c>
      <c r="AF319">
        <v>3</v>
      </c>
      <c r="AG319">
        <v>2025</v>
      </c>
      <c r="AH319" s="13">
        <v>600</v>
      </c>
      <c r="AI319" s="13">
        <v>1307.772705078125</v>
      </c>
      <c r="AJ319" s="13">
        <f t="shared" si="32"/>
        <v>707.772705078125</v>
      </c>
      <c r="AK319" s="14">
        <f t="shared" si="33"/>
        <v>1.1796211751302084</v>
      </c>
      <c r="AL319" s="9">
        <v>600</v>
      </c>
      <c r="AM319" s="9">
        <v>1273.126282557942</v>
      </c>
      <c r="AN319" s="9">
        <f t="shared" si="34"/>
        <v>673.12628255794198</v>
      </c>
      <c r="AO319" s="10">
        <f t="shared" si="35"/>
        <v>1.1218771375965699</v>
      </c>
      <c r="AP319" s="16">
        <v>600</v>
      </c>
      <c r="AQ319" s="16">
        <v>997.46612488360779</v>
      </c>
      <c r="AR319" s="16">
        <f t="shared" si="36"/>
        <v>397.46612488360779</v>
      </c>
      <c r="AS319" s="17">
        <f t="shared" si="37"/>
        <v>0.6624435414726797</v>
      </c>
      <c r="AT319" s="6">
        <v>600</v>
      </c>
      <c r="AU319" s="6">
        <v>1202.700561523438</v>
      </c>
      <c r="AV319" s="6">
        <f t="shared" si="38"/>
        <v>602.70056152343795</v>
      </c>
      <c r="AW319" s="7">
        <f t="shared" si="39"/>
        <v>1.0045009358723966</v>
      </c>
    </row>
    <row r="320" spans="1:49" x14ac:dyDescent="0.25">
      <c r="A320" t="s">
        <v>56</v>
      </c>
      <c r="B320" t="s">
        <v>57</v>
      </c>
      <c r="C320">
        <v>92546</v>
      </c>
      <c r="D320">
        <v>2016</v>
      </c>
      <c r="E320" t="s">
        <v>79</v>
      </c>
      <c r="F320" t="s">
        <v>585</v>
      </c>
      <c r="G320" t="s">
        <v>586</v>
      </c>
      <c r="I320">
        <v>6</v>
      </c>
      <c r="J320" t="s">
        <v>94</v>
      </c>
      <c r="K320">
        <v>4</v>
      </c>
      <c r="L320" t="s">
        <v>44</v>
      </c>
      <c r="M320">
        <v>3.6</v>
      </c>
      <c r="N320" t="s">
        <v>45</v>
      </c>
      <c r="O320" t="s">
        <v>46</v>
      </c>
      <c r="Q320" t="s">
        <v>47</v>
      </c>
      <c r="R320" t="s">
        <v>48</v>
      </c>
      <c r="S320" t="s">
        <v>102</v>
      </c>
      <c r="U320" t="s">
        <v>50</v>
      </c>
      <c r="V320" t="s">
        <v>64</v>
      </c>
      <c r="W320" t="s">
        <v>700</v>
      </c>
      <c r="X320" t="s">
        <v>66</v>
      </c>
      <c r="Y320" t="s">
        <v>67</v>
      </c>
      <c r="AA320">
        <v>0</v>
      </c>
      <c r="AB320" t="s">
        <v>54</v>
      </c>
      <c r="AC320" t="s">
        <v>55</v>
      </c>
      <c r="AD320">
        <v>34</v>
      </c>
      <c r="AE320">
        <v>8</v>
      </c>
      <c r="AF320">
        <v>3</v>
      </c>
      <c r="AG320">
        <v>2025</v>
      </c>
      <c r="AH320" s="13">
        <v>8400</v>
      </c>
      <c r="AI320" s="13">
        <v>9473.6396484375</v>
      </c>
      <c r="AJ320" s="13">
        <f t="shared" si="32"/>
        <v>1073.6396484375</v>
      </c>
      <c r="AK320" s="14">
        <f t="shared" si="33"/>
        <v>0.12781424386160714</v>
      </c>
      <c r="AL320" s="9">
        <v>8400</v>
      </c>
      <c r="AM320" s="9">
        <v>7643.2577891728642</v>
      </c>
      <c r="AN320" s="9">
        <f t="shared" si="34"/>
        <v>756.74221082713575</v>
      </c>
      <c r="AO320" s="10">
        <f t="shared" si="35"/>
        <v>9.0088358431801879E-2</v>
      </c>
      <c r="AP320" s="16">
        <v>8400</v>
      </c>
      <c r="AQ320" s="16">
        <v>6439.4731464489532</v>
      </c>
      <c r="AR320" s="16">
        <f t="shared" si="36"/>
        <v>1960.5268535510468</v>
      </c>
      <c r="AS320" s="17">
        <f t="shared" si="37"/>
        <v>0.23339605399417224</v>
      </c>
      <c r="AT320" s="6">
        <v>8400</v>
      </c>
      <c r="AU320" s="6">
        <v>7911.4326171875</v>
      </c>
      <c r="AV320" s="6">
        <f t="shared" si="38"/>
        <v>488.5673828125</v>
      </c>
      <c r="AW320" s="7">
        <f t="shared" si="39"/>
        <v>5.8162783668154763E-2</v>
      </c>
    </row>
    <row r="321" spans="1:49" x14ac:dyDescent="0.25">
      <c r="A321" t="s">
        <v>69</v>
      </c>
      <c r="B321" t="s">
        <v>70</v>
      </c>
      <c r="C321">
        <v>150491</v>
      </c>
      <c r="D321">
        <v>2009</v>
      </c>
      <c r="E321" t="s">
        <v>269</v>
      </c>
      <c r="F321" t="s">
        <v>270</v>
      </c>
      <c r="G321" t="s">
        <v>701</v>
      </c>
      <c r="H321" t="s">
        <v>270</v>
      </c>
      <c r="I321">
        <v>6</v>
      </c>
      <c r="J321" t="s">
        <v>74</v>
      </c>
      <c r="K321">
        <v>4</v>
      </c>
      <c r="L321" t="s">
        <v>44</v>
      </c>
      <c r="M321">
        <v>3</v>
      </c>
      <c r="N321" t="s">
        <v>44</v>
      </c>
      <c r="O321" t="s">
        <v>83</v>
      </c>
      <c r="Q321" t="s">
        <v>47</v>
      </c>
      <c r="R321" t="s">
        <v>48</v>
      </c>
      <c r="S321" t="s">
        <v>139</v>
      </c>
      <c r="T321">
        <v>230</v>
      </c>
      <c r="U321" t="s">
        <v>50</v>
      </c>
      <c r="X321" t="s">
        <v>141</v>
      </c>
      <c r="Y321" t="s">
        <v>702</v>
      </c>
      <c r="AA321">
        <v>0</v>
      </c>
      <c r="AB321" t="s">
        <v>54</v>
      </c>
      <c r="AC321" t="s">
        <v>55</v>
      </c>
      <c r="AD321">
        <v>34</v>
      </c>
      <c r="AE321">
        <v>8</v>
      </c>
      <c r="AF321">
        <v>3</v>
      </c>
      <c r="AG321">
        <v>2025</v>
      </c>
      <c r="AH321" s="13">
        <v>300</v>
      </c>
      <c r="AI321" s="13">
        <v>634.17364501953125</v>
      </c>
      <c r="AJ321" s="13">
        <f t="shared" si="32"/>
        <v>334.17364501953125</v>
      </c>
      <c r="AK321" s="14">
        <f t="shared" si="33"/>
        <v>1.1139121500651041</v>
      </c>
      <c r="AL321" s="9">
        <v>300</v>
      </c>
      <c r="AM321" s="9">
        <v>583.942850760223</v>
      </c>
      <c r="AN321" s="9">
        <f t="shared" si="34"/>
        <v>283.942850760223</v>
      </c>
      <c r="AO321" s="10">
        <f t="shared" si="35"/>
        <v>0.94647616920074329</v>
      </c>
      <c r="AP321" s="16">
        <v>300</v>
      </c>
      <c r="AQ321" s="16">
        <v>403.03844547901599</v>
      </c>
      <c r="AR321" s="16">
        <f t="shared" si="36"/>
        <v>103.03844547901599</v>
      </c>
      <c r="AS321" s="17">
        <f t="shared" si="37"/>
        <v>0.3434614849300533</v>
      </c>
      <c r="AT321" s="6">
        <v>300</v>
      </c>
      <c r="AU321" s="6">
        <v>573.2421875</v>
      </c>
      <c r="AV321" s="6">
        <f t="shared" si="38"/>
        <v>273.2421875</v>
      </c>
      <c r="AW321" s="7">
        <f t="shared" si="39"/>
        <v>0.91080729166666663</v>
      </c>
    </row>
    <row r="322" spans="1:49" x14ac:dyDescent="0.25">
      <c r="A322" t="s">
        <v>38</v>
      </c>
      <c r="B322" t="s">
        <v>132</v>
      </c>
      <c r="C322">
        <v>106594</v>
      </c>
      <c r="D322">
        <v>2018</v>
      </c>
      <c r="E322" t="s">
        <v>58</v>
      </c>
      <c r="F322" t="s">
        <v>182</v>
      </c>
      <c r="G322" t="s">
        <v>268</v>
      </c>
      <c r="I322">
        <v>3</v>
      </c>
      <c r="J322" t="s">
        <v>82</v>
      </c>
      <c r="K322">
        <v>4</v>
      </c>
      <c r="L322" t="s">
        <v>44</v>
      </c>
      <c r="M322">
        <v>1</v>
      </c>
      <c r="N322" t="s">
        <v>45</v>
      </c>
      <c r="O322" t="s">
        <v>46</v>
      </c>
      <c r="P322">
        <v>2</v>
      </c>
      <c r="Q322" t="s">
        <v>84</v>
      </c>
      <c r="R322" t="s">
        <v>85</v>
      </c>
      <c r="S322" t="s">
        <v>102</v>
      </c>
      <c r="T322">
        <v>123</v>
      </c>
      <c r="U322" t="s">
        <v>50</v>
      </c>
      <c r="V322" t="s">
        <v>95</v>
      </c>
      <c r="W322" t="s">
        <v>703</v>
      </c>
      <c r="X322" t="s">
        <v>87</v>
      </c>
      <c r="Y322" t="s">
        <v>67</v>
      </c>
      <c r="Z322">
        <v>19245</v>
      </c>
      <c r="AA322">
        <v>0</v>
      </c>
      <c r="AB322" t="s">
        <v>54</v>
      </c>
      <c r="AC322" t="s">
        <v>89</v>
      </c>
      <c r="AD322">
        <v>34</v>
      </c>
      <c r="AE322">
        <v>8</v>
      </c>
      <c r="AF322">
        <v>3</v>
      </c>
      <c r="AG322">
        <v>2025</v>
      </c>
      <c r="AH322" s="13">
        <v>1800</v>
      </c>
      <c r="AI322" s="13">
        <v>2001.02587890625</v>
      </c>
      <c r="AJ322" s="13">
        <f t="shared" si="32"/>
        <v>201.02587890625</v>
      </c>
      <c r="AK322" s="14">
        <f t="shared" si="33"/>
        <v>0.11168104383680555</v>
      </c>
      <c r="AL322" s="9">
        <v>1800</v>
      </c>
      <c r="AM322" s="9">
        <v>2495.706552204404</v>
      </c>
      <c r="AN322" s="9">
        <f t="shared" si="34"/>
        <v>695.70655220440403</v>
      </c>
      <c r="AO322" s="10">
        <f t="shared" si="35"/>
        <v>0.38650364011355781</v>
      </c>
      <c r="AP322" s="16">
        <v>1800</v>
      </c>
      <c r="AQ322" s="16">
        <v>2424.776530345915</v>
      </c>
      <c r="AR322" s="16">
        <f t="shared" si="36"/>
        <v>624.77653034591503</v>
      </c>
      <c r="AS322" s="17">
        <f t="shared" si="37"/>
        <v>0.34709807241439722</v>
      </c>
      <c r="AT322" s="6">
        <v>1800</v>
      </c>
      <c r="AU322" s="6">
        <v>2330.619140625</v>
      </c>
      <c r="AV322" s="6">
        <f t="shared" si="38"/>
        <v>530.619140625</v>
      </c>
      <c r="AW322" s="7">
        <f t="shared" si="39"/>
        <v>0.29478841145833334</v>
      </c>
    </row>
    <row r="323" spans="1:49" x14ac:dyDescent="0.25">
      <c r="A323" t="s">
        <v>107</v>
      </c>
      <c r="B323" t="s">
        <v>614</v>
      </c>
      <c r="C323">
        <v>228661</v>
      </c>
      <c r="D323">
        <v>2013</v>
      </c>
      <c r="E323" t="s">
        <v>150</v>
      </c>
      <c r="F323" t="s">
        <v>193</v>
      </c>
      <c r="G323" t="s">
        <v>499</v>
      </c>
      <c r="I323">
        <v>6</v>
      </c>
      <c r="J323" t="s">
        <v>74</v>
      </c>
      <c r="K323">
        <v>4</v>
      </c>
      <c r="L323" t="s">
        <v>44</v>
      </c>
      <c r="M323">
        <v>3.6</v>
      </c>
      <c r="N323" t="s">
        <v>45</v>
      </c>
      <c r="O323" t="s">
        <v>46</v>
      </c>
      <c r="Q323" t="s">
        <v>84</v>
      </c>
      <c r="R323" t="s">
        <v>85</v>
      </c>
      <c r="S323" t="s">
        <v>102</v>
      </c>
      <c r="U323" t="s">
        <v>50</v>
      </c>
      <c r="W323" t="s">
        <v>195</v>
      </c>
      <c r="X323" t="s">
        <v>87</v>
      </c>
      <c r="Y323" t="s">
        <v>67</v>
      </c>
      <c r="AA323">
        <v>0</v>
      </c>
      <c r="AB323" t="s">
        <v>54</v>
      </c>
      <c r="AC323" t="s">
        <v>89</v>
      </c>
      <c r="AD323">
        <v>34</v>
      </c>
      <c r="AE323">
        <v>8</v>
      </c>
      <c r="AF323">
        <v>3</v>
      </c>
      <c r="AG323">
        <v>2025</v>
      </c>
      <c r="AH323" s="13">
        <v>1000</v>
      </c>
      <c r="AI323" s="13">
        <v>1400.72119140625</v>
      </c>
      <c r="AJ323" s="13">
        <f t="shared" ref="AJ323:AJ386" si="40">ABS(AH323-AI323)</f>
        <v>400.72119140625</v>
      </c>
      <c r="AK323" s="14">
        <f t="shared" ref="AK323:AK386" si="41">ABS($AH323-AI323)/$AH323</f>
        <v>0.40072119140625001</v>
      </c>
      <c r="AL323" s="9">
        <v>1000</v>
      </c>
      <c r="AM323" s="9">
        <v>1362.024165694542</v>
      </c>
      <c r="AN323" s="9">
        <f t="shared" ref="AN323:AN386" si="42">ABS(AL323-AM323)</f>
        <v>362.02416569454203</v>
      </c>
      <c r="AO323" s="10">
        <f t="shared" ref="AO323:AO386" si="43">ABS($AL323-AM323)/$AL323</f>
        <v>0.36202416569454204</v>
      </c>
      <c r="AP323" s="16">
        <v>1000</v>
      </c>
      <c r="AQ323" s="16">
        <v>1422.035138383219</v>
      </c>
      <c r="AR323" s="16">
        <f t="shared" ref="AR323:AR386" si="44">ABS(AP323-AQ323)</f>
        <v>422.03513838321896</v>
      </c>
      <c r="AS323" s="17">
        <f t="shared" ref="AS323:AS386" si="45">ABS($AP323-AQ323)/$AP323</f>
        <v>0.42203513838321899</v>
      </c>
      <c r="AT323" s="6">
        <v>1000</v>
      </c>
      <c r="AU323" s="6">
        <v>1268.621215820312</v>
      </c>
      <c r="AV323" s="6">
        <f t="shared" ref="AV323:AV386" si="46">ABS(AT323-AU323)</f>
        <v>268.62121582031205</v>
      </c>
      <c r="AW323" s="7">
        <f t="shared" ref="AW323:AW386" si="47">ABS($AT323-AU323)/$AT323</f>
        <v>0.26862121582031206</v>
      </c>
    </row>
    <row r="324" spans="1:49" x14ac:dyDescent="0.25">
      <c r="A324" t="s">
        <v>38</v>
      </c>
      <c r="B324" t="s">
        <v>204</v>
      </c>
      <c r="C324">
        <v>156134</v>
      </c>
      <c r="D324">
        <v>2016</v>
      </c>
      <c r="E324" t="s">
        <v>58</v>
      </c>
      <c r="F324" t="s">
        <v>258</v>
      </c>
      <c r="H324" t="s">
        <v>268</v>
      </c>
      <c r="I324">
        <v>4</v>
      </c>
      <c r="K324">
        <v>4</v>
      </c>
      <c r="M324">
        <v>2.5</v>
      </c>
      <c r="N324" t="s">
        <v>45</v>
      </c>
      <c r="O324" t="s">
        <v>46</v>
      </c>
      <c r="P324">
        <v>3</v>
      </c>
      <c r="Q324" t="s">
        <v>47</v>
      </c>
      <c r="R324" t="s">
        <v>48</v>
      </c>
      <c r="S324" t="s">
        <v>49</v>
      </c>
      <c r="T324">
        <v>168</v>
      </c>
      <c r="U324" t="s">
        <v>50</v>
      </c>
      <c r="V324" t="s">
        <v>95</v>
      </c>
      <c r="X324" t="s">
        <v>52</v>
      </c>
      <c r="Y324" t="s">
        <v>67</v>
      </c>
      <c r="AA324">
        <v>0</v>
      </c>
      <c r="AB324" t="s">
        <v>54</v>
      </c>
      <c r="AC324" t="s">
        <v>55</v>
      </c>
      <c r="AD324">
        <v>34</v>
      </c>
      <c r="AE324">
        <v>8</v>
      </c>
      <c r="AF324">
        <v>3</v>
      </c>
      <c r="AG324">
        <v>2025</v>
      </c>
      <c r="AH324" s="13">
        <v>2200</v>
      </c>
      <c r="AI324" s="13">
        <v>1815.317138671875</v>
      </c>
      <c r="AJ324" s="13">
        <f t="shared" si="40"/>
        <v>384.682861328125</v>
      </c>
      <c r="AK324" s="14">
        <f t="shared" si="41"/>
        <v>0.17485584605823865</v>
      </c>
      <c r="AL324" s="9">
        <v>2200</v>
      </c>
      <c r="AM324" s="9">
        <v>1902.560350475597</v>
      </c>
      <c r="AN324" s="9">
        <f t="shared" si="42"/>
        <v>297.43964952440297</v>
      </c>
      <c r="AO324" s="10">
        <f t="shared" si="43"/>
        <v>0.13519984069291044</v>
      </c>
      <c r="AP324" s="16">
        <v>2200</v>
      </c>
      <c r="AQ324" s="16">
        <v>1688.4276811969121</v>
      </c>
      <c r="AR324" s="16">
        <f t="shared" si="44"/>
        <v>511.57231880308791</v>
      </c>
      <c r="AS324" s="17">
        <f t="shared" si="45"/>
        <v>0.23253287218322177</v>
      </c>
      <c r="AT324" s="6">
        <v>2200</v>
      </c>
      <c r="AU324" s="6">
        <v>2070.40234375</v>
      </c>
      <c r="AV324" s="6">
        <f t="shared" si="46"/>
        <v>129.59765625</v>
      </c>
      <c r="AW324" s="7">
        <f t="shared" si="47"/>
        <v>5.8908025568181817E-2</v>
      </c>
    </row>
    <row r="325" spans="1:49" x14ac:dyDescent="0.25">
      <c r="A325" t="s">
        <v>69</v>
      </c>
      <c r="B325" t="s">
        <v>223</v>
      </c>
      <c r="C325">
        <v>102276</v>
      </c>
      <c r="D325">
        <v>2008</v>
      </c>
      <c r="E325" t="s">
        <v>98</v>
      </c>
      <c r="F325" t="s">
        <v>704</v>
      </c>
      <c r="G325" t="s">
        <v>218</v>
      </c>
      <c r="H325" t="s">
        <v>705</v>
      </c>
      <c r="I325">
        <v>8</v>
      </c>
      <c r="J325" t="s">
        <v>74</v>
      </c>
      <c r="K325">
        <v>4</v>
      </c>
      <c r="L325" t="s">
        <v>44</v>
      </c>
      <c r="M325">
        <v>6.2</v>
      </c>
      <c r="N325" t="s">
        <v>44</v>
      </c>
      <c r="O325" t="s">
        <v>46</v>
      </c>
      <c r="P325">
        <v>2</v>
      </c>
      <c r="Q325" t="s">
        <v>47</v>
      </c>
      <c r="R325" t="s">
        <v>48</v>
      </c>
      <c r="S325" t="s">
        <v>63</v>
      </c>
      <c r="V325" t="s">
        <v>64</v>
      </c>
      <c r="W325" t="s">
        <v>706</v>
      </c>
      <c r="X325" t="s">
        <v>77</v>
      </c>
      <c r="Y325" t="s">
        <v>67</v>
      </c>
      <c r="AA325">
        <v>0</v>
      </c>
      <c r="AB325" t="s">
        <v>54</v>
      </c>
      <c r="AC325" t="s">
        <v>55</v>
      </c>
      <c r="AD325">
        <v>34</v>
      </c>
      <c r="AE325">
        <v>8</v>
      </c>
      <c r="AF325">
        <v>3</v>
      </c>
      <c r="AG325">
        <v>2025</v>
      </c>
      <c r="AH325" s="13">
        <v>3900</v>
      </c>
      <c r="AI325" s="13">
        <v>5124.095703125</v>
      </c>
      <c r="AJ325" s="13">
        <f t="shared" si="40"/>
        <v>1224.095703125</v>
      </c>
      <c r="AK325" s="14">
        <f t="shared" si="41"/>
        <v>0.31387069310897436</v>
      </c>
      <c r="AL325" s="9">
        <v>3900</v>
      </c>
      <c r="AM325" s="9">
        <v>4913.1749705088851</v>
      </c>
      <c r="AN325" s="9">
        <f t="shared" si="42"/>
        <v>1013.1749705088851</v>
      </c>
      <c r="AO325" s="10">
        <f t="shared" si="43"/>
        <v>0.25978845397663719</v>
      </c>
      <c r="AP325" s="16">
        <v>3900</v>
      </c>
      <c r="AQ325" s="16">
        <v>3880.0893723461568</v>
      </c>
      <c r="AR325" s="16">
        <f t="shared" si="44"/>
        <v>19.910627653843221</v>
      </c>
      <c r="AS325" s="17">
        <f t="shared" si="45"/>
        <v>5.1052891420110824E-3</v>
      </c>
      <c r="AT325" s="6">
        <v>3900</v>
      </c>
      <c r="AU325" s="6">
        <v>4988.2763671875</v>
      </c>
      <c r="AV325" s="6">
        <f t="shared" si="46"/>
        <v>1088.2763671875</v>
      </c>
      <c r="AW325" s="7">
        <f t="shared" si="47"/>
        <v>0.27904522235576923</v>
      </c>
    </row>
    <row r="326" spans="1:49" x14ac:dyDescent="0.25">
      <c r="A326" t="s">
        <v>69</v>
      </c>
      <c r="B326" t="s">
        <v>707</v>
      </c>
      <c r="C326">
        <v>231447</v>
      </c>
      <c r="D326">
        <v>2012</v>
      </c>
      <c r="E326" t="s">
        <v>91</v>
      </c>
      <c r="F326" t="s">
        <v>341</v>
      </c>
      <c r="H326" t="s">
        <v>342</v>
      </c>
      <c r="I326">
        <v>4</v>
      </c>
      <c r="J326" t="s">
        <v>74</v>
      </c>
      <c r="K326">
        <v>4</v>
      </c>
      <c r="L326" t="s">
        <v>44</v>
      </c>
      <c r="M326">
        <v>1.8</v>
      </c>
      <c r="N326" t="s">
        <v>45</v>
      </c>
      <c r="O326" t="s">
        <v>46</v>
      </c>
      <c r="Q326" t="s">
        <v>84</v>
      </c>
      <c r="R326" t="s">
        <v>85</v>
      </c>
      <c r="S326" t="s">
        <v>49</v>
      </c>
      <c r="T326">
        <v>132</v>
      </c>
      <c r="U326" t="s">
        <v>50</v>
      </c>
      <c r="V326" t="s">
        <v>95</v>
      </c>
      <c r="W326" t="s">
        <v>343</v>
      </c>
      <c r="X326" t="s">
        <v>87</v>
      </c>
      <c r="Y326" t="s">
        <v>67</v>
      </c>
      <c r="AA326">
        <v>0</v>
      </c>
      <c r="AB326" t="s">
        <v>54</v>
      </c>
      <c r="AC326" t="s">
        <v>89</v>
      </c>
      <c r="AD326">
        <v>34</v>
      </c>
      <c r="AE326">
        <v>8</v>
      </c>
      <c r="AF326">
        <v>3</v>
      </c>
      <c r="AG326">
        <v>2025</v>
      </c>
      <c r="AH326" s="13">
        <v>1600</v>
      </c>
      <c r="AI326" s="13">
        <v>1754.737060546875</v>
      </c>
      <c r="AJ326" s="13">
        <f t="shared" si="40"/>
        <v>154.737060546875</v>
      </c>
      <c r="AK326" s="14">
        <f t="shared" si="41"/>
        <v>9.6710662841796871E-2</v>
      </c>
      <c r="AL326" s="9">
        <v>1600</v>
      </c>
      <c r="AM326" s="9">
        <v>1785.9346954342509</v>
      </c>
      <c r="AN326" s="9">
        <f t="shared" si="42"/>
        <v>185.9346954342509</v>
      </c>
      <c r="AO326" s="10">
        <f t="shared" si="43"/>
        <v>0.11620918464640681</v>
      </c>
      <c r="AP326" s="16">
        <v>1600</v>
      </c>
      <c r="AQ326" s="16">
        <v>1440.3585613297</v>
      </c>
      <c r="AR326" s="16">
        <f t="shared" si="44"/>
        <v>159.64143867029998</v>
      </c>
      <c r="AS326" s="17">
        <f t="shared" si="45"/>
        <v>9.977589916893749E-2</v>
      </c>
      <c r="AT326" s="6">
        <v>1600</v>
      </c>
      <c r="AU326" s="6">
        <v>1862.127197265625</v>
      </c>
      <c r="AV326" s="6">
        <f t="shared" si="46"/>
        <v>262.127197265625</v>
      </c>
      <c r="AW326" s="7">
        <f t="shared" si="47"/>
        <v>0.16382949829101562</v>
      </c>
    </row>
    <row r="327" spans="1:49" x14ac:dyDescent="0.25">
      <c r="A327" t="s">
        <v>107</v>
      </c>
      <c r="B327" t="s">
        <v>154</v>
      </c>
      <c r="C327">
        <v>257726</v>
      </c>
      <c r="D327">
        <v>2012</v>
      </c>
      <c r="E327" t="s">
        <v>113</v>
      </c>
      <c r="F327" t="s">
        <v>708</v>
      </c>
      <c r="G327" t="s">
        <v>709</v>
      </c>
      <c r="I327">
        <v>8</v>
      </c>
      <c r="J327" t="s">
        <v>43</v>
      </c>
      <c r="K327">
        <v>4</v>
      </c>
      <c r="L327" t="s">
        <v>44</v>
      </c>
      <c r="M327">
        <v>5.7</v>
      </c>
      <c r="N327" t="s">
        <v>62</v>
      </c>
      <c r="O327" t="s">
        <v>46</v>
      </c>
      <c r="P327">
        <v>2</v>
      </c>
      <c r="Q327" t="s">
        <v>75</v>
      </c>
      <c r="R327" t="s">
        <v>76</v>
      </c>
      <c r="S327" t="s">
        <v>63</v>
      </c>
      <c r="U327" t="s">
        <v>50</v>
      </c>
      <c r="X327" t="s">
        <v>423</v>
      </c>
      <c r="Y327" t="s">
        <v>106</v>
      </c>
      <c r="AA327">
        <v>0</v>
      </c>
      <c r="AB327" t="s">
        <v>54</v>
      </c>
      <c r="AC327" t="s">
        <v>78</v>
      </c>
      <c r="AD327">
        <v>34</v>
      </c>
      <c r="AE327">
        <v>8</v>
      </c>
      <c r="AF327">
        <v>3</v>
      </c>
      <c r="AG327">
        <v>2025</v>
      </c>
      <c r="AH327" s="13">
        <v>2000</v>
      </c>
      <c r="AI327" s="13">
        <v>1816.038696289062</v>
      </c>
      <c r="AJ327" s="13">
        <f t="shared" si="40"/>
        <v>183.96130371093795</v>
      </c>
      <c r="AK327" s="14">
        <f t="shared" si="41"/>
        <v>9.1980651855468984E-2</v>
      </c>
      <c r="AL327" s="9">
        <v>2000</v>
      </c>
      <c r="AM327" s="9">
        <v>2130.4336197551852</v>
      </c>
      <c r="AN327" s="9">
        <f t="shared" si="42"/>
        <v>130.43361975518519</v>
      </c>
      <c r="AO327" s="10">
        <f t="shared" si="43"/>
        <v>6.5216809877592596E-2</v>
      </c>
      <c r="AP327" s="16">
        <v>2000</v>
      </c>
      <c r="AQ327" s="16">
        <v>2700.2588467597129</v>
      </c>
      <c r="AR327" s="16">
        <f t="shared" si="44"/>
        <v>700.25884675971292</v>
      </c>
      <c r="AS327" s="17">
        <f t="shared" si="45"/>
        <v>0.35012942337985647</v>
      </c>
      <c r="AT327" s="6">
        <v>2000</v>
      </c>
      <c r="AU327" s="6">
        <v>2155.220458984375</v>
      </c>
      <c r="AV327" s="6">
        <f t="shared" si="46"/>
        <v>155.220458984375</v>
      </c>
      <c r="AW327" s="7">
        <f t="shared" si="47"/>
        <v>7.7610229492187502E-2</v>
      </c>
    </row>
    <row r="328" spans="1:49" x14ac:dyDescent="0.25">
      <c r="A328" t="s">
        <v>107</v>
      </c>
      <c r="B328" t="s">
        <v>192</v>
      </c>
      <c r="C328">
        <v>196979</v>
      </c>
      <c r="D328">
        <v>2005</v>
      </c>
      <c r="E328" t="s">
        <v>150</v>
      </c>
      <c r="F328" t="s">
        <v>193</v>
      </c>
      <c r="H328" t="s">
        <v>710</v>
      </c>
      <c r="I328">
        <v>6</v>
      </c>
      <c r="J328" t="s">
        <v>257</v>
      </c>
      <c r="K328">
        <v>4</v>
      </c>
      <c r="L328" t="s">
        <v>44</v>
      </c>
      <c r="M328">
        <v>3.8</v>
      </c>
      <c r="N328" t="s">
        <v>45</v>
      </c>
      <c r="O328" t="s">
        <v>46</v>
      </c>
      <c r="P328">
        <v>1</v>
      </c>
      <c r="Q328" t="s">
        <v>84</v>
      </c>
      <c r="R328" t="s">
        <v>85</v>
      </c>
      <c r="U328" t="s">
        <v>50</v>
      </c>
      <c r="V328" t="s">
        <v>64</v>
      </c>
      <c r="W328" t="s">
        <v>711</v>
      </c>
      <c r="X328" t="s">
        <v>87</v>
      </c>
      <c r="Y328" t="s">
        <v>88</v>
      </c>
      <c r="AA328">
        <v>0</v>
      </c>
      <c r="AB328" t="s">
        <v>54</v>
      </c>
      <c r="AC328" t="s">
        <v>89</v>
      </c>
      <c r="AD328">
        <v>34</v>
      </c>
      <c r="AE328">
        <v>8</v>
      </c>
      <c r="AF328">
        <v>3</v>
      </c>
      <c r="AG328">
        <v>2025</v>
      </c>
      <c r="AH328" s="13">
        <v>500</v>
      </c>
      <c r="AI328" s="13">
        <v>273.47000122070313</v>
      </c>
      <c r="AJ328" s="13">
        <f t="shared" si="40"/>
        <v>226.52999877929688</v>
      </c>
      <c r="AK328" s="14">
        <f t="shared" si="41"/>
        <v>0.45305999755859377</v>
      </c>
      <c r="AL328" s="9">
        <v>500</v>
      </c>
      <c r="AM328" s="9">
        <v>454.2613308379245</v>
      </c>
      <c r="AN328" s="9">
        <f t="shared" si="42"/>
        <v>45.738669162075496</v>
      </c>
      <c r="AO328" s="10">
        <f t="shared" si="43"/>
        <v>9.1477338324150989E-2</v>
      </c>
      <c r="AP328" s="16">
        <v>500</v>
      </c>
      <c r="AQ328" s="16">
        <v>397.52440602967812</v>
      </c>
      <c r="AR328" s="16">
        <f t="shared" si="44"/>
        <v>102.47559397032188</v>
      </c>
      <c r="AS328" s="17">
        <f t="shared" si="45"/>
        <v>0.20495118794064376</v>
      </c>
      <c r="AT328" s="6">
        <v>500</v>
      </c>
      <c r="AU328" s="6">
        <v>425.54299926757813</v>
      </c>
      <c r="AV328" s="6">
        <f t="shared" si="46"/>
        <v>74.457000732421875</v>
      </c>
      <c r="AW328" s="7">
        <f t="shared" si="47"/>
        <v>0.14891400146484374</v>
      </c>
    </row>
    <row r="329" spans="1:49" x14ac:dyDescent="0.25">
      <c r="A329" t="s">
        <v>69</v>
      </c>
      <c r="B329" t="s">
        <v>70</v>
      </c>
      <c r="C329">
        <v>28320</v>
      </c>
      <c r="D329">
        <v>2024</v>
      </c>
      <c r="E329" t="s">
        <v>385</v>
      </c>
      <c r="F329" t="s">
        <v>386</v>
      </c>
      <c r="G329" t="s">
        <v>712</v>
      </c>
      <c r="H329" t="s">
        <v>55</v>
      </c>
      <c r="I329">
        <v>4</v>
      </c>
      <c r="J329" t="s">
        <v>82</v>
      </c>
      <c r="K329">
        <v>4</v>
      </c>
      <c r="L329" t="s">
        <v>44</v>
      </c>
      <c r="M329">
        <v>2</v>
      </c>
      <c r="N329" t="s">
        <v>44</v>
      </c>
      <c r="O329" t="s">
        <v>46</v>
      </c>
      <c r="P329">
        <v>5</v>
      </c>
      <c r="Q329" t="s">
        <v>47</v>
      </c>
      <c r="R329" t="s">
        <v>48</v>
      </c>
      <c r="S329" t="s">
        <v>139</v>
      </c>
      <c r="T329">
        <v>261</v>
      </c>
      <c r="U329" t="s">
        <v>50</v>
      </c>
      <c r="W329" t="s">
        <v>713</v>
      </c>
      <c r="X329" t="s">
        <v>141</v>
      </c>
      <c r="Y329" t="s">
        <v>106</v>
      </c>
      <c r="AA329">
        <v>0</v>
      </c>
      <c r="AB329" t="s">
        <v>54</v>
      </c>
      <c r="AC329" t="s">
        <v>55</v>
      </c>
      <c r="AD329">
        <v>34</v>
      </c>
      <c r="AE329">
        <v>8</v>
      </c>
      <c r="AF329">
        <v>3</v>
      </c>
      <c r="AG329">
        <v>2025</v>
      </c>
      <c r="AH329" s="13">
        <v>32400</v>
      </c>
      <c r="AI329" s="13">
        <v>39174.19140625</v>
      </c>
      <c r="AJ329" s="13">
        <f t="shared" si="40"/>
        <v>6774.19140625</v>
      </c>
      <c r="AK329" s="14">
        <f t="shared" si="41"/>
        <v>0.20907998167438271</v>
      </c>
      <c r="AL329" s="9">
        <v>32400</v>
      </c>
      <c r="AM329" s="9">
        <v>28969.34406757175</v>
      </c>
      <c r="AN329" s="9">
        <f t="shared" si="42"/>
        <v>3430.6559324282498</v>
      </c>
      <c r="AO329" s="10">
        <f t="shared" si="43"/>
        <v>0.1058844423588966</v>
      </c>
      <c r="AP329" s="16">
        <v>32400</v>
      </c>
      <c r="AQ329" s="16">
        <v>32463.08125647515</v>
      </c>
      <c r="AR329" s="16">
        <f t="shared" si="44"/>
        <v>63.08125647515044</v>
      </c>
      <c r="AS329" s="17">
        <f t="shared" si="45"/>
        <v>1.9469523603441493E-3</v>
      </c>
      <c r="AT329" s="6">
        <v>32400</v>
      </c>
      <c r="AU329" s="6">
        <v>29646.28515625</v>
      </c>
      <c r="AV329" s="6">
        <f t="shared" si="46"/>
        <v>2753.71484375</v>
      </c>
      <c r="AW329" s="7">
        <f t="shared" si="47"/>
        <v>8.4991198881172833E-2</v>
      </c>
    </row>
    <row r="330" spans="1:49" x14ac:dyDescent="0.25">
      <c r="A330" t="s">
        <v>38</v>
      </c>
      <c r="B330" t="s">
        <v>229</v>
      </c>
      <c r="C330">
        <v>66792</v>
      </c>
      <c r="D330">
        <v>2017</v>
      </c>
      <c r="E330" t="s">
        <v>660</v>
      </c>
      <c r="F330" t="s">
        <v>714</v>
      </c>
      <c r="H330" t="s">
        <v>662</v>
      </c>
      <c r="I330">
        <v>4</v>
      </c>
      <c r="J330" t="s">
        <v>61</v>
      </c>
      <c r="K330">
        <v>4</v>
      </c>
      <c r="L330" t="s">
        <v>44</v>
      </c>
      <c r="M330">
        <v>2</v>
      </c>
      <c r="N330" t="s">
        <v>44</v>
      </c>
      <c r="O330" t="s">
        <v>46</v>
      </c>
      <c r="Q330" t="s">
        <v>47</v>
      </c>
      <c r="R330" t="s">
        <v>48</v>
      </c>
      <c r="T330">
        <v>240</v>
      </c>
      <c r="U330" t="s">
        <v>50</v>
      </c>
      <c r="V330" t="s">
        <v>95</v>
      </c>
      <c r="W330" t="s">
        <v>715</v>
      </c>
      <c r="X330" t="s">
        <v>141</v>
      </c>
      <c r="Y330" t="s">
        <v>716</v>
      </c>
      <c r="Z330">
        <v>42195</v>
      </c>
      <c r="AA330">
        <v>0</v>
      </c>
      <c r="AB330" t="s">
        <v>54</v>
      </c>
      <c r="AC330" t="s">
        <v>55</v>
      </c>
      <c r="AD330">
        <v>34</v>
      </c>
      <c r="AE330">
        <v>8</v>
      </c>
      <c r="AF330">
        <v>3</v>
      </c>
      <c r="AG330">
        <v>2025</v>
      </c>
      <c r="AH330" s="13">
        <v>10000</v>
      </c>
      <c r="AI330" s="13">
        <v>9584.30859375</v>
      </c>
      <c r="AJ330" s="13">
        <f t="shared" si="40"/>
        <v>415.69140625</v>
      </c>
      <c r="AK330" s="14">
        <f t="shared" si="41"/>
        <v>4.1569140625000001E-2</v>
      </c>
      <c r="AL330" s="9">
        <v>10000</v>
      </c>
      <c r="AM330" s="9">
        <v>9545.4552348544348</v>
      </c>
      <c r="AN330" s="9">
        <f t="shared" si="42"/>
        <v>454.54476514556518</v>
      </c>
      <c r="AO330" s="10">
        <f t="shared" si="43"/>
        <v>4.5454476514556516E-2</v>
      </c>
      <c r="AP330" s="16">
        <v>10000</v>
      </c>
      <c r="AQ330" s="16">
        <v>10311.272343904089</v>
      </c>
      <c r="AR330" s="16">
        <f t="shared" si="44"/>
        <v>311.27234390408921</v>
      </c>
      <c r="AS330" s="17">
        <f t="shared" si="45"/>
        <v>3.1127234390408921E-2</v>
      </c>
      <c r="AT330" s="6">
        <v>10000</v>
      </c>
      <c r="AU330" s="6">
        <v>9562.1298828125</v>
      </c>
      <c r="AV330" s="6">
        <f t="shared" si="46"/>
        <v>437.8701171875</v>
      </c>
      <c r="AW330" s="7">
        <f t="shared" si="47"/>
        <v>4.3787011718749998E-2</v>
      </c>
    </row>
    <row r="331" spans="1:49" x14ac:dyDescent="0.25">
      <c r="A331" t="s">
        <v>69</v>
      </c>
      <c r="B331" t="s">
        <v>160</v>
      </c>
      <c r="C331">
        <v>123484</v>
      </c>
      <c r="D331">
        <v>2019</v>
      </c>
      <c r="E331" t="s">
        <v>124</v>
      </c>
      <c r="F331" t="s">
        <v>321</v>
      </c>
      <c r="G331" t="s">
        <v>717</v>
      </c>
      <c r="I331">
        <v>4</v>
      </c>
      <c r="J331" t="s">
        <v>43</v>
      </c>
      <c r="K331">
        <v>4</v>
      </c>
      <c r="L331" t="s">
        <v>44</v>
      </c>
      <c r="M331">
        <v>2.4</v>
      </c>
      <c r="N331" t="s">
        <v>45</v>
      </c>
      <c r="O331" t="s">
        <v>46</v>
      </c>
      <c r="P331">
        <v>2</v>
      </c>
      <c r="Q331" t="s">
        <v>84</v>
      </c>
      <c r="R331" t="s">
        <v>85</v>
      </c>
      <c r="T331">
        <v>187</v>
      </c>
      <c r="U331" t="s">
        <v>50</v>
      </c>
      <c r="W331" t="s">
        <v>362</v>
      </c>
      <c r="X331" t="s">
        <v>87</v>
      </c>
      <c r="Y331" t="s">
        <v>67</v>
      </c>
      <c r="Z331">
        <v>22500</v>
      </c>
      <c r="AA331">
        <v>0</v>
      </c>
      <c r="AB331" t="s">
        <v>54</v>
      </c>
      <c r="AC331" t="s">
        <v>89</v>
      </c>
      <c r="AD331">
        <v>34</v>
      </c>
      <c r="AE331">
        <v>8</v>
      </c>
      <c r="AF331">
        <v>3</v>
      </c>
      <c r="AG331">
        <v>2025</v>
      </c>
      <c r="AH331" s="13">
        <v>4000</v>
      </c>
      <c r="AI331" s="13">
        <v>4463.001953125</v>
      </c>
      <c r="AJ331" s="13">
        <f t="shared" si="40"/>
        <v>463.001953125</v>
      </c>
      <c r="AK331" s="14">
        <f t="shared" si="41"/>
        <v>0.11575048828124999</v>
      </c>
      <c r="AL331" s="9">
        <v>4000</v>
      </c>
      <c r="AM331" s="9">
        <v>4176.7917006651487</v>
      </c>
      <c r="AN331" s="9">
        <f t="shared" si="42"/>
        <v>176.79170066514871</v>
      </c>
      <c r="AO331" s="10">
        <f t="shared" si="43"/>
        <v>4.4197925166287177E-2</v>
      </c>
      <c r="AP331" s="16">
        <v>4000</v>
      </c>
      <c r="AQ331" s="16">
        <v>3697.0268491225461</v>
      </c>
      <c r="AR331" s="16">
        <f t="shared" si="44"/>
        <v>302.97315087745392</v>
      </c>
      <c r="AS331" s="17">
        <f t="shared" si="45"/>
        <v>7.5743287719363478E-2</v>
      </c>
      <c r="AT331" s="6">
        <v>4000</v>
      </c>
      <c r="AU331" s="6">
        <v>4699.19140625</v>
      </c>
      <c r="AV331" s="6">
        <f t="shared" si="46"/>
        <v>699.19140625</v>
      </c>
      <c r="AW331" s="7">
        <f t="shared" si="47"/>
        <v>0.1747978515625</v>
      </c>
    </row>
    <row r="332" spans="1:49" x14ac:dyDescent="0.25">
      <c r="A332" t="s">
        <v>38</v>
      </c>
      <c r="B332" t="s">
        <v>167</v>
      </c>
      <c r="C332">
        <v>124338</v>
      </c>
      <c r="D332">
        <v>2014</v>
      </c>
      <c r="E332" t="s">
        <v>136</v>
      </c>
      <c r="F332" t="s">
        <v>718</v>
      </c>
      <c r="G332" t="s">
        <v>719</v>
      </c>
      <c r="I332">
        <v>6</v>
      </c>
      <c r="J332" t="s">
        <v>74</v>
      </c>
      <c r="K332">
        <v>4</v>
      </c>
      <c r="L332" t="s">
        <v>44</v>
      </c>
      <c r="M332">
        <v>3</v>
      </c>
      <c r="N332" t="s">
        <v>44</v>
      </c>
      <c r="O332" t="s">
        <v>46</v>
      </c>
      <c r="Q332" t="s">
        <v>47</v>
      </c>
      <c r="R332" t="s">
        <v>48</v>
      </c>
      <c r="T332">
        <v>240</v>
      </c>
      <c r="U332" t="s">
        <v>300</v>
      </c>
      <c r="X332" t="s">
        <v>66</v>
      </c>
      <c r="Y332" t="s">
        <v>720</v>
      </c>
      <c r="AA332">
        <v>0</v>
      </c>
      <c r="AB332" t="s">
        <v>54</v>
      </c>
      <c r="AC332" t="s">
        <v>55</v>
      </c>
      <c r="AD332">
        <v>34</v>
      </c>
      <c r="AE332">
        <v>8</v>
      </c>
      <c r="AF332">
        <v>3</v>
      </c>
      <c r="AG332">
        <v>2025</v>
      </c>
      <c r="AH332" s="13">
        <v>5500</v>
      </c>
      <c r="AI332" s="13">
        <v>5250.93994140625</v>
      </c>
      <c r="AJ332" s="13">
        <f t="shared" si="40"/>
        <v>249.06005859375</v>
      </c>
      <c r="AK332" s="14">
        <f t="shared" si="41"/>
        <v>4.5283647017045452E-2</v>
      </c>
      <c r="AL332" s="9">
        <v>5500</v>
      </c>
      <c r="AM332" s="9">
        <v>5987.8388352707461</v>
      </c>
      <c r="AN332" s="9">
        <f t="shared" si="42"/>
        <v>487.83883527074613</v>
      </c>
      <c r="AO332" s="10">
        <f t="shared" si="43"/>
        <v>8.8697970049226568E-2</v>
      </c>
      <c r="AP332" s="16">
        <v>5500</v>
      </c>
      <c r="AQ332" s="16">
        <v>3535.2792621207082</v>
      </c>
      <c r="AR332" s="16">
        <f t="shared" si="44"/>
        <v>1964.7207378792918</v>
      </c>
      <c r="AS332" s="17">
        <f t="shared" si="45"/>
        <v>0.35722195234168941</v>
      </c>
      <c r="AT332" s="6">
        <v>5500</v>
      </c>
      <c r="AU332" s="6">
        <v>4803.73388671875</v>
      </c>
      <c r="AV332" s="6">
        <f t="shared" si="46"/>
        <v>696.26611328125</v>
      </c>
      <c r="AW332" s="7">
        <f t="shared" si="47"/>
        <v>0.1265938387784091</v>
      </c>
    </row>
    <row r="333" spans="1:49" x14ac:dyDescent="0.25">
      <c r="A333" t="s">
        <v>56</v>
      </c>
      <c r="B333" t="s">
        <v>178</v>
      </c>
      <c r="C333">
        <v>191591</v>
      </c>
      <c r="D333">
        <v>2013</v>
      </c>
      <c r="E333" t="s">
        <v>79</v>
      </c>
      <c r="F333" t="s">
        <v>263</v>
      </c>
      <c r="G333" t="s">
        <v>586</v>
      </c>
      <c r="I333">
        <v>4</v>
      </c>
      <c r="J333" t="s">
        <v>61</v>
      </c>
      <c r="K333">
        <v>4</v>
      </c>
      <c r="L333" t="s">
        <v>44</v>
      </c>
      <c r="M333">
        <v>1.4</v>
      </c>
      <c r="N333" t="s">
        <v>45</v>
      </c>
      <c r="O333" t="s">
        <v>46</v>
      </c>
      <c r="P333">
        <v>4</v>
      </c>
      <c r="Q333" t="s">
        <v>84</v>
      </c>
      <c r="R333" t="s">
        <v>85</v>
      </c>
      <c r="U333" t="s">
        <v>50</v>
      </c>
      <c r="V333" t="s">
        <v>95</v>
      </c>
      <c r="W333" t="s">
        <v>265</v>
      </c>
      <c r="X333" t="s">
        <v>87</v>
      </c>
      <c r="Y333" t="s">
        <v>67</v>
      </c>
      <c r="AA333">
        <v>0</v>
      </c>
      <c r="AB333" t="s">
        <v>54</v>
      </c>
      <c r="AC333" t="s">
        <v>89</v>
      </c>
      <c r="AD333">
        <v>34</v>
      </c>
      <c r="AE333">
        <v>8</v>
      </c>
      <c r="AF333">
        <v>3</v>
      </c>
      <c r="AG333">
        <v>2025</v>
      </c>
      <c r="AH333" s="13">
        <v>2000</v>
      </c>
      <c r="AI333" s="13">
        <v>1449.462646484375</v>
      </c>
      <c r="AJ333" s="13">
        <f t="shared" si="40"/>
        <v>550.537353515625</v>
      </c>
      <c r="AK333" s="14">
        <f t="shared" si="41"/>
        <v>0.27526867675781252</v>
      </c>
      <c r="AL333" s="9">
        <v>2000</v>
      </c>
      <c r="AM333" s="9">
        <v>1484.9599459135461</v>
      </c>
      <c r="AN333" s="9">
        <f t="shared" si="42"/>
        <v>515.04005408645389</v>
      </c>
      <c r="AO333" s="10">
        <f t="shared" si="43"/>
        <v>0.25752002704322696</v>
      </c>
      <c r="AP333" s="16">
        <v>2000</v>
      </c>
      <c r="AQ333" s="16">
        <v>1137.475687725977</v>
      </c>
      <c r="AR333" s="16">
        <f t="shared" si="44"/>
        <v>862.52431227402303</v>
      </c>
      <c r="AS333" s="17">
        <f t="shared" si="45"/>
        <v>0.43126215613701152</v>
      </c>
      <c r="AT333" s="6">
        <v>2000</v>
      </c>
      <c r="AU333" s="6">
        <v>1372.4111328125</v>
      </c>
      <c r="AV333" s="6">
        <f t="shared" si="46"/>
        <v>627.5888671875</v>
      </c>
      <c r="AW333" s="7">
        <f t="shared" si="47"/>
        <v>0.31379443359374998</v>
      </c>
    </row>
    <row r="334" spans="1:49" x14ac:dyDescent="0.25">
      <c r="A334" t="s">
        <v>38</v>
      </c>
      <c r="B334" t="s">
        <v>721</v>
      </c>
      <c r="C334">
        <v>102528</v>
      </c>
      <c r="D334">
        <v>2023</v>
      </c>
      <c r="E334" t="s">
        <v>124</v>
      </c>
      <c r="F334" t="s">
        <v>533</v>
      </c>
      <c r="G334" t="s">
        <v>261</v>
      </c>
      <c r="I334">
        <v>4</v>
      </c>
      <c r="J334" t="s">
        <v>82</v>
      </c>
      <c r="K334">
        <v>4</v>
      </c>
      <c r="L334" t="s">
        <v>44</v>
      </c>
      <c r="M334">
        <v>2.5</v>
      </c>
      <c r="N334" t="s">
        <v>44</v>
      </c>
      <c r="O334" t="s">
        <v>46</v>
      </c>
      <c r="P334">
        <v>4</v>
      </c>
      <c r="Q334" t="s">
        <v>47</v>
      </c>
      <c r="R334" t="s">
        <v>48</v>
      </c>
      <c r="S334" t="s">
        <v>63</v>
      </c>
      <c r="U334" t="s">
        <v>50</v>
      </c>
      <c r="W334" t="s">
        <v>722</v>
      </c>
      <c r="X334" t="s">
        <v>52</v>
      </c>
      <c r="Y334" t="s">
        <v>67</v>
      </c>
      <c r="AA334">
        <v>0</v>
      </c>
      <c r="AB334" t="s">
        <v>54</v>
      </c>
      <c r="AC334" t="s">
        <v>55</v>
      </c>
      <c r="AD334">
        <v>34</v>
      </c>
      <c r="AE334">
        <v>8</v>
      </c>
      <c r="AF334">
        <v>3</v>
      </c>
      <c r="AG334">
        <v>2025</v>
      </c>
      <c r="AH334" s="13">
        <v>13500</v>
      </c>
      <c r="AI334" s="13">
        <v>16864.775390625</v>
      </c>
      <c r="AJ334" s="13">
        <f t="shared" si="40"/>
        <v>3364.775390625</v>
      </c>
      <c r="AK334" s="14">
        <f t="shared" si="41"/>
        <v>0.24924262152777779</v>
      </c>
      <c r="AL334" s="9">
        <v>13500</v>
      </c>
      <c r="AM334" s="9">
        <v>18143.69094155174</v>
      </c>
      <c r="AN334" s="9">
        <f t="shared" si="42"/>
        <v>4643.6909415517403</v>
      </c>
      <c r="AO334" s="10">
        <f t="shared" si="43"/>
        <v>0.34397710678161036</v>
      </c>
      <c r="AP334" s="16">
        <v>13500</v>
      </c>
      <c r="AQ334" s="16">
        <v>14521.627815521289</v>
      </c>
      <c r="AR334" s="16">
        <f t="shared" si="44"/>
        <v>1021.6278155212894</v>
      </c>
      <c r="AS334" s="17">
        <f t="shared" si="45"/>
        <v>7.5676134483058474E-2</v>
      </c>
      <c r="AT334" s="6">
        <v>13500</v>
      </c>
      <c r="AU334" s="6">
        <v>16290.8857421875</v>
      </c>
      <c r="AV334" s="6">
        <f t="shared" si="46"/>
        <v>2790.8857421875</v>
      </c>
      <c r="AW334" s="7">
        <f t="shared" si="47"/>
        <v>0.20673227719907408</v>
      </c>
    </row>
    <row r="335" spans="1:49" x14ac:dyDescent="0.25">
      <c r="A335" t="s">
        <v>38</v>
      </c>
      <c r="B335" t="s">
        <v>39</v>
      </c>
      <c r="C335">
        <v>48444</v>
      </c>
      <c r="D335">
        <v>2023</v>
      </c>
      <c r="E335" t="s">
        <v>124</v>
      </c>
      <c r="F335" t="s">
        <v>351</v>
      </c>
      <c r="G335" t="s">
        <v>261</v>
      </c>
      <c r="I335">
        <v>4</v>
      </c>
      <c r="J335" t="s">
        <v>43</v>
      </c>
      <c r="K335">
        <v>4</v>
      </c>
      <c r="L335" t="s">
        <v>44</v>
      </c>
      <c r="M335">
        <v>2.5</v>
      </c>
      <c r="N335" t="s">
        <v>45</v>
      </c>
      <c r="O335" t="s">
        <v>46</v>
      </c>
      <c r="P335">
        <v>4</v>
      </c>
      <c r="Q335" t="s">
        <v>47</v>
      </c>
      <c r="R335" t="s">
        <v>48</v>
      </c>
      <c r="S335" t="s">
        <v>49</v>
      </c>
      <c r="T335">
        <v>191.3</v>
      </c>
      <c r="U335" t="s">
        <v>50</v>
      </c>
      <c r="W335" t="s">
        <v>676</v>
      </c>
      <c r="X335" t="s">
        <v>141</v>
      </c>
      <c r="Y335" t="s">
        <v>67</v>
      </c>
      <c r="AA335">
        <v>0</v>
      </c>
      <c r="AB335" t="s">
        <v>54</v>
      </c>
      <c r="AC335" t="s">
        <v>55</v>
      </c>
      <c r="AD335">
        <v>34</v>
      </c>
      <c r="AE335">
        <v>8</v>
      </c>
      <c r="AF335">
        <v>3</v>
      </c>
      <c r="AG335">
        <v>2025</v>
      </c>
      <c r="AH335" s="13">
        <v>19000</v>
      </c>
      <c r="AI335" s="13">
        <v>22912.994140625</v>
      </c>
      <c r="AJ335" s="13">
        <f t="shared" si="40"/>
        <v>3912.994140625</v>
      </c>
      <c r="AK335" s="14">
        <f t="shared" si="41"/>
        <v>0.20594706003289473</v>
      </c>
      <c r="AL335" s="9">
        <v>19000</v>
      </c>
      <c r="AM335" s="9">
        <v>23062.315883424591</v>
      </c>
      <c r="AN335" s="9">
        <f t="shared" si="42"/>
        <v>4062.3158834245914</v>
      </c>
      <c r="AO335" s="10">
        <f t="shared" si="43"/>
        <v>0.21380609912761009</v>
      </c>
      <c r="AP335" s="16">
        <v>19000</v>
      </c>
      <c r="AQ335" s="16">
        <v>18116.388642747301</v>
      </c>
      <c r="AR335" s="16">
        <f t="shared" si="44"/>
        <v>883.61135725269924</v>
      </c>
      <c r="AS335" s="17">
        <f t="shared" si="45"/>
        <v>4.6505860908036802E-2</v>
      </c>
      <c r="AT335" s="6">
        <v>19000</v>
      </c>
      <c r="AU335" s="6">
        <v>21708.166015625</v>
      </c>
      <c r="AV335" s="6">
        <f t="shared" si="46"/>
        <v>2708.166015625</v>
      </c>
      <c r="AW335" s="7">
        <f t="shared" si="47"/>
        <v>0.14253505345394737</v>
      </c>
    </row>
    <row r="336" spans="1:49" x14ac:dyDescent="0.25">
      <c r="A336" t="s">
        <v>107</v>
      </c>
      <c r="B336" t="s">
        <v>108</v>
      </c>
      <c r="C336">
        <v>52331</v>
      </c>
      <c r="D336">
        <v>2021</v>
      </c>
      <c r="E336" t="s">
        <v>124</v>
      </c>
      <c r="F336" t="s">
        <v>125</v>
      </c>
      <c r="G336" t="s">
        <v>261</v>
      </c>
      <c r="I336">
        <v>4</v>
      </c>
      <c r="J336" t="s">
        <v>74</v>
      </c>
      <c r="K336">
        <v>4</v>
      </c>
      <c r="L336" t="s">
        <v>44</v>
      </c>
      <c r="M336">
        <v>2</v>
      </c>
      <c r="N336" t="s">
        <v>45</v>
      </c>
      <c r="O336" t="s">
        <v>46</v>
      </c>
      <c r="P336">
        <v>2</v>
      </c>
      <c r="Q336" t="s">
        <v>84</v>
      </c>
      <c r="R336" t="s">
        <v>85</v>
      </c>
      <c r="S336" t="s">
        <v>102</v>
      </c>
      <c r="T336">
        <v>147</v>
      </c>
      <c r="U336" t="s">
        <v>50</v>
      </c>
      <c r="W336" t="s">
        <v>262</v>
      </c>
      <c r="X336" t="s">
        <v>87</v>
      </c>
      <c r="Y336" t="s">
        <v>53</v>
      </c>
      <c r="AA336">
        <v>0</v>
      </c>
      <c r="AB336" t="s">
        <v>54</v>
      </c>
      <c r="AC336" t="s">
        <v>89</v>
      </c>
      <c r="AD336">
        <v>34</v>
      </c>
      <c r="AE336">
        <v>8</v>
      </c>
      <c r="AF336">
        <v>3</v>
      </c>
      <c r="AG336">
        <v>2025</v>
      </c>
      <c r="AH336" s="13">
        <v>10100</v>
      </c>
      <c r="AI336" s="13">
        <v>8726.6806640625</v>
      </c>
      <c r="AJ336" s="13">
        <f t="shared" si="40"/>
        <v>1373.3193359375</v>
      </c>
      <c r="AK336" s="14">
        <f t="shared" si="41"/>
        <v>0.13597221147896041</v>
      </c>
      <c r="AL336" s="9">
        <v>10100</v>
      </c>
      <c r="AM336" s="9">
        <v>9024.0709049265388</v>
      </c>
      <c r="AN336" s="9">
        <f t="shared" si="42"/>
        <v>1075.9290950734612</v>
      </c>
      <c r="AO336" s="10">
        <f t="shared" si="43"/>
        <v>0.10652763317559022</v>
      </c>
      <c r="AP336" s="16">
        <v>10100</v>
      </c>
      <c r="AQ336" s="16">
        <v>9493.2070392797959</v>
      </c>
      <c r="AR336" s="16">
        <f t="shared" si="44"/>
        <v>606.79296072020406</v>
      </c>
      <c r="AS336" s="17">
        <f t="shared" si="45"/>
        <v>6.0078510962396442E-2</v>
      </c>
      <c r="AT336" s="6">
        <v>10100</v>
      </c>
      <c r="AU336" s="6">
        <v>9379.228515625</v>
      </c>
      <c r="AV336" s="6">
        <f t="shared" si="46"/>
        <v>720.771484375</v>
      </c>
      <c r="AW336" s="7">
        <f t="shared" si="47"/>
        <v>7.136351330445545E-2</v>
      </c>
    </row>
    <row r="337" spans="1:49" x14ac:dyDescent="0.25">
      <c r="A337" t="s">
        <v>107</v>
      </c>
      <c r="B337" t="s">
        <v>192</v>
      </c>
      <c r="C337">
        <v>332216</v>
      </c>
      <c r="D337">
        <v>2013</v>
      </c>
      <c r="E337" t="s">
        <v>91</v>
      </c>
      <c r="F337" t="s">
        <v>723</v>
      </c>
      <c r="H337" t="s">
        <v>724</v>
      </c>
      <c r="I337">
        <v>6</v>
      </c>
      <c r="J337" t="s">
        <v>82</v>
      </c>
      <c r="K337">
        <v>4</v>
      </c>
      <c r="L337" t="s">
        <v>44</v>
      </c>
      <c r="M337">
        <v>3.5</v>
      </c>
      <c r="N337" t="s">
        <v>45</v>
      </c>
      <c r="O337" t="s">
        <v>46</v>
      </c>
      <c r="Q337" t="s">
        <v>47</v>
      </c>
      <c r="R337" t="s">
        <v>365</v>
      </c>
      <c r="S337" t="s">
        <v>49</v>
      </c>
      <c r="T337">
        <v>266</v>
      </c>
      <c r="U337" t="s">
        <v>50</v>
      </c>
      <c r="V337" t="s">
        <v>64</v>
      </c>
      <c r="W337" t="s">
        <v>318</v>
      </c>
      <c r="X337" t="s">
        <v>141</v>
      </c>
      <c r="Y337" t="s">
        <v>67</v>
      </c>
      <c r="AA337">
        <v>0</v>
      </c>
      <c r="AB337" t="s">
        <v>54</v>
      </c>
      <c r="AC337" t="s">
        <v>365</v>
      </c>
      <c r="AD337">
        <v>34</v>
      </c>
      <c r="AE337">
        <v>8</v>
      </c>
      <c r="AF337">
        <v>3</v>
      </c>
      <c r="AG337">
        <v>2025</v>
      </c>
      <c r="AH337" s="13">
        <v>2800</v>
      </c>
      <c r="AI337" s="13">
        <v>1938.630737304688</v>
      </c>
      <c r="AJ337" s="13">
        <f t="shared" si="40"/>
        <v>861.36926269531205</v>
      </c>
      <c r="AK337" s="14">
        <f t="shared" si="41"/>
        <v>0.30763187953404003</v>
      </c>
      <c r="AL337" s="9">
        <v>2800</v>
      </c>
      <c r="AM337" s="9">
        <v>2205.3929429256268</v>
      </c>
      <c r="AN337" s="9">
        <f t="shared" si="42"/>
        <v>594.60705707437319</v>
      </c>
      <c r="AO337" s="10">
        <f t="shared" si="43"/>
        <v>0.21235966324084757</v>
      </c>
      <c r="AP337" s="16">
        <v>2800</v>
      </c>
      <c r="AQ337" s="16">
        <v>1482.9668412643859</v>
      </c>
      <c r="AR337" s="16">
        <f t="shared" si="44"/>
        <v>1317.0331587356141</v>
      </c>
      <c r="AS337" s="17">
        <f t="shared" si="45"/>
        <v>0.47036898526271931</v>
      </c>
      <c r="AT337" s="6">
        <v>2800</v>
      </c>
      <c r="AU337" s="6">
        <v>2036.460815429688</v>
      </c>
      <c r="AV337" s="6">
        <f t="shared" si="46"/>
        <v>763.53918457031205</v>
      </c>
      <c r="AW337" s="7">
        <f t="shared" si="47"/>
        <v>0.27269256591796859</v>
      </c>
    </row>
    <row r="338" spans="1:49" x14ac:dyDescent="0.25">
      <c r="A338" t="s">
        <v>56</v>
      </c>
      <c r="B338" t="s">
        <v>104</v>
      </c>
      <c r="C338">
        <v>141726</v>
      </c>
      <c r="D338">
        <v>2014</v>
      </c>
      <c r="E338" t="s">
        <v>625</v>
      </c>
      <c r="F338" t="s">
        <v>626</v>
      </c>
      <c r="I338">
        <v>6</v>
      </c>
      <c r="J338" t="s">
        <v>43</v>
      </c>
      <c r="K338">
        <v>4</v>
      </c>
      <c r="L338" t="s">
        <v>44</v>
      </c>
      <c r="M338">
        <v>3.2</v>
      </c>
      <c r="N338" t="s">
        <v>44</v>
      </c>
      <c r="O338" t="s">
        <v>46</v>
      </c>
      <c r="Q338" t="s">
        <v>47</v>
      </c>
      <c r="R338" t="s">
        <v>48</v>
      </c>
      <c r="S338" t="s">
        <v>139</v>
      </c>
      <c r="T338">
        <v>240</v>
      </c>
      <c r="U338" t="s">
        <v>50</v>
      </c>
      <c r="W338" t="s">
        <v>725</v>
      </c>
      <c r="X338" t="s">
        <v>66</v>
      </c>
      <c r="Y338" t="s">
        <v>629</v>
      </c>
      <c r="AA338">
        <v>0</v>
      </c>
      <c r="AB338" t="s">
        <v>54</v>
      </c>
      <c r="AC338" t="s">
        <v>55</v>
      </c>
      <c r="AD338">
        <v>34</v>
      </c>
      <c r="AE338">
        <v>8</v>
      </c>
      <c r="AF338">
        <v>3</v>
      </c>
      <c r="AG338">
        <v>2025</v>
      </c>
      <c r="AH338" s="13">
        <v>3700</v>
      </c>
      <c r="AI338" s="13">
        <v>3339.632568359375</v>
      </c>
      <c r="AJ338" s="13">
        <f t="shared" si="40"/>
        <v>360.367431640625</v>
      </c>
      <c r="AK338" s="14">
        <f t="shared" si="41"/>
        <v>9.7396603146114868E-2</v>
      </c>
      <c r="AL338" s="9">
        <v>3700</v>
      </c>
      <c r="AM338" s="9">
        <v>3335.3500516108902</v>
      </c>
      <c r="AN338" s="9">
        <f t="shared" si="42"/>
        <v>364.6499483891098</v>
      </c>
      <c r="AO338" s="10">
        <f t="shared" si="43"/>
        <v>9.8554040105164803E-2</v>
      </c>
      <c r="AP338" s="16">
        <v>3700</v>
      </c>
      <c r="AQ338" s="16">
        <v>2849.8320792089798</v>
      </c>
      <c r="AR338" s="16">
        <f t="shared" si="44"/>
        <v>850.16792079102015</v>
      </c>
      <c r="AS338" s="17">
        <f t="shared" si="45"/>
        <v>0.22977511372730275</v>
      </c>
      <c r="AT338" s="6">
        <v>3700</v>
      </c>
      <c r="AU338" s="6">
        <v>2799.536376953125</v>
      </c>
      <c r="AV338" s="6">
        <f t="shared" si="46"/>
        <v>900.463623046875</v>
      </c>
      <c r="AW338" s="7">
        <f t="shared" si="47"/>
        <v>0.24336854676942568</v>
      </c>
    </row>
    <row r="339" spans="1:49" x14ac:dyDescent="0.25">
      <c r="A339" t="s">
        <v>38</v>
      </c>
      <c r="B339" t="s">
        <v>132</v>
      </c>
      <c r="C339">
        <v>117152</v>
      </c>
      <c r="D339">
        <v>2018</v>
      </c>
      <c r="E339" t="s">
        <v>79</v>
      </c>
      <c r="F339" t="s">
        <v>585</v>
      </c>
      <c r="G339" t="s">
        <v>345</v>
      </c>
      <c r="I339">
        <v>6</v>
      </c>
      <c r="J339" t="s">
        <v>43</v>
      </c>
      <c r="K339">
        <v>4</v>
      </c>
      <c r="L339" t="s">
        <v>44</v>
      </c>
      <c r="M339">
        <v>3.6</v>
      </c>
      <c r="N339" t="s">
        <v>44</v>
      </c>
      <c r="O339" t="s">
        <v>46</v>
      </c>
      <c r="P339">
        <v>4</v>
      </c>
      <c r="Q339" t="s">
        <v>47</v>
      </c>
      <c r="R339" t="s">
        <v>48</v>
      </c>
      <c r="S339" t="s">
        <v>139</v>
      </c>
      <c r="U339" t="s">
        <v>50</v>
      </c>
      <c r="V339" t="s">
        <v>64</v>
      </c>
      <c r="W339" t="s">
        <v>726</v>
      </c>
      <c r="X339" t="s">
        <v>66</v>
      </c>
      <c r="Y339" t="s">
        <v>67</v>
      </c>
      <c r="Z339">
        <v>45000</v>
      </c>
      <c r="AA339">
        <v>0</v>
      </c>
      <c r="AB339" t="s">
        <v>54</v>
      </c>
      <c r="AC339" t="s">
        <v>55</v>
      </c>
      <c r="AD339">
        <v>34</v>
      </c>
      <c r="AE339">
        <v>8</v>
      </c>
      <c r="AF339">
        <v>3</v>
      </c>
      <c r="AG339">
        <v>2025</v>
      </c>
      <c r="AH339" s="13">
        <v>16200</v>
      </c>
      <c r="AI339" s="13">
        <v>15110.955078125</v>
      </c>
      <c r="AJ339" s="13">
        <f t="shared" si="40"/>
        <v>1089.044921875</v>
      </c>
      <c r="AK339" s="14">
        <f t="shared" si="41"/>
        <v>6.7224995177469132E-2</v>
      </c>
      <c r="AL339" s="9">
        <v>16200</v>
      </c>
      <c r="AM339" s="9">
        <v>13789.672204840041</v>
      </c>
      <c r="AN339" s="9">
        <f t="shared" si="42"/>
        <v>2410.3277951599594</v>
      </c>
      <c r="AO339" s="10">
        <f t="shared" si="43"/>
        <v>0.14878566636789872</v>
      </c>
      <c r="AP339" s="16">
        <v>16200</v>
      </c>
      <c r="AQ339" s="16">
        <v>14886.377524934611</v>
      </c>
      <c r="AR339" s="16">
        <f t="shared" si="44"/>
        <v>1313.6224750653892</v>
      </c>
      <c r="AS339" s="17">
        <f t="shared" si="45"/>
        <v>8.1087807102801793E-2</v>
      </c>
      <c r="AT339" s="6">
        <v>16200</v>
      </c>
      <c r="AU339" s="6">
        <v>13575.4931640625</v>
      </c>
      <c r="AV339" s="6">
        <f t="shared" si="46"/>
        <v>2624.5068359375</v>
      </c>
      <c r="AW339" s="7">
        <f t="shared" si="47"/>
        <v>0.16200659481095678</v>
      </c>
    </row>
    <row r="340" spans="1:49" x14ac:dyDescent="0.25">
      <c r="A340" t="s">
        <v>56</v>
      </c>
      <c r="B340" t="s">
        <v>144</v>
      </c>
      <c r="C340">
        <v>131866</v>
      </c>
      <c r="D340">
        <v>2016</v>
      </c>
      <c r="E340" t="s">
        <v>58</v>
      </c>
      <c r="F340" t="s">
        <v>420</v>
      </c>
      <c r="G340" t="s">
        <v>727</v>
      </c>
      <c r="H340" t="s">
        <v>421</v>
      </c>
      <c r="I340">
        <v>6</v>
      </c>
      <c r="J340" t="s">
        <v>277</v>
      </c>
      <c r="K340">
        <v>3</v>
      </c>
      <c r="L340" t="s">
        <v>44</v>
      </c>
      <c r="M340">
        <v>3.7</v>
      </c>
      <c r="N340" t="s">
        <v>116</v>
      </c>
      <c r="O340" t="s">
        <v>46</v>
      </c>
      <c r="P340">
        <v>1</v>
      </c>
      <c r="Q340" t="s">
        <v>75</v>
      </c>
      <c r="R340" t="s">
        <v>422</v>
      </c>
      <c r="T340">
        <v>275</v>
      </c>
      <c r="U340" t="s">
        <v>50</v>
      </c>
      <c r="V340" t="s">
        <v>64</v>
      </c>
      <c r="X340" t="s">
        <v>423</v>
      </c>
      <c r="Y340" t="s">
        <v>67</v>
      </c>
      <c r="AA340">
        <v>0</v>
      </c>
      <c r="AB340" t="s">
        <v>54</v>
      </c>
      <c r="AC340" t="s">
        <v>424</v>
      </c>
      <c r="AD340">
        <v>34</v>
      </c>
      <c r="AE340">
        <v>8</v>
      </c>
      <c r="AF340">
        <v>3</v>
      </c>
      <c r="AG340">
        <v>2025</v>
      </c>
      <c r="AH340" s="13">
        <v>6600</v>
      </c>
      <c r="AI340" s="13">
        <v>6646.22802734375</v>
      </c>
      <c r="AJ340" s="13">
        <f t="shared" si="40"/>
        <v>46.22802734375</v>
      </c>
      <c r="AK340" s="14">
        <f t="shared" si="41"/>
        <v>7.0042465672348481E-3</v>
      </c>
      <c r="AL340" s="9">
        <v>6600</v>
      </c>
      <c r="AM340" s="9">
        <v>6770.5412451595021</v>
      </c>
      <c r="AN340" s="9">
        <f t="shared" si="42"/>
        <v>170.54124515950207</v>
      </c>
      <c r="AO340" s="10">
        <f t="shared" si="43"/>
        <v>2.5839582599924554E-2</v>
      </c>
      <c r="AP340" s="16">
        <v>6600</v>
      </c>
      <c r="AQ340" s="16">
        <v>7582.1196472990996</v>
      </c>
      <c r="AR340" s="16">
        <f t="shared" si="44"/>
        <v>982.1196472990996</v>
      </c>
      <c r="AS340" s="17">
        <f t="shared" si="45"/>
        <v>0.14880600716653025</v>
      </c>
      <c r="AT340" s="6">
        <v>6600</v>
      </c>
      <c r="AU340" s="6">
        <v>6476.90625</v>
      </c>
      <c r="AV340" s="6">
        <f t="shared" si="46"/>
        <v>123.09375</v>
      </c>
      <c r="AW340" s="7">
        <f t="shared" si="47"/>
        <v>1.8650568181818181E-2</v>
      </c>
    </row>
    <row r="341" spans="1:49" x14ac:dyDescent="0.25">
      <c r="A341" t="s">
        <v>38</v>
      </c>
      <c r="B341" t="s">
        <v>167</v>
      </c>
      <c r="C341">
        <v>118336</v>
      </c>
      <c r="D341">
        <v>2014</v>
      </c>
      <c r="E341" t="s">
        <v>40</v>
      </c>
      <c r="F341" t="s">
        <v>360</v>
      </c>
      <c r="G341" t="s">
        <v>728</v>
      </c>
      <c r="I341">
        <v>6</v>
      </c>
      <c r="J341" t="s">
        <v>94</v>
      </c>
      <c r="K341">
        <v>4</v>
      </c>
      <c r="L341" t="s">
        <v>44</v>
      </c>
      <c r="M341">
        <v>3.3</v>
      </c>
      <c r="N341" t="s">
        <v>45</v>
      </c>
      <c r="O341" t="s">
        <v>83</v>
      </c>
      <c r="P341">
        <v>4</v>
      </c>
      <c r="Q341" t="s">
        <v>47</v>
      </c>
      <c r="R341" t="s">
        <v>48</v>
      </c>
      <c r="S341" t="s">
        <v>49</v>
      </c>
      <c r="V341" t="s">
        <v>64</v>
      </c>
      <c r="W341" t="s">
        <v>729</v>
      </c>
      <c r="X341" t="s">
        <v>141</v>
      </c>
      <c r="Y341" t="s">
        <v>67</v>
      </c>
      <c r="AA341">
        <v>0</v>
      </c>
      <c r="AB341" t="s">
        <v>54</v>
      </c>
      <c r="AC341" t="s">
        <v>55</v>
      </c>
      <c r="AD341">
        <v>34</v>
      </c>
      <c r="AE341">
        <v>8</v>
      </c>
      <c r="AF341">
        <v>3</v>
      </c>
      <c r="AG341">
        <v>2025</v>
      </c>
      <c r="AH341" s="13">
        <v>1000</v>
      </c>
      <c r="AI341" s="13">
        <v>2012.266723632812</v>
      </c>
      <c r="AJ341" s="13">
        <f t="shared" si="40"/>
        <v>1012.266723632812</v>
      </c>
      <c r="AK341" s="14">
        <f t="shared" si="41"/>
        <v>1.012266723632812</v>
      </c>
      <c r="AL341" s="9">
        <v>1000</v>
      </c>
      <c r="AM341" s="9">
        <v>2086.9909035528308</v>
      </c>
      <c r="AN341" s="9">
        <f t="shared" si="42"/>
        <v>1086.9909035528308</v>
      </c>
      <c r="AO341" s="10">
        <f t="shared" si="43"/>
        <v>1.0869909035528307</v>
      </c>
      <c r="AP341" s="16">
        <v>1000</v>
      </c>
      <c r="AQ341" s="16">
        <v>1866.4979262969</v>
      </c>
      <c r="AR341" s="16">
        <f t="shared" si="44"/>
        <v>866.4979262969</v>
      </c>
      <c r="AS341" s="17">
        <f t="shared" si="45"/>
        <v>0.86649792629690003</v>
      </c>
      <c r="AT341" s="6">
        <v>1000</v>
      </c>
      <c r="AU341" s="6">
        <v>1705.756225585938</v>
      </c>
      <c r="AV341" s="6">
        <f t="shared" si="46"/>
        <v>705.75622558593795</v>
      </c>
      <c r="AW341" s="7">
        <f t="shared" si="47"/>
        <v>0.70575622558593798</v>
      </c>
    </row>
    <row r="342" spans="1:49" x14ac:dyDescent="0.25">
      <c r="A342" t="s">
        <v>56</v>
      </c>
      <c r="B342" t="s">
        <v>303</v>
      </c>
      <c r="C342">
        <v>145481</v>
      </c>
      <c r="D342">
        <v>2010</v>
      </c>
      <c r="E342" t="s">
        <v>145</v>
      </c>
      <c r="F342" t="s">
        <v>349</v>
      </c>
      <c r="G342" t="s">
        <v>730</v>
      </c>
      <c r="I342">
        <v>4</v>
      </c>
      <c r="J342" t="s">
        <v>94</v>
      </c>
      <c r="K342">
        <v>4</v>
      </c>
      <c r="L342" t="s">
        <v>44</v>
      </c>
      <c r="M342">
        <v>1.8</v>
      </c>
      <c r="N342" t="s">
        <v>45</v>
      </c>
      <c r="O342" t="s">
        <v>46</v>
      </c>
      <c r="Q342" t="s">
        <v>84</v>
      </c>
      <c r="R342" t="s">
        <v>85</v>
      </c>
      <c r="T342">
        <v>140</v>
      </c>
      <c r="U342" t="s">
        <v>50</v>
      </c>
      <c r="V342" t="s">
        <v>95</v>
      </c>
      <c r="W342" t="s">
        <v>475</v>
      </c>
      <c r="X342" t="s">
        <v>122</v>
      </c>
      <c r="Y342" t="s">
        <v>88</v>
      </c>
      <c r="AA342">
        <v>0</v>
      </c>
      <c r="AB342" t="s">
        <v>54</v>
      </c>
      <c r="AC342" t="s">
        <v>89</v>
      </c>
      <c r="AD342">
        <v>34</v>
      </c>
      <c r="AE342">
        <v>8</v>
      </c>
      <c r="AF342">
        <v>3</v>
      </c>
      <c r="AG342">
        <v>2025</v>
      </c>
      <c r="AH342" s="13">
        <v>3400</v>
      </c>
      <c r="AI342" s="13">
        <v>2296.849365234375</v>
      </c>
      <c r="AJ342" s="13">
        <f t="shared" si="40"/>
        <v>1103.150634765625</v>
      </c>
      <c r="AK342" s="14">
        <f t="shared" si="41"/>
        <v>0.32445606904871321</v>
      </c>
      <c r="AL342" s="9">
        <v>3400</v>
      </c>
      <c r="AM342" s="9">
        <v>3076.5432282565271</v>
      </c>
      <c r="AN342" s="9">
        <f t="shared" si="42"/>
        <v>323.45677174347293</v>
      </c>
      <c r="AO342" s="10">
        <f t="shared" si="43"/>
        <v>9.5134344630433215E-2</v>
      </c>
      <c r="AP342" s="16">
        <v>3400</v>
      </c>
      <c r="AQ342" s="16">
        <v>1602.4559901614059</v>
      </c>
      <c r="AR342" s="16">
        <f t="shared" si="44"/>
        <v>1797.5440098385941</v>
      </c>
      <c r="AS342" s="17">
        <f t="shared" si="45"/>
        <v>0.52868941465841002</v>
      </c>
      <c r="AT342" s="6">
        <v>3400</v>
      </c>
      <c r="AU342" s="6">
        <v>2742.333984375</v>
      </c>
      <c r="AV342" s="6">
        <f t="shared" si="46"/>
        <v>657.666015625</v>
      </c>
      <c r="AW342" s="7">
        <f t="shared" si="47"/>
        <v>0.19343118106617646</v>
      </c>
    </row>
    <row r="343" spans="1:49" x14ac:dyDescent="0.25">
      <c r="A343" t="s">
        <v>107</v>
      </c>
      <c r="B343" t="s">
        <v>256</v>
      </c>
      <c r="C343">
        <v>147203</v>
      </c>
      <c r="D343">
        <v>2012</v>
      </c>
      <c r="E343" t="s">
        <v>79</v>
      </c>
      <c r="F343" t="s">
        <v>263</v>
      </c>
      <c r="G343" t="s">
        <v>731</v>
      </c>
      <c r="I343">
        <v>4</v>
      </c>
      <c r="J343" t="s">
        <v>61</v>
      </c>
      <c r="K343">
        <v>4</v>
      </c>
      <c r="L343" t="s">
        <v>44</v>
      </c>
      <c r="M343">
        <v>1.8</v>
      </c>
      <c r="N343" t="s">
        <v>45</v>
      </c>
      <c r="O343" t="s">
        <v>46</v>
      </c>
      <c r="P343">
        <v>3</v>
      </c>
      <c r="Q343" t="s">
        <v>84</v>
      </c>
      <c r="R343" t="s">
        <v>85</v>
      </c>
      <c r="U343" t="s">
        <v>50</v>
      </c>
      <c r="W343" t="s">
        <v>732</v>
      </c>
      <c r="X343" t="s">
        <v>87</v>
      </c>
      <c r="Y343" t="s">
        <v>67</v>
      </c>
      <c r="AA343">
        <v>0</v>
      </c>
      <c r="AB343" t="s">
        <v>54</v>
      </c>
      <c r="AC343" t="s">
        <v>89</v>
      </c>
      <c r="AD343">
        <v>34</v>
      </c>
      <c r="AE343">
        <v>8</v>
      </c>
      <c r="AF343">
        <v>3</v>
      </c>
      <c r="AG343">
        <v>2025</v>
      </c>
      <c r="AH343" s="13">
        <v>1200</v>
      </c>
      <c r="AI343" s="13">
        <v>1596.526245117188</v>
      </c>
      <c r="AJ343" s="13">
        <f t="shared" si="40"/>
        <v>396.52624511718795</v>
      </c>
      <c r="AK343" s="14">
        <f t="shared" si="41"/>
        <v>0.33043853759765662</v>
      </c>
      <c r="AL343" s="9">
        <v>1200</v>
      </c>
      <c r="AM343" s="9">
        <v>1309.350306895429</v>
      </c>
      <c r="AN343" s="9">
        <f t="shared" si="42"/>
        <v>109.35030689542896</v>
      </c>
      <c r="AO343" s="10">
        <f t="shared" si="43"/>
        <v>9.1125255746190792E-2</v>
      </c>
      <c r="AP343" s="16">
        <v>1200</v>
      </c>
      <c r="AQ343" s="16">
        <v>1069.08013524374</v>
      </c>
      <c r="AR343" s="16">
        <f t="shared" si="44"/>
        <v>130.91986475626004</v>
      </c>
      <c r="AS343" s="17">
        <f t="shared" si="45"/>
        <v>0.10909988729688337</v>
      </c>
      <c r="AT343" s="6">
        <v>1200</v>
      </c>
      <c r="AU343" s="6">
        <v>1310.898559570312</v>
      </c>
      <c r="AV343" s="6">
        <f t="shared" si="46"/>
        <v>110.89855957031205</v>
      </c>
      <c r="AW343" s="7">
        <f t="shared" si="47"/>
        <v>9.2415466308593375E-2</v>
      </c>
    </row>
    <row r="344" spans="1:49" x14ac:dyDescent="0.25">
      <c r="A344" t="s">
        <v>107</v>
      </c>
      <c r="B344" t="s">
        <v>108</v>
      </c>
      <c r="C344">
        <v>67000</v>
      </c>
      <c r="D344">
        <v>2015</v>
      </c>
      <c r="E344" t="s">
        <v>173</v>
      </c>
      <c r="F344" t="s">
        <v>733</v>
      </c>
      <c r="G344" t="s">
        <v>236</v>
      </c>
      <c r="I344">
        <v>4</v>
      </c>
      <c r="J344" t="s">
        <v>61</v>
      </c>
      <c r="K344">
        <v>4</v>
      </c>
      <c r="L344" t="s">
        <v>44</v>
      </c>
      <c r="M344">
        <v>2.4</v>
      </c>
      <c r="N344" t="s">
        <v>45</v>
      </c>
      <c r="O344" t="s">
        <v>46</v>
      </c>
      <c r="P344">
        <v>3</v>
      </c>
      <c r="Q344" t="s">
        <v>47</v>
      </c>
      <c r="R344" t="s">
        <v>48</v>
      </c>
      <c r="S344" t="s">
        <v>102</v>
      </c>
      <c r="U344" t="s">
        <v>50</v>
      </c>
      <c r="X344" t="s">
        <v>52</v>
      </c>
      <c r="Y344" t="s">
        <v>67</v>
      </c>
      <c r="AA344">
        <v>0</v>
      </c>
      <c r="AB344" t="s">
        <v>54</v>
      </c>
      <c r="AC344" t="s">
        <v>55</v>
      </c>
      <c r="AD344">
        <v>34</v>
      </c>
      <c r="AE344">
        <v>8</v>
      </c>
      <c r="AF344">
        <v>3</v>
      </c>
      <c r="AG344">
        <v>2025</v>
      </c>
      <c r="AH344" s="13">
        <v>5200</v>
      </c>
      <c r="AI344" s="13">
        <v>5484.2529296875</v>
      </c>
      <c r="AJ344" s="13">
        <f t="shared" si="40"/>
        <v>284.2529296875</v>
      </c>
      <c r="AK344" s="14">
        <f t="shared" si="41"/>
        <v>5.4664024939903848E-2</v>
      </c>
      <c r="AL344" s="9">
        <v>5200</v>
      </c>
      <c r="AM344" s="9">
        <v>5475.0380231079471</v>
      </c>
      <c r="AN344" s="9">
        <f t="shared" si="42"/>
        <v>275.03802310794708</v>
      </c>
      <c r="AO344" s="10">
        <f t="shared" si="43"/>
        <v>5.2891927520759052E-2</v>
      </c>
      <c r="AP344" s="16">
        <v>5200</v>
      </c>
      <c r="AQ344" s="16">
        <v>4761.0512414880313</v>
      </c>
      <c r="AR344" s="16">
        <f t="shared" si="44"/>
        <v>438.94875851196866</v>
      </c>
      <c r="AS344" s="17">
        <f t="shared" si="45"/>
        <v>8.4413222790763201E-2</v>
      </c>
      <c r="AT344" s="6">
        <v>5200</v>
      </c>
      <c r="AU344" s="6">
        <v>4882.42822265625</v>
      </c>
      <c r="AV344" s="6">
        <f t="shared" si="46"/>
        <v>317.57177734375</v>
      </c>
      <c r="AW344" s="7">
        <f t="shared" si="47"/>
        <v>6.1071495643028849E-2</v>
      </c>
    </row>
    <row r="345" spans="1:49" x14ac:dyDescent="0.25">
      <c r="A345" t="s">
        <v>56</v>
      </c>
      <c r="B345" t="s">
        <v>104</v>
      </c>
      <c r="C345">
        <v>88979</v>
      </c>
      <c r="D345">
        <v>2019</v>
      </c>
      <c r="E345" t="s">
        <v>173</v>
      </c>
      <c r="F345" t="s">
        <v>461</v>
      </c>
      <c r="H345" t="s">
        <v>171</v>
      </c>
      <c r="I345">
        <v>6</v>
      </c>
      <c r="J345" t="s">
        <v>74</v>
      </c>
      <c r="K345">
        <v>4</v>
      </c>
      <c r="L345" t="s">
        <v>44</v>
      </c>
      <c r="M345">
        <v>3.6</v>
      </c>
      <c r="N345" t="s">
        <v>62</v>
      </c>
      <c r="O345" t="s">
        <v>46</v>
      </c>
      <c r="P345">
        <v>4</v>
      </c>
      <c r="Q345" t="s">
        <v>47</v>
      </c>
      <c r="R345" t="s">
        <v>48</v>
      </c>
      <c r="S345" t="s">
        <v>63</v>
      </c>
      <c r="T345">
        <v>295</v>
      </c>
      <c r="U345" t="s">
        <v>50</v>
      </c>
      <c r="V345" t="s">
        <v>64</v>
      </c>
      <c r="X345" t="s">
        <v>66</v>
      </c>
      <c r="Y345" t="s">
        <v>67</v>
      </c>
      <c r="Z345">
        <v>38445</v>
      </c>
      <c r="AA345">
        <v>0</v>
      </c>
      <c r="AB345" t="s">
        <v>54</v>
      </c>
      <c r="AC345" t="s">
        <v>55</v>
      </c>
      <c r="AD345">
        <v>34</v>
      </c>
      <c r="AE345">
        <v>8</v>
      </c>
      <c r="AF345">
        <v>3</v>
      </c>
      <c r="AG345">
        <v>2025</v>
      </c>
      <c r="AH345" s="13">
        <v>13800</v>
      </c>
      <c r="AI345" s="13">
        <v>15641.3876953125</v>
      </c>
      <c r="AJ345" s="13">
        <f t="shared" si="40"/>
        <v>1841.3876953125</v>
      </c>
      <c r="AK345" s="14">
        <f t="shared" si="41"/>
        <v>0.13343389096467392</v>
      </c>
      <c r="AL345" s="9">
        <v>13800</v>
      </c>
      <c r="AM345" s="9">
        <v>15685.58707028899</v>
      </c>
      <c r="AN345" s="9">
        <f t="shared" si="42"/>
        <v>1885.5870702889897</v>
      </c>
      <c r="AO345" s="10">
        <f t="shared" si="43"/>
        <v>0.13663674422383984</v>
      </c>
      <c r="AP345" s="16">
        <v>13800</v>
      </c>
      <c r="AQ345" s="16">
        <v>13552.849358861031</v>
      </c>
      <c r="AR345" s="16">
        <f t="shared" si="44"/>
        <v>247.15064113896915</v>
      </c>
      <c r="AS345" s="17">
        <f t="shared" si="45"/>
        <v>1.7909466749200662E-2</v>
      </c>
      <c r="AT345" s="6">
        <v>13800</v>
      </c>
      <c r="AU345" s="6">
        <v>15397.6259765625</v>
      </c>
      <c r="AV345" s="6">
        <f t="shared" si="46"/>
        <v>1597.6259765625</v>
      </c>
      <c r="AW345" s="7">
        <f t="shared" si="47"/>
        <v>0.11576999830163043</v>
      </c>
    </row>
    <row r="346" spans="1:49" x14ac:dyDescent="0.25">
      <c r="A346" t="s">
        <v>69</v>
      </c>
      <c r="B346" t="s">
        <v>545</v>
      </c>
      <c r="C346">
        <v>136912</v>
      </c>
      <c r="D346">
        <v>2018</v>
      </c>
      <c r="E346" t="s">
        <v>113</v>
      </c>
      <c r="F346" t="s">
        <v>114</v>
      </c>
      <c r="G346" t="s">
        <v>115</v>
      </c>
      <c r="I346">
        <v>6</v>
      </c>
      <c r="J346" t="s">
        <v>43</v>
      </c>
      <c r="K346">
        <v>4</v>
      </c>
      <c r="L346" t="s">
        <v>44</v>
      </c>
      <c r="M346">
        <v>3.6</v>
      </c>
      <c r="N346" t="s">
        <v>44</v>
      </c>
      <c r="O346" t="s">
        <v>46</v>
      </c>
      <c r="P346">
        <v>4</v>
      </c>
      <c r="Q346" t="s">
        <v>84</v>
      </c>
      <c r="R346" t="s">
        <v>85</v>
      </c>
      <c r="S346" t="s">
        <v>139</v>
      </c>
      <c r="T346">
        <v>292</v>
      </c>
      <c r="U346" t="s">
        <v>50</v>
      </c>
      <c r="V346" t="s">
        <v>64</v>
      </c>
      <c r="X346" t="s">
        <v>87</v>
      </c>
      <c r="Y346" t="s">
        <v>88</v>
      </c>
      <c r="Z346">
        <v>32995</v>
      </c>
      <c r="AA346">
        <v>0</v>
      </c>
      <c r="AB346" t="s">
        <v>54</v>
      </c>
      <c r="AC346" t="s">
        <v>89</v>
      </c>
      <c r="AD346">
        <v>34</v>
      </c>
      <c r="AE346">
        <v>8</v>
      </c>
      <c r="AF346">
        <v>3</v>
      </c>
      <c r="AG346">
        <v>2025</v>
      </c>
      <c r="AH346" s="13">
        <v>10800</v>
      </c>
      <c r="AI346" s="13">
        <v>9144.07421875</v>
      </c>
      <c r="AJ346" s="13">
        <f t="shared" si="40"/>
        <v>1655.92578125</v>
      </c>
      <c r="AK346" s="14">
        <f t="shared" si="41"/>
        <v>0.15332646122685184</v>
      </c>
      <c r="AL346" s="9">
        <v>10800</v>
      </c>
      <c r="AM346" s="9">
        <v>9646.2603810642195</v>
      </c>
      <c r="AN346" s="9">
        <f t="shared" si="42"/>
        <v>1153.7396189357805</v>
      </c>
      <c r="AO346" s="10">
        <f t="shared" si="43"/>
        <v>0.10682774249405375</v>
      </c>
      <c r="AP346" s="16">
        <v>10800</v>
      </c>
      <c r="AQ346" s="16">
        <v>8872.1472550539384</v>
      </c>
      <c r="AR346" s="16">
        <f t="shared" si="44"/>
        <v>1927.8527449460616</v>
      </c>
      <c r="AS346" s="17">
        <f t="shared" si="45"/>
        <v>0.178504883791302</v>
      </c>
      <c r="AT346" s="6">
        <v>10800</v>
      </c>
      <c r="AU346" s="6">
        <v>10335.5712890625</v>
      </c>
      <c r="AV346" s="6">
        <f t="shared" si="46"/>
        <v>464.4287109375</v>
      </c>
      <c r="AW346" s="7">
        <f t="shared" si="47"/>
        <v>4.3002658420138888E-2</v>
      </c>
    </row>
    <row r="347" spans="1:49" x14ac:dyDescent="0.25">
      <c r="A347" t="s">
        <v>69</v>
      </c>
      <c r="B347" t="s">
        <v>70</v>
      </c>
      <c r="C347">
        <v>133270</v>
      </c>
      <c r="D347">
        <v>2017</v>
      </c>
      <c r="E347" t="s">
        <v>71</v>
      </c>
      <c r="F347" t="s">
        <v>238</v>
      </c>
      <c r="I347">
        <v>4</v>
      </c>
      <c r="J347" t="s">
        <v>94</v>
      </c>
      <c r="K347">
        <v>4</v>
      </c>
      <c r="L347" t="s">
        <v>44</v>
      </c>
      <c r="M347">
        <v>1.8</v>
      </c>
      <c r="N347" t="s">
        <v>45</v>
      </c>
      <c r="O347" t="s">
        <v>46</v>
      </c>
      <c r="P347">
        <v>2</v>
      </c>
      <c r="Q347" t="s">
        <v>84</v>
      </c>
      <c r="R347" t="s">
        <v>85</v>
      </c>
      <c r="S347" t="s">
        <v>49</v>
      </c>
      <c r="T347">
        <v>130</v>
      </c>
      <c r="U347" t="s">
        <v>50</v>
      </c>
      <c r="V347" t="s">
        <v>95</v>
      </c>
      <c r="X347" t="s">
        <v>87</v>
      </c>
      <c r="Y347" t="s">
        <v>106</v>
      </c>
      <c r="AA347">
        <v>0</v>
      </c>
      <c r="AB347" t="s">
        <v>54</v>
      </c>
      <c r="AC347" t="s">
        <v>89</v>
      </c>
      <c r="AD347">
        <v>34</v>
      </c>
      <c r="AE347">
        <v>8</v>
      </c>
      <c r="AF347">
        <v>3</v>
      </c>
      <c r="AG347">
        <v>2025</v>
      </c>
      <c r="AH347" s="13">
        <v>1600</v>
      </c>
      <c r="AI347" s="13">
        <v>1553.655151367188</v>
      </c>
      <c r="AJ347" s="13">
        <f t="shared" si="40"/>
        <v>46.344848632812045</v>
      </c>
      <c r="AK347" s="14">
        <f t="shared" si="41"/>
        <v>2.8965530395507529E-2</v>
      </c>
      <c r="AL347" s="9">
        <v>1600</v>
      </c>
      <c r="AM347" s="9">
        <v>1768.6551019463029</v>
      </c>
      <c r="AN347" s="9">
        <f t="shared" si="42"/>
        <v>168.65510194630292</v>
      </c>
      <c r="AO347" s="10">
        <f t="shared" si="43"/>
        <v>0.10540943871643932</v>
      </c>
      <c r="AP347" s="16">
        <v>1600</v>
      </c>
      <c r="AQ347" s="16">
        <v>1669.474341432348</v>
      </c>
      <c r="AR347" s="16">
        <f t="shared" si="44"/>
        <v>69.474341432347956</v>
      </c>
      <c r="AS347" s="17">
        <f t="shared" si="45"/>
        <v>4.342146339521747E-2</v>
      </c>
      <c r="AT347" s="6">
        <v>1600</v>
      </c>
      <c r="AU347" s="6">
        <v>1434.15576171875</v>
      </c>
      <c r="AV347" s="6">
        <f t="shared" si="46"/>
        <v>165.84423828125</v>
      </c>
      <c r="AW347" s="7">
        <f t="shared" si="47"/>
        <v>0.10365264892578124</v>
      </c>
    </row>
    <row r="348" spans="1:49" x14ac:dyDescent="0.25">
      <c r="A348" t="s">
        <v>38</v>
      </c>
      <c r="B348" t="s">
        <v>734</v>
      </c>
      <c r="C348">
        <v>115190</v>
      </c>
      <c r="D348">
        <v>2020</v>
      </c>
      <c r="E348" t="s">
        <v>136</v>
      </c>
      <c r="F348" t="s">
        <v>211</v>
      </c>
      <c r="H348" t="s">
        <v>735</v>
      </c>
      <c r="I348">
        <v>4</v>
      </c>
      <c r="J348" t="s">
        <v>82</v>
      </c>
      <c r="K348">
        <v>4</v>
      </c>
      <c r="L348" t="s">
        <v>309</v>
      </c>
      <c r="M348">
        <v>1.4</v>
      </c>
      <c r="N348" t="s">
        <v>45</v>
      </c>
      <c r="O348" t="s">
        <v>46</v>
      </c>
      <c r="P348">
        <v>4</v>
      </c>
      <c r="Q348" t="s">
        <v>84</v>
      </c>
      <c r="R348" t="s">
        <v>85</v>
      </c>
      <c r="S348" t="s">
        <v>102</v>
      </c>
      <c r="T348">
        <v>147</v>
      </c>
      <c r="U348" t="s">
        <v>50</v>
      </c>
      <c r="W348" t="s">
        <v>736</v>
      </c>
      <c r="X348" t="s">
        <v>87</v>
      </c>
      <c r="Y348" t="s">
        <v>106</v>
      </c>
      <c r="AA348">
        <v>0</v>
      </c>
      <c r="AB348" t="s">
        <v>54</v>
      </c>
      <c r="AC348" t="s">
        <v>89</v>
      </c>
      <c r="AD348">
        <v>34</v>
      </c>
      <c r="AE348">
        <v>8</v>
      </c>
      <c r="AF348">
        <v>3</v>
      </c>
      <c r="AG348">
        <v>2025</v>
      </c>
      <c r="AH348" s="13">
        <v>6000</v>
      </c>
      <c r="AI348" s="13">
        <v>5525.25537109375</v>
      </c>
      <c r="AJ348" s="13">
        <f t="shared" si="40"/>
        <v>474.74462890625</v>
      </c>
      <c r="AK348" s="14">
        <f t="shared" si="41"/>
        <v>7.9124104817708332E-2</v>
      </c>
      <c r="AL348" s="9">
        <v>6000</v>
      </c>
      <c r="AM348" s="9">
        <v>5655.161967031765</v>
      </c>
      <c r="AN348" s="9">
        <f t="shared" si="42"/>
        <v>344.83803296823498</v>
      </c>
      <c r="AO348" s="10">
        <f t="shared" si="43"/>
        <v>5.7473005494705832E-2</v>
      </c>
      <c r="AP348" s="16">
        <v>6000</v>
      </c>
      <c r="AQ348" s="16">
        <v>5779.1654506956957</v>
      </c>
      <c r="AR348" s="16">
        <f t="shared" si="44"/>
        <v>220.83454930430435</v>
      </c>
      <c r="AS348" s="17">
        <f t="shared" si="45"/>
        <v>3.6805758217384056E-2</v>
      </c>
      <c r="AT348" s="6">
        <v>6000</v>
      </c>
      <c r="AU348" s="6">
        <v>7240.4384765625</v>
      </c>
      <c r="AV348" s="6">
        <f t="shared" si="46"/>
        <v>1240.4384765625</v>
      </c>
      <c r="AW348" s="7">
        <f t="shared" si="47"/>
        <v>0.20673974609375001</v>
      </c>
    </row>
    <row r="349" spans="1:49" x14ac:dyDescent="0.25">
      <c r="A349" t="s">
        <v>38</v>
      </c>
      <c r="B349" t="s">
        <v>39</v>
      </c>
      <c r="C349">
        <v>114563</v>
      </c>
      <c r="D349">
        <v>2003</v>
      </c>
      <c r="E349" t="s">
        <v>58</v>
      </c>
      <c r="F349" t="s">
        <v>737</v>
      </c>
      <c r="G349" t="s">
        <v>115</v>
      </c>
      <c r="I349">
        <v>8</v>
      </c>
      <c r="J349" t="s">
        <v>74</v>
      </c>
      <c r="K349">
        <v>2</v>
      </c>
      <c r="L349" t="s">
        <v>738</v>
      </c>
      <c r="M349">
        <v>4.5999999999999996</v>
      </c>
      <c r="N349" t="s">
        <v>116</v>
      </c>
      <c r="O349" t="s">
        <v>46</v>
      </c>
      <c r="Q349" t="s">
        <v>84</v>
      </c>
      <c r="R349" t="s">
        <v>251</v>
      </c>
      <c r="T349">
        <v>225</v>
      </c>
      <c r="U349" t="s">
        <v>50</v>
      </c>
      <c r="V349" t="s">
        <v>64</v>
      </c>
      <c r="X349" t="s">
        <v>87</v>
      </c>
      <c r="Y349" t="s">
        <v>67</v>
      </c>
      <c r="AA349">
        <v>0</v>
      </c>
      <c r="AB349" t="s">
        <v>54</v>
      </c>
      <c r="AC349" t="s">
        <v>251</v>
      </c>
      <c r="AD349">
        <v>34</v>
      </c>
      <c r="AE349">
        <v>8</v>
      </c>
      <c r="AF349">
        <v>3</v>
      </c>
      <c r="AG349">
        <v>2025</v>
      </c>
      <c r="AH349" s="13">
        <v>3100</v>
      </c>
      <c r="AI349" s="13">
        <v>2644.5830078125</v>
      </c>
      <c r="AJ349" s="13">
        <f t="shared" si="40"/>
        <v>455.4169921875</v>
      </c>
      <c r="AK349" s="14">
        <f t="shared" si="41"/>
        <v>0.14690870715725807</v>
      </c>
      <c r="AL349" s="9">
        <v>3100</v>
      </c>
      <c r="AM349" s="9">
        <v>2256.8859532632</v>
      </c>
      <c r="AN349" s="9">
        <f t="shared" si="42"/>
        <v>843.11404673679999</v>
      </c>
      <c r="AO349" s="10">
        <f t="shared" si="43"/>
        <v>0.27197227314090322</v>
      </c>
      <c r="AP349" s="16">
        <v>3100</v>
      </c>
      <c r="AQ349" s="16">
        <v>3076.1206897978882</v>
      </c>
      <c r="AR349" s="16">
        <f t="shared" si="44"/>
        <v>23.87931020211181</v>
      </c>
      <c r="AS349" s="17">
        <f t="shared" si="45"/>
        <v>7.7030032910038095E-3</v>
      </c>
      <c r="AT349" s="6">
        <v>3100</v>
      </c>
      <c r="AU349" s="6">
        <v>2709.2021484375</v>
      </c>
      <c r="AV349" s="6">
        <f t="shared" si="46"/>
        <v>390.7978515625</v>
      </c>
      <c r="AW349" s="7">
        <f t="shared" si="47"/>
        <v>0.12606382308467742</v>
      </c>
    </row>
    <row r="350" spans="1:49" x14ac:dyDescent="0.25">
      <c r="A350" t="s">
        <v>38</v>
      </c>
      <c r="B350" t="s">
        <v>132</v>
      </c>
      <c r="C350">
        <v>155860</v>
      </c>
      <c r="D350">
        <v>2016</v>
      </c>
      <c r="E350" t="s">
        <v>79</v>
      </c>
      <c r="F350" t="s">
        <v>286</v>
      </c>
      <c r="G350" t="s">
        <v>287</v>
      </c>
      <c r="I350">
        <v>4</v>
      </c>
      <c r="J350" t="s">
        <v>74</v>
      </c>
      <c r="K350">
        <v>4</v>
      </c>
      <c r="L350" t="s">
        <v>44</v>
      </c>
      <c r="M350">
        <v>1.5</v>
      </c>
      <c r="N350" t="s">
        <v>45</v>
      </c>
      <c r="O350" t="s">
        <v>46</v>
      </c>
      <c r="Q350" t="s">
        <v>84</v>
      </c>
      <c r="R350" t="s">
        <v>85</v>
      </c>
      <c r="U350" t="s">
        <v>50</v>
      </c>
      <c r="V350" t="s">
        <v>95</v>
      </c>
      <c r="W350" t="s">
        <v>739</v>
      </c>
      <c r="X350" t="s">
        <v>87</v>
      </c>
      <c r="Y350" t="s">
        <v>67</v>
      </c>
      <c r="AA350">
        <v>0</v>
      </c>
      <c r="AB350" t="s">
        <v>54</v>
      </c>
      <c r="AC350" t="s">
        <v>89</v>
      </c>
      <c r="AD350">
        <v>34</v>
      </c>
      <c r="AE350">
        <v>8</v>
      </c>
      <c r="AF350">
        <v>3</v>
      </c>
      <c r="AG350">
        <v>2025</v>
      </c>
      <c r="AH350" s="13">
        <v>1300</v>
      </c>
      <c r="AI350" s="13">
        <v>3330.209228515625</v>
      </c>
      <c r="AJ350" s="13">
        <f t="shared" si="40"/>
        <v>2030.209228515625</v>
      </c>
      <c r="AK350" s="14">
        <f t="shared" si="41"/>
        <v>1.5616994065504808</v>
      </c>
      <c r="AL350" s="9">
        <v>1300</v>
      </c>
      <c r="AM350" s="9">
        <v>2117.573099982968</v>
      </c>
      <c r="AN350" s="9">
        <f t="shared" si="42"/>
        <v>817.57309998296796</v>
      </c>
      <c r="AO350" s="10">
        <f t="shared" si="43"/>
        <v>0.62890238460228309</v>
      </c>
      <c r="AP350" s="16">
        <v>1300</v>
      </c>
      <c r="AQ350" s="16">
        <v>1783.6264905942439</v>
      </c>
      <c r="AR350" s="16">
        <f t="shared" si="44"/>
        <v>483.62649059424393</v>
      </c>
      <c r="AS350" s="17">
        <f t="shared" si="45"/>
        <v>0.37202037738018762</v>
      </c>
      <c r="AT350" s="6">
        <v>1300</v>
      </c>
      <c r="AU350" s="6">
        <v>2641.53173828125</v>
      </c>
      <c r="AV350" s="6">
        <f t="shared" si="46"/>
        <v>1341.53173828125</v>
      </c>
      <c r="AW350" s="7">
        <f t="shared" si="47"/>
        <v>1.031947490985577</v>
      </c>
    </row>
    <row r="351" spans="1:49" x14ac:dyDescent="0.25">
      <c r="A351" t="s">
        <v>38</v>
      </c>
      <c r="B351" t="s">
        <v>90</v>
      </c>
      <c r="C351">
        <v>139725</v>
      </c>
      <c r="D351">
        <v>2008</v>
      </c>
      <c r="E351" t="s">
        <v>136</v>
      </c>
      <c r="F351" t="s">
        <v>740</v>
      </c>
      <c r="I351">
        <v>4</v>
      </c>
      <c r="J351" t="s">
        <v>74</v>
      </c>
      <c r="K351">
        <v>2</v>
      </c>
      <c r="L351" t="s">
        <v>309</v>
      </c>
      <c r="M351">
        <v>2</v>
      </c>
      <c r="N351" t="s">
        <v>45</v>
      </c>
      <c r="O351" t="s">
        <v>46</v>
      </c>
      <c r="P351">
        <v>4</v>
      </c>
      <c r="Q351" t="s">
        <v>84</v>
      </c>
      <c r="R351" t="s">
        <v>157</v>
      </c>
      <c r="T351">
        <v>200</v>
      </c>
      <c r="U351" t="s">
        <v>50</v>
      </c>
      <c r="X351" t="s">
        <v>87</v>
      </c>
      <c r="Y351" t="s">
        <v>244</v>
      </c>
      <c r="AA351">
        <v>0</v>
      </c>
      <c r="AB351" t="s">
        <v>54</v>
      </c>
      <c r="AC351" t="s">
        <v>159</v>
      </c>
      <c r="AD351">
        <v>34</v>
      </c>
      <c r="AE351">
        <v>8</v>
      </c>
      <c r="AF351">
        <v>3</v>
      </c>
      <c r="AG351">
        <v>2025</v>
      </c>
      <c r="AH351" s="13">
        <v>2300</v>
      </c>
      <c r="AI351" s="13">
        <v>2093.065185546875</v>
      </c>
      <c r="AJ351" s="13">
        <f t="shared" si="40"/>
        <v>206.934814453125</v>
      </c>
      <c r="AK351" s="14">
        <f t="shared" si="41"/>
        <v>8.9971658457880438E-2</v>
      </c>
      <c r="AL351" s="9">
        <v>2300</v>
      </c>
      <c r="AM351" s="9">
        <v>1769.81184833825</v>
      </c>
      <c r="AN351" s="9">
        <f t="shared" si="42"/>
        <v>530.18815166175</v>
      </c>
      <c r="AO351" s="10">
        <f t="shared" si="43"/>
        <v>0.23051658767902175</v>
      </c>
      <c r="AP351" s="16">
        <v>2300</v>
      </c>
      <c r="AQ351" s="16">
        <v>1791.1532527752979</v>
      </c>
      <c r="AR351" s="16">
        <f t="shared" si="44"/>
        <v>508.84674722470209</v>
      </c>
      <c r="AS351" s="17">
        <f t="shared" si="45"/>
        <v>0.22123771618465307</v>
      </c>
      <c r="AT351" s="6">
        <v>2300</v>
      </c>
      <c r="AU351" s="6">
        <v>2104.225341796875</v>
      </c>
      <c r="AV351" s="6">
        <f t="shared" si="46"/>
        <v>195.774658203125</v>
      </c>
      <c r="AW351" s="7">
        <f t="shared" si="47"/>
        <v>8.5119416610054344E-2</v>
      </c>
    </row>
    <row r="352" spans="1:49" x14ac:dyDescent="0.25">
      <c r="A352" t="s">
        <v>56</v>
      </c>
      <c r="B352" t="s">
        <v>196</v>
      </c>
      <c r="C352">
        <v>231403</v>
      </c>
      <c r="D352">
        <v>2009</v>
      </c>
      <c r="E352" t="s">
        <v>145</v>
      </c>
      <c r="F352" t="s">
        <v>307</v>
      </c>
      <c r="G352" t="s">
        <v>284</v>
      </c>
      <c r="I352">
        <v>4</v>
      </c>
      <c r="J352" t="s">
        <v>74</v>
      </c>
      <c r="K352">
        <v>4</v>
      </c>
      <c r="L352" t="s">
        <v>44</v>
      </c>
      <c r="M352">
        <v>2.4</v>
      </c>
      <c r="N352" t="s">
        <v>45</v>
      </c>
      <c r="O352" t="s">
        <v>46</v>
      </c>
      <c r="P352">
        <v>1</v>
      </c>
      <c r="Q352" t="s">
        <v>84</v>
      </c>
      <c r="R352" t="s">
        <v>85</v>
      </c>
      <c r="T352">
        <v>177</v>
      </c>
      <c r="U352" t="s">
        <v>50</v>
      </c>
      <c r="V352" t="s">
        <v>95</v>
      </c>
      <c r="W352" t="s">
        <v>741</v>
      </c>
      <c r="X352" t="s">
        <v>52</v>
      </c>
      <c r="Y352" t="s">
        <v>67</v>
      </c>
      <c r="AA352">
        <v>0</v>
      </c>
      <c r="AB352" t="s">
        <v>54</v>
      </c>
      <c r="AC352" t="s">
        <v>89</v>
      </c>
      <c r="AD352">
        <v>34</v>
      </c>
      <c r="AE352">
        <v>8</v>
      </c>
      <c r="AF352">
        <v>3</v>
      </c>
      <c r="AG352">
        <v>2025</v>
      </c>
      <c r="AH352" s="13">
        <v>800</v>
      </c>
      <c r="AI352" s="13">
        <v>564.10382080078125</v>
      </c>
      <c r="AJ352" s="13">
        <f t="shared" si="40"/>
        <v>235.89617919921875</v>
      </c>
      <c r="AK352" s="14">
        <f t="shared" si="41"/>
        <v>0.29487022399902346</v>
      </c>
      <c r="AL352" s="9">
        <v>800</v>
      </c>
      <c r="AM352" s="9">
        <v>1054.108186681246</v>
      </c>
      <c r="AN352" s="9">
        <f t="shared" si="42"/>
        <v>254.10818668124602</v>
      </c>
      <c r="AO352" s="10">
        <f t="shared" si="43"/>
        <v>0.31763523335155752</v>
      </c>
      <c r="AP352" s="16">
        <v>800</v>
      </c>
      <c r="AQ352" s="16">
        <v>720.97969570591056</v>
      </c>
      <c r="AR352" s="16">
        <f t="shared" si="44"/>
        <v>79.020304294089442</v>
      </c>
      <c r="AS352" s="17">
        <f t="shared" si="45"/>
        <v>9.8775380367611798E-2</v>
      </c>
      <c r="AT352" s="6">
        <v>800</v>
      </c>
      <c r="AU352" s="6">
        <v>821.387451171875</v>
      </c>
      <c r="AV352" s="6">
        <f t="shared" si="46"/>
        <v>21.387451171875</v>
      </c>
      <c r="AW352" s="7">
        <f t="shared" si="47"/>
        <v>2.6734313964843749E-2</v>
      </c>
    </row>
    <row r="353" spans="1:49" x14ac:dyDescent="0.25">
      <c r="A353" t="s">
        <v>69</v>
      </c>
      <c r="B353" t="s">
        <v>70</v>
      </c>
      <c r="C353">
        <v>36745</v>
      </c>
      <c r="D353">
        <v>2018</v>
      </c>
      <c r="E353" t="s">
        <v>742</v>
      </c>
      <c r="F353" t="s">
        <v>743</v>
      </c>
      <c r="G353" t="s">
        <v>744</v>
      </c>
      <c r="I353">
        <v>6</v>
      </c>
      <c r="J353" t="s">
        <v>74</v>
      </c>
      <c r="K353">
        <v>4</v>
      </c>
      <c r="L353" t="s">
        <v>44</v>
      </c>
      <c r="M353">
        <v>3.3</v>
      </c>
      <c r="N353" t="s">
        <v>44</v>
      </c>
      <c r="O353" t="s">
        <v>46</v>
      </c>
      <c r="P353">
        <v>4</v>
      </c>
      <c r="Q353" t="s">
        <v>84</v>
      </c>
      <c r="R353" t="s">
        <v>85</v>
      </c>
      <c r="T353">
        <v>365</v>
      </c>
      <c r="U353" t="s">
        <v>50</v>
      </c>
      <c r="W353" t="s">
        <v>745</v>
      </c>
      <c r="X353" t="s">
        <v>87</v>
      </c>
      <c r="Y353" t="s">
        <v>53</v>
      </c>
      <c r="AA353">
        <v>0</v>
      </c>
      <c r="AB353" t="s">
        <v>54</v>
      </c>
      <c r="AC353" t="s">
        <v>89</v>
      </c>
      <c r="AD353">
        <v>34</v>
      </c>
      <c r="AE353">
        <v>8</v>
      </c>
      <c r="AF353">
        <v>3</v>
      </c>
      <c r="AG353">
        <v>2025</v>
      </c>
      <c r="AH353" s="13">
        <v>24000</v>
      </c>
      <c r="AI353" s="13">
        <v>23213.341796875</v>
      </c>
      <c r="AJ353" s="13">
        <f t="shared" si="40"/>
        <v>786.658203125</v>
      </c>
      <c r="AK353" s="14">
        <f t="shared" si="41"/>
        <v>3.2777425130208336E-2</v>
      </c>
      <c r="AL353" s="9">
        <v>24000</v>
      </c>
      <c r="AM353" s="9">
        <v>24973.528189910769</v>
      </c>
      <c r="AN353" s="9">
        <f t="shared" si="42"/>
        <v>973.52818991076856</v>
      </c>
      <c r="AO353" s="10">
        <f t="shared" si="43"/>
        <v>4.0563674579615357E-2</v>
      </c>
      <c r="AP353" s="16">
        <v>24000</v>
      </c>
      <c r="AQ353" s="16">
        <v>20652.130384189459</v>
      </c>
      <c r="AR353" s="16">
        <f t="shared" si="44"/>
        <v>3347.8696158105413</v>
      </c>
      <c r="AS353" s="17">
        <f t="shared" si="45"/>
        <v>0.13949456732543922</v>
      </c>
      <c r="AT353" s="6">
        <v>24000</v>
      </c>
      <c r="AU353" s="6">
        <v>22266.0078125</v>
      </c>
      <c r="AV353" s="6">
        <f t="shared" si="46"/>
        <v>1733.9921875</v>
      </c>
      <c r="AW353" s="7">
        <f t="shared" si="47"/>
        <v>7.2249674479166665E-2</v>
      </c>
    </row>
    <row r="354" spans="1:49" x14ac:dyDescent="0.25">
      <c r="A354" t="s">
        <v>38</v>
      </c>
      <c r="B354" t="s">
        <v>167</v>
      </c>
      <c r="C354">
        <v>72675</v>
      </c>
      <c r="D354">
        <v>2020</v>
      </c>
      <c r="E354" t="s">
        <v>40</v>
      </c>
      <c r="F354" t="s">
        <v>119</v>
      </c>
      <c r="G354" t="s">
        <v>746</v>
      </c>
      <c r="I354">
        <v>4</v>
      </c>
      <c r="J354" t="s">
        <v>74</v>
      </c>
      <c r="K354">
        <v>4</v>
      </c>
      <c r="L354" t="s">
        <v>44</v>
      </c>
      <c r="M354">
        <v>2</v>
      </c>
      <c r="N354" t="s">
        <v>45</v>
      </c>
      <c r="O354" t="s">
        <v>46</v>
      </c>
      <c r="Q354" t="s">
        <v>47</v>
      </c>
      <c r="R354" t="s">
        <v>48</v>
      </c>
      <c r="S354" t="s">
        <v>49</v>
      </c>
      <c r="T354">
        <v>147</v>
      </c>
      <c r="U354" t="s">
        <v>50</v>
      </c>
      <c r="W354" t="s">
        <v>353</v>
      </c>
      <c r="X354" t="s">
        <v>52</v>
      </c>
      <c r="Y354" t="s">
        <v>53</v>
      </c>
      <c r="AA354">
        <v>0</v>
      </c>
      <c r="AB354" t="s">
        <v>54</v>
      </c>
      <c r="AC354" t="s">
        <v>55</v>
      </c>
      <c r="AD354">
        <v>34</v>
      </c>
      <c r="AE354">
        <v>8</v>
      </c>
      <c r="AF354">
        <v>3</v>
      </c>
      <c r="AG354">
        <v>2025</v>
      </c>
      <c r="AH354" s="13">
        <v>9800</v>
      </c>
      <c r="AI354" s="13">
        <v>7826.2861328125</v>
      </c>
      <c r="AJ354" s="13">
        <f t="shared" si="40"/>
        <v>1973.7138671875</v>
      </c>
      <c r="AK354" s="14">
        <f t="shared" si="41"/>
        <v>0.20139937420280613</v>
      </c>
      <c r="AL354" s="9">
        <v>9800</v>
      </c>
      <c r="AM354" s="9">
        <v>9102.3912191522159</v>
      </c>
      <c r="AN354" s="9">
        <f t="shared" si="42"/>
        <v>697.60878084778415</v>
      </c>
      <c r="AO354" s="10">
        <f t="shared" si="43"/>
        <v>7.1184569474263687E-2</v>
      </c>
      <c r="AP354" s="16">
        <v>9800</v>
      </c>
      <c r="AQ354" s="16">
        <v>7774.0268576589187</v>
      </c>
      <c r="AR354" s="16">
        <f t="shared" si="44"/>
        <v>2025.9731423410813</v>
      </c>
      <c r="AS354" s="17">
        <f t="shared" si="45"/>
        <v>0.20673195330011032</v>
      </c>
      <c r="AT354" s="6">
        <v>9800</v>
      </c>
      <c r="AU354" s="6">
        <v>8673.548828125</v>
      </c>
      <c r="AV354" s="6">
        <f t="shared" si="46"/>
        <v>1126.451171875</v>
      </c>
      <c r="AW354" s="7">
        <f t="shared" si="47"/>
        <v>0.11494399713010205</v>
      </c>
    </row>
    <row r="355" spans="1:49" x14ac:dyDescent="0.25">
      <c r="A355" t="s">
        <v>38</v>
      </c>
      <c r="B355" t="s">
        <v>167</v>
      </c>
      <c r="C355">
        <v>111129</v>
      </c>
      <c r="D355">
        <v>2013</v>
      </c>
      <c r="E355" t="s">
        <v>145</v>
      </c>
      <c r="F355" t="s">
        <v>349</v>
      </c>
      <c r="G355" t="s">
        <v>284</v>
      </c>
      <c r="I355">
        <v>4</v>
      </c>
      <c r="J355" t="s">
        <v>82</v>
      </c>
      <c r="K355">
        <v>4</v>
      </c>
      <c r="L355" t="s">
        <v>44</v>
      </c>
      <c r="M355">
        <v>1.8</v>
      </c>
      <c r="N355" t="s">
        <v>45</v>
      </c>
      <c r="O355" t="s">
        <v>46</v>
      </c>
      <c r="P355">
        <v>3</v>
      </c>
      <c r="Q355" t="s">
        <v>84</v>
      </c>
      <c r="R355" t="s">
        <v>85</v>
      </c>
      <c r="T355">
        <v>140</v>
      </c>
      <c r="U355" t="s">
        <v>50</v>
      </c>
      <c r="V355" t="s">
        <v>95</v>
      </c>
      <c r="W355" t="s">
        <v>350</v>
      </c>
      <c r="X355" t="s">
        <v>122</v>
      </c>
      <c r="Y355" t="s">
        <v>67</v>
      </c>
      <c r="AA355">
        <v>0</v>
      </c>
      <c r="AB355" t="s">
        <v>54</v>
      </c>
      <c r="AC355" t="s">
        <v>89</v>
      </c>
      <c r="AD355">
        <v>34</v>
      </c>
      <c r="AE355">
        <v>8</v>
      </c>
      <c r="AF355">
        <v>3</v>
      </c>
      <c r="AG355">
        <v>2025</v>
      </c>
      <c r="AH355" s="13">
        <v>6300</v>
      </c>
      <c r="AI355" s="13">
        <v>5595.609375</v>
      </c>
      <c r="AJ355" s="13">
        <f t="shared" si="40"/>
        <v>704.390625</v>
      </c>
      <c r="AK355" s="14">
        <f t="shared" si="41"/>
        <v>0.11180803571428571</v>
      </c>
      <c r="AL355" s="9">
        <v>6300</v>
      </c>
      <c r="AM355" s="9">
        <v>6820.569813201575</v>
      </c>
      <c r="AN355" s="9">
        <f t="shared" si="42"/>
        <v>520.56981320157502</v>
      </c>
      <c r="AO355" s="10">
        <f t="shared" si="43"/>
        <v>8.2630129079615075E-2</v>
      </c>
      <c r="AP355" s="16">
        <v>6300</v>
      </c>
      <c r="AQ355" s="16">
        <v>5005.4956230724511</v>
      </c>
      <c r="AR355" s="16">
        <f t="shared" si="44"/>
        <v>1294.5043769275489</v>
      </c>
      <c r="AS355" s="17">
        <f t="shared" si="45"/>
        <v>0.20547688522659507</v>
      </c>
      <c r="AT355" s="6">
        <v>6300</v>
      </c>
      <c r="AU355" s="6">
        <v>5738.1943359375</v>
      </c>
      <c r="AV355" s="6">
        <f t="shared" si="46"/>
        <v>561.8056640625</v>
      </c>
      <c r="AW355" s="7">
        <f t="shared" si="47"/>
        <v>8.917550223214285E-2</v>
      </c>
    </row>
    <row r="356" spans="1:49" x14ac:dyDescent="0.25">
      <c r="A356" t="s">
        <v>38</v>
      </c>
      <c r="B356" t="s">
        <v>229</v>
      </c>
      <c r="C356">
        <v>131521</v>
      </c>
      <c r="D356">
        <v>2014</v>
      </c>
      <c r="E356" t="s">
        <v>79</v>
      </c>
      <c r="F356" t="s">
        <v>263</v>
      </c>
      <c r="G356" t="s">
        <v>747</v>
      </c>
      <c r="I356">
        <v>4</v>
      </c>
      <c r="J356" t="s">
        <v>257</v>
      </c>
      <c r="K356">
        <v>4</v>
      </c>
      <c r="L356" t="s">
        <v>44</v>
      </c>
      <c r="M356">
        <v>1.8</v>
      </c>
      <c r="N356" t="s">
        <v>45</v>
      </c>
      <c r="O356" t="s">
        <v>46</v>
      </c>
      <c r="Q356" t="s">
        <v>84</v>
      </c>
      <c r="R356" t="s">
        <v>85</v>
      </c>
      <c r="U356" t="s">
        <v>50</v>
      </c>
      <c r="W356" t="s">
        <v>732</v>
      </c>
      <c r="X356" t="s">
        <v>87</v>
      </c>
      <c r="Y356" t="s">
        <v>67</v>
      </c>
      <c r="AA356">
        <v>0</v>
      </c>
      <c r="AB356" t="s">
        <v>54</v>
      </c>
      <c r="AC356" t="s">
        <v>89</v>
      </c>
      <c r="AD356">
        <v>34</v>
      </c>
      <c r="AE356">
        <v>8</v>
      </c>
      <c r="AF356">
        <v>3</v>
      </c>
      <c r="AG356">
        <v>2025</v>
      </c>
      <c r="AH356" s="13">
        <v>3200</v>
      </c>
      <c r="AI356" s="13">
        <v>2397.5244140625</v>
      </c>
      <c r="AJ356" s="13">
        <f t="shared" si="40"/>
        <v>802.4755859375</v>
      </c>
      <c r="AK356" s="14">
        <f t="shared" si="41"/>
        <v>0.25077362060546876</v>
      </c>
      <c r="AL356" s="9">
        <v>3200</v>
      </c>
      <c r="AM356" s="9">
        <v>2065.7695542985261</v>
      </c>
      <c r="AN356" s="9">
        <f t="shared" si="42"/>
        <v>1134.2304457014739</v>
      </c>
      <c r="AO356" s="10">
        <f t="shared" si="43"/>
        <v>0.3544470142817106</v>
      </c>
      <c r="AP356" s="16">
        <v>3200</v>
      </c>
      <c r="AQ356" s="16">
        <v>1702.5384643830289</v>
      </c>
      <c r="AR356" s="16">
        <f t="shared" si="44"/>
        <v>1497.4615356169711</v>
      </c>
      <c r="AS356" s="17">
        <f t="shared" si="45"/>
        <v>0.46795672988030346</v>
      </c>
      <c r="AT356" s="6">
        <v>3200</v>
      </c>
      <c r="AU356" s="6">
        <v>2123.0458984375</v>
      </c>
      <c r="AV356" s="6">
        <f t="shared" si="46"/>
        <v>1076.9541015625</v>
      </c>
      <c r="AW356" s="7">
        <f t="shared" si="47"/>
        <v>0.33654815673828126</v>
      </c>
    </row>
    <row r="357" spans="1:49" x14ac:dyDescent="0.25">
      <c r="A357" t="s">
        <v>56</v>
      </c>
      <c r="B357" t="s">
        <v>178</v>
      </c>
      <c r="C357">
        <v>135863</v>
      </c>
      <c r="D357">
        <v>2013</v>
      </c>
      <c r="E357" t="s">
        <v>71</v>
      </c>
      <c r="F357" t="s">
        <v>199</v>
      </c>
      <c r="I357">
        <v>4</v>
      </c>
      <c r="J357" t="s">
        <v>74</v>
      </c>
      <c r="K357">
        <v>4</v>
      </c>
      <c r="L357" t="s">
        <v>44</v>
      </c>
      <c r="M357">
        <v>2.5</v>
      </c>
      <c r="N357" t="s">
        <v>44</v>
      </c>
      <c r="O357" t="s">
        <v>46</v>
      </c>
      <c r="P357">
        <v>4</v>
      </c>
      <c r="Q357" t="s">
        <v>47</v>
      </c>
      <c r="R357" t="s">
        <v>207</v>
      </c>
      <c r="S357" t="s">
        <v>63</v>
      </c>
      <c r="U357" t="s">
        <v>50</v>
      </c>
      <c r="X357" t="s">
        <v>52</v>
      </c>
      <c r="Y357" t="s">
        <v>97</v>
      </c>
      <c r="AA357">
        <v>0</v>
      </c>
      <c r="AB357" t="s">
        <v>54</v>
      </c>
      <c r="AC357" t="s">
        <v>55</v>
      </c>
      <c r="AD357">
        <v>34</v>
      </c>
      <c r="AE357">
        <v>8</v>
      </c>
      <c r="AF357">
        <v>3</v>
      </c>
      <c r="AG357">
        <v>2025</v>
      </c>
      <c r="AH357" s="13">
        <v>2200</v>
      </c>
      <c r="AI357" s="13">
        <v>2257.371337890625</v>
      </c>
      <c r="AJ357" s="13">
        <f t="shared" si="40"/>
        <v>57.371337890625</v>
      </c>
      <c r="AK357" s="14">
        <f t="shared" si="41"/>
        <v>2.6077880859374999E-2</v>
      </c>
      <c r="AL357" s="9">
        <v>2200</v>
      </c>
      <c r="AM357" s="9">
        <v>2662.061656343139</v>
      </c>
      <c r="AN357" s="9">
        <f t="shared" si="42"/>
        <v>462.06165634313902</v>
      </c>
      <c r="AO357" s="10">
        <f t="shared" si="43"/>
        <v>0.21002802561051773</v>
      </c>
      <c r="AP357" s="16">
        <v>2200</v>
      </c>
      <c r="AQ357" s="16">
        <v>1996.2252015413419</v>
      </c>
      <c r="AR357" s="16">
        <f t="shared" si="44"/>
        <v>203.7747984586581</v>
      </c>
      <c r="AS357" s="17">
        <f t="shared" si="45"/>
        <v>9.2624908390299132E-2</v>
      </c>
      <c r="AT357" s="6">
        <v>2200</v>
      </c>
      <c r="AU357" s="6">
        <v>2184.72119140625</v>
      </c>
      <c r="AV357" s="6">
        <f t="shared" si="46"/>
        <v>15.27880859375</v>
      </c>
      <c r="AW357" s="7">
        <f t="shared" si="47"/>
        <v>6.9449129971590907E-3</v>
      </c>
    </row>
    <row r="358" spans="1:49" x14ac:dyDescent="0.25">
      <c r="A358" t="s">
        <v>38</v>
      </c>
      <c r="B358" t="s">
        <v>39</v>
      </c>
      <c r="C358">
        <v>4579</v>
      </c>
      <c r="D358">
        <v>2024</v>
      </c>
      <c r="E358" t="s">
        <v>79</v>
      </c>
      <c r="F358" t="s">
        <v>411</v>
      </c>
      <c r="G358" t="s">
        <v>748</v>
      </c>
      <c r="I358">
        <v>4</v>
      </c>
      <c r="J358" t="s">
        <v>74</v>
      </c>
      <c r="K358">
        <v>4</v>
      </c>
      <c r="L358" t="s">
        <v>44</v>
      </c>
      <c r="M358">
        <v>2.7</v>
      </c>
      <c r="N358" t="s">
        <v>62</v>
      </c>
      <c r="O358" t="s">
        <v>46</v>
      </c>
      <c r="P358">
        <v>4</v>
      </c>
      <c r="Q358" t="s">
        <v>75</v>
      </c>
      <c r="R358" t="s">
        <v>76</v>
      </c>
      <c r="S358" t="s">
        <v>63</v>
      </c>
      <c r="U358" t="s">
        <v>50</v>
      </c>
      <c r="V358" t="s">
        <v>95</v>
      </c>
      <c r="W358" t="s">
        <v>749</v>
      </c>
      <c r="X358" t="s">
        <v>66</v>
      </c>
      <c r="Y358" t="s">
        <v>67</v>
      </c>
      <c r="AA358">
        <v>0</v>
      </c>
      <c r="AB358" t="s">
        <v>54</v>
      </c>
      <c r="AC358" t="s">
        <v>78</v>
      </c>
      <c r="AD358">
        <v>34</v>
      </c>
      <c r="AE358">
        <v>8</v>
      </c>
      <c r="AF358">
        <v>3</v>
      </c>
      <c r="AG358">
        <v>2025</v>
      </c>
      <c r="AH358" s="13">
        <v>39000</v>
      </c>
      <c r="AI358" s="13">
        <v>49592.54296875</v>
      </c>
      <c r="AJ358" s="13">
        <f t="shared" si="40"/>
        <v>10592.54296875</v>
      </c>
      <c r="AK358" s="14">
        <f t="shared" si="41"/>
        <v>0.27160366586538459</v>
      </c>
      <c r="AL358" s="9">
        <v>39000</v>
      </c>
      <c r="AM358" s="9">
        <v>46189.800787870117</v>
      </c>
      <c r="AN358" s="9">
        <f t="shared" si="42"/>
        <v>7189.8007878701173</v>
      </c>
      <c r="AO358" s="10">
        <f t="shared" si="43"/>
        <v>0.18435386635564405</v>
      </c>
      <c r="AP358" s="16">
        <v>39000</v>
      </c>
      <c r="AQ358" s="16">
        <v>39628.843082810607</v>
      </c>
      <c r="AR358" s="16">
        <f t="shared" si="44"/>
        <v>628.84308281060657</v>
      </c>
      <c r="AS358" s="17">
        <f t="shared" si="45"/>
        <v>1.6124181610528372E-2</v>
      </c>
      <c r="AT358" s="6">
        <v>39000</v>
      </c>
      <c r="AU358" s="6">
        <v>46685.49609375</v>
      </c>
      <c r="AV358" s="6">
        <f t="shared" si="46"/>
        <v>7685.49609375</v>
      </c>
      <c r="AW358" s="7">
        <f t="shared" si="47"/>
        <v>0.19706400240384617</v>
      </c>
    </row>
    <row r="359" spans="1:49" x14ac:dyDescent="0.25">
      <c r="A359" t="s">
        <v>38</v>
      </c>
      <c r="B359" t="s">
        <v>39</v>
      </c>
      <c r="C359">
        <v>107856</v>
      </c>
      <c r="D359">
        <v>2017</v>
      </c>
      <c r="E359" t="s">
        <v>71</v>
      </c>
      <c r="F359" t="s">
        <v>750</v>
      </c>
      <c r="I359">
        <v>4</v>
      </c>
      <c r="J359" t="s">
        <v>94</v>
      </c>
      <c r="K359">
        <v>4</v>
      </c>
      <c r="L359" t="s">
        <v>44</v>
      </c>
      <c r="M359">
        <v>2</v>
      </c>
      <c r="N359" t="s">
        <v>45</v>
      </c>
      <c r="O359" t="s">
        <v>46</v>
      </c>
      <c r="P359">
        <v>3</v>
      </c>
      <c r="Q359" t="s">
        <v>84</v>
      </c>
      <c r="R359" t="s">
        <v>157</v>
      </c>
      <c r="S359" t="s">
        <v>49</v>
      </c>
      <c r="U359" t="s">
        <v>50</v>
      </c>
      <c r="X359" t="s">
        <v>87</v>
      </c>
      <c r="Y359" t="s">
        <v>97</v>
      </c>
      <c r="AA359">
        <v>0</v>
      </c>
      <c r="AB359" t="s">
        <v>54</v>
      </c>
      <c r="AC359" t="s">
        <v>159</v>
      </c>
      <c r="AD359">
        <v>34</v>
      </c>
      <c r="AE359">
        <v>8</v>
      </c>
      <c r="AF359">
        <v>3</v>
      </c>
      <c r="AG359">
        <v>2025</v>
      </c>
      <c r="AH359" s="13">
        <v>7500</v>
      </c>
      <c r="AI359" s="13">
        <v>4375.99267578125</v>
      </c>
      <c r="AJ359" s="13">
        <f t="shared" si="40"/>
        <v>3124.00732421875</v>
      </c>
      <c r="AK359" s="14">
        <f t="shared" si="41"/>
        <v>0.41653430989583334</v>
      </c>
      <c r="AL359" s="9">
        <v>7500</v>
      </c>
      <c r="AM359" s="9">
        <v>4556.0482818541705</v>
      </c>
      <c r="AN359" s="9">
        <f t="shared" si="42"/>
        <v>2943.9517181458295</v>
      </c>
      <c r="AO359" s="10">
        <f t="shared" si="43"/>
        <v>0.39252689575277727</v>
      </c>
      <c r="AP359" s="16">
        <v>7500</v>
      </c>
      <c r="AQ359" s="16">
        <v>4264.318067909644</v>
      </c>
      <c r="AR359" s="16">
        <f t="shared" si="44"/>
        <v>3235.681932090356</v>
      </c>
      <c r="AS359" s="17">
        <f t="shared" si="45"/>
        <v>0.43142425761204745</v>
      </c>
      <c r="AT359" s="6">
        <v>7500</v>
      </c>
      <c r="AU359" s="6">
        <v>3524.851318359375</v>
      </c>
      <c r="AV359" s="6">
        <f t="shared" si="46"/>
        <v>3975.148681640625</v>
      </c>
      <c r="AW359" s="7">
        <f t="shared" si="47"/>
        <v>0.53001982421875005</v>
      </c>
    </row>
    <row r="360" spans="1:49" x14ac:dyDescent="0.25">
      <c r="A360" t="s">
        <v>56</v>
      </c>
      <c r="B360" t="s">
        <v>57</v>
      </c>
      <c r="C360">
        <v>57387</v>
      </c>
      <c r="D360">
        <v>2023</v>
      </c>
      <c r="E360" t="s">
        <v>79</v>
      </c>
      <c r="F360" t="s">
        <v>164</v>
      </c>
      <c r="G360" t="s">
        <v>133</v>
      </c>
      <c r="I360">
        <v>4</v>
      </c>
      <c r="J360" t="s">
        <v>61</v>
      </c>
      <c r="K360">
        <v>4</v>
      </c>
      <c r="L360" t="s">
        <v>44</v>
      </c>
      <c r="M360">
        <v>1.5</v>
      </c>
      <c r="N360" t="s">
        <v>44</v>
      </c>
      <c r="O360" t="s">
        <v>46</v>
      </c>
      <c r="P360">
        <v>4</v>
      </c>
      <c r="Q360" t="s">
        <v>47</v>
      </c>
      <c r="R360" t="s">
        <v>48</v>
      </c>
      <c r="S360" t="s">
        <v>139</v>
      </c>
      <c r="U360" t="s">
        <v>50</v>
      </c>
      <c r="V360" t="s">
        <v>95</v>
      </c>
      <c r="W360" t="s">
        <v>561</v>
      </c>
      <c r="X360" t="s">
        <v>52</v>
      </c>
      <c r="Y360" t="s">
        <v>106</v>
      </c>
      <c r="AA360">
        <v>0</v>
      </c>
      <c r="AB360" t="s">
        <v>54</v>
      </c>
      <c r="AC360" t="s">
        <v>55</v>
      </c>
      <c r="AD360">
        <v>34</v>
      </c>
      <c r="AE360">
        <v>8</v>
      </c>
      <c r="AF360">
        <v>3</v>
      </c>
      <c r="AG360">
        <v>2025</v>
      </c>
      <c r="AH360" s="13">
        <v>17000</v>
      </c>
      <c r="AI360" s="13">
        <v>23015.09765625</v>
      </c>
      <c r="AJ360" s="13">
        <f t="shared" si="40"/>
        <v>6015.09765625</v>
      </c>
      <c r="AK360" s="14">
        <f t="shared" si="41"/>
        <v>0.35382927389705882</v>
      </c>
      <c r="AL360" s="9">
        <v>17000</v>
      </c>
      <c r="AM360" s="9">
        <v>20568.210398412699</v>
      </c>
      <c r="AN360" s="9">
        <f t="shared" si="42"/>
        <v>3568.2103984126989</v>
      </c>
      <c r="AO360" s="10">
        <f t="shared" si="43"/>
        <v>0.20989472931839406</v>
      </c>
      <c r="AP360" s="16">
        <v>17000</v>
      </c>
      <c r="AQ360" s="16">
        <v>18137.32315963315</v>
      </c>
      <c r="AR360" s="16">
        <f t="shared" si="44"/>
        <v>1137.3231596331498</v>
      </c>
      <c r="AS360" s="17">
        <f t="shared" si="45"/>
        <v>6.6901362331361749E-2</v>
      </c>
      <c r="AT360" s="6">
        <v>17000</v>
      </c>
      <c r="AU360" s="6">
        <v>19477.984375</v>
      </c>
      <c r="AV360" s="6">
        <f t="shared" si="46"/>
        <v>2477.984375</v>
      </c>
      <c r="AW360" s="7">
        <f t="shared" si="47"/>
        <v>0.14576378676470589</v>
      </c>
    </row>
    <row r="361" spans="1:49" x14ac:dyDescent="0.25">
      <c r="A361" t="s">
        <v>107</v>
      </c>
      <c r="B361" t="s">
        <v>256</v>
      </c>
      <c r="C361">
        <v>61313</v>
      </c>
      <c r="D361">
        <v>2020</v>
      </c>
      <c r="E361" t="s">
        <v>71</v>
      </c>
      <c r="F361" t="s">
        <v>129</v>
      </c>
      <c r="G361" t="s">
        <v>239</v>
      </c>
      <c r="I361">
        <v>4</v>
      </c>
      <c r="J361" t="s">
        <v>61</v>
      </c>
      <c r="K361">
        <v>4</v>
      </c>
      <c r="L361" t="s">
        <v>44</v>
      </c>
      <c r="M361">
        <v>2.5</v>
      </c>
      <c r="N361" t="s">
        <v>45</v>
      </c>
      <c r="O361" t="s">
        <v>42</v>
      </c>
      <c r="Q361" t="s">
        <v>84</v>
      </c>
      <c r="R361" t="s">
        <v>85</v>
      </c>
      <c r="S361" t="s">
        <v>49</v>
      </c>
      <c r="U361" t="s">
        <v>50</v>
      </c>
      <c r="X361" t="s">
        <v>87</v>
      </c>
      <c r="Y361" t="s">
        <v>67</v>
      </c>
      <c r="Z361">
        <v>25700</v>
      </c>
      <c r="AA361">
        <v>0</v>
      </c>
      <c r="AB361" t="s">
        <v>54</v>
      </c>
      <c r="AC361" t="s">
        <v>89</v>
      </c>
      <c r="AD361">
        <v>34</v>
      </c>
      <c r="AE361">
        <v>8</v>
      </c>
      <c r="AF361">
        <v>3</v>
      </c>
      <c r="AG361">
        <v>2025</v>
      </c>
      <c r="AH361" s="13">
        <v>1000</v>
      </c>
      <c r="AI361" s="13">
        <v>3851.021484375</v>
      </c>
      <c r="AJ361" s="13">
        <f t="shared" si="40"/>
        <v>2851.021484375</v>
      </c>
      <c r="AK361" s="14">
        <f t="shared" si="41"/>
        <v>2.8510214843749999</v>
      </c>
      <c r="AL361" s="9">
        <v>1000</v>
      </c>
      <c r="AM361" s="9">
        <v>3474.858210662404</v>
      </c>
      <c r="AN361" s="9">
        <f t="shared" si="42"/>
        <v>2474.858210662404</v>
      </c>
      <c r="AO361" s="10">
        <f t="shared" si="43"/>
        <v>2.4748582106624037</v>
      </c>
      <c r="AP361" s="16">
        <v>1000</v>
      </c>
      <c r="AQ361" s="16">
        <v>2651.8229441125532</v>
      </c>
      <c r="AR361" s="16">
        <f t="shared" si="44"/>
        <v>1651.8229441125532</v>
      </c>
      <c r="AS361" s="17">
        <f t="shared" si="45"/>
        <v>1.6518229441125531</v>
      </c>
      <c r="AT361" s="6">
        <v>1000</v>
      </c>
      <c r="AU361" s="6">
        <v>4198.43310546875</v>
      </c>
      <c r="AV361" s="6">
        <f t="shared" si="46"/>
        <v>3198.43310546875</v>
      </c>
      <c r="AW361" s="7">
        <f t="shared" si="47"/>
        <v>3.1984331054687498</v>
      </c>
    </row>
    <row r="362" spans="1:49" x14ac:dyDescent="0.25">
      <c r="A362" t="s">
        <v>38</v>
      </c>
      <c r="B362" t="s">
        <v>132</v>
      </c>
      <c r="C362">
        <v>120634</v>
      </c>
      <c r="D362">
        <v>2019</v>
      </c>
      <c r="E362" t="s">
        <v>173</v>
      </c>
      <c r="F362" t="s">
        <v>631</v>
      </c>
      <c r="G362" t="s">
        <v>175</v>
      </c>
      <c r="I362">
        <v>4</v>
      </c>
      <c r="J362" t="s">
        <v>94</v>
      </c>
      <c r="K362">
        <v>4</v>
      </c>
      <c r="L362" t="s">
        <v>44</v>
      </c>
      <c r="M362">
        <v>2.4</v>
      </c>
      <c r="N362" t="s">
        <v>62</v>
      </c>
      <c r="O362" t="s">
        <v>46</v>
      </c>
      <c r="P362">
        <v>3</v>
      </c>
      <c r="Q362" t="s">
        <v>47</v>
      </c>
      <c r="R362" t="s">
        <v>48</v>
      </c>
      <c r="S362" t="s">
        <v>63</v>
      </c>
      <c r="T362">
        <v>180</v>
      </c>
      <c r="U362" t="s">
        <v>50</v>
      </c>
      <c r="V362" t="s">
        <v>95</v>
      </c>
      <c r="X362" t="s">
        <v>52</v>
      </c>
      <c r="Y362" t="s">
        <v>106</v>
      </c>
      <c r="AA362">
        <v>0</v>
      </c>
      <c r="AB362" t="s">
        <v>54</v>
      </c>
      <c r="AC362" t="s">
        <v>55</v>
      </c>
      <c r="AD362">
        <v>34</v>
      </c>
      <c r="AE362">
        <v>8</v>
      </c>
      <c r="AF362">
        <v>3</v>
      </c>
      <c r="AG362">
        <v>2025</v>
      </c>
      <c r="AH362" s="13">
        <v>6000</v>
      </c>
      <c r="AI362" s="13">
        <v>9066.021484375</v>
      </c>
      <c r="AJ362" s="13">
        <f t="shared" si="40"/>
        <v>3066.021484375</v>
      </c>
      <c r="AK362" s="14">
        <f t="shared" si="41"/>
        <v>0.51100358072916663</v>
      </c>
      <c r="AL362" s="9">
        <v>6000</v>
      </c>
      <c r="AM362" s="9">
        <v>8180.3956664828984</v>
      </c>
      <c r="AN362" s="9">
        <f t="shared" si="42"/>
        <v>2180.3956664828984</v>
      </c>
      <c r="AO362" s="10">
        <f t="shared" si="43"/>
        <v>0.36339927774714975</v>
      </c>
      <c r="AP362" s="16">
        <v>6000</v>
      </c>
      <c r="AQ362" s="16">
        <v>7828.7702626164091</v>
      </c>
      <c r="AR362" s="16">
        <f t="shared" si="44"/>
        <v>1828.7702626164091</v>
      </c>
      <c r="AS362" s="17">
        <f t="shared" si="45"/>
        <v>0.30479504376940153</v>
      </c>
      <c r="AT362" s="6">
        <v>6000</v>
      </c>
      <c r="AU362" s="6">
        <v>7339.478515625</v>
      </c>
      <c r="AV362" s="6">
        <f t="shared" si="46"/>
        <v>1339.478515625</v>
      </c>
      <c r="AW362" s="7">
        <f t="shared" si="47"/>
        <v>0.22324641927083333</v>
      </c>
    </row>
    <row r="363" spans="1:49" x14ac:dyDescent="0.25">
      <c r="A363" t="s">
        <v>38</v>
      </c>
      <c r="B363" t="s">
        <v>132</v>
      </c>
      <c r="C363">
        <v>54727</v>
      </c>
      <c r="D363">
        <v>2023</v>
      </c>
      <c r="E363" t="s">
        <v>217</v>
      </c>
      <c r="F363" t="s">
        <v>162</v>
      </c>
      <c r="G363" t="s">
        <v>73</v>
      </c>
      <c r="H363" t="s">
        <v>218</v>
      </c>
      <c r="I363">
        <v>6</v>
      </c>
      <c r="J363" t="s">
        <v>74</v>
      </c>
      <c r="K363">
        <v>4</v>
      </c>
      <c r="L363" t="s">
        <v>44</v>
      </c>
      <c r="M363">
        <v>3.6</v>
      </c>
      <c r="N363" t="s">
        <v>62</v>
      </c>
      <c r="O363" t="s">
        <v>46</v>
      </c>
      <c r="P363">
        <v>3</v>
      </c>
      <c r="Q363" t="s">
        <v>75</v>
      </c>
      <c r="R363" t="s">
        <v>76</v>
      </c>
      <c r="S363" t="s">
        <v>63</v>
      </c>
      <c r="T363">
        <v>305</v>
      </c>
      <c r="U363" t="s">
        <v>50</v>
      </c>
      <c r="V363" t="s">
        <v>64</v>
      </c>
      <c r="X363" t="s">
        <v>66</v>
      </c>
      <c r="Y363" t="s">
        <v>67</v>
      </c>
      <c r="AA363">
        <v>0</v>
      </c>
      <c r="AB363" t="s">
        <v>54</v>
      </c>
      <c r="AC363" t="s">
        <v>78</v>
      </c>
      <c r="AD363">
        <v>34</v>
      </c>
      <c r="AE363">
        <v>8</v>
      </c>
      <c r="AF363">
        <v>3</v>
      </c>
      <c r="AG363">
        <v>2025</v>
      </c>
      <c r="AH363" s="13">
        <v>26400</v>
      </c>
      <c r="AI363" s="13">
        <v>26031.521484375</v>
      </c>
      <c r="AJ363" s="13">
        <f t="shared" si="40"/>
        <v>368.478515625</v>
      </c>
      <c r="AK363" s="14">
        <f t="shared" si="41"/>
        <v>1.395751953125E-2</v>
      </c>
      <c r="AL363" s="9">
        <v>26400</v>
      </c>
      <c r="AM363" s="9">
        <v>24112.911292973269</v>
      </c>
      <c r="AN363" s="9">
        <f t="shared" si="42"/>
        <v>2287.0887070267308</v>
      </c>
      <c r="AO363" s="10">
        <f t="shared" si="43"/>
        <v>8.663214799343677E-2</v>
      </c>
      <c r="AP363" s="16">
        <v>26400</v>
      </c>
      <c r="AQ363" s="16">
        <v>24638.506032624849</v>
      </c>
      <c r="AR363" s="16">
        <f t="shared" si="44"/>
        <v>1761.4939673751505</v>
      </c>
      <c r="AS363" s="17">
        <f t="shared" si="45"/>
        <v>6.6723256339967826E-2</v>
      </c>
      <c r="AT363" s="6">
        <v>26400</v>
      </c>
      <c r="AU363" s="6">
        <v>22744.21875</v>
      </c>
      <c r="AV363" s="6">
        <f t="shared" si="46"/>
        <v>3655.78125</v>
      </c>
      <c r="AW363" s="7">
        <f t="shared" si="47"/>
        <v>0.13847656250000001</v>
      </c>
    </row>
    <row r="364" spans="1:49" x14ac:dyDescent="0.25">
      <c r="A364" t="s">
        <v>56</v>
      </c>
      <c r="B364" t="s">
        <v>57</v>
      </c>
      <c r="C364">
        <v>168959</v>
      </c>
      <c r="D364">
        <v>2012</v>
      </c>
      <c r="E364" t="s">
        <v>58</v>
      </c>
      <c r="F364" t="s">
        <v>168</v>
      </c>
      <c r="I364">
        <v>8</v>
      </c>
      <c r="J364" t="s">
        <v>43</v>
      </c>
      <c r="K364">
        <v>4</v>
      </c>
      <c r="L364" t="s">
        <v>44</v>
      </c>
      <c r="M364">
        <v>6.2</v>
      </c>
      <c r="N364" t="s">
        <v>116</v>
      </c>
      <c r="O364" t="s">
        <v>46</v>
      </c>
      <c r="P364">
        <v>4</v>
      </c>
      <c r="Q364" t="s">
        <v>75</v>
      </c>
      <c r="R364" t="s">
        <v>76</v>
      </c>
      <c r="S364" t="s">
        <v>49</v>
      </c>
      <c r="T364">
        <v>411</v>
      </c>
      <c r="U364" t="s">
        <v>50</v>
      </c>
      <c r="V364" t="s">
        <v>64</v>
      </c>
      <c r="X364" t="s">
        <v>77</v>
      </c>
      <c r="Y364" t="s">
        <v>67</v>
      </c>
      <c r="AA364">
        <v>0</v>
      </c>
      <c r="AB364" t="s">
        <v>54</v>
      </c>
      <c r="AC364" t="s">
        <v>78</v>
      </c>
      <c r="AD364">
        <v>34</v>
      </c>
      <c r="AE364">
        <v>8</v>
      </c>
      <c r="AF364">
        <v>3</v>
      </c>
      <c r="AG364">
        <v>2025</v>
      </c>
      <c r="AH364" s="13">
        <v>13600</v>
      </c>
      <c r="AI364" s="13">
        <v>6297.8671875</v>
      </c>
      <c r="AJ364" s="13">
        <f t="shared" si="40"/>
        <v>7302.1328125</v>
      </c>
      <c r="AK364" s="14">
        <f t="shared" si="41"/>
        <v>0.5369215303308823</v>
      </c>
      <c r="AL364" s="9">
        <v>13600</v>
      </c>
      <c r="AM364" s="9">
        <v>7696.8951895743503</v>
      </c>
      <c r="AN364" s="9">
        <f t="shared" si="42"/>
        <v>5903.1048104256497</v>
      </c>
      <c r="AO364" s="10">
        <f t="shared" si="43"/>
        <v>0.43405182429600364</v>
      </c>
      <c r="AP364" s="16">
        <v>13600</v>
      </c>
      <c r="AQ364" s="16">
        <v>6753.4297666736311</v>
      </c>
      <c r="AR364" s="16">
        <f t="shared" si="44"/>
        <v>6846.5702333263689</v>
      </c>
      <c r="AS364" s="17">
        <f t="shared" si="45"/>
        <v>0.50342428186223298</v>
      </c>
      <c r="AT364" s="6">
        <v>13600</v>
      </c>
      <c r="AU364" s="6">
        <v>7547.87939453125</v>
      </c>
      <c r="AV364" s="6">
        <f t="shared" si="46"/>
        <v>6052.12060546875</v>
      </c>
      <c r="AW364" s="7">
        <f t="shared" si="47"/>
        <v>0.44500886804917278</v>
      </c>
    </row>
    <row r="365" spans="1:49" x14ac:dyDescent="0.25">
      <c r="A365" t="s">
        <v>38</v>
      </c>
      <c r="B365" t="s">
        <v>132</v>
      </c>
      <c r="C365">
        <v>147634</v>
      </c>
      <c r="D365">
        <v>2019</v>
      </c>
      <c r="E365" t="s">
        <v>79</v>
      </c>
      <c r="F365" t="s">
        <v>751</v>
      </c>
      <c r="G365" t="s">
        <v>752</v>
      </c>
      <c r="I365">
        <v>4</v>
      </c>
      <c r="J365" t="s">
        <v>82</v>
      </c>
      <c r="K365">
        <v>4</v>
      </c>
      <c r="L365" t="s">
        <v>44</v>
      </c>
      <c r="M365">
        <v>1.4</v>
      </c>
      <c r="N365" t="s">
        <v>45</v>
      </c>
      <c r="O365" t="s">
        <v>46</v>
      </c>
      <c r="P365">
        <v>3</v>
      </c>
      <c r="Q365" t="s">
        <v>84</v>
      </c>
      <c r="R365" t="s">
        <v>157</v>
      </c>
      <c r="U365" t="s">
        <v>50</v>
      </c>
      <c r="V365" t="s">
        <v>95</v>
      </c>
      <c r="W365" t="s">
        <v>753</v>
      </c>
      <c r="X365" t="s">
        <v>87</v>
      </c>
      <c r="Y365" t="s">
        <v>53</v>
      </c>
      <c r="Z365">
        <v>15996</v>
      </c>
      <c r="AA365">
        <v>0</v>
      </c>
      <c r="AB365" t="s">
        <v>54</v>
      </c>
      <c r="AC365" t="s">
        <v>159</v>
      </c>
      <c r="AD365">
        <v>34</v>
      </c>
      <c r="AE365">
        <v>8</v>
      </c>
      <c r="AF365">
        <v>3</v>
      </c>
      <c r="AG365">
        <v>2025</v>
      </c>
      <c r="AH365" s="13">
        <v>1000</v>
      </c>
      <c r="AI365" s="13">
        <v>3233.312255859375</v>
      </c>
      <c r="AJ365" s="13">
        <f t="shared" si="40"/>
        <v>2233.312255859375</v>
      </c>
      <c r="AK365" s="14">
        <f t="shared" si="41"/>
        <v>2.2333122558593752</v>
      </c>
      <c r="AL365" s="9">
        <v>1000</v>
      </c>
      <c r="AM365" s="9">
        <v>2545.2390286759528</v>
      </c>
      <c r="AN365" s="9">
        <f t="shared" si="42"/>
        <v>1545.2390286759528</v>
      </c>
      <c r="AO365" s="10">
        <f t="shared" si="43"/>
        <v>1.5452390286759528</v>
      </c>
      <c r="AP365" s="16">
        <v>1000</v>
      </c>
      <c r="AQ365" s="16">
        <v>2414.191337302299</v>
      </c>
      <c r="AR365" s="16">
        <f t="shared" si="44"/>
        <v>1414.191337302299</v>
      </c>
      <c r="AS365" s="17">
        <f t="shared" si="45"/>
        <v>1.414191337302299</v>
      </c>
      <c r="AT365" s="6">
        <v>1000</v>
      </c>
      <c r="AU365" s="6">
        <v>2786.322021484375</v>
      </c>
      <c r="AV365" s="6">
        <f t="shared" si="46"/>
        <v>1786.322021484375</v>
      </c>
      <c r="AW365" s="7">
        <f t="shared" si="47"/>
        <v>1.7863220214843749</v>
      </c>
    </row>
    <row r="366" spans="1:49" x14ac:dyDescent="0.25">
      <c r="A366" t="s">
        <v>38</v>
      </c>
      <c r="B366" t="s">
        <v>118</v>
      </c>
      <c r="C366">
        <v>45970</v>
      </c>
      <c r="D366">
        <v>2024</v>
      </c>
      <c r="E366" t="s">
        <v>150</v>
      </c>
      <c r="F366" t="s">
        <v>151</v>
      </c>
      <c r="G366" t="s">
        <v>232</v>
      </c>
      <c r="I366">
        <v>6</v>
      </c>
      <c r="J366" t="s">
        <v>43</v>
      </c>
      <c r="K366">
        <v>4</v>
      </c>
      <c r="L366" t="s">
        <v>44</v>
      </c>
      <c r="M366">
        <v>3.6</v>
      </c>
      <c r="N366" t="s">
        <v>45</v>
      </c>
      <c r="O366" t="s">
        <v>46</v>
      </c>
      <c r="P366">
        <v>4</v>
      </c>
      <c r="Q366" t="s">
        <v>47</v>
      </c>
      <c r="R366" t="s">
        <v>48</v>
      </c>
      <c r="S366" t="s">
        <v>102</v>
      </c>
      <c r="U366" t="s">
        <v>50</v>
      </c>
      <c r="V366" t="s">
        <v>64</v>
      </c>
      <c r="W366" t="s">
        <v>754</v>
      </c>
      <c r="X366" t="s">
        <v>66</v>
      </c>
      <c r="Y366" t="s">
        <v>67</v>
      </c>
      <c r="AA366">
        <v>0</v>
      </c>
      <c r="AB366" t="s">
        <v>54</v>
      </c>
      <c r="AC366" t="s">
        <v>55</v>
      </c>
      <c r="AD366">
        <v>34</v>
      </c>
      <c r="AE366">
        <v>8</v>
      </c>
      <c r="AF366">
        <v>3</v>
      </c>
      <c r="AG366">
        <v>2025</v>
      </c>
      <c r="AH366" s="13">
        <v>27300</v>
      </c>
      <c r="AI366" s="13">
        <v>35196.18359375</v>
      </c>
      <c r="AJ366" s="13">
        <f t="shared" si="40"/>
        <v>7896.18359375</v>
      </c>
      <c r="AK366" s="14">
        <f t="shared" si="41"/>
        <v>0.28923749427655676</v>
      </c>
      <c r="AL366" s="9">
        <v>27300</v>
      </c>
      <c r="AM366" s="9">
        <v>32214.229234990002</v>
      </c>
      <c r="AN366" s="9">
        <f t="shared" si="42"/>
        <v>4914.2292349900017</v>
      </c>
      <c r="AO366" s="10">
        <f t="shared" si="43"/>
        <v>0.18000839688608064</v>
      </c>
      <c r="AP366" s="16">
        <v>27300</v>
      </c>
      <c r="AQ366" s="16">
        <v>33878.600133792548</v>
      </c>
      <c r="AR366" s="16">
        <f t="shared" si="44"/>
        <v>6578.6001337925481</v>
      </c>
      <c r="AS366" s="17">
        <f t="shared" si="45"/>
        <v>0.24097436387518492</v>
      </c>
      <c r="AT366" s="6">
        <v>27300</v>
      </c>
      <c r="AU366" s="6">
        <v>28699.10546875</v>
      </c>
      <c r="AV366" s="6">
        <f t="shared" si="46"/>
        <v>1399.10546875</v>
      </c>
      <c r="AW366" s="7">
        <f t="shared" si="47"/>
        <v>5.124928456959707E-2</v>
      </c>
    </row>
    <row r="367" spans="1:49" x14ac:dyDescent="0.25">
      <c r="A367" t="s">
        <v>56</v>
      </c>
      <c r="B367" t="s">
        <v>123</v>
      </c>
      <c r="C367">
        <v>57016</v>
      </c>
      <c r="D367">
        <v>2021</v>
      </c>
      <c r="E367" t="s">
        <v>113</v>
      </c>
      <c r="F367" t="s">
        <v>142</v>
      </c>
      <c r="G367" t="s">
        <v>476</v>
      </c>
      <c r="I367">
        <v>6</v>
      </c>
      <c r="J367" t="s">
        <v>82</v>
      </c>
      <c r="K367">
        <v>4</v>
      </c>
      <c r="L367" t="s">
        <v>44</v>
      </c>
      <c r="M367">
        <v>3.6</v>
      </c>
      <c r="N367" t="s">
        <v>44</v>
      </c>
      <c r="O367" t="s">
        <v>46</v>
      </c>
      <c r="P367">
        <v>4</v>
      </c>
      <c r="Q367" t="s">
        <v>47</v>
      </c>
      <c r="R367" t="s">
        <v>48</v>
      </c>
      <c r="S367" t="s">
        <v>139</v>
      </c>
      <c r="T367">
        <v>295</v>
      </c>
      <c r="U367" t="s">
        <v>50</v>
      </c>
      <c r="V367" t="s">
        <v>64</v>
      </c>
      <c r="X367" t="s">
        <v>66</v>
      </c>
      <c r="Y367" t="s">
        <v>67</v>
      </c>
      <c r="AA367">
        <v>0</v>
      </c>
      <c r="AB367" t="s">
        <v>54</v>
      </c>
      <c r="AC367" t="s">
        <v>55</v>
      </c>
      <c r="AD367">
        <v>34</v>
      </c>
      <c r="AE367">
        <v>8</v>
      </c>
      <c r="AF367">
        <v>3</v>
      </c>
      <c r="AG367">
        <v>2025</v>
      </c>
      <c r="AH367" s="13">
        <v>22000</v>
      </c>
      <c r="AI367" s="13">
        <v>23747.654296875</v>
      </c>
      <c r="AJ367" s="13">
        <f t="shared" si="40"/>
        <v>1747.654296875</v>
      </c>
      <c r="AK367" s="14">
        <f t="shared" si="41"/>
        <v>7.9438831676136371E-2</v>
      </c>
      <c r="AL367" s="9">
        <v>22000</v>
      </c>
      <c r="AM367" s="9">
        <v>27364.71251263018</v>
      </c>
      <c r="AN367" s="9">
        <f t="shared" si="42"/>
        <v>5364.7125126301798</v>
      </c>
      <c r="AO367" s="10">
        <f t="shared" si="43"/>
        <v>0.24385056875591726</v>
      </c>
      <c r="AP367" s="16">
        <v>22000</v>
      </c>
      <c r="AQ367" s="16">
        <v>19163.66916077138</v>
      </c>
      <c r="AR367" s="16">
        <f t="shared" si="44"/>
        <v>2836.3308392286199</v>
      </c>
      <c r="AS367" s="17">
        <f t="shared" si="45"/>
        <v>0.12892412905584635</v>
      </c>
      <c r="AT367" s="6">
        <v>22000</v>
      </c>
      <c r="AU367" s="6">
        <v>23985.240234375</v>
      </c>
      <c r="AV367" s="6">
        <f t="shared" si="46"/>
        <v>1985.240234375</v>
      </c>
      <c r="AW367" s="7">
        <f t="shared" si="47"/>
        <v>9.0238192471590914E-2</v>
      </c>
    </row>
    <row r="368" spans="1:49" x14ac:dyDescent="0.25">
      <c r="A368" t="s">
        <v>56</v>
      </c>
      <c r="B368" t="s">
        <v>196</v>
      </c>
      <c r="C368">
        <v>289576</v>
      </c>
      <c r="D368">
        <v>2012</v>
      </c>
      <c r="E368" t="s">
        <v>91</v>
      </c>
      <c r="F368" t="s">
        <v>92</v>
      </c>
      <c r="H368" t="s">
        <v>755</v>
      </c>
      <c r="I368">
        <v>4</v>
      </c>
      <c r="J368" t="s">
        <v>74</v>
      </c>
      <c r="K368">
        <v>4</v>
      </c>
      <c r="L368" t="s">
        <v>44</v>
      </c>
      <c r="M368">
        <v>2.5</v>
      </c>
      <c r="N368" t="s">
        <v>45</v>
      </c>
      <c r="O368" t="s">
        <v>42</v>
      </c>
      <c r="P368">
        <v>2</v>
      </c>
      <c r="Q368" t="s">
        <v>84</v>
      </c>
      <c r="R368" t="s">
        <v>85</v>
      </c>
      <c r="S368" t="s">
        <v>49</v>
      </c>
      <c r="T368">
        <v>178</v>
      </c>
      <c r="U368" t="s">
        <v>50</v>
      </c>
      <c r="V368" t="s">
        <v>95</v>
      </c>
      <c r="W368" t="s">
        <v>537</v>
      </c>
      <c r="X368" t="s">
        <v>87</v>
      </c>
      <c r="Y368" t="s">
        <v>67</v>
      </c>
      <c r="AA368">
        <v>0</v>
      </c>
      <c r="AB368" t="s">
        <v>54</v>
      </c>
      <c r="AC368" t="s">
        <v>89</v>
      </c>
      <c r="AD368">
        <v>34</v>
      </c>
      <c r="AE368">
        <v>8</v>
      </c>
      <c r="AF368">
        <v>3</v>
      </c>
      <c r="AG368">
        <v>2025</v>
      </c>
      <c r="AH368" s="13">
        <v>1000</v>
      </c>
      <c r="AI368" s="13">
        <v>561.56231689453125</v>
      </c>
      <c r="AJ368" s="13">
        <f t="shared" si="40"/>
        <v>438.43768310546875</v>
      </c>
      <c r="AK368" s="14">
        <f t="shared" si="41"/>
        <v>0.43843768310546877</v>
      </c>
      <c r="AL368" s="9">
        <v>1000</v>
      </c>
      <c r="AM368" s="9">
        <v>678.78152432473917</v>
      </c>
      <c r="AN368" s="9">
        <f t="shared" si="42"/>
        <v>321.21847567526083</v>
      </c>
      <c r="AO368" s="10">
        <f t="shared" si="43"/>
        <v>0.32121847567526085</v>
      </c>
      <c r="AP368" s="16">
        <v>1000</v>
      </c>
      <c r="AQ368" s="16">
        <v>598.25501930588621</v>
      </c>
      <c r="AR368" s="16">
        <f t="shared" si="44"/>
        <v>401.74498069411379</v>
      </c>
      <c r="AS368" s="17">
        <f t="shared" si="45"/>
        <v>0.4017449806941138</v>
      </c>
      <c r="AT368" s="6">
        <v>1000</v>
      </c>
      <c r="AU368" s="6">
        <v>639.2646484375</v>
      </c>
      <c r="AV368" s="6">
        <f t="shared" si="46"/>
        <v>360.7353515625</v>
      </c>
      <c r="AW368" s="7">
        <f t="shared" si="47"/>
        <v>0.36073535156249997</v>
      </c>
    </row>
    <row r="369" spans="1:49" x14ac:dyDescent="0.25">
      <c r="A369" t="s">
        <v>38</v>
      </c>
      <c r="B369" t="s">
        <v>167</v>
      </c>
      <c r="C369">
        <v>152106</v>
      </c>
      <c r="D369">
        <v>2011</v>
      </c>
      <c r="E369" t="s">
        <v>113</v>
      </c>
      <c r="F369" t="s">
        <v>708</v>
      </c>
      <c r="G369" t="s">
        <v>162</v>
      </c>
      <c r="H369" t="s">
        <v>756</v>
      </c>
      <c r="I369">
        <v>8</v>
      </c>
      <c r="J369" t="s">
        <v>61</v>
      </c>
      <c r="K369">
        <v>4</v>
      </c>
      <c r="L369" t="s">
        <v>44</v>
      </c>
      <c r="M369">
        <v>5.7</v>
      </c>
      <c r="N369" t="s">
        <v>62</v>
      </c>
      <c r="O369" t="s">
        <v>46</v>
      </c>
      <c r="P369">
        <v>2</v>
      </c>
      <c r="Q369" t="s">
        <v>75</v>
      </c>
      <c r="R369" t="s">
        <v>76</v>
      </c>
      <c r="S369" t="s">
        <v>63</v>
      </c>
      <c r="U369" t="s">
        <v>50</v>
      </c>
      <c r="X369" t="s">
        <v>66</v>
      </c>
      <c r="Y369" t="s">
        <v>67</v>
      </c>
      <c r="AA369">
        <v>0</v>
      </c>
      <c r="AB369" t="s">
        <v>54</v>
      </c>
      <c r="AC369" t="s">
        <v>78</v>
      </c>
      <c r="AD369">
        <v>34</v>
      </c>
      <c r="AE369">
        <v>8</v>
      </c>
      <c r="AF369">
        <v>3</v>
      </c>
      <c r="AG369">
        <v>2025</v>
      </c>
      <c r="AH369" s="13">
        <v>6200</v>
      </c>
      <c r="AI369" s="13">
        <v>3428.455322265625</v>
      </c>
      <c r="AJ369" s="13">
        <f t="shared" si="40"/>
        <v>2771.544677734375</v>
      </c>
      <c r="AK369" s="14">
        <f t="shared" si="41"/>
        <v>0.44702333511844761</v>
      </c>
      <c r="AL369" s="9">
        <v>6200</v>
      </c>
      <c r="AM369" s="9">
        <v>3745.5102520407131</v>
      </c>
      <c r="AN369" s="9">
        <f t="shared" si="42"/>
        <v>2454.4897479592869</v>
      </c>
      <c r="AO369" s="10">
        <f t="shared" si="43"/>
        <v>0.3958854432192398</v>
      </c>
      <c r="AP369" s="16">
        <v>6200</v>
      </c>
      <c r="AQ369" s="16">
        <v>4394.4867969910883</v>
      </c>
      <c r="AR369" s="16">
        <f t="shared" si="44"/>
        <v>1805.5132030089117</v>
      </c>
      <c r="AS369" s="17">
        <f t="shared" si="45"/>
        <v>0.29121180693692122</v>
      </c>
      <c r="AT369" s="6">
        <v>6200</v>
      </c>
      <c r="AU369" s="6">
        <v>3897.4912109375</v>
      </c>
      <c r="AV369" s="6">
        <f t="shared" si="46"/>
        <v>2302.5087890625</v>
      </c>
      <c r="AW369" s="7">
        <f t="shared" si="47"/>
        <v>0.37137238533266131</v>
      </c>
    </row>
    <row r="370" spans="1:49" x14ac:dyDescent="0.25">
      <c r="A370" t="s">
        <v>107</v>
      </c>
      <c r="B370" t="s">
        <v>108</v>
      </c>
      <c r="C370">
        <v>105160</v>
      </c>
      <c r="D370">
        <v>2020</v>
      </c>
      <c r="E370" t="s">
        <v>98</v>
      </c>
      <c r="F370" t="s">
        <v>109</v>
      </c>
      <c r="H370" t="s">
        <v>100</v>
      </c>
      <c r="I370">
        <v>4</v>
      </c>
      <c r="J370" t="s">
        <v>74</v>
      </c>
      <c r="K370">
        <v>4</v>
      </c>
      <c r="L370" t="s">
        <v>44</v>
      </c>
      <c r="M370">
        <v>1.5</v>
      </c>
      <c r="N370" t="s">
        <v>45</v>
      </c>
      <c r="O370" t="s">
        <v>46</v>
      </c>
      <c r="P370">
        <v>4</v>
      </c>
      <c r="Q370" t="s">
        <v>47</v>
      </c>
      <c r="R370" t="s">
        <v>48</v>
      </c>
      <c r="S370" t="s">
        <v>102</v>
      </c>
      <c r="U370" t="s">
        <v>50</v>
      </c>
      <c r="V370" t="s">
        <v>95</v>
      </c>
      <c r="W370" t="s">
        <v>591</v>
      </c>
      <c r="X370" t="s">
        <v>52</v>
      </c>
      <c r="Y370" t="s">
        <v>106</v>
      </c>
      <c r="AA370">
        <v>0</v>
      </c>
      <c r="AB370" t="s">
        <v>54</v>
      </c>
      <c r="AC370" t="s">
        <v>55</v>
      </c>
      <c r="AD370">
        <v>34</v>
      </c>
      <c r="AE370">
        <v>8</v>
      </c>
      <c r="AF370">
        <v>3</v>
      </c>
      <c r="AG370">
        <v>2025</v>
      </c>
      <c r="AH370" s="13">
        <v>12000</v>
      </c>
      <c r="AI370" s="13">
        <v>12534.4091796875</v>
      </c>
      <c r="AJ370" s="13">
        <f t="shared" si="40"/>
        <v>534.4091796875</v>
      </c>
      <c r="AK370" s="14">
        <f t="shared" si="41"/>
        <v>4.4534098307291665E-2</v>
      </c>
      <c r="AL370" s="9">
        <v>12000</v>
      </c>
      <c r="AM370" s="9">
        <v>12651.49969221987</v>
      </c>
      <c r="AN370" s="9">
        <f t="shared" si="42"/>
        <v>651.49969221986976</v>
      </c>
      <c r="AO370" s="10">
        <f t="shared" si="43"/>
        <v>5.4291641018322477E-2</v>
      </c>
      <c r="AP370" s="16">
        <v>12000</v>
      </c>
      <c r="AQ370" s="16">
        <v>12742.374051595531</v>
      </c>
      <c r="AR370" s="16">
        <f t="shared" si="44"/>
        <v>742.37405159553055</v>
      </c>
      <c r="AS370" s="17">
        <f t="shared" si="45"/>
        <v>6.1864504299627546E-2</v>
      </c>
      <c r="AT370" s="6">
        <v>12000</v>
      </c>
      <c r="AU370" s="6">
        <v>11404.4052734375</v>
      </c>
      <c r="AV370" s="6">
        <f t="shared" si="46"/>
        <v>595.5947265625</v>
      </c>
      <c r="AW370" s="7">
        <f t="shared" si="47"/>
        <v>4.9632893880208334E-2</v>
      </c>
    </row>
    <row r="371" spans="1:49" x14ac:dyDescent="0.25">
      <c r="A371" t="s">
        <v>56</v>
      </c>
      <c r="B371" t="s">
        <v>57</v>
      </c>
      <c r="C371">
        <v>245268</v>
      </c>
      <c r="D371">
        <v>2012</v>
      </c>
      <c r="E371" t="s">
        <v>58</v>
      </c>
      <c r="F371" t="s">
        <v>325</v>
      </c>
      <c r="G371" t="s">
        <v>268</v>
      </c>
      <c r="I371">
        <v>6</v>
      </c>
      <c r="J371" t="s">
        <v>82</v>
      </c>
      <c r="K371">
        <v>4</v>
      </c>
      <c r="L371" t="s">
        <v>44</v>
      </c>
      <c r="M371">
        <v>3.5</v>
      </c>
      <c r="N371" t="s">
        <v>45</v>
      </c>
      <c r="O371" t="s">
        <v>46</v>
      </c>
      <c r="Q371" t="s">
        <v>47</v>
      </c>
      <c r="R371" t="s">
        <v>48</v>
      </c>
      <c r="S371" t="s">
        <v>102</v>
      </c>
      <c r="T371">
        <v>285</v>
      </c>
      <c r="U371" t="s">
        <v>50</v>
      </c>
      <c r="V371" t="s">
        <v>64</v>
      </c>
      <c r="X371" t="s">
        <v>141</v>
      </c>
      <c r="Y371" t="s">
        <v>88</v>
      </c>
      <c r="AA371">
        <v>0</v>
      </c>
      <c r="AB371" t="s">
        <v>54</v>
      </c>
      <c r="AC371" t="s">
        <v>55</v>
      </c>
      <c r="AD371">
        <v>34</v>
      </c>
      <c r="AE371">
        <v>8</v>
      </c>
      <c r="AF371">
        <v>3</v>
      </c>
      <c r="AG371">
        <v>2025</v>
      </c>
      <c r="AH371" s="13">
        <v>1500</v>
      </c>
      <c r="AI371" s="13">
        <v>1378.953979492188</v>
      </c>
      <c r="AJ371" s="13">
        <f t="shared" si="40"/>
        <v>121.04602050781205</v>
      </c>
      <c r="AK371" s="14">
        <f t="shared" si="41"/>
        <v>8.0697347005208031E-2</v>
      </c>
      <c r="AL371" s="9">
        <v>1500</v>
      </c>
      <c r="AM371" s="9">
        <v>1413.7092797269279</v>
      </c>
      <c r="AN371" s="9">
        <f t="shared" si="42"/>
        <v>86.290720273072111</v>
      </c>
      <c r="AO371" s="10">
        <f t="shared" si="43"/>
        <v>5.7527146848714739E-2</v>
      </c>
      <c r="AP371" s="16">
        <v>1500</v>
      </c>
      <c r="AQ371" s="16">
        <v>1172.5107499744761</v>
      </c>
      <c r="AR371" s="16">
        <f t="shared" si="44"/>
        <v>327.48925002552392</v>
      </c>
      <c r="AS371" s="17">
        <f t="shared" si="45"/>
        <v>0.2183261666836826</v>
      </c>
      <c r="AT371" s="6">
        <v>1500</v>
      </c>
      <c r="AU371" s="6">
        <v>1304.575073242188</v>
      </c>
      <c r="AV371" s="6">
        <f t="shared" si="46"/>
        <v>195.42492675781205</v>
      </c>
      <c r="AW371" s="7">
        <f t="shared" si="47"/>
        <v>0.13028328450520804</v>
      </c>
    </row>
    <row r="372" spans="1:49" x14ac:dyDescent="0.25">
      <c r="A372" t="s">
        <v>56</v>
      </c>
      <c r="B372" t="s">
        <v>104</v>
      </c>
      <c r="C372">
        <v>139625</v>
      </c>
      <c r="D372">
        <v>2015</v>
      </c>
      <c r="E372" t="s">
        <v>58</v>
      </c>
      <c r="F372" t="s">
        <v>737</v>
      </c>
      <c r="H372" t="s">
        <v>757</v>
      </c>
      <c r="I372">
        <v>8</v>
      </c>
      <c r="J372" t="s">
        <v>74</v>
      </c>
      <c r="K372">
        <v>2</v>
      </c>
      <c r="L372" t="s">
        <v>44</v>
      </c>
      <c r="M372">
        <v>5</v>
      </c>
      <c r="N372" t="s">
        <v>116</v>
      </c>
      <c r="O372" t="s">
        <v>46</v>
      </c>
      <c r="P372">
        <v>4</v>
      </c>
      <c r="Q372" t="s">
        <v>84</v>
      </c>
      <c r="R372" t="s">
        <v>251</v>
      </c>
      <c r="T372">
        <v>406</v>
      </c>
      <c r="U372" t="s">
        <v>50</v>
      </c>
      <c r="V372" t="s">
        <v>64</v>
      </c>
      <c r="X372" t="s">
        <v>87</v>
      </c>
      <c r="Y372" t="s">
        <v>67</v>
      </c>
      <c r="AA372">
        <v>0</v>
      </c>
      <c r="AB372" t="s">
        <v>54</v>
      </c>
      <c r="AC372" t="s">
        <v>251</v>
      </c>
      <c r="AD372">
        <v>34</v>
      </c>
      <c r="AE372">
        <v>8</v>
      </c>
      <c r="AF372">
        <v>3</v>
      </c>
      <c r="AG372">
        <v>2025</v>
      </c>
      <c r="AH372" s="13">
        <v>10200</v>
      </c>
      <c r="AI372" s="13">
        <v>10708.248046875</v>
      </c>
      <c r="AJ372" s="13">
        <f t="shared" si="40"/>
        <v>508.248046875</v>
      </c>
      <c r="AK372" s="14">
        <f t="shared" si="41"/>
        <v>4.9828239889705882E-2</v>
      </c>
      <c r="AL372" s="9">
        <v>10200</v>
      </c>
      <c r="AM372" s="9">
        <v>9579.6824237620294</v>
      </c>
      <c r="AN372" s="9">
        <f t="shared" si="42"/>
        <v>620.31757623797057</v>
      </c>
      <c r="AO372" s="10">
        <f t="shared" si="43"/>
        <v>6.081544865078143E-2</v>
      </c>
      <c r="AP372" s="16">
        <v>10200</v>
      </c>
      <c r="AQ372" s="16">
        <v>9468.9449171849956</v>
      </c>
      <c r="AR372" s="16">
        <f t="shared" si="44"/>
        <v>731.05508281500443</v>
      </c>
      <c r="AS372" s="17">
        <f t="shared" si="45"/>
        <v>7.1672066942647494E-2</v>
      </c>
      <c r="AT372" s="6">
        <v>10200</v>
      </c>
      <c r="AU372" s="6">
        <v>10617.6953125</v>
      </c>
      <c r="AV372" s="6">
        <f t="shared" si="46"/>
        <v>417.6953125</v>
      </c>
      <c r="AW372" s="7">
        <f t="shared" si="47"/>
        <v>4.095052083333333E-2</v>
      </c>
    </row>
    <row r="373" spans="1:49" x14ac:dyDescent="0.25">
      <c r="A373" t="s">
        <v>107</v>
      </c>
      <c r="B373" t="s">
        <v>108</v>
      </c>
      <c r="C373">
        <v>109712</v>
      </c>
      <c r="D373">
        <v>2016</v>
      </c>
      <c r="E373" t="s">
        <v>58</v>
      </c>
      <c r="F373" t="s">
        <v>425</v>
      </c>
      <c r="H373" t="s">
        <v>268</v>
      </c>
      <c r="I373">
        <v>4</v>
      </c>
      <c r="J373" t="s">
        <v>82</v>
      </c>
      <c r="K373">
        <v>4</v>
      </c>
      <c r="L373" t="s">
        <v>44</v>
      </c>
      <c r="M373">
        <v>2</v>
      </c>
      <c r="N373" t="s">
        <v>44</v>
      </c>
      <c r="O373" t="s">
        <v>46</v>
      </c>
      <c r="P373">
        <v>4</v>
      </c>
      <c r="Q373" t="s">
        <v>84</v>
      </c>
      <c r="R373" t="s">
        <v>85</v>
      </c>
      <c r="S373" t="s">
        <v>139</v>
      </c>
      <c r="T373">
        <v>240</v>
      </c>
      <c r="U373" t="s">
        <v>50</v>
      </c>
      <c r="V373" t="s">
        <v>95</v>
      </c>
      <c r="X373" t="s">
        <v>87</v>
      </c>
      <c r="Y373" t="s">
        <v>106</v>
      </c>
      <c r="AA373">
        <v>0</v>
      </c>
      <c r="AB373" t="s">
        <v>54</v>
      </c>
      <c r="AC373" t="s">
        <v>89</v>
      </c>
      <c r="AD373">
        <v>34</v>
      </c>
      <c r="AE373">
        <v>8</v>
      </c>
      <c r="AF373">
        <v>3</v>
      </c>
      <c r="AG373">
        <v>2025</v>
      </c>
      <c r="AH373" s="13">
        <v>4200</v>
      </c>
      <c r="AI373" s="13">
        <v>6515.14794921875</v>
      </c>
      <c r="AJ373" s="13">
        <f t="shared" si="40"/>
        <v>2315.14794921875</v>
      </c>
      <c r="AK373" s="14">
        <f t="shared" si="41"/>
        <v>0.55122570219494049</v>
      </c>
      <c r="AL373" s="9">
        <v>4200</v>
      </c>
      <c r="AM373" s="9">
        <v>6543.0151812519052</v>
      </c>
      <c r="AN373" s="9">
        <f t="shared" si="42"/>
        <v>2343.0151812519052</v>
      </c>
      <c r="AO373" s="10">
        <f t="shared" si="43"/>
        <v>0.55786075744092978</v>
      </c>
      <c r="AP373" s="16">
        <v>4200</v>
      </c>
      <c r="AQ373" s="16">
        <v>6393.9139114561058</v>
      </c>
      <c r="AR373" s="16">
        <f t="shared" si="44"/>
        <v>2193.9139114561058</v>
      </c>
      <c r="AS373" s="17">
        <f t="shared" si="45"/>
        <v>0.52236045510859663</v>
      </c>
      <c r="AT373" s="6">
        <v>4200</v>
      </c>
      <c r="AU373" s="6">
        <v>6231.58203125</v>
      </c>
      <c r="AV373" s="6">
        <f t="shared" si="46"/>
        <v>2031.58203125</v>
      </c>
      <c r="AW373" s="7">
        <f t="shared" si="47"/>
        <v>0.48371000744047621</v>
      </c>
    </row>
    <row r="374" spans="1:49" x14ac:dyDescent="0.25">
      <c r="A374" t="s">
        <v>69</v>
      </c>
      <c r="B374" t="s">
        <v>70</v>
      </c>
      <c r="C374">
        <v>13505</v>
      </c>
      <c r="D374">
        <v>2025</v>
      </c>
      <c r="E374" t="s">
        <v>71</v>
      </c>
      <c r="F374" t="s">
        <v>129</v>
      </c>
      <c r="G374" t="s">
        <v>332</v>
      </c>
      <c r="I374">
        <v>4</v>
      </c>
      <c r="J374" t="s">
        <v>82</v>
      </c>
      <c r="K374">
        <v>4</v>
      </c>
      <c r="L374" t="s">
        <v>44</v>
      </c>
      <c r="M374">
        <v>2.5</v>
      </c>
      <c r="N374" t="s">
        <v>45</v>
      </c>
      <c r="O374" t="s">
        <v>46</v>
      </c>
      <c r="P374">
        <v>5</v>
      </c>
      <c r="Q374" t="s">
        <v>84</v>
      </c>
      <c r="R374" t="s">
        <v>85</v>
      </c>
      <c r="S374" t="s">
        <v>49</v>
      </c>
      <c r="U374" t="s">
        <v>50</v>
      </c>
      <c r="X374" t="s">
        <v>52</v>
      </c>
      <c r="Y374" t="s">
        <v>67</v>
      </c>
      <c r="AA374">
        <v>0</v>
      </c>
      <c r="AB374" t="s">
        <v>54</v>
      </c>
      <c r="AC374" t="s">
        <v>89</v>
      </c>
      <c r="AD374">
        <v>34</v>
      </c>
      <c r="AE374">
        <v>8</v>
      </c>
      <c r="AF374">
        <v>3</v>
      </c>
      <c r="AG374">
        <v>2025</v>
      </c>
      <c r="AH374" s="13">
        <v>19100</v>
      </c>
      <c r="AI374" s="13">
        <v>19955</v>
      </c>
      <c r="AJ374" s="13">
        <f t="shared" si="40"/>
        <v>855</v>
      </c>
      <c r="AK374" s="14">
        <f t="shared" si="41"/>
        <v>4.476439790575916E-2</v>
      </c>
      <c r="AL374" s="9">
        <v>19100</v>
      </c>
      <c r="AM374" s="9">
        <v>17819.99269549489</v>
      </c>
      <c r="AN374" s="9">
        <f t="shared" si="42"/>
        <v>1280.0073045051104</v>
      </c>
      <c r="AO374" s="10">
        <f t="shared" si="43"/>
        <v>6.7016089241105262E-2</v>
      </c>
      <c r="AP374" s="16">
        <v>19100</v>
      </c>
      <c r="AQ374" s="16">
        <v>18501.38974486442</v>
      </c>
      <c r="AR374" s="16">
        <f t="shared" si="44"/>
        <v>598.61025513557979</v>
      </c>
      <c r="AS374" s="17">
        <f t="shared" si="45"/>
        <v>3.1340851054218841E-2</v>
      </c>
      <c r="AT374" s="6">
        <v>19100</v>
      </c>
      <c r="AU374" s="6">
        <v>18712.328125</v>
      </c>
      <c r="AV374" s="6">
        <f t="shared" si="46"/>
        <v>387.671875</v>
      </c>
      <c r="AW374" s="7">
        <f t="shared" si="47"/>
        <v>2.0296956806282723E-2</v>
      </c>
    </row>
    <row r="375" spans="1:49" x14ac:dyDescent="0.25">
      <c r="A375" t="s">
        <v>56</v>
      </c>
      <c r="B375" t="s">
        <v>104</v>
      </c>
      <c r="C375">
        <v>116076</v>
      </c>
      <c r="D375">
        <v>2013</v>
      </c>
      <c r="E375" t="s">
        <v>241</v>
      </c>
      <c r="F375" t="s">
        <v>242</v>
      </c>
      <c r="G375" t="s">
        <v>758</v>
      </c>
      <c r="H375" t="s">
        <v>243</v>
      </c>
      <c r="I375">
        <v>6</v>
      </c>
      <c r="J375" t="s">
        <v>43</v>
      </c>
      <c r="K375">
        <v>4</v>
      </c>
      <c r="L375" t="s">
        <v>44</v>
      </c>
      <c r="M375">
        <v>3.5</v>
      </c>
      <c r="N375" t="s">
        <v>44</v>
      </c>
      <c r="O375" t="s">
        <v>46</v>
      </c>
      <c r="Q375" t="s">
        <v>84</v>
      </c>
      <c r="R375" t="s">
        <v>85</v>
      </c>
      <c r="S375" t="s">
        <v>139</v>
      </c>
      <c r="U375" t="s">
        <v>50</v>
      </c>
      <c r="V375" t="s">
        <v>64</v>
      </c>
      <c r="X375" t="s">
        <v>87</v>
      </c>
      <c r="Y375" t="s">
        <v>244</v>
      </c>
      <c r="AA375">
        <v>0</v>
      </c>
      <c r="AB375" t="s">
        <v>54</v>
      </c>
      <c r="AC375" t="s">
        <v>89</v>
      </c>
      <c r="AD375">
        <v>34</v>
      </c>
      <c r="AE375">
        <v>8</v>
      </c>
      <c r="AF375">
        <v>3</v>
      </c>
      <c r="AG375">
        <v>2025</v>
      </c>
      <c r="AH375" s="13">
        <v>5800</v>
      </c>
      <c r="AI375" s="13">
        <v>5256.93408203125</v>
      </c>
      <c r="AJ375" s="13">
        <f t="shared" si="40"/>
        <v>543.06591796875</v>
      </c>
      <c r="AK375" s="14">
        <f t="shared" si="41"/>
        <v>9.3632054822198274E-2</v>
      </c>
      <c r="AL375" s="9">
        <v>5800</v>
      </c>
      <c r="AM375" s="9">
        <v>4759.3020631331874</v>
      </c>
      <c r="AN375" s="9">
        <f t="shared" si="42"/>
        <v>1040.6979368668126</v>
      </c>
      <c r="AO375" s="10">
        <f t="shared" si="43"/>
        <v>0.1794306787701401</v>
      </c>
      <c r="AP375" s="16">
        <v>5800</v>
      </c>
      <c r="AQ375" s="16">
        <v>4796.3260856230509</v>
      </c>
      <c r="AR375" s="16">
        <f t="shared" si="44"/>
        <v>1003.6739143769491</v>
      </c>
      <c r="AS375" s="17">
        <f t="shared" si="45"/>
        <v>0.17304722661671537</v>
      </c>
      <c r="AT375" s="6">
        <v>5800</v>
      </c>
      <c r="AU375" s="6">
        <v>4906.041015625</v>
      </c>
      <c r="AV375" s="6">
        <f t="shared" si="46"/>
        <v>893.958984375</v>
      </c>
      <c r="AW375" s="7">
        <f t="shared" si="47"/>
        <v>0.15413085937500001</v>
      </c>
    </row>
    <row r="376" spans="1:49" x14ac:dyDescent="0.25">
      <c r="A376" t="s">
        <v>69</v>
      </c>
      <c r="B376" t="s">
        <v>70</v>
      </c>
      <c r="C376">
        <v>187202</v>
      </c>
      <c r="D376">
        <v>2015</v>
      </c>
      <c r="E376" t="s">
        <v>217</v>
      </c>
      <c r="F376" t="s">
        <v>388</v>
      </c>
      <c r="G376" t="s">
        <v>218</v>
      </c>
      <c r="I376">
        <v>6</v>
      </c>
      <c r="J376" t="s">
        <v>74</v>
      </c>
      <c r="K376">
        <v>4</v>
      </c>
      <c r="L376" t="s">
        <v>44</v>
      </c>
      <c r="M376">
        <v>6.7</v>
      </c>
      <c r="N376" t="s">
        <v>62</v>
      </c>
      <c r="O376" t="s">
        <v>46</v>
      </c>
      <c r="P376">
        <v>4</v>
      </c>
      <c r="Q376" t="s">
        <v>75</v>
      </c>
      <c r="R376" t="s">
        <v>76</v>
      </c>
      <c r="S376" t="s">
        <v>63</v>
      </c>
      <c r="U376" t="s">
        <v>300</v>
      </c>
      <c r="X376" t="s">
        <v>390</v>
      </c>
      <c r="Y376" t="s">
        <v>106</v>
      </c>
      <c r="AA376">
        <v>0</v>
      </c>
      <c r="AB376" t="s">
        <v>54</v>
      </c>
      <c r="AC376" t="s">
        <v>78</v>
      </c>
      <c r="AD376">
        <v>34</v>
      </c>
      <c r="AE376">
        <v>8</v>
      </c>
      <c r="AF376">
        <v>3</v>
      </c>
      <c r="AG376">
        <v>2025</v>
      </c>
      <c r="AH376" s="13">
        <v>23000</v>
      </c>
      <c r="AI376" s="13">
        <v>18101.931640625</v>
      </c>
      <c r="AJ376" s="13">
        <f t="shared" si="40"/>
        <v>4898.068359375</v>
      </c>
      <c r="AK376" s="14">
        <f t="shared" si="41"/>
        <v>0.21295949388586957</v>
      </c>
      <c r="AL376" s="9">
        <v>23000</v>
      </c>
      <c r="AM376" s="9">
        <v>18089.88917728126</v>
      </c>
      <c r="AN376" s="9">
        <f t="shared" si="42"/>
        <v>4910.1108227187397</v>
      </c>
      <c r="AO376" s="10">
        <f t="shared" si="43"/>
        <v>0.21348307924864085</v>
      </c>
      <c r="AP376" s="16">
        <v>23000</v>
      </c>
      <c r="AQ376" s="16">
        <v>15100.28298358989</v>
      </c>
      <c r="AR376" s="16">
        <f t="shared" si="44"/>
        <v>7899.7170164101099</v>
      </c>
      <c r="AS376" s="17">
        <f t="shared" si="45"/>
        <v>0.34346595723522216</v>
      </c>
      <c r="AT376" s="6">
        <v>23000</v>
      </c>
      <c r="AU376" s="6">
        <v>18194.619140625</v>
      </c>
      <c r="AV376" s="6">
        <f t="shared" si="46"/>
        <v>4805.380859375</v>
      </c>
      <c r="AW376" s="7">
        <f t="shared" si="47"/>
        <v>0.20892960258152174</v>
      </c>
    </row>
    <row r="377" spans="1:49" x14ac:dyDescent="0.25">
      <c r="A377" t="s">
        <v>56</v>
      </c>
      <c r="B377" t="s">
        <v>123</v>
      </c>
      <c r="C377">
        <v>100874</v>
      </c>
      <c r="D377">
        <v>2018</v>
      </c>
      <c r="E377" t="s">
        <v>145</v>
      </c>
      <c r="F377" t="s">
        <v>146</v>
      </c>
      <c r="G377" t="s">
        <v>313</v>
      </c>
      <c r="I377">
        <v>4</v>
      </c>
      <c r="J377" t="s">
        <v>82</v>
      </c>
      <c r="K377">
        <v>4</v>
      </c>
      <c r="L377" t="s">
        <v>44</v>
      </c>
      <c r="M377">
        <v>1.5</v>
      </c>
      <c r="N377" t="s">
        <v>44</v>
      </c>
      <c r="O377" t="s">
        <v>46</v>
      </c>
      <c r="P377">
        <v>4</v>
      </c>
      <c r="Q377" t="s">
        <v>47</v>
      </c>
      <c r="R377" t="s">
        <v>48</v>
      </c>
      <c r="T377">
        <v>190</v>
      </c>
      <c r="U377" t="s">
        <v>50</v>
      </c>
      <c r="V377" t="s">
        <v>95</v>
      </c>
      <c r="W377" t="s">
        <v>678</v>
      </c>
      <c r="X377" t="s">
        <v>52</v>
      </c>
      <c r="Y377" t="s">
        <v>88</v>
      </c>
      <c r="Z377">
        <v>27050</v>
      </c>
      <c r="AA377">
        <v>0</v>
      </c>
      <c r="AB377" t="s">
        <v>54</v>
      </c>
      <c r="AC377" t="s">
        <v>55</v>
      </c>
      <c r="AD377">
        <v>34</v>
      </c>
      <c r="AE377">
        <v>8</v>
      </c>
      <c r="AF377">
        <v>3</v>
      </c>
      <c r="AG377">
        <v>2025</v>
      </c>
      <c r="AH377" s="13">
        <v>13900</v>
      </c>
      <c r="AI377" s="13">
        <v>12691.853515625</v>
      </c>
      <c r="AJ377" s="13">
        <f t="shared" si="40"/>
        <v>1208.146484375</v>
      </c>
      <c r="AK377" s="14">
        <f t="shared" si="41"/>
        <v>8.6917013264388485E-2</v>
      </c>
      <c r="AL377" s="9">
        <v>13900</v>
      </c>
      <c r="AM377" s="9">
        <v>12857.371007468581</v>
      </c>
      <c r="AN377" s="9">
        <f t="shared" si="42"/>
        <v>1042.6289925314195</v>
      </c>
      <c r="AO377" s="10">
        <f t="shared" si="43"/>
        <v>7.5009280038231624E-2</v>
      </c>
      <c r="AP377" s="16">
        <v>13900</v>
      </c>
      <c r="AQ377" s="16">
        <v>10272.254095346059</v>
      </c>
      <c r="AR377" s="16">
        <f t="shared" si="44"/>
        <v>3627.7459046539407</v>
      </c>
      <c r="AS377" s="17">
        <f t="shared" si="45"/>
        <v>0.26098891400388063</v>
      </c>
      <c r="AT377" s="6">
        <v>13900</v>
      </c>
      <c r="AU377" s="6">
        <v>12581.4677734375</v>
      </c>
      <c r="AV377" s="6">
        <f t="shared" si="46"/>
        <v>1318.5322265625</v>
      </c>
      <c r="AW377" s="7">
        <f t="shared" si="47"/>
        <v>9.4858433565647479E-2</v>
      </c>
    </row>
    <row r="378" spans="1:49" x14ac:dyDescent="0.25">
      <c r="A378" t="s">
        <v>107</v>
      </c>
      <c r="B378" t="s">
        <v>108</v>
      </c>
      <c r="C378">
        <v>35680</v>
      </c>
      <c r="D378">
        <v>2024</v>
      </c>
      <c r="E378" t="s">
        <v>71</v>
      </c>
      <c r="F378" t="s">
        <v>129</v>
      </c>
      <c r="G378" t="s">
        <v>332</v>
      </c>
      <c r="I378">
        <v>4</v>
      </c>
      <c r="J378" t="s">
        <v>94</v>
      </c>
      <c r="K378">
        <v>4</v>
      </c>
      <c r="L378" t="s">
        <v>44</v>
      </c>
      <c r="M378">
        <v>2.5</v>
      </c>
      <c r="N378" t="s">
        <v>45</v>
      </c>
      <c r="O378" t="s">
        <v>46</v>
      </c>
      <c r="P378">
        <v>5</v>
      </c>
      <c r="Q378" t="s">
        <v>84</v>
      </c>
      <c r="R378" t="s">
        <v>85</v>
      </c>
      <c r="S378" t="s">
        <v>49</v>
      </c>
      <c r="U378" t="s">
        <v>50</v>
      </c>
      <c r="X378" t="s">
        <v>52</v>
      </c>
      <c r="Y378" t="s">
        <v>67</v>
      </c>
      <c r="AA378">
        <v>0</v>
      </c>
      <c r="AB378" t="s">
        <v>54</v>
      </c>
      <c r="AC378" t="s">
        <v>89</v>
      </c>
      <c r="AD378">
        <v>34</v>
      </c>
      <c r="AE378">
        <v>8</v>
      </c>
      <c r="AF378">
        <v>3</v>
      </c>
      <c r="AG378">
        <v>2025</v>
      </c>
      <c r="AH378" s="13">
        <v>19300</v>
      </c>
      <c r="AI378" s="13">
        <v>18630.984375</v>
      </c>
      <c r="AJ378" s="13">
        <f t="shared" si="40"/>
        <v>669.015625</v>
      </c>
      <c r="AK378" s="14">
        <f t="shared" si="41"/>
        <v>3.4664022020725389E-2</v>
      </c>
      <c r="AL378" s="9">
        <v>19300</v>
      </c>
      <c r="AM378" s="9">
        <v>17009.041573100949</v>
      </c>
      <c r="AN378" s="9">
        <f t="shared" si="42"/>
        <v>2290.9584268990511</v>
      </c>
      <c r="AO378" s="10">
        <f t="shared" si="43"/>
        <v>0.11870250916575395</v>
      </c>
      <c r="AP378" s="16">
        <v>19300</v>
      </c>
      <c r="AQ378" s="16">
        <v>18616.5086052972</v>
      </c>
      <c r="AR378" s="16">
        <f t="shared" si="44"/>
        <v>683.49139470279988</v>
      </c>
      <c r="AS378" s="17">
        <f t="shared" si="45"/>
        <v>3.5414061901699476E-2</v>
      </c>
      <c r="AT378" s="6">
        <v>19300</v>
      </c>
      <c r="AU378" s="6">
        <v>18426.6328125</v>
      </c>
      <c r="AV378" s="6">
        <f t="shared" si="46"/>
        <v>873.3671875</v>
      </c>
      <c r="AW378" s="7">
        <f t="shared" si="47"/>
        <v>4.5252185880829014E-2</v>
      </c>
    </row>
    <row r="379" spans="1:49" x14ac:dyDescent="0.25">
      <c r="A379" t="s">
        <v>107</v>
      </c>
      <c r="B379" t="s">
        <v>154</v>
      </c>
      <c r="C379">
        <v>166001</v>
      </c>
      <c r="D379">
        <v>2019</v>
      </c>
      <c r="E379" t="s">
        <v>217</v>
      </c>
      <c r="F379" t="s">
        <v>388</v>
      </c>
      <c r="H379" t="s">
        <v>451</v>
      </c>
      <c r="I379">
        <v>8</v>
      </c>
      <c r="J379" t="s">
        <v>43</v>
      </c>
      <c r="K379">
        <v>4</v>
      </c>
      <c r="L379" t="s">
        <v>44</v>
      </c>
      <c r="M379">
        <v>6.4</v>
      </c>
      <c r="N379" t="s">
        <v>62</v>
      </c>
      <c r="O379" t="s">
        <v>46</v>
      </c>
      <c r="P379">
        <v>2</v>
      </c>
      <c r="Q379" t="s">
        <v>75</v>
      </c>
      <c r="R379" t="s">
        <v>76</v>
      </c>
      <c r="S379" t="s">
        <v>63</v>
      </c>
      <c r="T379">
        <v>410</v>
      </c>
      <c r="U379" t="s">
        <v>50</v>
      </c>
      <c r="V379" t="s">
        <v>64</v>
      </c>
      <c r="X379" t="s">
        <v>390</v>
      </c>
      <c r="Y379" t="s">
        <v>106</v>
      </c>
      <c r="AA379">
        <v>0</v>
      </c>
      <c r="AB379" t="s">
        <v>54</v>
      </c>
      <c r="AC379" t="s">
        <v>78</v>
      </c>
      <c r="AD379">
        <v>34</v>
      </c>
      <c r="AE379">
        <v>8</v>
      </c>
      <c r="AF379">
        <v>3</v>
      </c>
      <c r="AG379">
        <v>2025</v>
      </c>
      <c r="AH379" s="13">
        <v>14000</v>
      </c>
      <c r="AI379" s="13">
        <v>9046.9404296875</v>
      </c>
      <c r="AJ379" s="13">
        <f t="shared" si="40"/>
        <v>4953.0595703125</v>
      </c>
      <c r="AK379" s="14">
        <f t="shared" si="41"/>
        <v>0.35378996930803569</v>
      </c>
      <c r="AL379" s="9">
        <v>14000</v>
      </c>
      <c r="AM379" s="9">
        <v>7682.5228493986788</v>
      </c>
      <c r="AN379" s="9">
        <f t="shared" si="42"/>
        <v>6317.4771506013212</v>
      </c>
      <c r="AO379" s="10">
        <f t="shared" si="43"/>
        <v>0.45124836790009437</v>
      </c>
      <c r="AP379" s="16">
        <v>14000</v>
      </c>
      <c r="AQ379" s="16">
        <v>10495.36924022508</v>
      </c>
      <c r="AR379" s="16">
        <f t="shared" si="44"/>
        <v>3504.6307597749201</v>
      </c>
      <c r="AS379" s="17">
        <f t="shared" si="45"/>
        <v>0.25033076855535141</v>
      </c>
      <c r="AT379" s="6">
        <v>14000</v>
      </c>
      <c r="AU379" s="6">
        <v>10107.6669921875</v>
      </c>
      <c r="AV379" s="6">
        <f t="shared" si="46"/>
        <v>3892.3330078125</v>
      </c>
      <c r="AW379" s="7">
        <f t="shared" si="47"/>
        <v>0.27802378627232144</v>
      </c>
    </row>
    <row r="380" spans="1:49" x14ac:dyDescent="0.25">
      <c r="A380" t="s">
        <v>56</v>
      </c>
      <c r="B380" t="s">
        <v>104</v>
      </c>
      <c r="C380">
        <v>76011</v>
      </c>
      <c r="D380">
        <v>2008</v>
      </c>
      <c r="E380" t="s">
        <v>91</v>
      </c>
      <c r="F380" t="s">
        <v>517</v>
      </c>
      <c r="G380" t="s">
        <v>759</v>
      </c>
      <c r="H380" t="s">
        <v>760</v>
      </c>
      <c r="I380">
        <v>4</v>
      </c>
      <c r="J380" t="s">
        <v>177</v>
      </c>
      <c r="K380">
        <v>4</v>
      </c>
      <c r="L380" t="s">
        <v>44</v>
      </c>
      <c r="M380">
        <v>2.4</v>
      </c>
      <c r="N380" t="s">
        <v>62</v>
      </c>
      <c r="O380" t="s">
        <v>46</v>
      </c>
      <c r="Q380" t="s">
        <v>47</v>
      </c>
      <c r="R380" t="s">
        <v>48</v>
      </c>
      <c r="S380" t="s">
        <v>63</v>
      </c>
      <c r="T380">
        <v>166</v>
      </c>
      <c r="U380" t="s">
        <v>50</v>
      </c>
      <c r="V380" t="s">
        <v>95</v>
      </c>
      <c r="W380" t="s">
        <v>96</v>
      </c>
      <c r="X380" t="s">
        <v>52</v>
      </c>
      <c r="Y380" t="s">
        <v>97</v>
      </c>
      <c r="AA380">
        <v>0</v>
      </c>
      <c r="AB380" t="s">
        <v>54</v>
      </c>
      <c r="AC380" t="s">
        <v>55</v>
      </c>
      <c r="AD380">
        <v>34</v>
      </c>
      <c r="AE380">
        <v>8</v>
      </c>
      <c r="AF380">
        <v>3</v>
      </c>
      <c r="AG380">
        <v>2025</v>
      </c>
      <c r="AH380" s="13">
        <v>4100</v>
      </c>
      <c r="AI380" s="13">
        <v>2491.481201171875</v>
      </c>
      <c r="AJ380" s="13">
        <f t="shared" si="40"/>
        <v>1608.518798828125</v>
      </c>
      <c r="AK380" s="14">
        <f t="shared" si="41"/>
        <v>0.39232165825076221</v>
      </c>
      <c r="AL380" s="9">
        <v>4100</v>
      </c>
      <c r="AM380" s="9">
        <v>4029.76368510873</v>
      </c>
      <c r="AN380" s="9">
        <f t="shared" si="42"/>
        <v>70.236314891270013</v>
      </c>
      <c r="AO380" s="10">
        <f t="shared" si="43"/>
        <v>1.7130808510065858E-2</v>
      </c>
      <c r="AP380" s="16">
        <v>4100</v>
      </c>
      <c r="AQ380" s="16">
        <v>2383.993118779656</v>
      </c>
      <c r="AR380" s="16">
        <f t="shared" si="44"/>
        <v>1716.006881220344</v>
      </c>
      <c r="AS380" s="17">
        <f t="shared" si="45"/>
        <v>0.41853826371227904</v>
      </c>
      <c r="AT380" s="6">
        <v>4100</v>
      </c>
      <c r="AU380" s="6">
        <v>3591.324951171875</v>
      </c>
      <c r="AV380" s="6">
        <f t="shared" si="46"/>
        <v>508.675048828125</v>
      </c>
      <c r="AW380" s="7">
        <f t="shared" si="47"/>
        <v>0.12406708508003049</v>
      </c>
    </row>
    <row r="381" spans="1:49" x14ac:dyDescent="0.25">
      <c r="A381" t="s">
        <v>38</v>
      </c>
      <c r="B381" t="s">
        <v>289</v>
      </c>
      <c r="C381">
        <v>246895</v>
      </c>
      <c r="D381">
        <v>2016</v>
      </c>
      <c r="E381" t="s">
        <v>79</v>
      </c>
      <c r="F381" t="s">
        <v>411</v>
      </c>
      <c r="G381" t="s">
        <v>761</v>
      </c>
      <c r="I381">
        <v>6</v>
      </c>
      <c r="J381" t="s">
        <v>61</v>
      </c>
      <c r="K381">
        <v>4</v>
      </c>
      <c r="L381" t="s">
        <v>44</v>
      </c>
      <c r="M381">
        <v>3.6</v>
      </c>
      <c r="N381" t="s">
        <v>62</v>
      </c>
      <c r="O381" t="s">
        <v>46</v>
      </c>
      <c r="P381">
        <v>3</v>
      </c>
      <c r="Q381" t="s">
        <v>75</v>
      </c>
      <c r="R381" t="s">
        <v>76</v>
      </c>
      <c r="S381" t="s">
        <v>63</v>
      </c>
      <c r="U381" t="s">
        <v>50</v>
      </c>
      <c r="W381" t="s">
        <v>762</v>
      </c>
      <c r="X381" t="s">
        <v>141</v>
      </c>
      <c r="Y381" t="s">
        <v>67</v>
      </c>
      <c r="AA381">
        <v>0</v>
      </c>
      <c r="AB381" t="s">
        <v>54</v>
      </c>
      <c r="AC381" t="s">
        <v>78</v>
      </c>
      <c r="AD381">
        <v>34</v>
      </c>
      <c r="AE381">
        <v>8</v>
      </c>
      <c r="AF381">
        <v>3</v>
      </c>
      <c r="AG381">
        <v>2025</v>
      </c>
      <c r="AH381" s="13">
        <v>5200</v>
      </c>
      <c r="AI381" s="13">
        <v>6290.716796875</v>
      </c>
      <c r="AJ381" s="13">
        <f t="shared" si="40"/>
        <v>1090.716796875</v>
      </c>
      <c r="AK381" s="14">
        <f t="shared" si="41"/>
        <v>0.20975323016826924</v>
      </c>
      <c r="AL381" s="9">
        <v>5200</v>
      </c>
      <c r="AM381" s="9">
        <v>5824.8939581517843</v>
      </c>
      <c r="AN381" s="9">
        <f t="shared" si="42"/>
        <v>624.89395815178432</v>
      </c>
      <c r="AO381" s="10">
        <f t="shared" si="43"/>
        <v>0.12017191502918929</v>
      </c>
      <c r="AP381" s="16">
        <v>5200</v>
      </c>
      <c r="AQ381" s="16">
        <v>5169.2210875439214</v>
      </c>
      <c r="AR381" s="16">
        <f t="shared" si="44"/>
        <v>30.778912456078615</v>
      </c>
      <c r="AS381" s="17">
        <f t="shared" si="45"/>
        <v>5.9190216261689648E-3</v>
      </c>
      <c r="AT381" s="6">
        <v>5200</v>
      </c>
      <c r="AU381" s="6">
        <v>5843.447265625</v>
      </c>
      <c r="AV381" s="6">
        <f t="shared" si="46"/>
        <v>643.447265625</v>
      </c>
      <c r="AW381" s="7">
        <f t="shared" si="47"/>
        <v>0.12373985877403847</v>
      </c>
    </row>
    <row r="382" spans="1:49" x14ac:dyDescent="0.25">
      <c r="A382" t="s">
        <v>38</v>
      </c>
      <c r="B382" t="s">
        <v>229</v>
      </c>
      <c r="C382">
        <v>249104</v>
      </c>
      <c r="D382">
        <v>2010</v>
      </c>
      <c r="E382" t="s">
        <v>58</v>
      </c>
      <c r="F382" t="s">
        <v>168</v>
      </c>
      <c r="G382" t="s">
        <v>763</v>
      </c>
      <c r="H382" t="s">
        <v>521</v>
      </c>
      <c r="I382">
        <v>8</v>
      </c>
      <c r="J382" t="s">
        <v>94</v>
      </c>
      <c r="K382">
        <v>4</v>
      </c>
      <c r="L382" t="s">
        <v>44</v>
      </c>
      <c r="M382">
        <v>4.5999999999999996</v>
      </c>
      <c r="N382" t="s">
        <v>62</v>
      </c>
      <c r="O382" t="s">
        <v>46</v>
      </c>
      <c r="P382">
        <v>2</v>
      </c>
      <c r="Q382" t="s">
        <v>75</v>
      </c>
      <c r="R382" t="s">
        <v>76</v>
      </c>
      <c r="S382" t="s">
        <v>63</v>
      </c>
      <c r="T382">
        <v>292</v>
      </c>
      <c r="U382" t="s">
        <v>50</v>
      </c>
      <c r="V382" t="s">
        <v>64</v>
      </c>
      <c r="W382" t="s">
        <v>558</v>
      </c>
      <c r="X382" t="s">
        <v>66</v>
      </c>
      <c r="Y382" t="s">
        <v>67</v>
      </c>
      <c r="AA382">
        <v>0</v>
      </c>
      <c r="AB382" t="s">
        <v>54</v>
      </c>
      <c r="AC382" t="s">
        <v>78</v>
      </c>
      <c r="AD382">
        <v>34</v>
      </c>
      <c r="AE382">
        <v>8</v>
      </c>
      <c r="AF382">
        <v>3</v>
      </c>
      <c r="AG382">
        <v>2025</v>
      </c>
      <c r="AH382" s="13">
        <v>2000</v>
      </c>
      <c r="AI382" s="13">
        <v>2472.279052734375</v>
      </c>
      <c r="AJ382" s="13">
        <f t="shared" si="40"/>
        <v>472.279052734375</v>
      </c>
      <c r="AK382" s="14">
        <f t="shared" si="41"/>
        <v>0.23613952636718749</v>
      </c>
      <c r="AL382" s="9">
        <v>2000</v>
      </c>
      <c r="AM382" s="9">
        <v>2489.861646481449</v>
      </c>
      <c r="AN382" s="9">
        <f t="shared" si="42"/>
        <v>489.86164648144904</v>
      </c>
      <c r="AO382" s="10">
        <f t="shared" si="43"/>
        <v>0.24493082324072452</v>
      </c>
      <c r="AP382" s="16">
        <v>2000</v>
      </c>
      <c r="AQ382" s="16">
        <v>2085.546922289444</v>
      </c>
      <c r="AR382" s="16">
        <f t="shared" si="44"/>
        <v>85.546922289443955</v>
      </c>
      <c r="AS382" s="17">
        <f t="shared" si="45"/>
        <v>4.2773461144721976E-2</v>
      </c>
      <c r="AT382" s="6">
        <v>2000</v>
      </c>
      <c r="AU382" s="6">
        <v>2392.49609375</v>
      </c>
      <c r="AV382" s="6">
        <f t="shared" si="46"/>
        <v>392.49609375</v>
      </c>
      <c r="AW382" s="7">
        <f t="shared" si="47"/>
        <v>0.196248046875</v>
      </c>
    </row>
    <row r="383" spans="1:49" x14ac:dyDescent="0.25">
      <c r="A383" t="s">
        <v>38</v>
      </c>
      <c r="B383" t="s">
        <v>132</v>
      </c>
      <c r="C383">
        <v>65587</v>
      </c>
      <c r="D383">
        <v>2024</v>
      </c>
      <c r="E383" t="s">
        <v>79</v>
      </c>
      <c r="F383" t="s">
        <v>164</v>
      </c>
      <c r="G383" t="s">
        <v>287</v>
      </c>
      <c r="I383">
        <v>4</v>
      </c>
      <c r="J383" t="s">
        <v>74</v>
      </c>
      <c r="K383">
        <v>4</v>
      </c>
      <c r="L383" t="s">
        <v>44</v>
      </c>
      <c r="M383">
        <v>1.5</v>
      </c>
      <c r="N383" t="s">
        <v>44</v>
      </c>
      <c r="O383" t="s">
        <v>46</v>
      </c>
      <c r="P383">
        <v>4</v>
      </c>
      <c r="Q383" t="s">
        <v>47</v>
      </c>
      <c r="R383" t="s">
        <v>48</v>
      </c>
      <c r="S383" t="s">
        <v>139</v>
      </c>
      <c r="U383" t="s">
        <v>50</v>
      </c>
      <c r="V383" t="s">
        <v>95</v>
      </c>
      <c r="W383" t="s">
        <v>561</v>
      </c>
      <c r="X383" t="s">
        <v>52</v>
      </c>
      <c r="Y383" t="s">
        <v>106</v>
      </c>
      <c r="AA383">
        <v>0</v>
      </c>
      <c r="AB383" t="s">
        <v>54</v>
      </c>
      <c r="AC383" t="s">
        <v>55</v>
      </c>
      <c r="AD383">
        <v>34</v>
      </c>
      <c r="AE383">
        <v>8</v>
      </c>
      <c r="AF383">
        <v>3</v>
      </c>
      <c r="AG383">
        <v>2025</v>
      </c>
      <c r="AH383" s="13">
        <v>16800</v>
      </c>
      <c r="AI383" s="13">
        <v>23359.962890625</v>
      </c>
      <c r="AJ383" s="13">
        <f t="shared" si="40"/>
        <v>6559.962890625</v>
      </c>
      <c r="AK383" s="14">
        <f t="shared" si="41"/>
        <v>0.39047398158482144</v>
      </c>
      <c r="AL383" s="9">
        <v>16800</v>
      </c>
      <c r="AM383" s="9">
        <v>21508.265067482062</v>
      </c>
      <c r="AN383" s="9">
        <f t="shared" si="42"/>
        <v>4708.2650674820616</v>
      </c>
      <c r="AO383" s="10">
        <f t="shared" si="43"/>
        <v>0.28025387306440841</v>
      </c>
      <c r="AP383" s="16">
        <v>16800</v>
      </c>
      <c r="AQ383" s="16">
        <v>20013.35292239656</v>
      </c>
      <c r="AR383" s="16">
        <f t="shared" si="44"/>
        <v>3213.3529223965597</v>
      </c>
      <c r="AS383" s="17">
        <f t="shared" si="45"/>
        <v>0.1912710072855095</v>
      </c>
      <c r="AT383" s="6">
        <v>16800</v>
      </c>
      <c r="AU383" s="6">
        <v>21201.3515625</v>
      </c>
      <c r="AV383" s="6">
        <f t="shared" si="46"/>
        <v>4401.3515625</v>
      </c>
      <c r="AW383" s="7">
        <f t="shared" si="47"/>
        <v>0.26198521205357145</v>
      </c>
    </row>
    <row r="384" spans="1:49" x14ac:dyDescent="0.25">
      <c r="A384" t="s">
        <v>56</v>
      </c>
      <c r="B384" t="s">
        <v>303</v>
      </c>
      <c r="C384">
        <v>140241</v>
      </c>
      <c r="D384">
        <v>2013</v>
      </c>
      <c r="E384" t="s">
        <v>269</v>
      </c>
      <c r="F384" t="s">
        <v>487</v>
      </c>
      <c r="G384" t="s">
        <v>764</v>
      </c>
      <c r="I384">
        <v>8</v>
      </c>
      <c r="J384" t="s">
        <v>82</v>
      </c>
      <c r="K384">
        <v>4</v>
      </c>
      <c r="L384" t="s">
        <v>44</v>
      </c>
      <c r="M384">
        <v>4.4000000000000004</v>
      </c>
      <c r="N384" t="s">
        <v>44</v>
      </c>
      <c r="O384" t="s">
        <v>46</v>
      </c>
      <c r="P384">
        <v>3</v>
      </c>
      <c r="Q384" t="s">
        <v>47</v>
      </c>
      <c r="R384" t="s">
        <v>48</v>
      </c>
      <c r="S384" t="s">
        <v>139</v>
      </c>
      <c r="T384">
        <v>400</v>
      </c>
      <c r="U384" t="s">
        <v>50</v>
      </c>
      <c r="X384" t="s">
        <v>66</v>
      </c>
      <c r="Y384" t="s">
        <v>67</v>
      </c>
      <c r="AA384">
        <v>0</v>
      </c>
      <c r="AB384" t="s">
        <v>54</v>
      </c>
      <c r="AC384" t="s">
        <v>55</v>
      </c>
      <c r="AD384">
        <v>34</v>
      </c>
      <c r="AE384">
        <v>8</v>
      </c>
      <c r="AF384">
        <v>3</v>
      </c>
      <c r="AG384">
        <v>2025</v>
      </c>
      <c r="AH384" s="13">
        <v>2200</v>
      </c>
      <c r="AI384" s="13">
        <v>3570.5966796875</v>
      </c>
      <c r="AJ384" s="13">
        <f t="shared" si="40"/>
        <v>1370.5966796875</v>
      </c>
      <c r="AK384" s="14">
        <f t="shared" si="41"/>
        <v>0.6229984907670455</v>
      </c>
      <c r="AL384" s="9">
        <v>2200</v>
      </c>
      <c r="AM384" s="9">
        <v>3530.8849302271078</v>
      </c>
      <c r="AN384" s="9">
        <f t="shared" si="42"/>
        <v>1330.8849302271078</v>
      </c>
      <c r="AO384" s="10">
        <f t="shared" si="43"/>
        <v>0.60494769555777628</v>
      </c>
      <c r="AP384" s="16">
        <v>2200</v>
      </c>
      <c r="AQ384" s="16">
        <v>2382.6129823889032</v>
      </c>
      <c r="AR384" s="16">
        <f t="shared" si="44"/>
        <v>182.61298238890322</v>
      </c>
      <c r="AS384" s="17">
        <f t="shared" si="45"/>
        <v>8.30059010858651E-2</v>
      </c>
      <c r="AT384" s="6">
        <v>2200</v>
      </c>
      <c r="AU384" s="6">
        <v>3753.015380859375</v>
      </c>
      <c r="AV384" s="6">
        <f t="shared" si="46"/>
        <v>1553.015380859375</v>
      </c>
      <c r="AW384" s="7">
        <f t="shared" si="47"/>
        <v>0.70591608220880686</v>
      </c>
    </row>
    <row r="385" spans="1:49" x14ac:dyDescent="0.25">
      <c r="A385" t="s">
        <v>38</v>
      </c>
      <c r="B385" t="s">
        <v>267</v>
      </c>
      <c r="C385">
        <v>99911</v>
      </c>
      <c r="D385">
        <v>2019</v>
      </c>
      <c r="E385" t="s">
        <v>71</v>
      </c>
      <c r="F385" t="s">
        <v>294</v>
      </c>
      <c r="I385">
        <v>6</v>
      </c>
      <c r="J385" t="s">
        <v>74</v>
      </c>
      <c r="K385">
        <v>4</v>
      </c>
      <c r="L385" t="s">
        <v>44</v>
      </c>
      <c r="M385">
        <v>3.5</v>
      </c>
      <c r="N385" t="s">
        <v>45</v>
      </c>
      <c r="O385" t="s">
        <v>83</v>
      </c>
      <c r="Q385" t="s">
        <v>84</v>
      </c>
      <c r="R385" t="s">
        <v>85</v>
      </c>
      <c r="S385" t="s">
        <v>49</v>
      </c>
      <c r="U385" t="s">
        <v>50</v>
      </c>
      <c r="X385" t="s">
        <v>87</v>
      </c>
      <c r="Y385" t="s">
        <v>67</v>
      </c>
      <c r="AA385">
        <v>0</v>
      </c>
      <c r="AB385" t="s">
        <v>54</v>
      </c>
      <c r="AC385" t="s">
        <v>89</v>
      </c>
      <c r="AD385">
        <v>34</v>
      </c>
      <c r="AE385">
        <v>8</v>
      </c>
      <c r="AF385">
        <v>3</v>
      </c>
      <c r="AG385">
        <v>2025</v>
      </c>
      <c r="AH385" s="13">
        <v>1800</v>
      </c>
      <c r="AI385" s="13">
        <v>2970.85205078125</v>
      </c>
      <c r="AJ385" s="13">
        <f t="shared" si="40"/>
        <v>1170.85205078125</v>
      </c>
      <c r="AK385" s="14">
        <f t="shared" si="41"/>
        <v>0.65047336154513891</v>
      </c>
      <c r="AL385" s="9">
        <v>1800</v>
      </c>
      <c r="AM385" s="9">
        <v>3017.2575427902548</v>
      </c>
      <c r="AN385" s="9">
        <f t="shared" si="42"/>
        <v>1217.2575427902548</v>
      </c>
      <c r="AO385" s="10">
        <f t="shared" si="43"/>
        <v>0.67625419043903046</v>
      </c>
      <c r="AP385" s="16">
        <v>1800</v>
      </c>
      <c r="AQ385" s="16">
        <v>2439.708820867249</v>
      </c>
      <c r="AR385" s="16">
        <f t="shared" si="44"/>
        <v>639.70882086724896</v>
      </c>
      <c r="AS385" s="17">
        <f t="shared" si="45"/>
        <v>0.35539378937069388</v>
      </c>
      <c r="AT385" s="6">
        <v>1800</v>
      </c>
      <c r="AU385" s="6">
        <v>2737.357177734375</v>
      </c>
      <c r="AV385" s="6">
        <f t="shared" si="46"/>
        <v>937.357177734375</v>
      </c>
      <c r="AW385" s="7">
        <f t="shared" si="47"/>
        <v>0.5207539876302083</v>
      </c>
    </row>
    <row r="386" spans="1:49" x14ac:dyDescent="0.25">
      <c r="A386" t="s">
        <v>38</v>
      </c>
      <c r="B386" t="s">
        <v>229</v>
      </c>
      <c r="C386">
        <v>59606</v>
      </c>
      <c r="D386">
        <v>2022</v>
      </c>
      <c r="E386" t="s">
        <v>40</v>
      </c>
      <c r="F386" t="s">
        <v>621</v>
      </c>
      <c r="G386" t="s">
        <v>765</v>
      </c>
      <c r="I386">
        <v>4</v>
      </c>
      <c r="J386" t="s">
        <v>43</v>
      </c>
      <c r="K386">
        <v>4</v>
      </c>
      <c r="L386" t="s">
        <v>44</v>
      </c>
      <c r="M386">
        <v>1.6</v>
      </c>
      <c r="N386" t="s">
        <v>45</v>
      </c>
      <c r="O386" t="s">
        <v>323</v>
      </c>
      <c r="P386">
        <v>1</v>
      </c>
      <c r="Q386" t="s">
        <v>84</v>
      </c>
      <c r="R386" t="s">
        <v>85</v>
      </c>
      <c r="U386" t="s">
        <v>50</v>
      </c>
      <c r="W386" t="s">
        <v>623</v>
      </c>
      <c r="X386" t="s">
        <v>87</v>
      </c>
      <c r="Y386" t="s">
        <v>67</v>
      </c>
      <c r="AA386">
        <v>0</v>
      </c>
      <c r="AB386" t="s">
        <v>54</v>
      </c>
      <c r="AC386" t="s">
        <v>89</v>
      </c>
      <c r="AD386">
        <v>34</v>
      </c>
      <c r="AE386">
        <v>8</v>
      </c>
      <c r="AF386">
        <v>3</v>
      </c>
      <c r="AG386">
        <v>2025</v>
      </c>
      <c r="AH386" s="13">
        <v>3500</v>
      </c>
      <c r="AI386" s="13">
        <v>3680.4658203125</v>
      </c>
      <c r="AJ386" s="13">
        <f t="shared" si="40"/>
        <v>180.4658203125</v>
      </c>
      <c r="AK386" s="14">
        <f t="shared" si="41"/>
        <v>5.1561662946428569E-2</v>
      </c>
      <c r="AL386" s="9">
        <v>3500</v>
      </c>
      <c r="AM386" s="9">
        <v>5457.032616084849</v>
      </c>
      <c r="AN386" s="9">
        <f t="shared" si="42"/>
        <v>1957.032616084849</v>
      </c>
      <c r="AO386" s="10">
        <f t="shared" si="43"/>
        <v>0.55915217602424261</v>
      </c>
      <c r="AP386" s="16">
        <v>3500</v>
      </c>
      <c r="AQ386" s="16">
        <v>4872.4560650752392</v>
      </c>
      <c r="AR386" s="16">
        <f t="shared" si="44"/>
        <v>1372.4560650752392</v>
      </c>
      <c r="AS386" s="17">
        <f t="shared" si="45"/>
        <v>0.39213030430721119</v>
      </c>
      <c r="AT386" s="6">
        <v>3500</v>
      </c>
      <c r="AU386" s="6">
        <v>5191.99609375</v>
      </c>
      <c r="AV386" s="6">
        <f t="shared" si="46"/>
        <v>1691.99609375</v>
      </c>
      <c r="AW386" s="7">
        <f t="shared" si="47"/>
        <v>0.48342745535714288</v>
      </c>
    </row>
    <row r="387" spans="1:49" x14ac:dyDescent="0.25">
      <c r="A387" t="s">
        <v>56</v>
      </c>
      <c r="B387" t="s">
        <v>57</v>
      </c>
      <c r="C387">
        <v>28530</v>
      </c>
      <c r="D387">
        <v>2023</v>
      </c>
      <c r="E387" t="s">
        <v>213</v>
      </c>
      <c r="F387" t="s">
        <v>766</v>
      </c>
      <c r="G387" t="s">
        <v>236</v>
      </c>
      <c r="I387">
        <v>6</v>
      </c>
      <c r="J387" t="s">
        <v>61</v>
      </c>
      <c r="K387">
        <v>4</v>
      </c>
      <c r="L387" t="s">
        <v>44</v>
      </c>
      <c r="M387">
        <v>3.6</v>
      </c>
      <c r="N387" t="s">
        <v>44</v>
      </c>
      <c r="O387" t="s">
        <v>46</v>
      </c>
      <c r="P387">
        <v>4</v>
      </c>
      <c r="Q387" t="s">
        <v>47</v>
      </c>
      <c r="R387" t="s">
        <v>48</v>
      </c>
      <c r="S387" t="s">
        <v>139</v>
      </c>
      <c r="U387" t="s">
        <v>50</v>
      </c>
      <c r="V387" t="s">
        <v>64</v>
      </c>
      <c r="W387" t="s">
        <v>393</v>
      </c>
      <c r="X387" t="s">
        <v>66</v>
      </c>
      <c r="Y387" t="s">
        <v>67</v>
      </c>
      <c r="AA387">
        <v>0</v>
      </c>
      <c r="AB387" t="s">
        <v>54</v>
      </c>
      <c r="AC387" t="s">
        <v>68</v>
      </c>
      <c r="AD387">
        <v>34</v>
      </c>
      <c r="AE387">
        <v>8</v>
      </c>
      <c r="AF387">
        <v>3</v>
      </c>
      <c r="AG387">
        <v>2025</v>
      </c>
      <c r="AH387" s="13">
        <v>39200</v>
      </c>
      <c r="AI387" s="13">
        <v>43345.19921875</v>
      </c>
      <c r="AJ387" s="13">
        <f t="shared" ref="AJ387:AJ450" si="48">ABS(AH387-AI387)</f>
        <v>4145.19921875</v>
      </c>
      <c r="AK387" s="14">
        <f t="shared" ref="AK387:AK450" si="49">ABS($AH387-AI387)/$AH387</f>
        <v>0.10574487802933673</v>
      </c>
      <c r="AL387" s="9">
        <v>39200</v>
      </c>
      <c r="AM387" s="9">
        <v>38715.909578491897</v>
      </c>
      <c r="AN387" s="9">
        <f t="shared" ref="AN387:AN450" si="50">ABS(AL387-AM387)</f>
        <v>484.09042150810274</v>
      </c>
      <c r="AO387" s="10">
        <f t="shared" ref="AO387:AO450" si="51">ABS($AL387-AM387)/$AL387</f>
        <v>1.2349245446635274E-2</v>
      </c>
      <c r="AP387" s="16">
        <v>39200</v>
      </c>
      <c r="AQ387" s="16">
        <v>33787.595069435789</v>
      </c>
      <c r="AR387" s="16">
        <f t="shared" ref="AR387:AR450" si="52">ABS(AP387-AQ387)</f>
        <v>5412.4049305642111</v>
      </c>
      <c r="AS387" s="17">
        <f t="shared" ref="AS387:AS450" si="53">ABS($AP387-AQ387)/$AP387</f>
        <v>0.13807155435112783</v>
      </c>
      <c r="AT387" s="6">
        <v>39200</v>
      </c>
      <c r="AU387" s="6">
        <v>37049.6953125</v>
      </c>
      <c r="AV387" s="6">
        <f t="shared" ref="AV387:AV450" si="54">ABS(AT387-AU387)</f>
        <v>2150.3046875</v>
      </c>
      <c r="AW387" s="7">
        <f t="shared" ref="AW387:AW450" si="55">ABS($AT387-AU387)/$AT387</f>
        <v>5.4854711415816326E-2</v>
      </c>
    </row>
    <row r="388" spans="1:49" x14ac:dyDescent="0.25">
      <c r="A388" t="s">
        <v>69</v>
      </c>
      <c r="B388" t="s">
        <v>70</v>
      </c>
      <c r="C388">
        <v>99499</v>
      </c>
      <c r="D388">
        <v>2017</v>
      </c>
      <c r="E388" t="s">
        <v>71</v>
      </c>
      <c r="F388" t="s">
        <v>208</v>
      </c>
      <c r="I388">
        <v>6</v>
      </c>
      <c r="J388" t="s">
        <v>94</v>
      </c>
      <c r="K388">
        <v>4</v>
      </c>
      <c r="L388" t="s">
        <v>44</v>
      </c>
      <c r="M388">
        <v>3.5</v>
      </c>
      <c r="N388" t="s">
        <v>44</v>
      </c>
      <c r="O388" t="s">
        <v>46</v>
      </c>
      <c r="P388">
        <v>4</v>
      </c>
      <c r="Q388" t="s">
        <v>47</v>
      </c>
      <c r="R388" t="s">
        <v>207</v>
      </c>
      <c r="S388" t="s">
        <v>63</v>
      </c>
      <c r="U388" t="s">
        <v>50</v>
      </c>
      <c r="X388" t="s">
        <v>141</v>
      </c>
      <c r="Y388" t="s">
        <v>67</v>
      </c>
      <c r="AA388">
        <v>0</v>
      </c>
      <c r="AB388" t="s">
        <v>54</v>
      </c>
      <c r="AC388" t="s">
        <v>55</v>
      </c>
      <c r="AD388">
        <v>34</v>
      </c>
      <c r="AE388">
        <v>8</v>
      </c>
      <c r="AF388">
        <v>3</v>
      </c>
      <c r="AG388">
        <v>2025</v>
      </c>
      <c r="AH388" s="13">
        <v>7600</v>
      </c>
      <c r="AI388" s="13">
        <v>8664.296875</v>
      </c>
      <c r="AJ388" s="13">
        <f t="shared" si="48"/>
        <v>1064.296875</v>
      </c>
      <c r="AK388" s="14">
        <f t="shared" si="49"/>
        <v>0.14003906250000001</v>
      </c>
      <c r="AL388" s="9">
        <v>7600</v>
      </c>
      <c r="AM388" s="9">
        <v>8416.270190027617</v>
      </c>
      <c r="AN388" s="9">
        <f t="shared" si="50"/>
        <v>816.27019002761699</v>
      </c>
      <c r="AO388" s="10">
        <f t="shared" si="51"/>
        <v>0.10740397237205487</v>
      </c>
      <c r="AP388" s="16">
        <v>7600</v>
      </c>
      <c r="AQ388" s="16">
        <v>9350.295847051033</v>
      </c>
      <c r="AR388" s="16">
        <f t="shared" si="52"/>
        <v>1750.295847051033</v>
      </c>
      <c r="AS388" s="17">
        <f t="shared" si="53"/>
        <v>0.23030208513829381</v>
      </c>
      <c r="AT388" s="6">
        <v>7600</v>
      </c>
      <c r="AU388" s="6">
        <v>9437.8984375</v>
      </c>
      <c r="AV388" s="6">
        <f t="shared" si="54"/>
        <v>1837.8984375</v>
      </c>
      <c r="AW388" s="7">
        <f t="shared" si="55"/>
        <v>0.2418287417763158</v>
      </c>
    </row>
    <row r="389" spans="1:49" x14ac:dyDescent="0.25">
      <c r="A389" t="s">
        <v>107</v>
      </c>
      <c r="B389" t="s">
        <v>256</v>
      </c>
      <c r="C389">
        <v>122104</v>
      </c>
      <c r="D389">
        <v>2016</v>
      </c>
      <c r="E389" t="s">
        <v>79</v>
      </c>
      <c r="F389" t="s">
        <v>179</v>
      </c>
      <c r="G389" t="s">
        <v>434</v>
      </c>
      <c r="I389">
        <v>4</v>
      </c>
      <c r="J389" t="s">
        <v>101</v>
      </c>
      <c r="K389">
        <v>4</v>
      </c>
      <c r="L389" t="s">
        <v>44</v>
      </c>
      <c r="M389">
        <v>1.4</v>
      </c>
      <c r="N389" t="s">
        <v>45</v>
      </c>
      <c r="O389" t="s">
        <v>46</v>
      </c>
      <c r="P389">
        <v>2</v>
      </c>
      <c r="Q389" t="s">
        <v>47</v>
      </c>
      <c r="R389" t="s">
        <v>48</v>
      </c>
      <c r="S389" t="s">
        <v>102</v>
      </c>
      <c r="U389" t="s">
        <v>50</v>
      </c>
      <c r="V389" t="s">
        <v>95</v>
      </c>
      <c r="W389" t="s">
        <v>624</v>
      </c>
      <c r="X389" t="s">
        <v>52</v>
      </c>
      <c r="Y389" t="s">
        <v>106</v>
      </c>
      <c r="AA389">
        <v>0</v>
      </c>
      <c r="AB389" t="s">
        <v>54</v>
      </c>
      <c r="AC389" t="s">
        <v>55</v>
      </c>
      <c r="AD389">
        <v>34</v>
      </c>
      <c r="AE389">
        <v>8</v>
      </c>
      <c r="AF389">
        <v>3</v>
      </c>
      <c r="AG389">
        <v>2025</v>
      </c>
      <c r="AH389" s="13">
        <v>1100</v>
      </c>
      <c r="AI389" s="13">
        <v>2924.62158203125</v>
      </c>
      <c r="AJ389" s="13">
        <f t="shared" si="48"/>
        <v>1824.62158203125</v>
      </c>
      <c r="AK389" s="14">
        <f t="shared" si="49"/>
        <v>1.6587468927556819</v>
      </c>
      <c r="AL389" s="9">
        <v>1100</v>
      </c>
      <c r="AM389" s="9">
        <v>2818.3828603786642</v>
      </c>
      <c r="AN389" s="9">
        <f t="shared" si="50"/>
        <v>1718.3828603786642</v>
      </c>
      <c r="AO389" s="10">
        <f t="shared" si="51"/>
        <v>1.5621662367078766</v>
      </c>
      <c r="AP389" s="16">
        <v>1100</v>
      </c>
      <c r="AQ389" s="16">
        <v>2093.2574539849579</v>
      </c>
      <c r="AR389" s="16">
        <f t="shared" si="52"/>
        <v>993.25745398495792</v>
      </c>
      <c r="AS389" s="17">
        <f t="shared" si="53"/>
        <v>0.90296132180450717</v>
      </c>
      <c r="AT389" s="6">
        <v>1100</v>
      </c>
      <c r="AU389" s="6">
        <v>2497.068603515625</v>
      </c>
      <c r="AV389" s="6">
        <f t="shared" si="54"/>
        <v>1397.068603515625</v>
      </c>
      <c r="AW389" s="7">
        <f t="shared" si="55"/>
        <v>1.2700623668323863</v>
      </c>
    </row>
    <row r="390" spans="1:49" x14ac:dyDescent="0.25">
      <c r="A390" t="s">
        <v>69</v>
      </c>
      <c r="B390" t="s">
        <v>70</v>
      </c>
      <c r="C390">
        <v>54009</v>
      </c>
      <c r="D390">
        <v>2018</v>
      </c>
      <c r="E390" t="s">
        <v>71</v>
      </c>
      <c r="F390" t="s">
        <v>294</v>
      </c>
      <c r="I390">
        <v>6</v>
      </c>
      <c r="J390" t="s">
        <v>43</v>
      </c>
      <c r="K390">
        <v>4</v>
      </c>
      <c r="L390" t="s">
        <v>44</v>
      </c>
      <c r="M390">
        <v>3.5</v>
      </c>
      <c r="N390" t="s">
        <v>45</v>
      </c>
      <c r="O390" t="s">
        <v>46</v>
      </c>
      <c r="P390">
        <v>4</v>
      </c>
      <c r="Q390" t="s">
        <v>84</v>
      </c>
      <c r="R390" t="s">
        <v>85</v>
      </c>
      <c r="S390" t="s">
        <v>49</v>
      </c>
      <c r="U390" t="s">
        <v>50</v>
      </c>
      <c r="V390" t="s">
        <v>64</v>
      </c>
      <c r="X390" t="s">
        <v>87</v>
      </c>
      <c r="Y390" t="s">
        <v>67</v>
      </c>
      <c r="Z390">
        <v>33420</v>
      </c>
      <c r="AA390">
        <v>0</v>
      </c>
      <c r="AB390" t="s">
        <v>54</v>
      </c>
      <c r="AC390" t="s">
        <v>89</v>
      </c>
      <c r="AD390">
        <v>34</v>
      </c>
      <c r="AE390">
        <v>8</v>
      </c>
      <c r="AF390">
        <v>3</v>
      </c>
      <c r="AG390">
        <v>2025</v>
      </c>
      <c r="AH390" s="13">
        <v>19100</v>
      </c>
      <c r="AI390" s="13">
        <v>13358.892578125</v>
      </c>
      <c r="AJ390" s="13">
        <f t="shared" si="48"/>
        <v>5741.107421875</v>
      </c>
      <c r="AK390" s="14">
        <f t="shared" si="49"/>
        <v>0.30058154041230367</v>
      </c>
      <c r="AL390" s="9">
        <v>19100</v>
      </c>
      <c r="AM390" s="9">
        <v>12268.359546313521</v>
      </c>
      <c r="AN390" s="9">
        <f t="shared" si="50"/>
        <v>6831.6404536864793</v>
      </c>
      <c r="AO390" s="10">
        <f t="shared" si="51"/>
        <v>0.35767751066421355</v>
      </c>
      <c r="AP390" s="16">
        <v>19100</v>
      </c>
      <c r="AQ390" s="16">
        <v>15795.13352837725</v>
      </c>
      <c r="AR390" s="16">
        <f t="shared" si="52"/>
        <v>3304.8664716227504</v>
      </c>
      <c r="AS390" s="17">
        <f t="shared" si="53"/>
        <v>0.17302965820014399</v>
      </c>
      <c r="AT390" s="6">
        <v>19100</v>
      </c>
      <c r="AU390" s="6">
        <v>14564.3955078125</v>
      </c>
      <c r="AV390" s="6">
        <f t="shared" si="54"/>
        <v>4535.6044921875</v>
      </c>
      <c r="AW390" s="7">
        <f t="shared" si="55"/>
        <v>0.23746620377945027</v>
      </c>
    </row>
    <row r="391" spans="1:49" x14ac:dyDescent="0.25">
      <c r="A391" t="s">
        <v>38</v>
      </c>
      <c r="B391" t="s">
        <v>229</v>
      </c>
      <c r="C391">
        <v>37996</v>
      </c>
      <c r="D391">
        <v>2019</v>
      </c>
      <c r="E391" t="s">
        <v>145</v>
      </c>
      <c r="F391" t="s">
        <v>349</v>
      </c>
      <c r="G391" t="s">
        <v>284</v>
      </c>
      <c r="I391">
        <v>4</v>
      </c>
      <c r="J391" t="s">
        <v>43</v>
      </c>
      <c r="K391">
        <v>4</v>
      </c>
      <c r="L391" t="s">
        <v>44</v>
      </c>
      <c r="M391">
        <v>2</v>
      </c>
      <c r="N391" t="s">
        <v>45</v>
      </c>
      <c r="Q391" t="s">
        <v>84</v>
      </c>
      <c r="R391" t="s">
        <v>85</v>
      </c>
      <c r="S391" t="s">
        <v>49</v>
      </c>
      <c r="T391">
        <v>158</v>
      </c>
      <c r="U391" t="s">
        <v>50</v>
      </c>
      <c r="V391" t="s">
        <v>95</v>
      </c>
      <c r="W391" t="s">
        <v>552</v>
      </c>
      <c r="X391" t="s">
        <v>122</v>
      </c>
      <c r="Y391" t="s">
        <v>67</v>
      </c>
      <c r="Z391">
        <v>20250</v>
      </c>
      <c r="AA391">
        <v>0</v>
      </c>
      <c r="AB391" t="s">
        <v>54</v>
      </c>
      <c r="AC391" t="s">
        <v>89</v>
      </c>
      <c r="AD391">
        <v>34</v>
      </c>
      <c r="AE391">
        <v>8</v>
      </c>
      <c r="AF391">
        <v>3</v>
      </c>
      <c r="AG391">
        <v>2025</v>
      </c>
      <c r="AH391" s="13">
        <v>7000</v>
      </c>
      <c r="AI391" s="13">
        <v>15444.4697265625</v>
      </c>
      <c r="AJ391" s="13">
        <f t="shared" si="48"/>
        <v>8444.4697265625</v>
      </c>
      <c r="AK391" s="14">
        <f t="shared" si="49"/>
        <v>1.2063528180803571</v>
      </c>
      <c r="AL391" s="9">
        <v>7000</v>
      </c>
      <c r="AM391" s="9">
        <v>15183.504546470571</v>
      </c>
      <c r="AN391" s="9">
        <f t="shared" si="50"/>
        <v>8183.5045464705709</v>
      </c>
      <c r="AO391" s="10">
        <f t="shared" si="51"/>
        <v>1.1690720780672244</v>
      </c>
      <c r="AP391" s="16">
        <v>7000</v>
      </c>
      <c r="AQ391" s="16">
        <v>16508.04000654526</v>
      </c>
      <c r="AR391" s="16">
        <f t="shared" si="52"/>
        <v>9508.0400065452595</v>
      </c>
      <c r="AS391" s="17">
        <f t="shared" si="53"/>
        <v>1.3582914295064656</v>
      </c>
      <c r="AT391" s="6">
        <v>7000</v>
      </c>
      <c r="AU391" s="6">
        <v>14085.361328125</v>
      </c>
      <c r="AV391" s="6">
        <f t="shared" si="54"/>
        <v>7085.361328125</v>
      </c>
      <c r="AW391" s="7">
        <f t="shared" si="55"/>
        <v>1.0121944754464285</v>
      </c>
    </row>
    <row r="392" spans="1:49" x14ac:dyDescent="0.25">
      <c r="A392" t="s">
        <v>56</v>
      </c>
      <c r="B392" t="s">
        <v>196</v>
      </c>
      <c r="C392">
        <v>155623</v>
      </c>
      <c r="D392">
        <v>2008</v>
      </c>
      <c r="E392" t="s">
        <v>58</v>
      </c>
      <c r="F392" t="s">
        <v>767</v>
      </c>
      <c r="I392">
        <v>4</v>
      </c>
      <c r="J392" t="s">
        <v>43</v>
      </c>
      <c r="K392">
        <v>2</v>
      </c>
      <c r="L392" t="s">
        <v>44</v>
      </c>
      <c r="M392">
        <v>2.2999999999999998</v>
      </c>
      <c r="N392" t="s">
        <v>116</v>
      </c>
      <c r="O392" t="s">
        <v>46</v>
      </c>
      <c r="Q392" t="s">
        <v>75</v>
      </c>
      <c r="R392" t="s">
        <v>76</v>
      </c>
      <c r="S392" t="s">
        <v>49</v>
      </c>
      <c r="T392">
        <v>143</v>
      </c>
      <c r="U392" t="s">
        <v>50</v>
      </c>
      <c r="V392" t="s">
        <v>95</v>
      </c>
      <c r="X392" t="s">
        <v>52</v>
      </c>
      <c r="Y392" t="s">
        <v>67</v>
      </c>
      <c r="AA392">
        <v>0</v>
      </c>
      <c r="AB392" t="s">
        <v>54</v>
      </c>
      <c r="AC392" t="s">
        <v>78</v>
      </c>
      <c r="AD392">
        <v>34</v>
      </c>
      <c r="AE392">
        <v>8</v>
      </c>
      <c r="AF392">
        <v>3</v>
      </c>
      <c r="AG392">
        <v>2025</v>
      </c>
      <c r="AH392" s="13">
        <v>3400</v>
      </c>
      <c r="AI392" s="13">
        <v>2631.8623046875</v>
      </c>
      <c r="AJ392" s="13">
        <f t="shared" si="48"/>
        <v>768.1376953125</v>
      </c>
      <c r="AK392" s="14">
        <f t="shared" si="49"/>
        <v>0.2259228515625</v>
      </c>
      <c r="AL392" s="9">
        <v>3400</v>
      </c>
      <c r="AM392" s="9">
        <v>3415.122749781985</v>
      </c>
      <c r="AN392" s="9">
        <f t="shared" si="50"/>
        <v>15.122749781985021</v>
      </c>
      <c r="AO392" s="10">
        <f t="shared" si="51"/>
        <v>4.4478675829367712E-3</v>
      </c>
      <c r="AP392" s="16">
        <v>3400</v>
      </c>
      <c r="AQ392" s="16">
        <v>2271.3595072560229</v>
      </c>
      <c r="AR392" s="16">
        <f t="shared" si="52"/>
        <v>1128.6404927439771</v>
      </c>
      <c r="AS392" s="17">
        <f t="shared" si="53"/>
        <v>0.33195308610116975</v>
      </c>
      <c r="AT392" s="6">
        <v>3400</v>
      </c>
      <c r="AU392" s="6">
        <v>2722.388671875</v>
      </c>
      <c r="AV392" s="6">
        <f t="shared" si="54"/>
        <v>677.611328125</v>
      </c>
      <c r="AW392" s="7">
        <f t="shared" si="55"/>
        <v>0.19929744944852942</v>
      </c>
    </row>
    <row r="393" spans="1:49" x14ac:dyDescent="0.25">
      <c r="A393" t="s">
        <v>38</v>
      </c>
      <c r="B393" t="s">
        <v>132</v>
      </c>
      <c r="C393">
        <v>1915</v>
      </c>
      <c r="D393">
        <v>2024</v>
      </c>
      <c r="E393" t="s">
        <v>217</v>
      </c>
      <c r="F393" t="s">
        <v>388</v>
      </c>
      <c r="G393" t="s">
        <v>451</v>
      </c>
      <c r="H393" t="s">
        <v>768</v>
      </c>
      <c r="I393">
        <v>6</v>
      </c>
      <c r="J393" t="s">
        <v>43</v>
      </c>
      <c r="K393">
        <v>4</v>
      </c>
      <c r="L393" t="s">
        <v>44</v>
      </c>
      <c r="M393">
        <v>6.7</v>
      </c>
      <c r="N393" t="s">
        <v>62</v>
      </c>
      <c r="O393" t="s">
        <v>46</v>
      </c>
      <c r="P393">
        <v>5</v>
      </c>
      <c r="Q393" t="s">
        <v>75</v>
      </c>
      <c r="R393" t="s">
        <v>76</v>
      </c>
      <c r="S393" t="s">
        <v>63</v>
      </c>
      <c r="T393">
        <v>370</v>
      </c>
      <c r="U393" t="s">
        <v>300</v>
      </c>
      <c r="V393" t="s">
        <v>95</v>
      </c>
      <c r="X393" t="s">
        <v>390</v>
      </c>
      <c r="Y393" t="s">
        <v>106</v>
      </c>
      <c r="AA393">
        <v>0</v>
      </c>
      <c r="AB393" t="s">
        <v>54</v>
      </c>
      <c r="AC393" t="s">
        <v>78</v>
      </c>
      <c r="AD393">
        <v>34</v>
      </c>
      <c r="AE393">
        <v>8</v>
      </c>
      <c r="AF393">
        <v>3</v>
      </c>
      <c r="AG393">
        <v>2025</v>
      </c>
      <c r="AH393" s="13">
        <v>48400</v>
      </c>
      <c r="AI393" s="13">
        <v>51116.625</v>
      </c>
      <c r="AJ393" s="13">
        <f t="shared" si="48"/>
        <v>2716.625</v>
      </c>
      <c r="AK393" s="14">
        <f t="shared" si="49"/>
        <v>5.6128615702479338E-2</v>
      </c>
      <c r="AL393" s="9">
        <v>48400</v>
      </c>
      <c r="AM393" s="9">
        <v>41300.259163075563</v>
      </c>
      <c r="AN393" s="9">
        <f t="shared" si="50"/>
        <v>7099.7408369244367</v>
      </c>
      <c r="AO393" s="10">
        <f t="shared" si="51"/>
        <v>0.14668886026703382</v>
      </c>
      <c r="AP393" s="16">
        <v>48400</v>
      </c>
      <c r="AQ393" s="16">
        <v>53067.730036268818</v>
      </c>
      <c r="AR393" s="16">
        <f t="shared" si="52"/>
        <v>4667.7300362688184</v>
      </c>
      <c r="AS393" s="17">
        <f t="shared" si="53"/>
        <v>9.6440703228694594E-2</v>
      </c>
      <c r="AT393" s="6">
        <v>48400</v>
      </c>
      <c r="AU393" s="6">
        <v>55131.92578125</v>
      </c>
      <c r="AV393" s="6">
        <f t="shared" si="54"/>
        <v>6731.92578125</v>
      </c>
      <c r="AW393" s="7">
        <f t="shared" si="55"/>
        <v>0.13908937564566115</v>
      </c>
    </row>
    <row r="394" spans="1:49" x14ac:dyDescent="0.25">
      <c r="A394" t="s">
        <v>69</v>
      </c>
      <c r="B394" t="s">
        <v>70</v>
      </c>
      <c r="C394">
        <v>207576</v>
      </c>
      <c r="D394">
        <v>2015</v>
      </c>
      <c r="E394" t="s">
        <v>79</v>
      </c>
      <c r="F394" t="s">
        <v>465</v>
      </c>
      <c r="G394" t="s">
        <v>273</v>
      </c>
      <c r="H394" t="s">
        <v>435</v>
      </c>
      <c r="I394">
        <v>8</v>
      </c>
      <c r="J394" t="s">
        <v>43</v>
      </c>
      <c r="K394">
        <v>4</v>
      </c>
      <c r="L394" t="s">
        <v>44</v>
      </c>
      <c r="M394">
        <v>5.3</v>
      </c>
      <c r="N394" t="s">
        <v>62</v>
      </c>
      <c r="O394" t="s">
        <v>46</v>
      </c>
      <c r="P394">
        <v>2</v>
      </c>
      <c r="Q394" t="s">
        <v>47</v>
      </c>
      <c r="R394" t="s">
        <v>48</v>
      </c>
      <c r="S394" t="s">
        <v>63</v>
      </c>
      <c r="U394" t="s">
        <v>50</v>
      </c>
      <c r="W394" t="s">
        <v>163</v>
      </c>
      <c r="X394" t="s">
        <v>77</v>
      </c>
      <c r="Y394" t="s">
        <v>67</v>
      </c>
      <c r="AA394">
        <v>0</v>
      </c>
      <c r="AB394" t="s">
        <v>54</v>
      </c>
      <c r="AC394" t="s">
        <v>55</v>
      </c>
      <c r="AD394">
        <v>34</v>
      </c>
      <c r="AE394">
        <v>8</v>
      </c>
      <c r="AF394">
        <v>3</v>
      </c>
      <c r="AG394">
        <v>2025</v>
      </c>
      <c r="AH394" s="13">
        <v>6100</v>
      </c>
      <c r="AI394" s="13">
        <v>5493.357421875</v>
      </c>
      <c r="AJ394" s="13">
        <f t="shared" si="48"/>
        <v>606.642578125</v>
      </c>
      <c r="AK394" s="14">
        <f t="shared" si="49"/>
        <v>9.9449602971311474E-2</v>
      </c>
      <c r="AL394" s="9">
        <v>6100</v>
      </c>
      <c r="AM394" s="9">
        <v>6458.1476133508086</v>
      </c>
      <c r="AN394" s="9">
        <f t="shared" si="50"/>
        <v>358.14761335080857</v>
      </c>
      <c r="AO394" s="10">
        <f t="shared" si="51"/>
        <v>5.8712723500132555E-2</v>
      </c>
      <c r="AP394" s="16">
        <v>6100</v>
      </c>
      <c r="AQ394" s="16">
        <v>4707.6469690537642</v>
      </c>
      <c r="AR394" s="16">
        <f t="shared" si="52"/>
        <v>1392.3530309462358</v>
      </c>
      <c r="AS394" s="17">
        <f t="shared" si="53"/>
        <v>0.22825459523708783</v>
      </c>
      <c r="AT394" s="6">
        <v>6100</v>
      </c>
      <c r="AU394" s="6">
        <v>6322.8701171875</v>
      </c>
      <c r="AV394" s="6">
        <f t="shared" si="54"/>
        <v>222.8701171875</v>
      </c>
      <c r="AW394" s="7">
        <f t="shared" si="55"/>
        <v>3.6536084784836068E-2</v>
      </c>
    </row>
    <row r="395" spans="1:49" x14ac:dyDescent="0.25">
      <c r="A395" t="s">
        <v>69</v>
      </c>
      <c r="B395" t="s">
        <v>160</v>
      </c>
      <c r="C395">
        <v>153414</v>
      </c>
      <c r="D395">
        <v>2016</v>
      </c>
      <c r="E395" t="s">
        <v>91</v>
      </c>
      <c r="F395" t="s">
        <v>92</v>
      </c>
      <c r="H395" t="s">
        <v>755</v>
      </c>
      <c r="I395">
        <v>4</v>
      </c>
      <c r="J395" t="s">
        <v>94</v>
      </c>
      <c r="K395">
        <v>4</v>
      </c>
      <c r="L395" t="s">
        <v>44</v>
      </c>
      <c r="M395">
        <v>2.5</v>
      </c>
      <c r="N395" t="s">
        <v>45</v>
      </c>
      <c r="O395" t="s">
        <v>46</v>
      </c>
      <c r="Q395" t="s">
        <v>84</v>
      </c>
      <c r="R395" t="s">
        <v>85</v>
      </c>
      <c r="S395" t="s">
        <v>49</v>
      </c>
      <c r="T395">
        <v>268</v>
      </c>
      <c r="U395" t="s">
        <v>50</v>
      </c>
      <c r="V395" t="s">
        <v>95</v>
      </c>
      <c r="W395" t="s">
        <v>537</v>
      </c>
      <c r="X395" t="s">
        <v>87</v>
      </c>
      <c r="Y395" t="s">
        <v>67</v>
      </c>
      <c r="AA395">
        <v>0</v>
      </c>
      <c r="AB395" t="s">
        <v>54</v>
      </c>
      <c r="AC395" t="s">
        <v>89</v>
      </c>
      <c r="AD395">
        <v>34</v>
      </c>
      <c r="AE395">
        <v>8</v>
      </c>
      <c r="AF395">
        <v>3</v>
      </c>
      <c r="AG395">
        <v>2025</v>
      </c>
      <c r="AH395" s="13">
        <v>6600</v>
      </c>
      <c r="AI395" s="13">
        <v>3672.36083984375</v>
      </c>
      <c r="AJ395" s="13">
        <f t="shared" si="48"/>
        <v>2927.63916015625</v>
      </c>
      <c r="AK395" s="14">
        <f t="shared" si="49"/>
        <v>0.44358169093276517</v>
      </c>
      <c r="AL395" s="9">
        <v>6600</v>
      </c>
      <c r="AM395" s="9">
        <v>4337.2241545337656</v>
      </c>
      <c r="AN395" s="9">
        <f t="shared" si="50"/>
        <v>2262.7758454662344</v>
      </c>
      <c r="AO395" s="10">
        <f t="shared" si="51"/>
        <v>0.34284482507064157</v>
      </c>
      <c r="AP395" s="16">
        <v>6600</v>
      </c>
      <c r="AQ395" s="16">
        <v>3562.755045336221</v>
      </c>
      <c r="AR395" s="16">
        <f t="shared" si="52"/>
        <v>3037.244954663779</v>
      </c>
      <c r="AS395" s="17">
        <f t="shared" si="53"/>
        <v>0.46018862949451195</v>
      </c>
      <c r="AT395" s="6">
        <v>6600</v>
      </c>
      <c r="AU395" s="6">
        <v>4248.4736328125</v>
      </c>
      <c r="AV395" s="6">
        <f t="shared" si="54"/>
        <v>2351.5263671875</v>
      </c>
      <c r="AW395" s="7">
        <f t="shared" si="55"/>
        <v>0.35629187381628785</v>
      </c>
    </row>
    <row r="396" spans="1:49" x14ac:dyDescent="0.25">
      <c r="A396" t="s">
        <v>38</v>
      </c>
      <c r="B396" t="s">
        <v>410</v>
      </c>
      <c r="C396">
        <v>128887</v>
      </c>
      <c r="D396">
        <v>2017</v>
      </c>
      <c r="E396" t="s">
        <v>58</v>
      </c>
      <c r="F396" t="s">
        <v>646</v>
      </c>
      <c r="G396" t="s">
        <v>171</v>
      </c>
      <c r="I396">
        <v>6</v>
      </c>
      <c r="J396" t="s">
        <v>74</v>
      </c>
      <c r="K396">
        <v>4</v>
      </c>
      <c r="L396" t="s">
        <v>44</v>
      </c>
      <c r="M396">
        <v>3.5</v>
      </c>
      <c r="N396" t="s">
        <v>45</v>
      </c>
      <c r="O396" t="s">
        <v>46</v>
      </c>
      <c r="P396">
        <v>1</v>
      </c>
      <c r="Q396" t="s">
        <v>84</v>
      </c>
      <c r="R396" t="s">
        <v>85</v>
      </c>
      <c r="S396" t="s">
        <v>102</v>
      </c>
      <c r="T396">
        <v>288</v>
      </c>
      <c r="U396" t="s">
        <v>50</v>
      </c>
      <c r="V396" t="s">
        <v>64</v>
      </c>
      <c r="W396" t="s">
        <v>769</v>
      </c>
      <c r="X396" t="s">
        <v>87</v>
      </c>
      <c r="Y396" t="s">
        <v>67</v>
      </c>
      <c r="Z396">
        <v>36855</v>
      </c>
      <c r="AA396">
        <v>0</v>
      </c>
      <c r="AB396" t="s">
        <v>54</v>
      </c>
      <c r="AC396" t="s">
        <v>89</v>
      </c>
      <c r="AD396">
        <v>34</v>
      </c>
      <c r="AE396">
        <v>8</v>
      </c>
      <c r="AF396">
        <v>3</v>
      </c>
      <c r="AG396">
        <v>2025</v>
      </c>
      <c r="AH396" s="13">
        <v>1400</v>
      </c>
      <c r="AI396" s="13">
        <v>3558.16552734375</v>
      </c>
      <c r="AJ396" s="13">
        <f t="shared" si="48"/>
        <v>2158.16552734375</v>
      </c>
      <c r="AK396" s="14">
        <f t="shared" si="49"/>
        <v>1.5415468052455357</v>
      </c>
      <c r="AL396" s="9">
        <v>1400</v>
      </c>
      <c r="AM396" s="9">
        <v>3522.2353418261409</v>
      </c>
      <c r="AN396" s="9">
        <f t="shared" si="50"/>
        <v>2122.2353418261409</v>
      </c>
      <c r="AO396" s="10">
        <f t="shared" si="51"/>
        <v>1.5158823870186722</v>
      </c>
      <c r="AP396" s="16">
        <v>1400</v>
      </c>
      <c r="AQ396" s="16">
        <v>3251.379102870731</v>
      </c>
      <c r="AR396" s="16">
        <f t="shared" si="52"/>
        <v>1851.379102870731</v>
      </c>
      <c r="AS396" s="17">
        <f t="shared" si="53"/>
        <v>1.3224136449076651</v>
      </c>
      <c r="AT396" s="6">
        <v>1400</v>
      </c>
      <c r="AU396" s="6">
        <v>3321.6015625</v>
      </c>
      <c r="AV396" s="6">
        <f t="shared" si="54"/>
        <v>1921.6015625</v>
      </c>
      <c r="AW396" s="7">
        <f t="shared" si="55"/>
        <v>1.3725725446428572</v>
      </c>
    </row>
    <row r="397" spans="1:49" x14ac:dyDescent="0.25">
      <c r="A397" t="s">
        <v>107</v>
      </c>
      <c r="B397" t="s">
        <v>192</v>
      </c>
      <c r="C397">
        <v>775525</v>
      </c>
      <c r="D397">
        <v>2018</v>
      </c>
      <c r="E397" t="s">
        <v>281</v>
      </c>
      <c r="F397" t="s">
        <v>770</v>
      </c>
      <c r="H397" t="s">
        <v>283</v>
      </c>
      <c r="I397">
        <v>6</v>
      </c>
      <c r="J397" t="s">
        <v>94</v>
      </c>
      <c r="K397">
        <v>4</v>
      </c>
      <c r="L397" t="s">
        <v>44</v>
      </c>
      <c r="M397">
        <v>3.7</v>
      </c>
      <c r="N397" t="s">
        <v>45</v>
      </c>
      <c r="O397" t="s">
        <v>46</v>
      </c>
      <c r="Q397" t="s">
        <v>47</v>
      </c>
      <c r="R397" t="s">
        <v>48</v>
      </c>
      <c r="S397" t="s">
        <v>102</v>
      </c>
      <c r="T397">
        <v>303</v>
      </c>
      <c r="U397" t="s">
        <v>50</v>
      </c>
      <c r="V397" t="s">
        <v>64</v>
      </c>
      <c r="W397" t="s">
        <v>771</v>
      </c>
      <c r="X397" t="s">
        <v>141</v>
      </c>
      <c r="Y397" t="s">
        <v>88</v>
      </c>
      <c r="Z397">
        <v>46560</v>
      </c>
      <c r="AA397">
        <v>0</v>
      </c>
      <c r="AB397" t="s">
        <v>54</v>
      </c>
      <c r="AC397" t="s">
        <v>55</v>
      </c>
      <c r="AD397">
        <v>34</v>
      </c>
      <c r="AE397">
        <v>8</v>
      </c>
      <c r="AF397">
        <v>3</v>
      </c>
      <c r="AG397">
        <v>2025</v>
      </c>
      <c r="AH397" s="13">
        <v>15500</v>
      </c>
      <c r="AI397" s="13">
        <v>1836.904296875</v>
      </c>
      <c r="AJ397" s="13">
        <f t="shared" si="48"/>
        <v>13663.095703125</v>
      </c>
      <c r="AK397" s="14">
        <f t="shared" si="49"/>
        <v>0.88149004536290321</v>
      </c>
      <c r="AL397" s="9">
        <v>15500</v>
      </c>
      <c r="AM397" s="9">
        <v>1726.6443403112669</v>
      </c>
      <c r="AN397" s="9">
        <f t="shared" si="50"/>
        <v>13773.355659688734</v>
      </c>
      <c r="AO397" s="10">
        <f t="shared" si="51"/>
        <v>0.88860359094766028</v>
      </c>
      <c r="AP397" s="16">
        <v>15500</v>
      </c>
      <c r="AQ397" s="16">
        <v>3361.5017055499088</v>
      </c>
      <c r="AR397" s="16">
        <f t="shared" si="52"/>
        <v>12138.498294450092</v>
      </c>
      <c r="AS397" s="17">
        <f t="shared" si="53"/>
        <v>0.78312892222258657</v>
      </c>
      <c r="AT397" s="6">
        <v>15500</v>
      </c>
      <c r="AU397" s="6">
        <v>2470.363525390625</v>
      </c>
      <c r="AV397" s="6">
        <f t="shared" si="54"/>
        <v>13029.636474609375</v>
      </c>
      <c r="AW397" s="7">
        <f t="shared" si="55"/>
        <v>0.84062170803931446</v>
      </c>
    </row>
    <row r="398" spans="1:49" x14ac:dyDescent="0.25">
      <c r="A398" t="s">
        <v>56</v>
      </c>
      <c r="B398" t="s">
        <v>196</v>
      </c>
      <c r="C398">
        <v>65969</v>
      </c>
      <c r="D398">
        <v>2018</v>
      </c>
      <c r="E398" t="s">
        <v>98</v>
      </c>
      <c r="F398" t="s">
        <v>772</v>
      </c>
      <c r="G398" t="s">
        <v>100</v>
      </c>
      <c r="I398">
        <v>4</v>
      </c>
      <c r="J398" t="s">
        <v>43</v>
      </c>
      <c r="K398">
        <v>4</v>
      </c>
      <c r="L398" t="s">
        <v>44</v>
      </c>
      <c r="M398">
        <v>2.8</v>
      </c>
      <c r="N398" t="s">
        <v>62</v>
      </c>
      <c r="O398" t="s">
        <v>46</v>
      </c>
      <c r="P398">
        <v>2</v>
      </c>
      <c r="Q398" t="s">
        <v>75</v>
      </c>
      <c r="R398" t="s">
        <v>76</v>
      </c>
      <c r="S398" t="s">
        <v>63</v>
      </c>
      <c r="U398" t="s">
        <v>300</v>
      </c>
      <c r="V398" t="s">
        <v>95</v>
      </c>
      <c r="W398" t="s">
        <v>773</v>
      </c>
      <c r="X398" t="s">
        <v>66</v>
      </c>
      <c r="Y398" t="s">
        <v>67</v>
      </c>
      <c r="Z398">
        <v>31995</v>
      </c>
      <c r="AA398">
        <v>0</v>
      </c>
      <c r="AB398" t="s">
        <v>54</v>
      </c>
      <c r="AC398" t="s">
        <v>78</v>
      </c>
      <c r="AD398">
        <v>34</v>
      </c>
      <c r="AE398">
        <v>8</v>
      </c>
      <c r="AF398">
        <v>3</v>
      </c>
      <c r="AG398">
        <v>2025</v>
      </c>
      <c r="AH398" s="13">
        <v>19400</v>
      </c>
      <c r="AI398" s="13">
        <v>14119.294921875</v>
      </c>
      <c r="AJ398" s="13">
        <f t="shared" si="48"/>
        <v>5280.705078125</v>
      </c>
      <c r="AK398" s="14">
        <f t="shared" si="49"/>
        <v>0.27220129268685567</v>
      </c>
      <c r="AL398" s="9">
        <v>19400</v>
      </c>
      <c r="AM398" s="9">
        <v>16488.996643480648</v>
      </c>
      <c r="AN398" s="9">
        <f t="shared" si="50"/>
        <v>2911.0033565193517</v>
      </c>
      <c r="AO398" s="10">
        <f t="shared" si="51"/>
        <v>0.15005171940821399</v>
      </c>
      <c r="AP398" s="16">
        <v>19400</v>
      </c>
      <c r="AQ398" s="16">
        <v>15077.46376867943</v>
      </c>
      <c r="AR398" s="16">
        <f t="shared" si="52"/>
        <v>4322.5362313205696</v>
      </c>
      <c r="AS398" s="17">
        <f t="shared" si="53"/>
        <v>0.22281114594435927</v>
      </c>
      <c r="AT398" s="6">
        <v>19400</v>
      </c>
      <c r="AU398" s="6">
        <v>16020.8447265625</v>
      </c>
      <c r="AV398" s="6">
        <f t="shared" si="54"/>
        <v>3379.1552734375</v>
      </c>
      <c r="AW398" s="7">
        <f t="shared" si="55"/>
        <v>0.17418326151739691</v>
      </c>
    </row>
    <row r="399" spans="1:49" x14ac:dyDescent="0.25">
      <c r="A399" t="s">
        <v>56</v>
      </c>
      <c r="B399" t="s">
        <v>178</v>
      </c>
      <c r="C399">
        <v>98377</v>
      </c>
      <c r="D399">
        <v>2019</v>
      </c>
      <c r="E399" t="s">
        <v>98</v>
      </c>
      <c r="F399" t="s">
        <v>109</v>
      </c>
      <c r="H399" t="s">
        <v>774</v>
      </c>
      <c r="I399">
        <v>4</v>
      </c>
      <c r="J399" t="s">
        <v>101</v>
      </c>
      <c r="K399">
        <v>4</v>
      </c>
      <c r="L399" t="s">
        <v>44</v>
      </c>
      <c r="M399">
        <v>2</v>
      </c>
      <c r="N399" t="s">
        <v>44</v>
      </c>
      <c r="O399" t="s">
        <v>46</v>
      </c>
      <c r="P399">
        <v>4</v>
      </c>
      <c r="Q399" t="s">
        <v>47</v>
      </c>
      <c r="R399" t="s">
        <v>48</v>
      </c>
      <c r="S399" t="s">
        <v>139</v>
      </c>
      <c r="U399" t="s">
        <v>50</v>
      </c>
      <c r="V399" t="s">
        <v>95</v>
      </c>
      <c r="W399" t="s">
        <v>659</v>
      </c>
      <c r="X399" t="s">
        <v>52</v>
      </c>
      <c r="Y399" t="s">
        <v>106</v>
      </c>
      <c r="AA399">
        <v>0</v>
      </c>
      <c r="AB399" t="s">
        <v>54</v>
      </c>
      <c r="AC399" t="s">
        <v>55</v>
      </c>
      <c r="AD399">
        <v>34</v>
      </c>
      <c r="AE399">
        <v>8</v>
      </c>
      <c r="AF399">
        <v>3</v>
      </c>
      <c r="AG399">
        <v>2025</v>
      </c>
      <c r="AH399" s="13">
        <v>14400</v>
      </c>
      <c r="AI399" s="13">
        <v>12801.498046875</v>
      </c>
      <c r="AJ399" s="13">
        <f t="shared" si="48"/>
        <v>1598.501953125</v>
      </c>
      <c r="AK399" s="14">
        <f t="shared" si="49"/>
        <v>0.111007080078125</v>
      </c>
      <c r="AL399" s="9">
        <v>14400</v>
      </c>
      <c r="AM399" s="9">
        <v>12576.264089838351</v>
      </c>
      <c r="AN399" s="9">
        <f t="shared" si="50"/>
        <v>1823.7359101616494</v>
      </c>
      <c r="AO399" s="10">
        <f t="shared" si="51"/>
        <v>0.12664832709455898</v>
      </c>
      <c r="AP399" s="16">
        <v>14400</v>
      </c>
      <c r="AQ399" s="16">
        <v>10085.851080389881</v>
      </c>
      <c r="AR399" s="16">
        <f t="shared" si="52"/>
        <v>4314.1489196101193</v>
      </c>
      <c r="AS399" s="17">
        <f t="shared" si="53"/>
        <v>0.29959367497292494</v>
      </c>
      <c r="AT399" s="6">
        <v>14400</v>
      </c>
      <c r="AU399" s="6">
        <v>11906.6953125</v>
      </c>
      <c r="AV399" s="6">
        <f t="shared" si="54"/>
        <v>2493.3046875</v>
      </c>
      <c r="AW399" s="7">
        <f t="shared" si="55"/>
        <v>0.17314615885416668</v>
      </c>
    </row>
    <row r="400" spans="1:49" x14ac:dyDescent="0.25">
      <c r="A400" t="s">
        <v>56</v>
      </c>
      <c r="B400" t="s">
        <v>303</v>
      </c>
      <c r="C400">
        <v>38050</v>
      </c>
      <c r="D400">
        <v>2023</v>
      </c>
      <c r="E400" t="s">
        <v>213</v>
      </c>
      <c r="F400" t="s">
        <v>775</v>
      </c>
      <c r="G400" t="s">
        <v>236</v>
      </c>
      <c r="I400">
        <v>4</v>
      </c>
      <c r="J400" t="s">
        <v>82</v>
      </c>
      <c r="K400">
        <v>4</v>
      </c>
      <c r="L400" t="s">
        <v>44</v>
      </c>
      <c r="M400">
        <v>2</v>
      </c>
      <c r="N400" t="s">
        <v>116</v>
      </c>
      <c r="O400" t="s">
        <v>46</v>
      </c>
      <c r="P400">
        <v>4</v>
      </c>
      <c r="Q400" t="s">
        <v>84</v>
      </c>
      <c r="R400" t="s">
        <v>85</v>
      </c>
      <c r="S400" t="s">
        <v>117</v>
      </c>
      <c r="U400" t="s">
        <v>50</v>
      </c>
      <c r="V400" t="s">
        <v>95</v>
      </c>
      <c r="W400" t="s">
        <v>689</v>
      </c>
      <c r="X400" t="s">
        <v>87</v>
      </c>
      <c r="Y400" t="s">
        <v>67</v>
      </c>
      <c r="AA400">
        <v>0</v>
      </c>
      <c r="AB400" t="s">
        <v>54</v>
      </c>
      <c r="AC400" t="s">
        <v>89</v>
      </c>
      <c r="AD400">
        <v>34</v>
      </c>
      <c r="AE400">
        <v>8</v>
      </c>
      <c r="AF400">
        <v>3</v>
      </c>
      <c r="AG400">
        <v>2025</v>
      </c>
      <c r="AH400" s="13">
        <v>32500</v>
      </c>
      <c r="AI400" s="13">
        <v>36496.9921875</v>
      </c>
      <c r="AJ400" s="13">
        <f t="shared" si="48"/>
        <v>3996.9921875</v>
      </c>
      <c r="AK400" s="14">
        <f t="shared" si="49"/>
        <v>0.12298437500000001</v>
      </c>
      <c r="AL400" s="9">
        <v>32500</v>
      </c>
      <c r="AM400" s="9">
        <v>25158.83566027342</v>
      </c>
      <c r="AN400" s="9">
        <f t="shared" si="50"/>
        <v>7341.1643397265798</v>
      </c>
      <c r="AO400" s="10">
        <f t="shared" si="51"/>
        <v>0.22588197968389476</v>
      </c>
      <c r="AP400" s="16">
        <v>32500</v>
      </c>
      <c r="AQ400" s="16">
        <v>31160.289906785722</v>
      </c>
      <c r="AR400" s="16">
        <f t="shared" si="52"/>
        <v>1339.7100932142785</v>
      </c>
      <c r="AS400" s="17">
        <f t="shared" si="53"/>
        <v>4.1221849021977799E-2</v>
      </c>
      <c r="AT400" s="6">
        <v>32500</v>
      </c>
      <c r="AU400" s="6">
        <v>26060.2109375</v>
      </c>
      <c r="AV400" s="6">
        <f t="shared" si="54"/>
        <v>6439.7890625</v>
      </c>
      <c r="AW400" s="7">
        <f t="shared" si="55"/>
        <v>0.19814735576923076</v>
      </c>
    </row>
    <row r="401" spans="1:49" x14ac:dyDescent="0.25">
      <c r="A401" t="s">
        <v>56</v>
      </c>
      <c r="B401" t="s">
        <v>123</v>
      </c>
      <c r="C401">
        <v>167629</v>
      </c>
      <c r="D401">
        <v>2012</v>
      </c>
      <c r="E401" t="s">
        <v>79</v>
      </c>
      <c r="F401" t="s">
        <v>286</v>
      </c>
      <c r="G401" t="s">
        <v>776</v>
      </c>
      <c r="I401">
        <v>6</v>
      </c>
      <c r="J401" t="s">
        <v>43</v>
      </c>
      <c r="K401">
        <v>4</v>
      </c>
      <c r="L401" t="s">
        <v>44</v>
      </c>
      <c r="M401">
        <v>3.6</v>
      </c>
      <c r="N401" t="s">
        <v>45</v>
      </c>
      <c r="O401" t="s">
        <v>46</v>
      </c>
      <c r="P401">
        <v>3</v>
      </c>
      <c r="Q401" t="s">
        <v>84</v>
      </c>
      <c r="R401" t="s">
        <v>85</v>
      </c>
      <c r="U401" t="s">
        <v>50</v>
      </c>
      <c r="V401" t="s">
        <v>64</v>
      </c>
      <c r="W401" t="s">
        <v>777</v>
      </c>
      <c r="X401" t="s">
        <v>87</v>
      </c>
      <c r="Y401" t="s">
        <v>67</v>
      </c>
      <c r="AA401">
        <v>0</v>
      </c>
      <c r="AB401" t="s">
        <v>54</v>
      </c>
      <c r="AC401" t="s">
        <v>89</v>
      </c>
      <c r="AD401">
        <v>34</v>
      </c>
      <c r="AE401">
        <v>8</v>
      </c>
      <c r="AF401">
        <v>3</v>
      </c>
      <c r="AG401">
        <v>2025</v>
      </c>
      <c r="AH401" s="13">
        <v>600</v>
      </c>
      <c r="AI401" s="13">
        <v>1761.660034179688</v>
      </c>
      <c r="AJ401" s="13">
        <f t="shared" si="48"/>
        <v>1161.660034179688</v>
      </c>
      <c r="AK401" s="14">
        <f t="shared" si="49"/>
        <v>1.9361000569661466</v>
      </c>
      <c r="AL401" s="9">
        <v>600</v>
      </c>
      <c r="AM401" s="9">
        <v>1407.1519402230231</v>
      </c>
      <c r="AN401" s="9">
        <f t="shared" si="50"/>
        <v>807.15194022302308</v>
      </c>
      <c r="AO401" s="10">
        <f t="shared" si="51"/>
        <v>1.3452532337050385</v>
      </c>
      <c r="AP401" s="16">
        <v>600</v>
      </c>
      <c r="AQ401" s="16">
        <v>855.99379806220634</v>
      </c>
      <c r="AR401" s="16">
        <f t="shared" si="52"/>
        <v>255.99379806220634</v>
      </c>
      <c r="AS401" s="17">
        <f t="shared" si="53"/>
        <v>0.42665633010367721</v>
      </c>
      <c r="AT401" s="6">
        <v>600</v>
      </c>
      <c r="AU401" s="6">
        <v>1346.326782226562</v>
      </c>
      <c r="AV401" s="6">
        <f t="shared" si="54"/>
        <v>746.32678222656205</v>
      </c>
      <c r="AW401" s="7">
        <f t="shared" si="55"/>
        <v>1.2438779703776035</v>
      </c>
    </row>
    <row r="402" spans="1:49" x14ac:dyDescent="0.25">
      <c r="A402" t="s">
        <v>69</v>
      </c>
      <c r="B402" t="s">
        <v>128</v>
      </c>
      <c r="C402">
        <v>228210</v>
      </c>
      <c r="D402">
        <v>2016</v>
      </c>
      <c r="E402" t="s">
        <v>79</v>
      </c>
      <c r="F402" t="s">
        <v>272</v>
      </c>
      <c r="G402" t="s">
        <v>273</v>
      </c>
      <c r="H402" t="s">
        <v>388</v>
      </c>
      <c r="I402">
        <v>8</v>
      </c>
      <c r="J402" t="s">
        <v>43</v>
      </c>
      <c r="K402">
        <v>4</v>
      </c>
      <c r="L402" t="s">
        <v>44</v>
      </c>
      <c r="M402">
        <v>6</v>
      </c>
      <c r="N402" t="s">
        <v>62</v>
      </c>
      <c r="Q402" t="s">
        <v>75</v>
      </c>
      <c r="R402" t="s">
        <v>76</v>
      </c>
      <c r="S402" t="s">
        <v>63</v>
      </c>
      <c r="U402" t="s">
        <v>50</v>
      </c>
      <c r="W402" t="s">
        <v>778</v>
      </c>
      <c r="X402" t="s">
        <v>390</v>
      </c>
      <c r="Y402" t="s">
        <v>67</v>
      </c>
      <c r="AA402">
        <v>0</v>
      </c>
      <c r="AB402" t="s">
        <v>54</v>
      </c>
      <c r="AC402" t="s">
        <v>78</v>
      </c>
      <c r="AD402">
        <v>34</v>
      </c>
      <c r="AE402">
        <v>8</v>
      </c>
      <c r="AF402">
        <v>3</v>
      </c>
      <c r="AG402">
        <v>2025</v>
      </c>
      <c r="AH402" s="13">
        <v>9600</v>
      </c>
      <c r="AI402" s="13">
        <v>10180.65625</v>
      </c>
      <c r="AJ402" s="13">
        <f t="shared" si="48"/>
        <v>580.65625</v>
      </c>
      <c r="AK402" s="14">
        <f t="shared" si="49"/>
        <v>6.0485026041666667E-2</v>
      </c>
      <c r="AL402" s="9">
        <v>9600</v>
      </c>
      <c r="AM402" s="9">
        <v>8549.7581660780888</v>
      </c>
      <c r="AN402" s="9">
        <f t="shared" si="50"/>
        <v>1050.2418339219112</v>
      </c>
      <c r="AO402" s="10">
        <f t="shared" si="51"/>
        <v>0.10940019103353241</v>
      </c>
      <c r="AP402" s="16">
        <v>9600</v>
      </c>
      <c r="AQ402" s="16">
        <v>8791.7895398469009</v>
      </c>
      <c r="AR402" s="16">
        <f t="shared" si="52"/>
        <v>808.21046015309912</v>
      </c>
      <c r="AS402" s="17">
        <f t="shared" si="53"/>
        <v>8.4188589599281161E-2</v>
      </c>
      <c r="AT402" s="6">
        <v>9600</v>
      </c>
      <c r="AU402" s="6">
        <v>8735.0751953125</v>
      </c>
      <c r="AV402" s="6">
        <f t="shared" si="54"/>
        <v>864.9248046875</v>
      </c>
      <c r="AW402" s="7">
        <f t="shared" si="55"/>
        <v>9.0096333821614583E-2</v>
      </c>
    </row>
    <row r="403" spans="1:49" x14ac:dyDescent="0.25">
      <c r="A403" t="s">
        <v>38</v>
      </c>
      <c r="B403" t="s">
        <v>229</v>
      </c>
      <c r="C403">
        <v>43505</v>
      </c>
      <c r="D403">
        <v>2020</v>
      </c>
      <c r="E403" t="s">
        <v>58</v>
      </c>
      <c r="F403" t="s">
        <v>325</v>
      </c>
      <c r="G403" t="s">
        <v>261</v>
      </c>
      <c r="I403">
        <v>4</v>
      </c>
      <c r="J403" t="s">
        <v>82</v>
      </c>
      <c r="K403">
        <v>4</v>
      </c>
      <c r="L403" t="s">
        <v>44</v>
      </c>
      <c r="M403">
        <v>2</v>
      </c>
      <c r="N403" t="s">
        <v>45</v>
      </c>
      <c r="O403" t="s">
        <v>46</v>
      </c>
      <c r="P403">
        <v>4</v>
      </c>
      <c r="Q403" t="s">
        <v>47</v>
      </c>
      <c r="R403" t="s">
        <v>48</v>
      </c>
      <c r="S403" t="s">
        <v>102</v>
      </c>
      <c r="T403">
        <v>250</v>
      </c>
      <c r="U403" t="s">
        <v>50</v>
      </c>
      <c r="V403" t="s">
        <v>95</v>
      </c>
      <c r="W403" t="s">
        <v>326</v>
      </c>
      <c r="X403" t="s">
        <v>141</v>
      </c>
      <c r="Y403" t="s">
        <v>88</v>
      </c>
      <c r="AA403">
        <v>0</v>
      </c>
      <c r="AB403" t="s">
        <v>54</v>
      </c>
      <c r="AC403" t="s">
        <v>55</v>
      </c>
      <c r="AD403">
        <v>34</v>
      </c>
      <c r="AE403">
        <v>8</v>
      </c>
      <c r="AF403">
        <v>3</v>
      </c>
      <c r="AG403">
        <v>2025</v>
      </c>
      <c r="AH403" s="13">
        <v>19250</v>
      </c>
      <c r="AI403" s="13">
        <v>18806.8125</v>
      </c>
      <c r="AJ403" s="13">
        <f t="shared" si="48"/>
        <v>443.1875</v>
      </c>
      <c r="AK403" s="14">
        <f t="shared" si="49"/>
        <v>2.3022727272727271E-2</v>
      </c>
      <c r="AL403" s="9">
        <v>19250</v>
      </c>
      <c r="AM403" s="9">
        <v>20839.260342783291</v>
      </c>
      <c r="AN403" s="9">
        <f t="shared" si="50"/>
        <v>1589.260342783291</v>
      </c>
      <c r="AO403" s="10">
        <f t="shared" si="51"/>
        <v>8.2558978845885242E-2</v>
      </c>
      <c r="AP403" s="16">
        <v>19250</v>
      </c>
      <c r="AQ403" s="16">
        <v>16106.73050339458</v>
      </c>
      <c r="AR403" s="16">
        <f t="shared" si="52"/>
        <v>3143.2694966054205</v>
      </c>
      <c r="AS403" s="17">
        <f t="shared" si="53"/>
        <v>0.16328672709638548</v>
      </c>
      <c r="AT403" s="6">
        <v>19250</v>
      </c>
      <c r="AU403" s="6">
        <v>17952.73046875</v>
      </c>
      <c r="AV403" s="6">
        <f t="shared" si="54"/>
        <v>1297.26953125</v>
      </c>
      <c r="AW403" s="7">
        <f t="shared" si="55"/>
        <v>6.7390624999999996E-2</v>
      </c>
    </row>
    <row r="404" spans="1:49" x14ac:dyDescent="0.25">
      <c r="A404" t="s">
        <v>38</v>
      </c>
      <c r="B404" t="s">
        <v>132</v>
      </c>
      <c r="C404">
        <v>30173</v>
      </c>
      <c r="D404">
        <v>2022</v>
      </c>
      <c r="E404" t="s">
        <v>79</v>
      </c>
      <c r="F404" t="s">
        <v>585</v>
      </c>
      <c r="G404" t="s">
        <v>273</v>
      </c>
      <c r="I404">
        <v>6</v>
      </c>
      <c r="J404" t="s">
        <v>82</v>
      </c>
      <c r="K404">
        <v>4</v>
      </c>
      <c r="L404" t="s">
        <v>44</v>
      </c>
      <c r="M404">
        <v>3.6</v>
      </c>
      <c r="N404" t="s">
        <v>45</v>
      </c>
      <c r="O404" t="s">
        <v>46</v>
      </c>
      <c r="P404">
        <v>3</v>
      </c>
      <c r="Q404" t="s">
        <v>47</v>
      </c>
      <c r="R404" t="s">
        <v>48</v>
      </c>
      <c r="S404" t="s">
        <v>102</v>
      </c>
      <c r="U404" t="s">
        <v>50</v>
      </c>
      <c r="V404" t="s">
        <v>64</v>
      </c>
      <c r="W404" t="s">
        <v>754</v>
      </c>
      <c r="X404" t="s">
        <v>66</v>
      </c>
      <c r="Y404" t="s">
        <v>67</v>
      </c>
      <c r="AA404">
        <v>0</v>
      </c>
      <c r="AB404" t="s">
        <v>54</v>
      </c>
      <c r="AC404" t="s">
        <v>68</v>
      </c>
      <c r="AD404">
        <v>34</v>
      </c>
      <c r="AE404">
        <v>8</v>
      </c>
      <c r="AF404">
        <v>3</v>
      </c>
      <c r="AG404">
        <v>2025</v>
      </c>
      <c r="AH404" s="13">
        <v>25200</v>
      </c>
      <c r="AI404" s="13">
        <v>29821.759765625</v>
      </c>
      <c r="AJ404" s="13">
        <f t="shared" si="48"/>
        <v>4621.759765625</v>
      </c>
      <c r="AK404" s="14">
        <f t="shared" si="49"/>
        <v>0.18340316530257936</v>
      </c>
      <c r="AL404" s="9">
        <v>25200</v>
      </c>
      <c r="AM404" s="9">
        <v>28792.24089178583</v>
      </c>
      <c r="AN404" s="9">
        <f t="shared" si="50"/>
        <v>3592.2408917858302</v>
      </c>
      <c r="AO404" s="10">
        <f t="shared" si="51"/>
        <v>0.14254924173753294</v>
      </c>
      <c r="AP404" s="16">
        <v>25200</v>
      </c>
      <c r="AQ404" s="16">
        <v>26684.705483073449</v>
      </c>
      <c r="AR404" s="16">
        <f t="shared" si="52"/>
        <v>1484.7054830734487</v>
      </c>
      <c r="AS404" s="17">
        <f t="shared" si="53"/>
        <v>5.891688424894638E-2</v>
      </c>
      <c r="AT404" s="6">
        <v>25200</v>
      </c>
      <c r="AU404" s="6">
        <v>27530.48046875</v>
      </c>
      <c r="AV404" s="6">
        <f t="shared" si="54"/>
        <v>2330.48046875</v>
      </c>
      <c r="AW404" s="7">
        <f t="shared" si="55"/>
        <v>9.2479383680555555E-2</v>
      </c>
    </row>
    <row r="405" spans="1:49" x14ac:dyDescent="0.25">
      <c r="A405" t="s">
        <v>69</v>
      </c>
      <c r="B405" t="s">
        <v>70</v>
      </c>
      <c r="C405">
        <v>47455</v>
      </c>
      <c r="D405">
        <v>2023</v>
      </c>
      <c r="E405" t="s">
        <v>79</v>
      </c>
      <c r="F405" t="s">
        <v>164</v>
      </c>
      <c r="G405" t="s">
        <v>287</v>
      </c>
      <c r="I405">
        <v>4</v>
      </c>
      <c r="J405" t="s">
        <v>101</v>
      </c>
      <c r="K405">
        <v>4</v>
      </c>
      <c r="L405" t="s">
        <v>44</v>
      </c>
      <c r="M405">
        <v>1.5</v>
      </c>
      <c r="N405" t="s">
        <v>45</v>
      </c>
      <c r="O405" t="s">
        <v>46</v>
      </c>
      <c r="P405">
        <v>3</v>
      </c>
      <c r="Q405" t="s">
        <v>47</v>
      </c>
      <c r="R405" t="s">
        <v>48</v>
      </c>
      <c r="S405" t="s">
        <v>102</v>
      </c>
      <c r="U405" t="s">
        <v>50</v>
      </c>
      <c r="V405" t="s">
        <v>95</v>
      </c>
      <c r="W405" t="s">
        <v>561</v>
      </c>
      <c r="X405" t="s">
        <v>52</v>
      </c>
      <c r="Y405" t="s">
        <v>106</v>
      </c>
      <c r="AA405">
        <v>0</v>
      </c>
      <c r="AB405" t="s">
        <v>54</v>
      </c>
      <c r="AC405" t="s">
        <v>55</v>
      </c>
      <c r="AD405">
        <v>34</v>
      </c>
      <c r="AE405">
        <v>8</v>
      </c>
      <c r="AF405">
        <v>3</v>
      </c>
      <c r="AG405">
        <v>2025</v>
      </c>
      <c r="AH405" s="13">
        <v>18100</v>
      </c>
      <c r="AI405" s="13">
        <v>25179.81640625</v>
      </c>
      <c r="AJ405" s="13">
        <f t="shared" si="48"/>
        <v>7079.81640625</v>
      </c>
      <c r="AK405" s="14">
        <f t="shared" si="49"/>
        <v>0.39115007769337018</v>
      </c>
      <c r="AL405" s="9">
        <v>18100</v>
      </c>
      <c r="AM405" s="9">
        <v>19809.245771043119</v>
      </c>
      <c r="AN405" s="9">
        <f t="shared" si="50"/>
        <v>1709.245771043119</v>
      </c>
      <c r="AO405" s="10">
        <f t="shared" si="51"/>
        <v>9.4433468013431984E-2</v>
      </c>
      <c r="AP405" s="16">
        <v>18100</v>
      </c>
      <c r="AQ405" s="16">
        <v>16315.45493532356</v>
      </c>
      <c r="AR405" s="16">
        <f t="shared" si="52"/>
        <v>1784.5450646764402</v>
      </c>
      <c r="AS405" s="17">
        <f t="shared" si="53"/>
        <v>9.8593649982123777E-2</v>
      </c>
      <c r="AT405" s="6">
        <v>18100</v>
      </c>
      <c r="AU405" s="6">
        <v>18670.810546875</v>
      </c>
      <c r="AV405" s="6">
        <f t="shared" si="54"/>
        <v>570.810546875</v>
      </c>
      <c r="AW405" s="7">
        <f t="shared" si="55"/>
        <v>3.1536494302486187E-2</v>
      </c>
    </row>
    <row r="406" spans="1:49" x14ac:dyDescent="0.25">
      <c r="A406" t="s">
        <v>69</v>
      </c>
      <c r="B406" t="s">
        <v>70</v>
      </c>
      <c r="C406">
        <v>59632</v>
      </c>
      <c r="D406">
        <v>2021</v>
      </c>
      <c r="E406" t="s">
        <v>71</v>
      </c>
      <c r="F406" t="s">
        <v>129</v>
      </c>
      <c r="G406" t="s">
        <v>779</v>
      </c>
      <c r="I406">
        <v>4</v>
      </c>
      <c r="J406" t="s">
        <v>82</v>
      </c>
      <c r="K406">
        <v>4</v>
      </c>
      <c r="L406" t="s">
        <v>44</v>
      </c>
      <c r="M406">
        <v>2.5</v>
      </c>
      <c r="N406" t="s">
        <v>45</v>
      </c>
      <c r="O406" t="s">
        <v>46</v>
      </c>
      <c r="P406">
        <v>4</v>
      </c>
      <c r="Q406" t="s">
        <v>84</v>
      </c>
      <c r="R406" t="s">
        <v>85</v>
      </c>
      <c r="S406" t="s">
        <v>49</v>
      </c>
      <c r="U406" t="s">
        <v>50</v>
      </c>
      <c r="X406" t="s">
        <v>87</v>
      </c>
      <c r="Y406" t="s">
        <v>67</v>
      </c>
      <c r="AA406">
        <v>0</v>
      </c>
      <c r="AB406" t="s">
        <v>54</v>
      </c>
      <c r="AC406" t="s">
        <v>89</v>
      </c>
      <c r="AD406">
        <v>34</v>
      </c>
      <c r="AE406">
        <v>8</v>
      </c>
      <c r="AF406">
        <v>3</v>
      </c>
      <c r="AG406">
        <v>2025</v>
      </c>
      <c r="AH406" s="13">
        <v>14000</v>
      </c>
      <c r="AI406" s="13">
        <v>13781.048828125</v>
      </c>
      <c r="AJ406" s="13">
        <f t="shared" si="48"/>
        <v>218.951171875</v>
      </c>
      <c r="AK406" s="14">
        <f t="shared" si="49"/>
        <v>1.5639369419642859E-2</v>
      </c>
      <c r="AL406" s="9">
        <v>14000</v>
      </c>
      <c r="AM406" s="9">
        <v>12460.398932433571</v>
      </c>
      <c r="AN406" s="9">
        <f t="shared" si="50"/>
        <v>1539.6010675664293</v>
      </c>
      <c r="AO406" s="10">
        <f t="shared" si="51"/>
        <v>0.10997150482617352</v>
      </c>
      <c r="AP406" s="16">
        <v>14000</v>
      </c>
      <c r="AQ406" s="16">
        <v>12915.23216213225</v>
      </c>
      <c r="AR406" s="16">
        <f t="shared" si="52"/>
        <v>1084.7678378677501</v>
      </c>
      <c r="AS406" s="17">
        <f t="shared" si="53"/>
        <v>7.7483416990553583E-2</v>
      </c>
      <c r="AT406" s="6">
        <v>14000</v>
      </c>
      <c r="AU406" s="6">
        <v>13454.9853515625</v>
      </c>
      <c r="AV406" s="6">
        <f t="shared" si="54"/>
        <v>545.0146484375</v>
      </c>
      <c r="AW406" s="7">
        <f t="shared" si="55"/>
        <v>3.8929617745535716E-2</v>
      </c>
    </row>
    <row r="407" spans="1:49" x14ac:dyDescent="0.25">
      <c r="A407" t="s">
        <v>56</v>
      </c>
      <c r="B407" t="s">
        <v>196</v>
      </c>
      <c r="C407">
        <v>2086</v>
      </c>
      <c r="D407">
        <v>2025</v>
      </c>
      <c r="E407" t="s">
        <v>71</v>
      </c>
      <c r="F407" t="s">
        <v>780</v>
      </c>
      <c r="G407" t="s">
        <v>332</v>
      </c>
      <c r="I407">
        <v>4</v>
      </c>
      <c r="J407" t="s">
        <v>43</v>
      </c>
      <c r="K407">
        <v>4</v>
      </c>
      <c r="L407" t="s">
        <v>44</v>
      </c>
      <c r="M407">
        <v>2</v>
      </c>
      <c r="N407" t="s">
        <v>45</v>
      </c>
      <c r="Q407" t="s">
        <v>47</v>
      </c>
      <c r="R407" t="s">
        <v>207</v>
      </c>
      <c r="S407" t="s">
        <v>49</v>
      </c>
      <c r="U407" t="s">
        <v>50</v>
      </c>
      <c r="X407" t="s">
        <v>122</v>
      </c>
      <c r="Y407" t="s">
        <v>106</v>
      </c>
      <c r="AA407">
        <v>0</v>
      </c>
      <c r="AB407" t="s">
        <v>54</v>
      </c>
      <c r="AC407" t="s">
        <v>55</v>
      </c>
      <c r="AD407">
        <v>34</v>
      </c>
      <c r="AE407">
        <v>8</v>
      </c>
      <c r="AF407">
        <v>3</v>
      </c>
      <c r="AG407">
        <v>2025</v>
      </c>
      <c r="AH407" s="13">
        <v>22000</v>
      </c>
      <c r="AI407" s="13">
        <v>17981.08984375</v>
      </c>
      <c r="AJ407" s="13">
        <f t="shared" si="48"/>
        <v>4018.91015625</v>
      </c>
      <c r="AK407" s="14">
        <f t="shared" si="49"/>
        <v>0.18267773437500001</v>
      </c>
      <c r="AL407" s="9">
        <v>22000</v>
      </c>
      <c r="AM407" s="9">
        <v>18616.94289425782</v>
      </c>
      <c r="AN407" s="9">
        <f t="shared" si="50"/>
        <v>3383.0571057421803</v>
      </c>
      <c r="AO407" s="10">
        <f t="shared" si="51"/>
        <v>0.15377532298828092</v>
      </c>
      <c r="AP407" s="16">
        <v>22000</v>
      </c>
      <c r="AQ407" s="16">
        <v>20058.053991940342</v>
      </c>
      <c r="AR407" s="16">
        <f t="shared" si="52"/>
        <v>1941.9460080596582</v>
      </c>
      <c r="AS407" s="17">
        <f t="shared" si="53"/>
        <v>8.827027309362083E-2</v>
      </c>
      <c r="AT407" s="6">
        <v>22000</v>
      </c>
      <c r="AU407" s="6">
        <v>17512.013671875</v>
      </c>
      <c r="AV407" s="6">
        <f t="shared" si="54"/>
        <v>4487.986328125</v>
      </c>
      <c r="AW407" s="7">
        <f t="shared" si="55"/>
        <v>0.20399937855113637</v>
      </c>
    </row>
    <row r="408" spans="1:49" x14ac:dyDescent="0.25">
      <c r="A408" t="s">
        <v>38</v>
      </c>
      <c r="B408" t="s">
        <v>132</v>
      </c>
      <c r="C408">
        <v>103790</v>
      </c>
      <c r="D408">
        <v>2018</v>
      </c>
      <c r="E408" t="s">
        <v>173</v>
      </c>
      <c r="F408" t="s">
        <v>631</v>
      </c>
      <c r="G408" t="s">
        <v>171</v>
      </c>
      <c r="I408">
        <v>4</v>
      </c>
      <c r="J408" t="s">
        <v>94</v>
      </c>
      <c r="K408">
        <v>4</v>
      </c>
      <c r="L408" t="s">
        <v>44</v>
      </c>
      <c r="M408">
        <v>2.4</v>
      </c>
      <c r="N408" t="s">
        <v>62</v>
      </c>
      <c r="O408" t="s">
        <v>46</v>
      </c>
      <c r="P408">
        <v>4</v>
      </c>
      <c r="Q408" t="s">
        <v>47</v>
      </c>
      <c r="R408" t="s">
        <v>48</v>
      </c>
      <c r="S408" t="s">
        <v>63</v>
      </c>
      <c r="T408">
        <v>180</v>
      </c>
      <c r="U408" t="s">
        <v>50</v>
      </c>
      <c r="V408" t="s">
        <v>95</v>
      </c>
      <c r="X408" t="s">
        <v>52</v>
      </c>
      <c r="Y408" t="s">
        <v>106</v>
      </c>
      <c r="Z408">
        <v>28795</v>
      </c>
      <c r="AA408">
        <v>0</v>
      </c>
      <c r="AB408" t="s">
        <v>54</v>
      </c>
      <c r="AC408" t="s">
        <v>55</v>
      </c>
      <c r="AD408">
        <v>34</v>
      </c>
      <c r="AE408">
        <v>8</v>
      </c>
      <c r="AF408">
        <v>3</v>
      </c>
      <c r="AG408">
        <v>2025</v>
      </c>
      <c r="AH408" s="13">
        <v>10900</v>
      </c>
      <c r="AI408" s="13">
        <v>10501.6533203125</v>
      </c>
      <c r="AJ408" s="13">
        <f t="shared" si="48"/>
        <v>398.3466796875</v>
      </c>
      <c r="AK408" s="14">
        <f t="shared" si="49"/>
        <v>3.6545566943807339E-2</v>
      </c>
      <c r="AL408" s="9">
        <v>10900</v>
      </c>
      <c r="AM408" s="9">
        <v>11356.19312980611</v>
      </c>
      <c r="AN408" s="9">
        <f t="shared" si="50"/>
        <v>456.19312980610994</v>
      </c>
      <c r="AO408" s="10">
        <f t="shared" si="51"/>
        <v>4.1852580716156877E-2</v>
      </c>
      <c r="AP408" s="16">
        <v>10900</v>
      </c>
      <c r="AQ408" s="16">
        <v>10885.19024885619</v>
      </c>
      <c r="AR408" s="16">
        <f t="shared" si="52"/>
        <v>14.80975114380999</v>
      </c>
      <c r="AS408" s="17">
        <f t="shared" si="53"/>
        <v>1.3586927654871551E-3</v>
      </c>
      <c r="AT408" s="6">
        <v>10900</v>
      </c>
      <c r="AU408" s="6">
        <v>9495.27734375</v>
      </c>
      <c r="AV408" s="6">
        <f t="shared" si="54"/>
        <v>1404.72265625</v>
      </c>
      <c r="AW408" s="7">
        <f t="shared" si="55"/>
        <v>0.1288736381880734</v>
      </c>
    </row>
    <row r="409" spans="1:49" x14ac:dyDescent="0.25">
      <c r="A409" t="s">
        <v>56</v>
      </c>
      <c r="B409" t="s">
        <v>178</v>
      </c>
      <c r="C409">
        <v>75971</v>
      </c>
      <c r="D409">
        <v>2020</v>
      </c>
      <c r="E409" t="s">
        <v>269</v>
      </c>
      <c r="F409" t="s">
        <v>781</v>
      </c>
      <c r="G409" t="s">
        <v>782</v>
      </c>
      <c r="H409" t="s">
        <v>783</v>
      </c>
      <c r="I409">
        <v>4</v>
      </c>
      <c r="J409" t="s">
        <v>82</v>
      </c>
      <c r="K409">
        <v>4</v>
      </c>
      <c r="L409" t="s">
        <v>44</v>
      </c>
      <c r="M409">
        <v>2</v>
      </c>
      <c r="N409" t="s">
        <v>44</v>
      </c>
      <c r="O409" t="s">
        <v>46</v>
      </c>
      <c r="P409">
        <v>3</v>
      </c>
      <c r="Q409" t="s">
        <v>84</v>
      </c>
      <c r="R409" t="s">
        <v>85</v>
      </c>
      <c r="S409" t="s">
        <v>139</v>
      </c>
      <c r="T409">
        <v>255</v>
      </c>
      <c r="U409" t="s">
        <v>50</v>
      </c>
      <c r="X409" t="s">
        <v>87</v>
      </c>
      <c r="Y409" t="s">
        <v>106</v>
      </c>
      <c r="AA409">
        <v>0</v>
      </c>
      <c r="AB409" t="s">
        <v>54</v>
      </c>
      <c r="AC409" t="s">
        <v>89</v>
      </c>
      <c r="AD409">
        <v>34</v>
      </c>
      <c r="AE409">
        <v>8</v>
      </c>
      <c r="AF409">
        <v>3</v>
      </c>
      <c r="AG409">
        <v>2025</v>
      </c>
      <c r="AH409" s="13">
        <v>13600</v>
      </c>
      <c r="AI409" s="13">
        <v>17114.125</v>
      </c>
      <c r="AJ409" s="13">
        <f t="shared" si="48"/>
        <v>3514.125</v>
      </c>
      <c r="AK409" s="14">
        <f t="shared" si="49"/>
        <v>0.25839154411764703</v>
      </c>
      <c r="AL409" s="9">
        <v>13600</v>
      </c>
      <c r="AM409" s="9">
        <v>14628.070277783099</v>
      </c>
      <c r="AN409" s="9">
        <f t="shared" si="50"/>
        <v>1028.0702777830993</v>
      </c>
      <c r="AO409" s="10">
        <f t="shared" si="51"/>
        <v>7.5593402778169061E-2</v>
      </c>
      <c r="AP409" s="16">
        <v>13600</v>
      </c>
      <c r="AQ409" s="16">
        <v>15479.0034217559</v>
      </c>
      <c r="AR409" s="16">
        <f t="shared" si="52"/>
        <v>1879.0034217559005</v>
      </c>
      <c r="AS409" s="17">
        <f t="shared" si="53"/>
        <v>0.13816201630558092</v>
      </c>
      <c r="AT409" s="6">
        <v>13600</v>
      </c>
      <c r="AU409" s="6">
        <v>13668.8408203125</v>
      </c>
      <c r="AV409" s="6">
        <f t="shared" si="54"/>
        <v>68.8408203125</v>
      </c>
      <c r="AW409" s="7">
        <f t="shared" si="55"/>
        <v>5.0618250229779414E-3</v>
      </c>
    </row>
    <row r="410" spans="1:49" x14ac:dyDescent="0.25">
      <c r="A410" t="s">
        <v>107</v>
      </c>
      <c r="B410" t="s">
        <v>108</v>
      </c>
      <c r="C410">
        <v>26240</v>
      </c>
      <c r="D410">
        <v>2023</v>
      </c>
      <c r="E410" t="s">
        <v>217</v>
      </c>
      <c r="F410" t="s">
        <v>784</v>
      </c>
      <c r="G410" t="s">
        <v>785</v>
      </c>
      <c r="I410">
        <v>6</v>
      </c>
      <c r="J410" t="s">
        <v>43</v>
      </c>
      <c r="K410">
        <v>3</v>
      </c>
      <c r="L410" t="s">
        <v>44</v>
      </c>
      <c r="M410">
        <v>3.6</v>
      </c>
      <c r="N410" t="s">
        <v>45</v>
      </c>
      <c r="O410" t="s">
        <v>46</v>
      </c>
      <c r="P410">
        <v>4</v>
      </c>
      <c r="Q410" t="s">
        <v>75</v>
      </c>
      <c r="R410" t="s">
        <v>422</v>
      </c>
      <c r="S410" t="s">
        <v>102</v>
      </c>
      <c r="T410">
        <v>280</v>
      </c>
      <c r="U410" t="s">
        <v>50</v>
      </c>
      <c r="V410" t="s">
        <v>64</v>
      </c>
      <c r="X410" t="s">
        <v>423</v>
      </c>
      <c r="Y410" t="s">
        <v>106</v>
      </c>
      <c r="AA410">
        <v>0</v>
      </c>
      <c r="AB410" t="s">
        <v>54</v>
      </c>
      <c r="AC410" t="s">
        <v>424</v>
      </c>
      <c r="AD410">
        <v>34</v>
      </c>
      <c r="AE410">
        <v>8</v>
      </c>
      <c r="AF410">
        <v>3</v>
      </c>
      <c r="AG410">
        <v>2025</v>
      </c>
      <c r="AH410" s="13">
        <v>21400</v>
      </c>
      <c r="AI410" s="13">
        <v>26233.51953125</v>
      </c>
      <c r="AJ410" s="13">
        <f t="shared" si="48"/>
        <v>4833.51953125</v>
      </c>
      <c r="AK410" s="14">
        <f t="shared" si="49"/>
        <v>0.22586539865654207</v>
      </c>
      <c r="AL410" s="9">
        <v>21400</v>
      </c>
      <c r="AM410" s="9">
        <v>23346.17957113876</v>
      </c>
      <c r="AN410" s="9">
        <f t="shared" si="50"/>
        <v>1946.1795711387604</v>
      </c>
      <c r="AO410" s="10">
        <f t="shared" si="51"/>
        <v>9.0942970613960769E-2</v>
      </c>
      <c r="AP410" s="16">
        <v>21400</v>
      </c>
      <c r="AQ410" s="16">
        <v>30977.799636972279</v>
      </c>
      <c r="AR410" s="16">
        <f t="shared" si="52"/>
        <v>9577.7996369722787</v>
      </c>
      <c r="AS410" s="17">
        <f t="shared" si="53"/>
        <v>0.4475607306996392</v>
      </c>
      <c r="AT410" s="6">
        <v>21400</v>
      </c>
      <c r="AU410" s="6">
        <v>26196.29296875</v>
      </c>
      <c r="AV410" s="6">
        <f t="shared" si="54"/>
        <v>4796.29296875</v>
      </c>
      <c r="AW410" s="7">
        <f t="shared" si="55"/>
        <v>0.22412583966121497</v>
      </c>
    </row>
    <row r="411" spans="1:49" x14ac:dyDescent="0.25">
      <c r="A411" t="s">
        <v>56</v>
      </c>
      <c r="B411" t="s">
        <v>123</v>
      </c>
      <c r="C411">
        <v>144721</v>
      </c>
      <c r="D411">
        <v>2004</v>
      </c>
      <c r="E411" t="s">
        <v>91</v>
      </c>
      <c r="F411" t="s">
        <v>553</v>
      </c>
      <c r="G411" t="s">
        <v>786</v>
      </c>
      <c r="H411" t="s">
        <v>787</v>
      </c>
      <c r="I411">
        <v>6</v>
      </c>
      <c r="J411" t="s">
        <v>74</v>
      </c>
      <c r="K411">
        <v>4</v>
      </c>
      <c r="L411" t="s">
        <v>44</v>
      </c>
      <c r="M411">
        <v>4</v>
      </c>
      <c r="N411" t="s">
        <v>62</v>
      </c>
      <c r="O411" t="s">
        <v>46</v>
      </c>
      <c r="P411">
        <v>4</v>
      </c>
      <c r="Q411" t="s">
        <v>47</v>
      </c>
      <c r="R411" t="s">
        <v>48</v>
      </c>
      <c r="S411" t="s">
        <v>63</v>
      </c>
      <c r="U411" t="s">
        <v>50</v>
      </c>
      <c r="V411" t="s">
        <v>64</v>
      </c>
      <c r="W411" t="s">
        <v>429</v>
      </c>
      <c r="X411" t="s">
        <v>141</v>
      </c>
      <c r="Y411" t="s">
        <v>97</v>
      </c>
      <c r="AA411">
        <v>0</v>
      </c>
      <c r="AB411" t="s">
        <v>54</v>
      </c>
      <c r="AC411" t="s">
        <v>55</v>
      </c>
      <c r="AD411">
        <v>34</v>
      </c>
      <c r="AE411">
        <v>8</v>
      </c>
      <c r="AF411">
        <v>3</v>
      </c>
      <c r="AG411">
        <v>2025</v>
      </c>
      <c r="AH411" s="13">
        <v>3200</v>
      </c>
      <c r="AI411" s="13">
        <v>2565.1708984375</v>
      </c>
      <c r="AJ411" s="13">
        <f t="shared" si="48"/>
        <v>634.8291015625</v>
      </c>
      <c r="AK411" s="14">
        <f t="shared" si="49"/>
        <v>0.19838409423828124</v>
      </c>
      <c r="AL411" s="9">
        <v>3200</v>
      </c>
      <c r="AM411" s="9">
        <v>3485.14903857952</v>
      </c>
      <c r="AN411" s="9">
        <f t="shared" si="50"/>
        <v>285.14903857952004</v>
      </c>
      <c r="AO411" s="10">
        <f t="shared" si="51"/>
        <v>8.910907455610001E-2</v>
      </c>
      <c r="AP411" s="16">
        <v>3200</v>
      </c>
      <c r="AQ411" s="16">
        <v>2346.463043733228</v>
      </c>
      <c r="AR411" s="16">
        <f t="shared" si="52"/>
        <v>853.53695626677199</v>
      </c>
      <c r="AS411" s="17">
        <f t="shared" si="53"/>
        <v>0.26673029883336624</v>
      </c>
      <c r="AT411" s="6">
        <v>3200</v>
      </c>
      <c r="AU411" s="6">
        <v>3212.2431640625</v>
      </c>
      <c r="AV411" s="6">
        <f t="shared" si="54"/>
        <v>12.2431640625</v>
      </c>
      <c r="AW411" s="7">
        <f t="shared" si="55"/>
        <v>3.8259887695312501E-3</v>
      </c>
    </row>
    <row r="412" spans="1:49" x14ac:dyDescent="0.25">
      <c r="A412" t="s">
        <v>38</v>
      </c>
      <c r="B412" t="s">
        <v>167</v>
      </c>
      <c r="C412">
        <v>153855</v>
      </c>
      <c r="D412">
        <v>2014</v>
      </c>
      <c r="E412" t="s">
        <v>113</v>
      </c>
      <c r="F412" t="s">
        <v>788</v>
      </c>
      <c r="G412" t="s">
        <v>476</v>
      </c>
      <c r="I412">
        <v>4</v>
      </c>
      <c r="J412" t="s">
        <v>82</v>
      </c>
      <c r="K412">
        <v>4</v>
      </c>
      <c r="L412" t="s">
        <v>44</v>
      </c>
      <c r="M412">
        <v>2.4</v>
      </c>
      <c r="N412" t="s">
        <v>45</v>
      </c>
      <c r="O412" t="s">
        <v>46</v>
      </c>
      <c r="P412">
        <v>1</v>
      </c>
      <c r="Q412" t="s">
        <v>84</v>
      </c>
      <c r="R412" t="s">
        <v>85</v>
      </c>
      <c r="S412" t="s">
        <v>102</v>
      </c>
      <c r="U412" t="s">
        <v>50</v>
      </c>
      <c r="X412" t="s">
        <v>87</v>
      </c>
      <c r="Y412" t="s">
        <v>67</v>
      </c>
      <c r="AA412">
        <v>0</v>
      </c>
      <c r="AB412" t="s">
        <v>54</v>
      </c>
      <c r="AC412" t="s">
        <v>89</v>
      </c>
      <c r="AD412">
        <v>34</v>
      </c>
      <c r="AE412">
        <v>8</v>
      </c>
      <c r="AF412">
        <v>3</v>
      </c>
      <c r="AG412">
        <v>2025</v>
      </c>
      <c r="AH412" s="13">
        <v>1900</v>
      </c>
      <c r="AI412" s="13">
        <v>1225.4052734375</v>
      </c>
      <c r="AJ412" s="13">
        <f t="shared" si="48"/>
        <v>674.5947265625</v>
      </c>
      <c r="AK412" s="14">
        <f t="shared" si="49"/>
        <v>0.35504985608552631</v>
      </c>
      <c r="AL412" s="9">
        <v>1900</v>
      </c>
      <c r="AM412" s="9">
        <v>1268.136753447759</v>
      </c>
      <c r="AN412" s="9">
        <f t="shared" si="50"/>
        <v>631.86324655224098</v>
      </c>
      <c r="AO412" s="10">
        <f t="shared" si="51"/>
        <v>0.3325596034485479</v>
      </c>
      <c r="AP412" s="16">
        <v>1900</v>
      </c>
      <c r="AQ412" s="16">
        <v>1197.1158408982731</v>
      </c>
      <c r="AR412" s="16">
        <f t="shared" si="52"/>
        <v>702.88415910172694</v>
      </c>
      <c r="AS412" s="17">
        <f t="shared" si="53"/>
        <v>0.36993903110617204</v>
      </c>
      <c r="AT412" s="6">
        <v>1900</v>
      </c>
      <c r="AU412" s="6">
        <v>1173.654541015625</v>
      </c>
      <c r="AV412" s="6">
        <f t="shared" si="54"/>
        <v>726.345458984375</v>
      </c>
      <c r="AW412" s="7">
        <f t="shared" si="55"/>
        <v>0.38228708367598685</v>
      </c>
    </row>
    <row r="413" spans="1:49" x14ac:dyDescent="0.25">
      <c r="A413" t="s">
        <v>38</v>
      </c>
      <c r="B413" t="s">
        <v>289</v>
      </c>
      <c r="C413">
        <v>179035</v>
      </c>
      <c r="D413">
        <v>2007</v>
      </c>
      <c r="E413" t="s">
        <v>91</v>
      </c>
      <c r="F413" t="s">
        <v>789</v>
      </c>
      <c r="H413" t="s">
        <v>790</v>
      </c>
      <c r="I413">
        <v>4</v>
      </c>
      <c r="J413" t="s">
        <v>101</v>
      </c>
      <c r="K413">
        <v>4</v>
      </c>
      <c r="L413" t="s">
        <v>44</v>
      </c>
      <c r="M413">
        <v>1.5</v>
      </c>
      <c r="N413" t="s">
        <v>45</v>
      </c>
      <c r="Q413" t="s">
        <v>84</v>
      </c>
      <c r="R413" t="s">
        <v>157</v>
      </c>
      <c r="S413" t="s">
        <v>49</v>
      </c>
      <c r="T413">
        <v>76</v>
      </c>
      <c r="U413" t="s">
        <v>50</v>
      </c>
      <c r="V413" t="s">
        <v>95</v>
      </c>
      <c r="W413" t="s">
        <v>791</v>
      </c>
      <c r="X413" t="s">
        <v>87</v>
      </c>
      <c r="Y413" t="s">
        <v>97</v>
      </c>
      <c r="AA413">
        <v>1</v>
      </c>
      <c r="AB413" t="s">
        <v>130</v>
      </c>
      <c r="AC413" t="s">
        <v>620</v>
      </c>
      <c r="AD413">
        <v>34</v>
      </c>
      <c r="AE413">
        <v>8</v>
      </c>
      <c r="AF413">
        <v>3</v>
      </c>
      <c r="AG413">
        <v>2025</v>
      </c>
      <c r="AH413" s="13">
        <v>1000</v>
      </c>
      <c r="AI413" s="13">
        <v>1277.373901367188</v>
      </c>
      <c r="AJ413" s="13">
        <f t="shared" si="48"/>
        <v>277.37390136718795</v>
      </c>
      <c r="AK413" s="14">
        <f t="shared" si="49"/>
        <v>0.27737390136718798</v>
      </c>
      <c r="AL413" s="9">
        <v>1000</v>
      </c>
      <c r="AM413" s="9">
        <v>1179.264939980452</v>
      </c>
      <c r="AN413" s="9">
        <f t="shared" si="50"/>
        <v>179.26493998045203</v>
      </c>
      <c r="AO413" s="10">
        <f t="shared" si="51"/>
        <v>0.17926493998045204</v>
      </c>
      <c r="AP413" s="16">
        <v>1000</v>
      </c>
      <c r="AQ413" s="16">
        <v>863.71432986020318</v>
      </c>
      <c r="AR413" s="16">
        <f t="shared" si="52"/>
        <v>136.28567013979682</v>
      </c>
      <c r="AS413" s="17">
        <f t="shared" si="53"/>
        <v>0.13628567013979681</v>
      </c>
      <c r="AT413" s="6">
        <v>1000</v>
      </c>
      <c r="AU413" s="6">
        <v>1121.424438476562</v>
      </c>
      <c r="AV413" s="6">
        <f t="shared" si="54"/>
        <v>121.42443847656205</v>
      </c>
      <c r="AW413" s="7">
        <f t="shared" si="55"/>
        <v>0.12142443847656205</v>
      </c>
    </row>
    <row r="414" spans="1:49" x14ac:dyDescent="0.25">
      <c r="A414" t="s">
        <v>56</v>
      </c>
      <c r="B414" t="s">
        <v>123</v>
      </c>
      <c r="C414">
        <v>136000</v>
      </c>
      <c r="D414">
        <v>2009</v>
      </c>
      <c r="E414" t="s">
        <v>40</v>
      </c>
      <c r="F414" t="s">
        <v>792</v>
      </c>
      <c r="G414" t="s">
        <v>793</v>
      </c>
      <c r="I414">
        <v>4</v>
      </c>
      <c r="J414" t="s">
        <v>101</v>
      </c>
      <c r="K414">
        <v>4</v>
      </c>
      <c r="L414" t="s">
        <v>44</v>
      </c>
      <c r="M414">
        <v>1.6</v>
      </c>
      <c r="N414" t="s">
        <v>45</v>
      </c>
      <c r="O414" t="s">
        <v>46</v>
      </c>
      <c r="P414">
        <v>2</v>
      </c>
      <c r="Q414" t="s">
        <v>84</v>
      </c>
      <c r="R414" t="s">
        <v>85</v>
      </c>
      <c r="U414" t="s">
        <v>50</v>
      </c>
      <c r="X414" t="s">
        <v>87</v>
      </c>
      <c r="Y414" t="s">
        <v>53</v>
      </c>
      <c r="AA414">
        <v>0</v>
      </c>
      <c r="AB414" t="s">
        <v>54</v>
      </c>
      <c r="AC414" t="s">
        <v>89</v>
      </c>
      <c r="AD414">
        <v>34</v>
      </c>
      <c r="AE414">
        <v>8</v>
      </c>
      <c r="AF414">
        <v>3</v>
      </c>
      <c r="AG414">
        <v>2025</v>
      </c>
      <c r="AH414" s="13">
        <v>450</v>
      </c>
      <c r="AI414" s="13">
        <v>554.05169677734375</v>
      </c>
      <c r="AJ414" s="13">
        <f t="shared" si="48"/>
        <v>104.05169677734375</v>
      </c>
      <c r="AK414" s="14">
        <f t="shared" si="49"/>
        <v>0.23122599283854167</v>
      </c>
      <c r="AL414" s="9">
        <v>450</v>
      </c>
      <c r="AM414" s="9">
        <v>642.48644300485751</v>
      </c>
      <c r="AN414" s="9">
        <f t="shared" si="50"/>
        <v>192.48644300485751</v>
      </c>
      <c r="AO414" s="10">
        <f t="shared" si="51"/>
        <v>0.42774765112190555</v>
      </c>
      <c r="AP414" s="16">
        <v>450</v>
      </c>
      <c r="AQ414" s="16">
        <v>603.85020651786999</v>
      </c>
      <c r="AR414" s="16">
        <f t="shared" si="52"/>
        <v>153.85020651786999</v>
      </c>
      <c r="AS414" s="17">
        <f t="shared" si="53"/>
        <v>0.34188934781748886</v>
      </c>
      <c r="AT414" s="6">
        <v>450</v>
      </c>
      <c r="AU414" s="6">
        <v>719.8265380859375</v>
      </c>
      <c r="AV414" s="6">
        <f t="shared" si="54"/>
        <v>269.8265380859375</v>
      </c>
      <c r="AW414" s="7">
        <f t="shared" si="55"/>
        <v>0.59961452907986112</v>
      </c>
    </row>
    <row r="415" spans="1:49" x14ac:dyDescent="0.25">
      <c r="A415" t="s">
        <v>56</v>
      </c>
      <c r="B415" t="s">
        <v>303</v>
      </c>
      <c r="C415">
        <v>82273</v>
      </c>
      <c r="D415">
        <v>2018</v>
      </c>
      <c r="E415" t="s">
        <v>145</v>
      </c>
      <c r="F415" t="s">
        <v>307</v>
      </c>
      <c r="G415" t="s">
        <v>236</v>
      </c>
      <c r="I415">
        <v>4</v>
      </c>
      <c r="J415" t="s">
        <v>101</v>
      </c>
      <c r="K415">
        <v>4</v>
      </c>
      <c r="L415" t="s">
        <v>44</v>
      </c>
      <c r="M415">
        <v>1.5</v>
      </c>
      <c r="N415" t="s">
        <v>45</v>
      </c>
      <c r="O415" t="s">
        <v>46</v>
      </c>
      <c r="P415">
        <v>4</v>
      </c>
      <c r="Q415" t="s">
        <v>84</v>
      </c>
      <c r="R415" t="s">
        <v>85</v>
      </c>
      <c r="S415" t="s">
        <v>49</v>
      </c>
      <c r="T415">
        <v>192</v>
      </c>
      <c r="U415" t="s">
        <v>50</v>
      </c>
      <c r="V415" t="s">
        <v>95</v>
      </c>
      <c r="W415" t="s">
        <v>678</v>
      </c>
      <c r="X415" t="s">
        <v>52</v>
      </c>
      <c r="Y415" t="s">
        <v>67</v>
      </c>
      <c r="Z415">
        <v>25780</v>
      </c>
      <c r="AA415">
        <v>0</v>
      </c>
      <c r="AB415" t="s">
        <v>54</v>
      </c>
      <c r="AC415" t="s">
        <v>89</v>
      </c>
      <c r="AD415">
        <v>34</v>
      </c>
      <c r="AE415">
        <v>8</v>
      </c>
      <c r="AF415">
        <v>3</v>
      </c>
      <c r="AG415">
        <v>2025</v>
      </c>
      <c r="AH415" s="13">
        <v>16200</v>
      </c>
      <c r="AI415" s="13">
        <v>16540.076171875</v>
      </c>
      <c r="AJ415" s="13">
        <f t="shared" si="48"/>
        <v>340.076171875</v>
      </c>
      <c r="AK415" s="14">
        <f t="shared" si="49"/>
        <v>2.0992356288580247E-2</v>
      </c>
      <c r="AL415" s="9">
        <v>16200</v>
      </c>
      <c r="AM415" s="9">
        <v>15681.724895984669</v>
      </c>
      <c r="AN415" s="9">
        <f t="shared" si="50"/>
        <v>518.27510401533073</v>
      </c>
      <c r="AO415" s="10">
        <f t="shared" si="51"/>
        <v>3.1992290371316713E-2</v>
      </c>
      <c r="AP415" s="16">
        <v>16200</v>
      </c>
      <c r="AQ415" s="16">
        <v>14735.16462371221</v>
      </c>
      <c r="AR415" s="16">
        <f t="shared" si="52"/>
        <v>1464.8353762877905</v>
      </c>
      <c r="AS415" s="17">
        <f t="shared" si="53"/>
        <v>9.0421936807888306E-2</v>
      </c>
      <c r="AT415" s="6">
        <v>16200</v>
      </c>
      <c r="AU415" s="6">
        <v>16321.9423828125</v>
      </c>
      <c r="AV415" s="6">
        <f t="shared" si="54"/>
        <v>121.9423828125</v>
      </c>
      <c r="AW415" s="7">
        <f t="shared" si="55"/>
        <v>7.5273075810185185E-3</v>
      </c>
    </row>
    <row r="416" spans="1:49" x14ac:dyDescent="0.25">
      <c r="A416" t="s">
        <v>69</v>
      </c>
      <c r="B416" t="s">
        <v>70</v>
      </c>
      <c r="C416">
        <v>71198</v>
      </c>
      <c r="D416">
        <v>2018</v>
      </c>
      <c r="E416" t="s">
        <v>79</v>
      </c>
      <c r="F416" t="s">
        <v>794</v>
      </c>
      <c r="G416" t="s">
        <v>246</v>
      </c>
      <c r="I416">
        <v>6</v>
      </c>
      <c r="J416" t="s">
        <v>61</v>
      </c>
      <c r="K416">
        <v>2</v>
      </c>
      <c r="L416" t="s">
        <v>44</v>
      </c>
      <c r="M416">
        <v>3.6</v>
      </c>
      <c r="N416" t="s">
        <v>116</v>
      </c>
      <c r="O416" t="s">
        <v>46</v>
      </c>
      <c r="P416">
        <v>3</v>
      </c>
      <c r="Q416" t="s">
        <v>84</v>
      </c>
      <c r="R416" t="s">
        <v>251</v>
      </c>
      <c r="S416" t="s">
        <v>117</v>
      </c>
      <c r="U416" t="s">
        <v>50</v>
      </c>
      <c r="V416" t="s">
        <v>64</v>
      </c>
      <c r="W416" t="s">
        <v>795</v>
      </c>
      <c r="X416" t="s">
        <v>87</v>
      </c>
      <c r="Y416" t="s">
        <v>67</v>
      </c>
      <c r="Z416">
        <v>25905</v>
      </c>
      <c r="AA416">
        <v>0</v>
      </c>
      <c r="AB416" t="s">
        <v>54</v>
      </c>
      <c r="AC416" t="s">
        <v>251</v>
      </c>
      <c r="AD416">
        <v>34</v>
      </c>
      <c r="AE416">
        <v>8</v>
      </c>
      <c r="AF416">
        <v>3</v>
      </c>
      <c r="AG416">
        <v>2025</v>
      </c>
      <c r="AH416" s="13">
        <v>16400</v>
      </c>
      <c r="AI416" s="13">
        <v>16104.9033203125</v>
      </c>
      <c r="AJ416" s="13">
        <f t="shared" si="48"/>
        <v>295.0966796875</v>
      </c>
      <c r="AK416" s="14">
        <f t="shared" si="49"/>
        <v>1.7993699980945122E-2</v>
      </c>
      <c r="AL416" s="9">
        <v>16400</v>
      </c>
      <c r="AM416" s="9">
        <v>14021.93562110425</v>
      </c>
      <c r="AN416" s="9">
        <f t="shared" si="50"/>
        <v>2378.0643788957495</v>
      </c>
      <c r="AO416" s="10">
        <f t="shared" si="51"/>
        <v>0.14500392554242375</v>
      </c>
      <c r="AP416" s="16">
        <v>16400</v>
      </c>
      <c r="AQ416" s="16">
        <v>13786.845635270751</v>
      </c>
      <c r="AR416" s="16">
        <f t="shared" si="52"/>
        <v>2613.1543647292492</v>
      </c>
      <c r="AS416" s="17">
        <f t="shared" si="53"/>
        <v>0.15933868077617372</v>
      </c>
      <c r="AT416" s="6">
        <v>16400</v>
      </c>
      <c r="AU416" s="6">
        <v>14014.26171875</v>
      </c>
      <c r="AV416" s="6">
        <f t="shared" si="54"/>
        <v>2385.73828125</v>
      </c>
      <c r="AW416" s="7">
        <f t="shared" si="55"/>
        <v>0.14547184641768293</v>
      </c>
    </row>
    <row r="417" spans="1:49" x14ac:dyDescent="0.25">
      <c r="A417" t="s">
        <v>107</v>
      </c>
      <c r="B417" t="s">
        <v>154</v>
      </c>
      <c r="C417">
        <v>16819</v>
      </c>
      <c r="D417">
        <v>2023</v>
      </c>
      <c r="E417" t="s">
        <v>79</v>
      </c>
      <c r="F417" t="s">
        <v>411</v>
      </c>
      <c r="G417" t="s">
        <v>761</v>
      </c>
      <c r="I417">
        <v>4</v>
      </c>
      <c r="J417" t="s">
        <v>127</v>
      </c>
      <c r="K417">
        <v>4</v>
      </c>
      <c r="L417" t="s">
        <v>44</v>
      </c>
      <c r="M417">
        <v>2.7</v>
      </c>
      <c r="N417" t="s">
        <v>116</v>
      </c>
      <c r="O417" t="s">
        <v>46</v>
      </c>
      <c r="P417">
        <v>3</v>
      </c>
      <c r="Q417" t="s">
        <v>75</v>
      </c>
      <c r="R417" t="s">
        <v>76</v>
      </c>
      <c r="S417" t="s">
        <v>49</v>
      </c>
      <c r="U417" t="s">
        <v>50</v>
      </c>
      <c r="V417" t="s">
        <v>95</v>
      </c>
      <c r="W417" t="s">
        <v>796</v>
      </c>
      <c r="X417" t="s">
        <v>141</v>
      </c>
      <c r="Y417" t="s">
        <v>67</v>
      </c>
      <c r="AA417">
        <v>0</v>
      </c>
      <c r="AB417" t="s">
        <v>54</v>
      </c>
      <c r="AC417" t="s">
        <v>78</v>
      </c>
      <c r="AD417">
        <v>34</v>
      </c>
      <c r="AE417">
        <v>8</v>
      </c>
      <c r="AF417">
        <v>3</v>
      </c>
      <c r="AG417">
        <v>2025</v>
      </c>
      <c r="AH417" s="13">
        <v>20400</v>
      </c>
      <c r="AI417" s="13">
        <v>26048.333984375</v>
      </c>
      <c r="AJ417" s="13">
        <f t="shared" si="48"/>
        <v>5648.333984375</v>
      </c>
      <c r="AK417" s="14">
        <f t="shared" si="49"/>
        <v>0.27687911688112743</v>
      </c>
      <c r="AL417" s="9">
        <v>20400</v>
      </c>
      <c r="AM417" s="9">
        <v>20905.303030860581</v>
      </c>
      <c r="AN417" s="9">
        <f t="shared" si="50"/>
        <v>505.3030308605812</v>
      </c>
      <c r="AO417" s="10">
        <f t="shared" si="51"/>
        <v>2.4769756414734372E-2</v>
      </c>
      <c r="AP417" s="16">
        <v>20400</v>
      </c>
      <c r="AQ417" s="16">
        <v>19251.10177614808</v>
      </c>
      <c r="AR417" s="16">
        <f t="shared" si="52"/>
        <v>1148.8982238519202</v>
      </c>
      <c r="AS417" s="17">
        <f t="shared" si="53"/>
        <v>5.6318540384898051E-2</v>
      </c>
      <c r="AT417" s="6">
        <v>20400</v>
      </c>
      <c r="AU417" s="6">
        <v>22008.66796875</v>
      </c>
      <c r="AV417" s="6">
        <f t="shared" si="54"/>
        <v>1608.66796875</v>
      </c>
      <c r="AW417" s="7">
        <f t="shared" si="55"/>
        <v>7.8856272977941178E-2</v>
      </c>
    </row>
    <row r="418" spans="1:49" x14ac:dyDescent="0.25">
      <c r="A418" t="s">
        <v>56</v>
      </c>
      <c r="B418" t="s">
        <v>303</v>
      </c>
      <c r="C418">
        <v>107417</v>
      </c>
      <c r="D418">
        <v>2014</v>
      </c>
      <c r="E418" t="s">
        <v>79</v>
      </c>
      <c r="F418" t="s">
        <v>794</v>
      </c>
      <c r="G418" t="s">
        <v>797</v>
      </c>
      <c r="I418">
        <v>8</v>
      </c>
      <c r="J418" t="s">
        <v>43</v>
      </c>
      <c r="K418">
        <v>2</v>
      </c>
      <c r="L418" t="s">
        <v>44</v>
      </c>
      <c r="M418">
        <v>6.2</v>
      </c>
      <c r="N418" t="s">
        <v>116</v>
      </c>
      <c r="O418" t="s">
        <v>46</v>
      </c>
      <c r="P418">
        <v>4</v>
      </c>
      <c r="Q418" t="s">
        <v>84</v>
      </c>
      <c r="R418" t="s">
        <v>251</v>
      </c>
      <c r="U418" t="s">
        <v>50</v>
      </c>
      <c r="W418" t="s">
        <v>798</v>
      </c>
      <c r="X418" t="s">
        <v>87</v>
      </c>
      <c r="Y418" t="s">
        <v>88</v>
      </c>
      <c r="AA418">
        <v>0</v>
      </c>
      <c r="AB418" t="s">
        <v>54</v>
      </c>
      <c r="AC418" t="s">
        <v>251</v>
      </c>
      <c r="AD418">
        <v>34</v>
      </c>
      <c r="AE418">
        <v>8</v>
      </c>
      <c r="AF418">
        <v>3</v>
      </c>
      <c r="AG418">
        <v>2025</v>
      </c>
      <c r="AH418" s="13">
        <v>13000</v>
      </c>
      <c r="AI418" s="13">
        <v>14432.603515625</v>
      </c>
      <c r="AJ418" s="13">
        <f t="shared" si="48"/>
        <v>1432.603515625</v>
      </c>
      <c r="AK418" s="14">
        <f t="shared" si="49"/>
        <v>0.1102002704326923</v>
      </c>
      <c r="AL418" s="9">
        <v>13000</v>
      </c>
      <c r="AM418" s="9">
        <v>13014.19114871752</v>
      </c>
      <c r="AN418" s="9">
        <f t="shared" si="50"/>
        <v>14.191148717520264</v>
      </c>
      <c r="AO418" s="10">
        <f t="shared" si="51"/>
        <v>1.0916268244246356E-3</v>
      </c>
      <c r="AP418" s="16">
        <v>13000</v>
      </c>
      <c r="AQ418" s="16">
        <v>12062.81134382134</v>
      </c>
      <c r="AR418" s="16">
        <f t="shared" si="52"/>
        <v>937.18865617865958</v>
      </c>
      <c r="AS418" s="17">
        <f t="shared" si="53"/>
        <v>7.2091435090666123E-2</v>
      </c>
      <c r="AT418" s="6">
        <v>13000</v>
      </c>
      <c r="AU418" s="6">
        <v>17536.498046875</v>
      </c>
      <c r="AV418" s="6">
        <f t="shared" si="54"/>
        <v>4536.498046875</v>
      </c>
      <c r="AW418" s="7">
        <f t="shared" si="55"/>
        <v>0.34896138822115386</v>
      </c>
    </row>
    <row r="419" spans="1:49" x14ac:dyDescent="0.25">
      <c r="A419" t="s">
        <v>56</v>
      </c>
      <c r="B419" t="s">
        <v>303</v>
      </c>
      <c r="C419">
        <v>189591</v>
      </c>
      <c r="D419">
        <v>2003</v>
      </c>
      <c r="E419" t="s">
        <v>58</v>
      </c>
      <c r="F419" t="s">
        <v>59</v>
      </c>
      <c r="G419" t="s">
        <v>799</v>
      </c>
      <c r="I419">
        <v>6</v>
      </c>
      <c r="J419" t="s">
        <v>210</v>
      </c>
      <c r="K419">
        <v>4</v>
      </c>
      <c r="L419" t="s">
        <v>44</v>
      </c>
      <c r="M419">
        <v>4</v>
      </c>
      <c r="N419" t="s">
        <v>62</v>
      </c>
      <c r="O419" t="s">
        <v>46</v>
      </c>
      <c r="P419">
        <v>2</v>
      </c>
      <c r="Q419" t="s">
        <v>47</v>
      </c>
      <c r="R419" t="s">
        <v>48</v>
      </c>
      <c r="S419" t="s">
        <v>63</v>
      </c>
      <c r="T419">
        <v>210</v>
      </c>
      <c r="U419" t="s">
        <v>50</v>
      </c>
      <c r="V419" t="s">
        <v>64</v>
      </c>
      <c r="X419" t="s">
        <v>141</v>
      </c>
      <c r="Y419" t="s">
        <v>67</v>
      </c>
      <c r="AA419">
        <v>0</v>
      </c>
      <c r="AB419" t="s">
        <v>54</v>
      </c>
      <c r="AC419" t="s">
        <v>55</v>
      </c>
      <c r="AD419">
        <v>34</v>
      </c>
      <c r="AE419">
        <v>8</v>
      </c>
      <c r="AF419">
        <v>3</v>
      </c>
      <c r="AG419">
        <v>2025</v>
      </c>
      <c r="AH419" s="13">
        <v>900</v>
      </c>
      <c r="AI419" s="13">
        <v>469.30630493164063</v>
      </c>
      <c r="AJ419" s="13">
        <f t="shared" si="48"/>
        <v>430.69369506835938</v>
      </c>
      <c r="AK419" s="14">
        <f t="shared" si="49"/>
        <v>0.47854855007595487</v>
      </c>
      <c r="AL419" s="9">
        <v>900</v>
      </c>
      <c r="AM419" s="9">
        <v>608.17631812041293</v>
      </c>
      <c r="AN419" s="9">
        <f t="shared" si="50"/>
        <v>291.82368187958707</v>
      </c>
      <c r="AO419" s="10">
        <f t="shared" si="51"/>
        <v>0.32424853542176341</v>
      </c>
      <c r="AP419" s="16">
        <v>900</v>
      </c>
      <c r="AQ419" s="16">
        <v>530.05534626056487</v>
      </c>
      <c r="AR419" s="16">
        <f t="shared" si="52"/>
        <v>369.94465373943513</v>
      </c>
      <c r="AS419" s="17">
        <f t="shared" si="53"/>
        <v>0.411049615266039</v>
      </c>
      <c r="AT419" s="6">
        <v>900</v>
      </c>
      <c r="AU419" s="6">
        <v>554.4112548828125</v>
      </c>
      <c r="AV419" s="6">
        <f t="shared" si="54"/>
        <v>345.5887451171875</v>
      </c>
      <c r="AW419" s="7">
        <f t="shared" si="55"/>
        <v>0.38398749457465275</v>
      </c>
    </row>
    <row r="420" spans="1:49" x14ac:dyDescent="0.25">
      <c r="A420" t="s">
        <v>69</v>
      </c>
      <c r="B420" t="s">
        <v>545</v>
      </c>
      <c r="C420">
        <v>134760</v>
      </c>
      <c r="D420">
        <v>2019</v>
      </c>
      <c r="E420" t="s">
        <v>79</v>
      </c>
      <c r="F420" t="s">
        <v>272</v>
      </c>
      <c r="G420" t="s">
        <v>800</v>
      </c>
      <c r="H420" t="s">
        <v>162</v>
      </c>
      <c r="I420">
        <v>8</v>
      </c>
      <c r="J420" t="s">
        <v>74</v>
      </c>
      <c r="K420">
        <v>4</v>
      </c>
      <c r="L420" t="s">
        <v>44</v>
      </c>
      <c r="M420">
        <v>5.3</v>
      </c>
      <c r="N420" t="s">
        <v>116</v>
      </c>
      <c r="O420" t="s">
        <v>46</v>
      </c>
      <c r="P420">
        <v>4</v>
      </c>
      <c r="Q420" t="s">
        <v>75</v>
      </c>
      <c r="R420" t="s">
        <v>76</v>
      </c>
      <c r="S420" t="s">
        <v>49</v>
      </c>
      <c r="U420" t="s">
        <v>50</v>
      </c>
      <c r="W420" t="s">
        <v>801</v>
      </c>
      <c r="X420" t="s">
        <v>66</v>
      </c>
      <c r="Y420" t="s">
        <v>106</v>
      </c>
      <c r="Z420">
        <v>38595</v>
      </c>
      <c r="AA420">
        <v>0</v>
      </c>
      <c r="AB420" t="s">
        <v>54</v>
      </c>
      <c r="AC420" t="s">
        <v>78</v>
      </c>
      <c r="AD420">
        <v>34</v>
      </c>
      <c r="AE420">
        <v>8</v>
      </c>
      <c r="AF420">
        <v>3</v>
      </c>
      <c r="AG420">
        <v>2025</v>
      </c>
      <c r="AH420" s="13">
        <v>15900</v>
      </c>
      <c r="AI420" s="13">
        <v>18861.634765625</v>
      </c>
      <c r="AJ420" s="13">
        <f t="shared" si="48"/>
        <v>2961.634765625</v>
      </c>
      <c r="AK420" s="14">
        <f t="shared" si="49"/>
        <v>0.18626633746069182</v>
      </c>
      <c r="AL420" s="9">
        <v>15900</v>
      </c>
      <c r="AM420" s="9">
        <v>16598.97238139225</v>
      </c>
      <c r="AN420" s="9">
        <f t="shared" si="50"/>
        <v>698.9723813922501</v>
      </c>
      <c r="AO420" s="10">
        <f t="shared" si="51"/>
        <v>4.3960527131588059E-2</v>
      </c>
      <c r="AP420" s="16">
        <v>15900</v>
      </c>
      <c r="AQ420" s="16">
        <v>17052.660694335511</v>
      </c>
      <c r="AR420" s="16">
        <f t="shared" si="52"/>
        <v>1152.6606943355109</v>
      </c>
      <c r="AS420" s="17">
        <f t="shared" si="53"/>
        <v>7.2494383291541564E-2</v>
      </c>
      <c r="AT420" s="6">
        <v>15900</v>
      </c>
      <c r="AU420" s="6">
        <v>17852.744140625</v>
      </c>
      <c r="AV420" s="6">
        <f t="shared" si="54"/>
        <v>1952.744140625</v>
      </c>
      <c r="AW420" s="7">
        <f t="shared" si="55"/>
        <v>0.12281409689465408</v>
      </c>
    </row>
    <row r="421" spans="1:49" x14ac:dyDescent="0.25">
      <c r="A421" t="s">
        <v>56</v>
      </c>
      <c r="B421" t="s">
        <v>303</v>
      </c>
      <c r="C421">
        <v>128783</v>
      </c>
      <c r="D421">
        <v>2009</v>
      </c>
      <c r="E421" t="s">
        <v>91</v>
      </c>
      <c r="F421" t="s">
        <v>92</v>
      </c>
      <c r="H421" t="s">
        <v>802</v>
      </c>
      <c r="I421">
        <v>4</v>
      </c>
      <c r="J421" t="s">
        <v>94</v>
      </c>
      <c r="K421">
        <v>4</v>
      </c>
      <c r="L421" t="s">
        <v>44</v>
      </c>
      <c r="M421">
        <v>2.4</v>
      </c>
      <c r="N421" t="s">
        <v>45</v>
      </c>
      <c r="O421" t="s">
        <v>46</v>
      </c>
      <c r="P421">
        <v>2</v>
      </c>
      <c r="Q421" t="s">
        <v>84</v>
      </c>
      <c r="R421" t="s">
        <v>85</v>
      </c>
      <c r="S421" t="s">
        <v>49</v>
      </c>
      <c r="T421">
        <v>158</v>
      </c>
      <c r="U421" t="s">
        <v>50</v>
      </c>
      <c r="V421" t="s">
        <v>95</v>
      </c>
      <c r="W421" t="s">
        <v>96</v>
      </c>
      <c r="X421" t="s">
        <v>87</v>
      </c>
      <c r="Y421" t="s">
        <v>67</v>
      </c>
      <c r="AA421">
        <v>0</v>
      </c>
      <c r="AB421" t="s">
        <v>54</v>
      </c>
      <c r="AC421" t="s">
        <v>89</v>
      </c>
      <c r="AD421">
        <v>34</v>
      </c>
      <c r="AE421">
        <v>8</v>
      </c>
      <c r="AF421">
        <v>3</v>
      </c>
      <c r="AG421">
        <v>2025</v>
      </c>
      <c r="AH421" s="13">
        <v>2500</v>
      </c>
      <c r="AI421" s="13">
        <v>1792.021118164062</v>
      </c>
      <c r="AJ421" s="13">
        <f t="shared" si="48"/>
        <v>707.97888183593795</v>
      </c>
      <c r="AK421" s="14">
        <f t="shared" si="49"/>
        <v>0.28319155273437518</v>
      </c>
      <c r="AL421" s="9">
        <v>2500</v>
      </c>
      <c r="AM421" s="9">
        <v>1762.839227539067</v>
      </c>
      <c r="AN421" s="9">
        <f t="shared" si="50"/>
        <v>737.160772460933</v>
      </c>
      <c r="AO421" s="10">
        <f t="shared" si="51"/>
        <v>0.29486430898437321</v>
      </c>
      <c r="AP421" s="16">
        <v>2500</v>
      </c>
      <c r="AQ421" s="16">
        <v>1262.2177980359861</v>
      </c>
      <c r="AR421" s="16">
        <f t="shared" si="52"/>
        <v>1237.7822019640139</v>
      </c>
      <c r="AS421" s="17">
        <f t="shared" si="53"/>
        <v>0.49511288078560556</v>
      </c>
      <c r="AT421" s="6">
        <v>2500</v>
      </c>
      <c r="AU421" s="6">
        <v>1720.06298828125</v>
      </c>
      <c r="AV421" s="6">
        <f t="shared" si="54"/>
        <v>779.93701171875</v>
      </c>
      <c r="AW421" s="7">
        <f t="shared" si="55"/>
        <v>0.3119748046875</v>
      </c>
    </row>
    <row r="422" spans="1:49" x14ac:dyDescent="0.25">
      <c r="A422" t="s">
        <v>69</v>
      </c>
      <c r="B422" t="s">
        <v>70</v>
      </c>
      <c r="C422">
        <v>59512</v>
      </c>
      <c r="D422">
        <v>2022</v>
      </c>
      <c r="E422" t="s">
        <v>58</v>
      </c>
      <c r="F422" t="s">
        <v>737</v>
      </c>
      <c r="H422" t="s">
        <v>803</v>
      </c>
      <c r="I422">
        <v>4</v>
      </c>
      <c r="J422" t="s">
        <v>74</v>
      </c>
      <c r="K422">
        <v>2</v>
      </c>
      <c r="L422" t="s">
        <v>44</v>
      </c>
      <c r="M422">
        <v>2.2999999999999998</v>
      </c>
      <c r="N422" t="s">
        <v>116</v>
      </c>
      <c r="O422" t="s">
        <v>46</v>
      </c>
      <c r="P422">
        <v>4</v>
      </c>
      <c r="Q422" t="s">
        <v>84</v>
      </c>
      <c r="R422" t="s">
        <v>251</v>
      </c>
      <c r="T422">
        <v>310</v>
      </c>
      <c r="U422" t="s">
        <v>50</v>
      </c>
      <c r="V422" t="s">
        <v>95</v>
      </c>
      <c r="W422" t="s">
        <v>804</v>
      </c>
      <c r="X422" t="s">
        <v>87</v>
      </c>
      <c r="Y422" t="s">
        <v>67</v>
      </c>
      <c r="AA422">
        <v>0</v>
      </c>
      <c r="AB422" t="s">
        <v>54</v>
      </c>
      <c r="AC422" t="s">
        <v>251</v>
      </c>
      <c r="AD422">
        <v>34</v>
      </c>
      <c r="AE422">
        <v>8</v>
      </c>
      <c r="AF422">
        <v>3</v>
      </c>
      <c r="AG422">
        <v>2025</v>
      </c>
      <c r="AH422" s="13">
        <v>21700</v>
      </c>
      <c r="AI422" s="13">
        <v>23225.2109375</v>
      </c>
      <c r="AJ422" s="13">
        <f t="shared" si="48"/>
        <v>1525.2109375</v>
      </c>
      <c r="AK422" s="14">
        <f t="shared" si="49"/>
        <v>7.0286218317972354E-2</v>
      </c>
      <c r="AL422" s="9">
        <v>21700</v>
      </c>
      <c r="AM422" s="9">
        <v>21584.741630866341</v>
      </c>
      <c r="AN422" s="9">
        <f t="shared" si="50"/>
        <v>115.25836913365856</v>
      </c>
      <c r="AO422" s="10">
        <f t="shared" si="51"/>
        <v>5.3114455821962466E-3</v>
      </c>
      <c r="AP422" s="16">
        <v>21700</v>
      </c>
      <c r="AQ422" s="16">
        <v>21898.25667423959</v>
      </c>
      <c r="AR422" s="16">
        <f t="shared" si="52"/>
        <v>198.25667423959021</v>
      </c>
      <c r="AS422" s="17">
        <f t="shared" si="53"/>
        <v>9.1362522691055392E-3</v>
      </c>
      <c r="AT422" s="6">
        <v>21700</v>
      </c>
      <c r="AU422" s="6">
        <v>22119.900390625</v>
      </c>
      <c r="AV422" s="6">
        <f t="shared" si="54"/>
        <v>419.900390625</v>
      </c>
      <c r="AW422" s="7">
        <f t="shared" si="55"/>
        <v>1.9350248415898618E-2</v>
      </c>
    </row>
    <row r="423" spans="1:49" x14ac:dyDescent="0.25">
      <c r="A423" t="s">
        <v>56</v>
      </c>
      <c r="B423" t="s">
        <v>123</v>
      </c>
      <c r="C423">
        <v>294495</v>
      </c>
      <c r="D423">
        <v>2012</v>
      </c>
      <c r="E423" t="s">
        <v>58</v>
      </c>
      <c r="F423" t="s">
        <v>425</v>
      </c>
      <c r="H423" t="s">
        <v>42</v>
      </c>
      <c r="I423">
        <v>4</v>
      </c>
      <c r="J423" t="s">
        <v>82</v>
      </c>
      <c r="K423">
        <v>4</v>
      </c>
      <c r="L423" t="s">
        <v>44</v>
      </c>
      <c r="M423">
        <v>2.5</v>
      </c>
      <c r="N423" t="s">
        <v>45</v>
      </c>
      <c r="O423" t="s">
        <v>46</v>
      </c>
      <c r="P423">
        <v>2</v>
      </c>
      <c r="Q423" t="s">
        <v>84</v>
      </c>
      <c r="R423" t="s">
        <v>85</v>
      </c>
      <c r="T423">
        <v>175</v>
      </c>
      <c r="U423" t="s">
        <v>50</v>
      </c>
      <c r="V423" t="s">
        <v>95</v>
      </c>
      <c r="X423" t="s">
        <v>87</v>
      </c>
      <c r="Y423" t="s">
        <v>106</v>
      </c>
      <c r="AA423">
        <v>0</v>
      </c>
      <c r="AB423" t="s">
        <v>54</v>
      </c>
      <c r="AC423" t="s">
        <v>89</v>
      </c>
      <c r="AD423">
        <v>34</v>
      </c>
      <c r="AE423">
        <v>8</v>
      </c>
      <c r="AF423">
        <v>3</v>
      </c>
      <c r="AG423">
        <v>2025</v>
      </c>
      <c r="AH423" s="13">
        <v>500</v>
      </c>
      <c r="AI423" s="13">
        <v>436.8138427734375</v>
      </c>
      <c r="AJ423" s="13">
        <f t="shared" si="48"/>
        <v>63.1861572265625</v>
      </c>
      <c r="AK423" s="14">
        <f t="shared" si="49"/>
        <v>0.126372314453125</v>
      </c>
      <c r="AL423" s="9">
        <v>500</v>
      </c>
      <c r="AM423" s="9">
        <v>625.90058651593029</v>
      </c>
      <c r="AN423" s="9">
        <f t="shared" si="50"/>
        <v>125.90058651593029</v>
      </c>
      <c r="AO423" s="10">
        <f t="shared" si="51"/>
        <v>0.25180117303186056</v>
      </c>
      <c r="AP423" s="16">
        <v>500</v>
      </c>
      <c r="AQ423" s="16">
        <v>898.62698915206875</v>
      </c>
      <c r="AR423" s="16">
        <f t="shared" si="52"/>
        <v>398.62698915206875</v>
      </c>
      <c r="AS423" s="17">
        <f t="shared" si="53"/>
        <v>0.79725397830413747</v>
      </c>
      <c r="AT423" s="6">
        <v>500</v>
      </c>
      <c r="AU423" s="6">
        <v>554.4112548828125</v>
      </c>
      <c r="AV423" s="6">
        <f t="shared" si="54"/>
        <v>54.4112548828125</v>
      </c>
      <c r="AW423" s="7">
        <f t="shared" si="55"/>
        <v>0.10882250976562501</v>
      </c>
    </row>
    <row r="424" spans="1:49" x14ac:dyDescent="0.25">
      <c r="A424" t="s">
        <v>38</v>
      </c>
      <c r="B424" t="s">
        <v>267</v>
      </c>
      <c r="C424">
        <v>65065</v>
      </c>
      <c r="D424">
        <v>2014</v>
      </c>
      <c r="E424" t="s">
        <v>113</v>
      </c>
      <c r="F424" t="s">
        <v>788</v>
      </c>
      <c r="G424" t="s">
        <v>171</v>
      </c>
      <c r="I424">
        <v>4</v>
      </c>
      <c r="J424" t="s">
        <v>94</v>
      </c>
      <c r="K424">
        <v>4</v>
      </c>
      <c r="L424" t="s">
        <v>44</v>
      </c>
      <c r="M424">
        <v>2.4</v>
      </c>
      <c r="N424" t="s">
        <v>45</v>
      </c>
      <c r="O424" t="s">
        <v>46</v>
      </c>
      <c r="Q424" t="s">
        <v>84</v>
      </c>
      <c r="R424" t="s">
        <v>85</v>
      </c>
      <c r="S424" t="s">
        <v>102</v>
      </c>
      <c r="U424" t="s">
        <v>50</v>
      </c>
      <c r="X424" t="s">
        <v>87</v>
      </c>
      <c r="Y424" t="s">
        <v>67</v>
      </c>
      <c r="AA424">
        <v>0</v>
      </c>
      <c r="AB424" t="s">
        <v>54</v>
      </c>
      <c r="AC424" t="s">
        <v>89</v>
      </c>
      <c r="AD424">
        <v>34</v>
      </c>
      <c r="AE424">
        <v>8</v>
      </c>
      <c r="AF424">
        <v>3</v>
      </c>
      <c r="AG424">
        <v>2025</v>
      </c>
      <c r="AH424" s="13">
        <v>2900</v>
      </c>
      <c r="AI424" s="13">
        <v>4029.994140625</v>
      </c>
      <c r="AJ424" s="13">
        <f t="shared" si="48"/>
        <v>1129.994140625</v>
      </c>
      <c r="AK424" s="14">
        <f t="shared" si="49"/>
        <v>0.38965315193965516</v>
      </c>
      <c r="AL424" s="9">
        <v>2900</v>
      </c>
      <c r="AM424" s="9">
        <v>4756.7617266972984</v>
      </c>
      <c r="AN424" s="9">
        <f t="shared" si="50"/>
        <v>1856.7617266972984</v>
      </c>
      <c r="AO424" s="10">
        <f t="shared" si="51"/>
        <v>0.64026266437837875</v>
      </c>
      <c r="AP424" s="16">
        <v>2900</v>
      </c>
      <c r="AQ424" s="16">
        <v>3780.4954657947778</v>
      </c>
      <c r="AR424" s="16">
        <f t="shared" si="52"/>
        <v>880.49546579477783</v>
      </c>
      <c r="AS424" s="17">
        <f t="shared" si="53"/>
        <v>0.30361912613613029</v>
      </c>
      <c r="AT424" s="6">
        <v>2900</v>
      </c>
      <c r="AU424" s="6">
        <v>4341.4169921875</v>
      </c>
      <c r="AV424" s="6">
        <f t="shared" si="54"/>
        <v>1441.4169921875</v>
      </c>
      <c r="AW424" s="7">
        <f t="shared" si="55"/>
        <v>0.49704034213362069</v>
      </c>
    </row>
    <row r="425" spans="1:49" x14ac:dyDescent="0.25">
      <c r="A425" t="s">
        <v>56</v>
      </c>
      <c r="B425" t="s">
        <v>104</v>
      </c>
      <c r="C425">
        <v>123733</v>
      </c>
      <c r="D425">
        <v>2010</v>
      </c>
      <c r="E425" t="s">
        <v>145</v>
      </c>
      <c r="F425" t="s">
        <v>146</v>
      </c>
      <c r="G425" t="s">
        <v>432</v>
      </c>
      <c r="I425">
        <v>4</v>
      </c>
      <c r="J425" t="s">
        <v>82</v>
      </c>
      <c r="K425">
        <v>4</v>
      </c>
      <c r="L425" t="s">
        <v>44</v>
      </c>
      <c r="M425">
        <v>2.4</v>
      </c>
      <c r="N425" t="s">
        <v>62</v>
      </c>
      <c r="Q425" t="s">
        <v>47</v>
      </c>
      <c r="R425" t="s">
        <v>48</v>
      </c>
      <c r="S425" t="s">
        <v>63</v>
      </c>
      <c r="T425">
        <v>180</v>
      </c>
      <c r="U425" t="s">
        <v>50</v>
      </c>
      <c r="V425" t="s">
        <v>95</v>
      </c>
      <c r="W425" t="s">
        <v>805</v>
      </c>
      <c r="X425" t="s">
        <v>52</v>
      </c>
      <c r="Y425" t="s">
        <v>67</v>
      </c>
      <c r="AA425">
        <v>0</v>
      </c>
      <c r="AB425" t="s">
        <v>54</v>
      </c>
      <c r="AC425" t="s">
        <v>55</v>
      </c>
      <c r="AD425">
        <v>34</v>
      </c>
      <c r="AE425">
        <v>8</v>
      </c>
      <c r="AF425">
        <v>3</v>
      </c>
      <c r="AG425">
        <v>2025</v>
      </c>
      <c r="AH425" s="13">
        <v>5400</v>
      </c>
      <c r="AI425" s="13">
        <v>3731.69921875</v>
      </c>
      <c r="AJ425" s="13">
        <f t="shared" si="48"/>
        <v>1668.30078125</v>
      </c>
      <c r="AK425" s="14">
        <f t="shared" si="49"/>
        <v>0.30894458912037037</v>
      </c>
      <c r="AL425" s="9">
        <v>5400</v>
      </c>
      <c r="AM425" s="9">
        <v>5355.6950748228646</v>
      </c>
      <c r="AN425" s="9">
        <f t="shared" si="50"/>
        <v>44.304925177135374</v>
      </c>
      <c r="AO425" s="10">
        <f t="shared" si="51"/>
        <v>8.204615773543587E-3</v>
      </c>
      <c r="AP425" s="16">
        <v>5400</v>
      </c>
      <c r="AQ425" s="16">
        <v>3147.813519746142</v>
      </c>
      <c r="AR425" s="16">
        <f t="shared" si="52"/>
        <v>2252.186480253858</v>
      </c>
      <c r="AS425" s="17">
        <f t="shared" si="53"/>
        <v>0.41707157041738113</v>
      </c>
      <c r="AT425" s="6">
        <v>5400</v>
      </c>
      <c r="AU425" s="6">
        <v>4416.92333984375</v>
      </c>
      <c r="AV425" s="6">
        <f t="shared" si="54"/>
        <v>983.07666015625</v>
      </c>
      <c r="AW425" s="7">
        <f t="shared" si="55"/>
        <v>0.18205123336226853</v>
      </c>
    </row>
    <row r="426" spans="1:49" x14ac:dyDescent="0.25">
      <c r="A426" t="s">
        <v>107</v>
      </c>
      <c r="B426" t="s">
        <v>108</v>
      </c>
      <c r="C426">
        <v>20625</v>
      </c>
      <c r="D426">
        <v>2022</v>
      </c>
      <c r="E426" t="s">
        <v>640</v>
      </c>
      <c r="F426" t="s">
        <v>806</v>
      </c>
      <c r="J426" t="s">
        <v>61</v>
      </c>
      <c r="K426">
        <v>4</v>
      </c>
      <c r="L426" t="s">
        <v>44</v>
      </c>
      <c r="N426" t="s">
        <v>44</v>
      </c>
      <c r="O426" t="s">
        <v>46</v>
      </c>
      <c r="P426">
        <v>5</v>
      </c>
      <c r="Q426" t="s">
        <v>84</v>
      </c>
      <c r="R426" t="s">
        <v>85</v>
      </c>
      <c r="U426" t="s">
        <v>483</v>
      </c>
      <c r="X426" t="s">
        <v>87</v>
      </c>
      <c r="Y426" t="s">
        <v>67</v>
      </c>
      <c r="AA426">
        <v>1</v>
      </c>
      <c r="AB426" t="s">
        <v>484</v>
      </c>
      <c r="AC426" t="s">
        <v>131</v>
      </c>
      <c r="AD426">
        <v>34</v>
      </c>
      <c r="AE426">
        <v>8</v>
      </c>
      <c r="AF426">
        <v>3</v>
      </c>
      <c r="AG426">
        <v>2025</v>
      </c>
      <c r="AH426" s="13">
        <v>22500</v>
      </c>
      <c r="AI426" s="13">
        <v>28958.0703125</v>
      </c>
      <c r="AJ426" s="13">
        <f t="shared" si="48"/>
        <v>6458.0703125</v>
      </c>
      <c r="AK426" s="14">
        <f t="shared" si="49"/>
        <v>0.28702534722222223</v>
      </c>
      <c r="AL426" s="9">
        <v>22500</v>
      </c>
      <c r="AM426" s="9">
        <v>26804.613777551109</v>
      </c>
      <c r="AN426" s="9">
        <f t="shared" si="50"/>
        <v>4304.6137775511088</v>
      </c>
      <c r="AO426" s="10">
        <f t="shared" si="51"/>
        <v>0.1913161678911604</v>
      </c>
      <c r="AP426" s="16">
        <v>22500</v>
      </c>
      <c r="AQ426" s="16">
        <v>25328.193175573451</v>
      </c>
      <c r="AR426" s="16">
        <f t="shared" si="52"/>
        <v>2828.1931755734513</v>
      </c>
      <c r="AS426" s="17">
        <f t="shared" si="53"/>
        <v>0.12569747446993118</v>
      </c>
      <c r="AT426" s="6">
        <v>22500</v>
      </c>
      <c r="AU426" s="6">
        <v>26032.763671875</v>
      </c>
      <c r="AV426" s="6">
        <f t="shared" si="54"/>
        <v>3532.763671875</v>
      </c>
      <c r="AW426" s="7">
        <f t="shared" si="55"/>
        <v>0.15701171875</v>
      </c>
    </row>
    <row r="427" spans="1:49" x14ac:dyDescent="0.25">
      <c r="A427" t="s">
        <v>56</v>
      </c>
      <c r="B427" t="s">
        <v>57</v>
      </c>
      <c r="C427">
        <v>63837</v>
      </c>
      <c r="D427">
        <v>2023</v>
      </c>
      <c r="E427" t="s">
        <v>58</v>
      </c>
      <c r="F427" t="s">
        <v>258</v>
      </c>
      <c r="H427" t="s">
        <v>807</v>
      </c>
      <c r="I427">
        <v>3</v>
      </c>
      <c r="J427" t="s">
        <v>82</v>
      </c>
      <c r="K427">
        <v>4</v>
      </c>
      <c r="L427" t="s">
        <v>44</v>
      </c>
      <c r="M427">
        <v>1.5</v>
      </c>
      <c r="N427" t="s">
        <v>44</v>
      </c>
      <c r="O427" t="s">
        <v>46</v>
      </c>
      <c r="P427">
        <v>2</v>
      </c>
      <c r="Q427" t="s">
        <v>47</v>
      </c>
      <c r="R427" t="s">
        <v>48</v>
      </c>
      <c r="S427" t="s">
        <v>63</v>
      </c>
      <c r="U427" t="s">
        <v>50</v>
      </c>
      <c r="W427" t="s">
        <v>808</v>
      </c>
      <c r="X427" t="s">
        <v>52</v>
      </c>
      <c r="Y427" t="s">
        <v>67</v>
      </c>
      <c r="AA427">
        <v>0</v>
      </c>
      <c r="AB427" t="s">
        <v>54</v>
      </c>
      <c r="AC427" t="s">
        <v>55</v>
      </c>
      <c r="AD427">
        <v>34</v>
      </c>
      <c r="AE427">
        <v>8</v>
      </c>
      <c r="AF427">
        <v>3</v>
      </c>
      <c r="AG427">
        <v>2025</v>
      </c>
      <c r="AH427" s="13">
        <v>13750</v>
      </c>
      <c r="AI427" s="13">
        <v>14995.4267578125</v>
      </c>
      <c r="AJ427" s="13">
        <f t="shared" si="48"/>
        <v>1245.4267578125</v>
      </c>
      <c r="AK427" s="14">
        <f t="shared" si="49"/>
        <v>9.057649147727273E-2</v>
      </c>
      <c r="AL427" s="9">
        <v>13750</v>
      </c>
      <c r="AM427" s="9">
        <v>10899.01517490283</v>
      </c>
      <c r="AN427" s="9">
        <f t="shared" si="50"/>
        <v>2850.98482509717</v>
      </c>
      <c r="AO427" s="10">
        <f t="shared" si="51"/>
        <v>0.20734435091615783</v>
      </c>
      <c r="AP427" s="16">
        <v>13750</v>
      </c>
      <c r="AQ427" s="16">
        <v>12068.270676822989</v>
      </c>
      <c r="AR427" s="16">
        <f t="shared" si="52"/>
        <v>1681.7293231770109</v>
      </c>
      <c r="AS427" s="17">
        <f t="shared" si="53"/>
        <v>0.12230758714014625</v>
      </c>
      <c r="AT427" s="6">
        <v>13750</v>
      </c>
      <c r="AU427" s="6">
        <v>12693.9228515625</v>
      </c>
      <c r="AV427" s="6">
        <f t="shared" si="54"/>
        <v>1056.0771484375</v>
      </c>
      <c r="AW427" s="7">
        <f t="shared" si="55"/>
        <v>7.6805610795454546E-2</v>
      </c>
    </row>
    <row r="428" spans="1:49" x14ac:dyDescent="0.25">
      <c r="A428" t="s">
        <v>38</v>
      </c>
      <c r="B428" t="s">
        <v>167</v>
      </c>
      <c r="C428">
        <v>82457</v>
      </c>
      <c r="D428">
        <v>2016</v>
      </c>
      <c r="E428" t="s">
        <v>217</v>
      </c>
      <c r="F428" t="s">
        <v>162</v>
      </c>
      <c r="G428" t="s">
        <v>236</v>
      </c>
      <c r="H428" t="s">
        <v>299</v>
      </c>
      <c r="I428">
        <v>8</v>
      </c>
      <c r="J428" t="s">
        <v>74</v>
      </c>
      <c r="K428">
        <v>4</v>
      </c>
      <c r="L428" t="s">
        <v>44</v>
      </c>
      <c r="M428">
        <v>5.7</v>
      </c>
      <c r="N428" t="s">
        <v>62</v>
      </c>
      <c r="O428" t="s">
        <v>46</v>
      </c>
      <c r="P428">
        <v>1</v>
      </c>
      <c r="Q428" t="s">
        <v>75</v>
      </c>
      <c r="R428" t="s">
        <v>76</v>
      </c>
      <c r="S428" t="s">
        <v>63</v>
      </c>
      <c r="U428" t="s">
        <v>50</v>
      </c>
      <c r="X428" t="s">
        <v>66</v>
      </c>
      <c r="Y428" t="s">
        <v>67</v>
      </c>
      <c r="AA428">
        <v>0</v>
      </c>
      <c r="AB428" t="s">
        <v>54</v>
      </c>
      <c r="AC428" t="s">
        <v>78</v>
      </c>
      <c r="AD428">
        <v>34</v>
      </c>
      <c r="AE428">
        <v>8</v>
      </c>
      <c r="AF428">
        <v>3</v>
      </c>
      <c r="AG428">
        <v>2025</v>
      </c>
      <c r="AH428" s="13">
        <v>8500</v>
      </c>
      <c r="AI428" s="13">
        <v>12119.9873046875</v>
      </c>
      <c r="AJ428" s="13">
        <f t="shared" si="48"/>
        <v>3619.9873046875</v>
      </c>
      <c r="AK428" s="14">
        <f t="shared" si="49"/>
        <v>0.42588085937499998</v>
      </c>
      <c r="AL428" s="9">
        <v>8500</v>
      </c>
      <c r="AM428" s="9">
        <v>10797.88557282064</v>
      </c>
      <c r="AN428" s="9">
        <f t="shared" si="50"/>
        <v>2297.8855728206399</v>
      </c>
      <c r="AO428" s="10">
        <f t="shared" si="51"/>
        <v>0.27033947915536938</v>
      </c>
      <c r="AP428" s="16">
        <v>8500</v>
      </c>
      <c r="AQ428" s="16">
        <v>10494.920009820789</v>
      </c>
      <c r="AR428" s="16">
        <f t="shared" si="52"/>
        <v>1994.9200098207893</v>
      </c>
      <c r="AS428" s="17">
        <f t="shared" si="53"/>
        <v>0.23469647174362226</v>
      </c>
      <c r="AT428" s="6">
        <v>8500</v>
      </c>
      <c r="AU428" s="6">
        <v>11613.3515625</v>
      </c>
      <c r="AV428" s="6">
        <f t="shared" si="54"/>
        <v>3113.3515625</v>
      </c>
      <c r="AW428" s="7">
        <f t="shared" si="55"/>
        <v>0.36627665441176471</v>
      </c>
    </row>
    <row r="429" spans="1:49" x14ac:dyDescent="0.25">
      <c r="A429" t="s">
        <v>56</v>
      </c>
      <c r="B429" t="s">
        <v>196</v>
      </c>
      <c r="C429">
        <v>142482</v>
      </c>
      <c r="D429">
        <v>2016</v>
      </c>
      <c r="E429" t="s">
        <v>173</v>
      </c>
      <c r="F429" t="s">
        <v>174</v>
      </c>
      <c r="G429" t="s">
        <v>236</v>
      </c>
      <c r="H429" t="s">
        <v>176</v>
      </c>
      <c r="I429">
        <v>4</v>
      </c>
      <c r="J429" t="s">
        <v>94</v>
      </c>
      <c r="K429">
        <v>4</v>
      </c>
      <c r="L429" t="s">
        <v>44</v>
      </c>
      <c r="M429">
        <v>2.4</v>
      </c>
      <c r="N429" t="s">
        <v>62</v>
      </c>
      <c r="O429" t="s">
        <v>46</v>
      </c>
      <c r="P429">
        <v>3</v>
      </c>
      <c r="Q429" t="s">
        <v>47</v>
      </c>
      <c r="R429" t="s">
        <v>48</v>
      </c>
      <c r="S429" t="s">
        <v>63</v>
      </c>
      <c r="U429" t="s">
        <v>50</v>
      </c>
      <c r="X429" t="s">
        <v>141</v>
      </c>
      <c r="Y429" t="s">
        <v>67</v>
      </c>
      <c r="AA429">
        <v>0</v>
      </c>
      <c r="AB429" t="s">
        <v>54</v>
      </c>
      <c r="AC429" t="s">
        <v>55</v>
      </c>
      <c r="AD429">
        <v>34</v>
      </c>
      <c r="AE429">
        <v>8</v>
      </c>
      <c r="AF429">
        <v>3</v>
      </c>
      <c r="AG429">
        <v>2025</v>
      </c>
      <c r="AH429" s="13">
        <v>2200</v>
      </c>
      <c r="AI429" s="13">
        <v>3445.228515625</v>
      </c>
      <c r="AJ429" s="13">
        <f t="shared" si="48"/>
        <v>1245.228515625</v>
      </c>
      <c r="AK429" s="14">
        <f t="shared" si="49"/>
        <v>0.5660129616477273</v>
      </c>
      <c r="AL429" s="9">
        <v>2200</v>
      </c>
      <c r="AM429" s="9">
        <v>3263.5740880496492</v>
      </c>
      <c r="AN429" s="9">
        <f t="shared" si="50"/>
        <v>1063.5740880496492</v>
      </c>
      <c r="AO429" s="10">
        <f t="shared" si="51"/>
        <v>0.48344276729529506</v>
      </c>
      <c r="AP429" s="16">
        <v>2200</v>
      </c>
      <c r="AQ429" s="16">
        <v>2960.637957247588</v>
      </c>
      <c r="AR429" s="16">
        <f t="shared" si="52"/>
        <v>760.63795724758802</v>
      </c>
      <c r="AS429" s="17">
        <f t="shared" si="53"/>
        <v>0.34574452602163092</v>
      </c>
      <c r="AT429" s="6">
        <v>2200</v>
      </c>
      <c r="AU429" s="6">
        <v>3404.59814453125</v>
      </c>
      <c r="AV429" s="6">
        <f t="shared" si="54"/>
        <v>1204.59814453125</v>
      </c>
      <c r="AW429" s="7">
        <f t="shared" si="55"/>
        <v>0.54754461115056818</v>
      </c>
    </row>
    <row r="430" spans="1:49" x14ac:dyDescent="0.25">
      <c r="A430" t="s">
        <v>56</v>
      </c>
      <c r="B430" t="s">
        <v>178</v>
      </c>
      <c r="C430">
        <v>94941</v>
      </c>
      <c r="D430">
        <v>2019</v>
      </c>
      <c r="E430" t="s">
        <v>124</v>
      </c>
      <c r="F430" t="s">
        <v>533</v>
      </c>
      <c r="G430" t="s">
        <v>268</v>
      </c>
      <c r="I430">
        <v>4</v>
      </c>
      <c r="J430" t="s">
        <v>74</v>
      </c>
      <c r="K430">
        <v>4</v>
      </c>
      <c r="L430" t="s">
        <v>44</v>
      </c>
      <c r="M430">
        <v>2</v>
      </c>
      <c r="N430" t="s">
        <v>45</v>
      </c>
      <c r="O430" t="s">
        <v>46</v>
      </c>
      <c r="P430">
        <v>4</v>
      </c>
      <c r="Q430" t="s">
        <v>47</v>
      </c>
      <c r="R430" t="s">
        <v>48</v>
      </c>
      <c r="S430" t="s">
        <v>49</v>
      </c>
      <c r="T430">
        <v>164</v>
      </c>
      <c r="U430" t="s">
        <v>50</v>
      </c>
      <c r="W430" t="s">
        <v>809</v>
      </c>
      <c r="X430" t="s">
        <v>52</v>
      </c>
      <c r="Y430" t="s">
        <v>53</v>
      </c>
      <c r="AA430">
        <v>0</v>
      </c>
      <c r="AB430" t="s">
        <v>54</v>
      </c>
      <c r="AC430" t="s">
        <v>55</v>
      </c>
      <c r="AD430">
        <v>34</v>
      </c>
      <c r="AE430">
        <v>8</v>
      </c>
      <c r="AF430">
        <v>3</v>
      </c>
      <c r="AG430">
        <v>2025</v>
      </c>
      <c r="AH430" s="13">
        <v>9900</v>
      </c>
      <c r="AI430" s="13">
        <v>8115.54150390625</v>
      </c>
      <c r="AJ430" s="13">
        <f t="shared" si="48"/>
        <v>1784.45849609375</v>
      </c>
      <c r="AK430" s="14">
        <f t="shared" si="49"/>
        <v>0.18024833293876263</v>
      </c>
      <c r="AL430" s="9">
        <v>9900</v>
      </c>
      <c r="AM430" s="9">
        <v>9374.6337222015281</v>
      </c>
      <c r="AN430" s="9">
        <f t="shared" si="50"/>
        <v>525.36627779847186</v>
      </c>
      <c r="AO430" s="10">
        <f t="shared" si="51"/>
        <v>5.3067300787724432E-2</v>
      </c>
      <c r="AP430" s="16">
        <v>9900</v>
      </c>
      <c r="AQ430" s="16">
        <v>7373.9222856791384</v>
      </c>
      <c r="AR430" s="16">
        <f t="shared" si="52"/>
        <v>2526.0777143208616</v>
      </c>
      <c r="AS430" s="17">
        <f t="shared" si="53"/>
        <v>0.25515936508291531</v>
      </c>
      <c r="AT430" s="6">
        <v>9900</v>
      </c>
      <c r="AU430" s="6">
        <v>9050.7978515625</v>
      </c>
      <c r="AV430" s="6">
        <f t="shared" si="54"/>
        <v>849.2021484375</v>
      </c>
      <c r="AW430" s="7">
        <f t="shared" si="55"/>
        <v>8.5777994791666673E-2</v>
      </c>
    </row>
    <row r="431" spans="1:49" x14ac:dyDescent="0.25">
      <c r="A431" t="s">
        <v>107</v>
      </c>
      <c r="B431" t="s">
        <v>256</v>
      </c>
      <c r="C431">
        <v>233150</v>
      </c>
      <c r="D431">
        <v>2013</v>
      </c>
      <c r="E431" t="s">
        <v>79</v>
      </c>
      <c r="F431" t="s">
        <v>263</v>
      </c>
      <c r="G431" t="s">
        <v>747</v>
      </c>
      <c r="I431">
        <v>4</v>
      </c>
      <c r="J431" t="s">
        <v>74</v>
      </c>
      <c r="K431">
        <v>4</v>
      </c>
      <c r="L431" t="s">
        <v>44</v>
      </c>
      <c r="M431">
        <v>1.8</v>
      </c>
      <c r="N431" t="s">
        <v>45</v>
      </c>
      <c r="O431" t="s">
        <v>46</v>
      </c>
      <c r="P431">
        <v>2</v>
      </c>
      <c r="Q431" t="s">
        <v>84</v>
      </c>
      <c r="R431" t="s">
        <v>85</v>
      </c>
      <c r="U431" t="s">
        <v>50</v>
      </c>
      <c r="W431" t="s">
        <v>810</v>
      </c>
      <c r="X431" t="s">
        <v>87</v>
      </c>
      <c r="Y431" t="s">
        <v>67</v>
      </c>
      <c r="AA431">
        <v>0</v>
      </c>
      <c r="AB431" t="s">
        <v>54</v>
      </c>
      <c r="AC431" t="s">
        <v>89</v>
      </c>
      <c r="AD431">
        <v>34</v>
      </c>
      <c r="AE431">
        <v>8</v>
      </c>
      <c r="AF431">
        <v>3</v>
      </c>
      <c r="AG431">
        <v>2025</v>
      </c>
      <c r="AH431" s="13">
        <v>600</v>
      </c>
      <c r="AI431" s="13">
        <v>841.1090087890625</v>
      </c>
      <c r="AJ431" s="13">
        <f t="shared" si="48"/>
        <v>241.1090087890625</v>
      </c>
      <c r="AK431" s="14">
        <f t="shared" si="49"/>
        <v>0.40184834798177083</v>
      </c>
      <c r="AL431" s="9">
        <v>600</v>
      </c>
      <c r="AM431" s="9">
        <v>873.65405302434567</v>
      </c>
      <c r="AN431" s="9">
        <f t="shared" si="50"/>
        <v>273.65405302434567</v>
      </c>
      <c r="AO431" s="10">
        <f t="shared" si="51"/>
        <v>0.45609008837390946</v>
      </c>
      <c r="AP431" s="16">
        <v>600</v>
      </c>
      <c r="AQ431" s="16">
        <v>617.82010664327709</v>
      </c>
      <c r="AR431" s="16">
        <f t="shared" si="52"/>
        <v>17.820106643277086</v>
      </c>
      <c r="AS431" s="17">
        <f t="shared" si="53"/>
        <v>2.9700177738795144E-2</v>
      </c>
      <c r="AT431" s="6">
        <v>600</v>
      </c>
      <c r="AU431" s="6">
        <v>774.09869384765625</v>
      </c>
      <c r="AV431" s="6">
        <f t="shared" si="54"/>
        <v>174.09869384765625</v>
      </c>
      <c r="AW431" s="7">
        <f t="shared" si="55"/>
        <v>0.29016448974609377</v>
      </c>
    </row>
    <row r="432" spans="1:49" x14ac:dyDescent="0.25">
      <c r="A432" t="s">
        <v>38</v>
      </c>
      <c r="B432" t="s">
        <v>39</v>
      </c>
      <c r="C432">
        <v>101512</v>
      </c>
      <c r="D432">
        <v>2017</v>
      </c>
      <c r="E432" t="s">
        <v>169</v>
      </c>
      <c r="F432" t="s">
        <v>811</v>
      </c>
      <c r="G432" t="s">
        <v>812</v>
      </c>
      <c r="I432">
        <v>4</v>
      </c>
      <c r="J432" t="s">
        <v>101</v>
      </c>
      <c r="K432">
        <v>2</v>
      </c>
      <c r="L432" t="s">
        <v>44</v>
      </c>
      <c r="M432">
        <v>2</v>
      </c>
      <c r="N432" t="s">
        <v>116</v>
      </c>
      <c r="O432" t="s">
        <v>46</v>
      </c>
      <c r="P432">
        <v>4</v>
      </c>
      <c r="Q432" t="s">
        <v>84</v>
      </c>
      <c r="R432" t="s">
        <v>251</v>
      </c>
      <c r="T432">
        <v>200</v>
      </c>
      <c r="U432" t="s">
        <v>50</v>
      </c>
      <c r="X432" t="s">
        <v>87</v>
      </c>
      <c r="Y432" t="s">
        <v>97</v>
      </c>
      <c r="Z432">
        <v>25495</v>
      </c>
      <c r="AA432">
        <v>0</v>
      </c>
      <c r="AB432" t="s">
        <v>54</v>
      </c>
      <c r="AC432" t="s">
        <v>251</v>
      </c>
      <c r="AD432">
        <v>34</v>
      </c>
      <c r="AE432">
        <v>8</v>
      </c>
      <c r="AF432">
        <v>3</v>
      </c>
      <c r="AG432">
        <v>2025</v>
      </c>
      <c r="AH432" s="13">
        <v>10750</v>
      </c>
      <c r="AI432" s="13">
        <v>8435.9462890625</v>
      </c>
      <c r="AJ432" s="13">
        <f t="shared" si="48"/>
        <v>2314.0537109375</v>
      </c>
      <c r="AK432" s="14">
        <f t="shared" si="49"/>
        <v>0.21526081031976743</v>
      </c>
      <c r="AL432" s="9">
        <v>10750</v>
      </c>
      <c r="AM432" s="9">
        <v>8145.1486348246708</v>
      </c>
      <c r="AN432" s="9">
        <f t="shared" si="50"/>
        <v>2604.8513651753292</v>
      </c>
      <c r="AO432" s="10">
        <f t="shared" si="51"/>
        <v>0.24231175490003062</v>
      </c>
      <c r="AP432" s="16">
        <v>10750</v>
      </c>
      <c r="AQ432" s="16">
        <v>8626.5067617387176</v>
      </c>
      <c r="AR432" s="16">
        <f t="shared" si="52"/>
        <v>2123.4932382612824</v>
      </c>
      <c r="AS432" s="17">
        <f t="shared" si="53"/>
        <v>0.19753425472197975</v>
      </c>
      <c r="AT432" s="6">
        <v>10750</v>
      </c>
      <c r="AU432" s="6">
        <v>9041.669921875</v>
      </c>
      <c r="AV432" s="6">
        <f t="shared" si="54"/>
        <v>1708.330078125</v>
      </c>
      <c r="AW432" s="7">
        <f t="shared" si="55"/>
        <v>0.15891442587209303</v>
      </c>
    </row>
    <row r="433" spans="1:49" x14ac:dyDescent="0.25">
      <c r="A433" t="s">
        <v>38</v>
      </c>
      <c r="B433" t="s">
        <v>267</v>
      </c>
      <c r="C433">
        <v>108827</v>
      </c>
      <c r="D433">
        <v>2018</v>
      </c>
      <c r="E433" t="s">
        <v>173</v>
      </c>
      <c r="F433" t="s">
        <v>461</v>
      </c>
      <c r="G433" t="s">
        <v>463</v>
      </c>
      <c r="H433" t="s">
        <v>462</v>
      </c>
      <c r="I433">
        <v>6</v>
      </c>
      <c r="J433" t="s">
        <v>43</v>
      </c>
      <c r="K433">
        <v>4</v>
      </c>
      <c r="L433" t="s">
        <v>44</v>
      </c>
      <c r="M433">
        <v>3.6</v>
      </c>
      <c r="N433" t="s">
        <v>62</v>
      </c>
      <c r="O433" t="s">
        <v>42</v>
      </c>
      <c r="Q433" t="s">
        <v>47</v>
      </c>
      <c r="R433" t="s">
        <v>48</v>
      </c>
      <c r="S433" t="s">
        <v>63</v>
      </c>
      <c r="T433">
        <v>295</v>
      </c>
      <c r="U433" t="s">
        <v>50</v>
      </c>
      <c r="V433" t="s">
        <v>64</v>
      </c>
      <c r="X433" t="s">
        <v>66</v>
      </c>
      <c r="Y433" t="s">
        <v>67</v>
      </c>
      <c r="Z433">
        <v>33195</v>
      </c>
      <c r="AA433">
        <v>0</v>
      </c>
      <c r="AB433" t="s">
        <v>54</v>
      </c>
      <c r="AC433" t="s">
        <v>55</v>
      </c>
      <c r="AD433">
        <v>34</v>
      </c>
      <c r="AE433">
        <v>8</v>
      </c>
      <c r="AF433">
        <v>3</v>
      </c>
      <c r="AG433">
        <v>2025</v>
      </c>
      <c r="AH433" s="13">
        <v>5000</v>
      </c>
      <c r="AI433" s="13">
        <v>5557.58251953125</v>
      </c>
      <c r="AJ433" s="13">
        <f t="shared" si="48"/>
        <v>557.58251953125</v>
      </c>
      <c r="AK433" s="14">
        <f t="shared" si="49"/>
        <v>0.11151650390624999</v>
      </c>
      <c r="AL433" s="9">
        <v>5000</v>
      </c>
      <c r="AM433" s="9">
        <v>6038.8212687339201</v>
      </c>
      <c r="AN433" s="9">
        <f t="shared" si="50"/>
        <v>1038.8212687339201</v>
      </c>
      <c r="AO433" s="10">
        <f t="shared" si="51"/>
        <v>0.20776425374678401</v>
      </c>
      <c r="AP433" s="16">
        <v>5000</v>
      </c>
      <c r="AQ433" s="16">
        <v>5252.5551841826391</v>
      </c>
      <c r="AR433" s="16">
        <f t="shared" si="52"/>
        <v>252.5551841826391</v>
      </c>
      <c r="AS433" s="17">
        <f t="shared" si="53"/>
        <v>5.0511036836527821E-2</v>
      </c>
      <c r="AT433" s="6">
        <v>5000</v>
      </c>
      <c r="AU433" s="6">
        <v>5987.19921875</v>
      </c>
      <c r="AV433" s="6">
        <f t="shared" si="54"/>
        <v>987.19921875</v>
      </c>
      <c r="AW433" s="7">
        <f t="shared" si="55"/>
        <v>0.19743984375000001</v>
      </c>
    </row>
    <row r="434" spans="1:49" x14ac:dyDescent="0.25">
      <c r="A434" t="s">
        <v>38</v>
      </c>
      <c r="B434" t="s">
        <v>39</v>
      </c>
      <c r="C434">
        <v>68316</v>
      </c>
      <c r="D434">
        <v>2018</v>
      </c>
      <c r="E434" t="s">
        <v>71</v>
      </c>
      <c r="F434" t="s">
        <v>813</v>
      </c>
      <c r="I434">
        <v>4</v>
      </c>
      <c r="J434" t="s">
        <v>94</v>
      </c>
      <c r="K434">
        <v>4</v>
      </c>
      <c r="L434" t="s">
        <v>44</v>
      </c>
      <c r="M434">
        <v>2.5</v>
      </c>
      <c r="N434" t="s">
        <v>116</v>
      </c>
      <c r="O434" t="s">
        <v>46</v>
      </c>
      <c r="P434">
        <v>4</v>
      </c>
      <c r="Q434" t="s">
        <v>75</v>
      </c>
      <c r="R434" t="s">
        <v>76</v>
      </c>
      <c r="S434" t="s">
        <v>49</v>
      </c>
      <c r="U434" t="s">
        <v>50</v>
      </c>
      <c r="X434" t="s">
        <v>52</v>
      </c>
      <c r="Y434" t="s">
        <v>67</v>
      </c>
      <c r="Z434">
        <v>18990</v>
      </c>
      <c r="AA434">
        <v>0</v>
      </c>
      <c r="AB434" t="s">
        <v>54</v>
      </c>
      <c r="AC434" t="s">
        <v>78</v>
      </c>
      <c r="AD434">
        <v>34</v>
      </c>
      <c r="AE434">
        <v>8</v>
      </c>
      <c r="AF434">
        <v>3</v>
      </c>
      <c r="AG434">
        <v>2025</v>
      </c>
      <c r="AH434" s="13">
        <v>11750</v>
      </c>
      <c r="AI434" s="13">
        <v>11121.4189453125</v>
      </c>
      <c r="AJ434" s="13">
        <f t="shared" si="48"/>
        <v>628.5810546875</v>
      </c>
      <c r="AK434" s="14">
        <f t="shared" si="49"/>
        <v>5.3496259973404257E-2</v>
      </c>
      <c r="AL434" s="9">
        <v>11750</v>
      </c>
      <c r="AM434" s="9">
        <v>13112.003542861399</v>
      </c>
      <c r="AN434" s="9">
        <f t="shared" si="50"/>
        <v>1362.0035428613992</v>
      </c>
      <c r="AO434" s="10">
        <f t="shared" si="51"/>
        <v>0.11591519513714035</v>
      </c>
      <c r="AP434" s="16">
        <v>11750</v>
      </c>
      <c r="AQ434" s="16">
        <v>10828.966715938541</v>
      </c>
      <c r="AR434" s="16">
        <f t="shared" si="52"/>
        <v>921.0332840614592</v>
      </c>
      <c r="AS434" s="17">
        <f t="shared" si="53"/>
        <v>7.8385811409485889E-2</v>
      </c>
      <c r="AT434" s="6">
        <v>11750</v>
      </c>
      <c r="AU434" s="6">
        <v>11622.0380859375</v>
      </c>
      <c r="AV434" s="6">
        <f t="shared" si="54"/>
        <v>127.9619140625</v>
      </c>
      <c r="AW434" s="7">
        <f t="shared" si="55"/>
        <v>1.0890375664893617E-2</v>
      </c>
    </row>
    <row r="435" spans="1:49" x14ac:dyDescent="0.25">
      <c r="A435" t="s">
        <v>107</v>
      </c>
      <c r="B435" t="s">
        <v>154</v>
      </c>
      <c r="C435">
        <v>307335</v>
      </c>
      <c r="D435">
        <v>2012</v>
      </c>
      <c r="E435" t="s">
        <v>79</v>
      </c>
      <c r="F435" t="s">
        <v>570</v>
      </c>
      <c r="H435" t="s">
        <v>571</v>
      </c>
      <c r="I435">
        <v>8</v>
      </c>
      <c r="J435" t="s">
        <v>43</v>
      </c>
      <c r="K435">
        <v>3</v>
      </c>
      <c r="L435" t="s">
        <v>44</v>
      </c>
      <c r="M435">
        <v>4.8</v>
      </c>
      <c r="N435" t="s">
        <v>116</v>
      </c>
      <c r="O435" t="s">
        <v>46</v>
      </c>
      <c r="P435">
        <v>1</v>
      </c>
      <c r="Q435" t="s">
        <v>75</v>
      </c>
      <c r="R435" t="s">
        <v>424</v>
      </c>
      <c r="S435" t="s">
        <v>49</v>
      </c>
      <c r="U435" t="s">
        <v>50</v>
      </c>
      <c r="W435" t="s">
        <v>814</v>
      </c>
      <c r="X435" t="s">
        <v>423</v>
      </c>
      <c r="Y435" t="s">
        <v>67</v>
      </c>
      <c r="AA435">
        <v>0</v>
      </c>
      <c r="AB435" t="s">
        <v>54</v>
      </c>
      <c r="AC435" t="s">
        <v>424</v>
      </c>
      <c r="AD435">
        <v>34</v>
      </c>
      <c r="AE435">
        <v>8</v>
      </c>
      <c r="AF435">
        <v>3</v>
      </c>
      <c r="AG435">
        <v>2025</v>
      </c>
      <c r="AH435" s="13">
        <v>1000</v>
      </c>
      <c r="AI435" s="13">
        <v>616.84765625</v>
      </c>
      <c r="AJ435" s="13">
        <f t="shared" si="48"/>
        <v>383.15234375</v>
      </c>
      <c r="AK435" s="14">
        <f t="shared" si="49"/>
        <v>0.38315234375000001</v>
      </c>
      <c r="AL435" s="9">
        <v>1000</v>
      </c>
      <c r="AM435" s="9">
        <v>1039.519876685197</v>
      </c>
      <c r="AN435" s="9">
        <f t="shared" si="50"/>
        <v>39.519876685197005</v>
      </c>
      <c r="AO435" s="10">
        <f t="shared" si="51"/>
        <v>3.9519876685197006E-2</v>
      </c>
      <c r="AP435" s="16">
        <v>1000</v>
      </c>
      <c r="AQ435" s="16">
        <v>940.50345683969442</v>
      </c>
      <c r="AR435" s="16">
        <f t="shared" si="52"/>
        <v>59.496543160305578</v>
      </c>
      <c r="AS435" s="17">
        <f t="shared" si="53"/>
        <v>5.949654316030558E-2</v>
      </c>
      <c r="AT435" s="6">
        <v>1000</v>
      </c>
      <c r="AU435" s="6">
        <v>1025.125244140625</v>
      </c>
      <c r="AV435" s="6">
        <f t="shared" si="54"/>
        <v>25.125244140625</v>
      </c>
      <c r="AW435" s="7">
        <f t="shared" si="55"/>
        <v>2.5125244140624999E-2</v>
      </c>
    </row>
    <row r="436" spans="1:49" x14ac:dyDescent="0.25">
      <c r="A436" t="s">
        <v>38</v>
      </c>
      <c r="B436" t="s">
        <v>204</v>
      </c>
      <c r="C436">
        <v>6570</v>
      </c>
      <c r="D436">
        <v>2024</v>
      </c>
      <c r="E436" t="s">
        <v>173</v>
      </c>
      <c r="F436" t="s">
        <v>461</v>
      </c>
      <c r="H436" t="s">
        <v>600</v>
      </c>
      <c r="I436">
        <v>6</v>
      </c>
      <c r="J436" t="s">
        <v>82</v>
      </c>
      <c r="K436">
        <v>4</v>
      </c>
      <c r="L436" t="s">
        <v>44</v>
      </c>
      <c r="M436">
        <v>3.6</v>
      </c>
      <c r="N436" t="s">
        <v>62</v>
      </c>
      <c r="O436" t="s">
        <v>46</v>
      </c>
      <c r="P436">
        <v>5</v>
      </c>
      <c r="Q436" t="s">
        <v>47</v>
      </c>
      <c r="R436" t="s">
        <v>48</v>
      </c>
      <c r="S436" t="s">
        <v>63</v>
      </c>
      <c r="T436">
        <v>293</v>
      </c>
      <c r="U436" t="s">
        <v>50</v>
      </c>
      <c r="V436" t="s">
        <v>64</v>
      </c>
      <c r="X436" t="s">
        <v>66</v>
      </c>
      <c r="Y436" t="s">
        <v>67</v>
      </c>
      <c r="AA436">
        <v>0</v>
      </c>
      <c r="AB436" t="s">
        <v>54</v>
      </c>
      <c r="AC436" t="s">
        <v>55</v>
      </c>
      <c r="AD436">
        <v>34</v>
      </c>
      <c r="AE436">
        <v>8</v>
      </c>
      <c r="AF436">
        <v>3</v>
      </c>
      <c r="AG436">
        <v>2025</v>
      </c>
      <c r="AH436" s="13">
        <v>48250</v>
      </c>
      <c r="AI436" s="13">
        <v>41745.73828125</v>
      </c>
      <c r="AJ436" s="13">
        <f t="shared" si="48"/>
        <v>6504.26171875</v>
      </c>
      <c r="AK436" s="14">
        <f t="shared" si="49"/>
        <v>0.13480335168393781</v>
      </c>
      <c r="AL436" s="9">
        <v>48250</v>
      </c>
      <c r="AM436" s="9">
        <v>38357.240045813509</v>
      </c>
      <c r="AN436" s="9">
        <f t="shared" si="50"/>
        <v>9892.7599541864911</v>
      </c>
      <c r="AO436" s="10">
        <f t="shared" si="51"/>
        <v>0.20503129438728479</v>
      </c>
      <c r="AP436" s="16">
        <v>48250</v>
      </c>
      <c r="AQ436" s="16">
        <v>36934.911163483142</v>
      </c>
      <c r="AR436" s="16">
        <f t="shared" si="52"/>
        <v>11315.088836516858</v>
      </c>
      <c r="AS436" s="17">
        <f t="shared" si="53"/>
        <v>0.23450961319205924</v>
      </c>
      <c r="AT436" s="6">
        <v>48250</v>
      </c>
      <c r="AU436" s="6">
        <v>35330.13671875</v>
      </c>
      <c r="AV436" s="6">
        <f t="shared" si="54"/>
        <v>12919.86328125</v>
      </c>
      <c r="AW436" s="7">
        <f t="shared" si="55"/>
        <v>0.26776918717616582</v>
      </c>
    </row>
    <row r="437" spans="1:49" x14ac:dyDescent="0.25">
      <c r="A437" t="s">
        <v>69</v>
      </c>
      <c r="B437" t="s">
        <v>70</v>
      </c>
      <c r="C437">
        <v>83794</v>
      </c>
      <c r="D437">
        <v>2018</v>
      </c>
      <c r="E437" t="s">
        <v>91</v>
      </c>
      <c r="F437" t="s">
        <v>92</v>
      </c>
      <c r="G437" t="s">
        <v>815</v>
      </c>
      <c r="H437" t="s">
        <v>816</v>
      </c>
      <c r="I437">
        <v>4</v>
      </c>
      <c r="J437" t="s">
        <v>94</v>
      </c>
      <c r="K437">
        <v>4</v>
      </c>
      <c r="L437" t="s">
        <v>44</v>
      </c>
      <c r="M437">
        <v>2.5</v>
      </c>
      <c r="N437" t="s">
        <v>45</v>
      </c>
      <c r="O437" t="s">
        <v>46</v>
      </c>
      <c r="P437">
        <v>5</v>
      </c>
      <c r="Q437" t="s">
        <v>84</v>
      </c>
      <c r="R437" t="s">
        <v>85</v>
      </c>
      <c r="S437" t="s">
        <v>49</v>
      </c>
      <c r="T437">
        <v>203</v>
      </c>
      <c r="U437" t="s">
        <v>50</v>
      </c>
      <c r="V437" t="s">
        <v>95</v>
      </c>
      <c r="W437" t="s">
        <v>520</v>
      </c>
      <c r="X437" t="s">
        <v>87</v>
      </c>
      <c r="Y437" t="s">
        <v>67</v>
      </c>
      <c r="Z437">
        <v>23645</v>
      </c>
      <c r="AA437">
        <v>0</v>
      </c>
      <c r="AB437" t="s">
        <v>54</v>
      </c>
      <c r="AC437" t="s">
        <v>89</v>
      </c>
      <c r="AD437">
        <v>34</v>
      </c>
      <c r="AE437">
        <v>8</v>
      </c>
      <c r="AF437">
        <v>3</v>
      </c>
      <c r="AG437">
        <v>2025</v>
      </c>
      <c r="AH437" s="13">
        <v>14100</v>
      </c>
      <c r="AI437" s="13">
        <v>11108.8564453125</v>
      </c>
      <c r="AJ437" s="13">
        <f t="shared" si="48"/>
        <v>2991.1435546875</v>
      </c>
      <c r="AK437" s="14">
        <f t="shared" si="49"/>
        <v>0.21213784075797873</v>
      </c>
      <c r="AL437" s="9">
        <v>14100</v>
      </c>
      <c r="AM437" s="9">
        <v>13097.747446859041</v>
      </c>
      <c r="AN437" s="9">
        <f t="shared" si="50"/>
        <v>1002.2525531409592</v>
      </c>
      <c r="AO437" s="10">
        <f t="shared" si="51"/>
        <v>7.1081741357514841E-2</v>
      </c>
      <c r="AP437" s="16">
        <v>14100</v>
      </c>
      <c r="AQ437" s="16">
        <v>13744.67262056459</v>
      </c>
      <c r="AR437" s="16">
        <f t="shared" si="52"/>
        <v>355.32737943540997</v>
      </c>
      <c r="AS437" s="17">
        <f t="shared" si="53"/>
        <v>2.5200523364213474E-2</v>
      </c>
      <c r="AT437" s="6">
        <v>14100</v>
      </c>
      <c r="AU437" s="6">
        <v>13217.646484375</v>
      </c>
      <c r="AV437" s="6">
        <f t="shared" si="54"/>
        <v>882.353515625</v>
      </c>
      <c r="AW437" s="7">
        <f t="shared" si="55"/>
        <v>6.2578263519503546E-2</v>
      </c>
    </row>
    <row r="438" spans="1:49" x14ac:dyDescent="0.25">
      <c r="A438" t="s">
        <v>56</v>
      </c>
      <c r="B438" t="s">
        <v>144</v>
      </c>
      <c r="C438">
        <v>133969</v>
      </c>
      <c r="D438">
        <v>2015</v>
      </c>
      <c r="E438" t="s">
        <v>173</v>
      </c>
      <c r="F438" t="s">
        <v>329</v>
      </c>
      <c r="G438" t="s">
        <v>817</v>
      </c>
      <c r="I438">
        <v>4</v>
      </c>
      <c r="J438" t="s">
        <v>82</v>
      </c>
      <c r="K438">
        <v>4</v>
      </c>
      <c r="L438" t="s">
        <v>44</v>
      </c>
      <c r="M438">
        <v>2.4</v>
      </c>
      <c r="N438" t="s">
        <v>45</v>
      </c>
      <c r="O438" t="s">
        <v>46</v>
      </c>
      <c r="Q438" t="s">
        <v>47</v>
      </c>
      <c r="R438" t="s">
        <v>48</v>
      </c>
      <c r="S438" t="s">
        <v>102</v>
      </c>
      <c r="T438">
        <v>184</v>
      </c>
      <c r="U438" t="s">
        <v>50</v>
      </c>
      <c r="X438" t="s">
        <v>52</v>
      </c>
      <c r="Y438" t="s">
        <v>331</v>
      </c>
      <c r="AA438">
        <v>0</v>
      </c>
      <c r="AB438" t="s">
        <v>54</v>
      </c>
      <c r="AC438" t="s">
        <v>55</v>
      </c>
      <c r="AD438">
        <v>34</v>
      </c>
      <c r="AE438">
        <v>8</v>
      </c>
      <c r="AF438">
        <v>3</v>
      </c>
      <c r="AG438">
        <v>2025</v>
      </c>
      <c r="AH438" s="13">
        <v>5100</v>
      </c>
      <c r="AI438" s="13">
        <v>3594.55712890625</v>
      </c>
      <c r="AJ438" s="13">
        <f t="shared" si="48"/>
        <v>1505.44287109375</v>
      </c>
      <c r="AK438" s="14">
        <f t="shared" si="49"/>
        <v>0.295184876685049</v>
      </c>
      <c r="AL438" s="9">
        <v>5100</v>
      </c>
      <c r="AM438" s="9">
        <v>4227.7870186044856</v>
      </c>
      <c r="AN438" s="9">
        <f t="shared" si="50"/>
        <v>872.21298139551436</v>
      </c>
      <c r="AO438" s="10">
        <f t="shared" si="51"/>
        <v>0.17102215321480674</v>
      </c>
      <c r="AP438" s="16">
        <v>5100</v>
      </c>
      <c r="AQ438" s="16">
        <v>4272.0924195635616</v>
      </c>
      <c r="AR438" s="16">
        <f t="shared" si="52"/>
        <v>827.90758043643837</v>
      </c>
      <c r="AS438" s="17">
        <f t="shared" si="53"/>
        <v>0.16233481969341929</v>
      </c>
      <c r="AT438" s="6">
        <v>5100</v>
      </c>
      <c r="AU438" s="6">
        <v>3782.2744140625</v>
      </c>
      <c r="AV438" s="6">
        <f t="shared" si="54"/>
        <v>1317.7255859375</v>
      </c>
      <c r="AW438" s="7">
        <f t="shared" si="55"/>
        <v>0.25837756587009802</v>
      </c>
    </row>
    <row r="439" spans="1:49" x14ac:dyDescent="0.25">
      <c r="A439" t="s">
        <v>38</v>
      </c>
      <c r="B439" t="s">
        <v>229</v>
      </c>
      <c r="C439">
        <v>112287</v>
      </c>
      <c r="D439">
        <v>2017</v>
      </c>
      <c r="E439" t="s">
        <v>145</v>
      </c>
      <c r="F439" t="s">
        <v>146</v>
      </c>
      <c r="G439" t="s">
        <v>818</v>
      </c>
      <c r="I439">
        <v>4</v>
      </c>
      <c r="J439" t="s">
        <v>94</v>
      </c>
      <c r="K439">
        <v>4</v>
      </c>
      <c r="L439" t="s">
        <v>44</v>
      </c>
      <c r="M439">
        <v>1.5</v>
      </c>
      <c r="N439" t="s">
        <v>45</v>
      </c>
      <c r="O439" t="s">
        <v>46</v>
      </c>
      <c r="P439">
        <v>2</v>
      </c>
      <c r="Q439" t="s">
        <v>47</v>
      </c>
      <c r="R439" t="s">
        <v>48</v>
      </c>
      <c r="S439" t="s">
        <v>49</v>
      </c>
      <c r="T439">
        <v>190</v>
      </c>
      <c r="U439" t="s">
        <v>50</v>
      </c>
      <c r="V439" t="s">
        <v>95</v>
      </c>
      <c r="W439" t="s">
        <v>678</v>
      </c>
      <c r="X439" t="s">
        <v>52</v>
      </c>
      <c r="Y439" t="s">
        <v>67</v>
      </c>
      <c r="Z439">
        <v>29295</v>
      </c>
      <c r="AA439">
        <v>0</v>
      </c>
      <c r="AB439" t="s">
        <v>54</v>
      </c>
      <c r="AC439" t="s">
        <v>55</v>
      </c>
      <c r="AD439">
        <v>34</v>
      </c>
      <c r="AE439">
        <v>8</v>
      </c>
      <c r="AF439">
        <v>3</v>
      </c>
      <c r="AG439">
        <v>2025</v>
      </c>
      <c r="AH439" s="13">
        <v>12000</v>
      </c>
      <c r="AI439" s="13">
        <v>10486.5703125</v>
      </c>
      <c r="AJ439" s="13">
        <f t="shared" si="48"/>
        <v>1513.4296875</v>
      </c>
      <c r="AK439" s="14">
        <f t="shared" si="49"/>
        <v>0.12611914062499999</v>
      </c>
      <c r="AL439" s="9">
        <v>12000</v>
      </c>
      <c r="AM439" s="9">
        <v>9126.1274086731682</v>
      </c>
      <c r="AN439" s="9">
        <f t="shared" si="50"/>
        <v>2873.8725913268318</v>
      </c>
      <c r="AO439" s="10">
        <f t="shared" si="51"/>
        <v>0.23948938261056932</v>
      </c>
      <c r="AP439" s="16">
        <v>12000</v>
      </c>
      <c r="AQ439" s="16">
        <v>8390.0284063312247</v>
      </c>
      <c r="AR439" s="16">
        <f t="shared" si="52"/>
        <v>3609.9715936687753</v>
      </c>
      <c r="AS439" s="17">
        <f t="shared" si="53"/>
        <v>0.30083096613906463</v>
      </c>
      <c r="AT439" s="6">
        <v>12000</v>
      </c>
      <c r="AU439" s="6">
        <v>9056.091796875</v>
      </c>
      <c r="AV439" s="6">
        <f t="shared" si="54"/>
        <v>2943.908203125</v>
      </c>
      <c r="AW439" s="7">
        <f t="shared" si="55"/>
        <v>0.24532568359375001</v>
      </c>
    </row>
    <row r="440" spans="1:49" x14ac:dyDescent="0.25">
      <c r="A440" t="s">
        <v>38</v>
      </c>
      <c r="B440" t="s">
        <v>90</v>
      </c>
      <c r="C440">
        <v>34162</v>
      </c>
      <c r="D440">
        <v>2016</v>
      </c>
      <c r="E440" t="s">
        <v>98</v>
      </c>
      <c r="F440" t="s">
        <v>704</v>
      </c>
      <c r="H440" t="s">
        <v>469</v>
      </c>
      <c r="I440">
        <v>8</v>
      </c>
      <c r="J440" t="s">
        <v>74</v>
      </c>
      <c r="K440">
        <v>4</v>
      </c>
      <c r="L440" t="s">
        <v>44</v>
      </c>
      <c r="M440">
        <v>6.2</v>
      </c>
      <c r="N440" t="s">
        <v>62</v>
      </c>
      <c r="O440" t="s">
        <v>46</v>
      </c>
      <c r="P440">
        <v>4</v>
      </c>
      <c r="Q440" t="s">
        <v>47</v>
      </c>
      <c r="R440" t="s">
        <v>48</v>
      </c>
      <c r="S440" t="s">
        <v>63</v>
      </c>
      <c r="U440" t="s">
        <v>50</v>
      </c>
      <c r="W440" t="s">
        <v>819</v>
      </c>
      <c r="X440" t="s">
        <v>77</v>
      </c>
      <c r="Y440" t="s">
        <v>67</v>
      </c>
      <c r="AA440">
        <v>0</v>
      </c>
      <c r="AB440" t="s">
        <v>54</v>
      </c>
      <c r="AC440" t="s">
        <v>55</v>
      </c>
      <c r="AD440">
        <v>34</v>
      </c>
      <c r="AE440">
        <v>8</v>
      </c>
      <c r="AF440">
        <v>3</v>
      </c>
      <c r="AG440">
        <v>2025</v>
      </c>
      <c r="AH440" s="13">
        <v>32500</v>
      </c>
      <c r="AI440" s="13">
        <v>34883.234375</v>
      </c>
      <c r="AJ440" s="13">
        <f t="shared" si="48"/>
        <v>2383.234375</v>
      </c>
      <c r="AK440" s="14">
        <f t="shared" si="49"/>
        <v>7.3330288461538468E-2</v>
      </c>
      <c r="AL440" s="9">
        <v>32500</v>
      </c>
      <c r="AM440" s="9">
        <v>33937.197822096437</v>
      </c>
      <c r="AN440" s="9">
        <f t="shared" si="50"/>
        <v>1437.1978220964374</v>
      </c>
      <c r="AO440" s="10">
        <f t="shared" si="51"/>
        <v>4.4221471449121155E-2</v>
      </c>
      <c r="AP440" s="16">
        <v>32500</v>
      </c>
      <c r="AQ440" s="16">
        <v>34238.657487236902</v>
      </c>
      <c r="AR440" s="16">
        <f t="shared" si="52"/>
        <v>1738.6574872369019</v>
      </c>
      <c r="AS440" s="17">
        <f t="shared" si="53"/>
        <v>5.3497153453443136E-2</v>
      </c>
      <c r="AT440" s="6">
        <v>32500</v>
      </c>
      <c r="AU440" s="6">
        <v>34573.0625</v>
      </c>
      <c r="AV440" s="6">
        <f t="shared" si="54"/>
        <v>2073.0625</v>
      </c>
      <c r="AW440" s="7">
        <f t="shared" si="55"/>
        <v>6.3786538461538464E-2</v>
      </c>
    </row>
    <row r="441" spans="1:49" x14ac:dyDescent="0.25">
      <c r="A441" t="s">
        <v>69</v>
      </c>
      <c r="B441" t="s">
        <v>545</v>
      </c>
      <c r="C441">
        <v>189649</v>
      </c>
      <c r="D441">
        <v>2013</v>
      </c>
      <c r="E441" t="s">
        <v>217</v>
      </c>
      <c r="F441" t="s">
        <v>162</v>
      </c>
      <c r="G441" t="s">
        <v>820</v>
      </c>
      <c r="I441">
        <v>8</v>
      </c>
      <c r="J441" t="s">
        <v>74</v>
      </c>
      <c r="K441">
        <v>4</v>
      </c>
      <c r="L441" t="s">
        <v>44</v>
      </c>
      <c r="M441">
        <v>5.7</v>
      </c>
      <c r="N441" t="s">
        <v>62</v>
      </c>
      <c r="O441" t="s">
        <v>46</v>
      </c>
      <c r="P441">
        <v>5</v>
      </c>
      <c r="Q441" t="s">
        <v>75</v>
      </c>
      <c r="R441" t="s">
        <v>76</v>
      </c>
      <c r="S441" t="s">
        <v>63</v>
      </c>
      <c r="U441" t="s">
        <v>50</v>
      </c>
      <c r="X441" t="s">
        <v>66</v>
      </c>
      <c r="Y441" t="s">
        <v>67</v>
      </c>
      <c r="AA441">
        <v>0</v>
      </c>
      <c r="AB441" t="s">
        <v>54</v>
      </c>
      <c r="AC441" t="s">
        <v>78</v>
      </c>
      <c r="AD441">
        <v>34</v>
      </c>
      <c r="AE441">
        <v>8</v>
      </c>
      <c r="AF441">
        <v>3</v>
      </c>
      <c r="AG441">
        <v>2025</v>
      </c>
      <c r="AH441" s="13">
        <v>5400</v>
      </c>
      <c r="AI441" s="13">
        <v>6500.7158203125</v>
      </c>
      <c r="AJ441" s="13">
        <f t="shared" si="48"/>
        <v>1100.7158203125</v>
      </c>
      <c r="AK441" s="14">
        <f t="shared" si="49"/>
        <v>0.20383626302083332</v>
      </c>
      <c r="AL441" s="9">
        <v>5400</v>
      </c>
      <c r="AM441" s="9">
        <v>7189.8694874017856</v>
      </c>
      <c r="AN441" s="9">
        <f t="shared" si="50"/>
        <v>1789.8694874017856</v>
      </c>
      <c r="AO441" s="10">
        <f t="shared" si="51"/>
        <v>0.33145731248181215</v>
      </c>
      <c r="AP441" s="16">
        <v>5400</v>
      </c>
      <c r="AQ441" s="16">
        <v>5730.6498416308514</v>
      </c>
      <c r="AR441" s="16">
        <f t="shared" si="52"/>
        <v>330.64984163085137</v>
      </c>
      <c r="AS441" s="17">
        <f t="shared" si="53"/>
        <v>6.1231452153861367E-2</v>
      </c>
      <c r="AT441" s="6">
        <v>5400</v>
      </c>
      <c r="AU441" s="6">
        <v>7772.6875</v>
      </c>
      <c r="AV441" s="6">
        <f t="shared" si="54"/>
        <v>2372.6875</v>
      </c>
      <c r="AW441" s="7">
        <f t="shared" si="55"/>
        <v>0.43938657407407405</v>
      </c>
    </row>
    <row r="442" spans="1:49" x14ac:dyDescent="0.25">
      <c r="A442" t="s">
        <v>38</v>
      </c>
      <c r="B442" t="s">
        <v>132</v>
      </c>
      <c r="C442">
        <v>97832</v>
      </c>
      <c r="D442">
        <v>2018</v>
      </c>
      <c r="E442" t="s">
        <v>58</v>
      </c>
      <c r="F442" t="s">
        <v>821</v>
      </c>
      <c r="H442" t="s">
        <v>822</v>
      </c>
      <c r="I442">
        <v>4</v>
      </c>
      <c r="J442" t="s">
        <v>43</v>
      </c>
      <c r="K442">
        <v>4</v>
      </c>
      <c r="L442" t="s">
        <v>44</v>
      </c>
      <c r="M442">
        <v>2</v>
      </c>
      <c r="N442" t="s">
        <v>62</v>
      </c>
      <c r="O442" t="s">
        <v>46</v>
      </c>
      <c r="P442">
        <v>1</v>
      </c>
      <c r="Q442" t="s">
        <v>47</v>
      </c>
      <c r="R442" t="s">
        <v>48</v>
      </c>
      <c r="S442" t="s">
        <v>63</v>
      </c>
      <c r="T442">
        <v>166</v>
      </c>
      <c r="U442" t="s">
        <v>50</v>
      </c>
      <c r="V442" t="s">
        <v>95</v>
      </c>
      <c r="X442" t="s">
        <v>52</v>
      </c>
      <c r="Y442" t="s">
        <v>823</v>
      </c>
      <c r="Z442">
        <v>23000</v>
      </c>
      <c r="AA442">
        <v>0</v>
      </c>
      <c r="AB442" t="s">
        <v>54</v>
      </c>
      <c r="AC442" t="s">
        <v>55</v>
      </c>
      <c r="AD442">
        <v>34</v>
      </c>
      <c r="AE442">
        <v>8</v>
      </c>
      <c r="AF442">
        <v>3</v>
      </c>
      <c r="AG442">
        <v>2025</v>
      </c>
      <c r="AH442" s="13">
        <v>1000</v>
      </c>
      <c r="AI442" s="13">
        <v>3913.73486328125</v>
      </c>
      <c r="AJ442" s="13">
        <f t="shared" si="48"/>
        <v>2913.73486328125</v>
      </c>
      <c r="AK442" s="14">
        <f t="shared" si="49"/>
        <v>2.9137348632812499</v>
      </c>
      <c r="AL442" s="9">
        <v>1000</v>
      </c>
      <c r="AM442" s="9">
        <v>3771.7642770102848</v>
      </c>
      <c r="AN442" s="9">
        <f t="shared" si="50"/>
        <v>2771.7642770102848</v>
      </c>
      <c r="AO442" s="10">
        <f t="shared" si="51"/>
        <v>2.7717642770102846</v>
      </c>
      <c r="AP442" s="16">
        <v>1000</v>
      </c>
      <c r="AQ442" s="16">
        <v>3640.123661499787</v>
      </c>
      <c r="AR442" s="16">
        <f t="shared" si="52"/>
        <v>2640.123661499787</v>
      </c>
      <c r="AS442" s="17">
        <f t="shared" si="53"/>
        <v>2.6401236614997869</v>
      </c>
      <c r="AT442" s="6">
        <v>1000</v>
      </c>
      <c r="AU442" s="6">
        <v>3495.831787109375</v>
      </c>
      <c r="AV442" s="6">
        <f t="shared" si="54"/>
        <v>2495.831787109375</v>
      </c>
      <c r="AW442" s="7">
        <f t="shared" si="55"/>
        <v>2.4958317871093749</v>
      </c>
    </row>
    <row r="443" spans="1:49" x14ac:dyDescent="0.25">
      <c r="A443" t="s">
        <v>38</v>
      </c>
      <c r="B443" t="s">
        <v>39</v>
      </c>
      <c r="C443">
        <v>33168</v>
      </c>
      <c r="D443">
        <v>2023</v>
      </c>
      <c r="E443" t="s">
        <v>113</v>
      </c>
      <c r="F443" t="s">
        <v>114</v>
      </c>
      <c r="H443" t="s">
        <v>476</v>
      </c>
      <c r="I443">
        <v>6</v>
      </c>
      <c r="J443" t="s">
        <v>101</v>
      </c>
      <c r="K443">
        <v>4</v>
      </c>
      <c r="L443" t="s">
        <v>44</v>
      </c>
      <c r="M443">
        <v>3.6</v>
      </c>
      <c r="N443" t="s">
        <v>116</v>
      </c>
      <c r="O443" t="s">
        <v>42</v>
      </c>
      <c r="P443">
        <v>4</v>
      </c>
      <c r="Q443" t="s">
        <v>84</v>
      </c>
      <c r="R443" t="s">
        <v>85</v>
      </c>
      <c r="S443" t="s">
        <v>117</v>
      </c>
      <c r="T443">
        <v>292</v>
      </c>
      <c r="U443" t="s">
        <v>50</v>
      </c>
      <c r="V443" t="s">
        <v>64</v>
      </c>
      <c r="X443" t="s">
        <v>87</v>
      </c>
      <c r="Y443" t="s">
        <v>88</v>
      </c>
      <c r="AA443">
        <v>0</v>
      </c>
      <c r="AB443" t="s">
        <v>54</v>
      </c>
      <c r="AC443" t="s">
        <v>89</v>
      </c>
      <c r="AD443">
        <v>34</v>
      </c>
      <c r="AE443">
        <v>8</v>
      </c>
      <c r="AF443">
        <v>3</v>
      </c>
      <c r="AG443">
        <v>2025</v>
      </c>
      <c r="AH443" s="13">
        <v>15500</v>
      </c>
      <c r="AI443" s="13">
        <v>19407.705078125</v>
      </c>
      <c r="AJ443" s="13">
        <f t="shared" si="48"/>
        <v>3907.705078125</v>
      </c>
      <c r="AK443" s="14">
        <f t="shared" si="49"/>
        <v>0.2521100050403226</v>
      </c>
      <c r="AL443" s="9">
        <v>15500</v>
      </c>
      <c r="AM443" s="9">
        <v>18953.480493352748</v>
      </c>
      <c r="AN443" s="9">
        <f t="shared" si="50"/>
        <v>3453.4804933527485</v>
      </c>
      <c r="AO443" s="10">
        <f t="shared" si="51"/>
        <v>0.22280519311953215</v>
      </c>
      <c r="AP443" s="16">
        <v>15500</v>
      </c>
      <c r="AQ443" s="16">
        <v>18211.39813860301</v>
      </c>
      <c r="AR443" s="16">
        <f t="shared" si="52"/>
        <v>2711.39813860301</v>
      </c>
      <c r="AS443" s="17">
        <f t="shared" si="53"/>
        <v>0.17492891216793613</v>
      </c>
      <c r="AT443" s="6">
        <v>15500</v>
      </c>
      <c r="AU443" s="6">
        <v>21347.517578125</v>
      </c>
      <c r="AV443" s="6">
        <f t="shared" si="54"/>
        <v>5847.517578125</v>
      </c>
      <c r="AW443" s="7">
        <f t="shared" si="55"/>
        <v>0.37725919858870965</v>
      </c>
    </row>
    <row r="444" spans="1:49" x14ac:dyDescent="0.25">
      <c r="A444" t="s">
        <v>56</v>
      </c>
      <c r="B444" t="s">
        <v>123</v>
      </c>
      <c r="C444">
        <v>84818</v>
      </c>
      <c r="D444">
        <v>2021</v>
      </c>
      <c r="E444" t="s">
        <v>269</v>
      </c>
      <c r="F444" t="s">
        <v>824</v>
      </c>
      <c r="G444" t="s">
        <v>701</v>
      </c>
      <c r="I444">
        <v>4</v>
      </c>
      <c r="J444" t="s">
        <v>82</v>
      </c>
      <c r="K444">
        <v>4</v>
      </c>
      <c r="L444" t="s">
        <v>44</v>
      </c>
      <c r="M444">
        <v>2</v>
      </c>
      <c r="N444" t="s">
        <v>44</v>
      </c>
      <c r="O444" t="s">
        <v>46</v>
      </c>
      <c r="P444">
        <v>4</v>
      </c>
      <c r="Q444" t="s">
        <v>47</v>
      </c>
      <c r="R444" t="s">
        <v>48</v>
      </c>
      <c r="S444" t="s">
        <v>139</v>
      </c>
      <c r="T444">
        <v>248</v>
      </c>
      <c r="U444" t="s">
        <v>50</v>
      </c>
      <c r="X444" t="s">
        <v>141</v>
      </c>
      <c r="Y444" t="s">
        <v>67</v>
      </c>
      <c r="Z444">
        <v>51600</v>
      </c>
      <c r="AA444">
        <v>0</v>
      </c>
      <c r="AB444" t="s">
        <v>54</v>
      </c>
      <c r="AC444" t="s">
        <v>55</v>
      </c>
      <c r="AD444">
        <v>34</v>
      </c>
      <c r="AE444">
        <v>8</v>
      </c>
      <c r="AF444">
        <v>3</v>
      </c>
      <c r="AG444">
        <v>2025</v>
      </c>
      <c r="AH444" s="13">
        <v>23200</v>
      </c>
      <c r="AI444" s="13">
        <v>27343.623046875</v>
      </c>
      <c r="AJ444" s="13">
        <f t="shared" si="48"/>
        <v>4143.623046875</v>
      </c>
      <c r="AK444" s="14">
        <f t="shared" si="49"/>
        <v>0.17860444167564654</v>
      </c>
      <c r="AL444" s="9">
        <v>23200</v>
      </c>
      <c r="AM444" s="9">
        <v>22999.721642790279</v>
      </c>
      <c r="AN444" s="9">
        <f t="shared" si="50"/>
        <v>200.27835720972143</v>
      </c>
      <c r="AO444" s="10">
        <f t="shared" si="51"/>
        <v>8.6326878107638554E-3</v>
      </c>
      <c r="AP444" s="16">
        <v>23200</v>
      </c>
      <c r="AQ444" s="16">
        <v>21535.282492288261</v>
      </c>
      <c r="AR444" s="16">
        <f t="shared" si="52"/>
        <v>1664.717507711739</v>
      </c>
      <c r="AS444" s="17">
        <f t="shared" si="53"/>
        <v>7.175506498757496E-2</v>
      </c>
      <c r="AT444" s="6">
        <v>23200</v>
      </c>
      <c r="AU444" s="6">
        <v>19648.890625</v>
      </c>
      <c r="AV444" s="6">
        <f t="shared" si="54"/>
        <v>3551.109375</v>
      </c>
      <c r="AW444" s="7">
        <f t="shared" si="55"/>
        <v>0.15306505926724137</v>
      </c>
    </row>
    <row r="445" spans="1:49" x14ac:dyDescent="0.25">
      <c r="A445" t="s">
        <v>69</v>
      </c>
      <c r="B445" t="s">
        <v>452</v>
      </c>
      <c r="C445">
        <v>128355</v>
      </c>
      <c r="D445">
        <v>2015</v>
      </c>
      <c r="E445" t="s">
        <v>224</v>
      </c>
      <c r="F445" t="s">
        <v>446</v>
      </c>
      <c r="G445" t="s">
        <v>421</v>
      </c>
      <c r="H445" t="s">
        <v>448</v>
      </c>
      <c r="I445">
        <v>6</v>
      </c>
      <c r="J445" t="s">
        <v>43</v>
      </c>
      <c r="K445">
        <v>4</v>
      </c>
      <c r="L445" t="s">
        <v>44</v>
      </c>
      <c r="M445">
        <v>2.5</v>
      </c>
      <c r="N445" t="s">
        <v>116</v>
      </c>
      <c r="O445" t="s">
        <v>46</v>
      </c>
      <c r="P445">
        <v>4</v>
      </c>
      <c r="Q445" t="s">
        <v>84</v>
      </c>
      <c r="R445" t="s">
        <v>85</v>
      </c>
      <c r="S445" t="s">
        <v>49</v>
      </c>
      <c r="T445">
        <v>236</v>
      </c>
      <c r="U445" t="s">
        <v>50</v>
      </c>
      <c r="V445" t="s">
        <v>64</v>
      </c>
      <c r="W445" t="s">
        <v>825</v>
      </c>
      <c r="X445" t="s">
        <v>87</v>
      </c>
      <c r="Y445" t="s">
        <v>97</v>
      </c>
      <c r="AA445">
        <v>0</v>
      </c>
      <c r="AB445" t="s">
        <v>54</v>
      </c>
      <c r="AC445" t="s">
        <v>89</v>
      </c>
      <c r="AD445">
        <v>34</v>
      </c>
      <c r="AE445">
        <v>8</v>
      </c>
      <c r="AF445">
        <v>3</v>
      </c>
      <c r="AG445">
        <v>2025</v>
      </c>
      <c r="AH445" s="13">
        <v>11500</v>
      </c>
      <c r="AI445" s="13">
        <v>8732.142578125</v>
      </c>
      <c r="AJ445" s="13">
        <f t="shared" si="48"/>
        <v>2767.857421875</v>
      </c>
      <c r="AK445" s="14">
        <f t="shared" si="49"/>
        <v>0.24068325407608696</v>
      </c>
      <c r="AL445" s="9">
        <v>11500</v>
      </c>
      <c r="AM445" s="9">
        <v>10651.09500520636</v>
      </c>
      <c r="AN445" s="9">
        <f t="shared" si="50"/>
        <v>848.90499479364007</v>
      </c>
      <c r="AO445" s="10">
        <f t="shared" si="51"/>
        <v>7.3817825634229575E-2</v>
      </c>
      <c r="AP445" s="16">
        <v>11500</v>
      </c>
      <c r="AQ445" s="16">
        <v>7994.5907037601673</v>
      </c>
      <c r="AR445" s="16">
        <f t="shared" si="52"/>
        <v>3505.4092962398327</v>
      </c>
      <c r="AS445" s="17">
        <f t="shared" si="53"/>
        <v>0.30481819967302892</v>
      </c>
      <c r="AT445" s="6">
        <v>11500</v>
      </c>
      <c r="AU445" s="6">
        <v>8936.6435546875</v>
      </c>
      <c r="AV445" s="6">
        <f t="shared" si="54"/>
        <v>2563.3564453125</v>
      </c>
      <c r="AW445" s="7">
        <f t="shared" si="55"/>
        <v>0.22290056046195653</v>
      </c>
    </row>
    <row r="446" spans="1:49" x14ac:dyDescent="0.25">
      <c r="A446" t="s">
        <v>38</v>
      </c>
      <c r="B446" t="s">
        <v>132</v>
      </c>
      <c r="C446">
        <v>107950</v>
      </c>
      <c r="D446">
        <v>2012</v>
      </c>
      <c r="E446" t="s">
        <v>241</v>
      </c>
      <c r="F446" t="s">
        <v>335</v>
      </c>
      <c r="G446" t="s">
        <v>758</v>
      </c>
      <c r="H446" t="s">
        <v>336</v>
      </c>
      <c r="I446">
        <v>8</v>
      </c>
      <c r="J446" t="s">
        <v>94</v>
      </c>
      <c r="K446">
        <v>4</v>
      </c>
      <c r="L446" t="s">
        <v>44</v>
      </c>
      <c r="M446">
        <v>4.5999999999999996</v>
      </c>
      <c r="N446" t="s">
        <v>44</v>
      </c>
      <c r="O446" t="s">
        <v>46</v>
      </c>
      <c r="P446">
        <v>4</v>
      </c>
      <c r="Q446" t="s">
        <v>84</v>
      </c>
      <c r="R446" t="s">
        <v>85</v>
      </c>
      <c r="S446" t="s">
        <v>139</v>
      </c>
      <c r="U446" t="s">
        <v>50</v>
      </c>
      <c r="V446" t="s">
        <v>64</v>
      </c>
      <c r="X446" t="s">
        <v>87</v>
      </c>
      <c r="Y446" t="s">
        <v>244</v>
      </c>
      <c r="AA446">
        <v>0</v>
      </c>
      <c r="AB446" t="s">
        <v>54</v>
      </c>
      <c r="AC446" t="s">
        <v>89</v>
      </c>
      <c r="AD446">
        <v>34</v>
      </c>
      <c r="AE446">
        <v>8</v>
      </c>
      <c r="AF446">
        <v>3</v>
      </c>
      <c r="AG446">
        <v>2025</v>
      </c>
      <c r="AH446" s="13">
        <v>6600</v>
      </c>
      <c r="AI446" s="13">
        <v>6549.72265625</v>
      </c>
      <c r="AJ446" s="13">
        <f t="shared" si="48"/>
        <v>50.27734375</v>
      </c>
      <c r="AK446" s="14">
        <f t="shared" si="49"/>
        <v>7.6177793560606062E-3</v>
      </c>
      <c r="AL446" s="9">
        <v>6600</v>
      </c>
      <c r="AM446" s="9">
        <v>7056.1479410012444</v>
      </c>
      <c r="AN446" s="9">
        <f t="shared" si="50"/>
        <v>456.14794100124436</v>
      </c>
      <c r="AO446" s="10">
        <f t="shared" si="51"/>
        <v>6.9113324394127928E-2</v>
      </c>
      <c r="AP446" s="16">
        <v>6600</v>
      </c>
      <c r="AQ446" s="16">
        <v>6490.7868024566742</v>
      </c>
      <c r="AR446" s="16">
        <f t="shared" si="52"/>
        <v>109.2131975433258</v>
      </c>
      <c r="AS446" s="17">
        <f t="shared" si="53"/>
        <v>1.6547454173231183E-2</v>
      </c>
      <c r="AT446" s="6">
        <v>6600</v>
      </c>
      <c r="AU446" s="6">
        <v>6699.09130859375</v>
      </c>
      <c r="AV446" s="6">
        <f t="shared" si="54"/>
        <v>99.09130859375</v>
      </c>
      <c r="AW446" s="7">
        <f t="shared" si="55"/>
        <v>1.5013834635416667E-2</v>
      </c>
    </row>
    <row r="447" spans="1:49" x14ac:dyDescent="0.25">
      <c r="A447" t="s">
        <v>69</v>
      </c>
      <c r="B447" t="s">
        <v>112</v>
      </c>
      <c r="C447">
        <v>7319</v>
      </c>
      <c r="D447">
        <v>2023</v>
      </c>
      <c r="E447" t="s">
        <v>91</v>
      </c>
      <c r="F447" t="s">
        <v>517</v>
      </c>
      <c r="G447" t="s">
        <v>826</v>
      </c>
      <c r="H447" t="s">
        <v>519</v>
      </c>
      <c r="I447">
        <v>4</v>
      </c>
      <c r="J447" t="s">
        <v>74</v>
      </c>
      <c r="K447">
        <v>4</v>
      </c>
      <c r="L447" t="s">
        <v>44</v>
      </c>
      <c r="M447">
        <v>2.5</v>
      </c>
      <c r="N447" t="s">
        <v>45</v>
      </c>
      <c r="O447" t="s">
        <v>46</v>
      </c>
      <c r="P447">
        <v>4</v>
      </c>
      <c r="Q447" t="s">
        <v>47</v>
      </c>
      <c r="R447" t="s">
        <v>48</v>
      </c>
      <c r="S447" t="s">
        <v>49</v>
      </c>
      <c r="T447">
        <v>203</v>
      </c>
      <c r="U447" t="s">
        <v>50</v>
      </c>
      <c r="V447" t="s">
        <v>95</v>
      </c>
      <c r="W447" t="s">
        <v>520</v>
      </c>
      <c r="X447" t="s">
        <v>52</v>
      </c>
      <c r="Y447" t="s">
        <v>88</v>
      </c>
      <c r="AA447">
        <v>0</v>
      </c>
      <c r="AB447" t="s">
        <v>54</v>
      </c>
      <c r="AC447" t="s">
        <v>55</v>
      </c>
      <c r="AD447">
        <v>34</v>
      </c>
      <c r="AE447">
        <v>8</v>
      </c>
      <c r="AF447">
        <v>3</v>
      </c>
      <c r="AG447">
        <v>2025</v>
      </c>
      <c r="AH447" s="13">
        <v>29600</v>
      </c>
      <c r="AI447" s="13">
        <v>25361.24609375</v>
      </c>
      <c r="AJ447" s="13">
        <f t="shared" si="48"/>
        <v>4238.75390625</v>
      </c>
      <c r="AK447" s="14">
        <f t="shared" si="49"/>
        <v>0.14320114548141891</v>
      </c>
      <c r="AL447" s="9">
        <v>29600</v>
      </c>
      <c r="AM447" s="9">
        <v>25893.289031032851</v>
      </c>
      <c r="AN447" s="9">
        <f t="shared" si="50"/>
        <v>3706.7109689671488</v>
      </c>
      <c r="AO447" s="10">
        <f t="shared" si="51"/>
        <v>0.12522672192456583</v>
      </c>
      <c r="AP447" s="16">
        <v>29600</v>
      </c>
      <c r="AQ447" s="16">
        <v>26862.508039211509</v>
      </c>
      <c r="AR447" s="16">
        <f t="shared" si="52"/>
        <v>2737.4919607884913</v>
      </c>
      <c r="AS447" s="17">
        <f t="shared" si="53"/>
        <v>9.2482836513124708E-2</v>
      </c>
      <c r="AT447" s="6">
        <v>29600</v>
      </c>
      <c r="AU447" s="6">
        <v>25242.041015625</v>
      </c>
      <c r="AV447" s="6">
        <f t="shared" si="54"/>
        <v>4357.958984375</v>
      </c>
      <c r="AW447" s="7">
        <f t="shared" si="55"/>
        <v>0.14722834406672297</v>
      </c>
    </row>
    <row r="448" spans="1:49" x14ac:dyDescent="0.25">
      <c r="A448" t="s">
        <v>56</v>
      </c>
      <c r="B448" t="s">
        <v>57</v>
      </c>
      <c r="C448">
        <v>29946</v>
      </c>
      <c r="D448">
        <v>2024</v>
      </c>
      <c r="E448" t="s">
        <v>58</v>
      </c>
      <c r="F448" t="s">
        <v>827</v>
      </c>
      <c r="G448" t="s">
        <v>171</v>
      </c>
      <c r="I448">
        <v>6</v>
      </c>
      <c r="J448" t="s">
        <v>43</v>
      </c>
      <c r="K448">
        <v>4</v>
      </c>
      <c r="L448" t="s">
        <v>44</v>
      </c>
      <c r="M448">
        <v>3.5</v>
      </c>
      <c r="N448" t="s">
        <v>62</v>
      </c>
      <c r="O448" t="s">
        <v>46</v>
      </c>
      <c r="Q448" t="s">
        <v>47</v>
      </c>
      <c r="R448" t="s">
        <v>48</v>
      </c>
      <c r="S448" t="s">
        <v>63</v>
      </c>
      <c r="U448" t="s">
        <v>134</v>
      </c>
      <c r="V448" t="s">
        <v>64</v>
      </c>
      <c r="W448" t="s">
        <v>828</v>
      </c>
      <c r="X448" t="s">
        <v>77</v>
      </c>
      <c r="Y448" t="s">
        <v>67</v>
      </c>
      <c r="AA448">
        <v>0</v>
      </c>
      <c r="AB448" t="s">
        <v>54</v>
      </c>
      <c r="AC448" t="s">
        <v>55</v>
      </c>
      <c r="AD448">
        <v>34</v>
      </c>
      <c r="AE448">
        <v>8</v>
      </c>
      <c r="AF448">
        <v>3</v>
      </c>
      <c r="AG448">
        <v>2025</v>
      </c>
      <c r="AH448" s="13">
        <v>63700</v>
      </c>
      <c r="AI448" s="13">
        <v>54925.36328125</v>
      </c>
      <c r="AJ448" s="13">
        <f t="shared" si="48"/>
        <v>8774.63671875</v>
      </c>
      <c r="AK448" s="14">
        <f t="shared" si="49"/>
        <v>0.13774939903846153</v>
      </c>
      <c r="AL448" s="9">
        <v>63700</v>
      </c>
      <c r="AM448" s="9">
        <v>46938.194172786847</v>
      </c>
      <c r="AN448" s="9">
        <f t="shared" si="50"/>
        <v>16761.805827213153</v>
      </c>
      <c r="AO448" s="10">
        <f t="shared" si="51"/>
        <v>0.26313666918701967</v>
      </c>
      <c r="AP448" s="16">
        <v>63700</v>
      </c>
      <c r="AQ448" s="16">
        <v>46736.260223837096</v>
      </c>
      <c r="AR448" s="16">
        <f t="shared" si="52"/>
        <v>16963.739776162904</v>
      </c>
      <c r="AS448" s="17">
        <f t="shared" si="53"/>
        <v>0.2663067468785385</v>
      </c>
      <c r="AT448" s="6">
        <v>63700</v>
      </c>
      <c r="AU448" s="6">
        <v>60287.80859375</v>
      </c>
      <c r="AV448" s="6">
        <f t="shared" si="54"/>
        <v>3412.19140625</v>
      </c>
      <c r="AW448" s="7">
        <f t="shared" si="55"/>
        <v>5.3566584085557298E-2</v>
      </c>
    </row>
    <row r="449" spans="1:49" x14ac:dyDescent="0.25">
      <c r="A449" t="s">
        <v>38</v>
      </c>
      <c r="B449" t="s">
        <v>132</v>
      </c>
      <c r="C449">
        <v>29163</v>
      </c>
      <c r="D449">
        <v>2024</v>
      </c>
      <c r="E449" t="s">
        <v>91</v>
      </c>
      <c r="F449" t="s">
        <v>553</v>
      </c>
      <c r="G449" t="s">
        <v>829</v>
      </c>
      <c r="H449" t="s">
        <v>555</v>
      </c>
      <c r="I449">
        <v>6</v>
      </c>
      <c r="J449" t="s">
        <v>101</v>
      </c>
      <c r="K449">
        <v>4</v>
      </c>
      <c r="L449" t="s">
        <v>44</v>
      </c>
      <c r="M449">
        <v>4</v>
      </c>
      <c r="N449" t="s">
        <v>62</v>
      </c>
      <c r="O449" t="s">
        <v>46</v>
      </c>
      <c r="P449">
        <v>5</v>
      </c>
      <c r="Q449" t="s">
        <v>47</v>
      </c>
      <c r="R449" t="s">
        <v>48</v>
      </c>
      <c r="S449" t="s">
        <v>63</v>
      </c>
      <c r="T449">
        <v>270</v>
      </c>
      <c r="U449" t="s">
        <v>50</v>
      </c>
      <c r="V449" t="s">
        <v>64</v>
      </c>
      <c r="W449" t="s">
        <v>429</v>
      </c>
      <c r="X449" t="s">
        <v>66</v>
      </c>
      <c r="Y449" t="s">
        <v>97</v>
      </c>
      <c r="AA449">
        <v>0</v>
      </c>
      <c r="AB449" t="s">
        <v>54</v>
      </c>
      <c r="AC449" t="s">
        <v>55</v>
      </c>
      <c r="AD449">
        <v>34</v>
      </c>
      <c r="AE449">
        <v>8</v>
      </c>
      <c r="AF449">
        <v>3</v>
      </c>
      <c r="AG449">
        <v>2025</v>
      </c>
      <c r="AH449" s="13">
        <v>40700</v>
      </c>
      <c r="AI449" s="13">
        <v>42904.3515625</v>
      </c>
      <c r="AJ449" s="13">
        <f t="shared" si="48"/>
        <v>2204.3515625</v>
      </c>
      <c r="AK449" s="14">
        <f t="shared" si="49"/>
        <v>5.4160972051597055E-2</v>
      </c>
      <c r="AL449" s="9">
        <v>40700</v>
      </c>
      <c r="AM449" s="9">
        <v>40374.881314646271</v>
      </c>
      <c r="AN449" s="9">
        <f t="shared" si="50"/>
        <v>325.11868535372923</v>
      </c>
      <c r="AO449" s="10">
        <f t="shared" si="51"/>
        <v>7.9881740873152147E-3</v>
      </c>
      <c r="AP449" s="16">
        <v>40700</v>
      </c>
      <c r="AQ449" s="16">
        <v>37386.519059040562</v>
      </c>
      <c r="AR449" s="16">
        <f t="shared" si="52"/>
        <v>3313.4809409594382</v>
      </c>
      <c r="AS449" s="17">
        <f t="shared" si="53"/>
        <v>8.1412308131681529E-2</v>
      </c>
      <c r="AT449" s="6">
        <v>40700</v>
      </c>
      <c r="AU449" s="6">
        <v>39449.3046875</v>
      </c>
      <c r="AV449" s="6">
        <f t="shared" si="54"/>
        <v>1250.6953125</v>
      </c>
      <c r="AW449" s="7">
        <f t="shared" si="55"/>
        <v>3.0729614557739558E-2</v>
      </c>
    </row>
    <row r="450" spans="1:49" x14ac:dyDescent="0.25">
      <c r="A450" t="s">
        <v>69</v>
      </c>
      <c r="B450" t="s">
        <v>70</v>
      </c>
      <c r="C450">
        <v>121500</v>
      </c>
      <c r="D450">
        <v>2018</v>
      </c>
      <c r="E450" t="s">
        <v>71</v>
      </c>
      <c r="F450" t="s">
        <v>129</v>
      </c>
      <c r="I450">
        <v>4</v>
      </c>
      <c r="J450" t="s">
        <v>43</v>
      </c>
      <c r="K450">
        <v>4</v>
      </c>
      <c r="L450" t="s">
        <v>44</v>
      </c>
      <c r="M450">
        <v>2.5</v>
      </c>
      <c r="N450" t="s">
        <v>45</v>
      </c>
      <c r="O450" t="s">
        <v>46</v>
      </c>
      <c r="P450">
        <v>4</v>
      </c>
      <c r="Q450" t="s">
        <v>84</v>
      </c>
      <c r="R450" t="s">
        <v>85</v>
      </c>
      <c r="S450" t="s">
        <v>49</v>
      </c>
      <c r="U450" t="s">
        <v>50</v>
      </c>
      <c r="V450" t="s">
        <v>95</v>
      </c>
      <c r="X450" t="s">
        <v>87</v>
      </c>
      <c r="Y450" t="s">
        <v>67</v>
      </c>
      <c r="Z450">
        <v>23260</v>
      </c>
      <c r="AA450">
        <v>0</v>
      </c>
      <c r="AB450" t="s">
        <v>54</v>
      </c>
      <c r="AC450" t="s">
        <v>89</v>
      </c>
      <c r="AD450">
        <v>34</v>
      </c>
      <c r="AE450">
        <v>8</v>
      </c>
      <c r="AF450">
        <v>3</v>
      </c>
      <c r="AG450">
        <v>2025</v>
      </c>
      <c r="AH450" s="13">
        <v>7000</v>
      </c>
      <c r="AI450" s="13">
        <v>6164.21826171875</v>
      </c>
      <c r="AJ450" s="13">
        <f t="shared" si="48"/>
        <v>835.78173828125</v>
      </c>
      <c r="AK450" s="14">
        <f t="shared" si="49"/>
        <v>0.11939739118303572</v>
      </c>
      <c r="AL450" s="9">
        <v>7000</v>
      </c>
      <c r="AM450" s="9">
        <v>5376.1519024626432</v>
      </c>
      <c r="AN450" s="9">
        <f t="shared" si="50"/>
        <v>1623.8480975373568</v>
      </c>
      <c r="AO450" s="10">
        <f t="shared" si="51"/>
        <v>0.23197829964819383</v>
      </c>
      <c r="AP450" s="16">
        <v>7000</v>
      </c>
      <c r="AQ450" s="16">
        <v>5936.2176122261399</v>
      </c>
      <c r="AR450" s="16">
        <f t="shared" si="52"/>
        <v>1063.7823877738601</v>
      </c>
      <c r="AS450" s="17">
        <f t="shared" si="53"/>
        <v>0.15196891253912287</v>
      </c>
      <c r="AT450" s="6">
        <v>7000</v>
      </c>
      <c r="AU450" s="6">
        <v>5812.9775390625</v>
      </c>
      <c r="AV450" s="6">
        <f t="shared" si="54"/>
        <v>1187.0224609375</v>
      </c>
      <c r="AW450" s="7">
        <f t="shared" si="55"/>
        <v>0.16957463727678571</v>
      </c>
    </row>
    <row r="451" spans="1:49" x14ac:dyDescent="0.25">
      <c r="A451" t="s">
        <v>38</v>
      </c>
      <c r="B451" t="s">
        <v>410</v>
      </c>
      <c r="C451">
        <v>78999</v>
      </c>
      <c r="D451">
        <v>2020</v>
      </c>
      <c r="E451" t="s">
        <v>58</v>
      </c>
      <c r="F451" t="s">
        <v>767</v>
      </c>
      <c r="I451">
        <v>4</v>
      </c>
      <c r="J451" t="s">
        <v>101</v>
      </c>
      <c r="K451">
        <v>4</v>
      </c>
      <c r="L451" t="s">
        <v>44</v>
      </c>
      <c r="M451">
        <v>2.2999999999999998</v>
      </c>
      <c r="N451" t="s">
        <v>62</v>
      </c>
      <c r="O451" t="s">
        <v>46</v>
      </c>
      <c r="P451">
        <v>2</v>
      </c>
      <c r="Q451" t="s">
        <v>75</v>
      </c>
      <c r="R451" t="s">
        <v>76</v>
      </c>
      <c r="S451" t="s">
        <v>63</v>
      </c>
      <c r="T451">
        <v>270</v>
      </c>
      <c r="U451" t="s">
        <v>50</v>
      </c>
      <c r="X451" t="s">
        <v>66</v>
      </c>
      <c r="Y451" t="s">
        <v>67</v>
      </c>
      <c r="AA451">
        <v>0</v>
      </c>
      <c r="AB451" t="s">
        <v>54</v>
      </c>
      <c r="AC451" t="s">
        <v>78</v>
      </c>
      <c r="AD451">
        <v>34</v>
      </c>
      <c r="AE451">
        <v>8</v>
      </c>
      <c r="AF451">
        <v>3</v>
      </c>
      <c r="AG451">
        <v>2025</v>
      </c>
      <c r="AH451" s="13">
        <v>21700</v>
      </c>
      <c r="AI451" s="13">
        <v>15490.111328125</v>
      </c>
      <c r="AJ451" s="13">
        <f t="shared" ref="AJ451:AJ514" si="56">ABS(AH451-AI451)</f>
        <v>6209.888671875</v>
      </c>
      <c r="AK451" s="14">
        <f t="shared" ref="AK451:AK514" si="57">ABS($AH451-AI451)/$AH451</f>
        <v>0.28616998487903228</v>
      </c>
      <c r="AL451" s="9">
        <v>21700</v>
      </c>
      <c r="AM451" s="9">
        <v>19883.41220751169</v>
      </c>
      <c r="AN451" s="9">
        <f t="shared" ref="AN451:AN514" si="58">ABS(AL451-AM451)</f>
        <v>1816.5877924883098</v>
      </c>
      <c r="AO451" s="10">
        <f t="shared" ref="AO451:AO514" si="59">ABS($AL451-AM451)/$AL451</f>
        <v>8.371372315614331E-2</v>
      </c>
      <c r="AP451" s="16">
        <v>21700</v>
      </c>
      <c r="AQ451" s="16">
        <v>17570.855557686769</v>
      </c>
      <c r="AR451" s="16">
        <f t="shared" ref="AR451:AR514" si="60">ABS(AP451-AQ451)</f>
        <v>4129.1444423132307</v>
      </c>
      <c r="AS451" s="17">
        <f t="shared" ref="AS451:AS514" si="61">ABS($AP451-AQ451)/$AP451</f>
        <v>0.19028315402365117</v>
      </c>
      <c r="AT451" s="6">
        <v>21700</v>
      </c>
      <c r="AU451" s="6">
        <v>17372.146484375</v>
      </c>
      <c r="AV451" s="6">
        <f t="shared" ref="AV451:AV514" si="62">ABS(AT451-AU451)</f>
        <v>4327.853515625</v>
      </c>
      <c r="AW451" s="7">
        <f t="shared" ref="AW451:AW514" si="63">ABS($AT451-AU451)/$AT451</f>
        <v>0.19944025417626729</v>
      </c>
    </row>
    <row r="452" spans="1:49" x14ac:dyDescent="0.25">
      <c r="A452" t="s">
        <v>38</v>
      </c>
      <c r="B452" t="s">
        <v>410</v>
      </c>
      <c r="C452">
        <v>121949</v>
      </c>
      <c r="D452">
        <v>2020</v>
      </c>
      <c r="E452" t="s">
        <v>79</v>
      </c>
      <c r="F452" t="s">
        <v>272</v>
      </c>
      <c r="G452" t="s">
        <v>508</v>
      </c>
      <c r="H452" t="s">
        <v>162</v>
      </c>
      <c r="I452">
        <v>8</v>
      </c>
      <c r="J452" t="s">
        <v>43</v>
      </c>
      <c r="K452">
        <v>4</v>
      </c>
      <c r="L452" t="s">
        <v>44</v>
      </c>
      <c r="M452">
        <v>5.3</v>
      </c>
      <c r="N452" t="s">
        <v>62</v>
      </c>
      <c r="O452" t="s">
        <v>46</v>
      </c>
      <c r="P452">
        <v>1</v>
      </c>
      <c r="Q452" t="s">
        <v>75</v>
      </c>
      <c r="R452" t="s">
        <v>76</v>
      </c>
      <c r="S452" t="s">
        <v>63</v>
      </c>
      <c r="U452" t="s">
        <v>50</v>
      </c>
      <c r="W452" t="s">
        <v>274</v>
      </c>
      <c r="X452" t="s">
        <v>77</v>
      </c>
      <c r="Y452" t="s">
        <v>106</v>
      </c>
      <c r="AA452">
        <v>0</v>
      </c>
      <c r="AB452" t="s">
        <v>54</v>
      </c>
      <c r="AC452" t="s">
        <v>78</v>
      </c>
      <c r="AD452">
        <v>34</v>
      </c>
      <c r="AE452">
        <v>8</v>
      </c>
      <c r="AF452">
        <v>3</v>
      </c>
      <c r="AG452">
        <v>2025</v>
      </c>
      <c r="AH452" s="13">
        <v>18500</v>
      </c>
      <c r="AI452" s="13">
        <v>17200.787109375</v>
      </c>
      <c r="AJ452" s="13">
        <f t="shared" si="56"/>
        <v>1299.212890625</v>
      </c>
      <c r="AK452" s="14">
        <f t="shared" si="57"/>
        <v>7.0227723817567561E-2</v>
      </c>
      <c r="AL452" s="9">
        <v>18500</v>
      </c>
      <c r="AM452" s="9">
        <v>17616.181500239221</v>
      </c>
      <c r="AN452" s="9">
        <f t="shared" si="58"/>
        <v>883.81849976077865</v>
      </c>
      <c r="AO452" s="10">
        <f t="shared" si="59"/>
        <v>4.7773972960042092E-2</v>
      </c>
      <c r="AP452" s="16">
        <v>18500</v>
      </c>
      <c r="AQ452" s="16">
        <v>19783.497953770111</v>
      </c>
      <c r="AR452" s="16">
        <f t="shared" si="60"/>
        <v>1283.4979537701111</v>
      </c>
      <c r="AS452" s="17">
        <f t="shared" si="61"/>
        <v>6.937826777135736E-2</v>
      </c>
      <c r="AT452" s="6">
        <v>18500</v>
      </c>
      <c r="AU452" s="6">
        <v>18221.466796875</v>
      </c>
      <c r="AV452" s="6">
        <f t="shared" si="62"/>
        <v>278.533203125</v>
      </c>
      <c r="AW452" s="7">
        <f t="shared" si="63"/>
        <v>1.5055848817567568E-2</v>
      </c>
    </row>
    <row r="453" spans="1:49" x14ac:dyDescent="0.25">
      <c r="A453" t="s">
        <v>38</v>
      </c>
      <c r="B453" t="s">
        <v>39</v>
      </c>
      <c r="C453">
        <v>264148</v>
      </c>
      <c r="D453">
        <v>2010</v>
      </c>
      <c r="E453" t="s">
        <v>58</v>
      </c>
      <c r="F453" t="s">
        <v>415</v>
      </c>
      <c r="H453" t="s">
        <v>830</v>
      </c>
      <c r="I453">
        <v>8</v>
      </c>
      <c r="J453" t="s">
        <v>94</v>
      </c>
      <c r="K453">
        <v>4</v>
      </c>
      <c r="L453" t="s">
        <v>44</v>
      </c>
      <c r="M453">
        <v>5.4</v>
      </c>
      <c r="N453" t="s">
        <v>116</v>
      </c>
      <c r="O453" t="s">
        <v>46</v>
      </c>
      <c r="P453">
        <v>3</v>
      </c>
      <c r="Q453" t="s">
        <v>47</v>
      </c>
      <c r="R453" t="s">
        <v>48</v>
      </c>
      <c r="S453" t="s">
        <v>49</v>
      </c>
      <c r="T453">
        <v>310</v>
      </c>
      <c r="U453" t="s">
        <v>50</v>
      </c>
      <c r="V453" t="s">
        <v>64</v>
      </c>
      <c r="W453" t="s">
        <v>558</v>
      </c>
      <c r="X453" t="s">
        <v>77</v>
      </c>
      <c r="Y453" t="s">
        <v>67</v>
      </c>
      <c r="AA453">
        <v>0</v>
      </c>
      <c r="AB453" t="s">
        <v>54</v>
      </c>
      <c r="AC453" t="s">
        <v>55</v>
      </c>
      <c r="AD453">
        <v>34</v>
      </c>
      <c r="AE453">
        <v>8</v>
      </c>
      <c r="AF453">
        <v>3</v>
      </c>
      <c r="AG453">
        <v>2025</v>
      </c>
      <c r="AH453" s="13">
        <v>1500</v>
      </c>
      <c r="AI453" s="13">
        <v>1264.778564453125</v>
      </c>
      <c r="AJ453" s="13">
        <f t="shared" si="56"/>
        <v>235.221435546875</v>
      </c>
      <c r="AK453" s="14">
        <f t="shared" si="57"/>
        <v>0.15681429036458333</v>
      </c>
      <c r="AL453" s="9">
        <v>1500</v>
      </c>
      <c r="AM453" s="9">
        <v>1258.5606401834279</v>
      </c>
      <c r="AN453" s="9">
        <f t="shared" si="58"/>
        <v>241.43935981657205</v>
      </c>
      <c r="AO453" s="10">
        <f t="shared" si="59"/>
        <v>0.16095957321104803</v>
      </c>
      <c r="AP453" s="16">
        <v>1500</v>
      </c>
      <c r="AQ453" s="16">
        <v>1055.271178403925</v>
      </c>
      <c r="AR453" s="16">
        <f t="shared" si="60"/>
        <v>444.72882159607502</v>
      </c>
      <c r="AS453" s="17">
        <f t="shared" si="61"/>
        <v>0.29648588106404999</v>
      </c>
      <c r="AT453" s="6">
        <v>1500</v>
      </c>
      <c r="AU453" s="6">
        <v>1234.68994140625</v>
      </c>
      <c r="AV453" s="6">
        <f t="shared" si="62"/>
        <v>265.31005859375</v>
      </c>
      <c r="AW453" s="7">
        <f t="shared" si="63"/>
        <v>0.17687337239583334</v>
      </c>
    </row>
    <row r="454" spans="1:49" x14ac:dyDescent="0.25">
      <c r="A454" t="s">
        <v>38</v>
      </c>
      <c r="B454" t="s">
        <v>132</v>
      </c>
      <c r="C454">
        <v>123600</v>
      </c>
      <c r="D454">
        <v>2017</v>
      </c>
      <c r="E454" t="s">
        <v>40</v>
      </c>
      <c r="F454" t="s">
        <v>312</v>
      </c>
      <c r="G454" t="s">
        <v>831</v>
      </c>
      <c r="I454">
        <v>4</v>
      </c>
      <c r="J454" t="s">
        <v>61</v>
      </c>
      <c r="K454">
        <v>4</v>
      </c>
      <c r="L454" t="s">
        <v>44</v>
      </c>
      <c r="M454">
        <v>2</v>
      </c>
      <c r="N454" t="s">
        <v>45</v>
      </c>
      <c r="O454" t="s">
        <v>46</v>
      </c>
      <c r="P454">
        <v>2</v>
      </c>
      <c r="Q454" t="s">
        <v>84</v>
      </c>
      <c r="R454" t="s">
        <v>85</v>
      </c>
      <c r="T454">
        <v>147</v>
      </c>
      <c r="U454" t="s">
        <v>50</v>
      </c>
      <c r="W454" t="s">
        <v>328</v>
      </c>
      <c r="X454" t="s">
        <v>87</v>
      </c>
      <c r="Y454" t="s">
        <v>106</v>
      </c>
      <c r="AA454">
        <v>0</v>
      </c>
      <c r="AB454" t="s">
        <v>54</v>
      </c>
      <c r="AC454" t="s">
        <v>89</v>
      </c>
      <c r="AD454">
        <v>34</v>
      </c>
      <c r="AE454">
        <v>8</v>
      </c>
      <c r="AF454">
        <v>3</v>
      </c>
      <c r="AG454">
        <v>2025</v>
      </c>
      <c r="AH454" s="13">
        <v>4500</v>
      </c>
      <c r="AI454" s="13">
        <v>2611.173828125</v>
      </c>
      <c r="AJ454" s="13">
        <f t="shared" si="56"/>
        <v>1888.826171875</v>
      </c>
      <c r="AK454" s="14">
        <f t="shared" si="57"/>
        <v>0.41973914930555556</v>
      </c>
      <c r="AL454" s="9">
        <v>4500</v>
      </c>
      <c r="AM454" s="9">
        <v>2432.4152664498829</v>
      </c>
      <c r="AN454" s="9">
        <f t="shared" si="58"/>
        <v>2067.5847335501171</v>
      </c>
      <c r="AO454" s="10">
        <f t="shared" si="59"/>
        <v>0.45946327412224824</v>
      </c>
      <c r="AP454" s="16">
        <v>4500</v>
      </c>
      <c r="AQ454" s="16">
        <v>2556.2120600747749</v>
      </c>
      <c r="AR454" s="16">
        <f t="shared" si="60"/>
        <v>1943.7879399252251</v>
      </c>
      <c r="AS454" s="17">
        <f t="shared" si="61"/>
        <v>0.43195287553893891</v>
      </c>
      <c r="AT454" s="6">
        <v>4500</v>
      </c>
      <c r="AU454" s="6">
        <v>2555.841552734375</v>
      </c>
      <c r="AV454" s="6">
        <f t="shared" si="62"/>
        <v>1944.158447265625</v>
      </c>
      <c r="AW454" s="7">
        <f t="shared" si="63"/>
        <v>0.43203521050347221</v>
      </c>
    </row>
    <row r="455" spans="1:49" x14ac:dyDescent="0.25">
      <c r="A455" t="s">
        <v>38</v>
      </c>
      <c r="B455" t="s">
        <v>267</v>
      </c>
      <c r="C455">
        <v>121415</v>
      </c>
      <c r="D455">
        <v>2015</v>
      </c>
      <c r="E455" t="s">
        <v>832</v>
      </c>
      <c r="F455" t="s">
        <v>833</v>
      </c>
      <c r="H455" t="s">
        <v>42</v>
      </c>
      <c r="I455">
        <v>6</v>
      </c>
      <c r="J455" t="s">
        <v>74</v>
      </c>
      <c r="K455">
        <v>4</v>
      </c>
      <c r="L455" t="s">
        <v>44</v>
      </c>
      <c r="M455">
        <v>3</v>
      </c>
      <c r="N455" t="s">
        <v>44</v>
      </c>
      <c r="O455" t="s">
        <v>46</v>
      </c>
      <c r="P455">
        <v>4</v>
      </c>
      <c r="Q455" t="s">
        <v>47</v>
      </c>
      <c r="R455" t="s">
        <v>48</v>
      </c>
      <c r="T455">
        <v>340</v>
      </c>
      <c r="U455" t="s">
        <v>50</v>
      </c>
      <c r="X455" t="s">
        <v>141</v>
      </c>
      <c r="Y455" t="s">
        <v>244</v>
      </c>
      <c r="AA455">
        <v>0</v>
      </c>
      <c r="AB455" t="s">
        <v>54</v>
      </c>
      <c r="AC455" t="s">
        <v>55</v>
      </c>
      <c r="AD455">
        <v>34</v>
      </c>
      <c r="AE455">
        <v>8</v>
      </c>
      <c r="AF455">
        <v>3</v>
      </c>
      <c r="AG455">
        <v>2025</v>
      </c>
      <c r="AH455" s="13">
        <v>8500</v>
      </c>
      <c r="AI455" s="13">
        <v>8696.11328125</v>
      </c>
      <c r="AJ455" s="13">
        <f t="shared" si="56"/>
        <v>196.11328125</v>
      </c>
      <c r="AK455" s="14">
        <f t="shared" si="57"/>
        <v>2.3072150735294117E-2</v>
      </c>
      <c r="AL455" s="9">
        <v>8500</v>
      </c>
      <c r="AM455" s="9">
        <v>7148.0141820665303</v>
      </c>
      <c r="AN455" s="9">
        <f t="shared" si="58"/>
        <v>1351.9858179334697</v>
      </c>
      <c r="AO455" s="10">
        <f t="shared" si="59"/>
        <v>0.15905715505099643</v>
      </c>
      <c r="AP455" s="16">
        <v>8500</v>
      </c>
      <c r="AQ455" s="16">
        <v>8024.0859789541091</v>
      </c>
      <c r="AR455" s="16">
        <f t="shared" si="60"/>
        <v>475.91402104589088</v>
      </c>
      <c r="AS455" s="17">
        <f t="shared" si="61"/>
        <v>5.5989884828928339E-2</v>
      </c>
      <c r="AT455" s="6">
        <v>8500</v>
      </c>
      <c r="AU455" s="6">
        <v>8464.4697265625</v>
      </c>
      <c r="AV455" s="6">
        <f t="shared" si="62"/>
        <v>35.5302734375</v>
      </c>
      <c r="AW455" s="7">
        <f t="shared" si="63"/>
        <v>4.1800321691176472E-3</v>
      </c>
    </row>
    <row r="456" spans="1:49" x14ac:dyDescent="0.25">
      <c r="A456" t="s">
        <v>38</v>
      </c>
      <c r="B456" t="s">
        <v>267</v>
      </c>
      <c r="C456">
        <v>30007</v>
      </c>
      <c r="D456">
        <v>2019</v>
      </c>
      <c r="E456" t="s">
        <v>71</v>
      </c>
      <c r="F456" t="s">
        <v>590</v>
      </c>
      <c r="H456" t="s">
        <v>209</v>
      </c>
      <c r="I456">
        <v>6</v>
      </c>
      <c r="J456" t="s">
        <v>82</v>
      </c>
      <c r="K456">
        <v>4</v>
      </c>
      <c r="L456" t="s">
        <v>44</v>
      </c>
      <c r="M456">
        <v>3.5</v>
      </c>
      <c r="N456" t="s">
        <v>62</v>
      </c>
      <c r="O456" t="s">
        <v>46</v>
      </c>
      <c r="Q456" t="s">
        <v>47</v>
      </c>
      <c r="R456" t="s">
        <v>48</v>
      </c>
      <c r="S456" t="s">
        <v>63</v>
      </c>
      <c r="U456" t="s">
        <v>50</v>
      </c>
      <c r="X456" t="s">
        <v>141</v>
      </c>
      <c r="Y456" t="s">
        <v>67</v>
      </c>
      <c r="AA456">
        <v>0</v>
      </c>
      <c r="AB456" t="s">
        <v>54</v>
      </c>
      <c r="AC456" t="s">
        <v>55</v>
      </c>
      <c r="AD456">
        <v>34</v>
      </c>
      <c r="AE456">
        <v>8</v>
      </c>
      <c r="AF456">
        <v>3</v>
      </c>
      <c r="AG456">
        <v>2025</v>
      </c>
      <c r="AH456" s="13">
        <v>13000</v>
      </c>
      <c r="AI456" s="13">
        <v>17297.0390625</v>
      </c>
      <c r="AJ456" s="13">
        <f t="shared" si="56"/>
        <v>4297.0390625</v>
      </c>
      <c r="AK456" s="14">
        <f t="shared" si="57"/>
        <v>0.33054146634615383</v>
      </c>
      <c r="AL456" s="9">
        <v>13000</v>
      </c>
      <c r="AM456" s="9">
        <v>14924.707330197591</v>
      </c>
      <c r="AN456" s="9">
        <f t="shared" si="58"/>
        <v>1924.7073301975906</v>
      </c>
      <c r="AO456" s="10">
        <f t="shared" si="59"/>
        <v>0.14805441001519928</v>
      </c>
      <c r="AP456" s="16">
        <v>13000</v>
      </c>
      <c r="AQ456" s="16">
        <v>14784.117708490559</v>
      </c>
      <c r="AR456" s="16">
        <f t="shared" si="60"/>
        <v>1784.1177084905594</v>
      </c>
      <c r="AS456" s="17">
        <f t="shared" si="61"/>
        <v>0.13723982373004304</v>
      </c>
      <c r="AT456" s="6">
        <v>13000</v>
      </c>
      <c r="AU456" s="6">
        <v>16030.8857421875</v>
      </c>
      <c r="AV456" s="6">
        <f t="shared" si="62"/>
        <v>3030.8857421875</v>
      </c>
      <c r="AW456" s="7">
        <f t="shared" si="63"/>
        <v>0.23314505709134614</v>
      </c>
    </row>
    <row r="457" spans="1:49" x14ac:dyDescent="0.25">
      <c r="A457" t="s">
        <v>107</v>
      </c>
      <c r="B457" t="s">
        <v>154</v>
      </c>
      <c r="C457">
        <v>60755</v>
      </c>
      <c r="D457">
        <v>2023</v>
      </c>
      <c r="E457" t="s">
        <v>79</v>
      </c>
      <c r="F457" t="s">
        <v>164</v>
      </c>
      <c r="G457" t="s">
        <v>133</v>
      </c>
      <c r="I457">
        <v>4</v>
      </c>
      <c r="J457" t="s">
        <v>82</v>
      </c>
      <c r="K457">
        <v>4</v>
      </c>
      <c r="L457" t="s">
        <v>44</v>
      </c>
      <c r="M457">
        <v>1.5</v>
      </c>
      <c r="N457" t="s">
        <v>45</v>
      </c>
      <c r="O457" t="s">
        <v>46</v>
      </c>
      <c r="P457">
        <v>4</v>
      </c>
      <c r="Q457" t="s">
        <v>47</v>
      </c>
      <c r="R457" t="s">
        <v>48</v>
      </c>
      <c r="S457" t="s">
        <v>102</v>
      </c>
      <c r="U457" t="s">
        <v>50</v>
      </c>
      <c r="V457" t="s">
        <v>95</v>
      </c>
      <c r="W457" t="s">
        <v>561</v>
      </c>
      <c r="X457" t="s">
        <v>52</v>
      </c>
      <c r="Y457" t="s">
        <v>106</v>
      </c>
      <c r="AA457">
        <v>0</v>
      </c>
      <c r="AB457" t="s">
        <v>54</v>
      </c>
      <c r="AC457" t="s">
        <v>55</v>
      </c>
      <c r="AD457">
        <v>34</v>
      </c>
      <c r="AE457">
        <v>8</v>
      </c>
      <c r="AF457">
        <v>3</v>
      </c>
      <c r="AG457">
        <v>2025</v>
      </c>
      <c r="AH457" s="13">
        <v>16500</v>
      </c>
      <c r="AI457" s="13">
        <v>23741.87890625</v>
      </c>
      <c r="AJ457" s="13">
        <f t="shared" si="56"/>
        <v>7241.87890625</v>
      </c>
      <c r="AK457" s="14">
        <f t="shared" si="57"/>
        <v>0.43890175189393937</v>
      </c>
      <c r="AL457" s="9">
        <v>16500</v>
      </c>
      <c r="AM457" s="9">
        <v>20121.593768125611</v>
      </c>
      <c r="AN457" s="9">
        <f t="shared" si="58"/>
        <v>3621.5937681256109</v>
      </c>
      <c r="AO457" s="10">
        <f t="shared" si="59"/>
        <v>0.21949053140155217</v>
      </c>
      <c r="AP457" s="16">
        <v>16500</v>
      </c>
      <c r="AQ457" s="16">
        <v>18394.005851583719</v>
      </c>
      <c r="AR457" s="16">
        <f t="shared" si="60"/>
        <v>1894.005851583719</v>
      </c>
      <c r="AS457" s="17">
        <f t="shared" si="61"/>
        <v>0.11478823342931631</v>
      </c>
      <c r="AT457" s="6">
        <v>16500</v>
      </c>
      <c r="AU457" s="6">
        <v>20244.611328125</v>
      </c>
      <c r="AV457" s="6">
        <f t="shared" si="62"/>
        <v>3744.611328125</v>
      </c>
      <c r="AW457" s="7">
        <f t="shared" si="63"/>
        <v>0.22694614109848485</v>
      </c>
    </row>
    <row r="458" spans="1:49" x14ac:dyDescent="0.25">
      <c r="A458" t="s">
        <v>56</v>
      </c>
      <c r="B458" t="s">
        <v>178</v>
      </c>
      <c r="C458">
        <v>20596</v>
      </c>
      <c r="D458">
        <v>2023</v>
      </c>
      <c r="E458" t="s">
        <v>58</v>
      </c>
      <c r="F458" t="s">
        <v>420</v>
      </c>
      <c r="H458" t="s">
        <v>421</v>
      </c>
      <c r="I458">
        <v>6</v>
      </c>
      <c r="J458" t="s">
        <v>43</v>
      </c>
      <c r="K458">
        <v>3</v>
      </c>
      <c r="L458" t="s">
        <v>44</v>
      </c>
      <c r="M458">
        <v>3.5</v>
      </c>
      <c r="N458" t="s">
        <v>116</v>
      </c>
      <c r="O458" t="s">
        <v>46</v>
      </c>
      <c r="P458">
        <v>5</v>
      </c>
      <c r="Q458" t="s">
        <v>75</v>
      </c>
      <c r="R458" t="s">
        <v>422</v>
      </c>
      <c r="S458" t="s">
        <v>117</v>
      </c>
      <c r="U458" t="s">
        <v>50</v>
      </c>
      <c r="V458" t="s">
        <v>64</v>
      </c>
      <c r="W458" t="s">
        <v>834</v>
      </c>
      <c r="X458" t="s">
        <v>390</v>
      </c>
      <c r="Y458" t="s">
        <v>67</v>
      </c>
      <c r="AA458">
        <v>0</v>
      </c>
      <c r="AB458" t="s">
        <v>54</v>
      </c>
      <c r="AC458" t="s">
        <v>424</v>
      </c>
      <c r="AD458">
        <v>34</v>
      </c>
      <c r="AE458">
        <v>8</v>
      </c>
      <c r="AF458">
        <v>3</v>
      </c>
      <c r="AG458">
        <v>2025</v>
      </c>
      <c r="AH458" s="13">
        <v>28000</v>
      </c>
      <c r="AI458" s="13">
        <v>35986.08203125</v>
      </c>
      <c r="AJ458" s="13">
        <f t="shared" si="56"/>
        <v>7986.08203125</v>
      </c>
      <c r="AK458" s="14">
        <f t="shared" si="57"/>
        <v>0.28521721540178574</v>
      </c>
      <c r="AL458" s="9">
        <v>28000</v>
      </c>
      <c r="AM458" s="9">
        <v>34636.365131511942</v>
      </c>
      <c r="AN458" s="9">
        <f t="shared" si="58"/>
        <v>6636.3651315119423</v>
      </c>
      <c r="AO458" s="10">
        <f t="shared" si="59"/>
        <v>0.2370130404111408</v>
      </c>
      <c r="AP458" s="16">
        <v>28000</v>
      </c>
      <c r="AQ458" s="16">
        <v>34830.391051042207</v>
      </c>
      <c r="AR458" s="16">
        <f t="shared" si="60"/>
        <v>6830.3910510422065</v>
      </c>
      <c r="AS458" s="17">
        <f t="shared" si="61"/>
        <v>0.24394253753722167</v>
      </c>
      <c r="AT458" s="6">
        <v>28000</v>
      </c>
      <c r="AU458" s="6">
        <v>35330.13671875</v>
      </c>
      <c r="AV458" s="6">
        <f t="shared" si="62"/>
        <v>7330.13671875</v>
      </c>
      <c r="AW458" s="7">
        <f t="shared" si="63"/>
        <v>0.26179059709821428</v>
      </c>
    </row>
    <row r="459" spans="1:49" x14ac:dyDescent="0.25">
      <c r="A459" t="s">
        <v>56</v>
      </c>
      <c r="B459" t="s">
        <v>178</v>
      </c>
      <c r="C459">
        <v>11208</v>
      </c>
      <c r="D459">
        <v>2023</v>
      </c>
      <c r="E459" t="s">
        <v>113</v>
      </c>
      <c r="F459" t="s">
        <v>835</v>
      </c>
      <c r="H459" t="s">
        <v>476</v>
      </c>
      <c r="I459">
        <v>6</v>
      </c>
      <c r="J459" t="s">
        <v>836</v>
      </c>
      <c r="K459">
        <v>2</v>
      </c>
      <c r="L459" t="s">
        <v>44</v>
      </c>
      <c r="M459">
        <v>3.6</v>
      </c>
      <c r="N459" t="s">
        <v>116</v>
      </c>
      <c r="O459" t="s">
        <v>46</v>
      </c>
      <c r="P459">
        <v>5</v>
      </c>
      <c r="Q459" t="s">
        <v>84</v>
      </c>
      <c r="R459" t="s">
        <v>85</v>
      </c>
      <c r="S459" t="s">
        <v>117</v>
      </c>
      <c r="T459">
        <v>303</v>
      </c>
      <c r="U459" t="s">
        <v>50</v>
      </c>
      <c r="V459" t="s">
        <v>64</v>
      </c>
      <c r="X459" t="s">
        <v>87</v>
      </c>
      <c r="Y459" t="s">
        <v>88</v>
      </c>
      <c r="AA459">
        <v>0</v>
      </c>
      <c r="AB459" t="s">
        <v>54</v>
      </c>
      <c r="AC459" t="s">
        <v>89</v>
      </c>
      <c r="AD459">
        <v>34</v>
      </c>
      <c r="AE459">
        <v>8</v>
      </c>
      <c r="AF459">
        <v>3</v>
      </c>
      <c r="AG459">
        <v>2025</v>
      </c>
      <c r="AH459" s="13">
        <v>27100</v>
      </c>
      <c r="AI459" s="13">
        <v>26510.888671875</v>
      </c>
      <c r="AJ459" s="13">
        <f t="shared" si="56"/>
        <v>589.111328125</v>
      </c>
      <c r="AK459" s="14">
        <f t="shared" si="57"/>
        <v>2.173842539206642E-2</v>
      </c>
      <c r="AL459" s="9">
        <v>27100</v>
      </c>
      <c r="AM459" s="9">
        <v>27739.489998015189</v>
      </c>
      <c r="AN459" s="9">
        <f t="shared" si="58"/>
        <v>639.48999801518949</v>
      </c>
      <c r="AO459" s="10">
        <f t="shared" si="59"/>
        <v>2.3597416900929501E-2</v>
      </c>
      <c r="AP459" s="16">
        <v>27100</v>
      </c>
      <c r="AQ459" s="16">
        <v>22271.13136722584</v>
      </c>
      <c r="AR459" s="16">
        <f t="shared" si="60"/>
        <v>4828.8686327741598</v>
      </c>
      <c r="AS459" s="17">
        <f t="shared" si="61"/>
        <v>0.1781870344197107</v>
      </c>
      <c r="AT459" s="6">
        <v>27100</v>
      </c>
      <c r="AU459" s="6">
        <v>28025.580078125</v>
      </c>
      <c r="AV459" s="6">
        <f t="shared" si="62"/>
        <v>925.580078125</v>
      </c>
      <c r="AW459" s="7">
        <f t="shared" si="63"/>
        <v>3.4154246425276751E-2</v>
      </c>
    </row>
    <row r="460" spans="1:49" x14ac:dyDescent="0.25">
      <c r="A460" t="s">
        <v>38</v>
      </c>
      <c r="B460" t="s">
        <v>267</v>
      </c>
      <c r="C460">
        <v>49343</v>
      </c>
      <c r="D460">
        <v>2020</v>
      </c>
      <c r="E460" t="s">
        <v>145</v>
      </c>
      <c r="F460" t="s">
        <v>349</v>
      </c>
      <c r="G460" t="s">
        <v>837</v>
      </c>
      <c r="I460">
        <v>4</v>
      </c>
      <c r="J460" t="s">
        <v>43</v>
      </c>
      <c r="K460">
        <v>2</v>
      </c>
      <c r="L460" t="s">
        <v>309</v>
      </c>
      <c r="M460">
        <v>1.5</v>
      </c>
      <c r="N460" t="s">
        <v>45</v>
      </c>
      <c r="O460" t="s">
        <v>46</v>
      </c>
      <c r="P460">
        <v>4</v>
      </c>
      <c r="Q460" t="s">
        <v>84</v>
      </c>
      <c r="R460" t="s">
        <v>251</v>
      </c>
      <c r="S460" t="s">
        <v>49</v>
      </c>
      <c r="T460">
        <v>205</v>
      </c>
      <c r="U460" t="s">
        <v>50</v>
      </c>
      <c r="V460" t="s">
        <v>95</v>
      </c>
      <c r="W460" t="s">
        <v>838</v>
      </c>
      <c r="X460" t="s">
        <v>122</v>
      </c>
      <c r="Y460" t="s">
        <v>88</v>
      </c>
      <c r="AA460">
        <v>0</v>
      </c>
      <c r="AB460" t="s">
        <v>54</v>
      </c>
      <c r="AC460" t="s">
        <v>251</v>
      </c>
      <c r="AD460">
        <v>34</v>
      </c>
      <c r="AE460">
        <v>8</v>
      </c>
      <c r="AF460">
        <v>3</v>
      </c>
      <c r="AG460">
        <v>2025</v>
      </c>
      <c r="AH460" s="13">
        <v>19750</v>
      </c>
      <c r="AI460" s="13">
        <v>21731.59375</v>
      </c>
      <c r="AJ460" s="13">
        <f t="shared" si="56"/>
        <v>1981.59375</v>
      </c>
      <c r="AK460" s="14">
        <f t="shared" si="57"/>
        <v>0.10033386075949367</v>
      </c>
      <c r="AL460" s="9">
        <v>19750</v>
      </c>
      <c r="AM460" s="9">
        <v>20861.31554185196</v>
      </c>
      <c r="AN460" s="9">
        <f t="shared" si="58"/>
        <v>1111.31554185196</v>
      </c>
      <c r="AO460" s="10">
        <f t="shared" si="59"/>
        <v>5.6269141359592913E-2</v>
      </c>
      <c r="AP460" s="16">
        <v>19750</v>
      </c>
      <c r="AQ460" s="16">
        <v>19504.211542742669</v>
      </c>
      <c r="AR460" s="16">
        <f t="shared" si="60"/>
        <v>245.78845725733117</v>
      </c>
      <c r="AS460" s="17">
        <f t="shared" si="61"/>
        <v>1.2444985177586389E-2</v>
      </c>
      <c r="AT460" s="6">
        <v>19750</v>
      </c>
      <c r="AU460" s="6">
        <v>20295.724609375</v>
      </c>
      <c r="AV460" s="6">
        <f t="shared" si="62"/>
        <v>545.724609375</v>
      </c>
      <c r="AW460" s="7">
        <f t="shared" si="63"/>
        <v>2.7631625791139241E-2</v>
      </c>
    </row>
    <row r="461" spans="1:49" x14ac:dyDescent="0.25">
      <c r="A461" t="s">
        <v>38</v>
      </c>
      <c r="B461" t="s">
        <v>167</v>
      </c>
      <c r="C461">
        <v>80480</v>
      </c>
      <c r="D461">
        <v>2019</v>
      </c>
      <c r="E461" t="s">
        <v>58</v>
      </c>
      <c r="F461" t="s">
        <v>325</v>
      </c>
      <c r="G461" t="s">
        <v>261</v>
      </c>
      <c r="I461">
        <v>4</v>
      </c>
      <c r="J461" t="s">
        <v>74</v>
      </c>
      <c r="K461">
        <v>4</v>
      </c>
      <c r="L461" t="s">
        <v>44</v>
      </c>
      <c r="M461">
        <v>2</v>
      </c>
      <c r="N461" t="s">
        <v>44</v>
      </c>
      <c r="O461" t="s">
        <v>46</v>
      </c>
      <c r="P461">
        <v>4</v>
      </c>
      <c r="Q461" t="s">
        <v>47</v>
      </c>
      <c r="R461" t="s">
        <v>48</v>
      </c>
      <c r="S461" t="s">
        <v>139</v>
      </c>
      <c r="T461">
        <v>245</v>
      </c>
      <c r="U461" t="s">
        <v>50</v>
      </c>
      <c r="V461" t="s">
        <v>95</v>
      </c>
      <c r="W461" t="s">
        <v>326</v>
      </c>
      <c r="X461" t="s">
        <v>141</v>
      </c>
      <c r="Y461" t="s">
        <v>88</v>
      </c>
      <c r="Z461">
        <v>35295</v>
      </c>
      <c r="AA461">
        <v>0</v>
      </c>
      <c r="AB461" t="s">
        <v>54</v>
      </c>
      <c r="AC461" t="s">
        <v>55</v>
      </c>
      <c r="AD461">
        <v>34</v>
      </c>
      <c r="AE461">
        <v>8</v>
      </c>
      <c r="AF461">
        <v>3</v>
      </c>
      <c r="AG461">
        <v>2025</v>
      </c>
      <c r="AH461" s="13">
        <v>8000</v>
      </c>
      <c r="AI461" s="13">
        <v>12570.8408203125</v>
      </c>
      <c r="AJ461" s="13">
        <f t="shared" si="56"/>
        <v>4570.8408203125</v>
      </c>
      <c r="AK461" s="14">
        <f t="shared" si="57"/>
        <v>0.57135510253906252</v>
      </c>
      <c r="AL461" s="9">
        <v>8000</v>
      </c>
      <c r="AM461" s="9">
        <v>14666.62313912016</v>
      </c>
      <c r="AN461" s="9">
        <f t="shared" si="58"/>
        <v>6666.62313912016</v>
      </c>
      <c r="AO461" s="10">
        <f t="shared" si="59"/>
        <v>0.83332789239002003</v>
      </c>
      <c r="AP461" s="16">
        <v>8000</v>
      </c>
      <c r="AQ461" s="16">
        <v>12348.62788111915</v>
      </c>
      <c r="AR461" s="16">
        <f t="shared" si="60"/>
        <v>4348.6278811191496</v>
      </c>
      <c r="AS461" s="17">
        <f t="shared" si="61"/>
        <v>0.54357848513989371</v>
      </c>
      <c r="AT461" s="6">
        <v>8000</v>
      </c>
      <c r="AU461" s="6">
        <v>13316.595703125</v>
      </c>
      <c r="AV461" s="6">
        <f t="shared" si="62"/>
        <v>5316.595703125</v>
      </c>
      <c r="AW461" s="7">
        <f t="shared" si="63"/>
        <v>0.66457446289062505</v>
      </c>
    </row>
    <row r="462" spans="1:49" x14ac:dyDescent="0.25">
      <c r="A462" t="s">
        <v>38</v>
      </c>
      <c r="B462" t="s">
        <v>132</v>
      </c>
      <c r="C462">
        <v>46137</v>
      </c>
      <c r="D462">
        <v>2024</v>
      </c>
      <c r="E462" t="s">
        <v>58</v>
      </c>
      <c r="F462" t="s">
        <v>325</v>
      </c>
      <c r="G462" t="s">
        <v>261</v>
      </c>
      <c r="I462">
        <v>4</v>
      </c>
      <c r="J462" t="s">
        <v>94</v>
      </c>
      <c r="K462">
        <v>4</v>
      </c>
      <c r="L462" t="s">
        <v>44</v>
      </c>
      <c r="M462">
        <v>2</v>
      </c>
      <c r="N462" t="s">
        <v>44</v>
      </c>
      <c r="O462" t="s">
        <v>46</v>
      </c>
      <c r="P462">
        <v>3</v>
      </c>
      <c r="Q462" t="s">
        <v>47</v>
      </c>
      <c r="R462" t="s">
        <v>48</v>
      </c>
      <c r="S462" t="s">
        <v>139</v>
      </c>
      <c r="U462" t="s">
        <v>50</v>
      </c>
      <c r="V462" t="s">
        <v>95</v>
      </c>
      <c r="W462" t="s">
        <v>65</v>
      </c>
      <c r="X462" t="s">
        <v>141</v>
      </c>
      <c r="Y462" t="s">
        <v>88</v>
      </c>
      <c r="AA462">
        <v>0</v>
      </c>
      <c r="AB462" t="s">
        <v>54</v>
      </c>
      <c r="AC462" t="s">
        <v>55</v>
      </c>
      <c r="AD462">
        <v>34</v>
      </c>
      <c r="AE462">
        <v>8</v>
      </c>
      <c r="AF462">
        <v>3</v>
      </c>
      <c r="AG462">
        <v>2025</v>
      </c>
      <c r="AH462" s="13">
        <v>16500</v>
      </c>
      <c r="AI462" s="13">
        <v>22709.38671875</v>
      </c>
      <c r="AJ462" s="13">
        <f t="shared" si="56"/>
        <v>6209.38671875</v>
      </c>
      <c r="AK462" s="14">
        <f t="shared" si="57"/>
        <v>0.37632646780303031</v>
      </c>
      <c r="AL462" s="9">
        <v>16500</v>
      </c>
      <c r="AM462" s="9">
        <v>25217.454825426361</v>
      </c>
      <c r="AN462" s="9">
        <f t="shared" si="58"/>
        <v>8717.4548254263609</v>
      </c>
      <c r="AO462" s="10">
        <f t="shared" si="59"/>
        <v>0.52833059548038552</v>
      </c>
      <c r="AP462" s="16">
        <v>16500</v>
      </c>
      <c r="AQ462" s="16">
        <v>19387.291763927711</v>
      </c>
      <c r="AR462" s="16">
        <f t="shared" si="60"/>
        <v>2887.2917639277111</v>
      </c>
      <c r="AS462" s="17">
        <f t="shared" si="61"/>
        <v>0.17498737963198249</v>
      </c>
      <c r="AT462" s="6">
        <v>16500</v>
      </c>
      <c r="AU462" s="6">
        <v>23731.96484375</v>
      </c>
      <c r="AV462" s="6">
        <f t="shared" si="62"/>
        <v>7231.96484375</v>
      </c>
      <c r="AW462" s="7">
        <f t="shared" si="63"/>
        <v>0.4383008996212121</v>
      </c>
    </row>
    <row r="463" spans="1:49" x14ac:dyDescent="0.25">
      <c r="A463" t="s">
        <v>69</v>
      </c>
      <c r="B463" t="s">
        <v>160</v>
      </c>
      <c r="C463">
        <v>187943</v>
      </c>
      <c r="D463">
        <v>2013</v>
      </c>
      <c r="E463" t="s">
        <v>385</v>
      </c>
      <c r="F463" t="s">
        <v>839</v>
      </c>
      <c r="G463" t="s">
        <v>840</v>
      </c>
      <c r="I463">
        <v>6</v>
      </c>
      <c r="J463" t="s">
        <v>61</v>
      </c>
      <c r="K463">
        <v>4</v>
      </c>
      <c r="L463" t="s">
        <v>44</v>
      </c>
      <c r="M463">
        <v>3</v>
      </c>
      <c r="N463" t="s">
        <v>44</v>
      </c>
      <c r="O463" t="s">
        <v>46</v>
      </c>
      <c r="Q463" t="s">
        <v>47</v>
      </c>
      <c r="R463" t="s">
        <v>48</v>
      </c>
      <c r="T463">
        <v>240</v>
      </c>
      <c r="U463" t="s">
        <v>300</v>
      </c>
      <c r="W463" t="s">
        <v>841</v>
      </c>
      <c r="X463" t="s">
        <v>77</v>
      </c>
      <c r="Y463" t="s">
        <v>720</v>
      </c>
      <c r="AA463">
        <v>0</v>
      </c>
      <c r="AB463" t="s">
        <v>54</v>
      </c>
      <c r="AC463" t="s">
        <v>55</v>
      </c>
      <c r="AD463">
        <v>34</v>
      </c>
      <c r="AE463">
        <v>8</v>
      </c>
      <c r="AF463">
        <v>3</v>
      </c>
      <c r="AG463">
        <v>2025</v>
      </c>
      <c r="AH463" s="13">
        <v>3500</v>
      </c>
      <c r="AI463" s="13">
        <v>3491.4560546875</v>
      </c>
      <c r="AJ463" s="13">
        <f t="shared" si="56"/>
        <v>8.5439453125</v>
      </c>
      <c r="AK463" s="14">
        <f t="shared" si="57"/>
        <v>2.441127232142857E-3</v>
      </c>
      <c r="AL463" s="9">
        <v>3500</v>
      </c>
      <c r="AM463" s="9">
        <v>2444.5602320139851</v>
      </c>
      <c r="AN463" s="9">
        <f t="shared" si="58"/>
        <v>1055.4397679860149</v>
      </c>
      <c r="AO463" s="10">
        <f t="shared" si="59"/>
        <v>0.30155421942457566</v>
      </c>
      <c r="AP463" s="16">
        <v>3500</v>
      </c>
      <c r="AQ463" s="16">
        <v>2524.989599369007</v>
      </c>
      <c r="AR463" s="16">
        <f t="shared" si="60"/>
        <v>975.01040063099299</v>
      </c>
      <c r="AS463" s="17">
        <f t="shared" si="61"/>
        <v>0.27857440018028373</v>
      </c>
      <c r="AT463" s="6">
        <v>3500</v>
      </c>
      <c r="AU463" s="6">
        <v>2584.48388671875</v>
      </c>
      <c r="AV463" s="6">
        <f t="shared" si="62"/>
        <v>915.51611328125</v>
      </c>
      <c r="AW463" s="7">
        <f t="shared" si="63"/>
        <v>0.26157603236607141</v>
      </c>
    </row>
    <row r="464" spans="1:49" x14ac:dyDescent="0.25">
      <c r="A464" t="s">
        <v>69</v>
      </c>
      <c r="B464" t="s">
        <v>128</v>
      </c>
      <c r="C464">
        <v>177253</v>
      </c>
      <c r="D464">
        <v>2014</v>
      </c>
      <c r="E464" t="s">
        <v>98</v>
      </c>
      <c r="F464" t="s">
        <v>99</v>
      </c>
      <c r="H464" t="s">
        <v>842</v>
      </c>
      <c r="I464">
        <v>6</v>
      </c>
      <c r="J464" t="s">
        <v>257</v>
      </c>
      <c r="K464">
        <v>4</v>
      </c>
      <c r="L464" t="s">
        <v>44</v>
      </c>
      <c r="M464">
        <v>3.6</v>
      </c>
      <c r="N464" t="s">
        <v>44</v>
      </c>
      <c r="Q464" t="s">
        <v>47</v>
      </c>
      <c r="R464" t="s">
        <v>48</v>
      </c>
      <c r="S464" t="s">
        <v>139</v>
      </c>
      <c r="U464" t="s">
        <v>50</v>
      </c>
      <c r="V464" t="s">
        <v>64</v>
      </c>
      <c r="W464" t="s">
        <v>153</v>
      </c>
      <c r="X464" t="s">
        <v>66</v>
      </c>
      <c r="Y464" t="s">
        <v>67</v>
      </c>
      <c r="AA464">
        <v>0</v>
      </c>
      <c r="AB464" t="s">
        <v>54</v>
      </c>
      <c r="AC464" t="s">
        <v>55</v>
      </c>
      <c r="AD464">
        <v>34</v>
      </c>
      <c r="AE464">
        <v>8</v>
      </c>
      <c r="AF464">
        <v>3</v>
      </c>
      <c r="AG464">
        <v>2025</v>
      </c>
      <c r="AH464" s="13">
        <v>5000</v>
      </c>
      <c r="AI464" s="13">
        <v>2917.96484375</v>
      </c>
      <c r="AJ464" s="13">
        <f t="shared" si="56"/>
        <v>2082.03515625</v>
      </c>
      <c r="AK464" s="14">
        <f t="shared" si="57"/>
        <v>0.41640703125</v>
      </c>
      <c r="AL464" s="9">
        <v>5000</v>
      </c>
      <c r="AM464" s="9">
        <v>2675.981920202425</v>
      </c>
      <c r="AN464" s="9">
        <f t="shared" si="58"/>
        <v>2324.018079797575</v>
      </c>
      <c r="AO464" s="10">
        <f t="shared" si="59"/>
        <v>0.46480361595951497</v>
      </c>
      <c r="AP464" s="16">
        <v>5000</v>
      </c>
      <c r="AQ464" s="16">
        <v>1727.9262106676219</v>
      </c>
      <c r="AR464" s="16">
        <f t="shared" si="60"/>
        <v>3272.0737893323781</v>
      </c>
      <c r="AS464" s="17">
        <f t="shared" si="61"/>
        <v>0.65441475786647563</v>
      </c>
      <c r="AT464" s="6">
        <v>5000</v>
      </c>
      <c r="AU464" s="6">
        <v>2737.357177734375</v>
      </c>
      <c r="AV464" s="6">
        <f t="shared" si="62"/>
        <v>2262.642822265625</v>
      </c>
      <c r="AW464" s="7">
        <f t="shared" si="63"/>
        <v>0.452528564453125</v>
      </c>
    </row>
    <row r="465" spans="1:49" x14ac:dyDescent="0.25">
      <c r="A465" t="s">
        <v>56</v>
      </c>
      <c r="B465" t="s">
        <v>144</v>
      </c>
      <c r="C465">
        <v>100955</v>
      </c>
      <c r="D465">
        <v>2016</v>
      </c>
      <c r="E465" t="s">
        <v>124</v>
      </c>
      <c r="F465" t="s">
        <v>321</v>
      </c>
      <c r="G465" t="s">
        <v>843</v>
      </c>
      <c r="I465">
        <v>4</v>
      </c>
      <c r="J465" t="s">
        <v>43</v>
      </c>
      <c r="K465">
        <v>4</v>
      </c>
      <c r="L465" t="s">
        <v>44</v>
      </c>
      <c r="M465">
        <v>2.4</v>
      </c>
      <c r="N465" t="s">
        <v>45</v>
      </c>
      <c r="O465" t="s">
        <v>46</v>
      </c>
      <c r="Q465" t="s">
        <v>84</v>
      </c>
      <c r="R465" t="s">
        <v>85</v>
      </c>
      <c r="U465" t="s">
        <v>50</v>
      </c>
      <c r="V465" t="s">
        <v>95</v>
      </c>
      <c r="W465" t="s">
        <v>844</v>
      </c>
      <c r="X465" t="s">
        <v>87</v>
      </c>
      <c r="Y465" t="s">
        <v>67</v>
      </c>
      <c r="AA465">
        <v>0</v>
      </c>
      <c r="AB465" t="s">
        <v>54</v>
      </c>
      <c r="AC465" t="s">
        <v>89</v>
      </c>
      <c r="AD465">
        <v>34</v>
      </c>
      <c r="AE465">
        <v>8</v>
      </c>
      <c r="AF465">
        <v>3</v>
      </c>
      <c r="AG465">
        <v>2025</v>
      </c>
      <c r="AH465" s="13">
        <v>7600</v>
      </c>
      <c r="AI465" s="13">
        <v>5979.20947265625</v>
      </c>
      <c r="AJ465" s="13">
        <f t="shared" si="56"/>
        <v>1620.79052734375</v>
      </c>
      <c r="AK465" s="14">
        <f t="shared" si="57"/>
        <v>0.21326191149259868</v>
      </c>
      <c r="AL465" s="9">
        <v>7600</v>
      </c>
      <c r="AM465" s="9">
        <v>5865.1353507590611</v>
      </c>
      <c r="AN465" s="9">
        <f t="shared" si="58"/>
        <v>1734.8646492409389</v>
      </c>
      <c r="AO465" s="10">
        <f t="shared" si="59"/>
        <v>0.22827166437380775</v>
      </c>
      <c r="AP465" s="16">
        <v>7600</v>
      </c>
      <c r="AQ465" s="16">
        <v>6158.8493318617602</v>
      </c>
      <c r="AR465" s="16">
        <f t="shared" si="60"/>
        <v>1441.1506681382398</v>
      </c>
      <c r="AS465" s="17">
        <f t="shared" si="61"/>
        <v>0.18962508791292629</v>
      </c>
      <c r="AT465" s="6">
        <v>7600</v>
      </c>
      <c r="AU465" s="6">
        <v>5916.31689453125</v>
      </c>
      <c r="AV465" s="6">
        <f t="shared" si="62"/>
        <v>1683.68310546875</v>
      </c>
      <c r="AW465" s="7">
        <f t="shared" si="63"/>
        <v>0.22153725071957237</v>
      </c>
    </row>
    <row r="466" spans="1:49" x14ac:dyDescent="0.25">
      <c r="A466" t="s">
        <v>56</v>
      </c>
      <c r="B466" t="s">
        <v>104</v>
      </c>
      <c r="C466">
        <v>176110</v>
      </c>
      <c r="D466">
        <v>2011</v>
      </c>
      <c r="E466" t="s">
        <v>91</v>
      </c>
      <c r="F466" t="s">
        <v>553</v>
      </c>
      <c r="H466" t="s">
        <v>845</v>
      </c>
      <c r="I466">
        <v>6</v>
      </c>
      <c r="J466" t="s">
        <v>94</v>
      </c>
      <c r="K466">
        <v>4</v>
      </c>
      <c r="L466" t="s">
        <v>44</v>
      </c>
      <c r="M466">
        <v>4</v>
      </c>
      <c r="N466" t="s">
        <v>62</v>
      </c>
      <c r="O466" t="s">
        <v>46</v>
      </c>
      <c r="Q466" t="s">
        <v>47</v>
      </c>
      <c r="R466" t="s">
        <v>48</v>
      </c>
      <c r="S466" t="s">
        <v>63</v>
      </c>
      <c r="T466">
        <v>270</v>
      </c>
      <c r="U466" t="s">
        <v>50</v>
      </c>
      <c r="V466" t="s">
        <v>64</v>
      </c>
      <c r="W466" t="s">
        <v>429</v>
      </c>
      <c r="X466" t="s">
        <v>66</v>
      </c>
      <c r="Y466" t="s">
        <v>97</v>
      </c>
      <c r="AA466">
        <v>0</v>
      </c>
      <c r="AB466" t="s">
        <v>54</v>
      </c>
      <c r="AC466" t="s">
        <v>55</v>
      </c>
      <c r="AD466">
        <v>34</v>
      </c>
      <c r="AE466">
        <v>8</v>
      </c>
      <c r="AF466">
        <v>3</v>
      </c>
      <c r="AG466">
        <v>2025</v>
      </c>
      <c r="AH466" s="13">
        <v>8400</v>
      </c>
      <c r="AI466" s="13">
        <v>8710.025390625</v>
      </c>
      <c r="AJ466" s="13">
        <f t="shared" si="56"/>
        <v>310.025390625</v>
      </c>
      <c r="AK466" s="14">
        <f t="shared" si="57"/>
        <v>3.6907784598214283E-2</v>
      </c>
      <c r="AL466" s="9">
        <v>8400</v>
      </c>
      <c r="AM466" s="9">
        <v>5330.2488644372297</v>
      </c>
      <c r="AN466" s="9">
        <f t="shared" si="58"/>
        <v>3069.7511355627703</v>
      </c>
      <c r="AO466" s="10">
        <f t="shared" si="59"/>
        <v>0.36544656375747264</v>
      </c>
      <c r="AP466" s="16">
        <v>8400</v>
      </c>
      <c r="AQ466" s="16">
        <v>4800.0865749297327</v>
      </c>
      <c r="AR466" s="16">
        <f t="shared" si="60"/>
        <v>3599.9134250702673</v>
      </c>
      <c r="AS466" s="17">
        <f t="shared" si="61"/>
        <v>0.42856112203217467</v>
      </c>
      <c r="AT466" s="6">
        <v>8400</v>
      </c>
      <c r="AU466" s="6">
        <v>5941.10302734375</v>
      </c>
      <c r="AV466" s="6">
        <f t="shared" si="62"/>
        <v>2458.89697265625</v>
      </c>
      <c r="AW466" s="7">
        <f t="shared" si="63"/>
        <v>0.29272583007812503</v>
      </c>
    </row>
    <row r="467" spans="1:49" x14ac:dyDescent="0.25">
      <c r="A467" t="s">
        <v>56</v>
      </c>
      <c r="B467" t="s">
        <v>104</v>
      </c>
      <c r="C467">
        <v>177671</v>
      </c>
      <c r="D467">
        <v>2014</v>
      </c>
      <c r="E467" t="s">
        <v>241</v>
      </c>
      <c r="F467" t="s">
        <v>846</v>
      </c>
      <c r="G467" t="s">
        <v>758</v>
      </c>
      <c r="H467" t="s">
        <v>847</v>
      </c>
      <c r="I467">
        <v>8</v>
      </c>
      <c r="J467" t="s">
        <v>82</v>
      </c>
      <c r="K467">
        <v>4</v>
      </c>
      <c r="L467" t="s">
        <v>44</v>
      </c>
      <c r="M467">
        <v>4.7</v>
      </c>
      <c r="N467" t="s">
        <v>44</v>
      </c>
      <c r="Q467" t="s">
        <v>47</v>
      </c>
      <c r="R467" t="s">
        <v>48</v>
      </c>
      <c r="S467" t="s">
        <v>139</v>
      </c>
      <c r="U467" t="s">
        <v>50</v>
      </c>
      <c r="V467" t="s">
        <v>64</v>
      </c>
      <c r="X467" t="s">
        <v>66</v>
      </c>
      <c r="Y467" t="s">
        <v>67</v>
      </c>
      <c r="AA467">
        <v>0</v>
      </c>
      <c r="AB467" t="s">
        <v>54</v>
      </c>
      <c r="AC467" t="s">
        <v>55</v>
      </c>
      <c r="AD467">
        <v>34</v>
      </c>
      <c r="AE467">
        <v>8</v>
      </c>
      <c r="AF467">
        <v>3</v>
      </c>
      <c r="AG467">
        <v>2025</v>
      </c>
      <c r="AH467" s="13">
        <v>5700</v>
      </c>
      <c r="AI467" s="13">
        <v>7168.28759765625</v>
      </c>
      <c r="AJ467" s="13">
        <f t="shared" si="56"/>
        <v>1468.28759765625</v>
      </c>
      <c r="AK467" s="14">
        <f t="shared" si="57"/>
        <v>0.25759431537828947</v>
      </c>
      <c r="AL467" s="9">
        <v>5700</v>
      </c>
      <c r="AM467" s="9">
        <v>4815.9628755559788</v>
      </c>
      <c r="AN467" s="9">
        <f t="shared" si="58"/>
        <v>884.03712444402117</v>
      </c>
      <c r="AO467" s="10">
        <f t="shared" si="59"/>
        <v>0.1550942323586002</v>
      </c>
      <c r="AP467" s="16">
        <v>5700</v>
      </c>
      <c r="AQ467" s="16">
        <v>3491.808997991433</v>
      </c>
      <c r="AR467" s="16">
        <f t="shared" si="60"/>
        <v>2208.191002008567</v>
      </c>
      <c r="AS467" s="17">
        <f t="shared" si="61"/>
        <v>0.38740193017694158</v>
      </c>
      <c r="AT467" s="6">
        <v>5700</v>
      </c>
      <c r="AU467" s="6">
        <v>5175.26904296875</v>
      </c>
      <c r="AV467" s="6">
        <f t="shared" si="62"/>
        <v>524.73095703125</v>
      </c>
      <c r="AW467" s="7">
        <f t="shared" si="63"/>
        <v>9.20580626370614E-2</v>
      </c>
    </row>
    <row r="468" spans="1:49" x14ac:dyDescent="0.25">
      <c r="A468" t="s">
        <v>56</v>
      </c>
      <c r="B468" t="s">
        <v>57</v>
      </c>
      <c r="C468">
        <v>38026</v>
      </c>
      <c r="D468">
        <v>2007</v>
      </c>
      <c r="E468" t="s">
        <v>848</v>
      </c>
      <c r="F468" t="s">
        <v>849</v>
      </c>
      <c r="G468" t="s">
        <v>850</v>
      </c>
      <c r="H468" t="s">
        <v>851</v>
      </c>
      <c r="I468">
        <v>2</v>
      </c>
      <c r="J468" t="s">
        <v>82</v>
      </c>
      <c r="L468" t="s">
        <v>738</v>
      </c>
      <c r="M468">
        <v>1552</v>
      </c>
      <c r="N468" t="s">
        <v>45</v>
      </c>
      <c r="O468" t="s">
        <v>46</v>
      </c>
      <c r="Q468" t="s">
        <v>669</v>
      </c>
      <c r="R468" t="s">
        <v>852</v>
      </c>
      <c r="X468" t="s">
        <v>672</v>
      </c>
      <c r="Y468" t="s">
        <v>97</v>
      </c>
      <c r="AA468">
        <v>0</v>
      </c>
      <c r="AB468" t="s">
        <v>54</v>
      </c>
      <c r="AC468" t="s">
        <v>673</v>
      </c>
      <c r="AD468">
        <v>34</v>
      </c>
      <c r="AE468">
        <v>8</v>
      </c>
      <c r="AF468">
        <v>3</v>
      </c>
      <c r="AG468">
        <v>2025</v>
      </c>
      <c r="AH468" s="13">
        <v>1200</v>
      </c>
      <c r="AI468" s="13">
        <v>2855.6708984375</v>
      </c>
      <c r="AJ468" s="13">
        <f t="shared" si="56"/>
        <v>1655.6708984375</v>
      </c>
      <c r="AK468" s="14">
        <f t="shared" si="57"/>
        <v>1.3797257486979166</v>
      </c>
      <c r="AL468" s="9">
        <v>1200</v>
      </c>
      <c r="AM468" s="9">
        <v>1450.4158622316991</v>
      </c>
      <c r="AN468" s="9">
        <f t="shared" si="58"/>
        <v>250.41586223169907</v>
      </c>
      <c r="AO468" s="10">
        <f t="shared" si="59"/>
        <v>0.20867988519308256</v>
      </c>
      <c r="AP468" s="16">
        <v>1200</v>
      </c>
      <c r="AQ468" s="16">
        <v>1977.7564036646679</v>
      </c>
      <c r="AR468" s="16">
        <f t="shared" si="60"/>
        <v>777.75640366466791</v>
      </c>
      <c r="AS468" s="17">
        <f t="shared" si="61"/>
        <v>0.64813033638722328</v>
      </c>
      <c r="AT468" s="6">
        <v>1200</v>
      </c>
      <c r="AU468" s="6">
        <v>1662.47265625</v>
      </c>
      <c r="AV468" s="6">
        <f t="shared" si="62"/>
        <v>462.47265625</v>
      </c>
      <c r="AW468" s="7">
        <f t="shared" si="63"/>
        <v>0.38539388020833332</v>
      </c>
    </row>
    <row r="469" spans="1:49" x14ac:dyDescent="0.25">
      <c r="A469" t="s">
        <v>56</v>
      </c>
      <c r="B469" t="s">
        <v>57</v>
      </c>
      <c r="C469">
        <v>193626</v>
      </c>
      <c r="D469">
        <v>2004</v>
      </c>
      <c r="E469" t="s">
        <v>79</v>
      </c>
      <c r="F469" t="s">
        <v>272</v>
      </c>
      <c r="H469" t="s">
        <v>337</v>
      </c>
      <c r="I469">
        <v>8</v>
      </c>
      <c r="J469" t="s">
        <v>101</v>
      </c>
      <c r="K469">
        <v>2</v>
      </c>
      <c r="L469" t="s">
        <v>44</v>
      </c>
      <c r="M469">
        <v>5.3</v>
      </c>
      <c r="N469" t="s">
        <v>62</v>
      </c>
      <c r="O469" t="s">
        <v>46</v>
      </c>
      <c r="Q469" t="s">
        <v>75</v>
      </c>
      <c r="R469" t="s">
        <v>76</v>
      </c>
      <c r="S469" t="s">
        <v>63</v>
      </c>
      <c r="U469" t="s">
        <v>50</v>
      </c>
      <c r="V469" t="s">
        <v>64</v>
      </c>
      <c r="W469" t="s">
        <v>853</v>
      </c>
      <c r="X469" t="s">
        <v>66</v>
      </c>
      <c r="Y469" t="s">
        <v>67</v>
      </c>
      <c r="AA469">
        <v>0</v>
      </c>
      <c r="AB469" t="s">
        <v>54</v>
      </c>
      <c r="AC469" t="s">
        <v>78</v>
      </c>
      <c r="AD469">
        <v>34</v>
      </c>
      <c r="AE469">
        <v>8</v>
      </c>
      <c r="AF469">
        <v>3</v>
      </c>
      <c r="AG469">
        <v>2025</v>
      </c>
      <c r="AH469" s="13">
        <v>1300</v>
      </c>
      <c r="AI469" s="13">
        <v>1398.313110351562</v>
      </c>
      <c r="AJ469" s="13">
        <f t="shared" si="56"/>
        <v>98.313110351562045</v>
      </c>
      <c r="AK469" s="14">
        <f t="shared" si="57"/>
        <v>7.5625469501201567E-2</v>
      </c>
      <c r="AL469" s="9">
        <v>1300</v>
      </c>
      <c r="AM469" s="9">
        <v>2147.4082204039742</v>
      </c>
      <c r="AN469" s="9">
        <f t="shared" si="58"/>
        <v>847.40822040397416</v>
      </c>
      <c r="AO469" s="10">
        <f t="shared" si="59"/>
        <v>0.65185247723382622</v>
      </c>
      <c r="AP469" s="16">
        <v>1300</v>
      </c>
      <c r="AQ469" s="16">
        <v>2408.232509040995</v>
      </c>
      <c r="AR469" s="16">
        <f t="shared" si="60"/>
        <v>1108.232509040995</v>
      </c>
      <c r="AS469" s="17">
        <f t="shared" si="61"/>
        <v>0.85248654541614999</v>
      </c>
      <c r="AT469" s="6">
        <v>1300</v>
      </c>
      <c r="AU469" s="6">
        <v>2134.21923828125</v>
      </c>
      <c r="AV469" s="6">
        <f t="shared" si="62"/>
        <v>834.21923828125</v>
      </c>
      <c r="AW469" s="7">
        <f t="shared" si="63"/>
        <v>0.64170710637019235</v>
      </c>
    </row>
    <row r="470" spans="1:49" x14ac:dyDescent="0.25">
      <c r="A470" t="s">
        <v>38</v>
      </c>
      <c r="B470" t="s">
        <v>267</v>
      </c>
      <c r="C470">
        <v>33693</v>
      </c>
      <c r="D470">
        <v>2021</v>
      </c>
      <c r="E470" t="s">
        <v>145</v>
      </c>
      <c r="F470" t="s">
        <v>485</v>
      </c>
      <c r="G470" t="s">
        <v>432</v>
      </c>
      <c r="I470">
        <v>6</v>
      </c>
      <c r="J470" t="s">
        <v>61</v>
      </c>
      <c r="K470">
        <v>4</v>
      </c>
      <c r="L470" t="s">
        <v>44</v>
      </c>
      <c r="M470">
        <v>3.5</v>
      </c>
      <c r="N470" t="s">
        <v>45</v>
      </c>
      <c r="O470" t="s">
        <v>46</v>
      </c>
      <c r="P470">
        <v>3</v>
      </c>
      <c r="Q470" t="s">
        <v>47</v>
      </c>
      <c r="R470" t="s">
        <v>48</v>
      </c>
      <c r="S470" t="s">
        <v>49</v>
      </c>
      <c r="T470">
        <v>280</v>
      </c>
      <c r="U470" t="s">
        <v>50</v>
      </c>
      <c r="V470" t="s">
        <v>64</v>
      </c>
      <c r="W470" t="s">
        <v>577</v>
      </c>
      <c r="X470" t="s">
        <v>141</v>
      </c>
      <c r="Y470" t="s">
        <v>67</v>
      </c>
      <c r="Z470">
        <v>38660</v>
      </c>
      <c r="AA470">
        <v>0</v>
      </c>
      <c r="AB470" t="s">
        <v>54</v>
      </c>
      <c r="AC470" t="s">
        <v>68</v>
      </c>
      <c r="AD470">
        <v>34</v>
      </c>
      <c r="AE470">
        <v>8</v>
      </c>
      <c r="AF470">
        <v>3</v>
      </c>
      <c r="AG470">
        <v>2025</v>
      </c>
      <c r="AH470" s="13">
        <v>25500</v>
      </c>
      <c r="AI470" s="13">
        <v>27011.85546875</v>
      </c>
      <c r="AJ470" s="13">
        <f t="shared" si="56"/>
        <v>1511.85546875</v>
      </c>
      <c r="AK470" s="14">
        <f t="shared" si="57"/>
        <v>5.928844975490196E-2</v>
      </c>
      <c r="AL470" s="9">
        <v>25500</v>
      </c>
      <c r="AM470" s="9">
        <v>31369.449199036259</v>
      </c>
      <c r="AN470" s="9">
        <f t="shared" si="58"/>
        <v>5869.4491990362585</v>
      </c>
      <c r="AO470" s="10">
        <f t="shared" si="59"/>
        <v>0.23017447839357877</v>
      </c>
      <c r="AP470" s="16">
        <v>25500</v>
      </c>
      <c r="AQ470" s="16">
        <v>26294.76830601642</v>
      </c>
      <c r="AR470" s="16">
        <f t="shared" si="60"/>
        <v>794.76830601641996</v>
      </c>
      <c r="AS470" s="17">
        <f t="shared" si="61"/>
        <v>3.1167384549663529E-2</v>
      </c>
      <c r="AT470" s="6">
        <v>25500</v>
      </c>
      <c r="AU470" s="6">
        <v>26074.681640625</v>
      </c>
      <c r="AV470" s="6">
        <f t="shared" si="62"/>
        <v>574.681640625</v>
      </c>
      <c r="AW470" s="7">
        <f t="shared" si="63"/>
        <v>2.2536534926470588E-2</v>
      </c>
    </row>
    <row r="471" spans="1:49" x14ac:dyDescent="0.25">
      <c r="A471" t="s">
        <v>56</v>
      </c>
      <c r="B471" t="s">
        <v>303</v>
      </c>
      <c r="C471">
        <v>210864</v>
      </c>
      <c r="D471">
        <v>2018</v>
      </c>
      <c r="E471" t="s">
        <v>71</v>
      </c>
      <c r="F471" t="s">
        <v>129</v>
      </c>
      <c r="I471">
        <v>4</v>
      </c>
      <c r="J471" t="s">
        <v>74</v>
      </c>
      <c r="K471">
        <v>4</v>
      </c>
      <c r="L471" t="s">
        <v>44</v>
      </c>
      <c r="M471">
        <v>2.5</v>
      </c>
      <c r="N471" t="s">
        <v>45</v>
      </c>
      <c r="Q471" t="s">
        <v>84</v>
      </c>
      <c r="R471" t="s">
        <v>85</v>
      </c>
      <c r="S471" t="s">
        <v>49</v>
      </c>
      <c r="U471" t="s">
        <v>50</v>
      </c>
      <c r="V471" t="s">
        <v>95</v>
      </c>
      <c r="X471" t="s">
        <v>87</v>
      </c>
      <c r="Y471" t="s">
        <v>67</v>
      </c>
      <c r="Z471">
        <v>23260</v>
      </c>
      <c r="AA471">
        <v>0</v>
      </c>
      <c r="AB471" t="s">
        <v>54</v>
      </c>
      <c r="AC471" t="s">
        <v>89</v>
      </c>
      <c r="AD471">
        <v>34</v>
      </c>
      <c r="AE471">
        <v>8</v>
      </c>
      <c r="AF471">
        <v>3</v>
      </c>
      <c r="AG471">
        <v>2025</v>
      </c>
      <c r="AH471" s="13">
        <v>3200</v>
      </c>
      <c r="AI471" s="13">
        <v>1626.289428710938</v>
      </c>
      <c r="AJ471" s="13">
        <f t="shared" si="56"/>
        <v>1573.710571289062</v>
      </c>
      <c r="AK471" s="14">
        <f t="shared" si="57"/>
        <v>0.4917845535278319</v>
      </c>
      <c r="AL471" s="9">
        <v>3200</v>
      </c>
      <c r="AM471" s="9">
        <v>1756.103991477057</v>
      </c>
      <c r="AN471" s="9">
        <f t="shared" si="58"/>
        <v>1443.896008522943</v>
      </c>
      <c r="AO471" s="10">
        <f t="shared" si="59"/>
        <v>0.4512175026634197</v>
      </c>
      <c r="AP471" s="16">
        <v>3200</v>
      </c>
      <c r="AQ471" s="16">
        <v>1662.52972993505</v>
      </c>
      <c r="AR471" s="16">
        <f t="shared" si="60"/>
        <v>1537.47027006495</v>
      </c>
      <c r="AS471" s="17">
        <f t="shared" si="61"/>
        <v>0.48045945939529688</v>
      </c>
      <c r="AT471" s="6">
        <v>3200</v>
      </c>
      <c r="AU471" s="6">
        <v>1764.033569335938</v>
      </c>
      <c r="AV471" s="6">
        <f t="shared" si="62"/>
        <v>1435.966430664062</v>
      </c>
      <c r="AW471" s="7">
        <f t="shared" si="63"/>
        <v>0.4487395095825194</v>
      </c>
    </row>
    <row r="472" spans="1:49" x14ac:dyDescent="0.25">
      <c r="A472" t="s">
        <v>56</v>
      </c>
      <c r="B472" t="s">
        <v>57</v>
      </c>
      <c r="C472">
        <v>16650</v>
      </c>
      <c r="D472">
        <v>2022</v>
      </c>
      <c r="E472" t="s">
        <v>79</v>
      </c>
      <c r="F472" t="s">
        <v>387</v>
      </c>
      <c r="G472" t="s">
        <v>698</v>
      </c>
      <c r="H472" t="s">
        <v>388</v>
      </c>
      <c r="I472">
        <v>8</v>
      </c>
      <c r="J472" t="s">
        <v>61</v>
      </c>
      <c r="K472">
        <v>4</v>
      </c>
      <c r="L472" t="s">
        <v>44</v>
      </c>
      <c r="M472">
        <v>6.6</v>
      </c>
      <c r="N472" t="s">
        <v>62</v>
      </c>
      <c r="O472" t="s">
        <v>46</v>
      </c>
      <c r="P472">
        <v>5</v>
      </c>
      <c r="Q472" t="s">
        <v>75</v>
      </c>
      <c r="R472" t="s">
        <v>76</v>
      </c>
      <c r="S472" t="s">
        <v>63</v>
      </c>
      <c r="U472" t="s">
        <v>300</v>
      </c>
      <c r="V472" t="s">
        <v>64</v>
      </c>
      <c r="W472" t="s">
        <v>389</v>
      </c>
      <c r="X472" t="s">
        <v>301</v>
      </c>
      <c r="Y472" t="s">
        <v>67</v>
      </c>
      <c r="AA472">
        <v>0</v>
      </c>
      <c r="AB472" t="s">
        <v>54</v>
      </c>
      <c r="AC472" t="s">
        <v>302</v>
      </c>
      <c r="AD472">
        <v>34</v>
      </c>
      <c r="AE472">
        <v>8</v>
      </c>
      <c r="AF472">
        <v>3</v>
      </c>
      <c r="AG472">
        <v>2025</v>
      </c>
      <c r="AH472" s="13">
        <v>59500</v>
      </c>
      <c r="AI472" s="13">
        <v>77903.640625</v>
      </c>
      <c r="AJ472" s="13">
        <f t="shared" si="56"/>
        <v>18403.640625</v>
      </c>
      <c r="AK472" s="14">
        <f t="shared" si="57"/>
        <v>0.30930488445378151</v>
      </c>
      <c r="AL472" s="9">
        <v>59500</v>
      </c>
      <c r="AM472" s="9">
        <v>66873.090652486979</v>
      </c>
      <c r="AN472" s="9">
        <f t="shared" si="58"/>
        <v>7373.0906524869788</v>
      </c>
      <c r="AO472" s="10">
        <f t="shared" si="59"/>
        <v>0.12391748995776435</v>
      </c>
      <c r="AP472" s="16">
        <v>59500</v>
      </c>
      <c r="AQ472" s="16">
        <v>65100.932385964457</v>
      </c>
      <c r="AR472" s="16">
        <f t="shared" si="60"/>
        <v>5600.9323859644574</v>
      </c>
      <c r="AS472" s="17">
        <f t="shared" si="61"/>
        <v>9.4133317411167344E-2</v>
      </c>
      <c r="AT472" s="6">
        <v>59500</v>
      </c>
      <c r="AU472" s="6">
        <v>66304.609375</v>
      </c>
      <c r="AV472" s="6">
        <f t="shared" si="62"/>
        <v>6804.609375</v>
      </c>
      <c r="AW472" s="7">
        <f t="shared" si="63"/>
        <v>0.11436318277310924</v>
      </c>
    </row>
    <row r="473" spans="1:49" x14ac:dyDescent="0.25">
      <c r="A473" t="s">
        <v>56</v>
      </c>
      <c r="B473" t="s">
        <v>104</v>
      </c>
      <c r="C473">
        <v>172329</v>
      </c>
      <c r="D473">
        <v>2008</v>
      </c>
      <c r="E473" t="s">
        <v>145</v>
      </c>
      <c r="F473" t="s">
        <v>146</v>
      </c>
      <c r="G473" t="s">
        <v>313</v>
      </c>
      <c r="I473">
        <v>4</v>
      </c>
      <c r="J473" t="s">
        <v>61</v>
      </c>
      <c r="K473">
        <v>4</v>
      </c>
      <c r="L473" t="s">
        <v>44</v>
      </c>
      <c r="M473">
        <v>2.4</v>
      </c>
      <c r="N473" t="s">
        <v>62</v>
      </c>
      <c r="Q473" t="s">
        <v>47</v>
      </c>
      <c r="R473" t="s">
        <v>48</v>
      </c>
      <c r="S473" t="s">
        <v>63</v>
      </c>
      <c r="T473">
        <v>166</v>
      </c>
      <c r="U473" t="s">
        <v>50</v>
      </c>
      <c r="V473" t="s">
        <v>95</v>
      </c>
      <c r="W473" t="s">
        <v>854</v>
      </c>
      <c r="X473" t="s">
        <v>52</v>
      </c>
      <c r="Y473" t="s">
        <v>97</v>
      </c>
      <c r="AA473">
        <v>0</v>
      </c>
      <c r="AB473" t="s">
        <v>54</v>
      </c>
      <c r="AC473" t="s">
        <v>55</v>
      </c>
      <c r="AD473">
        <v>34</v>
      </c>
      <c r="AE473">
        <v>8</v>
      </c>
      <c r="AF473">
        <v>3</v>
      </c>
      <c r="AG473">
        <v>2025</v>
      </c>
      <c r="AH473" s="13">
        <v>2900</v>
      </c>
      <c r="AI473" s="13">
        <v>2090.1962890625</v>
      </c>
      <c r="AJ473" s="13">
        <f t="shared" si="56"/>
        <v>809.8037109375</v>
      </c>
      <c r="AK473" s="14">
        <f t="shared" si="57"/>
        <v>0.27924265894396549</v>
      </c>
      <c r="AL473" s="9">
        <v>2900</v>
      </c>
      <c r="AM473" s="9">
        <v>2700.7448946196132</v>
      </c>
      <c r="AN473" s="9">
        <f t="shared" si="58"/>
        <v>199.25510538038679</v>
      </c>
      <c r="AO473" s="10">
        <f t="shared" si="59"/>
        <v>6.8708657027719583E-2</v>
      </c>
      <c r="AP473" s="16">
        <v>2900</v>
      </c>
      <c r="AQ473" s="16">
        <v>1569.0524314796039</v>
      </c>
      <c r="AR473" s="16">
        <f t="shared" si="60"/>
        <v>1330.9475685203961</v>
      </c>
      <c r="AS473" s="17">
        <f t="shared" si="61"/>
        <v>0.45894743742082622</v>
      </c>
      <c r="AT473" s="6">
        <v>2900</v>
      </c>
      <c r="AU473" s="6">
        <v>2134.950439453125</v>
      </c>
      <c r="AV473" s="6">
        <f t="shared" si="62"/>
        <v>765.049560546875</v>
      </c>
      <c r="AW473" s="7">
        <f t="shared" si="63"/>
        <v>0.26381019329202587</v>
      </c>
    </row>
    <row r="474" spans="1:49" x14ac:dyDescent="0.25">
      <c r="A474" t="s">
        <v>38</v>
      </c>
      <c r="B474" t="s">
        <v>118</v>
      </c>
      <c r="C474">
        <v>91696</v>
      </c>
      <c r="D474">
        <v>2015</v>
      </c>
      <c r="E474" t="s">
        <v>71</v>
      </c>
      <c r="F474" t="s">
        <v>199</v>
      </c>
      <c r="I474">
        <v>4</v>
      </c>
      <c r="J474" t="s">
        <v>43</v>
      </c>
      <c r="K474">
        <v>4</v>
      </c>
      <c r="L474" t="s">
        <v>44</v>
      </c>
      <c r="M474">
        <v>2.5</v>
      </c>
      <c r="N474" t="s">
        <v>45</v>
      </c>
      <c r="O474" t="s">
        <v>46</v>
      </c>
      <c r="Q474" t="s">
        <v>47</v>
      </c>
      <c r="R474" t="s">
        <v>207</v>
      </c>
      <c r="S474" t="s">
        <v>49</v>
      </c>
      <c r="U474" t="s">
        <v>50</v>
      </c>
      <c r="X474" t="s">
        <v>52</v>
      </c>
      <c r="Y474" t="s">
        <v>67</v>
      </c>
      <c r="AA474">
        <v>0</v>
      </c>
      <c r="AB474" t="s">
        <v>54</v>
      </c>
      <c r="AC474" t="s">
        <v>55</v>
      </c>
      <c r="AD474">
        <v>34</v>
      </c>
      <c r="AE474">
        <v>8</v>
      </c>
      <c r="AF474">
        <v>3</v>
      </c>
      <c r="AG474">
        <v>2025</v>
      </c>
      <c r="AH474" s="13">
        <v>6000</v>
      </c>
      <c r="AI474" s="13">
        <v>4537.0244140625</v>
      </c>
      <c r="AJ474" s="13">
        <f t="shared" si="56"/>
        <v>1462.9755859375</v>
      </c>
      <c r="AK474" s="14">
        <f t="shared" si="57"/>
        <v>0.24382926432291666</v>
      </c>
      <c r="AL474" s="9">
        <v>6000</v>
      </c>
      <c r="AM474" s="9">
        <v>4766.0035077464863</v>
      </c>
      <c r="AN474" s="9">
        <f t="shared" si="58"/>
        <v>1233.9964922535137</v>
      </c>
      <c r="AO474" s="10">
        <f t="shared" si="59"/>
        <v>0.20566608204225229</v>
      </c>
      <c r="AP474" s="16">
        <v>6000</v>
      </c>
      <c r="AQ474" s="16">
        <v>5652.7692918226267</v>
      </c>
      <c r="AR474" s="16">
        <f t="shared" si="60"/>
        <v>347.23070817737334</v>
      </c>
      <c r="AS474" s="17">
        <f t="shared" si="61"/>
        <v>5.787178469622889E-2</v>
      </c>
      <c r="AT474" s="6">
        <v>6000</v>
      </c>
      <c r="AU474" s="6">
        <v>5059.08984375</v>
      </c>
      <c r="AV474" s="6">
        <f t="shared" si="62"/>
        <v>940.91015625</v>
      </c>
      <c r="AW474" s="7">
        <f t="shared" si="63"/>
        <v>0.15681835937499999</v>
      </c>
    </row>
    <row r="475" spans="1:49" x14ac:dyDescent="0.25">
      <c r="A475" t="s">
        <v>56</v>
      </c>
      <c r="B475" t="s">
        <v>104</v>
      </c>
      <c r="C475">
        <v>231890</v>
      </c>
      <c r="D475">
        <v>2005</v>
      </c>
      <c r="E475" t="s">
        <v>91</v>
      </c>
      <c r="F475" t="s">
        <v>855</v>
      </c>
      <c r="H475" t="s">
        <v>856</v>
      </c>
      <c r="I475">
        <v>6</v>
      </c>
      <c r="J475" t="s">
        <v>177</v>
      </c>
      <c r="K475">
        <v>4</v>
      </c>
      <c r="L475" t="s">
        <v>44</v>
      </c>
      <c r="M475">
        <v>3.5</v>
      </c>
      <c r="N475" t="s">
        <v>45</v>
      </c>
      <c r="O475" t="s">
        <v>46</v>
      </c>
      <c r="P475">
        <v>4</v>
      </c>
      <c r="Q475" t="s">
        <v>84</v>
      </c>
      <c r="R475" t="s">
        <v>85</v>
      </c>
      <c r="S475" t="s">
        <v>49</v>
      </c>
      <c r="U475" t="s">
        <v>50</v>
      </c>
      <c r="V475" t="s">
        <v>64</v>
      </c>
      <c r="W475" t="s">
        <v>318</v>
      </c>
      <c r="X475" t="s">
        <v>87</v>
      </c>
      <c r="Y475" t="s">
        <v>67</v>
      </c>
      <c r="AA475">
        <v>0</v>
      </c>
      <c r="AB475" t="s">
        <v>54</v>
      </c>
      <c r="AC475" t="s">
        <v>89</v>
      </c>
      <c r="AD475">
        <v>34</v>
      </c>
      <c r="AE475">
        <v>8</v>
      </c>
      <c r="AF475">
        <v>3</v>
      </c>
      <c r="AG475">
        <v>2025</v>
      </c>
      <c r="AH475" s="13">
        <v>1000</v>
      </c>
      <c r="AI475" s="13">
        <v>868.92987060546875</v>
      </c>
      <c r="AJ475" s="13">
        <f t="shared" si="56"/>
        <v>131.07012939453125</v>
      </c>
      <c r="AK475" s="14">
        <f t="shared" si="57"/>
        <v>0.13107012939453125</v>
      </c>
      <c r="AL475" s="9">
        <v>1000</v>
      </c>
      <c r="AM475" s="9">
        <v>915.68172094250406</v>
      </c>
      <c r="AN475" s="9">
        <f t="shared" si="58"/>
        <v>84.318279057495943</v>
      </c>
      <c r="AO475" s="10">
        <f t="shared" si="59"/>
        <v>8.4318279057495948E-2</v>
      </c>
      <c r="AP475" s="16">
        <v>1000</v>
      </c>
      <c r="AQ475" s="16">
        <v>605.89109099264817</v>
      </c>
      <c r="AR475" s="16">
        <f t="shared" si="60"/>
        <v>394.10890900735183</v>
      </c>
      <c r="AS475" s="17">
        <f t="shared" si="61"/>
        <v>0.39410890900735185</v>
      </c>
      <c r="AT475" s="6">
        <v>1000</v>
      </c>
      <c r="AU475" s="6">
        <v>781.55279541015625</v>
      </c>
      <c r="AV475" s="6">
        <f t="shared" si="62"/>
        <v>218.44720458984375</v>
      </c>
      <c r="AW475" s="7">
        <f t="shared" si="63"/>
        <v>0.21844720458984376</v>
      </c>
    </row>
    <row r="476" spans="1:49" x14ac:dyDescent="0.25">
      <c r="A476" t="s">
        <v>38</v>
      </c>
      <c r="B476" t="s">
        <v>229</v>
      </c>
      <c r="C476">
        <v>88832</v>
      </c>
      <c r="D476">
        <v>2019</v>
      </c>
      <c r="E476" t="s">
        <v>71</v>
      </c>
      <c r="F476" t="s">
        <v>129</v>
      </c>
      <c r="G476" t="s">
        <v>779</v>
      </c>
      <c r="I476">
        <v>4</v>
      </c>
      <c r="J476" t="s">
        <v>43</v>
      </c>
      <c r="K476">
        <v>4</v>
      </c>
      <c r="L476" t="s">
        <v>44</v>
      </c>
      <c r="M476">
        <v>2.5</v>
      </c>
      <c r="N476" t="s">
        <v>45</v>
      </c>
      <c r="O476" t="s">
        <v>46</v>
      </c>
      <c r="P476">
        <v>3</v>
      </c>
      <c r="Q476" t="s">
        <v>84</v>
      </c>
      <c r="R476" t="s">
        <v>85</v>
      </c>
      <c r="S476" t="s">
        <v>49</v>
      </c>
      <c r="U476" t="s">
        <v>50</v>
      </c>
      <c r="X476" t="s">
        <v>87</v>
      </c>
      <c r="Y476" t="s">
        <v>67</v>
      </c>
      <c r="Z476">
        <v>24000</v>
      </c>
      <c r="AA476">
        <v>0</v>
      </c>
      <c r="AB476" t="s">
        <v>54</v>
      </c>
      <c r="AC476" t="s">
        <v>89</v>
      </c>
      <c r="AD476">
        <v>34</v>
      </c>
      <c r="AE476">
        <v>8</v>
      </c>
      <c r="AF476">
        <v>3</v>
      </c>
      <c r="AG476">
        <v>2025</v>
      </c>
      <c r="AH476" s="13">
        <v>10200</v>
      </c>
      <c r="AI476" s="13">
        <v>6954.6669921875</v>
      </c>
      <c r="AJ476" s="13">
        <f t="shared" si="56"/>
        <v>3245.3330078125</v>
      </c>
      <c r="AK476" s="14">
        <f t="shared" si="57"/>
        <v>0.31816990272671569</v>
      </c>
      <c r="AL476" s="9">
        <v>10200</v>
      </c>
      <c r="AM476" s="9">
        <v>5891.8823441459299</v>
      </c>
      <c r="AN476" s="9">
        <f t="shared" si="58"/>
        <v>4308.1176558540701</v>
      </c>
      <c r="AO476" s="10">
        <f t="shared" si="59"/>
        <v>0.42236447606412453</v>
      </c>
      <c r="AP476" s="16">
        <v>10200</v>
      </c>
      <c r="AQ476" s="16">
        <v>6658.3193863985271</v>
      </c>
      <c r="AR476" s="16">
        <f t="shared" si="60"/>
        <v>3541.6806136014729</v>
      </c>
      <c r="AS476" s="17">
        <f t="shared" si="61"/>
        <v>0.34722358956877186</v>
      </c>
      <c r="AT476" s="6">
        <v>10200</v>
      </c>
      <c r="AU476" s="6">
        <v>7077.83984375</v>
      </c>
      <c r="AV476" s="6">
        <f t="shared" si="62"/>
        <v>3122.16015625</v>
      </c>
      <c r="AW476" s="7">
        <f t="shared" si="63"/>
        <v>0.30609413296568627</v>
      </c>
    </row>
    <row r="477" spans="1:49" x14ac:dyDescent="0.25">
      <c r="A477" t="s">
        <v>38</v>
      </c>
      <c r="B477" t="s">
        <v>267</v>
      </c>
      <c r="C477">
        <v>18707</v>
      </c>
      <c r="D477">
        <v>2019</v>
      </c>
      <c r="E477" t="s">
        <v>113</v>
      </c>
      <c r="F477" t="s">
        <v>253</v>
      </c>
      <c r="H477" t="s">
        <v>857</v>
      </c>
      <c r="I477">
        <v>4</v>
      </c>
      <c r="J477" t="s">
        <v>101</v>
      </c>
      <c r="K477">
        <v>4</v>
      </c>
      <c r="L477" t="s">
        <v>44</v>
      </c>
      <c r="M477">
        <v>2.4</v>
      </c>
      <c r="N477" t="s">
        <v>45</v>
      </c>
      <c r="O477" t="s">
        <v>46</v>
      </c>
      <c r="P477">
        <v>2</v>
      </c>
      <c r="Q477" t="s">
        <v>47</v>
      </c>
      <c r="R477" t="s">
        <v>48</v>
      </c>
      <c r="S477" t="s">
        <v>102</v>
      </c>
      <c r="T477">
        <v>173</v>
      </c>
      <c r="U477" t="s">
        <v>50</v>
      </c>
      <c r="V477" t="s">
        <v>95</v>
      </c>
      <c r="X477" t="s">
        <v>141</v>
      </c>
      <c r="Y477" t="s">
        <v>106</v>
      </c>
      <c r="AA477">
        <v>0</v>
      </c>
      <c r="AB477" t="s">
        <v>54</v>
      </c>
      <c r="AC477" t="s">
        <v>55</v>
      </c>
      <c r="AD477">
        <v>34</v>
      </c>
      <c r="AE477">
        <v>8</v>
      </c>
      <c r="AF477">
        <v>3</v>
      </c>
      <c r="AG477">
        <v>2025</v>
      </c>
      <c r="AH477" s="13">
        <v>7000</v>
      </c>
      <c r="AI477" s="13">
        <v>10055.6474609375</v>
      </c>
      <c r="AJ477" s="13">
        <f t="shared" si="56"/>
        <v>3055.6474609375</v>
      </c>
      <c r="AK477" s="14">
        <f t="shared" si="57"/>
        <v>0.43652106584821426</v>
      </c>
      <c r="AL477" s="9">
        <v>7000</v>
      </c>
      <c r="AM477" s="9">
        <v>8542.7426731834566</v>
      </c>
      <c r="AN477" s="9">
        <f t="shared" si="58"/>
        <v>1542.7426731834566</v>
      </c>
      <c r="AO477" s="10">
        <f t="shared" si="59"/>
        <v>0.22039181045477951</v>
      </c>
      <c r="AP477" s="16">
        <v>7000</v>
      </c>
      <c r="AQ477" s="16">
        <v>9289.0604079634886</v>
      </c>
      <c r="AR477" s="16">
        <f t="shared" si="60"/>
        <v>2289.0604079634886</v>
      </c>
      <c r="AS477" s="17">
        <f t="shared" si="61"/>
        <v>0.3270086297090698</v>
      </c>
      <c r="AT477" s="6">
        <v>7000</v>
      </c>
      <c r="AU477" s="6">
        <v>10874.6640625</v>
      </c>
      <c r="AV477" s="6">
        <f t="shared" si="62"/>
        <v>3874.6640625</v>
      </c>
      <c r="AW477" s="7">
        <f t="shared" si="63"/>
        <v>0.55352343749999999</v>
      </c>
    </row>
    <row r="478" spans="1:49" x14ac:dyDescent="0.25">
      <c r="A478" t="s">
        <v>56</v>
      </c>
      <c r="B478" t="s">
        <v>123</v>
      </c>
      <c r="C478">
        <v>160508</v>
      </c>
      <c r="D478">
        <v>2017</v>
      </c>
      <c r="E478" t="s">
        <v>79</v>
      </c>
      <c r="F478" t="s">
        <v>179</v>
      </c>
      <c r="G478" t="s">
        <v>586</v>
      </c>
      <c r="I478">
        <v>4</v>
      </c>
      <c r="J478" t="s">
        <v>43</v>
      </c>
      <c r="K478">
        <v>4</v>
      </c>
      <c r="L478" t="s">
        <v>44</v>
      </c>
      <c r="M478">
        <v>1.4</v>
      </c>
      <c r="N478" t="s">
        <v>45</v>
      </c>
      <c r="O478" t="s">
        <v>46</v>
      </c>
      <c r="P478">
        <v>2</v>
      </c>
      <c r="Q478" t="s">
        <v>47</v>
      </c>
      <c r="R478" t="s">
        <v>48</v>
      </c>
      <c r="S478" t="s">
        <v>102</v>
      </c>
      <c r="U478" t="s">
        <v>50</v>
      </c>
      <c r="W478" t="s">
        <v>858</v>
      </c>
      <c r="X478" t="s">
        <v>52</v>
      </c>
      <c r="Y478" t="s">
        <v>53</v>
      </c>
      <c r="Z478">
        <v>22900</v>
      </c>
      <c r="AA478">
        <v>0</v>
      </c>
      <c r="AB478" t="s">
        <v>54</v>
      </c>
      <c r="AC478" t="s">
        <v>55</v>
      </c>
      <c r="AD478">
        <v>34</v>
      </c>
      <c r="AE478">
        <v>8</v>
      </c>
      <c r="AF478">
        <v>3</v>
      </c>
      <c r="AG478">
        <v>2025</v>
      </c>
      <c r="AH478" s="13">
        <v>600</v>
      </c>
      <c r="AI478" s="13">
        <v>2257.82373046875</v>
      </c>
      <c r="AJ478" s="13">
        <f t="shared" si="56"/>
        <v>1657.82373046875</v>
      </c>
      <c r="AK478" s="14">
        <f t="shared" si="57"/>
        <v>2.76303955078125</v>
      </c>
      <c r="AL478" s="9">
        <v>600</v>
      </c>
      <c r="AM478" s="9">
        <v>1847.612188289715</v>
      </c>
      <c r="AN478" s="9">
        <f t="shared" si="58"/>
        <v>1247.612188289715</v>
      </c>
      <c r="AO478" s="10">
        <f t="shared" si="59"/>
        <v>2.0793536471495249</v>
      </c>
      <c r="AP478" s="16">
        <v>600</v>
      </c>
      <c r="AQ478" s="16">
        <v>1398.033321002448</v>
      </c>
      <c r="AR478" s="16">
        <f t="shared" si="60"/>
        <v>798.03332100244802</v>
      </c>
      <c r="AS478" s="17">
        <f t="shared" si="61"/>
        <v>1.3300555350040801</v>
      </c>
      <c r="AT478" s="6">
        <v>600</v>
      </c>
      <c r="AU478" s="6">
        <v>1678.7001953125</v>
      </c>
      <c r="AV478" s="6">
        <f t="shared" si="62"/>
        <v>1078.7001953125</v>
      </c>
      <c r="AW478" s="7">
        <f t="shared" si="63"/>
        <v>1.7978336588541666</v>
      </c>
    </row>
    <row r="479" spans="1:49" x14ac:dyDescent="0.25">
      <c r="A479" t="s">
        <v>69</v>
      </c>
      <c r="B479" t="s">
        <v>70</v>
      </c>
      <c r="C479">
        <v>104695</v>
      </c>
      <c r="D479">
        <v>2018</v>
      </c>
      <c r="E479" t="s">
        <v>113</v>
      </c>
      <c r="F479" t="s">
        <v>114</v>
      </c>
      <c r="G479" t="s">
        <v>482</v>
      </c>
      <c r="I479">
        <v>8</v>
      </c>
      <c r="J479" t="s">
        <v>74</v>
      </c>
      <c r="K479">
        <v>4</v>
      </c>
      <c r="L479" t="s">
        <v>44</v>
      </c>
      <c r="M479">
        <v>5.7</v>
      </c>
      <c r="N479" t="s">
        <v>116</v>
      </c>
      <c r="O479" t="s">
        <v>46</v>
      </c>
      <c r="P479">
        <v>4</v>
      </c>
      <c r="Q479" t="s">
        <v>84</v>
      </c>
      <c r="R479" t="s">
        <v>85</v>
      </c>
      <c r="S479" t="s">
        <v>117</v>
      </c>
      <c r="T479">
        <v>370</v>
      </c>
      <c r="U479" t="s">
        <v>50</v>
      </c>
      <c r="V479" t="s">
        <v>64</v>
      </c>
      <c r="X479" t="s">
        <v>87</v>
      </c>
      <c r="Y479" t="s">
        <v>88</v>
      </c>
      <c r="Z479">
        <v>35495</v>
      </c>
      <c r="AA479">
        <v>0</v>
      </c>
      <c r="AB479" t="s">
        <v>54</v>
      </c>
      <c r="AC479" t="s">
        <v>89</v>
      </c>
      <c r="AD479">
        <v>34</v>
      </c>
      <c r="AE479">
        <v>8</v>
      </c>
      <c r="AF479">
        <v>3</v>
      </c>
      <c r="AG479">
        <v>2025</v>
      </c>
      <c r="AH479" s="13">
        <v>15000</v>
      </c>
      <c r="AI479" s="13">
        <v>13626.5244140625</v>
      </c>
      <c r="AJ479" s="13">
        <f t="shared" si="56"/>
        <v>1373.4755859375</v>
      </c>
      <c r="AK479" s="14">
        <f t="shared" si="57"/>
        <v>9.1565039062500006E-2</v>
      </c>
      <c r="AL479" s="9">
        <v>15000</v>
      </c>
      <c r="AM479" s="9">
        <v>15351.291698700539</v>
      </c>
      <c r="AN479" s="9">
        <f t="shared" si="58"/>
        <v>351.2916987005392</v>
      </c>
      <c r="AO479" s="10">
        <f t="shared" si="59"/>
        <v>2.3419446580035946E-2</v>
      </c>
      <c r="AP479" s="16">
        <v>15000</v>
      </c>
      <c r="AQ479" s="16">
        <v>13915.57753698866</v>
      </c>
      <c r="AR479" s="16">
        <f t="shared" si="60"/>
        <v>1084.4224630113404</v>
      </c>
      <c r="AS479" s="17">
        <f t="shared" si="61"/>
        <v>7.2294830867422694E-2</v>
      </c>
      <c r="AT479" s="6">
        <v>15000</v>
      </c>
      <c r="AU479" s="6">
        <v>15283.8125</v>
      </c>
      <c r="AV479" s="6">
        <f t="shared" si="62"/>
        <v>283.8125</v>
      </c>
      <c r="AW479" s="7">
        <f t="shared" si="63"/>
        <v>1.8920833333333335E-2</v>
      </c>
    </row>
    <row r="480" spans="1:49" x14ac:dyDescent="0.25">
      <c r="A480" t="s">
        <v>56</v>
      </c>
      <c r="B480" t="s">
        <v>178</v>
      </c>
      <c r="C480">
        <v>119815</v>
      </c>
      <c r="D480">
        <v>2013</v>
      </c>
      <c r="E480" t="s">
        <v>113</v>
      </c>
      <c r="F480" t="s">
        <v>859</v>
      </c>
      <c r="G480" t="s">
        <v>476</v>
      </c>
      <c r="I480">
        <v>6</v>
      </c>
      <c r="J480" t="s">
        <v>82</v>
      </c>
      <c r="K480">
        <v>4</v>
      </c>
      <c r="L480" t="s">
        <v>44</v>
      </c>
      <c r="M480">
        <v>3.6</v>
      </c>
      <c r="N480" t="s">
        <v>45</v>
      </c>
      <c r="O480" t="s">
        <v>46</v>
      </c>
      <c r="P480">
        <v>3</v>
      </c>
      <c r="Q480" t="s">
        <v>47</v>
      </c>
      <c r="R480" t="s">
        <v>365</v>
      </c>
      <c r="S480" t="s">
        <v>102</v>
      </c>
      <c r="T480">
        <v>283</v>
      </c>
      <c r="U480" t="s">
        <v>50</v>
      </c>
      <c r="X480" t="s">
        <v>66</v>
      </c>
      <c r="Y480" t="s">
        <v>88</v>
      </c>
      <c r="AA480">
        <v>0</v>
      </c>
      <c r="AB480" t="s">
        <v>54</v>
      </c>
      <c r="AC480" t="s">
        <v>365</v>
      </c>
      <c r="AD480">
        <v>34</v>
      </c>
      <c r="AE480">
        <v>8</v>
      </c>
      <c r="AF480">
        <v>3</v>
      </c>
      <c r="AG480">
        <v>2025</v>
      </c>
      <c r="AH480" s="13">
        <v>4800</v>
      </c>
      <c r="AI480" s="13">
        <v>3123.720458984375</v>
      </c>
      <c r="AJ480" s="13">
        <f t="shared" si="56"/>
        <v>1676.279541015625</v>
      </c>
      <c r="AK480" s="14">
        <f t="shared" si="57"/>
        <v>0.34922490437825521</v>
      </c>
      <c r="AL480" s="9">
        <v>4800</v>
      </c>
      <c r="AM480" s="9">
        <v>2692.7569100490318</v>
      </c>
      <c r="AN480" s="9">
        <f t="shared" si="58"/>
        <v>2107.2430899509682</v>
      </c>
      <c r="AO480" s="10">
        <f t="shared" si="59"/>
        <v>0.43900897707311837</v>
      </c>
      <c r="AP480" s="16">
        <v>4800</v>
      </c>
      <c r="AQ480" s="16">
        <v>2225.6525064099151</v>
      </c>
      <c r="AR480" s="16">
        <f t="shared" si="60"/>
        <v>2574.3474935900849</v>
      </c>
      <c r="AS480" s="17">
        <f t="shared" si="61"/>
        <v>0.5363223944979344</v>
      </c>
      <c r="AT480" s="6">
        <v>4800</v>
      </c>
      <c r="AU480" s="6">
        <v>2672.813720703125</v>
      </c>
      <c r="AV480" s="6">
        <f t="shared" si="62"/>
        <v>2127.186279296875</v>
      </c>
      <c r="AW480" s="7">
        <f t="shared" si="63"/>
        <v>0.44316380818684897</v>
      </c>
    </row>
    <row r="481" spans="1:49" x14ac:dyDescent="0.25">
      <c r="A481" t="s">
        <v>56</v>
      </c>
      <c r="B481" t="s">
        <v>178</v>
      </c>
      <c r="C481">
        <v>35729</v>
      </c>
      <c r="D481">
        <v>2021</v>
      </c>
      <c r="E481" t="s">
        <v>91</v>
      </c>
      <c r="F481" t="s">
        <v>341</v>
      </c>
      <c r="G481" t="s">
        <v>518</v>
      </c>
      <c r="H481" t="s">
        <v>860</v>
      </c>
      <c r="I481">
        <v>4</v>
      </c>
      <c r="J481" t="s">
        <v>43</v>
      </c>
      <c r="K481">
        <v>4</v>
      </c>
      <c r="L481" t="s">
        <v>44</v>
      </c>
      <c r="M481">
        <v>1.8</v>
      </c>
      <c r="N481" t="s">
        <v>45</v>
      </c>
      <c r="O481" t="s">
        <v>46</v>
      </c>
      <c r="P481">
        <v>4</v>
      </c>
      <c r="Q481" t="s">
        <v>84</v>
      </c>
      <c r="R481" t="s">
        <v>85</v>
      </c>
      <c r="S481" t="s">
        <v>49</v>
      </c>
      <c r="T481">
        <v>139</v>
      </c>
      <c r="U481" t="s">
        <v>50</v>
      </c>
      <c r="V481" t="s">
        <v>95</v>
      </c>
      <c r="W481" t="s">
        <v>861</v>
      </c>
      <c r="X481" t="s">
        <v>87</v>
      </c>
      <c r="Y481" t="s">
        <v>67</v>
      </c>
      <c r="AA481">
        <v>0</v>
      </c>
      <c r="AB481" t="s">
        <v>54</v>
      </c>
      <c r="AC481" t="s">
        <v>89</v>
      </c>
      <c r="AD481">
        <v>34</v>
      </c>
      <c r="AE481">
        <v>8</v>
      </c>
      <c r="AF481">
        <v>3</v>
      </c>
      <c r="AG481">
        <v>2025</v>
      </c>
      <c r="AH481" s="13">
        <v>18000</v>
      </c>
      <c r="AI481" s="13">
        <v>13580.4013671875</v>
      </c>
      <c r="AJ481" s="13">
        <f t="shared" si="56"/>
        <v>4419.5986328125</v>
      </c>
      <c r="AK481" s="14">
        <f t="shared" si="57"/>
        <v>0.24553325737847223</v>
      </c>
      <c r="AL481" s="9">
        <v>18000</v>
      </c>
      <c r="AM481" s="9">
        <v>12961.673134478529</v>
      </c>
      <c r="AN481" s="9">
        <f t="shared" si="58"/>
        <v>5038.3268655214706</v>
      </c>
      <c r="AO481" s="10">
        <f t="shared" si="59"/>
        <v>0.27990704808452616</v>
      </c>
      <c r="AP481" s="16">
        <v>18000</v>
      </c>
      <c r="AQ481" s="16">
        <v>15875.897740839369</v>
      </c>
      <c r="AR481" s="16">
        <f t="shared" si="60"/>
        <v>2124.1022591606306</v>
      </c>
      <c r="AS481" s="17">
        <f t="shared" si="61"/>
        <v>0.11800568106447948</v>
      </c>
      <c r="AT481" s="6">
        <v>18000</v>
      </c>
      <c r="AU481" s="6">
        <v>12749.03125</v>
      </c>
      <c r="AV481" s="6">
        <f t="shared" si="62"/>
        <v>5250.96875</v>
      </c>
      <c r="AW481" s="7">
        <f t="shared" si="63"/>
        <v>0.29172048611111112</v>
      </c>
    </row>
    <row r="482" spans="1:49" x14ac:dyDescent="0.25">
      <c r="A482" t="s">
        <v>38</v>
      </c>
      <c r="B482" t="s">
        <v>229</v>
      </c>
      <c r="C482">
        <v>153915</v>
      </c>
      <c r="D482">
        <v>2017</v>
      </c>
      <c r="E482" t="s">
        <v>169</v>
      </c>
      <c r="F482" t="s">
        <v>201</v>
      </c>
      <c r="G482" t="s">
        <v>862</v>
      </c>
      <c r="I482">
        <v>4</v>
      </c>
      <c r="J482" t="s">
        <v>43</v>
      </c>
      <c r="K482">
        <v>4</v>
      </c>
      <c r="L482" t="s">
        <v>44</v>
      </c>
      <c r="M482">
        <v>2.5</v>
      </c>
      <c r="N482" t="s">
        <v>44</v>
      </c>
      <c r="O482" t="s">
        <v>46</v>
      </c>
      <c r="Q482" t="s">
        <v>47</v>
      </c>
      <c r="R482" t="s">
        <v>48</v>
      </c>
      <c r="S482" t="s">
        <v>139</v>
      </c>
      <c r="T482">
        <v>175</v>
      </c>
      <c r="U482" t="s">
        <v>50</v>
      </c>
      <c r="W482" t="s">
        <v>340</v>
      </c>
      <c r="X482" t="s">
        <v>52</v>
      </c>
      <c r="Y482" t="s">
        <v>67</v>
      </c>
      <c r="AA482">
        <v>0</v>
      </c>
      <c r="AB482" t="s">
        <v>54</v>
      </c>
      <c r="AC482" t="s">
        <v>55</v>
      </c>
      <c r="AD482">
        <v>34</v>
      </c>
      <c r="AE482">
        <v>8</v>
      </c>
      <c r="AF482">
        <v>3</v>
      </c>
      <c r="AG482">
        <v>2025</v>
      </c>
      <c r="AH482" s="13">
        <v>5100</v>
      </c>
      <c r="AI482" s="13">
        <v>4049.57421875</v>
      </c>
      <c r="AJ482" s="13">
        <f t="shared" si="56"/>
        <v>1050.42578125</v>
      </c>
      <c r="AK482" s="14">
        <f t="shared" si="57"/>
        <v>0.20596583946078431</v>
      </c>
      <c r="AL482" s="9">
        <v>5100</v>
      </c>
      <c r="AM482" s="9">
        <v>3825.7167515045112</v>
      </c>
      <c r="AN482" s="9">
        <f t="shared" si="58"/>
        <v>1274.2832484954888</v>
      </c>
      <c r="AO482" s="10">
        <f t="shared" si="59"/>
        <v>0.24985946048931154</v>
      </c>
      <c r="AP482" s="16">
        <v>5100</v>
      </c>
      <c r="AQ482" s="16">
        <v>5037.7247009057164</v>
      </c>
      <c r="AR482" s="16">
        <f t="shared" si="60"/>
        <v>62.275299094283582</v>
      </c>
      <c r="AS482" s="17">
        <f t="shared" si="61"/>
        <v>1.2210842959663447E-2</v>
      </c>
      <c r="AT482" s="6">
        <v>5100</v>
      </c>
      <c r="AU482" s="6">
        <v>3688.634033203125</v>
      </c>
      <c r="AV482" s="6">
        <f t="shared" si="62"/>
        <v>1411.365966796875</v>
      </c>
      <c r="AW482" s="7">
        <f t="shared" si="63"/>
        <v>0.27673842486213235</v>
      </c>
    </row>
    <row r="483" spans="1:49" x14ac:dyDescent="0.25">
      <c r="A483" t="s">
        <v>38</v>
      </c>
      <c r="B483" t="s">
        <v>90</v>
      </c>
      <c r="C483">
        <v>125002</v>
      </c>
      <c r="D483">
        <v>2014</v>
      </c>
      <c r="E483" t="s">
        <v>269</v>
      </c>
      <c r="F483" t="s">
        <v>863</v>
      </c>
      <c r="G483" t="s">
        <v>864</v>
      </c>
      <c r="H483" t="s">
        <v>783</v>
      </c>
      <c r="I483">
        <v>4</v>
      </c>
      <c r="J483" t="s">
        <v>82</v>
      </c>
      <c r="K483">
        <v>4</v>
      </c>
      <c r="L483" t="s">
        <v>44</v>
      </c>
      <c r="M483">
        <v>2</v>
      </c>
      <c r="N483" t="s">
        <v>116</v>
      </c>
      <c r="O483" t="s">
        <v>46</v>
      </c>
      <c r="P483">
        <v>3</v>
      </c>
      <c r="Q483" t="s">
        <v>84</v>
      </c>
      <c r="R483" t="s">
        <v>85</v>
      </c>
      <c r="T483">
        <v>241</v>
      </c>
      <c r="U483" t="s">
        <v>50</v>
      </c>
      <c r="X483" t="s">
        <v>87</v>
      </c>
      <c r="Y483" t="s">
        <v>244</v>
      </c>
      <c r="AA483">
        <v>0</v>
      </c>
      <c r="AB483" t="s">
        <v>54</v>
      </c>
      <c r="AC483" t="s">
        <v>89</v>
      </c>
      <c r="AD483">
        <v>34</v>
      </c>
      <c r="AE483">
        <v>8</v>
      </c>
      <c r="AF483">
        <v>3</v>
      </c>
      <c r="AG483">
        <v>2025</v>
      </c>
      <c r="AH483" s="13">
        <v>2800</v>
      </c>
      <c r="AI483" s="13">
        <v>3977.598388671875</v>
      </c>
      <c r="AJ483" s="13">
        <f t="shared" si="56"/>
        <v>1177.598388671875</v>
      </c>
      <c r="AK483" s="14">
        <f t="shared" si="57"/>
        <v>0.42057085309709824</v>
      </c>
      <c r="AL483" s="9">
        <v>2800</v>
      </c>
      <c r="AM483" s="9">
        <v>3250.8220818003588</v>
      </c>
      <c r="AN483" s="9">
        <f t="shared" si="58"/>
        <v>450.82208180035877</v>
      </c>
      <c r="AO483" s="10">
        <f t="shared" si="59"/>
        <v>0.16100788635727098</v>
      </c>
      <c r="AP483" s="16">
        <v>2800</v>
      </c>
      <c r="AQ483" s="16">
        <v>3018.3872249957471</v>
      </c>
      <c r="AR483" s="16">
        <f t="shared" si="60"/>
        <v>218.38722499574715</v>
      </c>
      <c r="AS483" s="17">
        <f t="shared" si="61"/>
        <v>7.7995437498481118E-2</v>
      </c>
      <c r="AT483" s="6">
        <v>2800</v>
      </c>
      <c r="AU483" s="6">
        <v>3422.485107421875</v>
      </c>
      <c r="AV483" s="6">
        <f t="shared" si="62"/>
        <v>622.485107421875</v>
      </c>
      <c r="AW483" s="7">
        <f t="shared" si="63"/>
        <v>0.22231610979352678</v>
      </c>
    </row>
    <row r="484" spans="1:49" x14ac:dyDescent="0.25">
      <c r="A484" t="s">
        <v>56</v>
      </c>
      <c r="B484" t="s">
        <v>196</v>
      </c>
      <c r="C484">
        <v>77604</v>
      </c>
      <c r="D484">
        <v>2019</v>
      </c>
      <c r="E484" t="s">
        <v>173</v>
      </c>
      <c r="F484" t="s">
        <v>631</v>
      </c>
      <c r="G484" t="s">
        <v>865</v>
      </c>
      <c r="I484">
        <v>4</v>
      </c>
      <c r="J484" t="s">
        <v>43</v>
      </c>
      <c r="K484">
        <v>4</v>
      </c>
      <c r="L484" t="s">
        <v>44</v>
      </c>
      <c r="M484">
        <v>2.4</v>
      </c>
      <c r="N484" t="s">
        <v>62</v>
      </c>
      <c r="O484" t="s">
        <v>46</v>
      </c>
      <c r="Q484" t="s">
        <v>47</v>
      </c>
      <c r="R484" t="s">
        <v>48</v>
      </c>
      <c r="S484" t="s">
        <v>63</v>
      </c>
      <c r="T484">
        <v>180</v>
      </c>
      <c r="U484" t="s">
        <v>50</v>
      </c>
      <c r="V484" t="s">
        <v>95</v>
      </c>
      <c r="X484" t="s">
        <v>52</v>
      </c>
      <c r="Y484" t="s">
        <v>106</v>
      </c>
      <c r="AA484">
        <v>0</v>
      </c>
      <c r="AB484" t="s">
        <v>54</v>
      </c>
      <c r="AC484" t="s">
        <v>55</v>
      </c>
      <c r="AD484">
        <v>34</v>
      </c>
      <c r="AE484">
        <v>8</v>
      </c>
      <c r="AF484">
        <v>3</v>
      </c>
      <c r="AG484">
        <v>2025</v>
      </c>
      <c r="AH484" s="13">
        <v>8000</v>
      </c>
      <c r="AI484" s="13">
        <v>13011.8037109375</v>
      </c>
      <c r="AJ484" s="13">
        <f t="shared" si="56"/>
        <v>5011.8037109375</v>
      </c>
      <c r="AK484" s="14">
        <f t="shared" si="57"/>
        <v>0.62647546386718755</v>
      </c>
      <c r="AL484" s="9">
        <v>8000</v>
      </c>
      <c r="AM484" s="9">
        <v>12685.127824969881</v>
      </c>
      <c r="AN484" s="9">
        <f t="shared" si="58"/>
        <v>4685.1278249698807</v>
      </c>
      <c r="AO484" s="10">
        <f t="shared" si="59"/>
        <v>0.58564097812123506</v>
      </c>
      <c r="AP484" s="16">
        <v>8000</v>
      </c>
      <c r="AQ484" s="16">
        <v>12247.10658696891</v>
      </c>
      <c r="AR484" s="16">
        <f t="shared" si="60"/>
        <v>4247.1065869689101</v>
      </c>
      <c r="AS484" s="17">
        <f t="shared" si="61"/>
        <v>0.5308883233711138</v>
      </c>
      <c r="AT484" s="6">
        <v>8000</v>
      </c>
      <c r="AU484" s="6">
        <v>11642.2412109375</v>
      </c>
      <c r="AV484" s="6">
        <f t="shared" si="62"/>
        <v>3642.2412109375</v>
      </c>
      <c r="AW484" s="7">
        <f t="shared" si="63"/>
        <v>0.45528015136718752</v>
      </c>
    </row>
    <row r="485" spans="1:49" x14ac:dyDescent="0.25">
      <c r="A485" t="s">
        <v>69</v>
      </c>
      <c r="B485" t="s">
        <v>70</v>
      </c>
      <c r="C485">
        <v>103741</v>
      </c>
      <c r="D485">
        <v>2020</v>
      </c>
      <c r="E485" t="s">
        <v>188</v>
      </c>
      <c r="F485" t="s">
        <v>610</v>
      </c>
      <c r="G485" t="s">
        <v>866</v>
      </c>
      <c r="I485">
        <v>4</v>
      </c>
      <c r="J485" t="s">
        <v>61</v>
      </c>
      <c r="K485">
        <v>4</v>
      </c>
      <c r="L485" t="s">
        <v>44</v>
      </c>
      <c r="M485">
        <v>2</v>
      </c>
      <c r="N485" t="s">
        <v>44</v>
      </c>
      <c r="O485" t="s">
        <v>46</v>
      </c>
      <c r="P485">
        <v>4</v>
      </c>
      <c r="Q485" t="s">
        <v>47</v>
      </c>
      <c r="R485" t="s">
        <v>48</v>
      </c>
      <c r="S485" t="s">
        <v>63</v>
      </c>
      <c r="T485">
        <v>272</v>
      </c>
      <c r="U485" t="s">
        <v>50</v>
      </c>
      <c r="V485" t="s">
        <v>95</v>
      </c>
      <c r="W485" t="s">
        <v>579</v>
      </c>
      <c r="X485" t="s">
        <v>141</v>
      </c>
      <c r="Y485" t="s">
        <v>67</v>
      </c>
      <c r="AA485">
        <v>0</v>
      </c>
      <c r="AB485" t="s">
        <v>54</v>
      </c>
      <c r="AC485" t="s">
        <v>55</v>
      </c>
      <c r="AD485">
        <v>34</v>
      </c>
      <c r="AE485">
        <v>8</v>
      </c>
      <c r="AF485">
        <v>3</v>
      </c>
      <c r="AG485">
        <v>2025</v>
      </c>
      <c r="AH485" s="13">
        <v>17700</v>
      </c>
      <c r="AI485" s="13">
        <v>17844.50390625</v>
      </c>
      <c r="AJ485" s="13">
        <f t="shared" si="56"/>
        <v>144.50390625</v>
      </c>
      <c r="AK485" s="14">
        <f t="shared" si="57"/>
        <v>8.1640624999999994E-3</v>
      </c>
      <c r="AL485" s="9">
        <v>17700</v>
      </c>
      <c r="AM485" s="9">
        <v>16560.87725779376</v>
      </c>
      <c r="AN485" s="9">
        <f t="shared" si="58"/>
        <v>1139.1227422062402</v>
      </c>
      <c r="AO485" s="10">
        <f t="shared" si="59"/>
        <v>6.4357217073798878E-2</v>
      </c>
      <c r="AP485" s="16">
        <v>17700</v>
      </c>
      <c r="AQ485" s="16">
        <v>18766.354200487502</v>
      </c>
      <c r="AR485" s="16">
        <f t="shared" si="60"/>
        <v>1066.3542004875017</v>
      </c>
      <c r="AS485" s="17">
        <f t="shared" si="61"/>
        <v>6.0246000027542469E-2</v>
      </c>
      <c r="AT485" s="6">
        <v>17700</v>
      </c>
      <c r="AU485" s="6">
        <v>16718.818359375</v>
      </c>
      <c r="AV485" s="6">
        <f t="shared" si="62"/>
        <v>981.181640625</v>
      </c>
      <c r="AW485" s="7">
        <f t="shared" si="63"/>
        <v>5.5433990995762711E-2</v>
      </c>
    </row>
    <row r="486" spans="1:49" x14ac:dyDescent="0.25">
      <c r="A486" t="s">
        <v>56</v>
      </c>
      <c r="B486" t="s">
        <v>144</v>
      </c>
      <c r="C486">
        <v>14127</v>
      </c>
      <c r="D486">
        <v>2024</v>
      </c>
      <c r="E486" t="s">
        <v>217</v>
      </c>
      <c r="F486" t="s">
        <v>388</v>
      </c>
      <c r="G486" t="s">
        <v>867</v>
      </c>
      <c r="H486" t="s">
        <v>768</v>
      </c>
      <c r="I486">
        <v>8</v>
      </c>
      <c r="J486" t="s">
        <v>82</v>
      </c>
      <c r="K486">
        <v>4</v>
      </c>
      <c r="L486" t="s">
        <v>44</v>
      </c>
      <c r="M486">
        <v>6.4</v>
      </c>
      <c r="N486" t="s">
        <v>62</v>
      </c>
      <c r="O486" t="s">
        <v>46</v>
      </c>
      <c r="P486">
        <v>5</v>
      </c>
      <c r="Q486" t="s">
        <v>75</v>
      </c>
      <c r="R486" t="s">
        <v>76</v>
      </c>
      <c r="S486" t="s">
        <v>63</v>
      </c>
      <c r="T486">
        <v>410</v>
      </c>
      <c r="U486" t="s">
        <v>50</v>
      </c>
      <c r="V486" t="s">
        <v>64</v>
      </c>
      <c r="X486" t="s">
        <v>390</v>
      </c>
      <c r="Y486" t="s">
        <v>106</v>
      </c>
      <c r="AA486">
        <v>0</v>
      </c>
      <c r="AB486" t="s">
        <v>54</v>
      </c>
      <c r="AC486" t="s">
        <v>78</v>
      </c>
      <c r="AD486">
        <v>34</v>
      </c>
      <c r="AE486">
        <v>8</v>
      </c>
      <c r="AF486">
        <v>3</v>
      </c>
      <c r="AG486">
        <v>2025</v>
      </c>
      <c r="AH486" s="13">
        <v>41000</v>
      </c>
      <c r="AI486" s="13">
        <v>45226.453125</v>
      </c>
      <c r="AJ486" s="13">
        <f t="shared" si="56"/>
        <v>4226.453125</v>
      </c>
      <c r="AK486" s="14">
        <f t="shared" si="57"/>
        <v>0.10308422256097562</v>
      </c>
      <c r="AL486" s="9">
        <v>41000</v>
      </c>
      <c r="AM486" s="9">
        <v>48670.839372519753</v>
      </c>
      <c r="AN486" s="9">
        <f t="shared" si="58"/>
        <v>7670.8393725197529</v>
      </c>
      <c r="AO486" s="10">
        <f t="shared" si="59"/>
        <v>0.18709364323218911</v>
      </c>
      <c r="AP486" s="16">
        <v>41000</v>
      </c>
      <c r="AQ486" s="16">
        <v>57272.159841560329</v>
      </c>
      <c r="AR486" s="16">
        <f t="shared" si="60"/>
        <v>16272.159841560329</v>
      </c>
      <c r="AS486" s="17">
        <f t="shared" si="61"/>
        <v>0.39688194735512999</v>
      </c>
      <c r="AT486" s="6">
        <v>41000</v>
      </c>
      <c r="AU486" s="6">
        <v>45707.28515625</v>
      </c>
      <c r="AV486" s="6">
        <f t="shared" si="62"/>
        <v>4707.28515625</v>
      </c>
      <c r="AW486" s="7">
        <f t="shared" si="63"/>
        <v>0.11481183307926829</v>
      </c>
    </row>
    <row r="487" spans="1:49" x14ac:dyDescent="0.25">
      <c r="A487" t="s">
        <v>69</v>
      </c>
      <c r="B487" t="s">
        <v>223</v>
      </c>
      <c r="C487">
        <v>60047</v>
      </c>
      <c r="D487">
        <v>2021</v>
      </c>
      <c r="E487" t="s">
        <v>136</v>
      </c>
      <c r="F487" t="s">
        <v>868</v>
      </c>
      <c r="G487" t="s">
        <v>42</v>
      </c>
      <c r="I487">
        <v>4</v>
      </c>
      <c r="J487" t="s">
        <v>82</v>
      </c>
      <c r="K487">
        <v>4</v>
      </c>
      <c r="L487" t="s">
        <v>44</v>
      </c>
      <c r="M487">
        <v>2</v>
      </c>
      <c r="N487" t="s">
        <v>45</v>
      </c>
      <c r="O487" t="s">
        <v>46</v>
      </c>
      <c r="Q487" t="s">
        <v>84</v>
      </c>
      <c r="R487" t="s">
        <v>85</v>
      </c>
      <c r="S487" t="s">
        <v>102</v>
      </c>
      <c r="T487">
        <v>174</v>
      </c>
      <c r="U487" t="s">
        <v>50</v>
      </c>
      <c r="X487" t="s">
        <v>87</v>
      </c>
      <c r="Y487" t="s">
        <v>67</v>
      </c>
      <c r="AA487">
        <v>0</v>
      </c>
      <c r="AB487" t="s">
        <v>54</v>
      </c>
      <c r="AC487" t="s">
        <v>89</v>
      </c>
      <c r="AD487">
        <v>34</v>
      </c>
      <c r="AE487">
        <v>8</v>
      </c>
      <c r="AF487">
        <v>3</v>
      </c>
      <c r="AG487">
        <v>2025</v>
      </c>
      <c r="AH487" s="13">
        <v>7500</v>
      </c>
      <c r="AI487" s="13">
        <v>10774.80859375</v>
      </c>
      <c r="AJ487" s="13">
        <f t="shared" si="56"/>
        <v>3274.80859375</v>
      </c>
      <c r="AK487" s="14">
        <f t="shared" si="57"/>
        <v>0.43664114583333336</v>
      </c>
      <c r="AL487" s="9">
        <v>7500</v>
      </c>
      <c r="AM487" s="9">
        <v>9454.093693814355</v>
      </c>
      <c r="AN487" s="9">
        <f t="shared" si="58"/>
        <v>1954.093693814355</v>
      </c>
      <c r="AO487" s="10">
        <f t="shared" si="59"/>
        <v>0.26054582584191399</v>
      </c>
      <c r="AP487" s="16">
        <v>7500</v>
      </c>
      <c r="AQ487" s="16">
        <v>9944.1722872017417</v>
      </c>
      <c r="AR487" s="16">
        <f t="shared" si="60"/>
        <v>2444.1722872017417</v>
      </c>
      <c r="AS487" s="17">
        <f t="shared" si="61"/>
        <v>0.32588963829356554</v>
      </c>
      <c r="AT487" s="6">
        <v>7500</v>
      </c>
      <c r="AU487" s="6">
        <v>10660.5771484375</v>
      </c>
      <c r="AV487" s="6">
        <f t="shared" si="62"/>
        <v>3160.5771484375</v>
      </c>
      <c r="AW487" s="7">
        <f t="shared" si="63"/>
        <v>0.42141028645833334</v>
      </c>
    </row>
    <row r="488" spans="1:49" x14ac:dyDescent="0.25">
      <c r="A488" t="s">
        <v>56</v>
      </c>
      <c r="B488" t="s">
        <v>57</v>
      </c>
      <c r="C488">
        <v>51019</v>
      </c>
      <c r="D488">
        <v>2024</v>
      </c>
      <c r="E488" t="s">
        <v>71</v>
      </c>
      <c r="F488" t="s">
        <v>199</v>
      </c>
      <c r="G488" t="s">
        <v>332</v>
      </c>
      <c r="I488">
        <v>3</v>
      </c>
      <c r="J488" t="s">
        <v>74</v>
      </c>
      <c r="K488">
        <v>4</v>
      </c>
      <c r="L488" t="s">
        <v>44</v>
      </c>
      <c r="M488">
        <v>1.5</v>
      </c>
      <c r="N488" t="s">
        <v>44</v>
      </c>
      <c r="O488" t="s">
        <v>46</v>
      </c>
      <c r="P488">
        <v>4</v>
      </c>
      <c r="Q488" t="s">
        <v>47</v>
      </c>
      <c r="R488" t="s">
        <v>48</v>
      </c>
      <c r="S488" t="s">
        <v>63</v>
      </c>
      <c r="U488" t="s">
        <v>50</v>
      </c>
      <c r="X488" t="s">
        <v>52</v>
      </c>
      <c r="Y488" t="s">
        <v>67</v>
      </c>
      <c r="AA488">
        <v>0</v>
      </c>
      <c r="AB488" t="s">
        <v>54</v>
      </c>
      <c r="AC488" t="s">
        <v>55</v>
      </c>
      <c r="AD488">
        <v>34</v>
      </c>
      <c r="AE488">
        <v>8</v>
      </c>
      <c r="AF488">
        <v>3</v>
      </c>
      <c r="AG488">
        <v>2025</v>
      </c>
      <c r="AH488" s="13">
        <v>19000</v>
      </c>
      <c r="AI488" s="13">
        <v>18556.361328125</v>
      </c>
      <c r="AJ488" s="13">
        <f t="shared" si="56"/>
        <v>443.638671875</v>
      </c>
      <c r="AK488" s="14">
        <f t="shared" si="57"/>
        <v>2.3349403782894736E-2</v>
      </c>
      <c r="AL488" s="9">
        <v>19000</v>
      </c>
      <c r="AM488" s="9">
        <v>17103.96831249927</v>
      </c>
      <c r="AN488" s="9">
        <f t="shared" si="58"/>
        <v>1896.0316875007302</v>
      </c>
      <c r="AO488" s="10">
        <f t="shared" si="59"/>
        <v>9.9791141447406848E-2</v>
      </c>
      <c r="AP488" s="16">
        <v>19000</v>
      </c>
      <c r="AQ488" s="16">
        <v>18574.23273104291</v>
      </c>
      <c r="AR488" s="16">
        <f t="shared" si="60"/>
        <v>425.76726895708998</v>
      </c>
      <c r="AS488" s="17">
        <f t="shared" si="61"/>
        <v>2.2408803629320524E-2</v>
      </c>
      <c r="AT488" s="6">
        <v>19000</v>
      </c>
      <c r="AU488" s="6">
        <v>16994.28515625</v>
      </c>
      <c r="AV488" s="6">
        <f t="shared" si="62"/>
        <v>2005.71484375</v>
      </c>
      <c r="AW488" s="7">
        <f t="shared" si="63"/>
        <v>0.10556393914473684</v>
      </c>
    </row>
    <row r="489" spans="1:49" x14ac:dyDescent="0.25">
      <c r="A489" t="s">
        <v>69</v>
      </c>
      <c r="B489" t="s">
        <v>160</v>
      </c>
      <c r="C489">
        <v>101996</v>
      </c>
      <c r="D489">
        <v>2019</v>
      </c>
      <c r="E489" t="s">
        <v>145</v>
      </c>
      <c r="F489" t="s">
        <v>307</v>
      </c>
      <c r="G489" t="s">
        <v>236</v>
      </c>
      <c r="I489">
        <v>4</v>
      </c>
      <c r="J489" t="s">
        <v>74</v>
      </c>
      <c r="K489">
        <v>4</v>
      </c>
      <c r="L489" t="s">
        <v>44</v>
      </c>
      <c r="M489">
        <v>1.5</v>
      </c>
      <c r="N489" t="s">
        <v>45</v>
      </c>
      <c r="O489" t="s">
        <v>46</v>
      </c>
      <c r="P489">
        <v>3</v>
      </c>
      <c r="Q489" t="s">
        <v>84</v>
      </c>
      <c r="R489" t="s">
        <v>85</v>
      </c>
      <c r="S489" t="s">
        <v>49</v>
      </c>
      <c r="T489">
        <v>192</v>
      </c>
      <c r="U489" t="s">
        <v>50</v>
      </c>
      <c r="V489" t="s">
        <v>95</v>
      </c>
      <c r="W489" t="s">
        <v>678</v>
      </c>
      <c r="X489" t="s">
        <v>52</v>
      </c>
      <c r="Y489" t="s">
        <v>67</v>
      </c>
      <c r="Z489">
        <v>26180</v>
      </c>
      <c r="AA489">
        <v>0</v>
      </c>
      <c r="AB489" t="s">
        <v>54</v>
      </c>
      <c r="AC489" t="s">
        <v>89</v>
      </c>
      <c r="AD489">
        <v>34</v>
      </c>
      <c r="AE489">
        <v>8</v>
      </c>
      <c r="AF489">
        <v>3</v>
      </c>
      <c r="AG489">
        <v>2025</v>
      </c>
      <c r="AH489" s="13">
        <v>11100</v>
      </c>
      <c r="AI489" s="13">
        <v>13538.1005859375</v>
      </c>
      <c r="AJ489" s="13">
        <f t="shared" si="56"/>
        <v>2438.1005859375</v>
      </c>
      <c r="AK489" s="14">
        <f t="shared" si="57"/>
        <v>0.21964870143581081</v>
      </c>
      <c r="AL489" s="9">
        <v>11100</v>
      </c>
      <c r="AM489" s="9">
        <v>12766.01834576373</v>
      </c>
      <c r="AN489" s="9">
        <f t="shared" si="58"/>
        <v>1666.0183457637304</v>
      </c>
      <c r="AO489" s="10">
        <f t="shared" si="59"/>
        <v>0.15009174286159732</v>
      </c>
      <c r="AP489" s="16">
        <v>11100</v>
      </c>
      <c r="AQ489" s="16">
        <v>12213.280923535611</v>
      </c>
      <c r="AR489" s="16">
        <f t="shared" si="60"/>
        <v>1113.2809235356108</v>
      </c>
      <c r="AS489" s="17">
        <f t="shared" si="61"/>
        <v>0.10029557869690187</v>
      </c>
      <c r="AT489" s="6">
        <v>11100</v>
      </c>
      <c r="AU489" s="6">
        <v>12276.3935546875</v>
      </c>
      <c r="AV489" s="6">
        <f t="shared" si="62"/>
        <v>1176.3935546875</v>
      </c>
      <c r="AW489" s="7">
        <f t="shared" si="63"/>
        <v>0.10598140132319819</v>
      </c>
    </row>
    <row r="490" spans="1:49" x14ac:dyDescent="0.25">
      <c r="A490" t="s">
        <v>69</v>
      </c>
      <c r="B490" t="s">
        <v>70</v>
      </c>
      <c r="C490">
        <v>45417</v>
      </c>
      <c r="D490">
        <v>2022</v>
      </c>
      <c r="E490" t="s">
        <v>113</v>
      </c>
      <c r="F490" t="s">
        <v>114</v>
      </c>
      <c r="H490" t="s">
        <v>482</v>
      </c>
      <c r="I490">
        <v>8</v>
      </c>
      <c r="J490" t="s">
        <v>94</v>
      </c>
      <c r="K490">
        <v>4</v>
      </c>
      <c r="L490" t="s">
        <v>44</v>
      </c>
      <c r="M490">
        <v>5.7</v>
      </c>
      <c r="N490" t="s">
        <v>116</v>
      </c>
      <c r="O490" t="s">
        <v>46</v>
      </c>
      <c r="P490">
        <v>4</v>
      </c>
      <c r="Q490" t="s">
        <v>84</v>
      </c>
      <c r="R490" t="s">
        <v>85</v>
      </c>
      <c r="S490" t="s">
        <v>117</v>
      </c>
      <c r="T490">
        <v>370</v>
      </c>
      <c r="U490" t="s">
        <v>50</v>
      </c>
      <c r="V490" t="s">
        <v>64</v>
      </c>
      <c r="X490" t="s">
        <v>87</v>
      </c>
      <c r="Y490" t="s">
        <v>88</v>
      </c>
      <c r="AA490">
        <v>0</v>
      </c>
      <c r="AB490" t="s">
        <v>54</v>
      </c>
      <c r="AC490" t="s">
        <v>89</v>
      </c>
      <c r="AD490">
        <v>34</v>
      </c>
      <c r="AE490">
        <v>8</v>
      </c>
      <c r="AF490">
        <v>3</v>
      </c>
      <c r="AG490">
        <v>2025</v>
      </c>
      <c r="AH490" s="13">
        <v>29200</v>
      </c>
      <c r="AI490" s="13">
        <v>27632.806640625</v>
      </c>
      <c r="AJ490" s="13">
        <f t="shared" si="56"/>
        <v>1567.193359375</v>
      </c>
      <c r="AK490" s="14">
        <f t="shared" si="57"/>
        <v>5.3671005458047948E-2</v>
      </c>
      <c r="AL490" s="9">
        <v>29200</v>
      </c>
      <c r="AM490" s="9">
        <v>33749.359867060899</v>
      </c>
      <c r="AN490" s="9">
        <f t="shared" si="58"/>
        <v>4549.359867060899</v>
      </c>
      <c r="AO490" s="10">
        <f t="shared" si="59"/>
        <v>0.15579999544729106</v>
      </c>
      <c r="AP490" s="16">
        <v>29200</v>
      </c>
      <c r="AQ490" s="16">
        <v>27433.86410875466</v>
      </c>
      <c r="AR490" s="16">
        <f t="shared" si="60"/>
        <v>1766.1358912453397</v>
      </c>
      <c r="AS490" s="17">
        <f t="shared" si="61"/>
        <v>6.0484105864566429E-2</v>
      </c>
      <c r="AT490" s="6">
        <v>29200</v>
      </c>
      <c r="AU490" s="6">
        <v>28775.32421875</v>
      </c>
      <c r="AV490" s="6">
        <f t="shared" si="62"/>
        <v>424.67578125</v>
      </c>
      <c r="AW490" s="7">
        <f t="shared" si="63"/>
        <v>1.454369113869863E-2</v>
      </c>
    </row>
    <row r="491" spans="1:49" x14ac:dyDescent="0.25">
      <c r="A491" t="s">
        <v>69</v>
      </c>
      <c r="B491" t="s">
        <v>70</v>
      </c>
      <c r="C491">
        <v>124493</v>
      </c>
      <c r="D491">
        <v>2021</v>
      </c>
      <c r="E491" t="s">
        <v>91</v>
      </c>
      <c r="F491" t="s">
        <v>426</v>
      </c>
      <c r="G491" t="s">
        <v>786</v>
      </c>
      <c r="H491" t="s">
        <v>869</v>
      </c>
      <c r="I491">
        <v>6</v>
      </c>
      <c r="J491" t="s">
        <v>94</v>
      </c>
      <c r="K491">
        <v>4</v>
      </c>
      <c r="L491" t="s">
        <v>44</v>
      </c>
      <c r="M491">
        <v>3.5</v>
      </c>
      <c r="N491" t="s">
        <v>116</v>
      </c>
      <c r="O491" t="s">
        <v>46</v>
      </c>
      <c r="P491">
        <v>4</v>
      </c>
      <c r="Q491" t="s">
        <v>75</v>
      </c>
      <c r="R491" t="s">
        <v>76</v>
      </c>
      <c r="S491" t="s">
        <v>49</v>
      </c>
      <c r="T491">
        <v>278</v>
      </c>
      <c r="U491" t="s">
        <v>50</v>
      </c>
      <c r="V491" t="s">
        <v>64</v>
      </c>
      <c r="W491" t="s">
        <v>228</v>
      </c>
      <c r="X491" t="s">
        <v>141</v>
      </c>
      <c r="Y491" t="s">
        <v>67</v>
      </c>
      <c r="Z491">
        <v>28190</v>
      </c>
      <c r="AA491">
        <v>0</v>
      </c>
      <c r="AB491" t="s">
        <v>54</v>
      </c>
      <c r="AC491" t="s">
        <v>78</v>
      </c>
      <c r="AD491">
        <v>34</v>
      </c>
      <c r="AE491">
        <v>8</v>
      </c>
      <c r="AF491">
        <v>3</v>
      </c>
      <c r="AG491">
        <v>2025</v>
      </c>
      <c r="AH491" s="13">
        <v>19300</v>
      </c>
      <c r="AI491" s="13">
        <v>19515.767578125</v>
      </c>
      <c r="AJ491" s="13">
        <f t="shared" si="56"/>
        <v>215.767578125</v>
      </c>
      <c r="AK491" s="14">
        <f t="shared" si="57"/>
        <v>1.1179667260362694E-2</v>
      </c>
      <c r="AL491" s="9">
        <v>19300</v>
      </c>
      <c r="AM491" s="9">
        <v>20728.96323842038</v>
      </c>
      <c r="AN491" s="9">
        <f t="shared" si="58"/>
        <v>1428.9632384203796</v>
      </c>
      <c r="AO491" s="10">
        <f t="shared" si="59"/>
        <v>7.4039546032144021E-2</v>
      </c>
      <c r="AP491" s="16">
        <v>19300</v>
      </c>
      <c r="AQ491" s="16">
        <v>17323.246090930541</v>
      </c>
      <c r="AR491" s="16">
        <f t="shared" si="60"/>
        <v>1976.753909069459</v>
      </c>
      <c r="AS491" s="17">
        <f t="shared" si="61"/>
        <v>0.10242248233520514</v>
      </c>
      <c r="AT491" s="6">
        <v>19300</v>
      </c>
      <c r="AU491" s="6">
        <v>18604.13671875</v>
      </c>
      <c r="AV491" s="6">
        <f t="shared" si="62"/>
        <v>695.86328125</v>
      </c>
      <c r="AW491" s="7">
        <f t="shared" si="63"/>
        <v>3.6055092292746116E-2</v>
      </c>
    </row>
    <row r="492" spans="1:49" x14ac:dyDescent="0.25">
      <c r="A492" t="s">
        <v>38</v>
      </c>
      <c r="B492" t="s">
        <v>229</v>
      </c>
      <c r="C492">
        <v>43833</v>
      </c>
      <c r="D492">
        <v>2023</v>
      </c>
      <c r="E492" t="s">
        <v>58</v>
      </c>
      <c r="F492" t="s">
        <v>737</v>
      </c>
      <c r="H492" t="s">
        <v>870</v>
      </c>
      <c r="I492">
        <v>4</v>
      </c>
      <c r="J492" t="s">
        <v>43</v>
      </c>
      <c r="K492">
        <v>2</v>
      </c>
      <c r="L492" t="s">
        <v>44</v>
      </c>
      <c r="M492">
        <v>2.2999999999999998</v>
      </c>
      <c r="N492" t="s">
        <v>116</v>
      </c>
      <c r="Q492" t="s">
        <v>84</v>
      </c>
      <c r="R492" t="s">
        <v>683</v>
      </c>
      <c r="S492" t="s">
        <v>117</v>
      </c>
      <c r="U492" t="s">
        <v>50</v>
      </c>
      <c r="V492" t="s">
        <v>95</v>
      </c>
      <c r="W492" t="s">
        <v>804</v>
      </c>
      <c r="X492" t="s">
        <v>87</v>
      </c>
      <c r="Y492" t="s">
        <v>67</v>
      </c>
      <c r="AA492">
        <v>0</v>
      </c>
      <c r="AB492" t="s">
        <v>54</v>
      </c>
      <c r="AC492" t="s">
        <v>684</v>
      </c>
      <c r="AD492">
        <v>34</v>
      </c>
      <c r="AE492">
        <v>8</v>
      </c>
      <c r="AF492">
        <v>3</v>
      </c>
      <c r="AG492">
        <v>2025</v>
      </c>
      <c r="AH492" s="13">
        <v>23250</v>
      </c>
      <c r="AI492" s="13">
        <v>26135.25390625</v>
      </c>
      <c r="AJ492" s="13">
        <f t="shared" si="56"/>
        <v>2885.25390625</v>
      </c>
      <c r="AK492" s="14">
        <f t="shared" si="57"/>
        <v>0.12409694220430108</v>
      </c>
      <c r="AL492" s="9">
        <v>23250</v>
      </c>
      <c r="AM492" s="9">
        <v>22842.442681996999</v>
      </c>
      <c r="AN492" s="9">
        <f t="shared" si="58"/>
        <v>407.55731800300055</v>
      </c>
      <c r="AO492" s="10">
        <f t="shared" si="59"/>
        <v>1.7529347010881744E-2</v>
      </c>
      <c r="AP492" s="16">
        <v>23250</v>
      </c>
      <c r="AQ492" s="16">
        <v>24099.00588796629</v>
      </c>
      <c r="AR492" s="16">
        <f t="shared" si="60"/>
        <v>849.00588796629017</v>
      </c>
      <c r="AS492" s="17">
        <f t="shared" si="61"/>
        <v>3.6516382278120006E-2</v>
      </c>
      <c r="AT492" s="6">
        <v>23250</v>
      </c>
      <c r="AU492" s="6">
        <v>26758.859375</v>
      </c>
      <c r="AV492" s="6">
        <f t="shared" si="62"/>
        <v>3508.859375</v>
      </c>
      <c r="AW492" s="7">
        <f t="shared" si="63"/>
        <v>0.15091868279569892</v>
      </c>
    </row>
    <row r="493" spans="1:49" x14ac:dyDescent="0.25">
      <c r="A493" t="s">
        <v>107</v>
      </c>
      <c r="B493" t="s">
        <v>154</v>
      </c>
      <c r="C493">
        <v>100227</v>
      </c>
      <c r="D493">
        <v>2021</v>
      </c>
      <c r="E493" t="s">
        <v>98</v>
      </c>
      <c r="F493" t="s">
        <v>161</v>
      </c>
      <c r="G493" t="s">
        <v>218</v>
      </c>
      <c r="H493" t="s">
        <v>162</v>
      </c>
      <c r="I493">
        <v>8</v>
      </c>
      <c r="J493" t="s">
        <v>74</v>
      </c>
      <c r="K493">
        <v>4</v>
      </c>
      <c r="L493" t="s">
        <v>44</v>
      </c>
      <c r="M493">
        <v>5.3</v>
      </c>
      <c r="N493" t="s">
        <v>62</v>
      </c>
      <c r="O493" t="s">
        <v>46</v>
      </c>
      <c r="P493">
        <v>3</v>
      </c>
      <c r="Q493" t="s">
        <v>75</v>
      </c>
      <c r="R493" t="s">
        <v>76</v>
      </c>
      <c r="S493" t="s">
        <v>63</v>
      </c>
      <c r="U493" t="s">
        <v>50</v>
      </c>
      <c r="W493" t="s">
        <v>871</v>
      </c>
      <c r="X493" t="s">
        <v>77</v>
      </c>
      <c r="Y493" t="s">
        <v>67</v>
      </c>
      <c r="AA493">
        <v>0</v>
      </c>
      <c r="AB493" t="s">
        <v>54</v>
      </c>
      <c r="AC493" t="s">
        <v>78</v>
      </c>
      <c r="AD493">
        <v>34</v>
      </c>
      <c r="AE493">
        <v>8</v>
      </c>
      <c r="AF493">
        <v>3</v>
      </c>
      <c r="AG493">
        <v>2025</v>
      </c>
      <c r="AH493" s="13">
        <v>25500</v>
      </c>
      <c r="AI493" s="13">
        <v>27904.94921875</v>
      </c>
      <c r="AJ493" s="13">
        <f t="shared" si="56"/>
        <v>2404.94921875</v>
      </c>
      <c r="AK493" s="14">
        <f t="shared" si="57"/>
        <v>9.4311734068627445E-2</v>
      </c>
      <c r="AL493" s="9">
        <v>25500</v>
      </c>
      <c r="AM493" s="9">
        <v>27952.605315134559</v>
      </c>
      <c r="AN493" s="9">
        <f t="shared" si="58"/>
        <v>2452.6053151345586</v>
      </c>
      <c r="AO493" s="10">
        <f t="shared" si="59"/>
        <v>9.6180600593512106E-2</v>
      </c>
      <c r="AP493" s="16">
        <v>25500</v>
      </c>
      <c r="AQ493" s="16">
        <v>30068.10625280366</v>
      </c>
      <c r="AR493" s="16">
        <f t="shared" si="60"/>
        <v>4568.10625280366</v>
      </c>
      <c r="AS493" s="17">
        <f t="shared" si="61"/>
        <v>0.17914142167857491</v>
      </c>
      <c r="AT493" s="6">
        <v>25500</v>
      </c>
      <c r="AU493" s="6">
        <v>28970.859375</v>
      </c>
      <c r="AV493" s="6">
        <f t="shared" si="62"/>
        <v>3470.859375</v>
      </c>
      <c r="AW493" s="7">
        <f t="shared" si="63"/>
        <v>0.13611213235294117</v>
      </c>
    </row>
    <row r="494" spans="1:49" x14ac:dyDescent="0.25">
      <c r="A494" t="s">
        <v>38</v>
      </c>
      <c r="B494" t="s">
        <v>167</v>
      </c>
      <c r="C494">
        <v>272309</v>
      </c>
      <c r="D494">
        <v>2009</v>
      </c>
      <c r="E494" t="s">
        <v>382</v>
      </c>
      <c r="F494" t="s">
        <v>464</v>
      </c>
      <c r="G494" t="s">
        <v>872</v>
      </c>
      <c r="I494">
        <v>6</v>
      </c>
      <c r="J494" t="s">
        <v>43</v>
      </c>
      <c r="K494">
        <v>4</v>
      </c>
      <c r="L494" t="s">
        <v>44</v>
      </c>
      <c r="M494">
        <v>4</v>
      </c>
      <c r="N494" t="s">
        <v>45</v>
      </c>
      <c r="O494" t="s">
        <v>46</v>
      </c>
      <c r="Q494" t="s">
        <v>47</v>
      </c>
      <c r="R494" t="s">
        <v>365</v>
      </c>
      <c r="S494" t="s">
        <v>102</v>
      </c>
      <c r="U494" t="s">
        <v>50</v>
      </c>
      <c r="X494" t="s">
        <v>66</v>
      </c>
      <c r="Y494" t="s">
        <v>88</v>
      </c>
      <c r="AA494">
        <v>0</v>
      </c>
      <c r="AB494" t="s">
        <v>54</v>
      </c>
      <c r="AC494" t="s">
        <v>365</v>
      </c>
      <c r="AD494">
        <v>34</v>
      </c>
      <c r="AE494">
        <v>8</v>
      </c>
      <c r="AF494">
        <v>3</v>
      </c>
      <c r="AG494">
        <v>2025</v>
      </c>
      <c r="AH494" s="13">
        <v>400</v>
      </c>
      <c r="AI494" s="13">
        <v>849.72705078125</v>
      </c>
      <c r="AJ494" s="13">
        <f t="shared" si="56"/>
        <v>449.72705078125</v>
      </c>
      <c r="AK494" s="14">
        <f t="shared" si="57"/>
        <v>1.124317626953125</v>
      </c>
      <c r="AL494" s="9">
        <v>400</v>
      </c>
      <c r="AM494" s="9">
        <v>716.75622564345736</v>
      </c>
      <c r="AN494" s="9">
        <f t="shared" si="58"/>
        <v>316.75622564345736</v>
      </c>
      <c r="AO494" s="10">
        <f t="shared" si="59"/>
        <v>0.79189056410864334</v>
      </c>
      <c r="AP494" s="16">
        <v>400</v>
      </c>
      <c r="AQ494" s="16">
        <v>666.03760404784896</v>
      </c>
      <c r="AR494" s="16">
        <f t="shared" si="60"/>
        <v>266.03760404784896</v>
      </c>
      <c r="AS494" s="17">
        <f t="shared" si="61"/>
        <v>0.66509401011962244</v>
      </c>
      <c r="AT494" s="6">
        <v>400</v>
      </c>
      <c r="AU494" s="6">
        <v>743.17279052734375</v>
      </c>
      <c r="AV494" s="6">
        <f t="shared" si="62"/>
        <v>343.17279052734375</v>
      </c>
      <c r="AW494" s="7">
        <f t="shared" si="63"/>
        <v>0.85793197631835938</v>
      </c>
    </row>
    <row r="495" spans="1:49" x14ac:dyDescent="0.25">
      <c r="A495" t="s">
        <v>69</v>
      </c>
      <c r="B495" t="s">
        <v>70</v>
      </c>
      <c r="C495">
        <v>233026</v>
      </c>
      <c r="D495">
        <v>2008</v>
      </c>
      <c r="E495" t="s">
        <v>79</v>
      </c>
      <c r="F495" t="s">
        <v>286</v>
      </c>
      <c r="G495" t="s">
        <v>873</v>
      </c>
      <c r="I495">
        <v>4</v>
      </c>
      <c r="J495" t="s">
        <v>74</v>
      </c>
      <c r="K495">
        <v>4</v>
      </c>
      <c r="L495" t="s">
        <v>44</v>
      </c>
      <c r="M495">
        <v>2.4</v>
      </c>
      <c r="N495" t="s">
        <v>45</v>
      </c>
      <c r="O495" t="s">
        <v>46</v>
      </c>
      <c r="P495">
        <v>3</v>
      </c>
      <c r="Q495" t="s">
        <v>84</v>
      </c>
      <c r="R495" t="s">
        <v>85</v>
      </c>
      <c r="U495" t="s">
        <v>50</v>
      </c>
      <c r="V495" t="s">
        <v>95</v>
      </c>
      <c r="W495" t="s">
        <v>874</v>
      </c>
      <c r="X495" t="s">
        <v>87</v>
      </c>
      <c r="Y495" t="s">
        <v>67</v>
      </c>
      <c r="AA495">
        <v>0</v>
      </c>
      <c r="AB495" t="s">
        <v>54</v>
      </c>
      <c r="AC495" t="s">
        <v>89</v>
      </c>
      <c r="AD495">
        <v>34</v>
      </c>
      <c r="AE495">
        <v>8</v>
      </c>
      <c r="AF495">
        <v>3</v>
      </c>
      <c r="AG495">
        <v>2025</v>
      </c>
      <c r="AH495" s="13">
        <v>900</v>
      </c>
      <c r="AI495" s="13">
        <v>812.52484130859375</v>
      </c>
      <c r="AJ495" s="13">
        <f t="shared" si="56"/>
        <v>87.47515869140625</v>
      </c>
      <c r="AK495" s="14">
        <f t="shared" si="57"/>
        <v>9.719462076822917E-2</v>
      </c>
      <c r="AL495" s="9">
        <v>900</v>
      </c>
      <c r="AM495" s="9">
        <v>779.26090122056337</v>
      </c>
      <c r="AN495" s="9">
        <f t="shared" si="58"/>
        <v>120.73909877943663</v>
      </c>
      <c r="AO495" s="10">
        <f t="shared" si="59"/>
        <v>0.13415455419937403</v>
      </c>
      <c r="AP495" s="16">
        <v>900</v>
      </c>
      <c r="AQ495" s="16">
        <v>691.06415703483367</v>
      </c>
      <c r="AR495" s="16">
        <f t="shared" si="60"/>
        <v>208.93584296516633</v>
      </c>
      <c r="AS495" s="17">
        <f t="shared" si="61"/>
        <v>0.2321509366279626</v>
      </c>
      <c r="AT495" s="6">
        <v>900</v>
      </c>
      <c r="AU495" s="6">
        <v>698.73193359375</v>
      </c>
      <c r="AV495" s="6">
        <f t="shared" si="62"/>
        <v>201.26806640625</v>
      </c>
      <c r="AW495" s="7">
        <f t="shared" si="63"/>
        <v>0.22363118489583333</v>
      </c>
    </row>
    <row r="496" spans="1:49" x14ac:dyDescent="0.25">
      <c r="A496" t="s">
        <v>38</v>
      </c>
      <c r="B496" t="s">
        <v>167</v>
      </c>
      <c r="C496">
        <v>173613</v>
      </c>
      <c r="D496">
        <v>2015</v>
      </c>
      <c r="E496" t="s">
        <v>79</v>
      </c>
      <c r="F496" t="s">
        <v>286</v>
      </c>
      <c r="G496" t="s">
        <v>287</v>
      </c>
      <c r="I496">
        <v>4</v>
      </c>
      <c r="J496" t="s">
        <v>43</v>
      </c>
      <c r="K496">
        <v>4</v>
      </c>
      <c r="L496" t="s">
        <v>44</v>
      </c>
      <c r="M496">
        <v>2.5</v>
      </c>
      <c r="N496" t="s">
        <v>45</v>
      </c>
      <c r="O496" t="s">
        <v>46</v>
      </c>
      <c r="Q496" t="s">
        <v>84</v>
      </c>
      <c r="R496" t="s">
        <v>85</v>
      </c>
      <c r="U496" t="s">
        <v>50</v>
      </c>
      <c r="V496" t="s">
        <v>95</v>
      </c>
      <c r="W496" t="s">
        <v>875</v>
      </c>
      <c r="X496" t="s">
        <v>87</v>
      </c>
      <c r="Y496" t="s">
        <v>67</v>
      </c>
      <c r="AA496">
        <v>0</v>
      </c>
      <c r="AB496" t="s">
        <v>54</v>
      </c>
      <c r="AC496" t="s">
        <v>89</v>
      </c>
      <c r="AD496">
        <v>34</v>
      </c>
      <c r="AE496">
        <v>8</v>
      </c>
      <c r="AF496">
        <v>3</v>
      </c>
      <c r="AG496">
        <v>2025</v>
      </c>
      <c r="AH496" s="13">
        <v>1700</v>
      </c>
      <c r="AI496" s="13">
        <v>2503.896240234375</v>
      </c>
      <c r="AJ496" s="13">
        <f t="shared" si="56"/>
        <v>803.896240234375</v>
      </c>
      <c r="AK496" s="14">
        <f t="shared" si="57"/>
        <v>0.47288014131433825</v>
      </c>
      <c r="AL496" s="9">
        <v>1700</v>
      </c>
      <c r="AM496" s="9">
        <v>2488.6769511299499</v>
      </c>
      <c r="AN496" s="9">
        <f t="shared" si="58"/>
        <v>788.67695112994988</v>
      </c>
      <c r="AO496" s="10">
        <f t="shared" si="59"/>
        <v>0.46392761831173523</v>
      </c>
      <c r="AP496" s="16">
        <v>1700</v>
      </c>
      <c r="AQ496" s="16">
        <v>1932.670287076779</v>
      </c>
      <c r="AR496" s="16">
        <f t="shared" si="60"/>
        <v>232.670287076779</v>
      </c>
      <c r="AS496" s="17">
        <f t="shared" si="61"/>
        <v>0.13686487475104647</v>
      </c>
      <c r="AT496" s="6">
        <v>1700</v>
      </c>
      <c r="AU496" s="6">
        <v>2338.124755859375</v>
      </c>
      <c r="AV496" s="6">
        <f t="shared" si="62"/>
        <v>638.124755859375</v>
      </c>
      <c r="AW496" s="7">
        <f t="shared" si="63"/>
        <v>0.37536750344669118</v>
      </c>
    </row>
    <row r="497" spans="1:49" x14ac:dyDescent="0.25">
      <c r="A497" t="s">
        <v>38</v>
      </c>
      <c r="B497" t="s">
        <v>289</v>
      </c>
      <c r="C497">
        <v>39728</v>
      </c>
      <c r="D497">
        <v>2024</v>
      </c>
      <c r="E497" t="s">
        <v>224</v>
      </c>
      <c r="F497" t="s">
        <v>876</v>
      </c>
      <c r="G497" t="s">
        <v>877</v>
      </c>
      <c r="H497" t="s">
        <v>878</v>
      </c>
      <c r="I497">
        <v>4</v>
      </c>
      <c r="J497" t="s">
        <v>43</v>
      </c>
      <c r="K497">
        <v>4</v>
      </c>
      <c r="L497" t="s">
        <v>44</v>
      </c>
      <c r="M497">
        <v>2.5</v>
      </c>
      <c r="N497" t="s">
        <v>44</v>
      </c>
      <c r="Q497" t="s">
        <v>47</v>
      </c>
      <c r="R497" t="s">
        <v>48</v>
      </c>
      <c r="S497" t="s">
        <v>63</v>
      </c>
      <c r="T497">
        <v>189</v>
      </c>
      <c r="U497" t="s">
        <v>50</v>
      </c>
      <c r="V497" t="s">
        <v>95</v>
      </c>
      <c r="W497" t="s">
        <v>879</v>
      </c>
      <c r="X497" t="s">
        <v>141</v>
      </c>
      <c r="Y497" t="s">
        <v>97</v>
      </c>
      <c r="AA497">
        <v>1</v>
      </c>
      <c r="AB497" t="s">
        <v>130</v>
      </c>
      <c r="AC497" t="s">
        <v>149</v>
      </c>
      <c r="AD497">
        <v>34</v>
      </c>
      <c r="AE497">
        <v>8</v>
      </c>
      <c r="AF497">
        <v>3</v>
      </c>
      <c r="AG497">
        <v>2025</v>
      </c>
      <c r="AH497" s="13">
        <v>45900</v>
      </c>
      <c r="AI497" s="13">
        <v>45445.6171875</v>
      </c>
      <c r="AJ497" s="13">
        <f t="shared" si="56"/>
        <v>454.3828125</v>
      </c>
      <c r="AK497" s="14">
        <f t="shared" si="57"/>
        <v>9.8994076797385613E-3</v>
      </c>
      <c r="AL497" s="9">
        <v>45900</v>
      </c>
      <c r="AM497" s="9">
        <v>45727.0103057456</v>
      </c>
      <c r="AN497" s="9">
        <f t="shared" si="58"/>
        <v>172.98969425440009</v>
      </c>
      <c r="AO497" s="10">
        <f t="shared" si="59"/>
        <v>3.7688386547799586E-3</v>
      </c>
      <c r="AP497" s="16">
        <v>45900</v>
      </c>
      <c r="AQ497" s="16">
        <v>36260.233320297732</v>
      </c>
      <c r="AR497" s="16">
        <f t="shared" si="60"/>
        <v>9639.7666797022684</v>
      </c>
      <c r="AS497" s="17">
        <f t="shared" si="61"/>
        <v>0.21001670326148733</v>
      </c>
      <c r="AT497" s="6">
        <v>45900</v>
      </c>
      <c r="AU497" s="6">
        <v>41582.984375</v>
      </c>
      <c r="AV497" s="6">
        <f t="shared" si="62"/>
        <v>4317.015625</v>
      </c>
      <c r="AW497" s="7">
        <f t="shared" si="63"/>
        <v>9.4052627995642707E-2</v>
      </c>
    </row>
    <row r="498" spans="1:49" x14ac:dyDescent="0.25">
      <c r="A498" t="s">
        <v>107</v>
      </c>
      <c r="B498" t="s">
        <v>256</v>
      </c>
      <c r="C498">
        <v>122703</v>
      </c>
      <c r="D498">
        <v>2017</v>
      </c>
      <c r="E498" t="s">
        <v>58</v>
      </c>
      <c r="F498" t="s">
        <v>59</v>
      </c>
      <c r="G498" t="s">
        <v>120</v>
      </c>
      <c r="I498">
        <v>4</v>
      </c>
      <c r="J498" t="s">
        <v>43</v>
      </c>
      <c r="K498">
        <v>4</v>
      </c>
      <c r="L498" t="s">
        <v>44</v>
      </c>
      <c r="M498">
        <v>2.2999999999999998</v>
      </c>
      <c r="N498" t="s">
        <v>62</v>
      </c>
      <c r="O498" t="s">
        <v>46</v>
      </c>
      <c r="P498">
        <v>4</v>
      </c>
      <c r="Q498" t="s">
        <v>47</v>
      </c>
      <c r="R498" t="s">
        <v>48</v>
      </c>
      <c r="S498" t="s">
        <v>63</v>
      </c>
      <c r="T498">
        <v>280</v>
      </c>
      <c r="U498" t="s">
        <v>50</v>
      </c>
      <c r="V498" t="s">
        <v>95</v>
      </c>
      <c r="W498" t="s">
        <v>445</v>
      </c>
      <c r="X498" t="s">
        <v>66</v>
      </c>
      <c r="Y498" t="s">
        <v>67</v>
      </c>
      <c r="Z498">
        <v>31660</v>
      </c>
      <c r="AA498">
        <v>0</v>
      </c>
      <c r="AB498" t="s">
        <v>54</v>
      </c>
      <c r="AC498" t="s">
        <v>68</v>
      </c>
      <c r="AD498">
        <v>34</v>
      </c>
      <c r="AE498">
        <v>8</v>
      </c>
      <c r="AF498">
        <v>3</v>
      </c>
      <c r="AG498">
        <v>2025</v>
      </c>
      <c r="AH498" s="13">
        <v>7800</v>
      </c>
      <c r="AI498" s="13">
        <v>7223.30419921875</v>
      </c>
      <c r="AJ498" s="13">
        <f t="shared" si="56"/>
        <v>576.69580078125</v>
      </c>
      <c r="AK498" s="14">
        <f t="shared" si="57"/>
        <v>7.393535907451923E-2</v>
      </c>
      <c r="AL498" s="9">
        <v>7800</v>
      </c>
      <c r="AM498" s="9">
        <v>6926.2520224035716</v>
      </c>
      <c r="AN498" s="9">
        <f t="shared" si="58"/>
        <v>873.74797759642843</v>
      </c>
      <c r="AO498" s="10">
        <f t="shared" si="59"/>
        <v>0.11201897148672159</v>
      </c>
      <c r="AP498" s="16">
        <v>7800</v>
      </c>
      <c r="AQ498" s="16">
        <v>7348.4013195830448</v>
      </c>
      <c r="AR498" s="16">
        <f t="shared" si="60"/>
        <v>451.59868041695518</v>
      </c>
      <c r="AS498" s="17">
        <f t="shared" si="61"/>
        <v>5.7897266720122458E-2</v>
      </c>
      <c r="AT498" s="6">
        <v>7800</v>
      </c>
      <c r="AU498" s="6">
        <v>8018.91552734375</v>
      </c>
      <c r="AV498" s="6">
        <f t="shared" si="62"/>
        <v>218.91552734375</v>
      </c>
      <c r="AW498" s="7">
        <f t="shared" si="63"/>
        <v>2.8066093249198718E-2</v>
      </c>
    </row>
    <row r="499" spans="1:49" x14ac:dyDescent="0.25">
      <c r="A499" t="s">
        <v>56</v>
      </c>
      <c r="B499" t="s">
        <v>178</v>
      </c>
      <c r="C499">
        <v>155824</v>
      </c>
      <c r="D499">
        <v>2017</v>
      </c>
      <c r="E499" t="s">
        <v>79</v>
      </c>
      <c r="F499" t="s">
        <v>272</v>
      </c>
      <c r="G499" t="s">
        <v>273</v>
      </c>
      <c r="H499" t="s">
        <v>162</v>
      </c>
      <c r="I499">
        <v>8</v>
      </c>
      <c r="J499" t="s">
        <v>43</v>
      </c>
      <c r="K499">
        <v>4</v>
      </c>
      <c r="L499" t="s">
        <v>44</v>
      </c>
      <c r="M499">
        <v>5.3</v>
      </c>
      <c r="N499" t="s">
        <v>62</v>
      </c>
      <c r="O499" t="s">
        <v>46</v>
      </c>
      <c r="P499">
        <v>3</v>
      </c>
      <c r="Q499" t="s">
        <v>75</v>
      </c>
      <c r="R499" t="s">
        <v>76</v>
      </c>
      <c r="S499" t="s">
        <v>63</v>
      </c>
      <c r="U499" t="s">
        <v>50</v>
      </c>
      <c r="W499" t="s">
        <v>346</v>
      </c>
      <c r="X499" t="s">
        <v>77</v>
      </c>
      <c r="Y499" t="s">
        <v>106</v>
      </c>
      <c r="Z499">
        <v>42905</v>
      </c>
      <c r="AA499">
        <v>0</v>
      </c>
      <c r="AB499" t="s">
        <v>54</v>
      </c>
      <c r="AC499" t="s">
        <v>78</v>
      </c>
      <c r="AD499">
        <v>34</v>
      </c>
      <c r="AE499">
        <v>8</v>
      </c>
      <c r="AF499">
        <v>3</v>
      </c>
      <c r="AG499">
        <v>2025</v>
      </c>
      <c r="AH499" s="13">
        <v>10800</v>
      </c>
      <c r="AI499" s="13">
        <v>13055.9345703125</v>
      </c>
      <c r="AJ499" s="13">
        <f t="shared" si="56"/>
        <v>2255.9345703125</v>
      </c>
      <c r="AK499" s="14">
        <f t="shared" si="57"/>
        <v>0.20888283058449075</v>
      </c>
      <c r="AL499" s="9">
        <v>10800</v>
      </c>
      <c r="AM499" s="9">
        <v>12755.52599102517</v>
      </c>
      <c r="AN499" s="9">
        <f t="shared" si="58"/>
        <v>1955.5259910251698</v>
      </c>
      <c r="AO499" s="10">
        <f t="shared" si="59"/>
        <v>0.18106722139121942</v>
      </c>
      <c r="AP499" s="16">
        <v>10800</v>
      </c>
      <c r="AQ499" s="16">
        <v>10924.904771683679</v>
      </c>
      <c r="AR499" s="16">
        <f t="shared" si="60"/>
        <v>124.90477168367943</v>
      </c>
      <c r="AS499" s="17">
        <f t="shared" si="61"/>
        <v>1.1565256637377725E-2</v>
      </c>
      <c r="AT499" s="6">
        <v>10800</v>
      </c>
      <c r="AU499" s="6">
        <v>13208.59765625</v>
      </c>
      <c r="AV499" s="6">
        <f t="shared" si="62"/>
        <v>2408.59765625</v>
      </c>
      <c r="AW499" s="7">
        <f t="shared" si="63"/>
        <v>0.22301830150462962</v>
      </c>
    </row>
    <row r="500" spans="1:49" x14ac:dyDescent="0.25">
      <c r="A500" t="s">
        <v>38</v>
      </c>
      <c r="B500" t="s">
        <v>132</v>
      </c>
      <c r="C500">
        <v>46457</v>
      </c>
      <c r="D500">
        <v>2024</v>
      </c>
      <c r="E500" t="s">
        <v>71</v>
      </c>
      <c r="F500" t="s">
        <v>238</v>
      </c>
      <c r="G500" t="s">
        <v>332</v>
      </c>
      <c r="I500">
        <v>4</v>
      </c>
      <c r="J500" t="s">
        <v>74</v>
      </c>
      <c r="K500">
        <v>4</v>
      </c>
      <c r="L500" t="s">
        <v>44</v>
      </c>
      <c r="M500">
        <v>2</v>
      </c>
      <c r="N500" t="s">
        <v>45</v>
      </c>
      <c r="O500" t="s">
        <v>46</v>
      </c>
      <c r="P500">
        <v>3</v>
      </c>
      <c r="Q500" t="s">
        <v>84</v>
      </c>
      <c r="R500" t="s">
        <v>85</v>
      </c>
      <c r="S500" t="s">
        <v>49</v>
      </c>
      <c r="U500" t="s">
        <v>50</v>
      </c>
      <c r="X500" t="s">
        <v>122</v>
      </c>
      <c r="Y500" t="s">
        <v>106</v>
      </c>
      <c r="AA500">
        <v>0</v>
      </c>
      <c r="AB500" t="s">
        <v>54</v>
      </c>
      <c r="AC500" t="s">
        <v>89</v>
      </c>
      <c r="AD500">
        <v>34</v>
      </c>
      <c r="AE500">
        <v>8</v>
      </c>
      <c r="AF500">
        <v>3</v>
      </c>
      <c r="AG500">
        <v>2025</v>
      </c>
      <c r="AH500" s="13">
        <v>14900</v>
      </c>
      <c r="AI500" s="13">
        <v>14680.16015625</v>
      </c>
      <c r="AJ500" s="13">
        <f t="shared" si="56"/>
        <v>219.83984375</v>
      </c>
      <c r="AK500" s="14">
        <f t="shared" si="57"/>
        <v>1.4754351929530202E-2</v>
      </c>
      <c r="AL500" s="9">
        <v>14900</v>
      </c>
      <c r="AM500" s="9">
        <v>16505.020186811969</v>
      </c>
      <c r="AN500" s="9">
        <f t="shared" si="58"/>
        <v>1605.0201868119693</v>
      </c>
      <c r="AO500" s="10">
        <f t="shared" si="59"/>
        <v>0.10771947562496438</v>
      </c>
      <c r="AP500" s="16">
        <v>14900</v>
      </c>
      <c r="AQ500" s="16">
        <v>12667.62462904321</v>
      </c>
      <c r="AR500" s="16">
        <f t="shared" si="60"/>
        <v>2232.37537095679</v>
      </c>
      <c r="AS500" s="17">
        <f t="shared" si="61"/>
        <v>0.14982385039978457</v>
      </c>
      <c r="AT500" s="6">
        <v>14900</v>
      </c>
      <c r="AU500" s="6">
        <v>13387.8076171875</v>
      </c>
      <c r="AV500" s="6">
        <f t="shared" si="62"/>
        <v>1512.1923828125</v>
      </c>
      <c r="AW500" s="7">
        <f t="shared" si="63"/>
        <v>0.10148942166526846</v>
      </c>
    </row>
    <row r="501" spans="1:49" x14ac:dyDescent="0.25">
      <c r="A501" t="s">
        <v>56</v>
      </c>
      <c r="B501" t="s">
        <v>303</v>
      </c>
      <c r="C501">
        <v>246403</v>
      </c>
      <c r="D501">
        <v>2011</v>
      </c>
      <c r="E501" t="s">
        <v>91</v>
      </c>
      <c r="F501" t="s">
        <v>341</v>
      </c>
      <c r="H501" t="s">
        <v>342</v>
      </c>
      <c r="I501">
        <v>4</v>
      </c>
      <c r="J501" t="s">
        <v>94</v>
      </c>
      <c r="K501">
        <v>4</v>
      </c>
      <c r="L501" t="s">
        <v>44</v>
      </c>
      <c r="M501">
        <v>1.8</v>
      </c>
      <c r="N501" t="s">
        <v>45</v>
      </c>
      <c r="O501" t="s">
        <v>46</v>
      </c>
      <c r="P501">
        <v>2</v>
      </c>
      <c r="Q501" t="s">
        <v>84</v>
      </c>
      <c r="R501" t="s">
        <v>85</v>
      </c>
      <c r="S501" t="s">
        <v>49</v>
      </c>
      <c r="T501">
        <v>132</v>
      </c>
      <c r="U501" t="s">
        <v>50</v>
      </c>
      <c r="V501" t="s">
        <v>95</v>
      </c>
      <c r="W501" t="s">
        <v>343</v>
      </c>
      <c r="X501" t="s">
        <v>87</v>
      </c>
      <c r="Y501" t="s">
        <v>88</v>
      </c>
      <c r="AA501">
        <v>0</v>
      </c>
      <c r="AB501" t="s">
        <v>54</v>
      </c>
      <c r="AC501" t="s">
        <v>89</v>
      </c>
      <c r="AD501">
        <v>34</v>
      </c>
      <c r="AE501">
        <v>8</v>
      </c>
      <c r="AF501">
        <v>3</v>
      </c>
      <c r="AG501">
        <v>2025</v>
      </c>
      <c r="AH501" s="13">
        <v>1900</v>
      </c>
      <c r="AI501" s="13">
        <v>1219.01611328125</v>
      </c>
      <c r="AJ501" s="13">
        <f t="shared" si="56"/>
        <v>680.98388671875</v>
      </c>
      <c r="AK501" s="14">
        <f t="shared" si="57"/>
        <v>0.35841257195723686</v>
      </c>
      <c r="AL501" s="9">
        <v>1900</v>
      </c>
      <c r="AM501" s="9">
        <v>1076.6224832916389</v>
      </c>
      <c r="AN501" s="9">
        <f t="shared" si="58"/>
        <v>823.3775167083611</v>
      </c>
      <c r="AO501" s="10">
        <f t="shared" si="59"/>
        <v>0.43335658774124269</v>
      </c>
      <c r="AP501" s="16">
        <v>1900</v>
      </c>
      <c r="AQ501" s="16">
        <v>852.99920442992311</v>
      </c>
      <c r="AR501" s="16">
        <f t="shared" si="60"/>
        <v>1047.0007955700769</v>
      </c>
      <c r="AS501" s="17">
        <f t="shared" si="61"/>
        <v>0.55105305030004048</v>
      </c>
      <c r="AT501" s="6">
        <v>1900</v>
      </c>
      <c r="AU501" s="6">
        <v>1121.09375</v>
      </c>
      <c r="AV501" s="6">
        <f t="shared" si="62"/>
        <v>778.90625</v>
      </c>
      <c r="AW501" s="7">
        <f t="shared" si="63"/>
        <v>0.40995065789473684</v>
      </c>
    </row>
    <row r="502" spans="1:49" x14ac:dyDescent="0.25">
      <c r="A502" t="s">
        <v>38</v>
      </c>
      <c r="B502" t="s">
        <v>132</v>
      </c>
      <c r="C502">
        <v>111258</v>
      </c>
      <c r="D502">
        <v>2015</v>
      </c>
      <c r="E502" t="s">
        <v>58</v>
      </c>
      <c r="F502" t="s">
        <v>325</v>
      </c>
      <c r="G502" t="s">
        <v>259</v>
      </c>
      <c r="I502">
        <v>4</v>
      </c>
      <c r="J502" t="s">
        <v>82</v>
      </c>
      <c r="K502">
        <v>4</v>
      </c>
      <c r="L502" t="s">
        <v>44</v>
      </c>
      <c r="M502">
        <v>2</v>
      </c>
      <c r="N502" t="s">
        <v>44</v>
      </c>
      <c r="O502" t="s">
        <v>46</v>
      </c>
      <c r="P502">
        <v>4</v>
      </c>
      <c r="Q502" t="s">
        <v>47</v>
      </c>
      <c r="R502" t="s">
        <v>48</v>
      </c>
      <c r="S502" t="s">
        <v>139</v>
      </c>
      <c r="U502" t="s">
        <v>50</v>
      </c>
      <c r="V502" t="s">
        <v>95</v>
      </c>
      <c r="X502" t="s">
        <v>141</v>
      </c>
      <c r="Y502" t="s">
        <v>88</v>
      </c>
      <c r="AA502">
        <v>0</v>
      </c>
      <c r="AB502" t="s">
        <v>54</v>
      </c>
      <c r="AC502" t="s">
        <v>55</v>
      </c>
      <c r="AD502">
        <v>34</v>
      </c>
      <c r="AE502">
        <v>8</v>
      </c>
      <c r="AF502">
        <v>3</v>
      </c>
      <c r="AG502">
        <v>2025</v>
      </c>
      <c r="AH502" s="13">
        <v>7000</v>
      </c>
      <c r="AI502" s="13">
        <v>6142.87158203125</v>
      </c>
      <c r="AJ502" s="13">
        <f t="shared" si="56"/>
        <v>857.12841796875</v>
      </c>
      <c r="AK502" s="14">
        <f t="shared" si="57"/>
        <v>0.12244691685267857</v>
      </c>
      <c r="AL502" s="9">
        <v>7000</v>
      </c>
      <c r="AM502" s="9">
        <v>7343.0892262628313</v>
      </c>
      <c r="AN502" s="9">
        <f t="shared" si="58"/>
        <v>343.08922626283129</v>
      </c>
      <c r="AO502" s="10">
        <f t="shared" si="59"/>
        <v>4.90127466089759E-2</v>
      </c>
      <c r="AP502" s="16">
        <v>7000</v>
      </c>
      <c r="AQ502" s="16">
        <v>7294.8421799182788</v>
      </c>
      <c r="AR502" s="16">
        <f t="shared" si="60"/>
        <v>294.84217991827882</v>
      </c>
      <c r="AS502" s="17">
        <f t="shared" si="61"/>
        <v>4.2120311416896976E-2</v>
      </c>
      <c r="AT502" s="6">
        <v>7000</v>
      </c>
      <c r="AU502" s="6">
        <v>7776.63232421875</v>
      </c>
      <c r="AV502" s="6">
        <f t="shared" si="62"/>
        <v>776.63232421875</v>
      </c>
      <c r="AW502" s="7">
        <f t="shared" si="63"/>
        <v>0.11094747488839286</v>
      </c>
    </row>
    <row r="503" spans="1:49" x14ac:dyDescent="0.25">
      <c r="A503" t="s">
        <v>38</v>
      </c>
      <c r="B503" t="s">
        <v>118</v>
      </c>
      <c r="C503">
        <v>222617</v>
      </c>
      <c r="D503">
        <v>2010</v>
      </c>
      <c r="E503" t="s">
        <v>58</v>
      </c>
      <c r="F503" t="s">
        <v>168</v>
      </c>
      <c r="G503" t="s">
        <v>763</v>
      </c>
      <c r="H503" t="s">
        <v>521</v>
      </c>
      <c r="I503">
        <v>8</v>
      </c>
      <c r="J503" t="s">
        <v>101</v>
      </c>
      <c r="K503">
        <v>4</v>
      </c>
      <c r="L503" t="s">
        <v>44</v>
      </c>
      <c r="M503">
        <v>5.4</v>
      </c>
      <c r="N503" t="s">
        <v>116</v>
      </c>
      <c r="O503" t="s">
        <v>46</v>
      </c>
      <c r="Q503" t="s">
        <v>75</v>
      </c>
      <c r="R503" t="s">
        <v>76</v>
      </c>
      <c r="S503" t="s">
        <v>49</v>
      </c>
      <c r="T503">
        <v>310</v>
      </c>
      <c r="U503" t="s">
        <v>50</v>
      </c>
      <c r="V503" t="s">
        <v>64</v>
      </c>
      <c r="W503" t="s">
        <v>558</v>
      </c>
      <c r="X503" t="s">
        <v>77</v>
      </c>
      <c r="Y503" t="s">
        <v>67</v>
      </c>
      <c r="AA503">
        <v>0</v>
      </c>
      <c r="AB503" t="s">
        <v>54</v>
      </c>
      <c r="AC503" t="s">
        <v>78</v>
      </c>
      <c r="AD503">
        <v>34</v>
      </c>
      <c r="AE503">
        <v>8</v>
      </c>
      <c r="AF503">
        <v>3</v>
      </c>
      <c r="AG503">
        <v>2025</v>
      </c>
      <c r="AH503" s="13">
        <v>5100</v>
      </c>
      <c r="AI503" s="13">
        <v>3259.65869140625</v>
      </c>
      <c r="AJ503" s="13">
        <f t="shared" si="56"/>
        <v>1840.34130859375</v>
      </c>
      <c r="AK503" s="14">
        <f t="shared" si="57"/>
        <v>0.36085123697916666</v>
      </c>
      <c r="AL503" s="9">
        <v>5100</v>
      </c>
      <c r="AM503" s="9">
        <v>3685.5971803666221</v>
      </c>
      <c r="AN503" s="9">
        <f t="shared" si="58"/>
        <v>1414.4028196333779</v>
      </c>
      <c r="AO503" s="10">
        <f t="shared" si="59"/>
        <v>0.27733388620262311</v>
      </c>
      <c r="AP503" s="16">
        <v>5100</v>
      </c>
      <c r="AQ503" s="16">
        <v>4116.6341844173494</v>
      </c>
      <c r="AR503" s="16">
        <f t="shared" si="60"/>
        <v>983.36581558265061</v>
      </c>
      <c r="AS503" s="17">
        <f t="shared" si="61"/>
        <v>0.19281682658483346</v>
      </c>
      <c r="AT503" s="6">
        <v>5100</v>
      </c>
      <c r="AU503" s="6">
        <v>3992.38916015625</v>
      </c>
      <c r="AV503" s="6">
        <f t="shared" si="62"/>
        <v>1107.61083984375</v>
      </c>
      <c r="AW503" s="7">
        <f t="shared" si="63"/>
        <v>0.21717859604779413</v>
      </c>
    </row>
    <row r="504" spans="1:49" x14ac:dyDescent="0.25">
      <c r="A504" t="s">
        <v>38</v>
      </c>
      <c r="B504" t="s">
        <v>167</v>
      </c>
      <c r="C504">
        <v>265063</v>
      </c>
      <c r="D504">
        <v>2014</v>
      </c>
      <c r="E504" t="s">
        <v>58</v>
      </c>
      <c r="F504" t="s">
        <v>880</v>
      </c>
      <c r="H504" t="s">
        <v>584</v>
      </c>
      <c r="I504">
        <v>8</v>
      </c>
      <c r="J504" t="s">
        <v>43</v>
      </c>
      <c r="K504">
        <v>4</v>
      </c>
      <c r="L504" t="s">
        <v>44</v>
      </c>
      <c r="M504">
        <v>6.2</v>
      </c>
      <c r="N504" t="s">
        <v>62</v>
      </c>
      <c r="O504" t="s">
        <v>46</v>
      </c>
      <c r="Q504" t="s">
        <v>455</v>
      </c>
      <c r="R504" t="s">
        <v>76</v>
      </c>
      <c r="S504" t="s">
        <v>63</v>
      </c>
      <c r="T504">
        <v>383</v>
      </c>
      <c r="U504" t="s">
        <v>50</v>
      </c>
      <c r="V504" t="s">
        <v>64</v>
      </c>
      <c r="X504" t="s">
        <v>301</v>
      </c>
      <c r="Y504" t="s">
        <v>67</v>
      </c>
      <c r="AA504">
        <v>0</v>
      </c>
      <c r="AB504" t="s">
        <v>54</v>
      </c>
      <c r="AC504" t="s">
        <v>302</v>
      </c>
      <c r="AD504">
        <v>34</v>
      </c>
      <c r="AE504">
        <v>8</v>
      </c>
      <c r="AF504">
        <v>3</v>
      </c>
      <c r="AG504">
        <v>2025</v>
      </c>
      <c r="AH504" s="13">
        <v>1200</v>
      </c>
      <c r="AI504" s="13">
        <v>4043.594970703125</v>
      </c>
      <c r="AJ504" s="13">
        <f t="shared" si="56"/>
        <v>2843.594970703125</v>
      </c>
      <c r="AK504" s="14">
        <f t="shared" si="57"/>
        <v>2.3696624755859377</v>
      </c>
      <c r="AL504" s="9">
        <v>1200</v>
      </c>
      <c r="AM504" s="9">
        <v>5021.0709098341522</v>
      </c>
      <c r="AN504" s="9">
        <f t="shared" si="58"/>
        <v>3821.0709098341522</v>
      </c>
      <c r="AO504" s="10">
        <f t="shared" si="59"/>
        <v>3.1842257581951268</v>
      </c>
      <c r="AP504" s="16">
        <v>1200</v>
      </c>
      <c r="AQ504" s="16">
        <v>3201.529076884518</v>
      </c>
      <c r="AR504" s="16">
        <f t="shared" si="60"/>
        <v>2001.529076884518</v>
      </c>
      <c r="AS504" s="17">
        <f t="shared" si="61"/>
        <v>1.6679408974037651</v>
      </c>
      <c r="AT504" s="6">
        <v>1200</v>
      </c>
      <c r="AU504" s="6">
        <v>4583.8447265625</v>
      </c>
      <c r="AV504" s="6">
        <f t="shared" si="62"/>
        <v>3383.8447265625</v>
      </c>
      <c r="AW504" s="7">
        <f t="shared" si="63"/>
        <v>2.8198706054687501</v>
      </c>
    </row>
    <row r="505" spans="1:49" x14ac:dyDescent="0.25">
      <c r="A505" t="s">
        <v>38</v>
      </c>
      <c r="B505" t="s">
        <v>132</v>
      </c>
      <c r="C505">
        <v>103371</v>
      </c>
      <c r="D505">
        <v>2017</v>
      </c>
      <c r="E505" t="s">
        <v>79</v>
      </c>
      <c r="F505" t="s">
        <v>272</v>
      </c>
      <c r="G505" t="s">
        <v>273</v>
      </c>
      <c r="H505" t="s">
        <v>162</v>
      </c>
      <c r="I505">
        <v>8</v>
      </c>
      <c r="J505" t="s">
        <v>43</v>
      </c>
      <c r="K505">
        <v>4</v>
      </c>
      <c r="L505" t="s">
        <v>44</v>
      </c>
      <c r="M505">
        <v>5.3</v>
      </c>
      <c r="N505" t="s">
        <v>62</v>
      </c>
      <c r="O505" t="s">
        <v>46</v>
      </c>
      <c r="P505">
        <v>4</v>
      </c>
      <c r="Q505" t="s">
        <v>75</v>
      </c>
      <c r="R505" t="s">
        <v>76</v>
      </c>
      <c r="S505" t="s">
        <v>63</v>
      </c>
      <c r="U505" t="s">
        <v>50</v>
      </c>
      <c r="W505" t="s">
        <v>346</v>
      </c>
      <c r="X505" t="s">
        <v>77</v>
      </c>
      <c r="Y505" t="s">
        <v>106</v>
      </c>
      <c r="Z505">
        <v>42905</v>
      </c>
      <c r="AA505">
        <v>0</v>
      </c>
      <c r="AB505" t="s">
        <v>54</v>
      </c>
      <c r="AC505" t="s">
        <v>78</v>
      </c>
      <c r="AD505">
        <v>34</v>
      </c>
      <c r="AE505">
        <v>8</v>
      </c>
      <c r="AF505">
        <v>3</v>
      </c>
      <c r="AG505">
        <v>2025</v>
      </c>
      <c r="AH505" s="13">
        <v>15100</v>
      </c>
      <c r="AI505" s="13">
        <v>24441.630859375</v>
      </c>
      <c r="AJ505" s="13">
        <f t="shared" si="56"/>
        <v>9341.630859375</v>
      </c>
      <c r="AK505" s="14">
        <f t="shared" si="57"/>
        <v>0.6186510502897351</v>
      </c>
      <c r="AL505" s="9">
        <v>15100</v>
      </c>
      <c r="AM505" s="9">
        <v>21360.413609481198</v>
      </c>
      <c r="AN505" s="9">
        <f t="shared" si="58"/>
        <v>6260.4136094811984</v>
      </c>
      <c r="AO505" s="10">
        <f t="shared" si="59"/>
        <v>0.41459692778021179</v>
      </c>
      <c r="AP505" s="16">
        <v>15100</v>
      </c>
      <c r="AQ505" s="16">
        <v>21318.903846109231</v>
      </c>
      <c r="AR505" s="16">
        <f t="shared" si="60"/>
        <v>6218.9038461092314</v>
      </c>
      <c r="AS505" s="17">
        <f t="shared" si="61"/>
        <v>0.41184793682842591</v>
      </c>
      <c r="AT505" s="6">
        <v>15100</v>
      </c>
      <c r="AU505" s="6">
        <v>20982.453125</v>
      </c>
      <c r="AV505" s="6">
        <f t="shared" si="62"/>
        <v>5882.453125</v>
      </c>
      <c r="AW505" s="7">
        <f t="shared" si="63"/>
        <v>0.38956643211920527</v>
      </c>
    </row>
    <row r="506" spans="1:49" x14ac:dyDescent="0.25">
      <c r="A506" t="s">
        <v>56</v>
      </c>
      <c r="B506" t="s">
        <v>144</v>
      </c>
      <c r="C506">
        <v>116485</v>
      </c>
      <c r="D506">
        <v>2016</v>
      </c>
      <c r="E506" t="s">
        <v>173</v>
      </c>
      <c r="F506" t="s">
        <v>370</v>
      </c>
      <c r="G506" t="s">
        <v>236</v>
      </c>
      <c r="H506" t="s">
        <v>401</v>
      </c>
      <c r="I506">
        <v>6</v>
      </c>
      <c r="J506" t="s">
        <v>74</v>
      </c>
      <c r="K506">
        <v>2</v>
      </c>
      <c r="L506" t="s">
        <v>44</v>
      </c>
      <c r="M506">
        <v>3.6</v>
      </c>
      <c r="N506" t="s">
        <v>62</v>
      </c>
      <c r="O506" t="s">
        <v>46</v>
      </c>
      <c r="Q506" t="s">
        <v>47</v>
      </c>
      <c r="R506" t="s">
        <v>48</v>
      </c>
      <c r="S506" t="s">
        <v>63</v>
      </c>
      <c r="U506" t="s">
        <v>50</v>
      </c>
      <c r="X506" t="s">
        <v>52</v>
      </c>
      <c r="Y506" t="s">
        <v>67</v>
      </c>
      <c r="AA506">
        <v>0</v>
      </c>
      <c r="AB506" t="s">
        <v>54</v>
      </c>
      <c r="AC506" t="s">
        <v>55</v>
      </c>
      <c r="AD506">
        <v>34</v>
      </c>
      <c r="AE506">
        <v>8</v>
      </c>
      <c r="AF506">
        <v>3</v>
      </c>
      <c r="AG506">
        <v>2025</v>
      </c>
      <c r="AH506" s="13">
        <v>11700</v>
      </c>
      <c r="AI506" s="13">
        <v>11856.4150390625</v>
      </c>
      <c r="AJ506" s="13">
        <f t="shared" si="56"/>
        <v>156.4150390625</v>
      </c>
      <c r="AK506" s="14">
        <f t="shared" si="57"/>
        <v>1.3368806757478632E-2</v>
      </c>
      <c r="AL506" s="9">
        <v>11700</v>
      </c>
      <c r="AM506" s="9">
        <v>11385.130092601359</v>
      </c>
      <c r="AN506" s="9">
        <f t="shared" si="58"/>
        <v>314.86990739864086</v>
      </c>
      <c r="AO506" s="10">
        <f t="shared" si="59"/>
        <v>2.6911957897319733E-2</v>
      </c>
      <c r="AP506" s="16">
        <v>11700</v>
      </c>
      <c r="AQ506" s="16">
        <v>10800.50281967929</v>
      </c>
      <c r="AR506" s="16">
        <f t="shared" si="60"/>
        <v>899.49718032070996</v>
      </c>
      <c r="AS506" s="17">
        <f t="shared" si="61"/>
        <v>7.688010088211196E-2</v>
      </c>
      <c r="AT506" s="6">
        <v>11700</v>
      </c>
      <c r="AU506" s="6">
        <v>8588.716796875</v>
      </c>
      <c r="AV506" s="6">
        <f t="shared" si="62"/>
        <v>3111.283203125</v>
      </c>
      <c r="AW506" s="7">
        <f t="shared" si="63"/>
        <v>0.26592164129273504</v>
      </c>
    </row>
    <row r="507" spans="1:49" x14ac:dyDescent="0.25">
      <c r="A507" t="s">
        <v>69</v>
      </c>
      <c r="B507" t="s">
        <v>70</v>
      </c>
      <c r="C507">
        <v>167974</v>
      </c>
      <c r="D507">
        <v>2018</v>
      </c>
      <c r="E507" t="s">
        <v>173</v>
      </c>
      <c r="F507" t="s">
        <v>461</v>
      </c>
      <c r="G507" t="s">
        <v>463</v>
      </c>
      <c r="H507" t="s">
        <v>462</v>
      </c>
      <c r="I507">
        <v>6</v>
      </c>
      <c r="J507" t="s">
        <v>82</v>
      </c>
      <c r="K507">
        <v>4</v>
      </c>
      <c r="L507" t="s">
        <v>44</v>
      </c>
      <c r="M507">
        <v>3.6</v>
      </c>
      <c r="N507" t="s">
        <v>116</v>
      </c>
      <c r="O507" t="s">
        <v>46</v>
      </c>
      <c r="P507">
        <v>3</v>
      </c>
      <c r="Q507" t="s">
        <v>47</v>
      </c>
      <c r="R507" t="s">
        <v>48</v>
      </c>
      <c r="S507" t="s">
        <v>49</v>
      </c>
      <c r="T507">
        <v>295</v>
      </c>
      <c r="U507" t="s">
        <v>50</v>
      </c>
      <c r="V507" t="s">
        <v>64</v>
      </c>
      <c r="X507" t="s">
        <v>66</v>
      </c>
      <c r="Y507" t="s">
        <v>67</v>
      </c>
      <c r="Z507">
        <v>30895</v>
      </c>
      <c r="AA507">
        <v>0</v>
      </c>
      <c r="AB507" t="s">
        <v>54</v>
      </c>
      <c r="AC507" t="s">
        <v>55</v>
      </c>
      <c r="AD507">
        <v>34</v>
      </c>
      <c r="AE507">
        <v>8</v>
      </c>
      <c r="AF507">
        <v>3</v>
      </c>
      <c r="AG507">
        <v>2025</v>
      </c>
      <c r="AH507" s="13">
        <v>5600</v>
      </c>
      <c r="AI507" s="13">
        <v>6233.19287109375</v>
      </c>
      <c r="AJ507" s="13">
        <f t="shared" si="56"/>
        <v>633.19287109375</v>
      </c>
      <c r="AK507" s="14">
        <f t="shared" si="57"/>
        <v>0.11307015555245535</v>
      </c>
      <c r="AL507" s="9">
        <v>5600</v>
      </c>
      <c r="AM507" s="9">
        <v>6892.3176150886511</v>
      </c>
      <c r="AN507" s="9">
        <f t="shared" si="58"/>
        <v>1292.3176150886511</v>
      </c>
      <c r="AO507" s="10">
        <f t="shared" si="59"/>
        <v>0.23077100269440198</v>
      </c>
      <c r="AP507" s="16">
        <v>5600</v>
      </c>
      <c r="AQ507" s="16">
        <v>4938.2228174008369</v>
      </c>
      <c r="AR507" s="16">
        <f t="shared" si="60"/>
        <v>661.7771825991631</v>
      </c>
      <c r="AS507" s="17">
        <f t="shared" si="61"/>
        <v>0.11817449689270769</v>
      </c>
      <c r="AT507" s="6">
        <v>5600</v>
      </c>
      <c r="AU507" s="6">
        <v>6085.8515625</v>
      </c>
      <c r="AV507" s="6">
        <f t="shared" si="62"/>
        <v>485.8515625</v>
      </c>
      <c r="AW507" s="7">
        <f t="shared" si="63"/>
        <v>8.6759207589285708E-2</v>
      </c>
    </row>
    <row r="508" spans="1:49" x14ac:dyDescent="0.25">
      <c r="A508" t="s">
        <v>107</v>
      </c>
      <c r="B508" t="s">
        <v>614</v>
      </c>
      <c r="C508">
        <v>114462</v>
      </c>
      <c r="D508">
        <v>1998</v>
      </c>
      <c r="E508" t="s">
        <v>113</v>
      </c>
      <c r="F508" t="s">
        <v>708</v>
      </c>
      <c r="G508" t="s">
        <v>162</v>
      </c>
      <c r="I508">
        <v>8</v>
      </c>
      <c r="J508" t="s">
        <v>177</v>
      </c>
      <c r="K508">
        <v>2</v>
      </c>
      <c r="L508" t="s">
        <v>44</v>
      </c>
      <c r="M508">
        <v>5.9</v>
      </c>
      <c r="N508" t="s">
        <v>62</v>
      </c>
      <c r="O508" t="s">
        <v>46</v>
      </c>
      <c r="Q508" t="s">
        <v>75</v>
      </c>
      <c r="R508" t="s">
        <v>76</v>
      </c>
      <c r="S508" t="s">
        <v>63</v>
      </c>
      <c r="U508" t="s">
        <v>50</v>
      </c>
      <c r="V508" t="s">
        <v>64</v>
      </c>
      <c r="X508" t="s">
        <v>66</v>
      </c>
      <c r="Y508" t="s">
        <v>106</v>
      </c>
      <c r="AA508">
        <v>0</v>
      </c>
      <c r="AB508" t="s">
        <v>54</v>
      </c>
      <c r="AC508" t="s">
        <v>78</v>
      </c>
      <c r="AD508">
        <v>34</v>
      </c>
      <c r="AE508">
        <v>8</v>
      </c>
      <c r="AF508">
        <v>3</v>
      </c>
      <c r="AG508">
        <v>2025</v>
      </c>
      <c r="AH508" s="13">
        <v>550</v>
      </c>
      <c r="AI508" s="13">
        <v>872.17266845703125</v>
      </c>
      <c r="AJ508" s="13">
        <f t="shared" si="56"/>
        <v>322.17266845703125</v>
      </c>
      <c r="AK508" s="14">
        <f t="shared" si="57"/>
        <v>0.5857684881036932</v>
      </c>
      <c r="AL508" s="9">
        <v>550</v>
      </c>
      <c r="AM508" s="9">
        <v>1288.8047813701439</v>
      </c>
      <c r="AN508" s="9">
        <f t="shared" si="58"/>
        <v>738.80478137014393</v>
      </c>
      <c r="AO508" s="10">
        <f t="shared" si="59"/>
        <v>1.3432814206729891</v>
      </c>
      <c r="AP508" s="16">
        <v>550</v>
      </c>
      <c r="AQ508" s="16">
        <v>930.00273811201851</v>
      </c>
      <c r="AR508" s="16">
        <f t="shared" si="60"/>
        <v>380.00273811201851</v>
      </c>
      <c r="AS508" s="17">
        <f t="shared" si="61"/>
        <v>0.6909140692945791</v>
      </c>
      <c r="AT508" s="6">
        <v>550</v>
      </c>
      <c r="AU508" s="6">
        <v>1431.714111328125</v>
      </c>
      <c r="AV508" s="6">
        <f t="shared" si="62"/>
        <v>881.714111328125</v>
      </c>
      <c r="AW508" s="7">
        <f t="shared" si="63"/>
        <v>1.6031165660511364</v>
      </c>
    </row>
    <row r="509" spans="1:49" x14ac:dyDescent="0.25">
      <c r="A509" t="s">
        <v>38</v>
      </c>
      <c r="B509" t="s">
        <v>229</v>
      </c>
      <c r="C509">
        <v>123773</v>
      </c>
      <c r="D509">
        <v>2013</v>
      </c>
      <c r="E509" t="s">
        <v>241</v>
      </c>
      <c r="F509" t="s">
        <v>881</v>
      </c>
      <c r="H509" t="s">
        <v>882</v>
      </c>
      <c r="I509">
        <v>6</v>
      </c>
      <c r="J509" t="s">
        <v>82</v>
      </c>
      <c r="K509">
        <v>4</v>
      </c>
      <c r="L509" t="s">
        <v>44</v>
      </c>
      <c r="M509">
        <v>3.5</v>
      </c>
      <c r="N509" t="s">
        <v>116</v>
      </c>
      <c r="O509" t="s">
        <v>46</v>
      </c>
      <c r="P509">
        <v>3</v>
      </c>
      <c r="Q509" t="s">
        <v>47</v>
      </c>
      <c r="R509" t="s">
        <v>48</v>
      </c>
      <c r="U509" t="s">
        <v>50</v>
      </c>
      <c r="V509" t="s">
        <v>64</v>
      </c>
      <c r="X509" t="s">
        <v>141</v>
      </c>
      <c r="Y509" t="s">
        <v>244</v>
      </c>
      <c r="AA509">
        <v>0</v>
      </c>
      <c r="AB509" t="s">
        <v>54</v>
      </c>
      <c r="AC509" t="s">
        <v>55</v>
      </c>
      <c r="AD509">
        <v>34</v>
      </c>
      <c r="AE509">
        <v>8</v>
      </c>
      <c r="AF509">
        <v>3</v>
      </c>
      <c r="AG509">
        <v>2025</v>
      </c>
      <c r="AH509" s="13">
        <v>5300</v>
      </c>
      <c r="AI509" s="13">
        <v>3540.569091796875</v>
      </c>
      <c r="AJ509" s="13">
        <f t="shared" si="56"/>
        <v>1759.430908203125</v>
      </c>
      <c r="AK509" s="14">
        <f t="shared" si="57"/>
        <v>0.33196809588738208</v>
      </c>
      <c r="AL509" s="9">
        <v>5300</v>
      </c>
      <c r="AM509" s="9">
        <v>3739.0457677624131</v>
      </c>
      <c r="AN509" s="9">
        <f t="shared" si="58"/>
        <v>1560.9542322375869</v>
      </c>
      <c r="AO509" s="10">
        <f t="shared" si="59"/>
        <v>0.29451966645992206</v>
      </c>
      <c r="AP509" s="16">
        <v>5300</v>
      </c>
      <c r="AQ509" s="16">
        <v>3131.6227552166461</v>
      </c>
      <c r="AR509" s="16">
        <f t="shared" si="60"/>
        <v>2168.3772447833539</v>
      </c>
      <c r="AS509" s="17">
        <f t="shared" si="61"/>
        <v>0.4091277820345951</v>
      </c>
      <c r="AT509" s="6">
        <v>5300</v>
      </c>
      <c r="AU509" s="6">
        <v>3399.8369140625</v>
      </c>
      <c r="AV509" s="6">
        <f t="shared" si="62"/>
        <v>1900.1630859375</v>
      </c>
      <c r="AW509" s="7">
        <f t="shared" si="63"/>
        <v>0.35852133696933963</v>
      </c>
    </row>
    <row r="510" spans="1:49" x14ac:dyDescent="0.25">
      <c r="A510" t="s">
        <v>56</v>
      </c>
      <c r="B510" t="s">
        <v>303</v>
      </c>
      <c r="C510">
        <v>89389</v>
      </c>
      <c r="D510">
        <v>2015</v>
      </c>
      <c r="E510" t="s">
        <v>124</v>
      </c>
      <c r="F510" t="s">
        <v>125</v>
      </c>
      <c r="G510" t="s">
        <v>883</v>
      </c>
      <c r="I510">
        <v>4</v>
      </c>
      <c r="J510" t="s">
        <v>74</v>
      </c>
      <c r="K510">
        <v>4</v>
      </c>
      <c r="L510" t="s">
        <v>44</v>
      </c>
      <c r="M510">
        <v>1.8</v>
      </c>
      <c r="N510" t="s">
        <v>45</v>
      </c>
      <c r="O510" t="s">
        <v>46</v>
      </c>
      <c r="P510">
        <v>1</v>
      </c>
      <c r="Q510" t="s">
        <v>84</v>
      </c>
      <c r="R510" t="s">
        <v>85</v>
      </c>
      <c r="U510" t="s">
        <v>50</v>
      </c>
      <c r="W510" t="s">
        <v>547</v>
      </c>
      <c r="X510" t="s">
        <v>87</v>
      </c>
      <c r="Y510" t="s">
        <v>53</v>
      </c>
      <c r="AA510">
        <v>0</v>
      </c>
      <c r="AB510" t="s">
        <v>54</v>
      </c>
      <c r="AC510" t="s">
        <v>89</v>
      </c>
      <c r="AD510">
        <v>34</v>
      </c>
      <c r="AE510">
        <v>8</v>
      </c>
      <c r="AF510">
        <v>3</v>
      </c>
      <c r="AG510">
        <v>2025</v>
      </c>
      <c r="AH510" s="13">
        <v>2700</v>
      </c>
      <c r="AI510" s="13">
        <v>2491.33740234375</v>
      </c>
      <c r="AJ510" s="13">
        <f t="shared" si="56"/>
        <v>208.66259765625</v>
      </c>
      <c r="AK510" s="14">
        <f t="shared" si="57"/>
        <v>7.7282443576388887E-2</v>
      </c>
      <c r="AL510" s="9">
        <v>2700</v>
      </c>
      <c r="AM510" s="9">
        <v>2507.5743256484911</v>
      </c>
      <c r="AN510" s="9">
        <f t="shared" si="58"/>
        <v>192.42567435150886</v>
      </c>
      <c r="AO510" s="10">
        <f t="shared" si="59"/>
        <v>7.1268768278336614E-2</v>
      </c>
      <c r="AP510" s="16">
        <v>2700</v>
      </c>
      <c r="AQ510" s="16">
        <v>2120.7703780907409</v>
      </c>
      <c r="AR510" s="16">
        <f t="shared" si="60"/>
        <v>579.22962190925909</v>
      </c>
      <c r="AS510" s="17">
        <f t="shared" si="61"/>
        <v>0.21452948959602189</v>
      </c>
      <c r="AT510" s="6">
        <v>2700</v>
      </c>
      <c r="AU510" s="6">
        <v>2585.372802734375</v>
      </c>
      <c r="AV510" s="6">
        <f t="shared" si="62"/>
        <v>114.627197265625</v>
      </c>
      <c r="AW510" s="7">
        <f t="shared" si="63"/>
        <v>4.2454517505787034E-2</v>
      </c>
    </row>
    <row r="511" spans="1:49" x14ac:dyDescent="0.25">
      <c r="A511" t="s">
        <v>38</v>
      </c>
      <c r="B511" t="s">
        <v>167</v>
      </c>
      <c r="C511">
        <v>56691</v>
      </c>
      <c r="D511">
        <v>2007</v>
      </c>
      <c r="E511" t="s">
        <v>382</v>
      </c>
      <c r="F511" t="s">
        <v>884</v>
      </c>
      <c r="G511" t="s">
        <v>120</v>
      </c>
      <c r="H511" t="s">
        <v>885</v>
      </c>
      <c r="I511">
        <v>6</v>
      </c>
      <c r="J511" t="s">
        <v>82</v>
      </c>
      <c r="K511">
        <v>2</v>
      </c>
      <c r="L511" t="s">
        <v>309</v>
      </c>
      <c r="M511">
        <v>3.2</v>
      </c>
      <c r="N511" t="s">
        <v>116</v>
      </c>
      <c r="O511" t="s">
        <v>46</v>
      </c>
      <c r="P511">
        <v>4</v>
      </c>
      <c r="Q511" t="s">
        <v>84</v>
      </c>
      <c r="R511" t="s">
        <v>251</v>
      </c>
      <c r="S511" t="s">
        <v>117</v>
      </c>
      <c r="U511" t="s">
        <v>50</v>
      </c>
      <c r="V511" t="s">
        <v>64</v>
      </c>
      <c r="X511" t="s">
        <v>87</v>
      </c>
      <c r="Y511" t="s">
        <v>244</v>
      </c>
      <c r="AA511">
        <v>0</v>
      </c>
      <c r="AB511" t="s">
        <v>54</v>
      </c>
      <c r="AC511" t="s">
        <v>251</v>
      </c>
      <c r="AD511">
        <v>34</v>
      </c>
      <c r="AE511">
        <v>8</v>
      </c>
      <c r="AF511">
        <v>3</v>
      </c>
      <c r="AG511">
        <v>2025</v>
      </c>
      <c r="AH511" s="13">
        <v>6700</v>
      </c>
      <c r="AI511" s="13">
        <v>6931.67333984375</v>
      </c>
      <c r="AJ511" s="13">
        <f t="shared" si="56"/>
        <v>231.67333984375</v>
      </c>
      <c r="AK511" s="14">
        <f t="shared" si="57"/>
        <v>3.4578110424440298E-2</v>
      </c>
      <c r="AL511" s="9">
        <v>6700</v>
      </c>
      <c r="AM511" s="9">
        <v>5893.1870201805104</v>
      </c>
      <c r="AN511" s="9">
        <f t="shared" si="58"/>
        <v>806.81297981948956</v>
      </c>
      <c r="AO511" s="10">
        <f t="shared" si="59"/>
        <v>0.12041984773425217</v>
      </c>
      <c r="AP511" s="16">
        <v>6700</v>
      </c>
      <c r="AQ511" s="16">
        <v>5245.125374598505</v>
      </c>
      <c r="AR511" s="16">
        <f t="shared" si="60"/>
        <v>1454.874625401495</v>
      </c>
      <c r="AS511" s="17">
        <f t="shared" si="61"/>
        <v>0.21714546647783509</v>
      </c>
      <c r="AT511" s="6">
        <v>6700</v>
      </c>
      <c r="AU511" s="6">
        <v>9303.142578125</v>
      </c>
      <c r="AV511" s="6">
        <f t="shared" si="62"/>
        <v>2603.142578125</v>
      </c>
      <c r="AW511" s="7">
        <f t="shared" si="63"/>
        <v>0.38852874300373136</v>
      </c>
    </row>
    <row r="512" spans="1:49" x14ac:dyDescent="0.25">
      <c r="A512" t="s">
        <v>56</v>
      </c>
      <c r="B512" t="s">
        <v>303</v>
      </c>
      <c r="C512">
        <v>47172</v>
      </c>
      <c r="D512">
        <v>2016</v>
      </c>
      <c r="E512" t="s">
        <v>124</v>
      </c>
      <c r="F512" t="s">
        <v>886</v>
      </c>
      <c r="G512" t="s">
        <v>887</v>
      </c>
      <c r="I512">
        <v>4</v>
      </c>
      <c r="J512" t="s">
        <v>94</v>
      </c>
      <c r="K512">
        <v>3</v>
      </c>
      <c r="L512" t="s">
        <v>44</v>
      </c>
      <c r="M512">
        <v>1.6</v>
      </c>
      <c r="N512" t="s">
        <v>45</v>
      </c>
      <c r="O512" t="s">
        <v>46</v>
      </c>
      <c r="P512">
        <v>4</v>
      </c>
      <c r="Q512" t="s">
        <v>84</v>
      </c>
      <c r="R512" t="s">
        <v>251</v>
      </c>
      <c r="U512" t="s">
        <v>50</v>
      </c>
      <c r="V512" t="s">
        <v>95</v>
      </c>
      <c r="W512" t="s">
        <v>375</v>
      </c>
      <c r="X512" t="s">
        <v>87</v>
      </c>
      <c r="Y512" t="s">
        <v>53</v>
      </c>
      <c r="AA512">
        <v>0</v>
      </c>
      <c r="AB512" t="s">
        <v>54</v>
      </c>
      <c r="AC512" t="s">
        <v>251</v>
      </c>
      <c r="AD512">
        <v>34</v>
      </c>
      <c r="AE512">
        <v>8</v>
      </c>
      <c r="AF512">
        <v>3</v>
      </c>
      <c r="AG512">
        <v>2025</v>
      </c>
      <c r="AH512" s="13">
        <v>6000</v>
      </c>
      <c r="AI512" s="13">
        <v>9159.7255859375</v>
      </c>
      <c r="AJ512" s="13">
        <f t="shared" si="56"/>
        <v>3159.7255859375</v>
      </c>
      <c r="AK512" s="14">
        <f t="shared" si="57"/>
        <v>0.52662093098958329</v>
      </c>
      <c r="AL512" s="9">
        <v>6000</v>
      </c>
      <c r="AM512" s="9">
        <v>7542.9348564894608</v>
      </c>
      <c r="AN512" s="9">
        <f t="shared" si="58"/>
        <v>1542.9348564894608</v>
      </c>
      <c r="AO512" s="10">
        <f t="shared" si="59"/>
        <v>0.25715580941491012</v>
      </c>
      <c r="AP512" s="16">
        <v>6000</v>
      </c>
      <c r="AQ512" s="16">
        <v>7785.9087640723583</v>
      </c>
      <c r="AR512" s="16">
        <f t="shared" si="60"/>
        <v>1785.9087640723583</v>
      </c>
      <c r="AS512" s="17">
        <f t="shared" si="61"/>
        <v>0.29765146067872639</v>
      </c>
      <c r="AT512" s="6">
        <v>6000</v>
      </c>
      <c r="AU512" s="6">
        <v>7864.583984375</v>
      </c>
      <c r="AV512" s="6">
        <f t="shared" si="62"/>
        <v>1864.583984375</v>
      </c>
      <c r="AW512" s="7">
        <f t="shared" si="63"/>
        <v>0.31076399739583332</v>
      </c>
    </row>
    <row r="513" spans="1:49" x14ac:dyDescent="0.25">
      <c r="A513" t="s">
        <v>56</v>
      </c>
      <c r="B513" t="s">
        <v>104</v>
      </c>
      <c r="C513">
        <v>188950</v>
      </c>
      <c r="D513">
        <v>2011</v>
      </c>
      <c r="E513" t="s">
        <v>169</v>
      </c>
      <c r="F513" t="s">
        <v>201</v>
      </c>
      <c r="G513" t="s">
        <v>232</v>
      </c>
      <c r="I513">
        <v>4</v>
      </c>
      <c r="J513" t="s">
        <v>61</v>
      </c>
      <c r="K513">
        <v>4</v>
      </c>
      <c r="L513" t="s">
        <v>44</v>
      </c>
      <c r="M513">
        <v>2.5</v>
      </c>
      <c r="N513" t="s">
        <v>44</v>
      </c>
      <c r="Q513" t="s">
        <v>47</v>
      </c>
      <c r="R513" t="s">
        <v>48</v>
      </c>
      <c r="S513" t="s">
        <v>139</v>
      </c>
      <c r="W513" t="s">
        <v>888</v>
      </c>
      <c r="X513" t="s">
        <v>52</v>
      </c>
      <c r="Y513" t="s">
        <v>67</v>
      </c>
      <c r="AA513">
        <v>0</v>
      </c>
      <c r="AB513" t="s">
        <v>54</v>
      </c>
      <c r="AC513" t="s">
        <v>55</v>
      </c>
      <c r="AD513">
        <v>34</v>
      </c>
      <c r="AE513">
        <v>8</v>
      </c>
      <c r="AF513">
        <v>3</v>
      </c>
      <c r="AG513">
        <v>2025</v>
      </c>
      <c r="AH513" s="13">
        <v>1600</v>
      </c>
      <c r="AI513" s="13">
        <v>1036.655151367188</v>
      </c>
      <c r="AJ513" s="13">
        <f t="shared" si="56"/>
        <v>563.34484863281205</v>
      </c>
      <c r="AK513" s="14">
        <f t="shared" si="57"/>
        <v>0.35209053039550753</v>
      </c>
      <c r="AL513" s="9">
        <v>1600</v>
      </c>
      <c r="AM513" s="9">
        <v>979.09040422530472</v>
      </c>
      <c r="AN513" s="9">
        <f t="shared" si="58"/>
        <v>620.90959577469528</v>
      </c>
      <c r="AO513" s="10">
        <f t="shared" si="59"/>
        <v>0.38806849735918453</v>
      </c>
      <c r="AP513" s="16">
        <v>1600</v>
      </c>
      <c r="AQ513" s="16">
        <v>1029.5257673560079</v>
      </c>
      <c r="AR513" s="16">
        <f t="shared" si="60"/>
        <v>570.47423264399208</v>
      </c>
      <c r="AS513" s="17">
        <f t="shared" si="61"/>
        <v>0.35654639540249505</v>
      </c>
      <c r="AT513" s="6">
        <v>1600</v>
      </c>
      <c r="AU513" s="6">
        <v>964.7801513671875</v>
      </c>
      <c r="AV513" s="6">
        <f t="shared" si="62"/>
        <v>635.2198486328125</v>
      </c>
      <c r="AW513" s="7">
        <f t="shared" si="63"/>
        <v>0.39701240539550781</v>
      </c>
    </row>
    <row r="514" spans="1:49" x14ac:dyDescent="0.25">
      <c r="A514" t="s">
        <v>56</v>
      </c>
      <c r="B514" t="s">
        <v>144</v>
      </c>
      <c r="C514">
        <v>147963</v>
      </c>
      <c r="D514">
        <v>2005</v>
      </c>
      <c r="E514" t="s">
        <v>91</v>
      </c>
      <c r="F514" t="s">
        <v>650</v>
      </c>
      <c r="G514" t="s">
        <v>786</v>
      </c>
      <c r="H514" t="s">
        <v>889</v>
      </c>
      <c r="I514">
        <v>8</v>
      </c>
      <c r="J514" t="s">
        <v>82</v>
      </c>
      <c r="K514">
        <v>4</v>
      </c>
      <c r="L514" t="s">
        <v>44</v>
      </c>
      <c r="M514">
        <v>4.7</v>
      </c>
      <c r="N514" t="s">
        <v>62</v>
      </c>
      <c r="O514" t="s">
        <v>46</v>
      </c>
      <c r="Q514" t="s">
        <v>75</v>
      </c>
      <c r="R514" t="s">
        <v>76</v>
      </c>
      <c r="S514" t="s">
        <v>63</v>
      </c>
      <c r="T514">
        <v>271</v>
      </c>
      <c r="U514" t="s">
        <v>50</v>
      </c>
      <c r="V514" t="s">
        <v>64</v>
      </c>
      <c r="W514" t="s">
        <v>890</v>
      </c>
      <c r="X514" t="s">
        <v>66</v>
      </c>
      <c r="Y514" t="s">
        <v>67</v>
      </c>
      <c r="AA514">
        <v>0</v>
      </c>
      <c r="AB514" t="s">
        <v>54</v>
      </c>
      <c r="AC514" t="s">
        <v>78</v>
      </c>
      <c r="AD514">
        <v>34</v>
      </c>
      <c r="AE514">
        <v>8</v>
      </c>
      <c r="AF514">
        <v>3</v>
      </c>
      <c r="AG514">
        <v>2025</v>
      </c>
      <c r="AH514" s="13">
        <v>7600</v>
      </c>
      <c r="AI514" s="13">
        <v>5504.177734375</v>
      </c>
      <c r="AJ514" s="13">
        <f t="shared" si="56"/>
        <v>2095.822265625</v>
      </c>
      <c r="AK514" s="14">
        <f t="shared" si="57"/>
        <v>0.27576608758223686</v>
      </c>
      <c r="AL514" s="9">
        <v>7600</v>
      </c>
      <c r="AM514" s="9">
        <v>4113.5442784602828</v>
      </c>
      <c r="AN514" s="9">
        <f t="shared" si="58"/>
        <v>3486.4557215397172</v>
      </c>
      <c r="AO514" s="10">
        <f t="shared" si="59"/>
        <v>0.45874417388680488</v>
      </c>
      <c r="AP514" s="16">
        <v>7600</v>
      </c>
      <c r="AQ514" s="16">
        <v>3205.080441514609</v>
      </c>
      <c r="AR514" s="16">
        <f t="shared" si="60"/>
        <v>4394.9195584853915</v>
      </c>
      <c r="AS514" s="17">
        <f t="shared" si="61"/>
        <v>0.57827888927439364</v>
      </c>
      <c r="AT514" s="6">
        <v>7600</v>
      </c>
      <c r="AU514" s="6">
        <v>4517.42724609375</v>
      </c>
      <c r="AV514" s="6">
        <f t="shared" si="62"/>
        <v>3082.57275390625</v>
      </c>
      <c r="AW514" s="7">
        <f t="shared" si="63"/>
        <v>0.4056016781455592</v>
      </c>
    </row>
    <row r="515" spans="1:49" x14ac:dyDescent="0.25">
      <c r="A515" t="s">
        <v>107</v>
      </c>
      <c r="B515" t="s">
        <v>256</v>
      </c>
      <c r="C515">
        <v>143611</v>
      </c>
      <c r="D515">
        <v>2012</v>
      </c>
      <c r="E515" t="s">
        <v>98</v>
      </c>
      <c r="F515" t="s">
        <v>99</v>
      </c>
      <c r="H515" t="s">
        <v>842</v>
      </c>
      <c r="I515">
        <v>6</v>
      </c>
      <c r="J515" t="s">
        <v>82</v>
      </c>
      <c r="K515">
        <v>4</v>
      </c>
      <c r="L515" t="s">
        <v>44</v>
      </c>
      <c r="M515">
        <v>3.6</v>
      </c>
      <c r="N515" t="s">
        <v>45</v>
      </c>
      <c r="O515" t="s">
        <v>46</v>
      </c>
      <c r="P515">
        <v>3</v>
      </c>
      <c r="Q515" t="s">
        <v>47</v>
      </c>
      <c r="R515" t="s">
        <v>48</v>
      </c>
      <c r="S515" t="s">
        <v>102</v>
      </c>
      <c r="U515" t="s">
        <v>50</v>
      </c>
      <c r="V515" t="s">
        <v>64</v>
      </c>
      <c r="W515" t="s">
        <v>153</v>
      </c>
      <c r="X515" t="s">
        <v>66</v>
      </c>
      <c r="Y515" t="s">
        <v>67</v>
      </c>
      <c r="AA515">
        <v>0</v>
      </c>
      <c r="AB515" t="s">
        <v>54</v>
      </c>
      <c r="AC515" t="s">
        <v>55</v>
      </c>
      <c r="AD515">
        <v>34</v>
      </c>
      <c r="AE515">
        <v>8</v>
      </c>
      <c r="AF515">
        <v>3</v>
      </c>
      <c r="AG515">
        <v>2025</v>
      </c>
      <c r="AH515" s="13">
        <v>600</v>
      </c>
      <c r="AI515" s="13">
        <v>2022.519653320312</v>
      </c>
      <c r="AJ515" s="13">
        <f t="shared" ref="AJ515:AJ578" si="64">ABS(AH515-AI515)</f>
        <v>1422.519653320312</v>
      </c>
      <c r="AK515" s="14">
        <f t="shared" ref="AK515:AK578" si="65">ABS($AH515-AI515)/$AH515</f>
        <v>2.3708660888671869</v>
      </c>
      <c r="AL515" s="9">
        <v>600</v>
      </c>
      <c r="AM515" s="9">
        <v>1776.990991834426</v>
      </c>
      <c r="AN515" s="9">
        <f t="shared" ref="AN515:AN578" si="66">ABS(AL515-AM515)</f>
        <v>1176.990991834426</v>
      </c>
      <c r="AO515" s="10">
        <f t="shared" ref="AO515:AO578" si="67">ABS($AL515-AM515)/$AL515</f>
        <v>1.9616516530573767</v>
      </c>
      <c r="AP515" s="16">
        <v>600</v>
      </c>
      <c r="AQ515" s="16">
        <v>1472.713312096374</v>
      </c>
      <c r="AR515" s="16">
        <f t="shared" ref="AR515:AR578" si="68">ABS(AP515-AQ515)</f>
        <v>872.71331209637401</v>
      </c>
      <c r="AS515" s="17">
        <f t="shared" ref="AS515:AS578" si="69">ABS($AP515-AQ515)/$AP515</f>
        <v>1.45452218682729</v>
      </c>
      <c r="AT515" s="6">
        <v>600</v>
      </c>
      <c r="AU515" s="6">
        <v>1664.6943359375</v>
      </c>
      <c r="AV515" s="6">
        <f t="shared" ref="AV515:AV578" si="70">ABS(AT515-AU515)</f>
        <v>1064.6943359375</v>
      </c>
      <c r="AW515" s="7">
        <f t="shared" ref="AW515:AW578" si="71">ABS($AT515-AU515)/$AT515</f>
        <v>1.7744905598958334</v>
      </c>
    </row>
    <row r="516" spans="1:49" x14ac:dyDescent="0.25">
      <c r="A516" t="s">
        <v>107</v>
      </c>
      <c r="B516" t="s">
        <v>108</v>
      </c>
      <c r="C516">
        <v>128764</v>
      </c>
      <c r="D516">
        <v>2013</v>
      </c>
      <c r="E516" t="s">
        <v>173</v>
      </c>
      <c r="F516" t="s">
        <v>370</v>
      </c>
      <c r="G516" t="s">
        <v>891</v>
      </c>
      <c r="I516">
        <v>6</v>
      </c>
      <c r="J516" t="s">
        <v>94</v>
      </c>
      <c r="K516">
        <v>4</v>
      </c>
      <c r="L516" t="s">
        <v>44</v>
      </c>
      <c r="M516">
        <v>3.6</v>
      </c>
      <c r="N516" t="s">
        <v>62</v>
      </c>
      <c r="O516" t="s">
        <v>46</v>
      </c>
      <c r="P516">
        <v>2</v>
      </c>
      <c r="Q516" t="s">
        <v>47</v>
      </c>
      <c r="R516" t="s">
        <v>48</v>
      </c>
      <c r="S516" t="s">
        <v>63</v>
      </c>
      <c r="T516">
        <v>283</v>
      </c>
      <c r="U516" t="s">
        <v>50</v>
      </c>
      <c r="X516" t="s">
        <v>141</v>
      </c>
      <c r="Y516" t="s">
        <v>67</v>
      </c>
      <c r="AA516">
        <v>0</v>
      </c>
      <c r="AB516" t="s">
        <v>54</v>
      </c>
      <c r="AC516" t="s">
        <v>55</v>
      </c>
      <c r="AD516">
        <v>34</v>
      </c>
      <c r="AE516">
        <v>8</v>
      </c>
      <c r="AF516">
        <v>3</v>
      </c>
      <c r="AG516">
        <v>2025</v>
      </c>
      <c r="AH516" s="13">
        <v>6000</v>
      </c>
      <c r="AI516" s="13">
        <v>6240.4208984375</v>
      </c>
      <c r="AJ516" s="13">
        <f t="shared" si="64"/>
        <v>240.4208984375</v>
      </c>
      <c r="AK516" s="14">
        <f t="shared" si="65"/>
        <v>4.0070149739583331E-2</v>
      </c>
      <c r="AL516" s="9">
        <v>6000</v>
      </c>
      <c r="AM516" s="9">
        <v>8812.5012676311053</v>
      </c>
      <c r="AN516" s="9">
        <f t="shared" si="66"/>
        <v>2812.5012676311053</v>
      </c>
      <c r="AO516" s="10">
        <f t="shared" si="67"/>
        <v>0.4687502112718509</v>
      </c>
      <c r="AP516" s="16">
        <v>6000</v>
      </c>
      <c r="AQ516" s="16">
        <v>7189.637266945866</v>
      </c>
      <c r="AR516" s="16">
        <f t="shared" si="68"/>
        <v>1189.637266945866</v>
      </c>
      <c r="AS516" s="17">
        <f t="shared" si="69"/>
        <v>0.19827287782431099</v>
      </c>
      <c r="AT516" s="6">
        <v>6000</v>
      </c>
      <c r="AU516" s="6">
        <v>5952.22021484375</v>
      </c>
      <c r="AV516" s="6">
        <f t="shared" si="70"/>
        <v>47.77978515625</v>
      </c>
      <c r="AW516" s="7">
        <f t="shared" si="71"/>
        <v>7.9632975260416662E-3</v>
      </c>
    </row>
    <row r="517" spans="1:49" x14ac:dyDescent="0.25">
      <c r="A517" t="s">
        <v>56</v>
      </c>
      <c r="B517" t="s">
        <v>303</v>
      </c>
      <c r="C517">
        <v>147034</v>
      </c>
      <c r="D517">
        <v>2011</v>
      </c>
      <c r="E517" t="s">
        <v>230</v>
      </c>
      <c r="F517" t="s">
        <v>892</v>
      </c>
      <c r="G517" t="s">
        <v>893</v>
      </c>
      <c r="I517">
        <v>8</v>
      </c>
      <c r="J517" t="s">
        <v>82</v>
      </c>
      <c r="K517">
        <v>4</v>
      </c>
      <c r="L517" t="s">
        <v>44</v>
      </c>
      <c r="M517">
        <v>5</v>
      </c>
      <c r="N517" t="s">
        <v>116</v>
      </c>
      <c r="O517" t="s">
        <v>46</v>
      </c>
      <c r="P517">
        <v>3</v>
      </c>
      <c r="Q517" t="s">
        <v>84</v>
      </c>
      <c r="R517" t="s">
        <v>85</v>
      </c>
      <c r="U517" t="s">
        <v>50</v>
      </c>
      <c r="V517" t="s">
        <v>64</v>
      </c>
      <c r="W517" t="s">
        <v>894</v>
      </c>
      <c r="X517" t="s">
        <v>87</v>
      </c>
      <c r="Y517" t="s">
        <v>234</v>
      </c>
      <c r="AA517">
        <v>0</v>
      </c>
      <c r="AB517" t="s">
        <v>54</v>
      </c>
      <c r="AC517" t="s">
        <v>89</v>
      </c>
      <c r="AD517">
        <v>34</v>
      </c>
      <c r="AE517">
        <v>8</v>
      </c>
      <c r="AF517">
        <v>3</v>
      </c>
      <c r="AG517">
        <v>2025</v>
      </c>
      <c r="AH517" s="13">
        <v>1800</v>
      </c>
      <c r="AI517" s="13">
        <v>1873.985961914062</v>
      </c>
      <c r="AJ517" s="13">
        <f t="shared" si="64"/>
        <v>73.985961914062045</v>
      </c>
      <c r="AK517" s="14">
        <f t="shared" si="65"/>
        <v>4.1103312174478913E-2</v>
      </c>
      <c r="AL517" s="9">
        <v>1800</v>
      </c>
      <c r="AM517" s="9">
        <v>2244.9349966953778</v>
      </c>
      <c r="AN517" s="9">
        <f t="shared" si="66"/>
        <v>444.93499669537778</v>
      </c>
      <c r="AO517" s="10">
        <f t="shared" si="67"/>
        <v>0.24718610927520987</v>
      </c>
      <c r="AP517" s="16">
        <v>1800</v>
      </c>
      <c r="AQ517" s="16">
        <v>2089.0121541887288</v>
      </c>
      <c r="AR517" s="16">
        <f t="shared" si="68"/>
        <v>289.0121541887288</v>
      </c>
      <c r="AS517" s="17">
        <f t="shared" si="69"/>
        <v>0.1605623078826271</v>
      </c>
      <c r="AT517" s="6">
        <v>1800</v>
      </c>
      <c r="AU517" s="6">
        <v>2452.35205078125</v>
      </c>
      <c r="AV517" s="6">
        <f t="shared" si="70"/>
        <v>652.35205078125</v>
      </c>
      <c r="AW517" s="7">
        <f t="shared" si="71"/>
        <v>0.36241780598958334</v>
      </c>
    </row>
    <row r="518" spans="1:49" x14ac:dyDescent="0.25">
      <c r="A518" t="s">
        <v>38</v>
      </c>
      <c r="B518" t="s">
        <v>167</v>
      </c>
      <c r="C518">
        <v>128772</v>
      </c>
      <c r="D518">
        <v>2012</v>
      </c>
      <c r="E518" t="s">
        <v>124</v>
      </c>
      <c r="F518" t="s">
        <v>125</v>
      </c>
      <c r="G518" t="s">
        <v>895</v>
      </c>
      <c r="I518">
        <v>4</v>
      </c>
      <c r="J518" t="s">
        <v>74</v>
      </c>
      <c r="K518">
        <v>4</v>
      </c>
      <c r="L518" t="s">
        <v>44</v>
      </c>
      <c r="M518">
        <v>1.8</v>
      </c>
      <c r="N518" t="s">
        <v>45</v>
      </c>
      <c r="O518" t="s">
        <v>46</v>
      </c>
      <c r="P518">
        <v>4</v>
      </c>
      <c r="Q518" t="s">
        <v>84</v>
      </c>
      <c r="R518" t="s">
        <v>85</v>
      </c>
      <c r="U518" t="s">
        <v>50</v>
      </c>
      <c r="W518" t="s">
        <v>547</v>
      </c>
      <c r="X518" t="s">
        <v>87</v>
      </c>
      <c r="Y518" t="s">
        <v>53</v>
      </c>
      <c r="AA518">
        <v>0</v>
      </c>
      <c r="AB518" t="s">
        <v>54</v>
      </c>
      <c r="AC518" t="s">
        <v>89</v>
      </c>
      <c r="AD518">
        <v>34</v>
      </c>
      <c r="AE518">
        <v>8</v>
      </c>
      <c r="AF518">
        <v>3</v>
      </c>
      <c r="AG518">
        <v>2025</v>
      </c>
      <c r="AH518" s="13">
        <v>3900</v>
      </c>
      <c r="AI518" s="13">
        <v>2957.03076171875</v>
      </c>
      <c r="AJ518" s="13">
        <f t="shared" si="64"/>
        <v>942.96923828125</v>
      </c>
      <c r="AK518" s="14">
        <f t="shared" si="65"/>
        <v>0.24178698417467948</v>
      </c>
      <c r="AL518" s="9">
        <v>3900</v>
      </c>
      <c r="AM518" s="9">
        <v>2964.5441525788988</v>
      </c>
      <c r="AN518" s="9">
        <f t="shared" si="66"/>
        <v>935.45584742110123</v>
      </c>
      <c r="AO518" s="10">
        <f t="shared" si="67"/>
        <v>0.23986047369771826</v>
      </c>
      <c r="AP518" s="16">
        <v>3900</v>
      </c>
      <c r="AQ518" s="16">
        <v>2731.8774429103401</v>
      </c>
      <c r="AR518" s="16">
        <f t="shared" si="68"/>
        <v>1168.1225570896599</v>
      </c>
      <c r="AS518" s="17">
        <f t="shared" si="69"/>
        <v>0.29951860438196409</v>
      </c>
      <c r="AT518" s="6">
        <v>3900</v>
      </c>
      <c r="AU518" s="6">
        <v>3009.088134765625</v>
      </c>
      <c r="AV518" s="6">
        <f t="shared" si="70"/>
        <v>890.911865234375</v>
      </c>
      <c r="AW518" s="7">
        <f t="shared" si="71"/>
        <v>0.2284389398036859</v>
      </c>
    </row>
    <row r="519" spans="1:49" x14ac:dyDescent="0.25">
      <c r="A519" t="s">
        <v>38</v>
      </c>
      <c r="B519" t="s">
        <v>734</v>
      </c>
      <c r="C519">
        <v>125579</v>
      </c>
      <c r="D519">
        <v>2010</v>
      </c>
      <c r="E519" t="s">
        <v>79</v>
      </c>
      <c r="F519" t="s">
        <v>272</v>
      </c>
      <c r="G519" t="s">
        <v>896</v>
      </c>
      <c r="H519" t="s">
        <v>897</v>
      </c>
      <c r="I519">
        <v>8</v>
      </c>
      <c r="J519" t="s">
        <v>43</v>
      </c>
      <c r="K519">
        <v>2</v>
      </c>
      <c r="L519" t="s">
        <v>44</v>
      </c>
      <c r="M519">
        <v>6</v>
      </c>
      <c r="N519" t="s">
        <v>116</v>
      </c>
      <c r="O519" t="s">
        <v>46</v>
      </c>
      <c r="Q519" t="s">
        <v>75</v>
      </c>
      <c r="R519" t="s">
        <v>76</v>
      </c>
      <c r="S519" t="s">
        <v>49</v>
      </c>
      <c r="U519" t="s">
        <v>50</v>
      </c>
      <c r="W519" t="s">
        <v>898</v>
      </c>
      <c r="X519" t="s">
        <v>390</v>
      </c>
      <c r="Y519" t="s">
        <v>67</v>
      </c>
      <c r="AA519">
        <v>0</v>
      </c>
      <c r="AB519" t="s">
        <v>54</v>
      </c>
      <c r="AC519" t="s">
        <v>78</v>
      </c>
      <c r="AD519">
        <v>34</v>
      </c>
      <c r="AE519">
        <v>8</v>
      </c>
      <c r="AF519">
        <v>3</v>
      </c>
      <c r="AG519">
        <v>2025</v>
      </c>
      <c r="AH519" s="13">
        <v>5250</v>
      </c>
      <c r="AI519" s="13">
        <v>5646.80810546875</v>
      </c>
      <c r="AJ519" s="13">
        <f t="shared" si="64"/>
        <v>396.80810546875</v>
      </c>
      <c r="AK519" s="14">
        <f t="shared" si="65"/>
        <v>7.5582496279761907E-2</v>
      </c>
      <c r="AL519" s="9">
        <v>5250</v>
      </c>
      <c r="AM519" s="9">
        <v>5223.3630844416311</v>
      </c>
      <c r="AN519" s="9">
        <f t="shared" si="66"/>
        <v>26.636915558368855</v>
      </c>
      <c r="AO519" s="10">
        <f t="shared" si="67"/>
        <v>5.0736982015940676E-3</v>
      </c>
      <c r="AP519" s="16">
        <v>5250</v>
      </c>
      <c r="AQ519" s="16">
        <v>4754.1616413671627</v>
      </c>
      <c r="AR519" s="16">
        <f t="shared" si="68"/>
        <v>495.8383586328373</v>
      </c>
      <c r="AS519" s="17">
        <f t="shared" si="69"/>
        <v>9.4445401644349961E-2</v>
      </c>
      <c r="AT519" s="6">
        <v>5250</v>
      </c>
      <c r="AU519" s="6">
        <v>5671.06005859375</v>
      </c>
      <c r="AV519" s="6">
        <f t="shared" si="70"/>
        <v>421.06005859375</v>
      </c>
      <c r="AW519" s="7">
        <f t="shared" si="71"/>
        <v>8.0201915922619049E-2</v>
      </c>
    </row>
    <row r="520" spans="1:49" x14ac:dyDescent="0.25">
      <c r="A520" t="s">
        <v>56</v>
      </c>
      <c r="B520" t="s">
        <v>144</v>
      </c>
      <c r="C520">
        <v>148636</v>
      </c>
      <c r="D520">
        <v>2019</v>
      </c>
      <c r="E520" t="s">
        <v>625</v>
      </c>
      <c r="F520" t="s">
        <v>899</v>
      </c>
      <c r="G520" t="s">
        <v>900</v>
      </c>
      <c r="I520">
        <v>4</v>
      </c>
      <c r="J520" t="s">
        <v>43</v>
      </c>
      <c r="K520">
        <v>4</v>
      </c>
      <c r="L520" t="s">
        <v>44</v>
      </c>
      <c r="M520">
        <v>2</v>
      </c>
      <c r="N520" t="s">
        <v>44</v>
      </c>
      <c r="O520" t="s">
        <v>46</v>
      </c>
      <c r="P520">
        <v>5</v>
      </c>
      <c r="Q520" t="s">
        <v>47</v>
      </c>
      <c r="R520" t="s">
        <v>48</v>
      </c>
      <c r="S520" t="s">
        <v>139</v>
      </c>
      <c r="T520">
        <v>248</v>
      </c>
      <c r="U520" t="s">
        <v>50</v>
      </c>
      <c r="W520" t="s">
        <v>901</v>
      </c>
      <c r="X520" t="s">
        <v>52</v>
      </c>
      <c r="Y520" t="s">
        <v>902</v>
      </c>
      <c r="AA520">
        <v>0</v>
      </c>
      <c r="AB520" t="s">
        <v>54</v>
      </c>
      <c r="AC520" t="s">
        <v>55</v>
      </c>
      <c r="AD520">
        <v>34</v>
      </c>
      <c r="AE520">
        <v>8</v>
      </c>
      <c r="AF520">
        <v>3</v>
      </c>
      <c r="AG520">
        <v>2025</v>
      </c>
      <c r="AH520" s="13">
        <v>11100</v>
      </c>
      <c r="AI520" s="13">
        <v>7988.8828125</v>
      </c>
      <c r="AJ520" s="13">
        <f t="shared" si="64"/>
        <v>3111.1171875</v>
      </c>
      <c r="AK520" s="14">
        <f t="shared" si="65"/>
        <v>0.28028082770270268</v>
      </c>
      <c r="AL520" s="9">
        <v>11100</v>
      </c>
      <c r="AM520" s="9">
        <v>7461.9108237823557</v>
      </c>
      <c r="AN520" s="9">
        <f t="shared" si="66"/>
        <v>3638.0891762176443</v>
      </c>
      <c r="AO520" s="10">
        <f t="shared" si="67"/>
        <v>0.3277557816412292</v>
      </c>
      <c r="AP520" s="16">
        <v>11100</v>
      </c>
      <c r="AQ520" s="16">
        <v>8063.4305638423439</v>
      </c>
      <c r="AR520" s="16">
        <f t="shared" si="68"/>
        <v>3036.5694361576561</v>
      </c>
      <c r="AS520" s="17">
        <f t="shared" si="69"/>
        <v>0.27356481406825733</v>
      </c>
      <c r="AT520" s="6">
        <v>11100</v>
      </c>
      <c r="AU520" s="6">
        <v>6884.83154296875</v>
      </c>
      <c r="AV520" s="6">
        <f t="shared" si="70"/>
        <v>4215.16845703125</v>
      </c>
      <c r="AW520" s="7">
        <f t="shared" si="71"/>
        <v>0.37974490603885136</v>
      </c>
    </row>
    <row r="521" spans="1:49" x14ac:dyDescent="0.25">
      <c r="A521" t="s">
        <v>69</v>
      </c>
      <c r="B521" t="s">
        <v>70</v>
      </c>
      <c r="C521">
        <v>108324</v>
      </c>
      <c r="D521">
        <v>2021</v>
      </c>
      <c r="E521" t="s">
        <v>124</v>
      </c>
      <c r="F521" t="s">
        <v>903</v>
      </c>
      <c r="G521" t="s">
        <v>261</v>
      </c>
      <c r="I521">
        <v>6</v>
      </c>
      <c r="J521" t="s">
        <v>74</v>
      </c>
      <c r="K521">
        <v>4</v>
      </c>
      <c r="L521" t="s">
        <v>44</v>
      </c>
      <c r="M521">
        <v>3.8</v>
      </c>
      <c r="N521" t="s">
        <v>45</v>
      </c>
      <c r="O521" t="s">
        <v>46</v>
      </c>
      <c r="Q521" t="s">
        <v>47</v>
      </c>
      <c r="R521" t="s">
        <v>48</v>
      </c>
      <c r="S521" t="s">
        <v>49</v>
      </c>
      <c r="U521" t="s">
        <v>50</v>
      </c>
      <c r="W521" t="s">
        <v>293</v>
      </c>
      <c r="X521" t="s">
        <v>141</v>
      </c>
      <c r="Y521" t="s">
        <v>53</v>
      </c>
      <c r="AA521">
        <v>0</v>
      </c>
      <c r="AB521" t="s">
        <v>54</v>
      </c>
      <c r="AC521" t="s">
        <v>68</v>
      </c>
      <c r="AD521">
        <v>34</v>
      </c>
      <c r="AE521">
        <v>8</v>
      </c>
      <c r="AF521">
        <v>3</v>
      </c>
      <c r="AG521">
        <v>2025</v>
      </c>
      <c r="AH521" s="13">
        <v>11000</v>
      </c>
      <c r="AI521" s="13">
        <v>15308.6123046875</v>
      </c>
      <c r="AJ521" s="13">
        <f t="shared" si="64"/>
        <v>4308.6123046875</v>
      </c>
      <c r="AK521" s="14">
        <f t="shared" si="65"/>
        <v>0.39169202769886363</v>
      </c>
      <c r="AL521" s="9">
        <v>11000</v>
      </c>
      <c r="AM521" s="9">
        <v>14299.552489507691</v>
      </c>
      <c r="AN521" s="9">
        <f t="shared" si="66"/>
        <v>3299.5524895076906</v>
      </c>
      <c r="AO521" s="10">
        <f t="shared" si="67"/>
        <v>0.29995931722797187</v>
      </c>
      <c r="AP521" s="16">
        <v>11000</v>
      </c>
      <c r="AQ521" s="16">
        <v>16384.161212812262</v>
      </c>
      <c r="AR521" s="16">
        <f t="shared" si="68"/>
        <v>5384.1612128122615</v>
      </c>
      <c r="AS521" s="17">
        <f t="shared" si="69"/>
        <v>0.48946920116475107</v>
      </c>
      <c r="AT521" s="6">
        <v>11000</v>
      </c>
      <c r="AU521" s="6">
        <v>14059.79296875</v>
      </c>
      <c r="AV521" s="6">
        <f t="shared" si="70"/>
        <v>3059.79296875</v>
      </c>
      <c r="AW521" s="7">
        <f t="shared" si="71"/>
        <v>0.27816299715909093</v>
      </c>
    </row>
    <row r="522" spans="1:49" x14ac:dyDescent="0.25">
      <c r="A522" t="s">
        <v>56</v>
      </c>
      <c r="B522" t="s">
        <v>178</v>
      </c>
      <c r="C522">
        <v>139284</v>
      </c>
      <c r="D522">
        <v>2012</v>
      </c>
      <c r="E522" t="s">
        <v>173</v>
      </c>
      <c r="F522" t="s">
        <v>370</v>
      </c>
      <c r="G522" t="s">
        <v>891</v>
      </c>
      <c r="I522">
        <v>6</v>
      </c>
      <c r="J522" t="s">
        <v>82</v>
      </c>
      <c r="K522">
        <v>4</v>
      </c>
      <c r="L522" t="s">
        <v>44</v>
      </c>
      <c r="M522">
        <v>3.6</v>
      </c>
      <c r="N522" t="s">
        <v>62</v>
      </c>
      <c r="O522" t="s">
        <v>46</v>
      </c>
      <c r="P522">
        <v>3</v>
      </c>
      <c r="Q522" t="s">
        <v>47</v>
      </c>
      <c r="R522" t="s">
        <v>48</v>
      </c>
      <c r="S522" t="s">
        <v>63</v>
      </c>
      <c r="T522">
        <v>283</v>
      </c>
      <c r="U522" t="s">
        <v>134</v>
      </c>
      <c r="X522" t="s">
        <v>141</v>
      </c>
      <c r="Y522" t="s">
        <v>67</v>
      </c>
      <c r="AA522">
        <v>0</v>
      </c>
      <c r="AB522" t="s">
        <v>54</v>
      </c>
      <c r="AC522" t="s">
        <v>55</v>
      </c>
      <c r="AD522">
        <v>34</v>
      </c>
      <c r="AE522">
        <v>8</v>
      </c>
      <c r="AF522">
        <v>3</v>
      </c>
      <c r="AG522">
        <v>2025</v>
      </c>
      <c r="AH522" s="13">
        <v>11600</v>
      </c>
      <c r="AI522" s="13">
        <v>6278.46435546875</v>
      </c>
      <c r="AJ522" s="13">
        <f t="shared" si="64"/>
        <v>5321.53564453125</v>
      </c>
      <c r="AK522" s="14">
        <f t="shared" si="65"/>
        <v>0.45875307280441813</v>
      </c>
      <c r="AL522" s="9">
        <v>11600</v>
      </c>
      <c r="AM522" s="9">
        <v>7551.7488470773687</v>
      </c>
      <c r="AN522" s="9">
        <f t="shared" si="66"/>
        <v>4048.2511529226313</v>
      </c>
      <c r="AO522" s="10">
        <f t="shared" si="67"/>
        <v>0.34898716835539922</v>
      </c>
      <c r="AP522" s="16">
        <v>11600</v>
      </c>
      <c r="AQ522" s="16">
        <v>8168.409846013159</v>
      </c>
      <c r="AR522" s="16">
        <f t="shared" si="68"/>
        <v>3431.590153986841</v>
      </c>
      <c r="AS522" s="17">
        <f t="shared" si="69"/>
        <v>0.29582673741265869</v>
      </c>
      <c r="AT522" s="6">
        <v>11600</v>
      </c>
      <c r="AU522" s="6">
        <v>5349.91015625</v>
      </c>
      <c r="AV522" s="6">
        <f t="shared" si="70"/>
        <v>6250.08984375</v>
      </c>
      <c r="AW522" s="7">
        <f t="shared" si="71"/>
        <v>0.5388008485991379</v>
      </c>
    </row>
    <row r="523" spans="1:49" x14ac:dyDescent="0.25">
      <c r="A523" t="s">
        <v>56</v>
      </c>
      <c r="B523" t="s">
        <v>178</v>
      </c>
      <c r="C523">
        <v>63585</v>
      </c>
      <c r="D523">
        <v>2021</v>
      </c>
      <c r="E523" t="s">
        <v>91</v>
      </c>
      <c r="F523" t="s">
        <v>517</v>
      </c>
      <c r="G523" t="s">
        <v>518</v>
      </c>
      <c r="H523" t="s">
        <v>904</v>
      </c>
      <c r="I523">
        <v>4</v>
      </c>
      <c r="J523" t="s">
        <v>82</v>
      </c>
      <c r="K523">
        <v>4</v>
      </c>
      <c r="L523" t="s">
        <v>44</v>
      </c>
      <c r="M523">
        <v>2.5</v>
      </c>
      <c r="N523" t="s">
        <v>45</v>
      </c>
      <c r="Q523" t="s">
        <v>47</v>
      </c>
      <c r="R523" t="s">
        <v>48</v>
      </c>
      <c r="S523" t="s">
        <v>49</v>
      </c>
      <c r="T523">
        <v>203</v>
      </c>
      <c r="U523" t="s">
        <v>50</v>
      </c>
      <c r="V523" t="s">
        <v>95</v>
      </c>
      <c r="W523" t="s">
        <v>520</v>
      </c>
      <c r="X523" t="s">
        <v>52</v>
      </c>
      <c r="Y523" t="s">
        <v>97</v>
      </c>
      <c r="Z523">
        <v>26250</v>
      </c>
      <c r="AA523">
        <v>0</v>
      </c>
      <c r="AB523" t="s">
        <v>54</v>
      </c>
      <c r="AC523" t="s">
        <v>55</v>
      </c>
      <c r="AD523">
        <v>34</v>
      </c>
      <c r="AE523">
        <v>8</v>
      </c>
      <c r="AF523">
        <v>3</v>
      </c>
      <c r="AG523">
        <v>2025</v>
      </c>
      <c r="AH523" s="13">
        <v>18800</v>
      </c>
      <c r="AI523" s="13">
        <v>17199.09765625</v>
      </c>
      <c r="AJ523" s="13">
        <f t="shared" si="64"/>
        <v>1600.90234375</v>
      </c>
      <c r="AK523" s="14">
        <f t="shared" si="65"/>
        <v>8.5154379986702125E-2</v>
      </c>
      <c r="AL523" s="9">
        <v>18800</v>
      </c>
      <c r="AM523" s="9">
        <v>15860.44310427655</v>
      </c>
      <c r="AN523" s="9">
        <f t="shared" si="66"/>
        <v>2939.55689572345</v>
      </c>
      <c r="AO523" s="10">
        <f t="shared" si="67"/>
        <v>0.15635940934699202</v>
      </c>
      <c r="AP523" s="16">
        <v>18800</v>
      </c>
      <c r="AQ523" s="16">
        <v>18769.070270319451</v>
      </c>
      <c r="AR523" s="16">
        <f t="shared" si="68"/>
        <v>30.929729680548917</v>
      </c>
      <c r="AS523" s="17">
        <f t="shared" si="69"/>
        <v>1.6451983872632402E-3</v>
      </c>
      <c r="AT523" s="6">
        <v>18800</v>
      </c>
      <c r="AU523" s="6">
        <v>15666.4091796875</v>
      </c>
      <c r="AV523" s="6">
        <f t="shared" si="70"/>
        <v>3133.5908203125</v>
      </c>
      <c r="AW523" s="7">
        <f t="shared" si="71"/>
        <v>0.16668036278257978</v>
      </c>
    </row>
    <row r="524" spans="1:49" x14ac:dyDescent="0.25">
      <c r="A524" t="s">
        <v>38</v>
      </c>
      <c r="B524" t="s">
        <v>229</v>
      </c>
      <c r="C524">
        <v>159260</v>
      </c>
      <c r="D524">
        <v>2014</v>
      </c>
      <c r="E524" t="s">
        <v>173</v>
      </c>
      <c r="F524" t="s">
        <v>370</v>
      </c>
      <c r="G524" t="s">
        <v>400</v>
      </c>
      <c r="I524">
        <v>6</v>
      </c>
      <c r="J524" t="s">
        <v>74</v>
      </c>
      <c r="K524">
        <v>4</v>
      </c>
      <c r="L524" t="s">
        <v>44</v>
      </c>
      <c r="M524">
        <v>3.6</v>
      </c>
      <c r="N524" t="s">
        <v>62</v>
      </c>
      <c r="O524" t="s">
        <v>46</v>
      </c>
      <c r="P524">
        <v>3</v>
      </c>
      <c r="Q524" t="s">
        <v>47</v>
      </c>
      <c r="R524" t="s">
        <v>48</v>
      </c>
      <c r="S524" t="s">
        <v>63</v>
      </c>
      <c r="U524" t="s">
        <v>50</v>
      </c>
      <c r="X524" t="s">
        <v>141</v>
      </c>
      <c r="Y524" t="s">
        <v>67</v>
      </c>
      <c r="AA524">
        <v>0</v>
      </c>
      <c r="AB524" t="s">
        <v>54</v>
      </c>
      <c r="AC524" t="s">
        <v>55</v>
      </c>
      <c r="AD524">
        <v>34</v>
      </c>
      <c r="AE524">
        <v>8</v>
      </c>
      <c r="AF524">
        <v>3</v>
      </c>
      <c r="AG524">
        <v>2025</v>
      </c>
      <c r="AH524" s="13">
        <v>9750</v>
      </c>
      <c r="AI524" s="13">
        <v>7701.8642578125</v>
      </c>
      <c r="AJ524" s="13">
        <f t="shared" si="64"/>
        <v>2048.1357421875</v>
      </c>
      <c r="AK524" s="14">
        <f t="shared" si="65"/>
        <v>0.21006520432692308</v>
      </c>
      <c r="AL524" s="9">
        <v>9750</v>
      </c>
      <c r="AM524" s="9">
        <v>8111.8903139171571</v>
      </c>
      <c r="AN524" s="9">
        <f t="shared" si="66"/>
        <v>1638.1096860828429</v>
      </c>
      <c r="AO524" s="10">
        <f t="shared" si="67"/>
        <v>0.16801124985465055</v>
      </c>
      <c r="AP524" s="16">
        <v>9750</v>
      </c>
      <c r="AQ524" s="16">
        <v>7033.404706589301</v>
      </c>
      <c r="AR524" s="16">
        <f t="shared" si="68"/>
        <v>2716.595293410699</v>
      </c>
      <c r="AS524" s="17">
        <f t="shared" si="69"/>
        <v>0.27862515829853324</v>
      </c>
      <c r="AT524" s="6">
        <v>9750</v>
      </c>
      <c r="AU524" s="6">
        <v>5737.92626953125</v>
      </c>
      <c r="AV524" s="6">
        <f t="shared" si="70"/>
        <v>4012.07373046875</v>
      </c>
      <c r="AW524" s="7">
        <f t="shared" si="71"/>
        <v>0.41149474158653848</v>
      </c>
    </row>
    <row r="525" spans="1:49" x14ac:dyDescent="0.25">
      <c r="A525" t="s">
        <v>107</v>
      </c>
      <c r="B525" t="s">
        <v>108</v>
      </c>
      <c r="C525">
        <v>96592</v>
      </c>
      <c r="D525">
        <v>2016</v>
      </c>
      <c r="E525" t="s">
        <v>124</v>
      </c>
      <c r="F525" t="s">
        <v>533</v>
      </c>
      <c r="G525" t="s">
        <v>905</v>
      </c>
      <c r="I525">
        <v>4</v>
      </c>
      <c r="J525" t="s">
        <v>74</v>
      </c>
      <c r="K525">
        <v>4</v>
      </c>
      <c r="L525" t="s">
        <v>44</v>
      </c>
      <c r="M525">
        <v>1.6</v>
      </c>
      <c r="N525" t="s">
        <v>44</v>
      </c>
      <c r="O525" t="s">
        <v>46</v>
      </c>
      <c r="P525">
        <v>2</v>
      </c>
      <c r="Q525" t="s">
        <v>47</v>
      </c>
      <c r="R525" t="s">
        <v>48</v>
      </c>
      <c r="U525" t="s">
        <v>50</v>
      </c>
      <c r="X525" t="s">
        <v>52</v>
      </c>
      <c r="Y525" t="s">
        <v>53</v>
      </c>
      <c r="AA525">
        <v>0</v>
      </c>
      <c r="AB525" t="s">
        <v>54</v>
      </c>
      <c r="AC525" t="s">
        <v>55</v>
      </c>
      <c r="AD525">
        <v>34</v>
      </c>
      <c r="AE525">
        <v>8</v>
      </c>
      <c r="AF525">
        <v>3</v>
      </c>
      <c r="AG525">
        <v>2025</v>
      </c>
      <c r="AH525" s="13">
        <v>3900</v>
      </c>
      <c r="AI525" s="13">
        <v>4234.2763671875</v>
      </c>
      <c r="AJ525" s="13">
        <f t="shared" si="64"/>
        <v>334.2763671875</v>
      </c>
      <c r="AK525" s="14">
        <f t="shared" si="65"/>
        <v>8.57118890224359E-2</v>
      </c>
      <c r="AL525" s="9">
        <v>3900</v>
      </c>
      <c r="AM525" s="9">
        <v>4559.6841086928844</v>
      </c>
      <c r="AN525" s="9">
        <f t="shared" si="66"/>
        <v>659.68410869288437</v>
      </c>
      <c r="AO525" s="10">
        <f t="shared" si="67"/>
        <v>0.16914977145971394</v>
      </c>
      <c r="AP525" s="16">
        <v>3900</v>
      </c>
      <c r="AQ525" s="16">
        <v>5681.1765777679029</v>
      </c>
      <c r="AR525" s="16">
        <f t="shared" si="68"/>
        <v>1781.1765777679029</v>
      </c>
      <c r="AS525" s="17">
        <f t="shared" si="69"/>
        <v>0.45671194301741103</v>
      </c>
      <c r="AT525" s="6">
        <v>3900</v>
      </c>
      <c r="AU525" s="6">
        <v>4346.986328125</v>
      </c>
      <c r="AV525" s="6">
        <f t="shared" si="70"/>
        <v>446.986328125</v>
      </c>
      <c r="AW525" s="7">
        <f t="shared" si="71"/>
        <v>0.11461187900641026</v>
      </c>
    </row>
    <row r="526" spans="1:49" x14ac:dyDescent="0.25">
      <c r="A526" t="s">
        <v>69</v>
      </c>
      <c r="B526" t="s">
        <v>70</v>
      </c>
      <c r="C526">
        <v>118403</v>
      </c>
      <c r="D526">
        <v>2019</v>
      </c>
      <c r="E526" t="s">
        <v>124</v>
      </c>
      <c r="F526" t="s">
        <v>906</v>
      </c>
      <c r="G526" t="s">
        <v>261</v>
      </c>
      <c r="I526">
        <v>4</v>
      </c>
      <c r="J526" t="s">
        <v>43</v>
      </c>
      <c r="K526">
        <v>4</v>
      </c>
      <c r="L526" t="s">
        <v>44</v>
      </c>
      <c r="M526">
        <v>2</v>
      </c>
      <c r="N526" t="s">
        <v>45</v>
      </c>
      <c r="O526" t="s">
        <v>46</v>
      </c>
      <c r="P526">
        <v>4</v>
      </c>
      <c r="Q526" t="s">
        <v>47</v>
      </c>
      <c r="R526" t="s">
        <v>48</v>
      </c>
      <c r="S526" t="s">
        <v>49</v>
      </c>
      <c r="T526">
        <v>147</v>
      </c>
      <c r="U526" t="s">
        <v>50</v>
      </c>
      <c r="W526" t="s">
        <v>328</v>
      </c>
      <c r="X526" t="s">
        <v>122</v>
      </c>
      <c r="Y526" t="s">
        <v>53</v>
      </c>
      <c r="AA526">
        <v>0</v>
      </c>
      <c r="AB526" t="s">
        <v>54</v>
      </c>
      <c r="AC526" t="s">
        <v>55</v>
      </c>
      <c r="AD526">
        <v>34</v>
      </c>
      <c r="AE526">
        <v>8</v>
      </c>
      <c r="AF526">
        <v>3</v>
      </c>
      <c r="AG526">
        <v>2025</v>
      </c>
      <c r="AH526" s="13">
        <v>7400</v>
      </c>
      <c r="AI526" s="13">
        <v>6175.60595703125</v>
      </c>
      <c r="AJ526" s="13">
        <f t="shared" si="64"/>
        <v>1224.39404296875</v>
      </c>
      <c r="AK526" s="14">
        <f t="shared" si="65"/>
        <v>0.1654586544552365</v>
      </c>
      <c r="AL526" s="9">
        <v>7400</v>
      </c>
      <c r="AM526" s="9">
        <v>7200.178452837341</v>
      </c>
      <c r="AN526" s="9">
        <f t="shared" si="66"/>
        <v>199.82154716265904</v>
      </c>
      <c r="AO526" s="10">
        <f t="shared" si="67"/>
        <v>2.7002911778737707E-2</v>
      </c>
      <c r="AP526" s="16">
        <v>7400</v>
      </c>
      <c r="AQ526" s="16">
        <v>7355.3679780065067</v>
      </c>
      <c r="AR526" s="16">
        <f t="shared" si="68"/>
        <v>44.632021993493254</v>
      </c>
      <c r="AS526" s="17">
        <f t="shared" si="69"/>
        <v>6.0313543234450347E-3</v>
      </c>
      <c r="AT526" s="6">
        <v>7400</v>
      </c>
      <c r="AU526" s="6">
        <v>7181.18701171875</v>
      </c>
      <c r="AV526" s="6">
        <f t="shared" si="70"/>
        <v>218.81298828125</v>
      </c>
      <c r="AW526" s="7">
        <f t="shared" si="71"/>
        <v>2.9569322740709461E-2</v>
      </c>
    </row>
    <row r="527" spans="1:49" x14ac:dyDescent="0.25">
      <c r="A527" t="s">
        <v>38</v>
      </c>
      <c r="B527" t="s">
        <v>132</v>
      </c>
      <c r="C527">
        <v>40188</v>
      </c>
      <c r="D527">
        <v>2024</v>
      </c>
      <c r="E527" t="s">
        <v>124</v>
      </c>
      <c r="F527" t="s">
        <v>533</v>
      </c>
      <c r="G527" t="s">
        <v>261</v>
      </c>
      <c r="I527">
        <v>4</v>
      </c>
      <c r="J527" t="s">
        <v>82</v>
      </c>
      <c r="K527">
        <v>4</v>
      </c>
      <c r="L527" t="s">
        <v>44</v>
      </c>
      <c r="M527">
        <v>2.5</v>
      </c>
      <c r="N527" t="s">
        <v>44</v>
      </c>
      <c r="O527" t="s">
        <v>46</v>
      </c>
      <c r="P527">
        <v>4</v>
      </c>
      <c r="Q527" t="s">
        <v>47</v>
      </c>
      <c r="R527" t="s">
        <v>48</v>
      </c>
      <c r="S527" t="s">
        <v>63</v>
      </c>
      <c r="T527">
        <v>187.6</v>
      </c>
      <c r="U527" t="s">
        <v>50</v>
      </c>
      <c r="W527" t="s">
        <v>722</v>
      </c>
      <c r="X527" t="s">
        <v>52</v>
      </c>
      <c r="Y527" t="s">
        <v>67</v>
      </c>
      <c r="AA527">
        <v>0</v>
      </c>
      <c r="AB527" t="s">
        <v>54</v>
      </c>
      <c r="AC527" t="s">
        <v>55</v>
      </c>
      <c r="AD527">
        <v>34</v>
      </c>
      <c r="AE527">
        <v>8</v>
      </c>
      <c r="AF527">
        <v>3</v>
      </c>
      <c r="AG527">
        <v>2025</v>
      </c>
      <c r="AH527" s="13">
        <v>19200</v>
      </c>
      <c r="AI527" s="13">
        <v>24408.15625</v>
      </c>
      <c r="AJ527" s="13">
        <f t="shared" si="64"/>
        <v>5208.15625</v>
      </c>
      <c r="AK527" s="14">
        <f t="shared" si="65"/>
        <v>0.27125813802083332</v>
      </c>
      <c r="AL527" s="9">
        <v>19200</v>
      </c>
      <c r="AM527" s="9">
        <v>24965.668824069751</v>
      </c>
      <c r="AN527" s="9">
        <f t="shared" si="66"/>
        <v>5765.6688240697513</v>
      </c>
      <c r="AO527" s="10">
        <f t="shared" si="67"/>
        <v>0.30029525125363288</v>
      </c>
      <c r="AP527" s="16">
        <v>19200</v>
      </c>
      <c r="AQ527" s="16">
        <v>19379.02670670543</v>
      </c>
      <c r="AR527" s="16">
        <f t="shared" si="68"/>
        <v>179.02670670543012</v>
      </c>
      <c r="AS527" s="17">
        <f t="shared" si="69"/>
        <v>9.3243076409078186E-3</v>
      </c>
      <c r="AT527" s="6">
        <v>19200</v>
      </c>
      <c r="AU527" s="6">
        <v>21791.38671875</v>
      </c>
      <c r="AV527" s="6">
        <f t="shared" si="70"/>
        <v>2591.38671875</v>
      </c>
      <c r="AW527" s="7">
        <f t="shared" si="71"/>
        <v>0.13496805826822916</v>
      </c>
    </row>
    <row r="528" spans="1:49" x14ac:dyDescent="0.25">
      <c r="A528" t="s">
        <v>107</v>
      </c>
      <c r="B528" t="s">
        <v>108</v>
      </c>
      <c r="C528">
        <v>24293</v>
      </c>
      <c r="D528">
        <v>2022</v>
      </c>
      <c r="E528" t="s">
        <v>79</v>
      </c>
      <c r="F528" t="s">
        <v>391</v>
      </c>
      <c r="G528" t="s">
        <v>907</v>
      </c>
      <c r="I528">
        <v>4</v>
      </c>
      <c r="J528" t="s">
        <v>43</v>
      </c>
      <c r="K528">
        <v>4</v>
      </c>
      <c r="L528" t="s">
        <v>44</v>
      </c>
      <c r="M528">
        <v>2</v>
      </c>
      <c r="N528" t="s">
        <v>45</v>
      </c>
      <c r="O528" t="s">
        <v>46</v>
      </c>
      <c r="P528">
        <v>5</v>
      </c>
      <c r="Q528" t="s">
        <v>47</v>
      </c>
      <c r="R528" t="s">
        <v>48</v>
      </c>
      <c r="S528" t="s">
        <v>102</v>
      </c>
      <c r="U528" t="s">
        <v>50</v>
      </c>
      <c r="V528" t="s">
        <v>95</v>
      </c>
      <c r="W528" t="s">
        <v>689</v>
      </c>
      <c r="X528" t="s">
        <v>66</v>
      </c>
      <c r="Y528" t="s">
        <v>106</v>
      </c>
      <c r="AA528">
        <v>0</v>
      </c>
      <c r="AB528" t="s">
        <v>54</v>
      </c>
      <c r="AC528" t="s">
        <v>55</v>
      </c>
      <c r="AD528">
        <v>34</v>
      </c>
      <c r="AE528">
        <v>8</v>
      </c>
      <c r="AF528">
        <v>3</v>
      </c>
      <c r="AG528">
        <v>2025</v>
      </c>
      <c r="AH528" s="13">
        <v>23700</v>
      </c>
      <c r="AI528" s="13">
        <v>28604.150390625</v>
      </c>
      <c r="AJ528" s="13">
        <f t="shared" si="64"/>
        <v>4904.150390625</v>
      </c>
      <c r="AK528" s="14">
        <f t="shared" si="65"/>
        <v>0.20692617681962025</v>
      </c>
      <c r="AL528" s="9">
        <v>23700</v>
      </c>
      <c r="AM528" s="9">
        <v>27928.704452428741</v>
      </c>
      <c r="AN528" s="9">
        <f t="shared" si="66"/>
        <v>4228.7044524287412</v>
      </c>
      <c r="AO528" s="10">
        <f t="shared" si="67"/>
        <v>0.17842634820374437</v>
      </c>
      <c r="AP528" s="16">
        <v>23700</v>
      </c>
      <c r="AQ528" s="16">
        <v>28130.243789533091</v>
      </c>
      <c r="AR528" s="16">
        <f t="shared" si="68"/>
        <v>4430.2437895330913</v>
      </c>
      <c r="AS528" s="17">
        <f t="shared" si="69"/>
        <v>0.18693011770181819</v>
      </c>
      <c r="AT528" s="6">
        <v>23700</v>
      </c>
      <c r="AU528" s="6">
        <v>26479.201171875</v>
      </c>
      <c r="AV528" s="6">
        <f t="shared" si="70"/>
        <v>2779.201171875</v>
      </c>
      <c r="AW528" s="7">
        <f t="shared" si="71"/>
        <v>0.11726587223101266</v>
      </c>
    </row>
    <row r="529" spans="1:49" x14ac:dyDescent="0.25">
      <c r="A529" t="s">
        <v>107</v>
      </c>
      <c r="B529" t="s">
        <v>154</v>
      </c>
      <c r="C529">
        <v>61516</v>
      </c>
      <c r="D529">
        <v>2019</v>
      </c>
      <c r="E529" t="s">
        <v>113</v>
      </c>
      <c r="F529" t="s">
        <v>859</v>
      </c>
      <c r="H529" t="s">
        <v>115</v>
      </c>
      <c r="I529">
        <v>6</v>
      </c>
      <c r="J529" t="s">
        <v>101</v>
      </c>
      <c r="K529">
        <v>4</v>
      </c>
      <c r="L529" t="s">
        <v>44</v>
      </c>
      <c r="M529">
        <v>3.6</v>
      </c>
      <c r="N529" t="s">
        <v>45</v>
      </c>
      <c r="O529" t="s">
        <v>46</v>
      </c>
      <c r="P529">
        <v>3</v>
      </c>
      <c r="Q529" t="s">
        <v>47</v>
      </c>
      <c r="R529" t="s">
        <v>365</v>
      </c>
      <c r="S529" t="s">
        <v>102</v>
      </c>
      <c r="T529">
        <v>283</v>
      </c>
      <c r="U529" t="s">
        <v>50</v>
      </c>
      <c r="V529" t="s">
        <v>64</v>
      </c>
      <c r="X529" t="s">
        <v>66</v>
      </c>
      <c r="Y529" t="s">
        <v>88</v>
      </c>
      <c r="AA529">
        <v>0</v>
      </c>
      <c r="AB529" t="s">
        <v>54</v>
      </c>
      <c r="AC529" t="s">
        <v>365</v>
      </c>
      <c r="AD529">
        <v>34</v>
      </c>
      <c r="AE529">
        <v>8</v>
      </c>
      <c r="AF529">
        <v>3</v>
      </c>
      <c r="AG529">
        <v>2025</v>
      </c>
      <c r="AH529" s="13">
        <v>15600</v>
      </c>
      <c r="AI529" s="13">
        <v>12393.86328125</v>
      </c>
      <c r="AJ529" s="13">
        <f t="shared" si="64"/>
        <v>3206.13671875</v>
      </c>
      <c r="AK529" s="14">
        <f t="shared" si="65"/>
        <v>0.2055215845352564</v>
      </c>
      <c r="AL529" s="9">
        <v>15600</v>
      </c>
      <c r="AM529" s="9">
        <v>14363.151148794341</v>
      </c>
      <c r="AN529" s="9">
        <f t="shared" si="66"/>
        <v>1236.8488512056592</v>
      </c>
      <c r="AO529" s="10">
        <f t="shared" si="67"/>
        <v>7.9285182769593537E-2</v>
      </c>
      <c r="AP529" s="16">
        <v>15600</v>
      </c>
      <c r="AQ529" s="16">
        <v>12310.09903755031</v>
      </c>
      <c r="AR529" s="16">
        <f t="shared" si="68"/>
        <v>3289.9009624496903</v>
      </c>
      <c r="AS529" s="17">
        <f t="shared" si="69"/>
        <v>0.2108910873365186</v>
      </c>
      <c r="AT529" s="6">
        <v>15600</v>
      </c>
      <c r="AU529" s="6">
        <v>13170.958984375</v>
      </c>
      <c r="AV529" s="6">
        <f t="shared" si="70"/>
        <v>2429.041015625</v>
      </c>
      <c r="AW529" s="7">
        <f t="shared" si="71"/>
        <v>0.15570775741185897</v>
      </c>
    </row>
    <row r="530" spans="1:49" x14ac:dyDescent="0.25">
      <c r="A530" t="s">
        <v>69</v>
      </c>
      <c r="B530" t="s">
        <v>70</v>
      </c>
      <c r="C530">
        <v>119172</v>
      </c>
      <c r="D530">
        <v>2016</v>
      </c>
      <c r="E530" t="s">
        <v>145</v>
      </c>
      <c r="F530" t="s">
        <v>307</v>
      </c>
      <c r="G530" t="s">
        <v>308</v>
      </c>
      <c r="I530">
        <v>6</v>
      </c>
      <c r="J530" t="s">
        <v>908</v>
      </c>
      <c r="K530">
        <v>4</v>
      </c>
      <c r="L530" t="s">
        <v>44</v>
      </c>
      <c r="M530">
        <v>3.5</v>
      </c>
      <c r="N530" t="s">
        <v>45</v>
      </c>
      <c r="O530" t="s">
        <v>46</v>
      </c>
      <c r="P530">
        <v>4</v>
      </c>
      <c r="Q530" t="s">
        <v>84</v>
      </c>
      <c r="R530" t="s">
        <v>85</v>
      </c>
      <c r="S530" t="s">
        <v>49</v>
      </c>
      <c r="T530">
        <v>278</v>
      </c>
      <c r="U530" t="s">
        <v>50</v>
      </c>
      <c r="V530" t="s">
        <v>64</v>
      </c>
      <c r="W530" t="s">
        <v>909</v>
      </c>
      <c r="X530" t="s">
        <v>52</v>
      </c>
      <c r="Y530" t="s">
        <v>67</v>
      </c>
      <c r="AA530">
        <v>0</v>
      </c>
      <c r="AB530" t="s">
        <v>54</v>
      </c>
      <c r="AC530" t="s">
        <v>89</v>
      </c>
      <c r="AD530">
        <v>34</v>
      </c>
      <c r="AE530">
        <v>8</v>
      </c>
      <c r="AF530">
        <v>3</v>
      </c>
      <c r="AG530">
        <v>2025</v>
      </c>
      <c r="AH530" s="13">
        <v>13200</v>
      </c>
      <c r="AI530" s="13">
        <v>10600.271484375</v>
      </c>
      <c r="AJ530" s="13">
        <f t="shared" si="64"/>
        <v>2599.728515625</v>
      </c>
      <c r="AK530" s="14">
        <f t="shared" si="65"/>
        <v>0.19694912997159092</v>
      </c>
      <c r="AL530" s="9">
        <v>13200</v>
      </c>
      <c r="AM530" s="9">
        <v>12100.630945384901</v>
      </c>
      <c r="AN530" s="9">
        <f t="shared" si="66"/>
        <v>1099.3690546150992</v>
      </c>
      <c r="AO530" s="10">
        <f t="shared" si="67"/>
        <v>8.3285534440537823E-2</v>
      </c>
      <c r="AP530" s="16">
        <v>13200</v>
      </c>
      <c r="AQ530" s="16">
        <v>9202.4742946647893</v>
      </c>
      <c r="AR530" s="16">
        <f t="shared" si="68"/>
        <v>3997.5257053352107</v>
      </c>
      <c r="AS530" s="17">
        <f t="shared" si="69"/>
        <v>0.3028428564647887</v>
      </c>
      <c r="AT530" s="6">
        <v>13200</v>
      </c>
      <c r="AU530" s="6">
        <v>10815.126953125</v>
      </c>
      <c r="AV530" s="6">
        <f t="shared" si="70"/>
        <v>2384.873046875</v>
      </c>
      <c r="AW530" s="7">
        <f t="shared" si="71"/>
        <v>0.18067220052083333</v>
      </c>
    </row>
    <row r="531" spans="1:49" x14ac:dyDescent="0.25">
      <c r="A531" t="s">
        <v>38</v>
      </c>
      <c r="B531" t="s">
        <v>229</v>
      </c>
      <c r="C531">
        <v>188539</v>
      </c>
      <c r="D531">
        <v>2001</v>
      </c>
      <c r="E531" t="s">
        <v>58</v>
      </c>
      <c r="F531" t="s">
        <v>168</v>
      </c>
      <c r="I531">
        <v>8</v>
      </c>
      <c r="J531" t="s">
        <v>177</v>
      </c>
      <c r="K531">
        <v>4</v>
      </c>
      <c r="L531" t="s">
        <v>44</v>
      </c>
      <c r="M531">
        <v>5.4</v>
      </c>
      <c r="N531" t="s">
        <v>116</v>
      </c>
      <c r="O531" t="s">
        <v>46</v>
      </c>
      <c r="P531">
        <v>3</v>
      </c>
      <c r="Q531" t="s">
        <v>75</v>
      </c>
      <c r="R531" t="s">
        <v>76</v>
      </c>
      <c r="S531" t="s">
        <v>49</v>
      </c>
      <c r="T531">
        <v>235</v>
      </c>
      <c r="U531" t="s">
        <v>50</v>
      </c>
      <c r="V531" t="s">
        <v>64</v>
      </c>
      <c r="X531" t="s">
        <v>66</v>
      </c>
      <c r="Y531" t="s">
        <v>67</v>
      </c>
      <c r="AA531">
        <v>0</v>
      </c>
      <c r="AB531" t="s">
        <v>54</v>
      </c>
      <c r="AC531" t="s">
        <v>78</v>
      </c>
      <c r="AD531">
        <v>34</v>
      </c>
      <c r="AE531">
        <v>8</v>
      </c>
      <c r="AF531">
        <v>3</v>
      </c>
      <c r="AG531">
        <v>2025</v>
      </c>
      <c r="AH531" s="13">
        <v>550</v>
      </c>
      <c r="AI531" s="13">
        <v>1520.998046875</v>
      </c>
      <c r="AJ531" s="13">
        <f t="shared" si="64"/>
        <v>970.998046875</v>
      </c>
      <c r="AK531" s="14">
        <f t="shared" si="65"/>
        <v>1.7654509943181818</v>
      </c>
      <c r="AL531" s="9">
        <v>550</v>
      </c>
      <c r="AM531" s="9">
        <v>1951.000319982008</v>
      </c>
      <c r="AN531" s="9">
        <f t="shared" si="66"/>
        <v>1401.000319982008</v>
      </c>
      <c r="AO531" s="10">
        <f t="shared" si="67"/>
        <v>2.5472733090581965</v>
      </c>
      <c r="AP531" s="16">
        <v>550</v>
      </c>
      <c r="AQ531" s="16">
        <v>1610.8084128525991</v>
      </c>
      <c r="AR531" s="16">
        <f t="shared" si="68"/>
        <v>1060.8084128525991</v>
      </c>
      <c r="AS531" s="17">
        <f t="shared" si="69"/>
        <v>1.9287425688229074</v>
      </c>
      <c r="AT531" s="6">
        <v>550</v>
      </c>
      <c r="AU531" s="6">
        <v>1644.35302734375</v>
      </c>
      <c r="AV531" s="6">
        <f t="shared" si="70"/>
        <v>1094.35302734375</v>
      </c>
      <c r="AW531" s="7">
        <f t="shared" si="71"/>
        <v>1.9897327769886364</v>
      </c>
    </row>
    <row r="532" spans="1:49" x14ac:dyDescent="0.25">
      <c r="A532" t="s">
        <v>38</v>
      </c>
      <c r="B532" t="s">
        <v>267</v>
      </c>
      <c r="C532">
        <v>171510</v>
      </c>
      <c r="D532">
        <v>2016</v>
      </c>
      <c r="E532" t="s">
        <v>217</v>
      </c>
      <c r="F532" t="s">
        <v>162</v>
      </c>
      <c r="G532" t="s">
        <v>218</v>
      </c>
      <c r="H532" t="s">
        <v>299</v>
      </c>
      <c r="I532">
        <v>6</v>
      </c>
      <c r="J532" t="s">
        <v>43</v>
      </c>
      <c r="K532">
        <v>4</v>
      </c>
      <c r="L532" t="s">
        <v>44</v>
      </c>
      <c r="M532">
        <v>3.6</v>
      </c>
      <c r="N532" t="s">
        <v>116</v>
      </c>
      <c r="O532" t="s">
        <v>42</v>
      </c>
      <c r="P532">
        <v>1</v>
      </c>
      <c r="Q532" t="s">
        <v>75</v>
      </c>
      <c r="R532" t="s">
        <v>76</v>
      </c>
      <c r="S532" t="s">
        <v>49</v>
      </c>
      <c r="U532" t="s">
        <v>50</v>
      </c>
      <c r="X532" t="s">
        <v>66</v>
      </c>
      <c r="Y532" t="s">
        <v>67</v>
      </c>
      <c r="AA532">
        <v>0</v>
      </c>
      <c r="AB532" t="s">
        <v>54</v>
      </c>
      <c r="AC532" t="s">
        <v>78</v>
      </c>
      <c r="AD532">
        <v>34</v>
      </c>
      <c r="AE532">
        <v>8</v>
      </c>
      <c r="AF532">
        <v>3</v>
      </c>
      <c r="AG532">
        <v>2025</v>
      </c>
      <c r="AH532" s="13">
        <v>2250</v>
      </c>
      <c r="AI532" s="13">
        <v>3156.356201171875</v>
      </c>
      <c r="AJ532" s="13">
        <f t="shared" si="64"/>
        <v>906.356201171875</v>
      </c>
      <c r="AK532" s="14">
        <f t="shared" si="65"/>
        <v>0.40282497829861114</v>
      </c>
      <c r="AL532" s="9">
        <v>2250</v>
      </c>
      <c r="AM532" s="9">
        <v>1959.1120041317049</v>
      </c>
      <c r="AN532" s="9">
        <f t="shared" si="66"/>
        <v>290.88799586829509</v>
      </c>
      <c r="AO532" s="10">
        <f t="shared" si="67"/>
        <v>0.12928355371924227</v>
      </c>
      <c r="AP532" s="16">
        <v>2250</v>
      </c>
      <c r="AQ532" s="16">
        <v>2456.576482266777</v>
      </c>
      <c r="AR532" s="16">
        <f t="shared" si="68"/>
        <v>206.57648226677702</v>
      </c>
      <c r="AS532" s="17">
        <f t="shared" si="69"/>
        <v>9.1811769896345347E-2</v>
      </c>
      <c r="AT532" s="6">
        <v>2250</v>
      </c>
      <c r="AU532" s="6">
        <v>2136.4287109375</v>
      </c>
      <c r="AV532" s="6">
        <f t="shared" si="70"/>
        <v>113.5712890625</v>
      </c>
      <c r="AW532" s="7">
        <f t="shared" si="71"/>
        <v>5.0476128472222222E-2</v>
      </c>
    </row>
    <row r="533" spans="1:49" x14ac:dyDescent="0.25">
      <c r="A533" t="s">
        <v>56</v>
      </c>
      <c r="B533" t="s">
        <v>57</v>
      </c>
      <c r="C533">
        <v>95159</v>
      </c>
      <c r="D533">
        <v>2011</v>
      </c>
      <c r="E533" t="s">
        <v>269</v>
      </c>
      <c r="F533" t="s">
        <v>910</v>
      </c>
      <c r="H533" t="s">
        <v>911</v>
      </c>
      <c r="I533">
        <v>8</v>
      </c>
      <c r="J533" t="s">
        <v>82</v>
      </c>
      <c r="K533">
        <v>4</v>
      </c>
      <c r="L533" t="s">
        <v>44</v>
      </c>
      <c r="M533">
        <v>4.4000000000000004</v>
      </c>
      <c r="N533" t="s">
        <v>44</v>
      </c>
      <c r="O533" t="s">
        <v>46</v>
      </c>
      <c r="Q533" t="s">
        <v>84</v>
      </c>
      <c r="R533" t="s">
        <v>85</v>
      </c>
      <c r="T533">
        <v>400</v>
      </c>
      <c r="U533" t="s">
        <v>50</v>
      </c>
      <c r="X533" t="s">
        <v>87</v>
      </c>
      <c r="Y533" t="s">
        <v>244</v>
      </c>
      <c r="AA533">
        <v>0</v>
      </c>
      <c r="AB533" t="s">
        <v>54</v>
      </c>
      <c r="AC533" t="s">
        <v>89</v>
      </c>
      <c r="AD533">
        <v>34</v>
      </c>
      <c r="AE533">
        <v>8</v>
      </c>
      <c r="AF533">
        <v>3</v>
      </c>
      <c r="AG533">
        <v>2025</v>
      </c>
      <c r="AH533" s="13">
        <v>6000</v>
      </c>
      <c r="AI533" s="13">
        <v>3161.0029296875</v>
      </c>
      <c r="AJ533" s="13">
        <f t="shared" si="64"/>
        <v>2838.9970703125</v>
      </c>
      <c r="AK533" s="14">
        <f t="shared" si="65"/>
        <v>0.47316617838541669</v>
      </c>
      <c r="AL533" s="9">
        <v>6000</v>
      </c>
      <c r="AM533" s="9">
        <v>4407.6658991145468</v>
      </c>
      <c r="AN533" s="9">
        <f t="shared" si="66"/>
        <v>1592.3341008854532</v>
      </c>
      <c r="AO533" s="10">
        <f t="shared" si="67"/>
        <v>0.26538901681424221</v>
      </c>
      <c r="AP533" s="16">
        <v>6000</v>
      </c>
      <c r="AQ533" s="16">
        <v>5404.6379988437966</v>
      </c>
      <c r="AR533" s="16">
        <f t="shared" si="68"/>
        <v>595.36200115620341</v>
      </c>
      <c r="AS533" s="17">
        <f t="shared" si="69"/>
        <v>9.9227000192700573E-2</v>
      </c>
      <c r="AT533" s="6">
        <v>6000</v>
      </c>
      <c r="AU533" s="6">
        <v>4558.5283203125</v>
      </c>
      <c r="AV533" s="6">
        <f t="shared" si="70"/>
        <v>1441.4716796875</v>
      </c>
      <c r="AW533" s="7">
        <f t="shared" si="71"/>
        <v>0.24024527994791667</v>
      </c>
    </row>
    <row r="534" spans="1:49" x14ac:dyDescent="0.25">
      <c r="A534" t="s">
        <v>38</v>
      </c>
      <c r="B534" t="s">
        <v>410</v>
      </c>
      <c r="C534">
        <v>177115</v>
      </c>
      <c r="D534">
        <v>2007</v>
      </c>
      <c r="E534" t="s">
        <v>79</v>
      </c>
      <c r="F534" t="s">
        <v>912</v>
      </c>
      <c r="H534" t="s">
        <v>913</v>
      </c>
      <c r="I534">
        <v>8</v>
      </c>
      <c r="J534" t="s">
        <v>43</v>
      </c>
      <c r="K534">
        <v>2</v>
      </c>
      <c r="L534" t="s">
        <v>44</v>
      </c>
      <c r="M534">
        <v>6.6</v>
      </c>
      <c r="N534" t="s">
        <v>116</v>
      </c>
      <c r="O534" t="s">
        <v>42</v>
      </c>
      <c r="P534">
        <v>1</v>
      </c>
      <c r="Q534" t="s">
        <v>455</v>
      </c>
      <c r="R534" t="s">
        <v>506</v>
      </c>
      <c r="S534" t="s">
        <v>49</v>
      </c>
      <c r="U534" t="s">
        <v>300</v>
      </c>
      <c r="V534" t="s">
        <v>64</v>
      </c>
      <c r="W534" t="s">
        <v>914</v>
      </c>
      <c r="X534" t="s">
        <v>507</v>
      </c>
      <c r="Y534" t="s">
        <v>67</v>
      </c>
      <c r="AA534">
        <v>0</v>
      </c>
      <c r="AB534" t="s">
        <v>54</v>
      </c>
      <c r="AC534" t="s">
        <v>458</v>
      </c>
      <c r="AD534">
        <v>34</v>
      </c>
      <c r="AE534">
        <v>8</v>
      </c>
      <c r="AF534">
        <v>3</v>
      </c>
      <c r="AG534">
        <v>2025</v>
      </c>
      <c r="AH534" s="13">
        <v>2200</v>
      </c>
      <c r="AI534" s="13">
        <v>2291.556640625</v>
      </c>
      <c r="AJ534" s="13">
        <f t="shared" si="64"/>
        <v>91.556640625</v>
      </c>
      <c r="AK534" s="14">
        <f t="shared" si="65"/>
        <v>4.1616654829545456E-2</v>
      </c>
      <c r="AL534" s="9">
        <v>2200</v>
      </c>
      <c r="AM534" s="9">
        <v>1995.963104099417</v>
      </c>
      <c r="AN534" s="9">
        <f t="shared" si="66"/>
        <v>204.03689590058298</v>
      </c>
      <c r="AO534" s="10">
        <f t="shared" si="67"/>
        <v>9.274404359117408E-2</v>
      </c>
      <c r="AP534" s="16">
        <v>2200</v>
      </c>
      <c r="AQ534" s="16">
        <v>1473.0544838351871</v>
      </c>
      <c r="AR534" s="16">
        <f t="shared" si="68"/>
        <v>726.94551616481294</v>
      </c>
      <c r="AS534" s="17">
        <f t="shared" si="69"/>
        <v>0.33042978007491497</v>
      </c>
      <c r="AT534" s="6">
        <v>2200</v>
      </c>
      <c r="AU534" s="6">
        <v>1882.081298828125</v>
      </c>
      <c r="AV534" s="6">
        <f t="shared" si="70"/>
        <v>317.918701171875</v>
      </c>
      <c r="AW534" s="7">
        <f t="shared" si="71"/>
        <v>0.14450850053267045</v>
      </c>
    </row>
    <row r="535" spans="1:49" x14ac:dyDescent="0.25">
      <c r="A535" t="s">
        <v>56</v>
      </c>
      <c r="B535" t="s">
        <v>123</v>
      </c>
      <c r="C535">
        <v>133249</v>
      </c>
      <c r="D535">
        <v>2017</v>
      </c>
      <c r="E535" t="s">
        <v>173</v>
      </c>
      <c r="F535" t="s">
        <v>733</v>
      </c>
      <c r="G535" t="s">
        <v>915</v>
      </c>
      <c r="H535" t="s">
        <v>916</v>
      </c>
      <c r="I535">
        <v>4</v>
      </c>
      <c r="J535" t="s">
        <v>82</v>
      </c>
      <c r="K535">
        <v>4</v>
      </c>
      <c r="L535" t="s">
        <v>44</v>
      </c>
      <c r="M535">
        <v>2.4</v>
      </c>
      <c r="N535" t="s">
        <v>62</v>
      </c>
      <c r="O535" t="s">
        <v>46</v>
      </c>
      <c r="P535">
        <v>4</v>
      </c>
      <c r="Q535" t="s">
        <v>47</v>
      </c>
      <c r="R535" t="s">
        <v>48</v>
      </c>
      <c r="S535" t="s">
        <v>63</v>
      </c>
      <c r="U535" t="s">
        <v>50</v>
      </c>
      <c r="V535" t="s">
        <v>95</v>
      </c>
      <c r="X535" t="s">
        <v>52</v>
      </c>
      <c r="Y535" t="s">
        <v>67</v>
      </c>
      <c r="Z535">
        <v>22540</v>
      </c>
      <c r="AA535">
        <v>0</v>
      </c>
      <c r="AB535" t="s">
        <v>54</v>
      </c>
      <c r="AC535" t="s">
        <v>55</v>
      </c>
      <c r="AD535">
        <v>34</v>
      </c>
      <c r="AE535">
        <v>8</v>
      </c>
      <c r="AF535">
        <v>3</v>
      </c>
      <c r="AG535">
        <v>2025</v>
      </c>
      <c r="AH535" s="13">
        <v>600</v>
      </c>
      <c r="AI535" s="13">
        <v>3556.702880859375</v>
      </c>
      <c r="AJ535" s="13">
        <f t="shared" si="64"/>
        <v>2956.702880859375</v>
      </c>
      <c r="AK535" s="14">
        <f t="shared" si="65"/>
        <v>4.9278381347656248</v>
      </c>
      <c r="AL535" s="9">
        <v>600</v>
      </c>
      <c r="AM535" s="9">
        <v>3821.105846583434</v>
      </c>
      <c r="AN535" s="9">
        <f t="shared" si="66"/>
        <v>3221.105846583434</v>
      </c>
      <c r="AO535" s="10">
        <f t="shared" si="67"/>
        <v>5.3685097443057233</v>
      </c>
      <c r="AP535" s="16">
        <v>600</v>
      </c>
      <c r="AQ535" s="16">
        <v>2979.9483038003291</v>
      </c>
      <c r="AR535" s="16">
        <f t="shared" si="68"/>
        <v>2379.9483038003291</v>
      </c>
      <c r="AS535" s="17">
        <f t="shared" si="69"/>
        <v>3.9665805063338819</v>
      </c>
      <c r="AT535" s="6">
        <v>600</v>
      </c>
      <c r="AU535" s="6">
        <v>3518.323974609375</v>
      </c>
      <c r="AV535" s="6">
        <f t="shared" si="70"/>
        <v>2918.323974609375</v>
      </c>
      <c r="AW535" s="7">
        <f t="shared" si="71"/>
        <v>4.8638732910156248</v>
      </c>
    </row>
    <row r="536" spans="1:49" x14ac:dyDescent="0.25">
      <c r="A536" t="s">
        <v>56</v>
      </c>
      <c r="B536" t="s">
        <v>178</v>
      </c>
      <c r="C536">
        <v>91392</v>
      </c>
      <c r="D536">
        <v>2014</v>
      </c>
      <c r="E536" t="s">
        <v>217</v>
      </c>
      <c r="F536" t="s">
        <v>162</v>
      </c>
      <c r="G536" t="s">
        <v>60</v>
      </c>
      <c r="I536">
        <v>8</v>
      </c>
      <c r="J536" t="s">
        <v>101</v>
      </c>
      <c r="K536">
        <v>4</v>
      </c>
      <c r="L536" t="s">
        <v>44</v>
      </c>
      <c r="M536">
        <v>5.7</v>
      </c>
      <c r="N536" t="s">
        <v>62</v>
      </c>
      <c r="O536" t="s">
        <v>46</v>
      </c>
      <c r="P536">
        <v>4</v>
      </c>
      <c r="Q536" t="s">
        <v>75</v>
      </c>
      <c r="R536" t="s">
        <v>76</v>
      </c>
      <c r="S536" t="s">
        <v>63</v>
      </c>
      <c r="U536" t="s">
        <v>50</v>
      </c>
      <c r="X536" t="s">
        <v>66</v>
      </c>
      <c r="Y536" t="s">
        <v>67</v>
      </c>
      <c r="AA536">
        <v>0</v>
      </c>
      <c r="AB536" t="s">
        <v>54</v>
      </c>
      <c r="AC536" t="s">
        <v>78</v>
      </c>
      <c r="AD536">
        <v>34</v>
      </c>
      <c r="AE536">
        <v>8</v>
      </c>
      <c r="AF536">
        <v>3</v>
      </c>
      <c r="AG536">
        <v>2025</v>
      </c>
      <c r="AH536" s="13">
        <v>13700</v>
      </c>
      <c r="AI536" s="13">
        <v>12811.0126953125</v>
      </c>
      <c r="AJ536" s="13">
        <f t="shared" si="64"/>
        <v>888.9873046875</v>
      </c>
      <c r="AK536" s="14">
        <f t="shared" si="65"/>
        <v>6.4889584283759127E-2</v>
      </c>
      <c r="AL536" s="9">
        <v>13700</v>
      </c>
      <c r="AM536" s="9">
        <v>12686.994800841559</v>
      </c>
      <c r="AN536" s="9">
        <f t="shared" si="66"/>
        <v>1013.0051991584405</v>
      </c>
      <c r="AO536" s="10">
        <f t="shared" si="67"/>
        <v>7.3941985340032157E-2</v>
      </c>
      <c r="AP536" s="16">
        <v>13700</v>
      </c>
      <c r="AQ536" s="16">
        <v>11112.61808869374</v>
      </c>
      <c r="AR536" s="16">
        <f t="shared" si="68"/>
        <v>2587.38191130626</v>
      </c>
      <c r="AS536" s="17">
        <f t="shared" si="69"/>
        <v>0.18885999352600438</v>
      </c>
      <c r="AT536" s="6">
        <v>13700</v>
      </c>
      <c r="AU536" s="6">
        <v>12745.2021484375</v>
      </c>
      <c r="AV536" s="6">
        <f t="shared" si="70"/>
        <v>954.7978515625</v>
      </c>
      <c r="AW536" s="7">
        <f t="shared" si="71"/>
        <v>6.9693273836678837E-2</v>
      </c>
    </row>
    <row r="537" spans="1:49" x14ac:dyDescent="0.25">
      <c r="A537" t="s">
        <v>38</v>
      </c>
      <c r="B537" t="s">
        <v>39</v>
      </c>
      <c r="C537">
        <v>101543</v>
      </c>
      <c r="D537">
        <v>2017</v>
      </c>
      <c r="E537" t="s">
        <v>58</v>
      </c>
      <c r="F537" t="s">
        <v>425</v>
      </c>
      <c r="H537" t="s">
        <v>917</v>
      </c>
      <c r="I537">
        <v>4</v>
      </c>
      <c r="J537" t="s">
        <v>43</v>
      </c>
      <c r="K537">
        <v>4</v>
      </c>
      <c r="L537" t="s">
        <v>44</v>
      </c>
      <c r="M537">
        <v>2</v>
      </c>
      <c r="N537" t="s">
        <v>45</v>
      </c>
      <c r="O537" t="s">
        <v>83</v>
      </c>
      <c r="P537">
        <v>1</v>
      </c>
      <c r="Q537" t="s">
        <v>84</v>
      </c>
      <c r="R537" t="s">
        <v>85</v>
      </c>
      <c r="T537">
        <v>188</v>
      </c>
      <c r="U537" t="s">
        <v>50</v>
      </c>
      <c r="V537" t="s">
        <v>95</v>
      </c>
      <c r="W537" t="s">
        <v>918</v>
      </c>
      <c r="X537" t="s">
        <v>87</v>
      </c>
      <c r="Y537" t="s">
        <v>106</v>
      </c>
      <c r="Z537">
        <v>26500</v>
      </c>
      <c r="AA537">
        <v>1</v>
      </c>
      <c r="AB537" t="s">
        <v>130</v>
      </c>
      <c r="AC537" t="s">
        <v>131</v>
      </c>
      <c r="AD537">
        <v>34</v>
      </c>
      <c r="AE537">
        <v>8</v>
      </c>
      <c r="AF537">
        <v>3</v>
      </c>
      <c r="AG537">
        <v>2025</v>
      </c>
      <c r="AH537" s="13">
        <v>2200</v>
      </c>
      <c r="AI537" s="13">
        <v>1842.75830078125</v>
      </c>
      <c r="AJ537" s="13">
        <f t="shared" si="64"/>
        <v>357.24169921875</v>
      </c>
      <c r="AK537" s="14">
        <f t="shared" si="65"/>
        <v>0.16238259055397727</v>
      </c>
      <c r="AL537" s="9">
        <v>2200</v>
      </c>
      <c r="AM537" s="9">
        <v>2053.112667835655</v>
      </c>
      <c r="AN537" s="9">
        <f t="shared" si="66"/>
        <v>146.88733216434503</v>
      </c>
      <c r="AO537" s="10">
        <f t="shared" si="67"/>
        <v>6.6766969165611381E-2</v>
      </c>
      <c r="AP537" s="16">
        <v>2200</v>
      </c>
      <c r="AQ537" s="16">
        <v>1297.692507582598</v>
      </c>
      <c r="AR537" s="16">
        <f t="shared" si="68"/>
        <v>902.30749241740205</v>
      </c>
      <c r="AS537" s="17">
        <f t="shared" si="69"/>
        <v>0.41013976928063728</v>
      </c>
      <c r="AT537" s="6">
        <v>2200</v>
      </c>
      <c r="AU537" s="6">
        <v>1714.566772460938</v>
      </c>
      <c r="AV537" s="6">
        <f t="shared" si="70"/>
        <v>485.43322753906205</v>
      </c>
      <c r="AW537" s="7">
        <f t="shared" si="71"/>
        <v>0.22065146706321001</v>
      </c>
    </row>
    <row r="538" spans="1:49" x14ac:dyDescent="0.25">
      <c r="A538" t="s">
        <v>38</v>
      </c>
      <c r="B538" t="s">
        <v>132</v>
      </c>
      <c r="C538">
        <v>84444</v>
      </c>
      <c r="D538">
        <v>2017</v>
      </c>
      <c r="E538" t="s">
        <v>382</v>
      </c>
      <c r="F538" t="s">
        <v>471</v>
      </c>
      <c r="G538" t="s">
        <v>472</v>
      </c>
      <c r="I538">
        <v>6</v>
      </c>
      <c r="J538" t="s">
        <v>74</v>
      </c>
      <c r="K538">
        <v>4</v>
      </c>
      <c r="L538" t="s">
        <v>44</v>
      </c>
      <c r="M538">
        <v>3.6</v>
      </c>
      <c r="N538" t="s">
        <v>45</v>
      </c>
      <c r="O538" t="s">
        <v>46</v>
      </c>
      <c r="P538">
        <v>5</v>
      </c>
      <c r="Q538" t="s">
        <v>47</v>
      </c>
      <c r="R538" t="s">
        <v>365</v>
      </c>
      <c r="S538" t="s">
        <v>102</v>
      </c>
      <c r="T538">
        <v>287</v>
      </c>
      <c r="U538" t="s">
        <v>50</v>
      </c>
      <c r="V538" t="s">
        <v>64</v>
      </c>
      <c r="X538" t="s">
        <v>66</v>
      </c>
      <c r="Y538" t="s">
        <v>88</v>
      </c>
      <c r="Z538">
        <v>34995</v>
      </c>
      <c r="AA538">
        <v>0</v>
      </c>
      <c r="AB538" t="s">
        <v>54</v>
      </c>
      <c r="AC538" t="s">
        <v>365</v>
      </c>
      <c r="AD538">
        <v>34</v>
      </c>
      <c r="AE538">
        <v>8</v>
      </c>
      <c r="AF538">
        <v>3</v>
      </c>
      <c r="AG538">
        <v>2025</v>
      </c>
      <c r="AH538" s="13">
        <v>13100</v>
      </c>
      <c r="AI538" s="13">
        <v>17303.671875</v>
      </c>
      <c r="AJ538" s="13">
        <f t="shared" si="64"/>
        <v>4203.671875</v>
      </c>
      <c r="AK538" s="14">
        <f t="shared" si="65"/>
        <v>0.32089098282442746</v>
      </c>
      <c r="AL538" s="9">
        <v>13100</v>
      </c>
      <c r="AM538" s="9">
        <v>13865.00323950687</v>
      </c>
      <c r="AN538" s="9">
        <f t="shared" si="66"/>
        <v>765.00323950687016</v>
      </c>
      <c r="AO538" s="10">
        <f t="shared" si="67"/>
        <v>5.8397193855486272E-2</v>
      </c>
      <c r="AP538" s="16">
        <v>13100</v>
      </c>
      <c r="AQ538" s="16">
        <v>13812.305970873889</v>
      </c>
      <c r="AR538" s="16">
        <f t="shared" si="68"/>
        <v>712.30597087388924</v>
      </c>
      <c r="AS538" s="17">
        <f t="shared" si="69"/>
        <v>5.4374501593426661E-2</v>
      </c>
      <c r="AT538" s="6">
        <v>13100</v>
      </c>
      <c r="AU538" s="6">
        <v>12291.1318359375</v>
      </c>
      <c r="AV538" s="6">
        <f t="shared" si="70"/>
        <v>808.8681640625</v>
      </c>
      <c r="AW538" s="7">
        <f t="shared" si="71"/>
        <v>6.1745661378816791E-2</v>
      </c>
    </row>
    <row r="539" spans="1:49" x14ac:dyDescent="0.25">
      <c r="A539" t="s">
        <v>69</v>
      </c>
      <c r="B539" t="s">
        <v>70</v>
      </c>
      <c r="C539">
        <v>124309</v>
      </c>
      <c r="D539">
        <v>2016</v>
      </c>
      <c r="E539" t="s">
        <v>124</v>
      </c>
      <c r="F539" t="s">
        <v>533</v>
      </c>
      <c r="G539" t="s">
        <v>905</v>
      </c>
      <c r="I539">
        <v>4</v>
      </c>
      <c r="J539" t="s">
        <v>74</v>
      </c>
      <c r="K539">
        <v>4</v>
      </c>
      <c r="L539" t="s">
        <v>44</v>
      </c>
      <c r="M539">
        <v>1.6</v>
      </c>
      <c r="N539" t="s">
        <v>45</v>
      </c>
      <c r="Q539" t="s">
        <v>47</v>
      </c>
      <c r="R539" t="s">
        <v>48</v>
      </c>
      <c r="U539" t="s">
        <v>50</v>
      </c>
      <c r="X539" t="s">
        <v>52</v>
      </c>
      <c r="Y539" t="s">
        <v>53</v>
      </c>
      <c r="AA539">
        <v>0</v>
      </c>
      <c r="AB539" t="s">
        <v>54</v>
      </c>
      <c r="AC539" t="s">
        <v>55</v>
      </c>
      <c r="AD539">
        <v>34</v>
      </c>
      <c r="AE539">
        <v>8</v>
      </c>
      <c r="AF539">
        <v>3</v>
      </c>
      <c r="AG539">
        <v>2025</v>
      </c>
      <c r="AH539" s="13">
        <v>5800</v>
      </c>
      <c r="AI539" s="13">
        <v>4373.17578125</v>
      </c>
      <c r="AJ539" s="13">
        <f t="shared" si="64"/>
        <v>1426.82421875</v>
      </c>
      <c r="AK539" s="14">
        <f t="shared" si="65"/>
        <v>0.24600417564655172</v>
      </c>
      <c r="AL539" s="9">
        <v>5800</v>
      </c>
      <c r="AM539" s="9">
        <v>4049.7378645327681</v>
      </c>
      <c r="AN539" s="9">
        <f t="shared" si="66"/>
        <v>1750.2621354672319</v>
      </c>
      <c r="AO539" s="10">
        <f t="shared" si="67"/>
        <v>0.30176933370124687</v>
      </c>
      <c r="AP539" s="16">
        <v>5800</v>
      </c>
      <c r="AQ539" s="16">
        <v>4290.3232686296906</v>
      </c>
      <c r="AR539" s="16">
        <f t="shared" si="68"/>
        <v>1509.6767313703094</v>
      </c>
      <c r="AS539" s="17">
        <f t="shared" si="69"/>
        <v>0.26028909161557057</v>
      </c>
      <c r="AT539" s="6">
        <v>5800</v>
      </c>
      <c r="AU539" s="6">
        <v>4101.857421875</v>
      </c>
      <c r="AV539" s="6">
        <f t="shared" si="70"/>
        <v>1698.142578125</v>
      </c>
      <c r="AW539" s="7">
        <f t="shared" si="71"/>
        <v>0.292783203125</v>
      </c>
    </row>
    <row r="540" spans="1:49" x14ac:dyDescent="0.25">
      <c r="A540" t="s">
        <v>69</v>
      </c>
      <c r="B540" t="s">
        <v>112</v>
      </c>
      <c r="C540">
        <v>149001</v>
      </c>
      <c r="D540">
        <v>2002</v>
      </c>
      <c r="E540" t="s">
        <v>269</v>
      </c>
      <c r="F540" t="s">
        <v>919</v>
      </c>
      <c r="I540">
        <v>6</v>
      </c>
      <c r="J540" t="s">
        <v>82</v>
      </c>
      <c r="K540">
        <v>4</v>
      </c>
      <c r="L540" t="s">
        <v>44</v>
      </c>
      <c r="M540">
        <v>2.5</v>
      </c>
      <c r="N540" t="s">
        <v>44</v>
      </c>
      <c r="O540" t="s">
        <v>46</v>
      </c>
      <c r="Q540" t="s">
        <v>84</v>
      </c>
      <c r="R540" t="s">
        <v>85</v>
      </c>
      <c r="S540" t="s">
        <v>139</v>
      </c>
      <c r="U540" t="s">
        <v>50</v>
      </c>
      <c r="X540" t="s">
        <v>87</v>
      </c>
      <c r="Y540" t="s">
        <v>244</v>
      </c>
      <c r="AA540">
        <v>0</v>
      </c>
      <c r="AB540" t="s">
        <v>54</v>
      </c>
      <c r="AC540" t="s">
        <v>89</v>
      </c>
      <c r="AD540">
        <v>34</v>
      </c>
      <c r="AE540">
        <v>8</v>
      </c>
      <c r="AF540">
        <v>3</v>
      </c>
      <c r="AG540">
        <v>2025</v>
      </c>
      <c r="AH540" s="13">
        <v>600</v>
      </c>
      <c r="AI540" s="13">
        <v>614.76910400390625</v>
      </c>
      <c r="AJ540" s="13">
        <f t="shared" si="64"/>
        <v>14.76910400390625</v>
      </c>
      <c r="AK540" s="14">
        <f t="shared" si="65"/>
        <v>2.4615173339843751E-2</v>
      </c>
      <c r="AL540" s="9">
        <v>600</v>
      </c>
      <c r="AM540" s="9">
        <v>907.93271036061992</v>
      </c>
      <c r="AN540" s="9">
        <f t="shared" si="66"/>
        <v>307.93271036061992</v>
      </c>
      <c r="AO540" s="10">
        <f t="shared" si="67"/>
        <v>0.51322118393436655</v>
      </c>
      <c r="AP540" s="16">
        <v>600</v>
      </c>
      <c r="AQ540" s="16">
        <v>1064.9082734540291</v>
      </c>
      <c r="AR540" s="16">
        <f t="shared" si="68"/>
        <v>464.90827345402909</v>
      </c>
      <c r="AS540" s="17">
        <f t="shared" si="69"/>
        <v>0.77484712242338183</v>
      </c>
      <c r="AT540" s="6">
        <v>600</v>
      </c>
      <c r="AU540" s="6">
        <v>854.13946533203125</v>
      </c>
      <c r="AV540" s="6">
        <f t="shared" si="70"/>
        <v>254.13946533203125</v>
      </c>
      <c r="AW540" s="7">
        <f t="shared" si="71"/>
        <v>0.42356577555338543</v>
      </c>
    </row>
    <row r="541" spans="1:49" x14ac:dyDescent="0.25">
      <c r="A541" t="s">
        <v>38</v>
      </c>
      <c r="B541" t="s">
        <v>267</v>
      </c>
      <c r="C541">
        <v>175861</v>
      </c>
      <c r="D541">
        <v>2015</v>
      </c>
      <c r="E541" t="s">
        <v>40</v>
      </c>
      <c r="F541" t="s">
        <v>295</v>
      </c>
      <c r="G541" t="s">
        <v>920</v>
      </c>
      <c r="I541">
        <v>4</v>
      </c>
      <c r="J541" t="s">
        <v>43</v>
      </c>
      <c r="K541">
        <v>4</v>
      </c>
      <c r="L541" t="s">
        <v>44</v>
      </c>
      <c r="M541">
        <v>2.4</v>
      </c>
      <c r="N541" t="s">
        <v>45</v>
      </c>
      <c r="O541" t="s">
        <v>46</v>
      </c>
      <c r="P541">
        <v>3</v>
      </c>
      <c r="Q541" t="s">
        <v>84</v>
      </c>
      <c r="R541" t="s">
        <v>85</v>
      </c>
      <c r="U541" t="s">
        <v>50</v>
      </c>
      <c r="W541" t="s">
        <v>921</v>
      </c>
      <c r="X541" t="s">
        <v>87</v>
      </c>
      <c r="Y541" t="s">
        <v>53</v>
      </c>
      <c r="AA541">
        <v>0</v>
      </c>
      <c r="AB541" t="s">
        <v>54</v>
      </c>
      <c r="AC541" t="s">
        <v>89</v>
      </c>
      <c r="AD541">
        <v>34</v>
      </c>
      <c r="AE541">
        <v>8</v>
      </c>
      <c r="AF541">
        <v>3</v>
      </c>
      <c r="AG541">
        <v>2025</v>
      </c>
      <c r="AH541" s="13">
        <v>1500</v>
      </c>
      <c r="AI541" s="13">
        <v>1471.699951171875</v>
      </c>
      <c r="AJ541" s="13">
        <f t="shared" si="64"/>
        <v>28.300048828125</v>
      </c>
      <c r="AK541" s="14">
        <f t="shared" si="65"/>
        <v>1.8866699218750001E-2</v>
      </c>
      <c r="AL541" s="9">
        <v>1500</v>
      </c>
      <c r="AM541" s="9">
        <v>1356.659394145951</v>
      </c>
      <c r="AN541" s="9">
        <f t="shared" si="66"/>
        <v>143.34060585404904</v>
      </c>
      <c r="AO541" s="10">
        <f t="shared" si="67"/>
        <v>9.5560403902699362E-2</v>
      </c>
      <c r="AP541" s="16">
        <v>1500</v>
      </c>
      <c r="AQ541" s="16">
        <v>1141.395373860744</v>
      </c>
      <c r="AR541" s="16">
        <f t="shared" si="68"/>
        <v>358.60462613925597</v>
      </c>
      <c r="AS541" s="17">
        <f t="shared" si="69"/>
        <v>0.23906975075950399</v>
      </c>
      <c r="AT541" s="6">
        <v>1500</v>
      </c>
      <c r="AU541" s="6">
        <v>1330.287841796875</v>
      </c>
      <c r="AV541" s="6">
        <f t="shared" si="70"/>
        <v>169.712158203125</v>
      </c>
      <c r="AW541" s="7">
        <f t="shared" si="71"/>
        <v>0.11314143880208333</v>
      </c>
    </row>
    <row r="542" spans="1:49" x14ac:dyDescent="0.25">
      <c r="A542" t="s">
        <v>69</v>
      </c>
      <c r="B542" t="s">
        <v>70</v>
      </c>
      <c r="C542">
        <v>77048</v>
      </c>
      <c r="D542">
        <v>2020</v>
      </c>
      <c r="E542" t="s">
        <v>124</v>
      </c>
      <c r="F542" t="s">
        <v>125</v>
      </c>
      <c r="G542" t="s">
        <v>922</v>
      </c>
      <c r="I542">
        <v>4</v>
      </c>
      <c r="J542" t="s">
        <v>82</v>
      </c>
      <c r="K542">
        <v>4</v>
      </c>
      <c r="L542" t="s">
        <v>44</v>
      </c>
      <c r="M542">
        <v>2</v>
      </c>
      <c r="N542" t="s">
        <v>45</v>
      </c>
      <c r="O542" t="s">
        <v>46</v>
      </c>
      <c r="P542">
        <v>2</v>
      </c>
      <c r="Q542" t="s">
        <v>84</v>
      </c>
      <c r="R542" t="s">
        <v>85</v>
      </c>
      <c r="S542" t="s">
        <v>102</v>
      </c>
      <c r="T542">
        <v>147</v>
      </c>
      <c r="U542" t="s">
        <v>50</v>
      </c>
      <c r="W542" t="s">
        <v>353</v>
      </c>
      <c r="X542" t="s">
        <v>87</v>
      </c>
      <c r="Y542" t="s">
        <v>67</v>
      </c>
      <c r="Z542">
        <v>18200</v>
      </c>
      <c r="AA542">
        <v>0</v>
      </c>
      <c r="AB542" t="s">
        <v>54</v>
      </c>
      <c r="AC542" t="s">
        <v>89</v>
      </c>
      <c r="AD542">
        <v>34</v>
      </c>
      <c r="AE542">
        <v>8</v>
      </c>
      <c r="AF542">
        <v>3</v>
      </c>
      <c r="AG542">
        <v>2025</v>
      </c>
      <c r="AH542" s="13">
        <v>4000</v>
      </c>
      <c r="AI542" s="13">
        <v>6418.4267578125</v>
      </c>
      <c r="AJ542" s="13">
        <f t="shared" si="64"/>
        <v>2418.4267578125</v>
      </c>
      <c r="AK542" s="14">
        <f t="shared" si="65"/>
        <v>0.60460668945312501</v>
      </c>
      <c r="AL542" s="9">
        <v>4000</v>
      </c>
      <c r="AM542" s="9">
        <v>7387.0860668267087</v>
      </c>
      <c r="AN542" s="9">
        <f t="shared" si="66"/>
        <v>3387.0860668267087</v>
      </c>
      <c r="AO542" s="10">
        <f t="shared" si="67"/>
        <v>0.84677151670667716</v>
      </c>
      <c r="AP542" s="16">
        <v>4000</v>
      </c>
      <c r="AQ542" s="16">
        <v>6035.6028821956288</v>
      </c>
      <c r="AR542" s="16">
        <f t="shared" si="68"/>
        <v>2035.6028821956288</v>
      </c>
      <c r="AS542" s="17">
        <f t="shared" si="69"/>
        <v>0.50890072054890723</v>
      </c>
      <c r="AT542" s="6">
        <v>4000</v>
      </c>
      <c r="AU542" s="6">
        <v>7326.9375</v>
      </c>
      <c r="AV542" s="6">
        <f t="shared" si="70"/>
        <v>3326.9375</v>
      </c>
      <c r="AW542" s="7">
        <f t="shared" si="71"/>
        <v>0.83173437500000003</v>
      </c>
    </row>
    <row r="543" spans="1:49" x14ac:dyDescent="0.25">
      <c r="A543" t="s">
        <v>69</v>
      </c>
      <c r="B543" t="s">
        <v>70</v>
      </c>
      <c r="C543">
        <v>132497</v>
      </c>
      <c r="D543">
        <v>2018</v>
      </c>
      <c r="E543" t="s">
        <v>124</v>
      </c>
      <c r="F543" t="s">
        <v>125</v>
      </c>
      <c r="G543" t="s">
        <v>923</v>
      </c>
      <c r="I543">
        <v>4</v>
      </c>
      <c r="J543" t="s">
        <v>94</v>
      </c>
      <c r="K543">
        <v>4</v>
      </c>
      <c r="L543" t="s">
        <v>44</v>
      </c>
      <c r="M543">
        <v>2</v>
      </c>
      <c r="N543" t="s">
        <v>45</v>
      </c>
      <c r="O543" t="s">
        <v>46</v>
      </c>
      <c r="P543">
        <v>4</v>
      </c>
      <c r="Q543" t="s">
        <v>84</v>
      </c>
      <c r="R543" t="s">
        <v>85</v>
      </c>
      <c r="T543">
        <v>147</v>
      </c>
      <c r="U543" t="s">
        <v>50</v>
      </c>
      <c r="W543" t="s">
        <v>353</v>
      </c>
      <c r="X543" t="s">
        <v>87</v>
      </c>
      <c r="Y543" t="s">
        <v>67</v>
      </c>
      <c r="AA543">
        <v>0</v>
      </c>
      <c r="AB543" t="s">
        <v>54</v>
      </c>
      <c r="AC543" t="s">
        <v>89</v>
      </c>
      <c r="AD543">
        <v>34</v>
      </c>
      <c r="AE543">
        <v>8</v>
      </c>
      <c r="AF543">
        <v>3</v>
      </c>
      <c r="AG543">
        <v>2025</v>
      </c>
      <c r="AH543" s="13">
        <v>8500</v>
      </c>
      <c r="AI543" s="13">
        <v>4839.1416015625</v>
      </c>
      <c r="AJ543" s="13">
        <f t="shared" si="64"/>
        <v>3660.8583984375</v>
      </c>
      <c r="AK543" s="14">
        <f t="shared" si="65"/>
        <v>0.43068922334558823</v>
      </c>
      <c r="AL543" s="9">
        <v>8500</v>
      </c>
      <c r="AM543" s="9">
        <v>5387.5932191887869</v>
      </c>
      <c r="AN543" s="9">
        <f t="shared" si="66"/>
        <v>3112.4067808112131</v>
      </c>
      <c r="AO543" s="10">
        <f t="shared" si="67"/>
        <v>0.36616550362484862</v>
      </c>
      <c r="AP543" s="16">
        <v>8500</v>
      </c>
      <c r="AQ543" s="16">
        <v>4535.7782606509882</v>
      </c>
      <c r="AR543" s="16">
        <f t="shared" si="68"/>
        <v>3964.2217393490118</v>
      </c>
      <c r="AS543" s="17">
        <f t="shared" si="69"/>
        <v>0.4663790281587073</v>
      </c>
      <c r="AT543" s="6">
        <v>8500</v>
      </c>
      <c r="AU543" s="6">
        <v>5230.02099609375</v>
      </c>
      <c r="AV543" s="6">
        <f t="shared" si="70"/>
        <v>3269.97900390625</v>
      </c>
      <c r="AW543" s="7">
        <f t="shared" si="71"/>
        <v>0.38470341222426468</v>
      </c>
    </row>
    <row r="544" spans="1:49" x14ac:dyDescent="0.25">
      <c r="A544" t="s">
        <v>56</v>
      </c>
      <c r="B544" t="s">
        <v>144</v>
      </c>
      <c r="C544">
        <v>121747</v>
      </c>
      <c r="D544">
        <v>2015</v>
      </c>
      <c r="E544" t="s">
        <v>58</v>
      </c>
      <c r="F544" t="s">
        <v>168</v>
      </c>
      <c r="I544">
        <v>8</v>
      </c>
      <c r="J544" t="s">
        <v>74</v>
      </c>
      <c r="K544">
        <v>4</v>
      </c>
      <c r="L544" t="s">
        <v>44</v>
      </c>
      <c r="M544">
        <v>5</v>
      </c>
      <c r="N544" t="s">
        <v>62</v>
      </c>
      <c r="O544" t="s">
        <v>46</v>
      </c>
      <c r="P544">
        <v>2</v>
      </c>
      <c r="Q544" t="s">
        <v>75</v>
      </c>
      <c r="R544" t="s">
        <v>76</v>
      </c>
      <c r="S544" t="s">
        <v>63</v>
      </c>
      <c r="U544" t="s">
        <v>50</v>
      </c>
      <c r="V544" t="s">
        <v>64</v>
      </c>
      <c r="X544" t="s">
        <v>77</v>
      </c>
      <c r="Y544" t="s">
        <v>67</v>
      </c>
      <c r="AA544">
        <v>0</v>
      </c>
      <c r="AB544" t="s">
        <v>54</v>
      </c>
      <c r="AC544" t="s">
        <v>78</v>
      </c>
      <c r="AD544">
        <v>34</v>
      </c>
      <c r="AE544">
        <v>8</v>
      </c>
      <c r="AF544">
        <v>3</v>
      </c>
      <c r="AG544">
        <v>2025</v>
      </c>
      <c r="AH544" s="13">
        <v>6300</v>
      </c>
      <c r="AI544" s="13">
        <v>9380.123046875</v>
      </c>
      <c r="AJ544" s="13">
        <f t="shared" si="64"/>
        <v>3080.123046875</v>
      </c>
      <c r="AK544" s="14">
        <f t="shared" si="65"/>
        <v>0.48890842013888891</v>
      </c>
      <c r="AL544" s="9">
        <v>6300</v>
      </c>
      <c r="AM544" s="9">
        <v>11828.17336193504</v>
      </c>
      <c r="AN544" s="9">
        <f t="shared" si="66"/>
        <v>5528.1733619350398</v>
      </c>
      <c r="AO544" s="10">
        <f t="shared" si="67"/>
        <v>0.87748783522778406</v>
      </c>
      <c r="AP544" s="16">
        <v>6300</v>
      </c>
      <c r="AQ544" s="16">
        <v>12852.35325937408</v>
      </c>
      <c r="AR544" s="16">
        <f t="shared" si="68"/>
        <v>6552.3532593740802</v>
      </c>
      <c r="AS544" s="17">
        <f t="shared" si="69"/>
        <v>1.0400560729165207</v>
      </c>
      <c r="AT544" s="6">
        <v>6300</v>
      </c>
      <c r="AU544" s="6">
        <v>11269.66796875</v>
      </c>
      <c r="AV544" s="6">
        <f t="shared" si="70"/>
        <v>4969.66796875</v>
      </c>
      <c r="AW544" s="7">
        <f t="shared" si="71"/>
        <v>0.78883618551587298</v>
      </c>
    </row>
    <row r="545" spans="1:49" x14ac:dyDescent="0.25">
      <c r="A545" t="s">
        <v>56</v>
      </c>
      <c r="B545" t="s">
        <v>144</v>
      </c>
      <c r="C545">
        <v>66354</v>
      </c>
      <c r="D545">
        <v>2019</v>
      </c>
      <c r="E545" t="s">
        <v>173</v>
      </c>
      <c r="F545" t="s">
        <v>174</v>
      </c>
      <c r="H545" t="s">
        <v>171</v>
      </c>
      <c r="I545">
        <v>4</v>
      </c>
      <c r="J545" t="s">
        <v>82</v>
      </c>
      <c r="K545">
        <v>4</v>
      </c>
      <c r="L545" t="s">
        <v>44</v>
      </c>
      <c r="M545">
        <v>2</v>
      </c>
      <c r="N545" t="s">
        <v>62</v>
      </c>
      <c r="O545" t="s">
        <v>46</v>
      </c>
      <c r="P545">
        <v>5</v>
      </c>
      <c r="Q545" t="s">
        <v>47</v>
      </c>
      <c r="R545" t="s">
        <v>48</v>
      </c>
      <c r="S545" t="s">
        <v>63</v>
      </c>
      <c r="T545">
        <v>270</v>
      </c>
      <c r="X545" t="s">
        <v>141</v>
      </c>
      <c r="Y545" t="s">
        <v>67</v>
      </c>
      <c r="Z545">
        <v>31450</v>
      </c>
      <c r="AA545">
        <v>0</v>
      </c>
      <c r="AB545" t="s">
        <v>54</v>
      </c>
      <c r="AC545" t="s">
        <v>55</v>
      </c>
      <c r="AD545">
        <v>34</v>
      </c>
      <c r="AE545">
        <v>8</v>
      </c>
      <c r="AF545">
        <v>3</v>
      </c>
      <c r="AG545">
        <v>2025</v>
      </c>
      <c r="AH545" s="13">
        <v>12000</v>
      </c>
      <c r="AI545" s="13">
        <v>14114.287109375</v>
      </c>
      <c r="AJ545" s="13">
        <f t="shared" si="64"/>
        <v>2114.287109375</v>
      </c>
      <c r="AK545" s="14">
        <f t="shared" si="65"/>
        <v>0.17619059244791666</v>
      </c>
      <c r="AL545" s="9">
        <v>12000</v>
      </c>
      <c r="AM545" s="9">
        <v>16849.150482280111</v>
      </c>
      <c r="AN545" s="9">
        <f t="shared" si="66"/>
        <v>4849.1504822801107</v>
      </c>
      <c r="AO545" s="10">
        <f t="shared" si="67"/>
        <v>0.40409587352334259</v>
      </c>
      <c r="AP545" s="16">
        <v>12000</v>
      </c>
      <c r="AQ545" s="16">
        <v>15222.60752158964</v>
      </c>
      <c r="AR545" s="16">
        <f t="shared" si="68"/>
        <v>3222.6075215896399</v>
      </c>
      <c r="AS545" s="17">
        <f t="shared" si="69"/>
        <v>0.26855062679913666</v>
      </c>
      <c r="AT545" s="6">
        <v>12000</v>
      </c>
      <c r="AU545" s="6">
        <v>15793.3564453125</v>
      </c>
      <c r="AV545" s="6">
        <f t="shared" si="70"/>
        <v>3793.3564453125</v>
      </c>
      <c r="AW545" s="7">
        <f t="shared" si="71"/>
        <v>0.31611303710937499</v>
      </c>
    </row>
    <row r="546" spans="1:49" x14ac:dyDescent="0.25">
      <c r="A546" t="s">
        <v>107</v>
      </c>
      <c r="B546" t="s">
        <v>256</v>
      </c>
      <c r="C546">
        <v>86726</v>
      </c>
      <c r="D546">
        <v>2017</v>
      </c>
      <c r="E546" t="s">
        <v>124</v>
      </c>
      <c r="F546" t="s">
        <v>533</v>
      </c>
      <c r="G546" t="s">
        <v>924</v>
      </c>
      <c r="I546">
        <v>4</v>
      </c>
      <c r="J546" t="s">
        <v>94</v>
      </c>
      <c r="K546">
        <v>4</v>
      </c>
      <c r="L546" t="s">
        <v>44</v>
      </c>
      <c r="M546">
        <v>2</v>
      </c>
      <c r="N546" t="s">
        <v>44</v>
      </c>
      <c r="O546" t="s">
        <v>46</v>
      </c>
      <c r="P546">
        <v>2</v>
      </c>
      <c r="Q546" t="s">
        <v>47</v>
      </c>
      <c r="R546" t="s">
        <v>48</v>
      </c>
      <c r="S546" t="s">
        <v>63</v>
      </c>
      <c r="T546">
        <v>164</v>
      </c>
      <c r="U546" t="s">
        <v>50</v>
      </c>
      <c r="W546" t="s">
        <v>809</v>
      </c>
      <c r="X546" t="s">
        <v>52</v>
      </c>
      <c r="Y546" t="s">
        <v>53</v>
      </c>
      <c r="AA546">
        <v>0</v>
      </c>
      <c r="AB546" t="s">
        <v>54</v>
      </c>
      <c r="AC546" t="s">
        <v>55</v>
      </c>
      <c r="AD546">
        <v>34</v>
      </c>
      <c r="AE546">
        <v>8</v>
      </c>
      <c r="AF546">
        <v>3</v>
      </c>
      <c r="AG546">
        <v>2025</v>
      </c>
      <c r="AH546" s="13">
        <v>5800</v>
      </c>
      <c r="AI546" s="13">
        <v>5210.53662109375</v>
      </c>
      <c r="AJ546" s="13">
        <f t="shared" si="64"/>
        <v>589.46337890625</v>
      </c>
      <c r="AK546" s="14">
        <f t="shared" si="65"/>
        <v>0.10163161705280173</v>
      </c>
      <c r="AL546" s="9">
        <v>5800</v>
      </c>
      <c r="AM546" s="9">
        <v>6043.4551390440229</v>
      </c>
      <c r="AN546" s="9">
        <f t="shared" si="66"/>
        <v>243.45513904402287</v>
      </c>
      <c r="AO546" s="10">
        <f t="shared" si="67"/>
        <v>4.1975023973107393E-2</v>
      </c>
      <c r="AP546" s="16">
        <v>5800</v>
      </c>
      <c r="AQ546" s="16">
        <v>6194.3042872589531</v>
      </c>
      <c r="AR546" s="16">
        <f t="shared" si="68"/>
        <v>394.30428725895308</v>
      </c>
      <c r="AS546" s="17">
        <f t="shared" si="69"/>
        <v>6.7983497803267776E-2</v>
      </c>
      <c r="AT546" s="6">
        <v>5800</v>
      </c>
      <c r="AU546" s="6">
        <v>5418.8486328125</v>
      </c>
      <c r="AV546" s="6">
        <f t="shared" si="70"/>
        <v>381.1513671875</v>
      </c>
      <c r="AW546" s="7">
        <f t="shared" si="71"/>
        <v>6.5715752963362073E-2</v>
      </c>
    </row>
    <row r="547" spans="1:49" x14ac:dyDescent="0.25">
      <c r="A547" t="s">
        <v>56</v>
      </c>
      <c r="B547" t="s">
        <v>303</v>
      </c>
      <c r="C547">
        <v>214893</v>
      </c>
      <c r="D547">
        <v>2005</v>
      </c>
      <c r="E547" t="s">
        <v>145</v>
      </c>
      <c r="F547" t="s">
        <v>307</v>
      </c>
      <c r="G547" t="s">
        <v>284</v>
      </c>
      <c r="I547">
        <v>4</v>
      </c>
      <c r="J547" t="s">
        <v>257</v>
      </c>
      <c r="K547">
        <v>4</v>
      </c>
      <c r="L547" t="s">
        <v>44</v>
      </c>
      <c r="M547">
        <v>2.4</v>
      </c>
      <c r="N547" t="s">
        <v>45</v>
      </c>
      <c r="O547" t="s">
        <v>46</v>
      </c>
      <c r="Q547" t="s">
        <v>84</v>
      </c>
      <c r="R547" t="s">
        <v>85</v>
      </c>
      <c r="T547">
        <v>160</v>
      </c>
      <c r="U547" t="s">
        <v>50</v>
      </c>
      <c r="V547" t="s">
        <v>95</v>
      </c>
      <c r="W547" t="s">
        <v>925</v>
      </c>
      <c r="X547" t="s">
        <v>52</v>
      </c>
      <c r="Y547" t="s">
        <v>67</v>
      </c>
      <c r="AA547">
        <v>0</v>
      </c>
      <c r="AB547" t="s">
        <v>54</v>
      </c>
      <c r="AC547" t="s">
        <v>89</v>
      </c>
      <c r="AD547">
        <v>34</v>
      </c>
      <c r="AE547">
        <v>8</v>
      </c>
      <c r="AF547">
        <v>3</v>
      </c>
      <c r="AG547">
        <v>2025</v>
      </c>
      <c r="AH547" s="13">
        <v>1400</v>
      </c>
      <c r="AI547" s="13">
        <v>807.5888671875</v>
      </c>
      <c r="AJ547" s="13">
        <f t="shared" si="64"/>
        <v>592.4111328125</v>
      </c>
      <c r="AK547" s="14">
        <f t="shared" si="65"/>
        <v>0.42315080915178571</v>
      </c>
      <c r="AL547" s="9">
        <v>1400</v>
      </c>
      <c r="AM547" s="9">
        <v>1229.631512460066</v>
      </c>
      <c r="AN547" s="9">
        <f t="shared" si="66"/>
        <v>170.36848753993399</v>
      </c>
      <c r="AO547" s="10">
        <f t="shared" si="67"/>
        <v>0.12169177681423857</v>
      </c>
      <c r="AP547" s="16">
        <v>1400</v>
      </c>
      <c r="AQ547" s="16">
        <v>756.68396252313391</v>
      </c>
      <c r="AR547" s="16">
        <f t="shared" si="68"/>
        <v>643.31603747686609</v>
      </c>
      <c r="AS547" s="17">
        <f t="shared" si="69"/>
        <v>0.45951145534061866</v>
      </c>
      <c r="AT547" s="6">
        <v>1400</v>
      </c>
      <c r="AU547" s="6">
        <v>873.2125244140625</v>
      </c>
      <c r="AV547" s="6">
        <f t="shared" si="70"/>
        <v>526.7874755859375</v>
      </c>
      <c r="AW547" s="7">
        <f t="shared" si="71"/>
        <v>0.37627676827566964</v>
      </c>
    </row>
    <row r="548" spans="1:49" x14ac:dyDescent="0.25">
      <c r="A548" t="s">
        <v>56</v>
      </c>
      <c r="B548" t="s">
        <v>104</v>
      </c>
      <c r="C548">
        <v>190004</v>
      </c>
      <c r="D548">
        <v>2012</v>
      </c>
      <c r="E548" t="s">
        <v>124</v>
      </c>
      <c r="F548" t="s">
        <v>321</v>
      </c>
      <c r="G548" t="s">
        <v>926</v>
      </c>
      <c r="I548">
        <v>4</v>
      </c>
      <c r="J548" t="s">
        <v>82</v>
      </c>
      <c r="K548">
        <v>4</v>
      </c>
      <c r="L548" t="s">
        <v>44</v>
      </c>
      <c r="M548">
        <v>2.4</v>
      </c>
      <c r="N548" t="s">
        <v>45</v>
      </c>
      <c r="Q548" t="s">
        <v>84</v>
      </c>
      <c r="R548" t="s">
        <v>85</v>
      </c>
      <c r="U548" t="s">
        <v>50</v>
      </c>
      <c r="W548" t="s">
        <v>927</v>
      </c>
      <c r="X548" t="s">
        <v>87</v>
      </c>
      <c r="Y548" t="s">
        <v>67</v>
      </c>
      <c r="AA548">
        <v>0</v>
      </c>
      <c r="AB548" t="s">
        <v>54</v>
      </c>
      <c r="AC548" t="s">
        <v>89</v>
      </c>
      <c r="AD548">
        <v>34</v>
      </c>
      <c r="AE548">
        <v>8</v>
      </c>
      <c r="AF548">
        <v>3</v>
      </c>
      <c r="AG548">
        <v>2025</v>
      </c>
      <c r="AH548" s="13">
        <v>1900</v>
      </c>
      <c r="AI548" s="13">
        <v>1171.169677734375</v>
      </c>
      <c r="AJ548" s="13">
        <f t="shared" si="64"/>
        <v>728.830322265625</v>
      </c>
      <c r="AK548" s="14">
        <f t="shared" si="65"/>
        <v>0.38359490645559213</v>
      </c>
      <c r="AL548" s="9">
        <v>1900</v>
      </c>
      <c r="AM548" s="9">
        <v>1082.1762032494439</v>
      </c>
      <c r="AN548" s="9">
        <f t="shared" si="66"/>
        <v>817.82379675055608</v>
      </c>
      <c r="AO548" s="10">
        <f t="shared" si="67"/>
        <v>0.43043357723713477</v>
      </c>
      <c r="AP548" s="16">
        <v>1900</v>
      </c>
      <c r="AQ548" s="16">
        <v>946.03445148648598</v>
      </c>
      <c r="AR548" s="16">
        <f t="shared" si="68"/>
        <v>953.96554851351402</v>
      </c>
      <c r="AS548" s="17">
        <f t="shared" si="69"/>
        <v>0.50208713079658629</v>
      </c>
      <c r="AT548" s="6">
        <v>1900</v>
      </c>
      <c r="AU548" s="6">
        <v>1173.938598632812</v>
      </c>
      <c r="AV548" s="6">
        <f t="shared" si="70"/>
        <v>726.06140136718795</v>
      </c>
      <c r="AW548" s="7">
        <f t="shared" si="71"/>
        <v>0.38213757966694101</v>
      </c>
    </row>
    <row r="549" spans="1:49" x14ac:dyDescent="0.25">
      <c r="A549" t="s">
        <v>107</v>
      </c>
      <c r="B549" t="s">
        <v>108</v>
      </c>
      <c r="C549">
        <v>124656</v>
      </c>
      <c r="D549">
        <v>2013</v>
      </c>
      <c r="E549" t="s">
        <v>58</v>
      </c>
      <c r="F549" t="s">
        <v>168</v>
      </c>
      <c r="I549">
        <v>6</v>
      </c>
      <c r="J549" t="s">
        <v>82</v>
      </c>
      <c r="K549">
        <v>4</v>
      </c>
      <c r="L549" t="s">
        <v>44</v>
      </c>
      <c r="M549">
        <v>3.5</v>
      </c>
      <c r="N549" t="s">
        <v>62</v>
      </c>
      <c r="O549" t="s">
        <v>46</v>
      </c>
      <c r="P549">
        <v>4</v>
      </c>
      <c r="Q549" t="s">
        <v>75</v>
      </c>
      <c r="R549" t="s">
        <v>76</v>
      </c>
      <c r="S549" t="s">
        <v>63</v>
      </c>
      <c r="T549">
        <v>365</v>
      </c>
      <c r="U549" t="s">
        <v>50</v>
      </c>
      <c r="V549" t="s">
        <v>64</v>
      </c>
      <c r="X549" t="s">
        <v>77</v>
      </c>
      <c r="Y549" t="s">
        <v>67</v>
      </c>
      <c r="AA549">
        <v>0</v>
      </c>
      <c r="AB549" t="s">
        <v>54</v>
      </c>
      <c r="AC549" t="s">
        <v>78</v>
      </c>
      <c r="AD549">
        <v>34</v>
      </c>
      <c r="AE549">
        <v>8</v>
      </c>
      <c r="AF549">
        <v>3</v>
      </c>
      <c r="AG549">
        <v>2025</v>
      </c>
      <c r="AH549" s="13">
        <v>11800</v>
      </c>
      <c r="AI549" s="13">
        <v>12177.57421875</v>
      </c>
      <c r="AJ549" s="13">
        <f t="shared" si="64"/>
        <v>377.57421875</v>
      </c>
      <c r="AK549" s="14">
        <f t="shared" si="65"/>
        <v>3.1997815148305082E-2</v>
      </c>
      <c r="AL549" s="9">
        <v>11800</v>
      </c>
      <c r="AM549" s="9">
        <v>11307.275425619309</v>
      </c>
      <c r="AN549" s="9">
        <f t="shared" si="66"/>
        <v>492.72457438069068</v>
      </c>
      <c r="AO549" s="10">
        <f t="shared" si="67"/>
        <v>4.1756319862770397E-2</v>
      </c>
      <c r="AP549" s="16">
        <v>11800</v>
      </c>
      <c r="AQ549" s="16">
        <v>10629.40354733244</v>
      </c>
      <c r="AR549" s="16">
        <f t="shared" si="68"/>
        <v>1170.5964526675598</v>
      </c>
      <c r="AS549" s="17">
        <f t="shared" si="69"/>
        <v>9.9203089209115233E-2</v>
      </c>
      <c r="AT549" s="6">
        <v>11800</v>
      </c>
      <c r="AU549" s="6">
        <v>11310.6953125</v>
      </c>
      <c r="AV549" s="6">
        <f t="shared" si="70"/>
        <v>489.3046875</v>
      </c>
      <c r="AW549" s="7">
        <f t="shared" si="71"/>
        <v>4.1466498940677964E-2</v>
      </c>
    </row>
    <row r="550" spans="1:49" x14ac:dyDescent="0.25">
      <c r="A550" t="s">
        <v>56</v>
      </c>
      <c r="B550" t="s">
        <v>144</v>
      </c>
      <c r="C550">
        <v>210434</v>
      </c>
      <c r="D550">
        <v>2017</v>
      </c>
      <c r="E550" t="s">
        <v>58</v>
      </c>
      <c r="F550" t="s">
        <v>420</v>
      </c>
      <c r="H550" t="s">
        <v>928</v>
      </c>
      <c r="I550">
        <v>6</v>
      </c>
      <c r="J550" t="s">
        <v>43</v>
      </c>
      <c r="K550">
        <v>3</v>
      </c>
      <c r="L550" t="s">
        <v>44</v>
      </c>
      <c r="M550">
        <v>3.7</v>
      </c>
      <c r="N550" t="s">
        <v>116</v>
      </c>
      <c r="O550" t="s">
        <v>46</v>
      </c>
      <c r="P550">
        <v>2</v>
      </c>
      <c r="Q550" t="s">
        <v>75</v>
      </c>
      <c r="R550" t="s">
        <v>422</v>
      </c>
      <c r="T550">
        <v>275</v>
      </c>
      <c r="U550" t="s">
        <v>50</v>
      </c>
      <c r="V550" t="s">
        <v>64</v>
      </c>
      <c r="X550" t="s">
        <v>423</v>
      </c>
      <c r="Y550" t="s">
        <v>67</v>
      </c>
      <c r="AA550">
        <v>0</v>
      </c>
      <c r="AB550" t="s">
        <v>54</v>
      </c>
      <c r="AC550" t="s">
        <v>424</v>
      </c>
      <c r="AD550">
        <v>34</v>
      </c>
      <c r="AE550">
        <v>8</v>
      </c>
      <c r="AF550">
        <v>3</v>
      </c>
      <c r="AG550">
        <v>2025</v>
      </c>
      <c r="AH550" s="13">
        <v>2300</v>
      </c>
      <c r="AI550" s="13">
        <v>4300.98046875</v>
      </c>
      <c r="AJ550" s="13">
        <f t="shared" si="64"/>
        <v>2000.98046875</v>
      </c>
      <c r="AK550" s="14">
        <f t="shared" si="65"/>
        <v>0.86999150815217396</v>
      </c>
      <c r="AL550" s="9">
        <v>2300</v>
      </c>
      <c r="AM550" s="9">
        <v>5650.1647201521791</v>
      </c>
      <c r="AN550" s="9">
        <f t="shared" si="66"/>
        <v>3350.1647201521791</v>
      </c>
      <c r="AO550" s="10">
        <f t="shared" si="67"/>
        <v>1.4565933565879039</v>
      </c>
      <c r="AP550" s="16">
        <v>2300</v>
      </c>
      <c r="AQ550" s="16">
        <v>4172.7169967914288</v>
      </c>
      <c r="AR550" s="16">
        <f t="shared" si="68"/>
        <v>1872.7169967914288</v>
      </c>
      <c r="AS550" s="17">
        <f t="shared" si="69"/>
        <v>0.81422478121366471</v>
      </c>
      <c r="AT550" s="6">
        <v>2300</v>
      </c>
      <c r="AU550" s="6">
        <v>4902.51416015625</v>
      </c>
      <c r="AV550" s="6">
        <f t="shared" si="70"/>
        <v>2602.51416015625</v>
      </c>
      <c r="AW550" s="7">
        <f t="shared" si="71"/>
        <v>1.1315278957201087</v>
      </c>
    </row>
    <row r="551" spans="1:49" x14ac:dyDescent="0.25">
      <c r="A551" t="s">
        <v>38</v>
      </c>
      <c r="B551" t="s">
        <v>167</v>
      </c>
      <c r="C551">
        <v>106483</v>
      </c>
      <c r="D551">
        <v>2005</v>
      </c>
      <c r="E551" t="s">
        <v>607</v>
      </c>
      <c r="F551" t="s">
        <v>929</v>
      </c>
      <c r="H551" t="s">
        <v>930</v>
      </c>
      <c r="I551">
        <v>6</v>
      </c>
      <c r="J551" t="s">
        <v>74</v>
      </c>
      <c r="K551">
        <v>4</v>
      </c>
      <c r="L551" t="s">
        <v>44</v>
      </c>
      <c r="M551">
        <v>3.8</v>
      </c>
      <c r="N551" t="s">
        <v>44</v>
      </c>
      <c r="O551" t="s">
        <v>42</v>
      </c>
      <c r="P551">
        <v>1</v>
      </c>
      <c r="Q551" t="s">
        <v>47</v>
      </c>
      <c r="R551" t="s">
        <v>48</v>
      </c>
      <c r="S551" t="s">
        <v>63</v>
      </c>
      <c r="U551" t="s">
        <v>50</v>
      </c>
      <c r="X551" t="s">
        <v>141</v>
      </c>
      <c r="Y551" t="s">
        <v>67</v>
      </c>
      <c r="AA551">
        <v>0</v>
      </c>
      <c r="AB551" t="s">
        <v>54</v>
      </c>
      <c r="AC551" t="s">
        <v>55</v>
      </c>
      <c r="AD551">
        <v>34</v>
      </c>
      <c r="AE551">
        <v>8</v>
      </c>
      <c r="AF551">
        <v>3</v>
      </c>
      <c r="AG551">
        <v>2025</v>
      </c>
      <c r="AH551" s="13">
        <v>350</v>
      </c>
      <c r="AI551" s="13">
        <v>512.88238525390625</v>
      </c>
      <c r="AJ551" s="13">
        <f t="shared" si="64"/>
        <v>162.88238525390625</v>
      </c>
      <c r="AK551" s="14">
        <f t="shared" si="65"/>
        <v>0.46537824358258928</v>
      </c>
      <c r="AL551" s="9">
        <v>350</v>
      </c>
      <c r="AM551" s="9">
        <v>392.73257381983763</v>
      </c>
      <c r="AN551" s="9">
        <f t="shared" si="66"/>
        <v>42.732573819837626</v>
      </c>
      <c r="AO551" s="10">
        <f t="shared" si="67"/>
        <v>0.12209306805667892</v>
      </c>
      <c r="AP551" s="16">
        <v>350</v>
      </c>
      <c r="AQ551" s="16">
        <v>321.02006022719382</v>
      </c>
      <c r="AR551" s="16">
        <f t="shared" si="68"/>
        <v>28.979939772806176</v>
      </c>
      <c r="AS551" s="17">
        <f t="shared" si="69"/>
        <v>8.2799827922303365E-2</v>
      </c>
      <c r="AT551" s="6">
        <v>350</v>
      </c>
      <c r="AU551" s="6">
        <v>425.54299926757813</v>
      </c>
      <c r="AV551" s="6">
        <f t="shared" si="70"/>
        <v>75.542999267578125</v>
      </c>
      <c r="AW551" s="7">
        <f t="shared" si="71"/>
        <v>0.21583714076450894</v>
      </c>
    </row>
    <row r="552" spans="1:49" x14ac:dyDescent="0.25">
      <c r="A552" t="s">
        <v>38</v>
      </c>
      <c r="B552" t="s">
        <v>289</v>
      </c>
      <c r="C552">
        <v>118390</v>
      </c>
      <c r="D552">
        <v>2018</v>
      </c>
      <c r="E552" t="s">
        <v>173</v>
      </c>
      <c r="F552" t="s">
        <v>174</v>
      </c>
      <c r="G552" t="s">
        <v>176</v>
      </c>
      <c r="H552" t="s">
        <v>171</v>
      </c>
      <c r="I552">
        <v>4</v>
      </c>
      <c r="J552" t="s">
        <v>101</v>
      </c>
      <c r="K552">
        <v>4</v>
      </c>
      <c r="L552" t="s">
        <v>44</v>
      </c>
      <c r="M552">
        <v>2.4</v>
      </c>
      <c r="N552" t="s">
        <v>45</v>
      </c>
      <c r="O552" t="s">
        <v>46</v>
      </c>
      <c r="P552">
        <v>3</v>
      </c>
      <c r="Q552" t="s">
        <v>47</v>
      </c>
      <c r="R552" t="s">
        <v>48</v>
      </c>
      <c r="S552" t="s">
        <v>49</v>
      </c>
      <c r="T552">
        <v>184</v>
      </c>
      <c r="U552" t="s">
        <v>50</v>
      </c>
      <c r="V552" t="s">
        <v>95</v>
      </c>
      <c r="X552" t="s">
        <v>141</v>
      </c>
      <c r="Y552" t="s">
        <v>67</v>
      </c>
      <c r="AA552">
        <v>0</v>
      </c>
      <c r="AB552" t="s">
        <v>54</v>
      </c>
      <c r="AC552" t="s">
        <v>55</v>
      </c>
      <c r="AD552">
        <v>34</v>
      </c>
      <c r="AE552">
        <v>8</v>
      </c>
      <c r="AF552">
        <v>3</v>
      </c>
      <c r="AG552">
        <v>2025</v>
      </c>
      <c r="AH552" s="13">
        <v>7200</v>
      </c>
      <c r="AI552" s="13">
        <v>5571.2119140625</v>
      </c>
      <c r="AJ552" s="13">
        <f t="shared" si="64"/>
        <v>1628.7880859375</v>
      </c>
      <c r="AK552" s="14">
        <f t="shared" si="65"/>
        <v>0.22622056749131944</v>
      </c>
      <c r="AL552" s="9">
        <v>7200</v>
      </c>
      <c r="AM552" s="9">
        <v>5664.4349090860678</v>
      </c>
      <c r="AN552" s="9">
        <f t="shared" si="66"/>
        <v>1535.5650909139322</v>
      </c>
      <c r="AO552" s="10">
        <f t="shared" si="67"/>
        <v>0.2132729292936017</v>
      </c>
      <c r="AP552" s="16">
        <v>7200</v>
      </c>
      <c r="AQ552" s="16">
        <v>6193.7850917336118</v>
      </c>
      <c r="AR552" s="16">
        <f t="shared" si="68"/>
        <v>1006.2149082663882</v>
      </c>
      <c r="AS552" s="17">
        <f t="shared" si="69"/>
        <v>0.13975207059255393</v>
      </c>
      <c r="AT552" s="6">
        <v>7200</v>
      </c>
      <c r="AU552" s="6">
        <v>5708.4638671875</v>
      </c>
      <c r="AV552" s="6">
        <f t="shared" si="70"/>
        <v>1491.5361328125</v>
      </c>
      <c r="AW552" s="7">
        <f t="shared" si="71"/>
        <v>0.20715779622395833</v>
      </c>
    </row>
    <row r="553" spans="1:49" x14ac:dyDescent="0.25">
      <c r="A553" t="s">
        <v>107</v>
      </c>
      <c r="B553" t="s">
        <v>192</v>
      </c>
      <c r="C553">
        <v>204394</v>
      </c>
      <c r="D553">
        <v>2007</v>
      </c>
      <c r="E553" t="s">
        <v>91</v>
      </c>
      <c r="F553" t="s">
        <v>517</v>
      </c>
      <c r="G553" t="s">
        <v>759</v>
      </c>
      <c r="H553" t="s">
        <v>760</v>
      </c>
      <c r="I553">
        <v>4</v>
      </c>
      <c r="J553" t="s">
        <v>94</v>
      </c>
      <c r="K553">
        <v>4</v>
      </c>
      <c r="L553" t="s">
        <v>44</v>
      </c>
      <c r="M553">
        <v>2.4</v>
      </c>
      <c r="N553" t="s">
        <v>45</v>
      </c>
      <c r="O553" t="s">
        <v>46</v>
      </c>
      <c r="Q553" t="s">
        <v>47</v>
      </c>
      <c r="R553" t="s">
        <v>48</v>
      </c>
      <c r="S553" t="s">
        <v>49</v>
      </c>
      <c r="T553">
        <v>166</v>
      </c>
      <c r="U553" t="s">
        <v>50</v>
      </c>
      <c r="V553" t="s">
        <v>95</v>
      </c>
      <c r="W553" t="s">
        <v>96</v>
      </c>
      <c r="X553" t="s">
        <v>52</v>
      </c>
      <c r="Y553" t="s">
        <v>97</v>
      </c>
      <c r="AA553">
        <v>0</v>
      </c>
      <c r="AB553" t="s">
        <v>54</v>
      </c>
      <c r="AC553" t="s">
        <v>55</v>
      </c>
      <c r="AD553">
        <v>34</v>
      </c>
      <c r="AE553">
        <v>8</v>
      </c>
      <c r="AF553">
        <v>3</v>
      </c>
      <c r="AG553">
        <v>2025</v>
      </c>
      <c r="AH553" s="13">
        <v>2200</v>
      </c>
      <c r="AI553" s="13">
        <v>1325.8173828125</v>
      </c>
      <c r="AJ553" s="13">
        <f t="shared" si="64"/>
        <v>874.1826171875</v>
      </c>
      <c r="AK553" s="14">
        <f t="shared" si="65"/>
        <v>0.39735573508522726</v>
      </c>
      <c r="AL553" s="9">
        <v>2200</v>
      </c>
      <c r="AM553" s="9">
        <v>1469.973661083774</v>
      </c>
      <c r="AN553" s="9">
        <f t="shared" si="66"/>
        <v>730.026338916226</v>
      </c>
      <c r="AO553" s="10">
        <f t="shared" si="67"/>
        <v>0.33183015405283001</v>
      </c>
      <c r="AP553" s="16">
        <v>2200</v>
      </c>
      <c r="AQ553" s="16">
        <v>1341.0092610182121</v>
      </c>
      <c r="AR553" s="16">
        <f t="shared" si="68"/>
        <v>858.9907389817879</v>
      </c>
      <c r="AS553" s="17">
        <f t="shared" si="69"/>
        <v>0.39045033590081268</v>
      </c>
      <c r="AT553" s="6">
        <v>2200</v>
      </c>
      <c r="AU553" s="6">
        <v>1363.895874023438</v>
      </c>
      <c r="AV553" s="6">
        <f t="shared" si="70"/>
        <v>836.10412597656205</v>
      </c>
      <c r="AW553" s="7">
        <f t="shared" si="71"/>
        <v>0.38004732998934637</v>
      </c>
    </row>
    <row r="554" spans="1:49" x14ac:dyDescent="0.25">
      <c r="A554" t="s">
        <v>38</v>
      </c>
      <c r="B554" t="s">
        <v>118</v>
      </c>
      <c r="C554">
        <v>152387</v>
      </c>
      <c r="D554">
        <v>2015</v>
      </c>
      <c r="E554" t="s">
        <v>58</v>
      </c>
      <c r="F554" t="s">
        <v>168</v>
      </c>
      <c r="I554">
        <v>6</v>
      </c>
      <c r="J554" t="s">
        <v>74</v>
      </c>
      <c r="K554">
        <v>4</v>
      </c>
      <c r="L554" t="s">
        <v>44</v>
      </c>
      <c r="M554">
        <v>2.7</v>
      </c>
      <c r="N554" t="s">
        <v>116</v>
      </c>
      <c r="O554" t="s">
        <v>46</v>
      </c>
      <c r="Q554" t="s">
        <v>75</v>
      </c>
      <c r="R554" t="s">
        <v>76</v>
      </c>
      <c r="S554" t="s">
        <v>49</v>
      </c>
      <c r="U554" t="s">
        <v>50</v>
      </c>
      <c r="V554" t="s">
        <v>64</v>
      </c>
      <c r="X554" t="s">
        <v>66</v>
      </c>
      <c r="Y554" t="s">
        <v>67</v>
      </c>
      <c r="AA554">
        <v>0</v>
      </c>
      <c r="AB554" t="s">
        <v>54</v>
      </c>
      <c r="AC554" t="s">
        <v>78</v>
      </c>
      <c r="AD554">
        <v>34</v>
      </c>
      <c r="AE554">
        <v>8</v>
      </c>
      <c r="AF554">
        <v>3</v>
      </c>
      <c r="AG554">
        <v>2025</v>
      </c>
      <c r="AH554" s="13">
        <v>11800</v>
      </c>
      <c r="AI554" s="13">
        <v>7661.94677734375</v>
      </c>
      <c r="AJ554" s="13">
        <f t="shared" si="64"/>
        <v>4138.05322265625</v>
      </c>
      <c r="AK554" s="14">
        <f t="shared" si="65"/>
        <v>0.35068247649629236</v>
      </c>
      <c r="AL554" s="9">
        <v>11800</v>
      </c>
      <c r="AM554" s="9">
        <v>10086.49719359636</v>
      </c>
      <c r="AN554" s="9">
        <f t="shared" si="66"/>
        <v>1713.5028064036396</v>
      </c>
      <c r="AO554" s="10">
        <f t="shared" si="67"/>
        <v>0.14521210223759659</v>
      </c>
      <c r="AP554" s="16">
        <v>11800</v>
      </c>
      <c r="AQ554" s="16">
        <v>9568.5454027471842</v>
      </c>
      <c r="AR554" s="16">
        <f t="shared" si="68"/>
        <v>2231.4545972528158</v>
      </c>
      <c r="AS554" s="17">
        <f t="shared" si="69"/>
        <v>0.18910632180108608</v>
      </c>
      <c r="AT554" s="6">
        <v>11800</v>
      </c>
      <c r="AU554" s="6">
        <v>9724.6298828125</v>
      </c>
      <c r="AV554" s="6">
        <f t="shared" si="70"/>
        <v>2075.3701171875</v>
      </c>
      <c r="AW554" s="7">
        <f t="shared" si="71"/>
        <v>0.1758788234904661</v>
      </c>
    </row>
    <row r="555" spans="1:49" x14ac:dyDescent="0.25">
      <c r="A555" t="s">
        <v>107</v>
      </c>
      <c r="B555" t="s">
        <v>614</v>
      </c>
      <c r="C555">
        <v>246118</v>
      </c>
      <c r="D555">
        <v>2010</v>
      </c>
      <c r="E555" t="s">
        <v>113</v>
      </c>
      <c r="F555" t="s">
        <v>253</v>
      </c>
      <c r="G555" t="s">
        <v>476</v>
      </c>
      <c r="H555" t="s">
        <v>931</v>
      </c>
      <c r="I555">
        <v>6</v>
      </c>
      <c r="J555" t="s">
        <v>94</v>
      </c>
      <c r="K555">
        <v>4</v>
      </c>
      <c r="L555" t="s">
        <v>44</v>
      </c>
      <c r="M555">
        <v>3.5</v>
      </c>
      <c r="N555" t="s">
        <v>45</v>
      </c>
      <c r="O555" t="s">
        <v>46</v>
      </c>
      <c r="Q555" t="s">
        <v>47</v>
      </c>
      <c r="R555" t="s">
        <v>48</v>
      </c>
      <c r="S555" t="s">
        <v>102</v>
      </c>
      <c r="U555" t="s">
        <v>50</v>
      </c>
      <c r="X555" t="s">
        <v>141</v>
      </c>
      <c r="Y555" t="s">
        <v>106</v>
      </c>
      <c r="AA555">
        <v>0</v>
      </c>
      <c r="AB555" t="s">
        <v>54</v>
      </c>
      <c r="AC555" t="s">
        <v>55</v>
      </c>
      <c r="AD555">
        <v>34</v>
      </c>
      <c r="AE555">
        <v>8</v>
      </c>
      <c r="AF555">
        <v>3</v>
      </c>
      <c r="AG555">
        <v>2025</v>
      </c>
      <c r="AH555" s="13">
        <v>525</v>
      </c>
      <c r="AI555" s="13">
        <v>618.97100830078125</v>
      </c>
      <c r="AJ555" s="13">
        <f t="shared" si="64"/>
        <v>93.97100830078125</v>
      </c>
      <c r="AK555" s="14">
        <f t="shared" si="65"/>
        <v>0.17899239676339285</v>
      </c>
      <c r="AL555" s="9">
        <v>525</v>
      </c>
      <c r="AM555" s="9">
        <v>645.25251191961638</v>
      </c>
      <c r="AN555" s="9">
        <f t="shared" si="66"/>
        <v>120.25251191961638</v>
      </c>
      <c r="AO555" s="10">
        <f t="shared" si="67"/>
        <v>0.22905240365641216</v>
      </c>
      <c r="AP555" s="16">
        <v>525</v>
      </c>
      <c r="AQ555" s="16">
        <v>544.30297389440921</v>
      </c>
      <c r="AR555" s="16">
        <f t="shared" si="68"/>
        <v>19.302973894409206</v>
      </c>
      <c r="AS555" s="17">
        <f t="shared" si="69"/>
        <v>3.6767569322684199E-2</v>
      </c>
      <c r="AT555" s="6">
        <v>525</v>
      </c>
      <c r="AU555" s="6">
        <v>622.7115478515625</v>
      </c>
      <c r="AV555" s="6">
        <f t="shared" si="70"/>
        <v>97.7115478515625</v>
      </c>
      <c r="AW555" s="7">
        <f t="shared" si="71"/>
        <v>0.1861172340029762</v>
      </c>
    </row>
    <row r="556" spans="1:49" x14ac:dyDescent="0.25">
      <c r="A556" t="s">
        <v>38</v>
      </c>
      <c r="B556" t="s">
        <v>229</v>
      </c>
      <c r="C556">
        <v>49973</v>
      </c>
      <c r="D556">
        <v>2024</v>
      </c>
      <c r="E556" t="s">
        <v>71</v>
      </c>
      <c r="F556" t="s">
        <v>129</v>
      </c>
      <c r="G556" t="s">
        <v>332</v>
      </c>
      <c r="I556">
        <v>4</v>
      </c>
      <c r="J556" t="s">
        <v>74</v>
      </c>
      <c r="K556">
        <v>4</v>
      </c>
      <c r="L556" t="s">
        <v>44</v>
      </c>
      <c r="M556">
        <v>2.5</v>
      </c>
      <c r="N556" t="s">
        <v>45</v>
      </c>
      <c r="O556" t="s">
        <v>46</v>
      </c>
      <c r="P556">
        <v>3</v>
      </c>
      <c r="Q556" t="s">
        <v>84</v>
      </c>
      <c r="R556" t="s">
        <v>85</v>
      </c>
      <c r="S556" t="s">
        <v>49</v>
      </c>
      <c r="U556" t="s">
        <v>50</v>
      </c>
      <c r="X556" t="s">
        <v>52</v>
      </c>
      <c r="Y556" t="s">
        <v>67</v>
      </c>
      <c r="AA556">
        <v>0</v>
      </c>
      <c r="AB556" t="s">
        <v>54</v>
      </c>
      <c r="AC556" t="s">
        <v>89</v>
      </c>
      <c r="AD556">
        <v>34</v>
      </c>
      <c r="AE556">
        <v>8</v>
      </c>
      <c r="AF556">
        <v>3</v>
      </c>
      <c r="AG556">
        <v>2025</v>
      </c>
      <c r="AH556" s="13">
        <v>14000</v>
      </c>
      <c r="AI556" s="13">
        <v>15976.6708984375</v>
      </c>
      <c r="AJ556" s="13">
        <f t="shared" si="64"/>
        <v>1976.6708984375</v>
      </c>
      <c r="AK556" s="14">
        <f t="shared" si="65"/>
        <v>0.14119077845982142</v>
      </c>
      <c r="AL556" s="9">
        <v>14000</v>
      </c>
      <c r="AM556" s="9">
        <v>14425.230766848441</v>
      </c>
      <c r="AN556" s="9">
        <f t="shared" si="66"/>
        <v>425.23076684844091</v>
      </c>
      <c r="AO556" s="10">
        <f t="shared" si="67"/>
        <v>3.0373626203460066E-2</v>
      </c>
      <c r="AP556" s="16">
        <v>14000</v>
      </c>
      <c r="AQ556" s="16">
        <v>13190.30389965669</v>
      </c>
      <c r="AR556" s="16">
        <f t="shared" si="68"/>
        <v>809.69610034330981</v>
      </c>
      <c r="AS556" s="17">
        <f t="shared" si="69"/>
        <v>5.7835435738807846E-2</v>
      </c>
      <c r="AT556" s="6">
        <v>14000</v>
      </c>
      <c r="AU556" s="6">
        <v>15113.966796875</v>
      </c>
      <c r="AV556" s="6">
        <f t="shared" si="70"/>
        <v>1113.966796875</v>
      </c>
      <c r="AW556" s="7">
        <f t="shared" si="71"/>
        <v>7.9569056919642861E-2</v>
      </c>
    </row>
    <row r="557" spans="1:49" x14ac:dyDescent="0.25">
      <c r="A557" t="s">
        <v>38</v>
      </c>
      <c r="B557" t="s">
        <v>167</v>
      </c>
      <c r="C557">
        <v>135448</v>
      </c>
      <c r="D557">
        <v>2015</v>
      </c>
      <c r="E557" t="s">
        <v>58</v>
      </c>
      <c r="F557" t="s">
        <v>932</v>
      </c>
      <c r="H557" t="s">
        <v>266</v>
      </c>
      <c r="I557">
        <v>4</v>
      </c>
      <c r="J557" t="s">
        <v>43</v>
      </c>
      <c r="K557">
        <v>4</v>
      </c>
      <c r="L557" t="s">
        <v>44</v>
      </c>
      <c r="M557">
        <v>2.5</v>
      </c>
      <c r="N557" t="s">
        <v>45</v>
      </c>
      <c r="O557" t="s">
        <v>46</v>
      </c>
      <c r="P557">
        <v>3</v>
      </c>
      <c r="Q557" t="s">
        <v>75</v>
      </c>
      <c r="R557" t="s">
        <v>424</v>
      </c>
      <c r="U557" t="s">
        <v>50</v>
      </c>
      <c r="X557" t="s">
        <v>141</v>
      </c>
      <c r="Y557" t="s">
        <v>575</v>
      </c>
      <c r="AA557">
        <v>0</v>
      </c>
      <c r="AB557" t="s">
        <v>54</v>
      </c>
      <c r="AC557" t="s">
        <v>424</v>
      </c>
      <c r="AD557">
        <v>34</v>
      </c>
      <c r="AE557">
        <v>8</v>
      </c>
      <c r="AF557">
        <v>3</v>
      </c>
      <c r="AG557">
        <v>2025</v>
      </c>
      <c r="AH557" s="13">
        <v>4600</v>
      </c>
      <c r="AI557" s="13">
        <v>4117.19287109375</v>
      </c>
      <c r="AJ557" s="13">
        <f t="shared" si="64"/>
        <v>482.80712890625</v>
      </c>
      <c r="AK557" s="14">
        <f t="shared" si="65"/>
        <v>0.10495807150135869</v>
      </c>
      <c r="AL557" s="9">
        <v>4600</v>
      </c>
      <c r="AM557" s="9">
        <v>4950.9536334142877</v>
      </c>
      <c r="AN557" s="9">
        <f t="shared" si="66"/>
        <v>350.95363341428765</v>
      </c>
      <c r="AO557" s="10">
        <f t="shared" si="67"/>
        <v>7.6294268133540788E-2</v>
      </c>
      <c r="AP557" s="16">
        <v>4600</v>
      </c>
      <c r="AQ557" s="16">
        <v>4420.3648257634331</v>
      </c>
      <c r="AR557" s="16">
        <f t="shared" si="68"/>
        <v>179.63517423656685</v>
      </c>
      <c r="AS557" s="17">
        <f t="shared" si="69"/>
        <v>3.905112483403627E-2</v>
      </c>
      <c r="AT557" s="6">
        <v>4600</v>
      </c>
      <c r="AU557" s="6">
        <v>4459.91650390625</v>
      </c>
      <c r="AV557" s="6">
        <f t="shared" si="70"/>
        <v>140.08349609375</v>
      </c>
      <c r="AW557" s="7">
        <f t="shared" si="71"/>
        <v>3.0452933933423913E-2</v>
      </c>
    </row>
    <row r="558" spans="1:49" x14ac:dyDescent="0.25">
      <c r="A558" t="s">
        <v>38</v>
      </c>
      <c r="B558" t="s">
        <v>118</v>
      </c>
      <c r="C558">
        <v>146405</v>
      </c>
      <c r="D558">
        <v>2018</v>
      </c>
      <c r="E558" t="s">
        <v>98</v>
      </c>
      <c r="F558" t="s">
        <v>704</v>
      </c>
      <c r="H558" t="s">
        <v>218</v>
      </c>
      <c r="I558">
        <v>8</v>
      </c>
      <c r="J558" t="s">
        <v>82</v>
      </c>
      <c r="K558">
        <v>4</v>
      </c>
      <c r="L558" t="s">
        <v>44</v>
      </c>
      <c r="M558">
        <v>5.3</v>
      </c>
      <c r="N558" t="s">
        <v>62</v>
      </c>
      <c r="O558" t="s">
        <v>46</v>
      </c>
      <c r="Q558" t="s">
        <v>47</v>
      </c>
      <c r="R558" t="s">
        <v>48</v>
      </c>
      <c r="S558" t="s">
        <v>63</v>
      </c>
      <c r="U558" t="s">
        <v>50</v>
      </c>
      <c r="W558" t="s">
        <v>933</v>
      </c>
      <c r="X558" t="s">
        <v>77</v>
      </c>
      <c r="Y558" t="s">
        <v>67</v>
      </c>
      <c r="Z558">
        <v>57200</v>
      </c>
      <c r="AA558">
        <v>0</v>
      </c>
      <c r="AB558" t="s">
        <v>54</v>
      </c>
      <c r="AC558" t="s">
        <v>68</v>
      </c>
      <c r="AD558">
        <v>34</v>
      </c>
      <c r="AE558">
        <v>8</v>
      </c>
      <c r="AF558">
        <v>3</v>
      </c>
      <c r="AG558">
        <v>2025</v>
      </c>
      <c r="AH558" s="13">
        <v>16500</v>
      </c>
      <c r="AI558" s="13">
        <v>14357.806640625</v>
      </c>
      <c r="AJ558" s="13">
        <f t="shared" si="64"/>
        <v>2142.193359375</v>
      </c>
      <c r="AK558" s="14">
        <f t="shared" si="65"/>
        <v>0.12982990056818181</v>
      </c>
      <c r="AL558" s="9">
        <v>16500</v>
      </c>
      <c r="AM558" s="9">
        <v>15164.13003411339</v>
      </c>
      <c r="AN558" s="9">
        <f t="shared" si="66"/>
        <v>1335.8699658866099</v>
      </c>
      <c r="AO558" s="10">
        <f t="shared" si="67"/>
        <v>8.0961816114339988E-2</v>
      </c>
      <c r="AP558" s="16">
        <v>16500</v>
      </c>
      <c r="AQ558" s="16">
        <v>17596.043658078881</v>
      </c>
      <c r="AR558" s="16">
        <f t="shared" si="68"/>
        <v>1096.043658078881</v>
      </c>
      <c r="AS558" s="17">
        <f t="shared" si="69"/>
        <v>6.6426888368417022E-2</v>
      </c>
      <c r="AT558" s="6">
        <v>16500</v>
      </c>
      <c r="AU558" s="6">
        <v>15544.9296875</v>
      </c>
      <c r="AV558" s="6">
        <f t="shared" si="70"/>
        <v>955.0703125</v>
      </c>
      <c r="AW558" s="7">
        <f t="shared" si="71"/>
        <v>5.7883049242424239E-2</v>
      </c>
    </row>
    <row r="559" spans="1:49" x14ac:dyDescent="0.25">
      <c r="A559" t="s">
        <v>56</v>
      </c>
      <c r="B559" t="s">
        <v>178</v>
      </c>
      <c r="C559">
        <v>105039</v>
      </c>
      <c r="D559">
        <v>2016</v>
      </c>
      <c r="E559" t="s">
        <v>113</v>
      </c>
      <c r="F559" t="s">
        <v>253</v>
      </c>
      <c r="G559" t="s">
        <v>934</v>
      </c>
      <c r="H559" t="s">
        <v>931</v>
      </c>
      <c r="I559">
        <v>4</v>
      </c>
      <c r="J559" t="s">
        <v>82</v>
      </c>
      <c r="K559">
        <v>4</v>
      </c>
      <c r="L559" t="s">
        <v>44</v>
      </c>
      <c r="M559">
        <v>2.4</v>
      </c>
      <c r="N559" t="s">
        <v>45</v>
      </c>
      <c r="O559" t="s">
        <v>42</v>
      </c>
      <c r="P559">
        <v>1</v>
      </c>
      <c r="Q559" t="s">
        <v>47</v>
      </c>
      <c r="R559" t="s">
        <v>48</v>
      </c>
      <c r="S559" t="s">
        <v>102</v>
      </c>
      <c r="U559" t="s">
        <v>50</v>
      </c>
      <c r="X559" t="s">
        <v>141</v>
      </c>
      <c r="Y559" t="s">
        <v>106</v>
      </c>
      <c r="AA559">
        <v>0</v>
      </c>
      <c r="AB559" t="s">
        <v>54</v>
      </c>
      <c r="AC559" t="s">
        <v>55</v>
      </c>
      <c r="AD559">
        <v>34</v>
      </c>
      <c r="AE559">
        <v>8</v>
      </c>
      <c r="AF559">
        <v>3</v>
      </c>
      <c r="AG559">
        <v>2025</v>
      </c>
      <c r="AH559" s="13">
        <v>1100</v>
      </c>
      <c r="AI559" s="13">
        <v>1700.959716796875</v>
      </c>
      <c r="AJ559" s="13">
        <f t="shared" si="64"/>
        <v>600.959716796875</v>
      </c>
      <c r="AK559" s="14">
        <f t="shared" si="65"/>
        <v>0.54632701526988636</v>
      </c>
      <c r="AL559" s="9">
        <v>1100</v>
      </c>
      <c r="AM559" s="9">
        <v>1814.9987014013309</v>
      </c>
      <c r="AN559" s="9">
        <f t="shared" si="66"/>
        <v>714.99870140133089</v>
      </c>
      <c r="AO559" s="10">
        <f t="shared" si="67"/>
        <v>0.64999881945575533</v>
      </c>
      <c r="AP559" s="16">
        <v>1100</v>
      </c>
      <c r="AQ559" s="16">
        <v>1703.067212447542</v>
      </c>
      <c r="AR559" s="16">
        <f t="shared" si="68"/>
        <v>603.06721244754203</v>
      </c>
      <c r="AS559" s="17">
        <f t="shared" si="69"/>
        <v>0.5482429204068564</v>
      </c>
      <c r="AT559" s="6">
        <v>1100</v>
      </c>
      <c r="AU559" s="6">
        <v>1650.211547851562</v>
      </c>
      <c r="AV559" s="6">
        <f t="shared" si="70"/>
        <v>550.21154785156205</v>
      </c>
      <c r="AW559" s="7">
        <f t="shared" si="71"/>
        <v>0.50019231622869276</v>
      </c>
    </row>
    <row r="560" spans="1:49" x14ac:dyDescent="0.25">
      <c r="A560" t="s">
        <v>56</v>
      </c>
      <c r="B560" t="s">
        <v>57</v>
      </c>
      <c r="C560">
        <v>113008</v>
      </c>
      <c r="D560">
        <v>2002</v>
      </c>
      <c r="E560" t="s">
        <v>58</v>
      </c>
      <c r="F560" t="s">
        <v>767</v>
      </c>
      <c r="I560">
        <v>6</v>
      </c>
      <c r="J560" t="s">
        <v>82</v>
      </c>
      <c r="K560">
        <v>2</v>
      </c>
      <c r="L560" t="s">
        <v>221</v>
      </c>
      <c r="M560">
        <v>3</v>
      </c>
      <c r="N560" t="s">
        <v>62</v>
      </c>
      <c r="O560" t="s">
        <v>46</v>
      </c>
      <c r="Q560" t="s">
        <v>75</v>
      </c>
      <c r="R560" t="s">
        <v>76</v>
      </c>
      <c r="S560" t="s">
        <v>63</v>
      </c>
      <c r="T560">
        <v>154</v>
      </c>
      <c r="U560" t="s">
        <v>50</v>
      </c>
      <c r="V560" t="s">
        <v>64</v>
      </c>
      <c r="X560" t="s">
        <v>141</v>
      </c>
      <c r="Y560" t="s">
        <v>67</v>
      </c>
      <c r="AA560">
        <v>0</v>
      </c>
      <c r="AB560" t="s">
        <v>54</v>
      </c>
      <c r="AC560" t="s">
        <v>78</v>
      </c>
      <c r="AD560">
        <v>34</v>
      </c>
      <c r="AE560">
        <v>8</v>
      </c>
      <c r="AF560">
        <v>3</v>
      </c>
      <c r="AG560">
        <v>2025</v>
      </c>
      <c r="AH560" s="13">
        <v>4600</v>
      </c>
      <c r="AI560" s="13">
        <v>2483.90283203125</v>
      </c>
      <c r="AJ560" s="13">
        <f t="shared" si="64"/>
        <v>2116.09716796875</v>
      </c>
      <c r="AK560" s="14">
        <f t="shared" si="65"/>
        <v>0.4600211234714674</v>
      </c>
      <c r="AL560" s="9">
        <v>4600</v>
      </c>
      <c r="AM560" s="9">
        <v>3381.169930582244</v>
      </c>
      <c r="AN560" s="9">
        <f t="shared" si="66"/>
        <v>1218.830069417756</v>
      </c>
      <c r="AO560" s="10">
        <f t="shared" si="67"/>
        <v>0.26496305856907737</v>
      </c>
      <c r="AP560" s="16">
        <v>4600</v>
      </c>
      <c r="AQ560" s="16">
        <v>2630.4448194873671</v>
      </c>
      <c r="AR560" s="16">
        <f t="shared" si="68"/>
        <v>1969.5551805126329</v>
      </c>
      <c r="AS560" s="17">
        <f t="shared" si="69"/>
        <v>0.42816416967665932</v>
      </c>
      <c r="AT560" s="6">
        <v>4600</v>
      </c>
      <c r="AU560" s="6">
        <v>2818.96142578125</v>
      </c>
      <c r="AV560" s="6">
        <f t="shared" si="70"/>
        <v>1781.03857421875</v>
      </c>
      <c r="AW560" s="7">
        <f t="shared" si="71"/>
        <v>0.38718229874320653</v>
      </c>
    </row>
    <row r="561" spans="1:49" x14ac:dyDescent="0.25">
      <c r="A561" t="s">
        <v>107</v>
      </c>
      <c r="B561" t="s">
        <v>108</v>
      </c>
      <c r="C561">
        <v>98717</v>
      </c>
      <c r="D561">
        <v>2015</v>
      </c>
      <c r="E561" t="s">
        <v>58</v>
      </c>
      <c r="F561" t="s">
        <v>258</v>
      </c>
      <c r="H561" t="s">
        <v>42</v>
      </c>
      <c r="I561">
        <v>4</v>
      </c>
      <c r="J561" t="s">
        <v>94</v>
      </c>
      <c r="K561">
        <v>4</v>
      </c>
      <c r="L561" t="s">
        <v>44</v>
      </c>
      <c r="M561">
        <v>2.5</v>
      </c>
      <c r="N561" t="s">
        <v>45</v>
      </c>
      <c r="O561" t="s">
        <v>46</v>
      </c>
      <c r="P561">
        <v>2</v>
      </c>
      <c r="Q561" t="s">
        <v>47</v>
      </c>
      <c r="R561" t="s">
        <v>48</v>
      </c>
      <c r="S561" t="s">
        <v>49</v>
      </c>
      <c r="T561">
        <v>168</v>
      </c>
      <c r="U561" t="s">
        <v>50</v>
      </c>
      <c r="V561" t="s">
        <v>95</v>
      </c>
      <c r="X561" t="s">
        <v>52</v>
      </c>
      <c r="Y561" t="s">
        <v>67</v>
      </c>
      <c r="AA561">
        <v>0</v>
      </c>
      <c r="AB561" t="s">
        <v>54</v>
      </c>
      <c r="AC561" t="s">
        <v>55</v>
      </c>
      <c r="AD561">
        <v>34</v>
      </c>
      <c r="AE561">
        <v>8</v>
      </c>
      <c r="AF561">
        <v>3</v>
      </c>
      <c r="AG561">
        <v>2025</v>
      </c>
      <c r="AH561" s="13">
        <v>2200</v>
      </c>
      <c r="AI561" s="13">
        <v>2804.350830078125</v>
      </c>
      <c r="AJ561" s="13">
        <f t="shared" si="64"/>
        <v>604.350830078125</v>
      </c>
      <c r="AK561" s="14">
        <f t="shared" si="65"/>
        <v>0.27470492276278408</v>
      </c>
      <c r="AL561" s="9">
        <v>2200</v>
      </c>
      <c r="AM561" s="9">
        <v>2912.9495548076661</v>
      </c>
      <c r="AN561" s="9">
        <f t="shared" si="66"/>
        <v>712.94955480766612</v>
      </c>
      <c r="AO561" s="10">
        <f t="shared" si="67"/>
        <v>0.32406797945803006</v>
      </c>
      <c r="AP561" s="16">
        <v>2200</v>
      </c>
      <c r="AQ561" s="16">
        <v>2974.5459549760262</v>
      </c>
      <c r="AR561" s="16">
        <f t="shared" si="68"/>
        <v>774.54595497602622</v>
      </c>
      <c r="AS561" s="17">
        <f t="shared" si="69"/>
        <v>0.352066343170921</v>
      </c>
      <c r="AT561" s="6">
        <v>2200</v>
      </c>
      <c r="AU561" s="6">
        <v>2844.197509765625</v>
      </c>
      <c r="AV561" s="6">
        <f t="shared" si="70"/>
        <v>644.197509765625</v>
      </c>
      <c r="AW561" s="7">
        <f t="shared" si="71"/>
        <v>0.29281704989346591</v>
      </c>
    </row>
    <row r="562" spans="1:49" x14ac:dyDescent="0.25">
      <c r="A562" t="s">
        <v>38</v>
      </c>
      <c r="B562" t="s">
        <v>204</v>
      </c>
      <c r="C562">
        <v>79258</v>
      </c>
      <c r="D562">
        <v>2022</v>
      </c>
      <c r="E562" t="s">
        <v>184</v>
      </c>
      <c r="F562" t="s">
        <v>185</v>
      </c>
      <c r="G562" t="s">
        <v>935</v>
      </c>
      <c r="I562">
        <v>4</v>
      </c>
      <c r="L562" t="s">
        <v>44</v>
      </c>
      <c r="M562">
        <v>2.5</v>
      </c>
      <c r="N562" t="s">
        <v>44</v>
      </c>
      <c r="O562" t="s">
        <v>46</v>
      </c>
      <c r="P562">
        <v>2</v>
      </c>
      <c r="Q562" t="s">
        <v>47</v>
      </c>
      <c r="R562" t="s">
        <v>48</v>
      </c>
      <c r="S562" t="s">
        <v>63</v>
      </c>
      <c r="T562">
        <v>187</v>
      </c>
      <c r="U562" t="s">
        <v>50</v>
      </c>
      <c r="V562" t="s">
        <v>95</v>
      </c>
      <c r="W562" t="s">
        <v>936</v>
      </c>
      <c r="X562" t="s">
        <v>52</v>
      </c>
      <c r="Y562" t="s">
        <v>97</v>
      </c>
      <c r="AA562">
        <v>0</v>
      </c>
      <c r="AB562" t="s">
        <v>54</v>
      </c>
      <c r="AC562" t="s">
        <v>55</v>
      </c>
      <c r="AD562">
        <v>34</v>
      </c>
      <c r="AE562">
        <v>8</v>
      </c>
      <c r="AF562">
        <v>3</v>
      </c>
      <c r="AG562">
        <v>2025</v>
      </c>
      <c r="AH562" s="13">
        <v>17750</v>
      </c>
      <c r="AI562" s="13">
        <v>12262.24609375</v>
      </c>
      <c r="AJ562" s="13">
        <f t="shared" si="64"/>
        <v>5487.75390625</v>
      </c>
      <c r="AK562" s="14">
        <f t="shared" si="65"/>
        <v>0.30916923415492958</v>
      </c>
      <c r="AL562" s="9">
        <v>17750</v>
      </c>
      <c r="AM562" s="9">
        <v>13893.89495780441</v>
      </c>
      <c r="AN562" s="9">
        <f t="shared" si="66"/>
        <v>3856.1050421955897</v>
      </c>
      <c r="AO562" s="10">
        <f t="shared" si="67"/>
        <v>0.21724535448989238</v>
      </c>
      <c r="AP562" s="16">
        <v>17750</v>
      </c>
      <c r="AQ562" s="16">
        <v>12609.01849906514</v>
      </c>
      <c r="AR562" s="16">
        <f t="shared" si="68"/>
        <v>5140.9815009348604</v>
      </c>
      <c r="AS562" s="17">
        <f t="shared" si="69"/>
        <v>0.28963276061604848</v>
      </c>
      <c r="AT562" s="6">
        <v>17750</v>
      </c>
      <c r="AU562" s="6">
        <v>12224.505859375</v>
      </c>
      <c r="AV562" s="6">
        <f t="shared" si="70"/>
        <v>5525.494140625</v>
      </c>
      <c r="AW562" s="7">
        <f t="shared" si="71"/>
        <v>0.3112954445422535</v>
      </c>
    </row>
    <row r="563" spans="1:49" x14ac:dyDescent="0.25">
      <c r="A563" t="s">
        <v>69</v>
      </c>
      <c r="B563" t="s">
        <v>70</v>
      </c>
      <c r="C563">
        <v>102315</v>
      </c>
      <c r="D563">
        <v>2018</v>
      </c>
      <c r="E563" t="s">
        <v>113</v>
      </c>
      <c r="F563" t="s">
        <v>114</v>
      </c>
      <c r="G563" t="s">
        <v>476</v>
      </c>
      <c r="I563">
        <v>6</v>
      </c>
      <c r="J563" t="s">
        <v>61</v>
      </c>
      <c r="K563">
        <v>4</v>
      </c>
      <c r="L563" t="s">
        <v>44</v>
      </c>
      <c r="M563">
        <v>3.6</v>
      </c>
      <c r="N563" t="s">
        <v>116</v>
      </c>
      <c r="O563" t="s">
        <v>46</v>
      </c>
      <c r="P563">
        <v>4</v>
      </c>
      <c r="Q563" t="s">
        <v>84</v>
      </c>
      <c r="R563" t="s">
        <v>85</v>
      </c>
      <c r="S563" t="s">
        <v>117</v>
      </c>
      <c r="T563">
        <v>292</v>
      </c>
      <c r="U563" t="s">
        <v>50</v>
      </c>
      <c r="V563" t="s">
        <v>64</v>
      </c>
      <c r="X563" t="s">
        <v>87</v>
      </c>
      <c r="Y563" t="s">
        <v>88</v>
      </c>
      <c r="Z563">
        <v>28995</v>
      </c>
      <c r="AA563">
        <v>0</v>
      </c>
      <c r="AB563" t="s">
        <v>54</v>
      </c>
      <c r="AC563" t="s">
        <v>89</v>
      </c>
      <c r="AD563">
        <v>34</v>
      </c>
      <c r="AE563">
        <v>8</v>
      </c>
      <c r="AF563">
        <v>3</v>
      </c>
      <c r="AG563">
        <v>2025</v>
      </c>
      <c r="AH563" s="13">
        <v>11700</v>
      </c>
      <c r="AI563" s="13">
        <v>11079.7265625</v>
      </c>
      <c r="AJ563" s="13">
        <f t="shared" si="64"/>
        <v>620.2734375</v>
      </c>
      <c r="AK563" s="14">
        <f t="shared" si="65"/>
        <v>5.3014823717948717E-2</v>
      </c>
      <c r="AL563" s="9">
        <v>11700</v>
      </c>
      <c r="AM563" s="9">
        <v>12006.553241087629</v>
      </c>
      <c r="AN563" s="9">
        <f t="shared" si="66"/>
        <v>306.55324108762943</v>
      </c>
      <c r="AO563" s="10">
        <f t="shared" si="67"/>
        <v>2.6201131716891403E-2</v>
      </c>
      <c r="AP563" s="16">
        <v>11700</v>
      </c>
      <c r="AQ563" s="16">
        <v>9809.1288091665701</v>
      </c>
      <c r="AR563" s="16">
        <f t="shared" si="68"/>
        <v>1890.8711908334299</v>
      </c>
      <c r="AS563" s="17">
        <f t="shared" si="69"/>
        <v>0.16161292229345556</v>
      </c>
      <c r="AT563" s="6">
        <v>11700</v>
      </c>
      <c r="AU563" s="6">
        <v>11476.0478515625</v>
      </c>
      <c r="AV563" s="6">
        <f t="shared" si="70"/>
        <v>223.9521484375</v>
      </c>
      <c r="AW563" s="7">
        <f t="shared" si="71"/>
        <v>1.9141209268162394E-2</v>
      </c>
    </row>
    <row r="564" spans="1:49" x14ac:dyDescent="0.25">
      <c r="A564" t="s">
        <v>38</v>
      </c>
      <c r="B564" t="s">
        <v>167</v>
      </c>
      <c r="C564">
        <v>82113</v>
      </c>
      <c r="D564">
        <v>2018</v>
      </c>
      <c r="E564" t="s">
        <v>58</v>
      </c>
      <c r="F564" t="s">
        <v>258</v>
      </c>
      <c r="H564" t="s">
        <v>261</v>
      </c>
      <c r="I564">
        <v>4</v>
      </c>
      <c r="J564" t="s">
        <v>82</v>
      </c>
      <c r="K564">
        <v>4</v>
      </c>
      <c r="L564" t="s">
        <v>44</v>
      </c>
      <c r="M564">
        <v>1.5</v>
      </c>
      <c r="N564" t="s">
        <v>45</v>
      </c>
      <c r="O564" t="s">
        <v>46</v>
      </c>
      <c r="P564">
        <v>4</v>
      </c>
      <c r="Q564" t="s">
        <v>47</v>
      </c>
      <c r="R564" t="s">
        <v>48</v>
      </c>
      <c r="S564" t="s">
        <v>49</v>
      </c>
      <c r="T564">
        <v>170</v>
      </c>
      <c r="U564" t="s">
        <v>50</v>
      </c>
      <c r="V564" t="s">
        <v>95</v>
      </c>
      <c r="W564" t="s">
        <v>688</v>
      </c>
      <c r="X564" t="s">
        <v>52</v>
      </c>
      <c r="Y564" t="s">
        <v>67</v>
      </c>
      <c r="Z564">
        <v>28100</v>
      </c>
      <c r="AA564">
        <v>0</v>
      </c>
      <c r="AB564" t="s">
        <v>54</v>
      </c>
      <c r="AC564" t="s">
        <v>55</v>
      </c>
      <c r="AD564">
        <v>34</v>
      </c>
      <c r="AE564">
        <v>8</v>
      </c>
      <c r="AF564">
        <v>3</v>
      </c>
      <c r="AG564">
        <v>2025</v>
      </c>
      <c r="AH564" s="13">
        <v>8900</v>
      </c>
      <c r="AI564" s="13">
        <v>8462.9521484375</v>
      </c>
      <c r="AJ564" s="13">
        <f t="shared" si="64"/>
        <v>437.0478515625</v>
      </c>
      <c r="AK564" s="14">
        <f t="shared" si="65"/>
        <v>4.9106500175561799E-2</v>
      </c>
      <c r="AL564" s="9">
        <v>8900</v>
      </c>
      <c r="AM564" s="9">
        <v>8872.2708534390913</v>
      </c>
      <c r="AN564" s="9">
        <f t="shared" si="66"/>
        <v>27.729146560908703</v>
      </c>
      <c r="AO564" s="10">
        <f t="shared" si="67"/>
        <v>3.1156344450459215E-3</v>
      </c>
      <c r="AP564" s="16">
        <v>8900</v>
      </c>
      <c r="AQ564" s="16">
        <v>9065.3182891827837</v>
      </c>
      <c r="AR564" s="16">
        <f t="shared" si="68"/>
        <v>165.3182891827837</v>
      </c>
      <c r="AS564" s="17">
        <f t="shared" si="69"/>
        <v>1.8575088672222888E-2</v>
      </c>
      <c r="AT564" s="6">
        <v>8900</v>
      </c>
      <c r="AU564" s="6">
        <v>9244.279296875</v>
      </c>
      <c r="AV564" s="6">
        <f t="shared" si="70"/>
        <v>344.279296875</v>
      </c>
      <c r="AW564" s="7">
        <f t="shared" si="71"/>
        <v>3.8683067064606738E-2</v>
      </c>
    </row>
    <row r="565" spans="1:49" x14ac:dyDescent="0.25">
      <c r="A565" t="s">
        <v>107</v>
      </c>
      <c r="B565" t="s">
        <v>256</v>
      </c>
      <c r="C565">
        <v>100883</v>
      </c>
      <c r="D565">
        <v>1997</v>
      </c>
      <c r="E565" t="s">
        <v>173</v>
      </c>
      <c r="F565" t="s">
        <v>461</v>
      </c>
      <c r="G565" t="s">
        <v>462</v>
      </c>
      <c r="I565">
        <v>6</v>
      </c>
      <c r="J565" t="s">
        <v>82</v>
      </c>
      <c r="K565">
        <v>4</v>
      </c>
      <c r="L565" t="s">
        <v>44</v>
      </c>
      <c r="M565">
        <v>4</v>
      </c>
      <c r="N565" t="s">
        <v>62</v>
      </c>
      <c r="O565" t="s">
        <v>46</v>
      </c>
      <c r="P565">
        <v>3</v>
      </c>
      <c r="Q565" t="s">
        <v>47</v>
      </c>
      <c r="R565" t="s">
        <v>48</v>
      </c>
      <c r="S565" t="s">
        <v>63</v>
      </c>
      <c r="U565" t="s">
        <v>50</v>
      </c>
      <c r="V565" t="s">
        <v>95</v>
      </c>
      <c r="X565" t="s">
        <v>141</v>
      </c>
      <c r="Y565" t="s">
        <v>67</v>
      </c>
      <c r="AA565">
        <v>0</v>
      </c>
      <c r="AB565" t="s">
        <v>54</v>
      </c>
      <c r="AC565" t="s">
        <v>55</v>
      </c>
      <c r="AD565">
        <v>34</v>
      </c>
      <c r="AE565">
        <v>8</v>
      </c>
      <c r="AF565">
        <v>3</v>
      </c>
      <c r="AG565">
        <v>2025</v>
      </c>
      <c r="AH565" s="13">
        <v>800</v>
      </c>
      <c r="AI565" s="13">
        <v>653.827392578125</v>
      </c>
      <c r="AJ565" s="13">
        <f t="shared" si="64"/>
        <v>146.172607421875</v>
      </c>
      <c r="AK565" s="14">
        <f t="shared" si="65"/>
        <v>0.18271575927734374</v>
      </c>
      <c r="AL565" s="9">
        <v>800</v>
      </c>
      <c r="AM565" s="9">
        <v>1071.041530110929</v>
      </c>
      <c r="AN565" s="9">
        <f t="shared" si="66"/>
        <v>271.04153011092899</v>
      </c>
      <c r="AO565" s="10">
        <f t="shared" si="67"/>
        <v>0.33880191263866122</v>
      </c>
      <c r="AP565" s="16">
        <v>800</v>
      </c>
      <c r="AQ565" s="16">
        <v>849.446299893061</v>
      </c>
      <c r="AR565" s="16">
        <f t="shared" si="68"/>
        <v>49.446299893060996</v>
      </c>
      <c r="AS565" s="17">
        <f t="shared" si="69"/>
        <v>6.1807874866326246E-2</v>
      </c>
      <c r="AT565" s="6">
        <v>800</v>
      </c>
      <c r="AU565" s="6">
        <v>779.88922119140625</v>
      </c>
      <c r="AV565" s="6">
        <f t="shared" si="70"/>
        <v>20.11077880859375</v>
      </c>
      <c r="AW565" s="7">
        <f t="shared" si="71"/>
        <v>2.5138473510742186E-2</v>
      </c>
    </row>
    <row r="566" spans="1:49" x14ac:dyDescent="0.25">
      <c r="A566" t="s">
        <v>107</v>
      </c>
      <c r="B566" t="s">
        <v>108</v>
      </c>
      <c r="C566">
        <v>96153</v>
      </c>
      <c r="D566">
        <v>2016</v>
      </c>
      <c r="E566" t="s">
        <v>40</v>
      </c>
      <c r="F566" t="s">
        <v>119</v>
      </c>
      <c r="G566" t="s">
        <v>937</v>
      </c>
      <c r="I566">
        <v>4</v>
      </c>
      <c r="J566" t="s">
        <v>74</v>
      </c>
      <c r="K566">
        <v>4</v>
      </c>
      <c r="L566" t="s">
        <v>44</v>
      </c>
      <c r="M566">
        <v>2</v>
      </c>
      <c r="N566" t="s">
        <v>45</v>
      </c>
      <c r="Q566" t="s">
        <v>47</v>
      </c>
      <c r="R566" t="s">
        <v>48</v>
      </c>
      <c r="U566" t="s">
        <v>50</v>
      </c>
      <c r="W566" t="s">
        <v>938</v>
      </c>
      <c r="X566" t="s">
        <v>52</v>
      </c>
      <c r="Y566" t="s">
        <v>53</v>
      </c>
      <c r="AA566">
        <v>0</v>
      </c>
      <c r="AB566" t="s">
        <v>54</v>
      </c>
      <c r="AC566" t="s">
        <v>55</v>
      </c>
      <c r="AD566">
        <v>34</v>
      </c>
      <c r="AE566">
        <v>8</v>
      </c>
      <c r="AF566">
        <v>3</v>
      </c>
      <c r="AG566">
        <v>2025</v>
      </c>
      <c r="AH566" s="13">
        <v>7200</v>
      </c>
      <c r="AI566" s="13">
        <v>4250.978515625</v>
      </c>
      <c r="AJ566" s="13">
        <f t="shared" si="64"/>
        <v>2949.021484375</v>
      </c>
      <c r="AK566" s="14">
        <f t="shared" si="65"/>
        <v>0.40958631727430556</v>
      </c>
      <c r="AL566" s="9">
        <v>7200</v>
      </c>
      <c r="AM566" s="9">
        <v>4293.596694526289</v>
      </c>
      <c r="AN566" s="9">
        <f t="shared" si="66"/>
        <v>2906.403305473711</v>
      </c>
      <c r="AO566" s="10">
        <f t="shared" si="67"/>
        <v>0.40366712576023767</v>
      </c>
      <c r="AP566" s="16">
        <v>7200</v>
      </c>
      <c r="AQ566" s="16">
        <v>5326.5381514448327</v>
      </c>
      <c r="AR566" s="16">
        <f t="shared" si="68"/>
        <v>1873.4618485551673</v>
      </c>
      <c r="AS566" s="17">
        <f t="shared" si="69"/>
        <v>0.26020303452155102</v>
      </c>
      <c r="AT566" s="6">
        <v>7200</v>
      </c>
      <c r="AU566" s="6">
        <v>4185.79638671875</v>
      </c>
      <c r="AV566" s="6">
        <f t="shared" si="70"/>
        <v>3014.20361328125</v>
      </c>
      <c r="AW566" s="7">
        <f t="shared" si="71"/>
        <v>0.41863939073350692</v>
      </c>
    </row>
    <row r="567" spans="1:49" x14ac:dyDescent="0.25">
      <c r="A567" t="s">
        <v>56</v>
      </c>
      <c r="B567" t="s">
        <v>303</v>
      </c>
      <c r="C567">
        <v>124508</v>
      </c>
      <c r="D567">
        <v>2018</v>
      </c>
      <c r="E567" t="s">
        <v>71</v>
      </c>
      <c r="F567" t="s">
        <v>199</v>
      </c>
      <c r="I567">
        <v>4</v>
      </c>
      <c r="J567" t="s">
        <v>43</v>
      </c>
      <c r="K567">
        <v>4</v>
      </c>
      <c r="L567" t="s">
        <v>44</v>
      </c>
      <c r="M567">
        <v>2.5</v>
      </c>
      <c r="N567" t="s">
        <v>44</v>
      </c>
      <c r="Q567" t="s">
        <v>47</v>
      </c>
      <c r="R567" t="s">
        <v>207</v>
      </c>
      <c r="S567" t="s">
        <v>63</v>
      </c>
      <c r="T567">
        <v>170</v>
      </c>
      <c r="U567" t="s">
        <v>50</v>
      </c>
      <c r="X567" t="s">
        <v>52</v>
      </c>
      <c r="Y567" t="s">
        <v>53</v>
      </c>
      <c r="Z567">
        <v>24800</v>
      </c>
      <c r="AA567">
        <v>0</v>
      </c>
      <c r="AB567" t="s">
        <v>54</v>
      </c>
      <c r="AC567" t="s">
        <v>55</v>
      </c>
      <c r="AD567">
        <v>34</v>
      </c>
      <c r="AE567">
        <v>8</v>
      </c>
      <c r="AF567">
        <v>3</v>
      </c>
      <c r="AG567">
        <v>2025</v>
      </c>
      <c r="AH567" s="13">
        <v>6900</v>
      </c>
      <c r="AI567" s="13">
        <v>5364.1767578125</v>
      </c>
      <c r="AJ567" s="13">
        <f t="shared" si="64"/>
        <v>1535.8232421875</v>
      </c>
      <c r="AK567" s="14">
        <f t="shared" si="65"/>
        <v>0.22258307857789855</v>
      </c>
      <c r="AL567" s="9">
        <v>6900</v>
      </c>
      <c r="AM567" s="9">
        <v>4905.5111486728583</v>
      </c>
      <c r="AN567" s="9">
        <f t="shared" si="66"/>
        <v>1994.4888513271417</v>
      </c>
      <c r="AO567" s="10">
        <f t="shared" si="67"/>
        <v>0.28905635526480317</v>
      </c>
      <c r="AP567" s="16">
        <v>6900</v>
      </c>
      <c r="AQ567" s="16">
        <v>5009.0929733177109</v>
      </c>
      <c r="AR567" s="16">
        <f t="shared" si="68"/>
        <v>1890.9070266822891</v>
      </c>
      <c r="AS567" s="17">
        <f t="shared" si="69"/>
        <v>0.27404449662062164</v>
      </c>
      <c r="AT567" s="6">
        <v>6900</v>
      </c>
      <c r="AU567" s="6">
        <v>4714.97802734375</v>
      </c>
      <c r="AV567" s="6">
        <f t="shared" si="70"/>
        <v>2185.02197265625</v>
      </c>
      <c r="AW567" s="7">
        <f t="shared" si="71"/>
        <v>0.31666985110960144</v>
      </c>
    </row>
    <row r="568" spans="1:49" x14ac:dyDescent="0.25">
      <c r="A568" t="s">
        <v>56</v>
      </c>
      <c r="B568" t="s">
        <v>144</v>
      </c>
      <c r="C568">
        <v>53084</v>
      </c>
      <c r="D568">
        <v>2017</v>
      </c>
      <c r="E568" t="s">
        <v>173</v>
      </c>
      <c r="F568" t="s">
        <v>370</v>
      </c>
      <c r="G568" t="s">
        <v>559</v>
      </c>
      <c r="H568" t="s">
        <v>401</v>
      </c>
      <c r="I568">
        <v>6</v>
      </c>
      <c r="J568" t="s">
        <v>101</v>
      </c>
      <c r="K568">
        <v>4</v>
      </c>
      <c r="L568" t="s">
        <v>44</v>
      </c>
      <c r="M568">
        <v>3.6</v>
      </c>
      <c r="N568" t="s">
        <v>62</v>
      </c>
      <c r="O568" t="s">
        <v>46</v>
      </c>
      <c r="P568">
        <v>5</v>
      </c>
      <c r="Q568" t="s">
        <v>47</v>
      </c>
      <c r="R568" t="s">
        <v>48</v>
      </c>
      <c r="S568" t="s">
        <v>63</v>
      </c>
      <c r="T568">
        <v>285</v>
      </c>
      <c r="U568" t="s">
        <v>50</v>
      </c>
      <c r="V568" t="s">
        <v>64</v>
      </c>
      <c r="X568" t="s">
        <v>141</v>
      </c>
      <c r="Y568" t="s">
        <v>67</v>
      </c>
      <c r="Z568">
        <v>27895</v>
      </c>
      <c r="AA568">
        <v>0</v>
      </c>
      <c r="AB568" t="s">
        <v>54</v>
      </c>
      <c r="AC568" t="s">
        <v>55</v>
      </c>
      <c r="AD568">
        <v>34</v>
      </c>
      <c r="AE568">
        <v>8</v>
      </c>
      <c r="AF568">
        <v>3</v>
      </c>
      <c r="AG568">
        <v>2025</v>
      </c>
      <c r="AH568" s="13">
        <v>18200</v>
      </c>
      <c r="AI568" s="13">
        <v>19040.0234375</v>
      </c>
      <c r="AJ568" s="13">
        <f t="shared" si="64"/>
        <v>840.0234375</v>
      </c>
      <c r="AK568" s="14">
        <f t="shared" si="65"/>
        <v>4.6155133928571429E-2</v>
      </c>
      <c r="AL568" s="9">
        <v>18200</v>
      </c>
      <c r="AM568" s="9">
        <v>21585.17572999265</v>
      </c>
      <c r="AN568" s="9">
        <f t="shared" si="66"/>
        <v>3385.1757299926503</v>
      </c>
      <c r="AO568" s="10">
        <f t="shared" si="67"/>
        <v>0.18599866648311264</v>
      </c>
      <c r="AP568" s="16">
        <v>18200</v>
      </c>
      <c r="AQ568" s="16">
        <v>19825.3979565062</v>
      </c>
      <c r="AR568" s="16">
        <f t="shared" si="68"/>
        <v>1625.3979565062</v>
      </c>
      <c r="AS568" s="17">
        <f t="shared" si="69"/>
        <v>8.930758002781318E-2</v>
      </c>
      <c r="AT568" s="6">
        <v>18200</v>
      </c>
      <c r="AU568" s="6">
        <v>17095.88671875</v>
      </c>
      <c r="AV568" s="6">
        <f t="shared" si="70"/>
        <v>1104.11328125</v>
      </c>
      <c r="AW568" s="7">
        <f t="shared" si="71"/>
        <v>6.0665564903846156E-2</v>
      </c>
    </row>
    <row r="569" spans="1:49" x14ac:dyDescent="0.25">
      <c r="A569" t="s">
        <v>107</v>
      </c>
      <c r="B569" t="s">
        <v>108</v>
      </c>
      <c r="C569">
        <v>38282</v>
      </c>
      <c r="D569">
        <v>2019</v>
      </c>
      <c r="E569" t="s">
        <v>145</v>
      </c>
      <c r="F569" t="s">
        <v>235</v>
      </c>
      <c r="G569" t="s">
        <v>313</v>
      </c>
      <c r="I569">
        <v>4</v>
      </c>
      <c r="J569" t="s">
        <v>61</v>
      </c>
      <c r="K569">
        <v>4</v>
      </c>
      <c r="L569" t="s">
        <v>44</v>
      </c>
      <c r="M569">
        <v>1.5</v>
      </c>
      <c r="N569" t="s">
        <v>45</v>
      </c>
      <c r="O569" t="s">
        <v>46</v>
      </c>
      <c r="P569">
        <v>4</v>
      </c>
      <c r="Q569" t="s">
        <v>84</v>
      </c>
      <c r="R569" t="s">
        <v>157</v>
      </c>
      <c r="S569" t="s">
        <v>49</v>
      </c>
      <c r="T569">
        <v>128</v>
      </c>
      <c r="U569" t="s">
        <v>50</v>
      </c>
      <c r="V569" t="s">
        <v>95</v>
      </c>
      <c r="W569" t="s">
        <v>939</v>
      </c>
      <c r="X569" t="s">
        <v>122</v>
      </c>
      <c r="Y569" t="s">
        <v>106</v>
      </c>
      <c r="Z569">
        <v>18160</v>
      </c>
      <c r="AA569">
        <v>0</v>
      </c>
      <c r="AB569" t="s">
        <v>54</v>
      </c>
      <c r="AC569" t="s">
        <v>159</v>
      </c>
      <c r="AD569">
        <v>34</v>
      </c>
      <c r="AE569">
        <v>8</v>
      </c>
      <c r="AF569">
        <v>3</v>
      </c>
      <c r="AG569">
        <v>2025</v>
      </c>
      <c r="AH569" s="13">
        <v>15900</v>
      </c>
      <c r="AI569" s="13">
        <v>13123.111328125</v>
      </c>
      <c r="AJ569" s="13">
        <f t="shared" si="64"/>
        <v>2776.888671875</v>
      </c>
      <c r="AK569" s="14">
        <f t="shared" si="65"/>
        <v>0.17464708628144654</v>
      </c>
      <c r="AL569" s="9">
        <v>15900</v>
      </c>
      <c r="AM569" s="9">
        <v>14049.40873441455</v>
      </c>
      <c r="AN569" s="9">
        <f t="shared" si="66"/>
        <v>1850.5912655854499</v>
      </c>
      <c r="AO569" s="10">
        <f t="shared" si="67"/>
        <v>0.11638938777266981</v>
      </c>
      <c r="AP569" s="16">
        <v>15900</v>
      </c>
      <c r="AQ569" s="16">
        <v>14714.693335019259</v>
      </c>
      <c r="AR569" s="16">
        <f t="shared" si="68"/>
        <v>1185.3066649807406</v>
      </c>
      <c r="AS569" s="17">
        <f t="shared" si="69"/>
        <v>7.4547588992499414E-2</v>
      </c>
      <c r="AT569" s="6">
        <v>15900</v>
      </c>
      <c r="AU569" s="6">
        <v>13467.515625</v>
      </c>
      <c r="AV569" s="6">
        <f t="shared" si="70"/>
        <v>2432.484375</v>
      </c>
      <c r="AW569" s="7">
        <f t="shared" si="71"/>
        <v>0.15298643867924527</v>
      </c>
    </row>
    <row r="570" spans="1:49" x14ac:dyDescent="0.25">
      <c r="A570" t="s">
        <v>38</v>
      </c>
      <c r="B570" t="s">
        <v>289</v>
      </c>
      <c r="C570">
        <v>183027</v>
      </c>
      <c r="D570">
        <v>2017</v>
      </c>
      <c r="E570" t="s">
        <v>58</v>
      </c>
      <c r="F570" t="s">
        <v>59</v>
      </c>
      <c r="G570" t="s">
        <v>266</v>
      </c>
      <c r="I570">
        <v>6</v>
      </c>
      <c r="J570" t="s">
        <v>74</v>
      </c>
      <c r="K570">
        <v>4</v>
      </c>
      <c r="L570" t="s">
        <v>44</v>
      </c>
      <c r="M570">
        <v>3.5</v>
      </c>
      <c r="N570" t="s">
        <v>62</v>
      </c>
      <c r="O570" t="s">
        <v>46</v>
      </c>
      <c r="Q570" t="s">
        <v>47</v>
      </c>
      <c r="R570" t="s">
        <v>48</v>
      </c>
      <c r="S570" t="s">
        <v>63</v>
      </c>
      <c r="T570">
        <v>290</v>
      </c>
      <c r="U570" t="s">
        <v>50</v>
      </c>
      <c r="V570" t="s">
        <v>64</v>
      </c>
      <c r="W570" t="s">
        <v>769</v>
      </c>
      <c r="X570" t="s">
        <v>66</v>
      </c>
      <c r="Y570" t="s">
        <v>67</v>
      </c>
      <c r="Z570">
        <v>33775</v>
      </c>
      <c r="AA570">
        <v>0</v>
      </c>
      <c r="AB570" t="s">
        <v>54</v>
      </c>
      <c r="AC570" t="s">
        <v>68</v>
      </c>
      <c r="AD570">
        <v>34</v>
      </c>
      <c r="AE570">
        <v>8</v>
      </c>
      <c r="AF570">
        <v>3</v>
      </c>
      <c r="AG570">
        <v>2025</v>
      </c>
      <c r="AH570" s="13">
        <v>2400</v>
      </c>
      <c r="AI570" s="13">
        <v>5214.6630859375</v>
      </c>
      <c r="AJ570" s="13">
        <f t="shared" si="64"/>
        <v>2814.6630859375</v>
      </c>
      <c r="AK570" s="14">
        <f t="shared" si="65"/>
        <v>1.1727762858072917</v>
      </c>
      <c r="AL570" s="9">
        <v>2400</v>
      </c>
      <c r="AM570" s="9">
        <v>5749.7993757698159</v>
      </c>
      <c r="AN570" s="9">
        <f t="shared" si="66"/>
        <v>3349.7993757698159</v>
      </c>
      <c r="AO570" s="10">
        <f t="shared" si="67"/>
        <v>1.3957497399040899</v>
      </c>
      <c r="AP570" s="16">
        <v>2400</v>
      </c>
      <c r="AQ570" s="16">
        <v>5054.1945751939757</v>
      </c>
      <c r="AR570" s="16">
        <f t="shared" si="68"/>
        <v>2654.1945751939757</v>
      </c>
      <c r="AS570" s="17">
        <f t="shared" si="69"/>
        <v>1.1059144063308233</v>
      </c>
      <c r="AT570" s="6">
        <v>2400</v>
      </c>
      <c r="AU570" s="6">
        <v>5431.1279296875</v>
      </c>
      <c r="AV570" s="6">
        <f t="shared" si="70"/>
        <v>3031.1279296875</v>
      </c>
      <c r="AW570" s="7">
        <f t="shared" si="71"/>
        <v>1.262969970703125</v>
      </c>
    </row>
    <row r="571" spans="1:49" x14ac:dyDescent="0.25">
      <c r="A571" t="s">
        <v>38</v>
      </c>
      <c r="B571" t="s">
        <v>167</v>
      </c>
      <c r="C571">
        <v>98437</v>
      </c>
      <c r="D571">
        <v>2022</v>
      </c>
      <c r="E571" t="s">
        <v>217</v>
      </c>
      <c r="F571" t="s">
        <v>162</v>
      </c>
      <c r="G571" t="s">
        <v>459</v>
      </c>
      <c r="H571" t="s">
        <v>940</v>
      </c>
      <c r="I571">
        <v>8</v>
      </c>
      <c r="J571" t="s">
        <v>61</v>
      </c>
      <c r="K571">
        <v>4</v>
      </c>
      <c r="L571" t="s">
        <v>44</v>
      </c>
      <c r="M571">
        <v>5.7</v>
      </c>
      <c r="N571" t="s">
        <v>62</v>
      </c>
      <c r="O571" t="s">
        <v>46</v>
      </c>
      <c r="P571">
        <v>4</v>
      </c>
      <c r="Q571" t="s">
        <v>75</v>
      </c>
      <c r="R571" t="s">
        <v>76</v>
      </c>
      <c r="S571" t="s">
        <v>63</v>
      </c>
      <c r="T571">
        <v>395</v>
      </c>
      <c r="U571" t="s">
        <v>50</v>
      </c>
      <c r="V571" t="s">
        <v>64</v>
      </c>
      <c r="X571" t="s">
        <v>77</v>
      </c>
      <c r="Y571" t="s">
        <v>67</v>
      </c>
      <c r="AA571">
        <v>0</v>
      </c>
      <c r="AB571" t="s">
        <v>54</v>
      </c>
      <c r="AC571" t="s">
        <v>78</v>
      </c>
      <c r="AD571">
        <v>34</v>
      </c>
      <c r="AE571">
        <v>8</v>
      </c>
      <c r="AF571">
        <v>3</v>
      </c>
      <c r="AG571">
        <v>2025</v>
      </c>
      <c r="AH571" s="13">
        <v>23000</v>
      </c>
      <c r="AI571" s="13">
        <v>24166.681640625</v>
      </c>
      <c r="AJ571" s="13">
        <f t="shared" si="64"/>
        <v>1166.681640625</v>
      </c>
      <c r="AK571" s="14">
        <f t="shared" si="65"/>
        <v>5.0725288722826084E-2</v>
      </c>
      <c r="AL571" s="9">
        <v>23000</v>
      </c>
      <c r="AM571" s="9">
        <v>25160.3230323465</v>
      </c>
      <c r="AN571" s="9">
        <f t="shared" si="66"/>
        <v>2160.3230323464995</v>
      </c>
      <c r="AO571" s="10">
        <f t="shared" si="67"/>
        <v>9.3927088362891278E-2</v>
      </c>
      <c r="AP571" s="16">
        <v>23000</v>
      </c>
      <c r="AQ571" s="16">
        <v>24280.86940320033</v>
      </c>
      <c r="AR571" s="16">
        <f t="shared" si="68"/>
        <v>1280.8694032003295</v>
      </c>
      <c r="AS571" s="17">
        <f t="shared" si="69"/>
        <v>5.5689974052188243E-2</v>
      </c>
      <c r="AT571" s="6">
        <v>23000</v>
      </c>
      <c r="AU571" s="6">
        <v>24660.814453125</v>
      </c>
      <c r="AV571" s="6">
        <f t="shared" si="70"/>
        <v>1660.814453125</v>
      </c>
      <c r="AW571" s="7">
        <f t="shared" si="71"/>
        <v>7.2209324048913046E-2</v>
      </c>
    </row>
    <row r="572" spans="1:49" x14ac:dyDescent="0.25">
      <c r="A572" t="s">
        <v>38</v>
      </c>
      <c r="B572" t="s">
        <v>229</v>
      </c>
      <c r="C572">
        <v>139886</v>
      </c>
      <c r="D572">
        <v>2012</v>
      </c>
      <c r="E572" t="s">
        <v>145</v>
      </c>
      <c r="F572" t="s">
        <v>307</v>
      </c>
      <c r="G572" t="s">
        <v>941</v>
      </c>
      <c r="I572">
        <v>6</v>
      </c>
      <c r="J572" t="s">
        <v>82</v>
      </c>
      <c r="K572">
        <v>4</v>
      </c>
      <c r="L572" t="s">
        <v>44</v>
      </c>
      <c r="M572">
        <v>3.5</v>
      </c>
      <c r="N572" t="s">
        <v>45</v>
      </c>
      <c r="O572" t="s">
        <v>46</v>
      </c>
      <c r="P572">
        <v>3</v>
      </c>
      <c r="Q572" t="s">
        <v>84</v>
      </c>
      <c r="R572" t="s">
        <v>85</v>
      </c>
      <c r="T572">
        <v>271</v>
      </c>
      <c r="U572" t="s">
        <v>50</v>
      </c>
      <c r="V572" t="s">
        <v>64</v>
      </c>
      <c r="W572" t="s">
        <v>942</v>
      </c>
      <c r="X572" t="s">
        <v>52</v>
      </c>
      <c r="Y572" t="s">
        <v>67</v>
      </c>
      <c r="AA572">
        <v>0</v>
      </c>
      <c r="AB572" t="s">
        <v>54</v>
      </c>
      <c r="AC572" t="s">
        <v>89</v>
      </c>
      <c r="AD572">
        <v>34</v>
      </c>
      <c r="AE572">
        <v>8</v>
      </c>
      <c r="AF572">
        <v>3</v>
      </c>
      <c r="AG572">
        <v>2025</v>
      </c>
      <c r="AH572" s="13">
        <v>5100</v>
      </c>
      <c r="AI572" s="13">
        <v>3709.845947265625</v>
      </c>
      <c r="AJ572" s="13">
        <f t="shared" si="64"/>
        <v>1390.154052734375</v>
      </c>
      <c r="AK572" s="14">
        <f t="shared" si="65"/>
        <v>0.27257922602634804</v>
      </c>
      <c r="AL572" s="9">
        <v>5100</v>
      </c>
      <c r="AM572" s="9">
        <v>4026.6692938934361</v>
      </c>
      <c r="AN572" s="9">
        <f t="shared" si="66"/>
        <v>1073.3307061065639</v>
      </c>
      <c r="AO572" s="10">
        <f t="shared" si="67"/>
        <v>0.21045700119736546</v>
      </c>
      <c r="AP572" s="16">
        <v>5100</v>
      </c>
      <c r="AQ572" s="16">
        <v>3946.8853683308812</v>
      </c>
      <c r="AR572" s="16">
        <f t="shared" si="68"/>
        <v>1153.1146316691188</v>
      </c>
      <c r="AS572" s="17">
        <f t="shared" si="69"/>
        <v>0.22610090817041545</v>
      </c>
      <c r="AT572" s="6">
        <v>5100</v>
      </c>
      <c r="AU572" s="6">
        <v>4179.1259765625</v>
      </c>
      <c r="AV572" s="6">
        <f t="shared" si="70"/>
        <v>920.8740234375</v>
      </c>
      <c r="AW572" s="7">
        <f t="shared" si="71"/>
        <v>0.18056353400735295</v>
      </c>
    </row>
    <row r="573" spans="1:49" x14ac:dyDescent="0.25">
      <c r="A573" t="s">
        <v>38</v>
      </c>
      <c r="B573" t="s">
        <v>167</v>
      </c>
      <c r="C573">
        <v>56785</v>
      </c>
      <c r="D573">
        <v>2023</v>
      </c>
      <c r="E573" t="s">
        <v>79</v>
      </c>
      <c r="F573" t="s">
        <v>286</v>
      </c>
      <c r="G573" t="s">
        <v>287</v>
      </c>
      <c r="I573">
        <v>4</v>
      </c>
      <c r="J573" t="s">
        <v>43</v>
      </c>
      <c r="K573">
        <v>4</v>
      </c>
      <c r="L573" t="s">
        <v>44</v>
      </c>
      <c r="M573">
        <v>1.5</v>
      </c>
      <c r="N573" t="s">
        <v>45</v>
      </c>
      <c r="O573" t="s">
        <v>46</v>
      </c>
      <c r="P573">
        <v>4</v>
      </c>
      <c r="Q573" t="s">
        <v>84</v>
      </c>
      <c r="R573" t="s">
        <v>85</v>
      </c>
      <c r="U573" t="s">
        <v>50</v>
      </c>
      <c r="V573" t="s">
        <v>95</v>
      </c>
      <c r="W573" t="s">
        <v>589</v>
      </c>
      <c r="X573" t="s">
        <v>87</v>
      </c>
      <c r="Y573" t="s">
        <v>67</v>
      </c>
      <c r="AA573">
        <v>0</v>
      </c>
      <c r="AB573" t="s">
        <v>54</v>
      </c>
      <c r="AC573" t="s">
        <v>89</v>
      </c>
      <c r="AD573">
        <v>34</v>
      </c>
      <c r="AE573">
        <v>8</v>
      </c>
      <c r="AF573">
        <v>3</v>
      </c>
      <c r="AG573">
        <v>2025</v>
      </c>
      <c r="AH573" s="13">
        <v>15500</v>
      </c>
      <c r="AI573" s="13">
        <v>19548.181640625</v>
      </c>
      <c r="AJ573" s="13">
        <f t="shared" si="64"/>
        <v>4048.181640625</v>
      </c>
      <c r="AK573" s="14">
        <f t="shared" si="65"/>
        <v>0.26117300907258062</v>
      </c>
      <c r="AL573" s="9">
        <v>15500</v>
      </c>
      <c r="AM573" s="9">
        <v>17216.90909459383</v>
      </c>
      <c r="AN573" s="9">
        <f t="shared" si="66"/>
        <v>1716.9090945938296</v>
      </c>
      <c r="AO573" s="10">
        <f t="shared" si="67"/>
        <v>0.11076832868347287</v>
      </c>
      <c r="AP573" s="16">
        <v>15500</v>
      </c>
      <c r="AQ573" s="16">
        <v>17206.77940367263</v>
      </c>
      <c r="AR573" s="16">
        <f t="shared" si="68"/>
        <v>1706.77940367263</v>
      </c>
      <c r="AS573" s="17">
        <f t="shared" si="69"/>
        <v>0.11011480023694387</v>
      </c>
      <c r="AT573" s="6">
        <v>15500</v>
      </c>
      <c r="AU573" s="6">
        <v>17870.6484375</v>
      </c>
      <c r="AV573" s="6">
        <f t="shared" si="70"/>
        <v>2370.6484375</v>
      </c>
      <c r="AW573" s="7">
        <f t="shared" si="71"/>
        <v>0.15294506048387096</v>
      </c>
    </row>
    <row r="574" spans="1:49" x14ac:dyDescent="0.25">
      <c r="A574" t="s">
        <v>69</v>
      </c>
      <c r="B574" t="s">
        <v>70</v>
      </c>
      <c r="C574">
        <v>38907</v>
      </c>
      <c r="D574">
        <v>2021</v>
      </c>
      <c r="E574" t="s">
        <v>173</v>
      </c>
      <c r="F574" t="s">
        <v>943</v>
      </c>
      <c r="G574" t="s">
        <v>544</v>
      </c>
      <c r="I574">
        <v>6</v>
      </c>
      <c r="J574" t="s">
        <v>101</v>
      </c>
      <c r="K574">
        <v>4</v>
      </c>
      <c r="L574" t="s">
        <v>44</v>
      </c>
      <c r="M574">
        <v>3.6</v>
      </c>
      <c r="N574" t="s">
        <v>62</v>
      </c>
      <c r="O574" t="s">
        <v>46</v>
      </c>
      <c r="P574">
        <v>4</v>
      </c>
      <c r="Q574" t="s">
        <v>47</v>
      </c>
      <c r="R574" t="s">
        <v>48</v>
      </c>
      <c r="S574" t="s">
        <v>63</v>
      </c>
      <c r="T574">
        <v>295</v>
      </c>
      <c r="U574" t="s">
        <v>50</v>
      </c>
      <c r="V574" t="s">
        <v>64</v>
      </c>
      <c r="X574" t="s">
        <v>66</v>
      </c>
      <c r="Y574" t="s">
        <v>67</v>
      </c>
      <c r="AA574">
        <v>0</v>
      </c>
      <c r="AB574" t="s">
        <v>54</v>
      </c>
      <c r="AC574" t="s">
        <v>68</v>
      </c>
      <c r="AD574">
        <v>34</v>
      </c>
      <c r="AE574">
        <v>8</v>
      </c>
      <c r="AF574">
        <v>3</v>
      </c>
      <c r="AG574">
        <v>2025</v>
      </c>
      <c r="AH574" s="13">
        <v>31100</v>
      </c>
      <c r="AI574" s="13">
        <v>30364.896484375</v>
      </c>
      <c r="AJ574" s="13">
        <f t="shared" si="64"/>
        <v>735.103515625</v>
      </c>
      <c r="AK574" s="14">
        <f t="shared" si="65"/>
        <v>2.3636768991157558E-2</v>
      </c>
      <c r="AL574" s="9">
        <v>31100</v>
      </c>
      <c r="AM574" s="9">
        <v>32010.014424452809</v>
      </c>
      <c r="AN574" s="9">
        <f t="shared" si="66"/>
        <v>910.01442445280918</v>
      </c>
      <c r="AO574" s="10">
        <f t="shared" si="67"/>
        <v>2.9260913969543705E-2</v>
      </c>
      <c r="AP574" s="16">
        <v>31100</v>
      </c>
      <c r="AQ574" s="16">
        <v>33538.181156344494</v>
      </c>
      <c r="AR574" s="16">
        <f t="shared" si="68"/>
        <v>2438.1811563444935</v>
      </c>
      <c r="AS574" s="17">
        <f t="shared" si="69"/>
        <v>7.8398107921044805E-2</v>
      </c>
      <c r="AT574" s="6">
        <v>31100</v>
      </c>
      <c r="AU574" s="6">
        <v>30718.796875</v>
      </c>
      <c r="AV574" s="6">
        <f t="shared" si="70"/>
        <v>381.203125</v>
      </c>
      <c r="AW574" s="7">
        <f t="shared" si="71"/>
        <v>1.2257335209003215E-2</v>
      </c>
    </row>
    <row r="575" spans="1:49" x14ac:dyDescent="0.25">
      <c r="A575" t="s">
        <v>38</v>
      </c>
      <c r="B575" t="s">
        <v>267</v>
      </c>
      <c r="C575">
        <v>84395</v>
      </c>
      <c r="D575">
        <v>2013</v>
      </c>
      <c r="E575" t="s">
        <v>625</v>
      </c>
      <c r="F575" t="s">
        <v>944</v>
      </c>
      <c r="I575">
        <v>6</v>
      </c>
      <c r="J575" t="s">
        <v>74</v>
      </c>
      <c r="K575">
        <v>4</v>
      </c>
      <c r="L575" t="s">
        <v>44</v>
      </c>
      <c r="M575">
        <v>3</v>
      </c>
      <c r="N575" t="s">
        <v>44</v>
      </c>
      <c r="O575" t="s">
        <v>46</v>
      </c>
      <c r="Q575" t="s">
        <v>84</v>
      </c>
      <c r="R575" t="s">
        <v>85</v>
      </c>
      <c r="S575" t="s">
        <v>139</v>
      </c>
      <c r="T575">
        <v>300</v>
      </c>
      <c r="U575" t="s">
        <v>50</v>
      </c>
      <c r="W575" t="s">
        <v>945</v>
      </c>
      <c r="X575" t="s">
        <v>87</v>
      </c>
      <c r="Y575" t="s">
        <v>902</v>
      </c>
      <c r="AA575">
        <v>0</v>
      </c>
      <c r="AB575" t="s">
        <v>54</v>
      </c>
      <c r="AC575" t="s">
        <v>89</v>
      </c>
      <c r="AD575">
        <v>34</v>
      </c>
      <c r="AE575">
        <v>8</v>
      </c>
      <c r="AF575">
        <v>3</v>
      </c>
      <c r="AG575">
        <v>2025</v>
      </c>
      <c r="AH575" s="13">
        <v>5750</v>
      </c>
      <c r="AI575" s="13">
        <v>6213.6396484375</v>
      </c>
      <c r="AJ575" s="13">
        <f t="shared" si="64"/>
        <v>463.6396484375</v>
      </c>
      <c r="AK575" s="14">
        <f t="shared" si="65"/>
        <v>8.0632982336956524E-2</v>
      </c>
      <c r="AL575" s="9">
        <v>5750</v>
      </c>
      <c r="AM575" s="9">
        <v>5151.4439859035201</v>
      </c>
      <c r="AN575" s="9">
        <f t="shared" si="66"/>
        <v>598.55601409647988</v>
      </c>
      <c r="AO575" s="10">
        <f t="shared" si="67"/>
        <v>0.10409669810373563</v>
      </c>
      <c r="AP575" s="16">
        <v>5750</v>
      </c>
      <c r="AQ575" s="16">
        <v>4893.5647353222284</v>
      </c>
      <c r="AR575" s="16">
        <f t="shared" si="68"/>
        <v>856.43526467777156</v>
      </c>
      <c r="AS575" s="17">
        <f t="shared" si="69"/>
        <v>0.14894526342222114</v>
      </c>
      <c r="AT575" s="6">
        <v>5750</v>
      </c>
      <c r="AU575" s="6">
        <v>4408.576171875</v>
      </c>
      <c r="AV575" s="6">
        <f t="shared" si="70"/>
        <v>1341.423828125</v>
      </c>
      <c r="AW575" s="7">
        <f t="shared" si="71"/>
        <v>0.23329110054347826</v>
      </c>
    </row>
    <row r="576" spans="1:49" x14ac:dyDescent="0.25">
      <c r="A576" t="s">
        <v>56</v>
      </c>
      <c r="B576" t="s">
        <v>196</v>
      </c>
      <c r="C576">
        <v>263535</v>
      </c>
      <c r="D576">
        <v>2014</v>
      </c>
      <c r="E576" t="s">
        <v>58</v>
      </c>
      <c r="F576" t="s">
        <v>557</v>
      </c>
      <c r="H576" t="s">
        <v>454</v>
      </c>
      <c r="I576">
        <v>8</v>
      </c>
      <c r="J576" t="s">
        <v>43</v>
      </c>
      <c r="K576">
        <v>3</v>
      </c>
      <c r="L576" t="s">
        <v>44</v>
      </c>
      <c r="M576">
        <v>5.4</v>
      </c>
      <c r="N576" t="s">
        <v>116</v>
      </c>
      <c r="O576" t="s">
        <v>46</v>
      </c>
      <c r="Q576" t="s">
        <v>568</v>
      </c>
      <c r="R576" t="s">
        <v>424</v>
      </c>
      <c r="S576" t="s">
        <v>49</v>
      </c>
      <c r="T576">
        <v>255</v>
      </c>
      <c r="U576" t="s">
        <v>50</v>
      </c>
      <c r="V576" t="s">
        <v>64</v>
      </c>
      <c r="W576" t="s">
        <v>558</v>
      </c>
      <c r="X576" t="s">
        <v>390</v>
      </c>
      <c r="Y576" t="s">
        <v>67</v>
      </c>
      <c r="AA576">
        <v>0</v>
      </c>
      <c r="AB576" t="s">
        <v>54</v>
      </c>
      <c r="AC576" t="s">
        <v>424</v>
      </c>
      <c r="AD576">
        <v>34</v>
      </c>
      <c r="AE576">
        <v>8</v>
      </c>
      <c r="AF576">
        <v>3</v>
      </c>
      <c r="AG576">
        <v>2025</v>
      </c>
      <c r="AH576" s="13">
        <v>2600</v>
      </c>
      <c r="AI576" s="13">
        <v>2546.70556640625</v>
      </c>
      <c r="AJ576" s="13">
        <f t="shared" si="64"/>
        <v>53.29443359375</v>
      </c>
      <c r="AK576" s="14">
        <f t="shared" si="65"/>
        <v>2.0497859074519231E-2</v>
      </c>
      <c r="AL576" s="9">
        <v>2600</v>
      </c>
      <c r="AM576" s="9">
        <v>2550.3871649994371</v>
      </c>
      <c r="AN576" s="9">
        <f t="shared" si="66"/>
        <v>49.612835000562882</v>
      </c>
      <c r="AO576" s="10">
        <f t="shared" si="67"/>
        <v>1.9081859615601108E-2</v>
      </c>
      <c r="AP576" s="16">
        <v>2600</v>
      </c>
      <c r="AQ576" s="16">
        <v>2120.3081420043209</v>
      </c>
      <c r="AR576" s="16">
        <f t="shared" si="68"/>
        <v>479.69185799567913</v>
      </c>
      <c r="AS576" s="17">
        <f t="shared" si="69"/>
        <v>0.18449686845987659</v>
      </c>
      <c r="AT576" s="6">
        <v>2600</v>
      </c>
      <c r="AU576" s="6">
        <v>2392.196044921875</v>
      </c>
      <c r="AV576" s="6">
        <f t="shared" si="70"/>
        <v>207.803955078125</v>
      </c>
      <c r="AW576" s="7">
        <f t="shared" si="71"/>
        <v>7.9924598106971154E-2</v>
      </c>
    </row>
    <row r="577" spans="1:49" x14ac:dyDescent="0.25">
      <c r="A577" t="s">
        <v>69</v>
      </c>
      <c r="B577" t="s">
        <v>70</v>
      </c>
      <c r="C577">
        <v>76529</v>
      </c>
      <c r="D577">
        <v>2016</v>
      </c>
      <c r="E577" t="s">
        <v>58</v>
      </c>
      <c r="F577" t="s">
        <v>737</v>
      </c>
      <c r="H577" t="s">
        <v>946</v>
      </c>
      <c r="I577">
        <v>6</v>
      </c>
      <c r="J577" t="s">
        <v>82</v>
      </c>
      <c r="K577">
        <v>2</v>
      </c>
      <c r="L577" t="s">
        <v>44</v>
      </c>
      <c r="M577">
        <v>3.7</v>
      </c>
      <c r="N577" t="s">
        <v>116</v>
      </c>
      <c r="O577" t="s">
        <v>46</v>
      </c>
      <c r="P577">
        <v>4</v>
      </c>
      <c r="Q577" t="s">
        <v>84</v>
      </c>
      <c r="R577" t="s">
        <v>251</v>
      </c>
      <c r="T577">
        <v>300</v>
      </c>
      <c r="U577" t="s">
        <v>50</v>
      </c>
      <c r="V577" t="s">
        <v>64</v>
      </c>
      <c r="X577" t="s">
        <v>87</v>
      </c>
      <c r="Y577" t="s">
        <v>67</v>
      </c>
      <c r="AA577">
        <v>0</v>
      </c>
      <c r="AB577" t="s">
        <v>54</v>
      </c>
      <c r="AC577" t="s">
        <v>251</v>
      </c>
      <c r="AD577">
        <v>34</v>
      </c>
      <c r="AE577">
        <v>8</v>
      </c>
      <c r="AF577">
        <v>3</v>
      </c>
      <c r="AG577">
        <v>2025</v>
      </c>
      <c r="AH577" s="13">
        <v>13800</v>
      </c>
      <c r="AI577" s="13">
        <v>13758.68359375</v>
      </c>
      <c r="AJ577" s="13">
        <f t="shared" si="64"/>
        <v>41.31640625</v>
      </c>
      <c r="AK577" s="14">
        <f t="shared" si="65"/>
        <v>2.9939424818840581E-3</v>
      </c>
      <c r="AL577" s="9">
        <v>13800</v>
      </c>
      <c r="AM577" s="9">
        <v>14657.69786289351</v>
      </c>
      <c r="AN577" s="9">
        <f t="shared" si="66"/>
        <v>857.69786289351032</v>
      </c>
      <c r="AO577" s="10">
        <f t="shared" si="67"/>
        <v>6.2152019050254373E-2</v>
      </c>
      <c r="AP577" s="16">
        <v>13800</v>
      </c>
      <c r="AQ577" s="16">
        <v>13367.25995657768</v>
      </c>
      <c r="AR577" s="16">
        <f t="shared" si="68"/>
        <v>432.74004342232001</v>
      </c>
      <c r="AS577" s="17">
        <f t="shared" si="69"/>
        <v>3.135797416103768E-2</v>
      </c>
      <c r="AT577" s="6">
        <v>13800</v>
      </c>
      <c r="AU577" s="6">
        <v>13470.791015625</v>
      </c>
      <c r="AV577" s="6">
        <f t="shared" si="70"/>
        <v>329.208984375</v>
      </c>
      <c r="AW577" s="7">
        <f t="shared" si="71"/>
        <v>2.3855723505434783E-2</v>
      </c>
    </row>
    <row r="578" spans="1:49" x14ac:dyDescent="0.25">
      <c r="A578" t="s">
        <v>38</v>
      </c>
      <c r="B578" t="s">
        <v>90</v>
      </c>
      <c r="C578">
        <v>22016</v>
      </c>
      <c r="D578">
        <v>2021</v>
      </c>
      <c r="E578" t="s">
        <v>832</v>
      </c>
      <c r="F578" t="s">
        <v>947</v>
      </c>
      <c r="G578" t="s">
        <v>948</v>
      </c>
      <c r="H578" t="s">
        <v>949</v>
      </c>
      <c r="I578">
        <v>6</v>
      </c>
      <c r="J578" t="s">
        <v>94</v>
      </c>
      <c r="K578">
        <v>2</v>
      </c>
      <c r="L578" t="s">
        <v>44</v>
      </c>
      <c r="M578">
        <v>3</v>
      </c>
      <c r="N578" t="s">
        <v>116</v>
      </c>
      <c r="O578" t="s">
        <v>46</v>
      </c>
      <c r="P578">
        <v>5</v>
      </c>
      <c r="Q578" t="s">
        <v>84</v>
      </c>
      <c r="R578" t="s">
        <v>251</v>
      </c>
      <c r="S578" t="s">
        <v>139</v>
      </c>
      <c r="T578">
        <v>443</v>
      </c>
      <c r="U578" t="s">
        <v>50</v>
      </c>
      <c r="X578" t="s">
        <v>52</v>
      </c>
      <c r="Y578" t="s">
        <v>244</v>
      </c>
      <c r="AA578">
        <v>0</v>
      </c>
      <c r="AB578" t="s">
        <v>54</v>
      </c>
      <c r="AC578" t="s">
        <v>251</v>
      </c>
      <c r="AD578">
        <v>34</v>
      </c>
      <c r="AE578">
        <v>8</v>
      </c>
      <c r="AF578">
        <v>3</v>
      </c>
      <c r="AG578">
        <v>2025</v>
      </c>
      <c r="AH578" s="13">
        <v>116000</v>
      </c>
      <c r="AI578" s="13">
        <v>79278.0546875</v>
      </c>
      <c r="AJ578" s="13">
        <f t="shared" si="64"/>
        <v>36721.9453125</v>
      </c>
      <c r="AK578" s="14">
        <f t="shared" si="65"/>
        <v>0.31656849407327586</v>
      </c>
      <c r="AL578" s="9">
        <v>116000</v>
      </c>
      <c r="AM578" s="9">
        <v>59953.462992378052</v>
      </c>
      <c r="AN578" s="9">
        <f t="shared" si="66"/>
        <v>56046.537007621948</v>
      </c>
      <c r="AO578" s="10">
        <f t="shared" si="67"/>
        <v>0.48315980178984436</v>
      </c>
      <c r="AP578" s="16">
        <v>116000</v>
      </c>
      <c r="AQ578" s="16">
        <v>75034.801150591724</v>
      </c>
      <c r="AR578" s="16">
        <f t="shared" si="68"/>
        <v>40965.198849408276</v>
      </c>
      <c r="AS578" s="17">
        <f t="shared" si="69"/>
        <v>0.35314826594317478</v>
      </c>
      <c r="AT578" s="6">
        <v>116000</v>
      </c>
      <c r="AU578" s="6">
        <v>89658.484375</v>
      </c>
      <c r="AV578" s="6">
        <f t="shared" si="70"/>
        <v>26341.515625</v>
      </c>
      <c r="AW578" s="7">
        <f t="shared" si="71"/>
        <v>0.22708203125000001</v>
      </c>
    </row>
    <row r="579" spans="1:49" x14ac:dyDescent="0.25">
      <c r="A579" t="s">
        <v>38</v>
      </c>
      <c r="B579" t="s">
        <v>204</v>
      </c>
      <c r="C579">
        <v>94059</v>
      </c>
      <c r="D579">
        <v>2021</v>
      </c>
      <c r="E579" t="s">
        <v>205</v>
      </c>
      <c r="F579" t="s">
        <v>950</v>
      </c>
      <c r="G579" t="s">
        <v>779</v>
      </c>
      <c r="K579">
        <v>4</v>
      </c>
      <c r="L579" t="s">
        <v>44</v>
      </c>
      <c r="M579">
        <v>5.6</v>
      </c>
      <c r="N579" t="s">
        <v>62</v>
      </c>
      <c r="O579" t="s">
        <v>46</v>
      </c>
      <c r="P579">
        <v>5</v>
      </c>
      <c r="Q579" t="s">
        <v>47</v>
      </c>
      <c r="R579" t="s">
        <v>48</v>
      </c>
      <c r="S579" t="s">
        <v>63</v>
      </c>
      <c r="U579" t="s">
        <v>50</v>
      </c>
      <c r="X579" t="s">
        <v>77</v>
      </c>
      <c r="Y579" t="s">
        <v>97</v>
      </c>
      <c r="AA579">
        <v>0</v>
      </c>
      <c r="AB579" t="s">
        <v>54</v>
      </c>
      <c r="AC579" t="s">
        <v>68</v>
      </c>
      <c r="AD579">
        <v>34</v>
      </c>
      <c r="AE579">
        <v>8</v>
      </c>
      <c r="AF579">
        <v>3</v>
      </c>
      <c r="AG579">
        <v>2025</v>
      </c>
      <c r="AH579" s="13">
        <v>20250</v>
      </c>
      <c r="AI579" s="13">
        <v>22024.982421875</v>
      </c>
      <c r="AJ579" s="13">
        <f t="shared" ref="AJ579:AJ642" si="72">ABS(AH579-AI579)</f>
        <v>1774.982421875</v>
      </c>
      <c r="AK579" s="14">
        <f t="shared" ref="AK579:AK642" si="73">ABS($AH579-AI579)/$AH579</f>
        <v>8.7653452932098766E-2</v>
      </c>
      <c r="AL579" s="9">
        <v>20250</v>
      </c>
      <c r="AM579" s="9">
        <v>16460.318144682191</v>
      </c>
      <c r="AN579" s="9">
        <f t="shared" ref="AN579:AN642" si="74">ABS(AL579-AM579)</f>
        <v>3789.6818553178091</v>
      </c>
      <c r="AO579" s="10">
        <f t="shared" ref="AO579:AO642" si="75">ABS($AL579-AM579)/$AL579</f>
        <v>0.18714478297865725</v>
      </c>
      <c r="AP579" s="16">
        <v>20250</v>
      </c>
      <c r="AQ579" s="16">
        <v>19412.604856266829</v>
      </c>
      <c r="AR579" s="16">
        <f t="shared" ref="AR579:AR642" si="76">ABS(AP579-AQ579)</f>
        <v>837.3951437331707</v>
      </c>
      <c r="AS579" s="17">
        <f t="shared" ref="AS579:AS642" si="77">ABS($AP579-AQ579)/$AP579</f>
        <v>4.1352846604107193E-2</v>
      </c>
      <c r="AT579" s="6">
        <v>20250</v>
      </c>
      <c r="AU579" s="6">
        <v>23855.615234375</v>
      </c>
      <c r="AV579" s="6">
        <f t="shared" ref="AV579:AV642" si="78">ABS(AT579-AU579)</f>
        <v>3605.615234375</v>
      </c>
      <c r="AW579" s="7">
        <f t="shared" ref="AW579:AW642" si="79">ABS($AT579-AU579)/$AT579</f>
        <v>0.17805507330246914</v>
      </c>
    </row>
    <row r="580" spans="1:49" x14ac:dyDescent="0.25">
      <c r="A580" t="s">
        <v>56</v>
      </c>
      <c r="B580" t="s">
        <v>123</v>
      </c>
      <c r="C580">
        <v>97803</v>
      </c>
      <c r="D580">
        <v>2013</v>
      </c>
      <c r="E580" t="s">
        <v>58</v>
      </c>
      <c r="F580" t="s">
        <v>325</v>
      </c>
      <c r="G580" t="s">
        <v>171</v>
      </c>
      <c r="I580">
        <v>6</v>
      </c>
      <c r="J580" t="s">
        <v>74</v>
      </c>
      <c r="K580">
        <v>4</v>
      </c>
      <c r="L580" t="s">
        <v>44</v>
      </c>
      <c r="M580">
        <v>3.5</v>
      </c>
      <c r="N580" t="s">
        <v>44</v>
      </c>
      <c r="O580" t="s">
        <v>46</v>
      </c>
      <c r="P580">
        <v>4</v>
      </c>
      <c r="Q580" t="s">
        <v>47</v>
      </c>
      <c r="R580" t="s">
        <v>48</v>
      </c>
      <c r="S580" t="s">
        <v>139</v>
      </c>
      <c r="T580">
        <v>285</v>
      </c>
      <c r="U580" t="s">
        <v>50</v>
      </c>
      <c r="V580" t="s">
        <v>64</v>
      </c>
      <c r="X580" t="s">
        <v>141</v>
      </c>
      <c r="Y580" t="s">
        <v>88</v>
      </c>
      <c r="AA580">
        <v>0</v>
      </c>
      <c r="AB580" t="s">
        <v>54</v>
      </c>
      <c r="AC580" t="s">
        <v>55</v>
      </c>
      <c r="AD580">
        <v>34</v>
      </c>
      <c r="AE580">
        <v>8</v>
      </c>
      <c r="AF580">
        <v>3</v>
      </c>
      <c r="AG580">
        <v>2025</v>
      </c>
      <c r="AH580" s="13">
        <v>6100</v>
      </c>
      <c r="AI580" s="13">
        <v>5945.39990234375</v>
      </c>
      <c r="AJ580" s="13">
        <f t="shared" si="72"/>
        <v>154.60009765625</v>
      </c>
      <c r="AK580" s="14">
        <f t="shared" si="73"/>
        <v>2.5344278304303278E-2</v>
      </c>
      <c r="AL580" s="9">
        <v>6100</v>
      </c>
      <c r="AM580" s="9">
        <v>6058.6638445791496</v>
      </c>
      <c r="AN580" s="9">
        <f t="shared" si="74"/>
        <v>41.336155420850446</v>
      </c>
      <c r="AO580" s="10">
        <f t="shared" si="75"/>
        <v>6.7764189214508923E-3</v>
      </c>
      <c r="AP580" s="16">
        <v>6100</v>
      </c>
      <c r="AQ580" s="16">
        <v>5233.3728938394152</v>
      </c>
      <c r="AR580" s="16">
        <f t="shared" si="76"/>
        <v>866.62710616058484</v>
      </c>
      <c r="AS580" s="17">
        <f t="shared" si="77"/>
        <v>0.14207001740337458</v>
      </c>
      <c r="AT580" s="6">
        <v>6100</v>
      </c>
      <c r="AU580" s="6">
        <v>5768.95458984375</v>
      </c>
      <c r="AV580" s="6">
        <f t="shared" si="78"/>
        <v>331.04541015625</v>
      </c>
      <c r="AW580" s="7">
        <f t="shared" si="79"/>
        <v>5.426973936987705E-2</v>
      </c>
    </row>
    <row r="581" spans="1:49" x14ac:dyDescent="0.25">
      <c r="A581" t="s">
        <v>38</v>
      </c>
      <c r="B581" t="s">
        <v>167</v>
      </c>
      <c r="C581">
        <v>153312</v>
      </c>
      <c r="D581">
        <v>2013</v>
      </c>
      <c r="E581" t="s">
        <v>79</v>
      </c>
      <c r="F581" t="s">
        <v>164</v>
      </c>
      <c r="G581" t="s">
        <v>264</v>
      </c>
      <c r="I581">
        <v>4</v>
      </c>
      <c r="J581" t="s">
        <v>82</v>
      </c>
      <c r="K581">
        <v>4</v>
      </c>
      <c r="L581" t="s">
        <v>44</v>
      </c>
      <c r="M581">
        <v>2.4</v>
      </c>
      <c r="N581" t="s">
        <v>45</v>
      </c>
      <c r="O581" t="s">
        <v>46</v>
      </c>
      <c r="P581">
        <v>3</v>
      </c>
      <c r="Q581" t="s">
        <v>47</v>
      </c>
      <c r="R581" t="s">
        <v>48</v>
      </c>
      <c r="S581" t="s">
        <v>102</v>
      </c>
      <c r="U581" t="s">
        <v>50</v>
      </c>
      <c r="W581" t="s">
        <v>111</v>
      </c>
      <c r="X581" t="s">
        <v>52</v>
      </c>
      <c r="Y581" t="s">
        <v>88</v>
      </c>
      <c r="AA581">
        <v>0</v>
      </c>
      <c r="AB581" t="s">
        <v>54</v>
      </c>
      <c r="AC581" t="s">
        <v>55</v>
      </c>
      <c r="AD581">
        <v>34</v>
      </c>
      <c r="AE581">
        <v>8</v>
      </c>
      <c r="AF581">
        <v>3</v>
      </c>
      <c r="AG581">
        <v>2025</v>
      </c>
      <c r="AH581" s="13">
        <v>3300</v>
      </c>
      <c r="AI581" s="13">
        <v>2232.395751953125</v>
      </c>
      <c r="AJ581" s="13">
        <f t="shared" si="72"/>
        <v>1067.604248046875</v>
      </c>
      <c r="AK581" s="14">
        <f t="shared" si="73"/>
        <v>0.32351643880208331</v>
      </c>
      <c r="AL581" s="9">
        <v>3300</v>
      </c>
      <c r="AM581" s="9">
        <v>2380.611421852414</v>
      </c>
      <c r="AN581" s="9">
        <f t="shared" si="74"/>
        <v>919.38857814758603</v>
      </c>
      <c r="AO581" s="10">
        <f t="shared" si="75"/>
        <v>0.27860259943866245</v>
      </c>
      <c r="AP581" s="16">
        <v>3300</v>
      </c>
      <c r="AQ581" s="16">
        <v>1859.7075107903131</v>
      </c>
      <c r="AR581" s="16">
        <f t="shared" si="76"/>
        <v>1440.2924892096869</v>
      </c>
      <c r="AS581" s="17">
        <f t="shared" si="77"/>
        <v>0.43645226945748089</v>
      </c>
      <c r="AT581" s="6">
        <v>3300</v>
      </c>
      <c r="AU581" s="6">
        <v>2179.541015625</v>
      </c>
      <c r="AV581" s="6">
        <f t="shared" si="78"/>
        <v>1120.458984375</v>
      </c>
      <c r="AW581" s="7">
        <f t="shared" si="79"/>
        <v>0.33953302556818182</v>
      </c>
    </row>
    <row r="582" spans="1:49" x14ac:dyDescent="0.25">
      <c r="A582" t="s">
        <v>38</v>
      </c>
      <c r="B582" t="s">
        <v>167</v>
      </c>
      <c r="C582">
        <v>26008</v>
      </c>
      <c r="D582">
        <v>2024</v>
      </c>
      <c r="E582" t="s">
        <v>269</v>
      </c>
      <c r="F582" t="s">
        <v>951</v>
      </c>
      <c r="G582" t="s">
        <v>952</v>
      </c>
      <c r="I582">
        <v>4</v>
      </c>
      <c r="J582" t="s">
        <v>43</v>
      </c>
      <c r="K582">
        <v>4</v>
      </c>
      <c r="L582" t="s">
        <v>44</v>
      </c>
      <c r="M582">
        <v>2</v>
      </c>
      <c r="N582" t="s">
        <v>44</v>
      </c>
      <c r="O582" t="s">
        <v>46</v>
      </c>
      <c r="P582">
        <v>5</v>
      </c>
      <c r="Q582" t="s">
        <v>47</v>
      </c>
      <c r="R582" t="s">
        <v>48</v>
      </c>
      <c r="S582" t="s">
        <v>139</v>
      </c>
      <c r="T582">
        <v>241</v>
      </c>
      <c r="U582" t="s">
        <v>50</v>
      </c>
      <c r="X582" t="s">
        <v>52</v>
      </c>
      <c r="Y582" t="s">
        <v>244</v>
      </c>
      <c r="AA582">
        <v>0</v>
      </c>
      <c r="AB582" t="s">
        <v>54</v>
      </c>
      <c r="AC582" t="s">
        <v>55</v>
      </c>
      <c r="AD582">
        <v>34</v>
      </c>
      <c r="AE582">
        <v>8</v>
      </c>
      <c r="AF582">
        <v>3</v>
      </c>
      <c r="AG582">
        <v>2025</v>
      </c>
      <c r="AH582" s="13">
        <v>29500</v>
      </c>
      <c r="AI582" s="13">
        <v>39101.2578125</v>
      </c>
      <c r="AJ582" s="13">
        <f t="shared" si="72"/>
        <v>9601.2578125</v>
      </c>
      <c r="AK582" s="14">
        <f t="shared" si="73"/>
        <v>0.32546636652542371</v>
      </c>
      <c r="AL582" s="9">
        <v>29500</v>
      </c>
      <c r="AM582" s="9">
        <v>28669.232211081689</v>
      </c>
      <c r="AN582" s="9">
        <f t="shared" si="74"/>
        <v>830.76778891831054</v>
      </c>
      <c r="AO582" s="10">
        <f t="shared" si="75"/>
        <v>2.8161619963332562E-2</v>
      </c>
      <c r="AP582" s="16">
        <v>29500</v>
      </c>
      <c r="AQ582" s="16">
        <v>26036.195455219018</v>
      </c>
      <c r="AR582" s="16">
        <f t="shared" si="76"/>
        <v>3463.8045447809818</v>
      </c>
      <c r="AS582" s="17">
        <f t="shared" si="77"/>
        <v>0.11741710321291464</v>
      </c>
      <c r="AT582" s="6">
        <v>29500</v>
      </c>
      <c r="AU582" s="6">
        <v>26957.322265625</v>
      </c>
      <c r="AV582" s="6">
        <f t="shared" si="78"/>
        <v>2542.677734375</v>
      </c>
      <c r="AW582" s="7">
        <f t="shared" si="79"/>
        <v>8.6192465572033902E-2</v>
      </c>
    </row>
    <row r="583" spans="1:49" x14ac:dyDescent="0.25">
      <c r="A583" t="s">
        <v>56</v>
      </c>
      <c r="B583" t="s">
        <v>104</v>
      </c>
      <c r="C583">
        <v>152564</v>
      </c>
      <c r="D583">
        <v>2014</v>
      </c>
      <c r="E583" t="s">
        <v>71</v>
      </c>
      <c r="F583" t="s">
        <v>129</v>
      </c>
      <c r="I583">
        <v>4</v>
      </c>
      <c r="J583" t="s">
        <v>127</v>
      </c>
      <c r="K583">
        <v>4</v>
      </c>
      <c r="L583" t="s">
        <v>44</v>
      </c>
      <c r="M583">
        <v>2.5</v>
      </c>
      <c r="N583" t="s">
        <v>45</v>
      </c>
      <c r="Q583" t="s">
        <v>84</v>
      </c>
      <c r="R583" t="s">
        <v>85</v>
      </c>
      <c r="S583" t="s">
        <v>49</v>
      </c>
      <c r="U583" t="s">
        <v>50</v>
      </c>
      <c r="X583" t="s">
        <v>87</v>
      </c>
      <c r="Y583" t="s">
        <v>67</v>
      </c>
      <c r="AA583">
        <v>0</v>
      </c>
      <c r="AB583" t="s">
        <v>54</v>
      </c>
      <c r="AC583" t="s">
        <v>89</v>
      </c>
      <c r="AD583">
        <v>34</v>
      </c>
      <c r="AE583">
        <v>8</v>
      </c>
      <c r="AF583">
        <v>3</v>
      </c>
      <c r="AG583">
        <v>2025</v>
      </c>
      <c r="AH583" s="13">
        <v>2800</v>
      </c>
      <c r="AI583" s="13">
        <v>1526.6220703125</v>
      </c>
      <c r="AJ583" s="13">
        <f t="shared" si="72"/>
        <v>1273.3779296875</v>
      </c>
      <c r="AK583" s="14">
        <f t="shared" si="73"/>
        <v>0.45477783203125</v>
      </c>
      <c r="AL583" s="9">
        <v>2800</v>
      </c>
      <c r="AM583" s="9">
        <v>1469.9196996281989</v>
      </c>
      <c r="AN583" s="9">
        <f t="shared" si="74"/>
        <v>1330.0803003718011</v>
      </c>
      <c r="AO583" s="10">
        <f t="shared" si="75"/>
        <v>0.47502867870421467</v>
      </c>
      <c r="AP583" s="16">
        <v>2800</v>
      </c>
      <c r="AQ583" s="16">
        <v>1409.9177382534431</v>
      </c>
      <c r="AR583" s="16">
        <f t="shared" si="76"/>
        <v>1390.0822617465569</v>
      </c>
      <c r="AS583" s="17">
        <f t="shared" si="77"/>
        <v>0.49645795062377035</v>
      </c>
      <c r="AT583" s="6">
        <v>2800</v>
      </c>
      <c r="AU583" s="6">
        <v>1450.017333984375</v>
      </c>
      <c r="AV583" s="6">
        <f t="shared" si="78"/>
        <v>1349.982666015625</v>
      </c>
      <c r="AW583" s="7">
        <f t="shared" si="79"/>
        <v>0.48213666643415176</v>
      </c>
    </row>
    <row r="584" spans="1:49" x14ac:dyDescent="0.25">
      <c r="A584" t="s">
        <v>69</v>
      </c>
      <c r="B584" t="s">
        <v>70</v>
      </c>
      <c r="C584">
        <v>144242</v>
      </c>
      <c r="D584">
        <v>2016</v>
      </c>
      <c r="E584" t="s">
        <v>173</v>
      </c>
      <c r="F584" t="s">
        <v>631</v>
      </c>
      <c r="G584" t="s">
        <v>236</v>
      </c>
      <c r="H584" t="s">
        <v>953</v>
      </c>
      <c r="I584">
        <v>4</v>
      </c>
      <c r="J584" t="s">
        <v>82</v>
      </c>
      <c r="K584">
        <v>4</v>
      </c>
      <c r="L584" t="s">
        <v>44</v>
      </c>
      <c r="M584">
        <v>2.4</v>
      </c>
      <c r="N584" t="s">
        <v>62</v>
      </c>
      <c r="O584" t="s">
        <v>46</v>
      </c>
      <c r="P584">
        <v>4</v>
      </c>
      <c r="Q584" t="s">
        <v>47</v>
      </c>
      <c r="R584" t="s">
        <v>48</v>
      </c>
      <c r="S584" t="s">
        <v>63</v>
      </c>
      <c r="U584" t="s">
        <v>50</v>
      </c>
      <c r="X584" t="s">
        <v>52</v>
      </c>
      <c r="Y584" t="s">
        <v>67</v>
      </c>
      <c r="AA584">
        <v>0</v>
      </c>
      <c r="AB584" t="s">
        <v>54</v>
      </c>
      <c r="AC584" t="s">
        <v>55</v>
      </c>
      <c r="AD584">
        <v>34</v>
      </c>
      <c r="AE584">
        <v>8</v>
      </c>
      <c r="AF584">
        <v>3</v>
      </c>
      <c r="AG584">
        <v>2025</v>
      </c>
      <c r="AH584" s="13">
        <v>1500</v>
      </c>
      <c r="AI584" s="13">
        <v>2309.10009765625</v>
      </c>
      <c r="AJ584" s="13">
        <f t="shared" si="72"/>
        <v>809.10009765625</v>
      </c>
      <c r="AK584" s="14">
        <f t="shared" si="73"/>
        <v>0.53940006510416671</v>
      </c>
      <c r="AL584" s="9">
        <v>1500</v>
      </c>
      <c r="AM584" s="9">
        <v>2735.6831174659278</v>
      </c>
      <c r="AN584" s="9">
        <f t="shared" si="74"/>
        <v>1235.6831174659278</v>
      </c>
      <c r="AO584" s="10">
        <f t="shared" si="75"/>
        <v>0.82378874497728516</v>
      </c>
      <c r="AP584" s="16">
        <v>1500</v>
      </c>
      <c r="AQ584" s="16">
        <v>2316.8503069976832</v>
      </c>
      <c r="AR584" s="16">
        <f t="shared" si="76"/>
        <v>816.85030699768322</v>
      </c>
      <c r="AS584" s="17">
        <f t="shared" si="77"/>
        <v>0.54456687133178883</v>
      </c>
      <c r="AT584" s="6">
        <v>1500</v>
      </c>
      <c r="AU584" s="6">
        <v>2523.7109375</v>
      </c>
      <c r="AV584" s="6">
        <f t="shared" si="78"/>
        <v>1023.7109375</v>
      </c>
      <c r="AW584" s="7">
        <f t="shared" si="79"/>
        <v>0.68247395833333335</v>
      </c>
    </row>
    <row r="585" spans="1:49" x14ac:dyDescent="0.25">
      <c r="A585" t="s">
        <v>38</v>
      </c>
      <c r="B585" t="s">
        <v>267</v>
      </c>
      <c r="C585">
        <v>216598</v>
      </c>
      <c r="D585">
        <v>2016</v>
      </c>
      <c r="E585" t="s">
        <v>205</v>
      </c>
      <c r="F585" t="s">
        <v>954</v>
      </c>
      <c r="I585">
        <v>6</v>
      </c>
      <c r="J585" t="s">
        <v>43</v>
      </c>
      <c r="K585">
        <v>4</v>
      </c>
      <c r="L585" t="s">
        <v>44</v>
      </c>
      <c r="M585">
        <v>3.7</v>
      </c>
      <c r="N585" t="s">
        <v>116</v>
      </c>
      <c r="O585" t="s">
        <v>46</v>
      </c>
      <c r="Q585" t="s">
        <v>84</v>
      </c>
      <c r="R585" t="s">
        <v>222</v>
      </c>
      <c r="S585" t="s">
        <v>49</v>
      </c>
      <c r="U585" t="s">
        <v>50</v>
      </c>
      <c r="X585" t="s">
        <v>87</v>
      </c>
      <c r="Y585" t="s">
        <v>97</v>
      </c>
      <c r="AA585">
        <v>0</v>
      </c>
      <c r="AB585" t="s">
        <v>54</v>
      </c>
      <c r="AC585" t="s">
        <v>222</v>
      </c>
      <c r="AD585">
        <v>34</v>
      </c>
      <c r="AE585">
        <v>8</v>
      </c>
      <c r="AF585">
        <v>3</v>
      </c>
      <c r="AG585">
        <v>2025</v>
      </c>
      <c r="AH585" s="13">
        <v>1300</v>
      </c>
      <c r="AI585" s="13">
        <v>2860.67041015625</v>
      </c>
      <c r="AJ585" s="13">
        <f t="shared" si="72"/>
        <v>1560.67041015625</v>
      </c>
      <c r="AK585" s="14">
        <f t="shared" si="73"/>
        <v>1.2005157001201923</v>
      </c>
      <c r="AL585" s="9">
        <v>1300</v>
      </c>
      <c r="AM585" s="9">
        <v>3307.4474530263942</v>
      </c>
      <c r="AN585" s="9">
        <f t="shared" si="74"/>
        <v>2007.4474530263942</v>
      </c>
      <c r="AO585" s="10">
        <f t="shared" si="75"/>
        <v>1.5441903484818418</v>
      </c>
      <c r="AP585" s="16">
        <v>1300</v>
      </c>
      <c r="AQ585" s="16">
        <v>2518.5639571708621</v>
      </c>
      <c r="AR585" s="16">
        <f t="shared" si="76"/>
        <v>1218.5639571708621</v>
      </c>
      <c r="AS585" s="17">
        <f t="shared" si="77"/>
        <v>0.93735689013143231</v>
      </c>
      <c r="AT585" s="6">
        <v>1300</v>
      </c>
      <c r="AU585" s="6">
        <v>2933.661376953125</v>
      </c>
      <c r="AV585" s="6">
        <f t="shared" si="78"/>
        <v>1633.661376953125</v>
      </c>
      <c r="AW585" s="7">
        <f t="shared" si="79"/>
        <v>1.25666259765625</v>
      </c>
    </row>
    <row r="586" spans="1:49" x14ac:dyDescent="0.25">
      <c r="A586" t="s">
        <v>107</v>
      </c>
      <c r="B586" t="s">
        <v>108</v>
      </c>
      <c r="C586">
        <v>31972</v>
      </c>
      <c r="D586">
        <v>2024</v>
      </c>
      <c r="E586" t="s">
        <v>91</v>
      </c>
      <c r="F586" t="s">
        <v>341</v>
      </c>
      <c r="G586" t="s">
        <v>955</v>
      </c>
      <c r="H586" t="s">
        <v>956</v>
      </c>
      <c r="I586">
        <v>4</v>
      </c>
      <c r="J586" t="s">
        <v>101</v>
      </c>
      <c r="K586">
        <v>4</v>
      </c>
      <c r="L586" t="s">
        <v>44</v>
      </c>
      <c r="M586">
        <v>2</v>
      </c>
      <c r="N586" t="s">
        <v>45</v>
      </c>
      <c r="O586" t="s">
        <v>46</v>
      </c>
      <c r="P586">
        <v>4</v>
      </c>
      <c r="Q586" t="s">
        <v>84</v>
      </c>
      <c r="R586" t="s">
        <v>85</v>
      </c>
      <c r="S586" t="s">
        <v>49</v>
      </c>
      <c r="T586">
        <v>169</v>
      </c>
      <c r="U586" t="s">
        <v>50</v>
      </c>
      <c r="V586" t="s">
        <v>95</v>
      </c>
      <c r="W586" t="s">
        <v>957</v>
      </c>
      <c r="X586" t="s">
        <v>87</v>
      </c>
      <c r="Y586" t="s">
        <v>67</v>
      </c>
      <c r="AA586">
        <v>0</v>
      </c>
      <c r="AB586" t="s">
        <v>54</v>
      </c>
      <c r="AC586" t="s">
        <v>89</v>
      </c>
      <c r="AD586">
        <v>34</v>
      </c>
      <c r="AE586">
        <v>8</v>
      </c>
      <c r="AF586">
        <v>3</v>
      </c>
      <c r="AG586">
        <v>2025</v>
      </c>
      <c r="AH586" s="13">
        <v>19700</v>
      </c>
      <c r="AI586" s="13">
        <v>17136.92578125</v>
      </c>
      <c r="AJ586" s="13">
        <f t="shared" si="72"/>
        <v>2563.07421875</v>
      </c>
      <c r="AK586" s="14">
        <f t="shared" si="73"/>
        <v>0.13010529029187817</v>
      </c>
      <c r="AL586" s="9">
        <v>19700</v>
      </c>
      <c r="AM586" s="9">
        <v>17168.05715541013</v>
      </c>
      <c r="AN586" s="9">
        <f t="shared" si="74"/>
        <v>2531.9428445898702</v>
      </c>
      <c r="AO586" s="10">
        <f t="shared" si="75"/>
        <v>0.12852501749187159</v>
      </c>
      <c r="AP586" s="16">
        <v>19700</v>
      </c>
      <c r="AQ586" s="16">
        <v>19937.134845270699</v>
      </c>
      <c r="AR586" s="16">
        <f t="shared" si="76"/>
        <v>237.13484527069886</v>
      </c>
      <c r="AS586" s="17">
        <f t="shared" si="77"/>
        <v>1.2037301790390805E-2</v>
      </c>
      <c r="AT586" s="6">
        <v>19700</v>
      </c>
      <c r="AU586" s="6">
        <v>17258.234375</v>
      </c>
      <c r="AV586" s="6">
        <f t="shared" si="78"/>
        <v>2441.765625</v>
      </c>
      <c r="AW586" s="7">
        <f t="shared" si="79"/>
        <v>0.12394749365482234</v>
      </c>
    </row>
    <row r="587" spans="1:49" x14ac:dyDescent="0.25">
      <c r="A587" t="s">
        <v>56</v>
      </c>
      <c r="B587" t="s">
        <v>104</v>
      </c>
      <c r="C587">
        <v>167023</v>
      </c>
      <c r="D587">
        <v>2015</v>
      </c>
      <c r="E587" t="s">
        <v>113</v>
      </c>
      <c r="F587" t="s">
        <v>859</v>
      </c>
      <c r="G587" t="s">
        <v>268</v>
      </c>
      <c r="I587">
        <v>6</v>
      </c>
      <c r="J587" t="s">
        <v>82</v>
      </c>
      <c r="K587">
        <v>4</v>
      </c>
      <c r="L587" t="s">
        <v>44</v>
      </c>
      <c r="M587">
        <v>3.6</v>
      </c>
      <c r="N587" t="s">
        <v>45</v>
      </c>
      <c r="O587" t="s">
        <v>46</v>
      </c>
      <c r="P587">
        <v>2</v>
      </c>
      <c r="Q587" t="s">
        <v>47</v>
      </c>
      <c r="R587" t="s">
        <v>365</v>
      </c>
      <c r="S587" t="s">
        <v>102</v>
      </c>
      <c r="U587" t="s">
        <v>50</v>
      </c>
      <c r="X587" t="s">
        <v>66</v>
      </c>
      <c r="Y587" t="s">
        <v>88</v>
      </c>
      <c r="AA587">
        <v>0</v>
      </c>
      <c r="AB587" t="s">
        <v>54</v>
      </c>
      <c r="AC587" t="s">
        <v>365</v>
      </c>
      <c r="AD587">
        <v>34</v>
      </c>
      <c r="AE587">
        <v>8</v>
      </c>
      <c r="AF587">
        <v>3</v>
      </c>
      <c r="AG587">
        <v>2025</v>
      </c>
      <c r="AH587" s="13">
        <v>1300</v>
      </c>
      <c r="AI587" s="13">
        <v>1576.298950195312</v>
      </c>
      <c r="AJ587" s="13">
        <f t="shared" si="72"/>
        <v>276.29895019531205</v>
      </c>
      <c r="AK587" s="14">
        <f t="shared" si="73"/>
        <v>0.21253765399639388</v>
      </c>
      <c r="AL587" s="9">
        <v>1300</v>
      </c>
      <c r="AM587" s="9">
        <v>1642.627858934522</v>
      </c>
      <c r="AN587" s="9">
        <f t="shared" si="74"/>
        <v>342.62785893452201</v>
      </c>
      <c r="AO587" s="10">
        <f t="shared" si="75"/>
        <v>0.26355989148809383</v>
      </c>
      <c r="AP587" s="16">
        <v>1300</v>
      </c>
      <c r="AQ587" s="16">
        <v>1041.455136346985</v>
      </c>
      <c r="AR587" s="16">
        <f t="shared" si="76"/>
        <v>258.544863653015</v>
      </c>
      <c r="AS587" s="17">
        <f t="shared" si="77"/>
        <v>0.19888066434847307</v>
      </c>
      <c r="AT587" s="6">
        <v>1300</v>
      </c>
      <c r="AU587" s="6">
        <v>1403.22119140625</v>
      </c>
      <c r="AV587" s="6">
        <f t="shared" si="78"/>
        <v>103.22119140625</v>
      </c>
      <c r="AW587" s="7">
        <f t="shared" si="79"/>
        <v>7.9400916466346158E-2</v>
      </c>
    </row>
    <row r="588" spans="1:49" x14ac:dyDescent="0.25">
      <c r="A588" t="s">
        <v>69</v>
      </c>
      <c r="B588" t="s">
        <v>70</v>
      </c>
      <c r="C588">
        <v>84387</v>
      </c>
      <c r="D588">
        <v>2021</v>
      </c>
      <c r="E588" t="s">
        <v>79</v>
      </c>
      <c r="F588" t="s">
        <v>344</v>
      </c>
      <c r="G588" t="s">
        <v>748</v>
      </c>
      <c r="I588">
        <v>8</v>
      </c>
      <c r="J588" t="s">
        <v>43</v>
      </c>
      <c r="K588">
        <v>4</v>
      </c>
      <c r="L588" t="s">
        <v>44</v>
      </c>
      <c r="M588">
        <v>5.3</v>
      </c>
      <c r="N588" t="s">
        <v>62</v>
      </c>
      <c r="O588" t="s">
        <v>46</v>
      </c>
      <c r="P588">
        <v>2</v>
      </c>
      <c r="Q588" t="s">
        <v>47</v>
      </c>
      <c r="R588" t="s">
        <v>48</v>
      </c>
      <c r="S588" t="s">
        <v>63</v>
      </c>
      <c r="U588" t="s">
        <v>50</v>
      </c>
      <c r="W588" t="s">
        <v>871</v>
      </c>
      <c r="X588" t="s">
        <v>77</v>
      </c>
      <c r="Y588" t="s">
        <v>67</v>
      </c>
      <c r="AA588">
        <v>0</v>
      </c>
      <c r="AB588" t="s">
        <v>54</v>
      </c>
      <c r="AC588" t="s">
        <v>68</v>
      </c>
      <c r="AD588">
        <v>34</v>
      </c>
      <c r="AE588">
        <v>8</v>
      </c>
      <c r="AF588">
        <v>3</v>
      </c>
      <c r="AG588">
        <v>2025</v>
      </c>
      <c r="AH588" s="13">
        <v>37000</v>
      </c>
      <c r="AI588" s="13">
        <v>37157.80078125</v>
      </c>
      <c r="AJ588" s="13">
        <f t="shared" si="72"/>
        <v>157.80078125</v>
      </c>
      <c r="AK588" s="14">
        <f t="shared" si="73"/>
        <v>4.26488597972973E-3</v>
      </c>
      <c r="AL588" s="9">
        <v>37000</v>
      </c>
      <c r="AM588" s="9">
        <v>33989.957642679707</v>
      </c>
      <c r="AN588" s="9">
        <f t="shared" si="74"/>
        <v>3010.0423573202934</v>
      </c>
      <c r="AO588" s="10">
        <f t="shared" si="75"/>
        <v>8.1352496143791711E-2</v>
      </c>
      <c r="AP588" s="16">
        <v>37000</v>
      </c>
      <c r="AQ588" s="16">
        <v>32482.418340108001</v>
      </c>
      <c r="AR588" s="16">
        <f t="shared" si="76"/>
        <v>4517.5816598919992</v>
      </c>
      <c r="AS588" s="17">
        <f t="shared" si="77"/>
        <v>0.12209680161870268</v>
      </c>
      <c r="AT588" s="6">
        <v>37000</v>
      </c>
      <c r="AU588" s="6">
        <v>33922.12890625</v>
      </c>
      <c r="AV588" s="6">
        <f t="shared" si="78"/>
        <v>3077.87109375</v>
      </c>
      <c r="AW588" s="7">
        <f t="shared" si="79"/>
        <v>8.3185705236486482E-2</v>
      </c>
    </row>
    <row r="589" spans="1:49" x14ac:dyDescent="0.25">
      <c r="A589" t="s">
        <v>107</v>
      </c>
      <c r="B589" t="s">
        <v>256</v>
      </c>
      <c r="C589">
        <v>245426</v>
      </c>
      <c r="D589">
        <v>2018</v>
      </c>
      <c r="E589" t="s">
        <v>40</v>
      </c>
      <c r="F589" t="s">
        <v>41</v>
      </c>
      <c r="G589" t="s">
        <v>551</v>
      </c>
      <c r="I589">
        <v>4</v>
      </c>
      <c r="J589" t="s">
        <v>94</v>
      </c>
      <c r="K589">
        <v>4</v>
      </c>
      <c r="L589" t="s">
        <v>44</v>
      </c>
      <c r="M589">
        <v>2.4</v>
      </c>
      <c r="N589" t="s">
        <v>45</v>
      </c>
      <c r="O589" t="s">
        <v>83</v>
      </c>
      <c r="P589">
        <v>2</v>
      </c>
      <c r="Q589" t="s">
        <v>47</v>
      </c>
      <c r="R589" t="s">
        <v>48</v>
      </c>
      <c r="S589" t="s">
        <v>49</v>
      </c>
      <c r="T589">
        <v>181</v>
      </c>
      <c r="U589" t="s">
        <v>50</v>
      </c>
      <c r="V589" t="s">
        <v>95</v>
      </c>
      <c r="W589" t="s">
        <v>352</v>
      </c>
      <c r="X589" t="s">
        <v>52</v>
      </c>
      <c r="Y589" t="s">
        <v>53</v>
      </c>
      <c r="AA589">
        <v>0</v>
      </c>
      <c r="AB589" t="s">
        <v>54</v>
      </c>
      <c r="AC589" t="s">
        <v>55</v>
      </c>
      <c r="AD589">
        <v>34</v>
      </c>
      <c r="AE589">
        <v>8</v>
      </c>
      <c r="AF589">
        <v>3</v>
      </c>
      <c r="AG589">
        <v>2025</v>
      </c>
      <c r="AH589" s="13">
        <v>1500</v>
      </c>
      <c r="AI589" s="13">
        <v>705.36627197265625</v>
      </c>
      <c r="AJ589" s="13">
        <f t="shared" si="72"/>
        <v>794.63372802734375</v>
      </c>
      <c r="AK589" s="14">
        <f t="shared" si="73"/>
        <v>0.52975581868489585</v>
      </c>
      <c r="AL589" s="9">
        <v>1500</v>
      </c>
      <c r="AM589" s="9">
        <v>1254.0318988822601</v>
      </c>
      <c r="AN589" s="9">
        <f t="shared" si="74"/>
        <v>245.96810111773993</v>
      </c>
      <c r="AO589" s="10">
        <f t="shared" si="75"/>
        <v>0.16397873407849328</v>
      </c>
      <c r="AP589" s="16">
        <v>1500</v>
      </c>
      <c r="AQ589" s="16">
        <v>1282.622919900102</v>
      </c>
      <c r="AR589" s="16">
        <f t="shared" si="76"/>
        <v>217.37708009989797</v>
      </c>
      <c r="AS589" s="17">
        <f t="shared" si="77"/>
        <v>0.14491805339993197</v>
      </c>
      <c r="AT589" s="6">
        <v>1500</v>
      </c>
      <c r="AU589" s="6">
        <v>1103.041625976562</v>
      </c>
      <c r="AV589" s="6">
        <f t="shared" si="78"/>
        <v>396.95837402343795</v>
      </c>
      <c r="AW589" s="7">
        <f t="shared" si="79"/>
        <v>0.26463891601562528</v>
      </c>
    </row>
    <row r="590" spans="1:49" x14ac:dyDescent="0.25">
      <c r="A590" t="s">
        <v>38</v>
      </c>
      <c r="B590" t="s">
        <v>132</v>
      </c>
      <c r="C590">
        <v>98294</v>
      </c>
      <c r="D590">
        <v>2019</v>
      </c>
      <c r="E590" t="s">
        <v>217</v>
      </c>
      <c r="F590" t="s">
        <v>958</v>
      </c>
      <c r="I590">
        <v>6</v>
      </c>
      <c r="J590" t="s">
        <v>101</v>
      </c>
      <c r="K590">
        <v>3</v>
      </c>
      <c r="L590" t="s">
        <v>44</v>
      </c>
      <c r="M590">
        <v>3.6</v>
      </c>
      <c r="N590" t="s">
        <v>45</v>
      </c>
      <c r="O590" t="s">
        <v>46</v>
      </c>
      <c r="P590">
        <v>3</v>
      </c>
      <c r="Q590" t="s">
        <v>75</v>
      </c>
      <c r="R590" t="s">
        <v>422</v>
      </c>
      <c r="S590" t="s">
        <v>102</v>
      </c>
      <c r="T590">
        <v>280</v>
      </c>
      <c r="U590" t="s">
        <v>50</v>
      </c>
      <c r="V590" t="s">
        <v>64</v>
      </c>
      <c r="X590" t="s">
        <v>423</v>
      </c>
      <c r="Y590" t="s">
        <v>106</v>
      </c>
      <c r="AA590">
        <v>0</v>
      </c>
      <c r="AB590" t="s">
        <v>54</v>
      </c>
      <c r="AC590" t="s">
        <v>424</v>
      </c>
      <c r="AD590">
        <v>34</v>
      </c>
      <c r="AE590">
        <v>8</v>
      </c>
      <c r="AF590">
        <v>3</v>
      </c>
      <c r="AG590">
        <v>2025</v>
      </c>
      <c r="AH590" s="13">
        <v>12300</v>
      </c>
      <c r="AI590" s="13">
        <v>10816.189453125</v>
      </c>
      <c r="AJ590" s="13">
        <f t="shared" si="72"/>
        <v>1483.810546875</v>
      </c>
      <c r="AK590" s="14">
        <f t="shared" si="73"/>
        <v>0.12063500381097561</v>
      </c>
      <c r="AL590" s="9">
        <v>12300</v>
      </c>
      <c r="AM590" s="9">
        <v>10876.66266738864</v>
      </c>
      <c r="AN590" s="9">
        <f t="shared" si="74"/>
        <v>1423.3373326113597</v>
      </c>
      <c r="AO590" s="10">
        <f t="shared" si="75"/>
        <v>0.1157184823261268</v>
      </c>
      <c r="AP590" s="16">
        <v>12300</v>
      </c>
      <c r="AQ590" s="16">
        <v>13030.64040767259</v>
      </c>
      <c r="AR590" s="16">
        <f t="shared" si="76"/>
        <v>730.6404076725903</v>
      </c>
      <c r="AS590" s="17">
        <f t="shared" si="77"/>
        <v>5.9401659160373196E-2</v>
      </c>
      <c r="AT590" s="6">
        <v>12300</v>
      </c>
      <c r="AU590" s="6">
        <v>10841.1005859375</v>
      </c>
      <c r="AV590" s="6">
        <f t="shared" si="78"/>
        <v>1458.8994140625</v>
      </c>
      <c r="AW590" s="7">
        <f t="shared" si="79"/>
        <v>0.11860970846036585</v>
      </c>
    </row>
    <row r="591" spans="1:49" x14ac:dyDescent="0.25">
      <c r="A591" t="s">
        <v>107</v>
      </c>
      <c r="B591" t="s">
        <v>108</v>
      </c>
      <c r="C591">
        <v>90207</v>
      </c>
      <c r="D591">
        <v>2017</v>
      </c>
      <c r="E591" t="s">
        <v>217</v>
      </c>
      <c r="F591" t="s">
        <v>162</v>
      </c>
      <c r="G591" t="s">
        <v>820</v>
      </c>
      <c r="H591" t="s">
        <v>959</v>
      </c>
      <c r="I591">
        <v>8</v>
      </c>
      <c r="J591" t="s">
        <v>127</v>
      </c>
      <c r="K591">
        <v>4</v>
      </c>
      <c r="L591" t="s">
        <v>44</v>
      </c>
      <c r="M591">
        <v>5.7</v>
      </c>
      <c r="N591" t="s">
        <v>62</v>
      </c>
      <c r="O591" t="s">
        <v>46</v>
      </c>
      <c r="Q591" t="s">
        <v>75</v>
      </c>
      <c r="R591" t="s">
        <v>76</v>
      </c>
      <c r="S591" t="s">
        <v>63</v>
      </c>
      <c r="T591">
        <v>395</v>
      </c>
      <c r="U591" t="s">
        <v>50</v>
      </c>
      <c r="V591" t="s">
        <v>64</v>
      </c>
      <c r="X591" t="s">
        <v>66</v>
      </c>
      <c r="Y591" t="s">
        <v>67</v>
      </c>
      <c r="Z591">
        <v>42095</v>
      </c>
      <c r="AA591">
        <v>0</v>
      </c>
      <c r="AB591" t="s">
        <v>54</v>
      </c>
      <c r="AC591" t="s">
        <v>78</v>
      </c>
      <c r="AD591">
        <v>34</v>
      </c>
      <c r="AE591">
        <v>8</v>
      </c>
      <c r="AF591">
        <v>3</v>
      </c>
      <c r="AG591">
        <v>2025</v>
      </c>
      <c r="AH591" s="13">
        <v>10300</v>
      </c>
      <c r="AI591" s="13">
        <v>19115.623046875</v>
      </c>
      <c r="AJ591" s="13">
        <f t="shared" si="72"/>
        <v>8815.623046875</v>
      </c>
      <c r="AK591" s="14">
        <f t="shared" si="73"/>
        <v>0.85588573270631063</v>
      </c>
      <c r="AL591" s="9">
        <v>10300</v>
      </c>
      <c r="AM591" s="9">
        <v>20386.98901255806</v>
      </c>
      <c r="AN591" s="9">
        <f t="shared" si="74"/>
        <v>10086.98901255806</v>
      </c>
      <c r="AO591" s="10">
        <f t="shared" si="75"/>
        <v>0.97931932160757873</v>
      </c>
      <c r="AP591" s="16">
        <v>10300</v>
      </c>
      <c r="AQ591" s="16">
        <v>19165.981558990741</v>
      </c>
      <c r="AR591" s="16">
        <f t="shared" si="76"/>
        <v>8865.9815589907412</v>
      </c>
      <c r="AS591" s="17">
        <f t="shared" si="77"/>
        <v>0.86077490863987782</v>
      </c>
      <c r="AT591" s="6">
        <v>10300</v>
      </c>
      <c r="AU591" s="6">
        <v>19808.466796875</v>
      </c>
      <c r="AV591" s="6">
        <f t="shared" si="78"/>
        <v>9508.466796875</v>
      </c>
      <c r="AW591" s="7">
        <f t="shared" si="79"/>
        <v>0.92315211620145632</v>
      </c>
    </row>
    <row r="592" spans="1:49" x14ac:dyDescent="0.25">
      <c r="A592" t="s">
        <v>38</v>
      </c>
      <c r="B592" t="s">
        <v>39</v>
      </c>
      <c r="C592">
        <v>189839</v>
      </c>
      <c r="D592">
        <v>2011</v>
      </c>
      <c r="E592" t="s">
        <v>79</v>
      </c>
      <c r="F592" t="s">
        <v>585</v>
      </c>
      <c r="G592" t="s">
        <v>273</v>
      </c>
      <c r="I592">
        <v>6</v>
      </c>
      <c r="J592" t="s">
        <v>43</v>
      </c>
      <c r="K592">
        <v>4</v>
      </c>
      <c r="L592" t="s">
        <v>44</v>
      </c>
      <c r="M592">
        <v>3.6</v>
      </c>
      <c r="N592" t="s">
        <v>44</v>
      </c>
      <c r="O592" t="s">
        <v>46</v>
      </c>
      <c r="P592">
        <v>3</v>
      </c>
      <c r="Q592" t="s">
        <v>47</v>
      </c>
      <c r="R592" t="s">
        <v>48</v>
      </c>
      <c r="S592" t="s">
        <v>139</v>
      </c>
      <c r="U592" t="s">
        <v>50</v>
      </c>
      <c r="V592" t="s">
        <v>64</v>
      </c>
      <c r="W592" t="s">
        <v>153</v>
      </c>
      <c r="X592" t="s">
        <v>66</v>
      </c>
      <c r="Y592" t="s">
        <v>67</v>
      </c>
      <c r="AA592">
        <v>0</v>
      </c>
      <c r="AB592" t="s">
        <v>54</v>
      </c>
      <c r="AC592" t="s">
        <v>55</v>
      </c>
      <c r="AD592">
        <v>34</v>
      </c>
      <c r="AE592">
        <v>8</v>
      </c>
      <c r="AF592">
        <v>3</v>
      </c>
      <c r="AG592">
        <v>2025</v>
      </c>
      <c r="AH592" s="13">
        <v>2400</v>
      </c>
      <c r="AI592" s="13">
        <v>1681.150512695312</v>
      </c>
      <c r="AJ592" s="13">
        <f t="shared" si="72"/>
        <v>718.84948730468795</v>
      </c>
      <c r="AK592" s="14">
        <f t="shared" si="73"/>
        <v>0.29952061971028665</v>
      </c>
      <c r="AL592" s="9">
        <v>2400</v>
      </c>
      <c r="AM592" s="9">
        <v>1172.0272091284151</v>
      </c>
      <c r="AN592" s="9">
        <f t="shared" si="74"/>
        <v>1227.9727908715849</v>
      </c>
      <c r="AO592" s="10">
        <f t="shared" si="75"/>
        <v>0.51165532952982706</v>
      </c>
      <c r="AP592" s="16">
        <v>2400</v>
      </c>
      <c r="AQ592" s="16">
        <v>826.58292250998659</v>
      </c>
      <c r="AR592" s="16">
        <f t="shared" si="76"/>
        <v>1573.4170774900135</v>
      </c>
      <c r="AS592" s="17">
        <f t="shared" si="77"/>
        <v>0.65559044895417229</v>
      </c>
      <c r="AT592" s="6">
        <v>2400</v>
      </c>
      <c r="AU592" s="6">
        <v>1238.265869140625</v>
      </c>
      <c r="AV592" s="6">
        <f t="shared" si="78"/>
        <v>1161.734130859375</v>
      </c>
      <c r="AW592" s="7">
        <f t="shared" si="79"/>
        <v>0.48405588785807291</v>
      </c>
    </row>
    <row r="593" spans="1:49" x14ac:dyDescent="0.25">
      <c r="A593" t="s">
        <v>56</v>
      </c>
      <c r="B593" t="s">
        <v>144</v>
      </c>
      <c r="C593">
        <v>68684</v>
      </c>
      <c r="D593">
        <v>2016</v>
      </c>
      <c r="E593" t="s">
        <v>169</v>
      </c>
      <c r="F593" t="s">
        <v>581</v>
      </c>
      <c r="G593" t="s">
        <v>120</v>
      </c>
      <c r="I593">
        <v>4</v>
      </c>
      <c r="J593" t="s">
        <v>177</v>
      </c>
      <c r="K593">
        <v>4</v>
      </c>
      <c r="L593" t="s">
        <v>44</v>
      </c>
      <c r="M593">
        <v>2</v>
      </c>
      <c r="N593" t="s">
        <v>44</v>
      </c>
      <c r="O593" t="s">
        <v>46</v>
      </c>
      <c r="Q593" t="s">
        <v>84</v>
      </c>
      <c r="R593" t="s">
        <v>85</v>
      </c>
      <c r="S593" t="s">
        <v>139</v>
      </c>
      <c r="U593" t="s">
        <v>50</v>
      </c>
      <c r="W593" t="s">
        <v>960</v>
      </c>
      <c r="X593" t="s">
        <v>87</v>
      </c>
      <c r="Y593" t="s">
        <v>97</v>
      </c>
      <c r="AA593">
        <v>0</v>
      </c>
      <c r="AB593" t="s">
        <v>54</v>
      </c>
      <c r="AC593" t="s">
        <v>89</v>
      </c>
      <c r="AD593">
        <v>34</v>
      </c>
      <c r="AE593">
        <v>8</v>
      </c>
      <c r="AF593">
        <v>3</v>
      </c>
      <c r="AG593">
        <v>2025</v>
      </c>
      <c r="AH593" s="13">
        <v>9800</v>
      </c>
      <c r="AI593" s="13">
        <v>6481.45458984375</v>
      </c>
      <c r="AJ593" s="13">
        <f t="shared" si="72"/>
        <v>3318.54541015625</v>
      </c>
      <c r="AK593" s="14">
        <f t="shared" si="73"/>
        <v>0.3386270826690051</v>
      </c>
      <c r="AL593" s="9">
        <v>9800</v>
      </c>
      <c r="AM593" s="9">
        <v>7433.3629059751729</v>
      </c>
      <c r="AN593" s="9">
        <f t="shared" si="74"/>
        <v>2366.6370940248271</v>
      </c>
      <c r="AO593" s="10">
        <f t="shared" si="75"/>
        <v>0.24149358102294155</v>
      </c>
      <c r="AP593" s="16">
        <v>9800</v>
      </c>
      <c r="AQ593" s="16">
        <v>8930.281269085619</v>
      </c>
      <c r="AR593" s="16">
        <f t="shared" si="76"/>
        <v>869.71873091438101</v>
      </c>
      <c r="AS593" s="17">
        <f t="shared" si="77"/>
        <v>8.8746809276977659E-2</v>
      </c>
      <c r="AT593" s="6">
        <v>9800</v>
      </c>
      <c r="AU593" s="6">
        <v>7926.0322265625</v>
      </c>
      <c r="AV593" s="6">
        <f t="shared" si="78"/>
        <v>1873.9677734375</v>
      </c>
      <c r="AW593" s="7">
        <f t="shared" si="79"/>
        <v>0.19122120137117346</v>
      </c>
    </row>
    <row r="594" spans="1:49" x14ac:dyDescent="0.25">
      <c r="A594" t="s">
        <v>69</v>
      </c>
      <c r="B594" t="s">
        <v>70</v>
      </c>
      <c r="C594">
        <v>139605</v>
      </c>
      <c r="D594">
        <v>2018</v>
      </c>
      <c r="E594" t="s">
        <v>40</v>
      </c>
      <c r="F594" t="s">
        <v>295</v>
      </c>
      <c r="G594" t="s">
        <v>284</v>
      </c>
      <c r="I594">
        <v>4</v>
      </c>
      <c r="J594" t="s">
        <v>74</v>
      </c>
      <c r="K594">
        <v>4</v>
      </c>
      <c r="L594" t="s">
        <v>44</v>
      </c>
      <c r="M594">
        <v>2.4</v>
      </c>
      <c r="N594" t="s">
        <v>45</v>
      </c>
      <c r="O594" t="s">
        <v>46</v>
      </c>
      <c r="P594">
        <v>3</v>
      </c>
      <c r="Q594" t="s">
        <v>84</v>
      </c>
      <c r="R594" t="s">
        <v>85</v>
      </c>
      <c r="S594" t="s">
        <v>102</v>
      </c>
      <c r="T594">
        <v>185</v>
      </c>
      <c r="U594" t="s">
        <v>50</v>
      </c>
      <c r="W594" t="s">
        <v>632</v>
      </c>
      <c r="X594" t="s">
        <v>87</v>
      </c>
      <c r="Y594" t="s">
        <v>67</v>
      </c>
      <c r="Z594">
        <v>22600</v>
      </c>
      <c r="AA594">
        <v>0</v>
      </c>
      <c r="AB594" t="s">
        <v>54</v>
      </c>
      <c r="AC594" t="s">
        <v>89</v>
      </c>
      <c r="AD594">
        <v>34</v>
      </c>
      <c r="AE594">
        <v>8</v>
      </c>
      <c r="AF594">
        <v>3</v>
      </c>
      <c r="AG594">
        <v>2025</v>
      </c>
      <c r="AH594" s="13">
        <v>3000</v>
      </c>
      <c r="AI594" s="13">
        <v>3377.44775390625</v>
      </c>
      <c r="AJ594" s="13">
        <f t="shared" si="72"/>
        <v>377.44775390625</v>
      </c>
      <c r="AK594" s="14">
        <f t="shared" si="73"/>
        <v>0.12581591796875</v>
      </c>
      <c r="AL594" s="9">
        <v>3000</v>
      </c>
      <c r="AM594" s="9">
        <v>3029.4848079007211</v>
      </c>
      <c r="AN594" s="9">
        <f t="shared" si="74"/>
        <v>29.48480790072108</v>
      </c>
      <c r="AO594" s="10">
        <f t="shared" si="75"/>
        <v>9.8282693002403592E-3</v>
      </c>
      <c r="AP594" s="16">
        <v>3000</v>
      </c>
      <c r="AQ594" s="16">
        <v>3219.232766122308</v>
      </c>
      <c r="AR594" s="16">
        <f t="shared" si="76"/>
        <v>219.23276612230802</v>
      </c>
      <c r="AS594" s="17">
        <f t="shared" si="77"/>
        <v>7.3077588707436011E-2</v>
      </c>
      <c r="AT594" s="6">
        <v>3000</v>
      </c>
      <c r="AU594" s="6">
        <v>3443.841796875</v>
      </c>
      <c r="AV594" s="6">
        <f t="shared" si="78"/>
        <v>443.841796875</v>
      </c>
      <c r="AW594" s="7">
        <f t="shared" si="79"/>
        <v>0.14794726562499999</v>
      </c>
    </row>
    <row r="595" spans="1:49" x14ac:dyDescent="0.25">
      <c r="A595" t="s">
        <v>38</v>
      </c>
      <c r="B595" t="s">
        <v>167</v>
      </c>
      <c r="C595">
        <v>186825</v>
      </c>
      <c r="D595">
        <v>2015</v>
      </c>
      <c r="E595" t="s">
        <v>145</v>
      </c>
      <c r="F595" t="s">
        <v>363</v>
      </c>
      <c r="G595" t="s">
        <v>364</v>
      </c>
      <c r="I595">
        <v>6</v>
      </c>
      <c r="J595" t="s">
        <v>94</v>
      </c>
      <c r="K595">
        <v>4</v>
      </c>
      <c r="L595" t="s">
        <v>44</v>
      </c>
      <c r="M595">
        <v>3.5</v>
      </c>
      <c r="N595" t="s">
        <v>45</v>
      </c>
      <c r="O595" t="s">
        <v>46</v>
      </c>
      <c r="P595">
        <v>3</v>
      </c>
      <c r="Q595" t="s">
        <v>47</v>
      </c>
      <c r="R595" t="s">
        <v>365</v>
      </c>
      <c r="T595">
        <v>248</v>
      </c>
      <c r="U595" t="s">
        <v>50</v>
      </c>
      <c r="V595" t="s">
        <v>64</v>
      </c>
      <c r="W595" t="s">
        <v>366</v>
      </c>
      <c r="X595" t="s">
        <v>66</v>
      </c>
      <c r="Y595" t="s">
        <v>67</v>
      </c>
      <c r="AA595">
        <v>0</v>
      </c>
      <c r="AB595" t="s">
        <v>54</v>
      </c>
      <c r="AC595" t="s">
        <v>365</v>
      </c>
      <c r="AD595">
        <v>34</v>
      </c>
      <c r="AE595">
        <v>8</v>
      </c>
      <c r="AF595">
        <v>3</v>
      </c>
      <c r="AG595">
        <v>2025</v>
      </c>
      <c r="AH595" s="13">
        <v>5600</v>
      </c>
      <c r="AI595" s="13">
        <v>4211.533203125</v>
      </c>
      <c r="AJ595" s="13">
        <f t="shared" si="72"/>
        <v>1388.466796875</v>
      </c>
      <c r="AK595" s="14">
        <f t="shared" si="73"/>
        <v>0.24794049944196428</v>
      </c>
      <c r="AL595" s="9">
        <v>5600</v>
      </c>
      <c r="AM595" s="9">
        <v>4619.623134129456</v>
      </c>
      <c r="AN595" s="9">
        <f t="shared" si="74"/>
        <v>980.37686587054395</v>
      </c>
      <c r="AO595" s="10">
        <f t="shared" si="75"/>
        <v>0.17506729747688285</v>
      </c>
      <c r="AP595" s="16">
        <v>5600</v>
      </c>
      <c r="AQ595" s="16">
        <v>4128.4049709973442</v>
      </c>
      <c r="AR595" s="16">
        <f t="shared" si="76"/>
        <v>1471.5950290026558</v>
      </c>
      <c r="AS595" s="17">
        <f t="shared" si="77"/>
        <v>0.26278482660761709</v>
      </c>
      <c r="AT595" s="6">
        <v>5600</v>
      </c>
      <c r="AU595" s="6">
        <v>4772.0888671875</v>
      </c>
      <c r="AV595" s="6">
        <f t="shared" si="78"/>
        <v>827.9111328125</v>
      </c>
      <c r="AW595" s="7">
        <f t="shared" si="79"/>
        <v>0.14784127371651787</v>
      </c>
    </row>
    <row r="596" spans="1:49" x14ac:dyDescent="0.25">
      <c r="A596" t="s">
        <v>107</v>
      </c>
      <c r="B596" t="s">
        <v>256</v>
      </c>
      <c r="C596">
        <v>180304</v>
      </c>
      <c r="D596">
        <v>2016</v>
      </c>
      <c r="E596" t="s">
        <v>58</v>
      </c>
      <c r="F596" t="s">
        <v>258</v>
      </c>
      <c r="H596" t="s">
        <v>268</v>
      </c>
      <c r="I596">
        <v>4</v>
      </c>
      <c r="J596" t="s">
        <v>94</v>
      </c>
      <c r="K596">
        <v>4</v>
      </c>
      <c r="L596" t="s">
        <v>44</v>
      </c>
      <c r="M596">
        <v>2</v>
      </c>
      <c r="N596" t="s">
        <v>62</v>
      </c>
      <c r="O596" t="s">
        <v>46</v>
      </c>
      <c r="P596">
        <v>3</v>
      </c>
      <c r="Q596" t="s">
        <v>47</v>
      </c>
      <c r="R596" t="s">
        <v>48</v>
      </c>
      <c r="S596" t="s">
        <v>63</v>
      </c>
      <c r="T596">
        <v>240</v>
      </c>
      <c r="U596" t="s">
        <v>50</v>
      </c>
      <c r="V596" t="s">
        <v>95</v>
      </c>
      <c r="X596" t="s">
        <v>52</v>
      </c>
      <c r="Y596" t="s">
        <v>67</v>
      </c>
      <c r="AA596">
        <v>0</v>
      </c>
      <c r="AB596" t="s">
        <v>54</v>
      </c>
      <c r="AC596" t="s">
        <v>55</v>
      </c>
      <c r="AD596">
        <v>34</v>
      </c>
      <c r="AE596">
        <v>8</v>
      </c>
      <c r="AF596">
        <v>3</v>
      </c>
      <c r="AG596">
        <v>2025</v>
      </c>
      <c r="AH596" s="13">
        <v>1000</v>
      </c>
      <c r="AI596" s="13">
        <v>1829.286010742188</v>
      </c>
      <c r="AJ596" s="13">
        <f t="shared" si="72"/>
        <v>829.28601074218795</v>
      </c>
      <c r="AK596" s="14">
        <f t="shared" si="73"/>
        <v>0.829286010742188</v>
      </c>
      <c r="AL596" s="9">
        <v>1000</v>
      </c>
      <c r="AM596" s="9">
        <v>1922.8020876288399</v>
      </c>
      <c r="AN596" s="9">
        <f t="shared" si="74"/>
        <v>922.8020876288399</v>
      </c>
      <c r="AO596" s="10">
        <f t="shared" si="75"/>
        <v>0.92280208762883986</v>
      </c>
      <c r="AP596" s="16">
        <v>1000</v>
      </c>
      <c r="AQ596" s="16">
        <v>1724.8906195466279</v>
      </c>
      <c r="AR596" s="16">
        <f t="shared" si="76"/>
        <v>724.89061954662793</v>
      </c>
      <c r="AS596" s="17">
        <f t="shared" si="77"/>
        <v>0.72489061954662792</v>
      </c>
      <c r="AT596" s="6">
        <v>1000</v>
      </c>
      <c r="AU596" s="6">
        <v>2019.572998046875</v>
      </c>
      <c r="AV596" s="6">
        <f t="shared" si="78"/>
        <v>1019.572998046875</v>
      </c>
      <c r="AW596" s="7">
        <f t="shared" si="79"/>
        <v>1.0195729980468751</v>
      </c>
    </row>
    <row r="597" spans="1:49" x14ac:dyDescent="0.25">
      <c r="A597" t="s">
        <v>38</v>
      </c>
      <c r="B597" t="s">
        <v>167</v>
      </c>
      <c r="C597">
        <v>174368</v>
      </c>
      <c r="D597">
        <v>2008</v>
      </c>
      <c r="E597" t="s">
        <v>113</v>
      </c>
      <c r="F597" t="s">
        <v>708</v>
      </c>
      <c r="G597" t="s">
        <v>162</v>
      </c>
      <c r="H597" t="s">
        <v>961</v>
      </c>
      <c r="I597">
        <v>8</v>
      </c>
      <c r="J597" t="s">
        <v>74</v>
      </c>
      <c r="K597">
        <v>4</v>
      </c>
      <c r="L597" t="s">
        <v>44</v>
      </c>
      <c r="M597">
        <v>5.7</v>
      </c>
      <c r="N597" t="s">
        <v>62</v>
      </c>
      <c r="O597" t="s">
        <v>46</v>
      </c>
      <c r="P597">
        <v>3</v>
      </c>
      <c r="Q597" t="s">
        <v>75</v>
      </c>
      <c r="R597" t="s">
        <v>76</v>
      </c>
      <c r="S597" t="s">
        <v>63</v>
      </c>
      <c r="U597" t="s">
        <v>50</v>
      </c>
      <c r="V597" t="s">
        <v>64</v>
      </c>
      <c r="X597" t="s">
        <v>66</v>
      </c>
      <c r="Y597" t="s">
        <v>67</v>
      </c>
      <c r="AA597">
        <v>0</v>
      </c>
      <c r="AB597" t="s">
        <v>54</v>
      </c>
      <c r="AC597" t="s">
        <v>78</v>
      </c>
      <c r="AD597">
        <v>34</v>
      </c>
      <c r="AE597">
        <v>8</v>
      </c>
      <c r="AF597">
        <v>3</v>
      </c>
      <c r="AG597">
        <v>2025</v>
      </c>
      <c r="AH597" s="13">
        <v>4000</v>
      </c>
      <c r="AI597" s="13">
        <v>3137.850341796875</v>
      </c>
      <c r="AJ597" s="13">
        <f t="shared" si="72"/>
        <v>862.149658203125</v>
      </c>
      <c r="AK597" s="14">
        <f t="shared" si="73"/>
        <v>0.21553741455078124</v>
      </c>
      <c r="AL597" s="9">
        <v>4000</v>
      </c>
      <c r="AM597" s="9">
        <v>2855.5217474896172</v>
      </c>
      <c r="AN597" s="9">
        <f t="shared" si="74"/>
        <v>1144.4782525103828</v>
      </c>
      <c r="AO597" s="10">
        <f t="shared" si="75"/>
        <v>0.28611956312759573</v>
      </c>
      <c r="AP597" s="16">
        <v>4000</v>
      </c>
      <c r="AQ597" s="16">
        <v>3001.691495451259</v>
      </c>
      <c r="AR597" s="16">
        <f t="shared" si="76"/>
        <v>998.30850454874098</v>
      </c>
      <c r="AS597" s="17">
        <f t="shared" si="77"/>
        <v>0.24957712613718525</v>
      </c>
      <c r="AT597" s="6">
        <v>4000</v>
      </c>
      <c r="AU597" s="6">
        <v>2877.114013671875</v>
      </c>
      <c r="AV597" s="6">
        <f t="shared" si="78"/>
        <v>1122.885986328125</v>
      </c>
      <c r="AW597" s="7">
        <f t="shared" si="79"/>
        <v>0.28072149658203127</v>
      </c>
    </row>
    <row r="598" spans="1:49" x14ac:dyDescent="0.25">
      <c r="A598" t="s">
        <v>56</v>
      </c>
      <c r="B598" t="s">
        <v>178</v>
      </c>
      <c r="C598">
        <v>129905</v>
      </c>
      <c r="D598">
        <v>2018</v>
      </c>
      <c r="E598" t="s">
        <v>58</v>
      </c>
      <c r="F598" t="s">
        <v>168</v>
      </c>
      <c r="I598">
        <v>6</v>
      </c>
      <c r="J598" t="s">
        <v>94</v>
      </c>
      <c r="K598">
        <v>4</v>
      </c>
      <c r="L598" t="s">
        <v>44</v>
      </c>
      <c r="M598">
        <v>3.5</v>
      </c>
      <c r="N598" t="s">
        <v>62</v>
      </c>
      <c r="O598" t="s">
        <v>46</v>
      </c>
      <c r="P598">
        <v>4</v>
      </c>
      <c r="Q598" t="s">
        <v>75</v>
      </c>
      <c r="R598" t="s">
        <v>76</v>
      </c>
      <c r="S598" t="s">
        <v>63</v>
      </c>
      <c r="T598">
        <v>375</v>
      </c>
      <c r="U598" t="s">
        <v>50</v>
      </c>
      <c r="V598" t="s">
        <v>64</v>
      </c>
      <c r="W598" t="s">
        <v>636</v>
      </c>
      <c r="X598" t="s">
        <v>66</v>
      </c>
      <c r="Y598" t="s">
        <v>67</v>
      </c>
      <c r="AA598">
        <v>0</v>
      </c>
      <c r="AB598" t="s">
        <v>54</v>
      </c>
      <c r="AC598" t="s">
        <v>78</v>
      </c>
      <c r="AD598">
        <v>34</v>
      </c>
      <c r="AE598">
        <v>8</v>
      </c>
      <c r="AF598">
        <v>3</v>
      </c>
      <c r="AG598">
        <v>2025</v>
      </c>
      <c r="AH598" s="13">
        <v>13800</v>
      </c>
      <c r="AI598" s="13">
        <v>17971.8828125</v>
      </c>
      <c r="AJ598" s="13">
        <f t="shared" si="72"/>
        <v>4171.8828125</v>
      </c>
      <c r="AK598" s="14">
        <f t="shared" si="73"/>
        <v>0.30231034873188406</v>
      </c>
      <c r="AL598" s="9">
        <v>13800</v>
      </c>
      <c r="AM598" s="9">
        <v>18284.704372638189</v>
      </c>
      <c r="AN598" s="9">
        <f t="shared" si="74"/>
        <v>4484.7043726381889</v>
      </c>
      <c r="AO598" s="10">
        <f t="shared" si="75"/>
        <v>0.32497857772740502</v>
      </c>
      <c r="AP598" s="16">
        <v>13800</v>
      </c>
      <c r="AQ598" s="16">
        <v>17628.89450378143</v>
      </c>
      <c r="AR598" s="16">
        <f t="shared" si="76"/>
        <v>3828.8945037814301</v>
      </c>
      <c r="AS598" s="17">
        <f t="shared" si="77"/>
        <v>0.27745612346242249</v>
      </c>
      <c r="AT598" s="6">
        <v>13800</v>
      </c>
      <c r="AU598" s="6">
        <v>17598.892578125</v>
      </c>
      <c r="AV598" s="6">
        <f t="shared" si="78"/>
        <v>3798.892578125</v>
      </c>
      <c r="AW598" s="7">
        <f t="shared" si="79"/>
        <v>0.27528207087862316</v>
      </c>
    </row>
    <row r="599" spans="1:49" x14ac:dyDescent="0.25">
      <c r="A599" t="s">
        <v>38</v>
      </c>
      <c r="B599" t="s">
        <v>132</v>
      </c>
      <c r="C599">
        <v>87544</v>
      </c>
      <c r="D599">
        <v>2018</v>
      </c>
      <c r="E599" t="s">
        <v>71</v>
      </c>
      <c r="F599" t="s">
        <v>129</v>
      </c>
      <c r="I599">
        <v>4</v>
      </c>
      <c r="J599" t="s">
        <v>74</v>
      </c>
      <c r="K599">
        <v>4</v>
      </c>
      <c r="L599" t="s">
        <v>44</v>
      </c>
      <c r="M599">
        <v>2.5</v>
      </c>
      <c r="N599" t="s">
        <v>45</v>
      </c>
      <c r="O599" t="s">
        <v>46</v>
      </c>
      <c r="P599">
        <v>2</v>
      </c>
      <c r="Q599" t="s">
        <v>84</v>
      </c>
      <c r="R599" t="s">
        <v>85</v>
      </c>
      <c r="S599" t="s">
        <v>49</v>
      </c>
      <c r="U599" t="s">
        <v>50</v>
      </c>
      <c r="V599" t="s">
        <v>95</v>
      </c>
      <c r="X599" t="s">
        <v>87</v>
      </c>
      <c r="Y599" t="s">
        <v>67</v>
      </c>
      <c r="Z599">
        <v>23260</v>
      </c>
      <c r="AA599">
        <v>0</v>
      </c>
      <c r="AB599" t="s">
        <v>54</v>
      </c>
      <c r="AC599" t="s">
        <v>89</v>
      </c>
      <c r="AD599">
        <v>34</v>
      </c>
      <c r="AE599">
        <v>8</v>
      </c>
      <c r="AF599">
        <v>3</v>
      </c>
      <c r="AG599">
        <v>2025</v>
      </c>
      <c r="AH599" s="13">
        <v>4700</v>
      </c>
      <c r="AI599" s="13">
        <v>4839.86181640625</v>
      </c>
      <c r="AJ599" s="13">
        <f t="shared" si="72"/>
        <v>139.86181640625</v>
      </c>
      <c r="AK599" s="14">
        <f t="shared" si="73"/>
        <v>2.9757833277925531E-2</v>
      </c>
      <c r="AL599" s="9">
        <v>4700</v>
      </c>
      <c r="AM599" s="9">
        <v>4614.8910363209579</v>
      </c>
      <c r="AN599" s="9">
        <f t="shared" si="74"/>
        <v>85.108963679042063</v>
      </c>
      <c r="AO599" s="10">
        <f t="shared" si="75"/>
        <v>1.8108290144477034E-2</v>
      </c>
      <c r="AP599" s="16">
        <v>4700</v>
      </c>
      <c r="AQ599" s="16">
        <v>4557.6795052875186</v>
      </c>
      <c r="AR599" s="16">
        <f t="shared" si="76"/>
        <v>142.32049471248138</v>
      </c>
      <c r="AS599" s="17">
        <f t="shared" si="77"/>
        <v>3.028095632180455E-2</v>
      </c>
      <c r="AT599" s="6">
        <v>4700</v>
      </c>
      <c r="AU599" s="6">
        <v>4906.041015625</v>
      </c>
      <c r="AV599" s="6">
        <f t="shared" si="78"/>
        <v>206.041015625</v>
      </c>
      <c r="AW599" s="7">
        <f t="shared" si="79"/>
        <v>4.383851396276596E-2</v>
      </c>
    </row>
    <row r="600" spans="1:49" x14ac:dyDescent="0.25">
      <c r="A600" t="s">
        <v>69</v>
      </c>
      <c r="B600" t="s">
        <v>70</v>
      </c>
      <c r="C600">
        <v>74820</v>
      </c>
      <c r="D600">
        <v>2012</v>
      </c>
      <c r="E600" t="s">
        <v>113</v>
      </c>
      <c r="F600" t="s">
        <v>835</v>
      </c>
      <c r="G600" t="s">
        <v>962</v>
      </c>
      <c r="H600" t="s">
        <v>963</v>
      </c>
      <c r="I600">
        <v>8</v>
      </c>
      <c r="J600" t="s">
        <v>82</v>
      </c>
      <c r="K600">
        <v>2</v>
      </c>
      <c r="L600" t="s">
        <v>309</v>
      </c>
      <c r="M600">
        <v>6.4</v>
      </c>
      <c r="N600" t="s">
        <v>116</v>
      </c>
      <c r="O600" t="s">
        <v>46</v>
      </c>
      <c r="P600">
        <v>5</v>
      </c>
      <c r="Q600" t="s">
        <v>84</v>
      </c>
      <c r="R600" t="s">
        <v>251</v>
      </c>
      <c r="S600" t="s">
        <v>117</v>
      </c>
      <c r="U600" t="s">
        <v>50</v>
      </c>
      <c r="X600" t="s">
        <v>87</v>
      </c>
      <c r="Y600" t="s">
        <v>88</v>
      </c>
      <c r="AA600">
        <v>0</v>
      </c>
      <c r="AB600" t="s">
        <v>54</v>
      </c>
      <c r="AC600" t="s">
        <v>251</v>
      </c>
      <c r="AD600">
        <v>34</v>
      </c>
      <c r="AE600">
        <v>8</v>
      </c>
      <c r="AF600">
        <v>3</v>
      </c>
      <c r="AG600">
        <v>2025</v>
      </c>
      <c r="AH600" s="13">
        <v>18100</v>
      </c>
      <c r="AI600" s="13">
        <v>16287.7939453125</v>
      </c>
      <c r="AJ600" s="13">
        <f t="shared" si="72"/>
        <v>1812.2060546875</v>
      </c>
      <c r="AK600" s="14">
        <f t="shared" si="73"/>
        <v>0.10012188147444752</v>
      </c>
      <c r="AL600" s="9">
        <v>18100</v>
      </c>
      <c r="AM600" s="9">
        <v>18868.166618728039</v>
      </c>
      <c r="AN600" s="9">
        <f t="shared" si="74"/>
        <v>768.16661872803888</v>
      </c>
      <c r="AO600" s="10">
        <f t="shared" si="75"/>
        <v>4.2440144681107121E-2</v>
      </c>
      <c r="AP600" s="16">
        <v>18100</v>
      </c>
      <c r="AQ600" s="16">
        <v>17068.502231550148</v>
      </c>
      <c r="AR600" s="16">
        <f t="shared" si="76"/>
        <v>1031.4977684498517</v>
      </c>
      <c r="AS600" s="17">
        <f t="shared" si="77"/>
        <v>5.6988826986179651E-2</v>
      </c>
      <c r="AT600" s="6">
        <v>18100</v>
      </c>
      <c r="AU600" s="6">
        <v>19155.71875</v>
      </c>
      <c r="AV600" s="6">
        <f t="shared" si="78"/>
        <v>1055.71875</v>
      </c>
      <c r="AW600" s="7">
        <f t="shared" si="79"/>
        <v>5.8327002762430941E-2</v>
      </c>
    </row>
    <row r="601" spans="1:49" x14ac:dyDescent="0.25">
      <c r="A601" t="s">
        <v>38</v>
      </c>
      <c r="B601" t="s">
        <v>90</v>
      </c>
      <c r="C601">
        <v>111290</v>
      </c>
      <c r="D601">
        <v>2014</v>
      </c>
      <c r="E601" t="s">
        <v>58</v>
      </c>
      <c r="F601" t="s">
        <v>182</v>
      </c>
      <c r="G601" t="s">
        <v>268</v>
      </c>
      <c r="I601">
        <v>4</v>
      </c>
      <c r="J601" t="s">
        <v>74</v>
      </c>
      <c r="K601">
        <v>4</v>
      </c>
      <c r="L601" t="s">
        <v>44</v>
      </c>
      <c r="M601">
        <v>2</v>
      </c>
      <c r="N601" t="s">
        <v>45</v>
      </c>
      <c r="O601" t="s">
        <v>46</v>
      </c>
      <c r="P601">
        <v>4</v>
      </c>
      <c r="Q601" t="s">
        <v>84</v>
      </c>
      <c r="R601" t="s">
        <v>157</v>
      </c>
      <c r="T601">
        <v>160</v>
      </c>
      <c r="U601" t="s">
        <v>50</v>
      </c>
      <c r="V601" t="s">
        <v>95</v>
      </c>
      <c r="X601" t="s">
        <v>87</v>
      </c>
      <c r="Y601" t="s">
        <v>67</v>
      </c>
      <c r="AA601">
        <v>0</v>
      </c>
      <c r="AB601" t="s">
        <v>54</v>
      </c>
      <c r="AC601" t="s">
        <v>159</v>
      </c>
      <c r="AD601">
        <v>34</v>
      </c>
      <c r="AE601">
        <v>8</v>
      </c>
      <c r="AF601">
        <v>3</v>
      </c>
      <c r="AG601">
        <v>2025</v>
      </c>
      <c r="AH601" s="13">
        <v>3100</v>
      </c>
      <c r="AI601" s="13">
        <v>3405.656982421875</v>
      </c>
      <c r="AJ601" s="13">
        <f t="shared" si="72"/>
        <v>305.656982421875</v>
      </c>
      <c r="AK601" s="14">
        <f t="shared" si="73"/>
        <v>9.8599026587701616E-2</v>
      </c>
      <c r="AL601" s="9">
        <v>3100</v>
      </c>
      <c r="AM601" s="9">
        <v>2347.434654364688</v>
      </c>
      <c r="AN601" s="9">
        <f t="shared" si="74"/>
        <v>752.56534563531204</v>
      </c>
      <c r="AO601" s="10">
        <f t="shared" si="75"/>
        <v>0.2427630147210684</v>
      </c>
      <c r="AP601" s="16">
        <v>3100</v>
      </c>
      <c r="AQ601" s="16">
        <v>2064.7373999326701</v>
      </c>
      <c r="AR601" s="16">
        <f t="shared" si="76"/>
        <v>1035.2626000673299</v>
      </c>
      <c r="AS601" s="17">
        <f t="shared" si="77"/>
        <v>0.33395567744107418</v>
      </c>
      <c r="AT601" s="6">
        <v>3100</v>
      </c>
      <c r="AU601" s="6">
        <v>2453.817138671875</v>
      </c>
      <c r="AV601" s="6">
        <f t="shared" si="78"/>
        <v>646.182861328125</v>
      </c>
      <c r="AW601" s="7">
        <f t="shared" si="79"/>
        <v>0.20844608429939515</v>
      </c>
    </row>
    <row r="602" spans="1:49" x14ac:dyDescent="0.25">
      <c r="A602" t="s">
        <v>107</v>
      </c>
      <c r="B602" t="s">
        <v>614</v>
      </c>
      <c r="C602">
        <v>154672</v>
      </c>
      <c r="D602">
        <v>2014</v>
      </c>
      <c r="E602" t="s">
        <v>382</v>
      </c>
      <c r="F602" t="s">
        <v>464</v>
      </c>
      <c r="G602" t="s">
        <v>194</v>
      </c>
      <c r="I602">
        <v>6</v>
      </c>
      <c r="J602" t="s">
        <v>94</v>
      </c>
      <c r="K602">
        <v>4</v>
      </c>
      <c r="L602" t="s">
        <v>44</v>
      </c>
      <c r="M602">
        <v>3.6</v>
      </c>
      <c r="N602" t="s">
        <v>45</v>
      </c>
      <c r="O602" t="s">
        <v>46</v>
      </c>
      <c r="Q602" t="s">
        <v>47</v>
      </c>
      <c r="R602" t="s">
        <v>365</v>
      </c>
      <c r="S602" t="s">
        <v>102</v>
      </c>
      <c r="U602" t="s">
        <v>50</v>
      </c>
      <c r="X602" t="s">
        <v>66</v>
      </c>
      <c r="Y602" t="s">
        <v>88</v>
      </c>
      <c r="AA602">
        <v>0</v>
      </c>
      <c r="AB602" t="s">
        <v>54</v>
      </c>
      <c r="AC602" t="s">
        <v>365</v>
      </c>
      <c r="AD602">
        <v>34</v>
      </c>
      <c r="AE602">
        <v>8</v>
      </c>
      <c r="AF602">
        <v>3</v>
      </c>
      <c r="AG602">
        <v>2025</v>
      </c>
      <c r="AH602" s="13">
        <v>4500</v>
      </c>
      <c r="AI602" s="13">
        <v>2692.1455078125</v>
      </c>
      <c r="AJ602" s="13">
        <f t="shared" si="72"/>
        <v>1807.8544921875</v>
      </c>
      <c r="AK602" s="14">
        <f t="shared" si="73"/>
        <v>0.40174544270833334</v>
      </c>
      <c r="AL602" s="9">
        <v>4500</v>
      </c>
      <c r="AM602" s="9">
        <v>2612.5105107578402</v>
      </c>
      <c r="AN602" s="9">
        <f t="shared" si="74"/>
        <v>1887.4894892421598</v>
      </c>
      <c r="AO602" s="10">
        <f t="shared" si="75"/>
        <v>0.41944210872047999</v>
      </c>
      <c r="AP602" s="16">
        <v>4500</v>
      </c>
      <c r="AQ602" s="16">
        <v>2630.163887505958</v>
      </c>
      <c r="AR602" s="16">
        <f t="shared" si="76"/>
        <v>1869.836112494042</v>
      </c>
      <c r="AS602" s="17">
        <f t="shared" si="77"/>
        <v>0.41551913610978713</v>
      </c>
      <c r="AT602" s="6">
        <v>4500</v>
      </c>
      <c r="AU602" s="6">
        <v>2670.591064453125</v>
      </c>
      <c r="AV602" s="6">
        <f t="shared" si="78"/>
        <v>1829.408935546875</v>
      </c>
      <c r="AW602" s="7">
        <f t="shared" si="79"/>
        <v>0.40653531901041667</v>
      </c>
    </row>
    <row r="603" spans="1:49" x14ac:dyDescent="0.25">
      <c r="A603" t="s">
        <v>69</v>
      </c>
      <c r="B603" t="s">
        <v>707</v>
      </c>
      <c r="C603">
        <v>164089</v>
      </c>
      <c r="D603">
        <v>2017</v>
      </c>
      <c r="E603" t="s">
        <v>113</v>
      </c>
      <c r="F603" t="s">
        <v>253</v>
      </c>
      <c r="G603" t="s">
        <v>964</v>
      </c>
      <c r="H603" t="s">
        <v>931</v>
      </c>
      <c r="I603">
        <v>4</v>
      </c>
      <c r="J603" t="s">
        <v>82</v>
      </c>
      <c r="K603">
        <v>4</v>
      </c>
      <c r="L603" t="s">
        <v>44</v>
      </c>
      <c r="M603">
        <v>2.4</v>
      </c>
      <c r="N603" t="s">
        <v>45</v>
      </c>
      <c r="O603" t="s">
        <v>46</v>
      </c>
      <c r="Q603" t="s">
        <v>47</v>
      </c>
      <c r="R603" t="s">
        <v>48</v>
      </c>
      <c r="S603" t="s">
        <v>102</v>
      </c>
      <c r="T603">
        <v>173</v>
      </c>
      <c r="U603" t="s">
        <v>50</v>
      </c>
      <c r="V603" t="s">
        <v>95</v>
      </c>
      <c r="X603" t="s">
        <v>141</v>
      </c>
      <c r="Y603" t="s">
        <v>106</v>
      </c>
      <c r="Z603">
        <v>21195</v>
      </c>
      <c r="AA603">
        <v>0</v>
      </c>
      <c r="AB603" t="s">
        <v>54</v>
      </c>
      <c r="AC603" t="s">
        <v>55</v>
      </c>
      <c r="AD603">
        <v>34</v>
      </c>
      <c r="AE603">
        <v>8</v>
      </c>
      <c r="AF603">
        <v>3</v>
      </c>
      <c r="AG603">
        <v>2025</v>
      </c>
      <c r="AH603" s="13">
        <v>1100</v>
      </c>
      <c r="AI603" s="13">
        <v>2357.90234375</v>
      </c>
      <c r="AJ603" s="13">
        <f t="shared" si="72"/>
        <v>1257.90234375</v>
      </c>
      <c r="AK603" s="14">
        <f t="shared" si="73"/>
        <v>1.1435475852272727</v>
      </c>
      <c r="AL603" s="9">
        <v>1100</v>
      </c>
      <c r="AM603" s="9">
        <v>2079.2089962890532</v>
      </c>
      <c r="AN603" s="9">
        <f t="shared" si="74"/>
        <v>979.20899628905318</v>
      </c>
      <c r="AO603" s="10">
        <f t="shared" si="75"/>
        <v>0.89018999662641196</v>
      </c>
      <c r="AP603" s="16">
        <v>1100</v>
      </c>
      <c r="AQ603" s="16">
        <v>2119.8032953496208</v>
      </c>
      <c r="AR603" s="16">
        <f t="shared" si="76"/>
        <v>1019.8032953496208</v>
      </c>
      <c r="AS603" s="17">
        <f t="shared" si="77"/>
        <v>0.92709390486329168</v>
      </c>
      <c r="AT603" s="6">
        <v>1100</v>
      </c>
      <c r="AU603" s="6">
        <v>2270.159912109375</v>
      </c>
      <c r="AV603" s="6">
        <f t="shared" si="78"/>
        <v>1170.159912109375</v>
      </c>
      <c r="AW603" s="7">
        <f t="shared" si="79"/>
        <v>1.06378173828125</v>
      </c>
    </row>
    <row r="604" spans="1:49" x14ac:dyDescent="0.25">
      <c r="A604" t="s">
        <v>38</v>
      </c>
      <c r="B604" t="s">
        <v>167</v>
      </c>
      <c r="C604">
        <v>201708</v>
      </c>
      <c r="D604">
        <v>2015</v>
      </c>
      <c r="E604" t="s">
        <v>71</v>
      </c>
      <c r="F604" t="s">
        <v>199</v>
      </c>
      <c r="I604">
        <v>4</v>
      </c>
      <c r="J604" t="s">
        <v>82</v>
      </c>
      <c r="K604">
        <v>4</v>
      </c>
      <c r="L604" t="s">
        <v>44</v>
      </c>
      <c r="M604">
        <v>2.5</v>
      </c>
      <c r="N604" t="s">
        <v>45</v>
      </c>
      <c r="O604" t="s">
        <v>46</v>
      </c>
      <c r="Q604" t="s">
        <v>47</v>
      </c>
      <c r="R604" t="s">
        <v>207</v>
      </c>
      <c r="S604" t="s">
        <v>49</v>
      </c>
      <c r="U604" t="s">
        <v>50</v>
      </c>
      <c r="X604" t="s">
        <v>52</v>
      </c>
      <c r="Y604" t="s">
        <v>97</v>
      </c>
      <c r="AA604">
        <v>0</v>
      </c>
      <c r="AB604" t="s">
        <v>54</v>
      </c>
      <c r="AC604" t="s">
        <v>55</v>
      </c>
      <c r="AD604">
        <v>34</v>
      </c>
      <c r="AE604">
        <v>8</v>
      </c>
      <c r="AF604">
        <v>3</v>
      </c>
      <c r="AG604">
        <v>2025</v>
      </c>
      <c r="AH604" s="13">
        <v>500</v>
      </c>
      <c r="AI604" s="13">
        <v>1354.894775390625</v>
      </c>
      <c r="AJ604" s="13">
        <f t="shared" si="72"/>
        <v>854.894775390625</v>
      </c>
      <c r="AK604" s="14">
        <f t="shared" si="73"/>
        <v>1.7097895507812499</v>
      </c>
      <c r="AL604" s="9">
        <v>500</v>
      </c>
      <c r="AM604" s="9">
        <v>1699.101835365648</v>
      </c>
      <c r="AN604" s="9">
        <f t="shared" si="74"/>
        <v>1199.101835365648</v>
      </c>
      <c r="AO604" s="10">
        <f t="shared" si="75"/>
        <v>2.3982036707312959</v>
      </c>
      <c r="AP604" s="16">
        <v>500</v>
      </c>
      <c r="AQ604" s="16">
        <v>1160.0288274636221</v>
      </c>
      <c r="AR604" s="16">
        <f t="shared" si="76"/>
        <v>660.02882746362206</v>
      </c>
      <c r="AS604" s="17">
        <f t="shared" si="77"/>
        <v>1.320057654927244</v>
      </c>
      <c r="AT604" s="6">
        <v>500</v>
      </c>
      <c r="AU604" s="6">
        <v>1191.815307617188</v>
      </c>
      <c r="AV604" s="6">
        <f t="shared" si="78"/>
        <v>691.81530761718795</v>
      </c>
      <c r="AW604" s="7">
        <f t="shared" si="79"/>
        <v>1.3836306152343758</v>
      </c>
    </row>
    <row r="605" spans="1:49" x14ac:dyDescent="0.25">
      <c r="A605" t="s">
        <v>38</v>
      </c>
      <c r="B605" t="s">
        <v>132</v>
      </c>
      <c r="C605">
        <v>88643</v>
      </c>
      <c r="D605">
        <v>2020</v>
      </c>
      <c r="E605" t="s">
        <v>58</v>
      </c>
      <c r="F605" t="s">
        <v>59</v>
      </c>
      <c r="G605" t="s">
        <v>380</v>
      </c>
      <c r="I605">
        <v>6</v>
      </c>
      <c r="J605" t="s">
        <v>43</v>
      </c>
      <c r="K605">
        <v>4</v>
      </c>
      <c r="L605" t="s">
        <v>44</v>
      </c>
      <c r="M605">
        <v>3</v>
      </c>
      <c r="N605" t="s">
        <v>62</v>
      </c>
      <c r="O605" t="s">
        <v>46</v>
      </c>
      <c r="P605">
        <v>4</v>
      </c>
      <c r="Q605" t="s">
        <v>47</v>
      </c>
      <c r="R605" t="s">
        <v>48</v>
      </c>
      <c r="S605" t="s">
        <v>63</v>
      </c>
      <c r="U605" t="s">
        <v>50</v>
      </c>
      <c r="V605" t="s">
        <v>64</v>
      </c>
      <c r="W605" t="s">
        <v>65</v>
      </c>
      <c r="X605" t="s">
        <v>66</v>
      </c>
      <c r="Y605" t="s">
        <v>67</v>
      </c>
      <c r="AA605">
        <v>0</v>
      </c>
      <c r="AB605" t="s">
        <v>54</v>
      </c>
      <c r="AC605" t="s">
        <v>68</v>
      </c>
      <c r="AD605">
        <v>34</v>
      </c>
      <c r="AE605">
        <v>8</v>
      </c>
      <c r="AF605">
        <v>3</v>
      </c>
      <c r="AG605">
        <v>2025</v>
      </c>
      <c r="AH605" s="13">
        <v>22300</v>
      </c>
      <c r="AI605" s="13">
        <v>22602.236328125</v>
      </c>
      <c r="AJ605" s="13">
        <f t="shared" si="72"/>
        <v>302.236328125</v>
      </c>
      <c r="AK605" s="14">
        <f t="shared" si="73"/>
        <v>1.3553198570627803E-2</v>
      </c>
      <c r="AL605" s="9">
        <v>22300</v>
      </c>
      <c r="AM605" s="9">
        <v>21363.51411004008</v>
      </c>
      <c r="AN605" s="9">
        <f t="shared" si="74"/>
        <v>936.48588995992031</v>
      </c>
      <c r="AO605" s="10">
        <f t="shared" si="75"/>
        <v>4.1994882957843961E-2</v>
      </c>
      <c r="AP605" s="16">
        <v>22300</v>
      </c>
      <c r="AQ605" s="16">
        <v>23624.804008691292</v>
      </c>
      <c r="AR605" s="16">
        <f t="shared" si="76"/>
        <v>1324.8040086912915</v>
      </c>
      <c r="AS605" s="17">
        <f t="shared" si="77"/>
        <v>5.9408251510820249E-2</v>
      </c>
      <c r="AT605" s="6">
        <v>22300</v>
      </c>
      <c r="AU605" s="6">
        <v>22175.537109375</v>
      </c>
      <c r="AV605" s="6">
        <f t="shared" si="78"/>
        <v>124.462890625</v>
      </c>
      <c r="AW605" s="7">
        <f t="shared" si="79"/>
        <v>5.5812955437219728E-3</v>
      </c>
    </row>
    <row r="606" spans="1:49" x14ac:dyDescent="0.25">
      <c r="A606" t="s">
        <v>56</v>
      </c>
      <c r="B606" t="s">
        <v>303</v>
      </c>
      <c r="C606">
        <v>102981</v>
      </c>
      <c r="D606">
        <v>2013</v>
      </c>
      <c r="E606" t="s">
        <v>224</v>
      </c>
      <c r="F606" t="s">
        <v>434</v>
      </c>
      <c r="G606" t="s">
        <v>965</v>
      </c>
      <c r="H606" t="s">
        <v>966</v>
      </c>
      <c r="I606">
        <v>8</v>
      </c>
      <c r="J606" t="s">
        <v>94</v>
      </c>
      <c r="K606">
        <v>4</v>
      </c>
      <c r="L606" t="s">
        <v>44</v>
      </c>
      <c r="M606">
        <v>4.5999999999999996</v>
      </c>
      <c r="N606" t="s">
        <v>44</v>
      </c>
      <c r="O606" t="s">
        <v>42</v>
      </c>
      <c r="Q606" t="s">
        <v>84</v>
      </c>
      <c r="R606" t="s">
        <v>85</v>
      </c>
      <c r="S606" t="s">
        <v>139</v>
      </c>
      <c r="T606">
        <v>385</v>
      </c>
      <c r="U606" t="s">
        <v>50</v>
      </c>
      <c r="V606" t="s">
        <v>64</v>
      </c>
      <c r="W606" t="s">
        <v>967</v>
      </c>
      <c r="X606" t="s">
        <v>141</v>
      </c>
      <c r="Y606" t="s">
        <v>97</v>
      </c>
      <c r="AA606">
        <v>0</v>
      </c>
      <c r="AB606" t="s">
        <v>54</v>
      </c>
      <c r="AC606" t="s">
        <v>89</v>
      </c>
      <c r="AD606">
        <v>34</v>
      </c>
      <c r="AE606">
        <v>8</v>
      </c>
      <c r="AF606">
        <v>3</v>
      </c>
      <c r="AG606">
        <v>2025</v>
      </c>
      <c r="AH606" s="13">
        <v>12400</v>
      </c>
      <c r="AI606" s="13">
        <v>3998.540771484375</v>
      </c>
      <c r="AJ606" s="13">
        <f t="shared" si="72"/>
        <v>8401.459228515625</v>
      </c>
      <c r="AK606" s="14">
        <f t="shared" si="73"/>
        <v>0.67753703455771175</v>
      </c>
      <c r="AL606" s="9">
        <v>12400</v>
      </c>
      <c r="AM606" s="9">
        <v>5183.3802761550069</v>
      </c>
      <c r="AN606" s="9">
        <f t="shared" si="74"/>
        <v>7216.6197238449931</v>
      </c>
      <c r="AO606" s="10">
        <f t="shared" si="75"/>
        <v>0.58198546160040265</v>
      </c>
      <c r="AP606" s="16">
        <v>12400</v>
      </c>
      <c r="AQ606" s="16">
        <v>4394.6953400128596</v>
      </c>
      <c r="AR606" s="16">
        <f t="shared" si="76"/>
        <v>8005.3046599871404</v>
      </c>
      <c r="AS606" s="17">
        <f t="shared" si="77"/>
        <v>0.64558908548283389</v>
      </c>
      <c r="AT606" s="6">
        <v>12400</v>
      </c>
      <c r="AU606" s="6">
        <v>4531.06494140625</v>
      </c>
      <c r="AV606" s="6">
        <f t="shared" si="78"/>
        <v>7868.93505859375</v>
      </c>
      <c r="AW606" s="7">
        <f t="shared" si="79"/>
        <v>0.6345915369833669</v>
      </c>
    </row>
    <row r="607" spans="1:49" x14ac:dyDescent="0.25">
      <c r="A607" t="s">
        <v>107</v>
      </c>
      <c r="B607" t="s">
        <v>108</v>
      </c>
      <c r="C607">
        <v>16816</v>
      </c>
      <c r="D607">
        <v>2024</v>
      </c>
      <c r="E607" t="s">
        <v>136</v>
      </c>
      <c r="F607" t="s">
        <v>211</v>
      </c>
      <c r="G607" t="s">
        <v>968</v>
      </c>
      <c r="I607">
        <v>4</v>
      </c>
      <c r="J607" t="s">
        <v>43</v>
      </c>
      <c r="K607">
        <v>4</v>
      </c>
      <c r="L607" t="s">
        <v>44</v>
      </c>
      <c r="M607">
        <v>1.5</v>
      </c>
      <c r="N607" t="s">
        <v>45</v>
      </c>
      <c r="O607" t="s">
        <v>46</v>
      </c>
      <c r="Q607" t="s">
        <v>84</v>
      </c>
      <c r="R607" t="s">
        <v>85</v>
      </c>
      <c r="T607">
        <v>158</v>
      </c>
      <c r="U607" t="s">
        <v>50</v>
      </c>
      <c r="W607" t="s">
        <v>969</v>
      </c>
      <c r="Y607" t="s">
        <v>106</v>
      </c>
      <c r="AA607">
        <v>0</v>
      </c>
      <c r="AB607" t="s">
        <v>54</v>
      </c>
      <c r="AC607" t="s">
        <v>89</v>
      </c>
      <c r="AD607">
        <v>34</v>
      </c>
      <c r="AE607">
        <v>8</v>
      </c>
      <c r="AF607">
        <v>3</v>
      </c>
      <c r="AG607">
        <v>2025</v>
      </c>
      <c r="AH607" s="13">
        <v>16500</v>
      </c>
      <c r="AI607" s="13">
        <v>15656.1474609375</v>
      </c>
      <c r="AJ607" s="13">
        <f t="shared" si="72"/>
        <v>843.8525390625</v>
      </c>
      <c r="AK607" s="14">
        <f t="shared" si="73"/>
        <v>5.1142578124999998E-2</v>
      </c>
      <c r="AL607" s="9">
        <v>16500</v>
      </c>
      <c r="AM607" s="9">
        <v>14327.303703163971</v>
      </c>
      <c r="AN607" s="9">
        <f t="shared" si="74"/>
        <v>2172.6962968360294</v>
      </c>
      <c r="AO607" s="10">
        <f t="shared" si="75"/>
        <v>0.13167856344460785</v>
      </c>
      <c r="AP607" s="16">
        <v>16500</v>
      </c>
      <c r="AQ607" s="16">
        <v>16163.95273206383</v>
      </c>
      <c r="AR607" s="16">
        <f t="shared" si="76"/>
        <v>336.0472679361701</v>
      </c>
      <c r="AS607" s="17">
        <f t="shared" si="77"/>
        <v>2.0366501087040613E-2</v>
      </c>
      <c r="AT607" s="6">
        <v>16500</v>
      </c>
      <c r="AU607" s="6">
        <v>15327.9560546875</v>
      </c>
      <c r="AV607" s="6">
        <f t="shared" si="78"/>
        <v>1172.0439453125</v>
      </c>
      <c r="AW607" s="7">
        <f t="shared" si="79"/>
        <v>7.1032966382575752E-2</v>
      </c>
    </row>
    <row r="608" spans="1:49" x14ac:dyDescent="0.25">
      <c r="A608" t="s">
        <v>56</v>
      </c>
      <c r="B608" t="s">
        <v>57</v>
      </c>
      <c r="C608">
        <v>190158</v>
      </c>
      <c r="D608">
        <v>2015</v>
      </c>
      <c r="E608" t="s">
        <v>79</v>
      </c>
      <c r="F608" t="s">
        <v>164</v>
      </c>
      <c r="G608" t="s">
        <v>264</v>
      </c>
      <c r="I608">
        <v>4</v>
      </c>
      <c r="J608" t="s">
        <v>43</v>
      </c>
      <c r="K608">
        <v>4</v>
      </c>
      <c r="L608" t="s">
        <v>44</v>
      </c>
      <c r="M608">
        <v>2.4</v>
      </c>
      <c r="N608" t="s">
        <v>44</v>
      </c>
      <c r="O608" t="s">
        <v>46</v>
      </c>
      <c r="Q608" t="s">
        <v>47</v>
      </c>
      <c r="R608" t="s">
        <v>48</v>
      </c>
      <c r="S608" t="s">
        <v>139</v>
      </c>
      <c r="U608" t="s">
        <v>50</v>
      </c>
      <c r="W608" t="s">
        <v>970</v>
      </c>
      <c r="X608" t="s">
        <v>141</v>
      </c>
      <c r="Y608" t="s">
        <v>88</v>
      </c>
      <c r="AA608">
        <v>0</v>
      </c>
      <c r="AB608" t="s">
        <v>54</v>
      </c>
      <c r="AC608" t="s">
        <v>55</v>
      </c>
      <c r="AD608">
        <v>34</v>
      </c>
      <c r="AE608">
        <v>8</v>
      </c>
      <c r="AF608">
        <v>3</v>
      </c>
      <c r="AG608">
        <v>2025</v>
      </c>
      <c r="AH608" s="13">
        <v>300</v>
      </c>
      <c r="AI608" s="13">
        <v>2666.9833984375</v>
      </c>
      <c r="AJ608" s="13">
        <f t="shared" si="72"/>
        <v>2366.9833984375</v>
      </c>
      <c r="AK608" s="14">
        <f t="shared" si="73"/>
        <v>7.8899446614583333</v>
      </c>
      <c r="AL608" s="9">
        <v>300</v>
      </c>
      <c r="AM608" s="9">
        <v>2376.686030265766</v>
      </c>
      <c r="AN608" s="9">
        <f t="shared" si="74"/>
        <v>2076.686030265766</v>
      </c>
      <c r="AO608" s="10">
        <f t="shared" si="75"/>
        <v>6.9222867675525537</v>
      </c>
      <c r="AP608" s="16">
        <v>300</v>
      </c>
      <c r="AQ608" s="16">
        <v>1530.4288782953161</v>
      </c>
      <c r="AR608" s="16">
        <f t="shared" si="76"/>
        <v>1230.4288782953161</v>
      </c>
      <c r="AS608" s="17">
        <f t="shared" si="77"/>
        <v>4.1014295943177199</v>
      </c>
      <c r="AT608" s="6">
        <v>300</v>
      </c>
      <c r="AU608" s="6">
        <v>2408.085693359375</v>
      </c>
      <c r="AV608" s="6">
        <f t="shared" si="78"/>
        <v>2108.085693359375</v>
      </c>
      <c r="AW608" s="7">
        <f t="shared" si="79"/>
        <v>7.0269523111979169</v>
      </c>
    </row>
    <row r="609" spans="1:49" x14ac:dyDescent="0.25">
      <c r="A609" t="s">
        <v>107</v>
      </c>
      <c r="B609" t="s">
        <v>192</v>
      </c>
      <c r="C609">
        <v>122595</v>
      </c>
      <c r="D609">
        <v>2014</v>
      </c>
      <c r="E609" t="s">
        <v>79</v>
      </c>
      <c r="F609" t="s">
        <v>164</v>
      </c>
      <c r="G609" t="s">
        <v>434</v>
      </c>
      <c r="I609">
        <v>4</v>
      </c>
      <c r="J609" t="s">
        <v>257</v>
      </c>
      <c r="K609">
        <v>4</v>
      </c>
      <c r="L609" t="s">
        <v>44</v>
      </c>
      <c r="M609">
        <v>2.4</v>
      </c>
      <c r="N609" t="s">
        <v>45</v>
      </c>
      <c r="O609" t="s">
        <v>46</v>
      </c>
      <c r="P609">
        <v>4</v>
      </c>
      <c r="Q609" t="s">
        <v>47</v>
      </c>
      <c r="R609" t="s">
        <v>48</v>
      </c>
      <c r="S609" t="s">
        <v>102</v>
      </c>
      <c r="U609" t="s">
        <v>50</v>
      </c>
      <c r="W609" t="s">
        <v>111</v>
      </c>
      <c r="X609" t="s">
        <v>52</v>
      </c>
      <c r="Y609" t="s">
        <v>88</v>
      </c>
      <c r="AA609">
        <v>0</v>
      </c>
      <c r="AB609" t="s">
        <v>54</v>
      </c>
      <c r="AC609" t="s">
        <v>55</v>
      </c>
      <c r="AD609">
        <v>34</v>
      </c>
      <c r="AE609">
        <v>8</v>
      </c>
      <c r="AF609">
        <v>3</v>
      </c>
      <c r="AG609">
        <v>2025</v>
      </c>
      <c r="AH609" s="13">
        <v>2300</v>
      </c>
      <c r="AI609" s="13">
        <v>4526.37353515625</v>
      </c>
      <c r="AJ609" s="13">
        <f t="shared" si="72"/>
        <v>2226.37353515625</v>
      </c>
      <c r="AK609" s="14">
        <f t="shared" si="73"/>
        <v>0.96798849354619565</v>
      </c>
      <c r="AL609" s="9">
        <v>2300</v>
      </c>
      <c r="AM609" s="9">
        <v>4340.1860641593939</v>
      </c>
      <c r="AN609" s="9">
        <f t="shared" si="74"/>
        <v>2040.1860641593939</v>
      </c>
      <c r="AO609" s="10">
        <f t="shared" si="75"/>
        <v>0.88703741919973644</v>
      </c>
      <c r="AP609" s="16">
        <v>2300</v>
      </c>
      <c r="AQ609" s="16">
        <v>3269.9986356070481</v>
      </c>
      <c r="AR609" s="16">
        <f t="shared" si="76"/>
        <v>969.99863560704807</v>
      </c>
      <c r="AS609" s="17">
        <f t="shared" si="77"/>
        <v>0.42173853722045568</v>
      </c>
      <c r="AT609" s="6">
        <v>2300</v>
      </c>
      <c r="AU609" s="6">
        <v>4101.857421875</v>
      </c>
      <c r="AV609" s="6">
        <f t="shared" si="78"/>
        <v>1801.857421875</v>
      </c>
      <c r="AW609" s="7">
        <f t="shared" si="79"/>
        <v>0.78341627038043482</v>
      </c>
    </row>
    <row r="610" spans="1:49" x14ac:dyDescent="0.25">
      <c r="A610" t="s">
        <v>69</v>
      </c>
      <c r="B610" t="s">
        <v>128</v>
      </c>
      <c r="C610">
        <v>140369</v>
      </c>
      <c r="D610">
        <v>2014</v>
      </c>
      <c r="E610" t="s">
        <v>113</v>
      </c>
      <c r="F610" t="s">
        <v>253</v>
      </c>
      <c r="G610" t="s">
        <v>971</v>
      </c>
      <c r="I610">
        <v>6</v>
      </c>
      <c r="J610" t="s">
        <v>94</v>
      </c>
      <c r="K610">
        <v>4</v>
      </c>
      <c r="L610" t="s">
        <v>44</v>
      </c>
      <c r="M610">
        <v>3.6</v>
      </c>
      <c r="N610" t="s">
        <v>44</v>
      </c>
      <c r="O610" t="s">
        <v>46</v>
      </c>
      <c r="P610">
        <v>2</v>
      </c>
      <c r="Q610" t="s">
        <v>47</v>
      </c>
      <c r="R610" t="s">
        <v>48</v>
      </c>
      <c r="S610" t="s">
        <v>139</v>
      </c>
      <c r="U610" t="s">
        <v>50</v>
      </c>
      <c r="X610" t="s">
        <v>141</v>
      </c>
      <c r="Y610" t="s">
        <v>106</v>
      </c>
      <c r="AA610">
        <v>0</v>
      </c>
      <c r="AB610" t="s">
        <v>54</v>
      </c>
      <c r="AC610" t="s">
        <v>55</v>
      </c>
      <c r="AD610">
        <v>34</v>
      </c>
      <c r="AE610">
        <v>8</v>
      </c>
      <c r="AF610">
        <v>3</v>
      </c>
      <c r="AG610">
        <v>2025</v>
      </c>
      <c r="AH610" s="13">
        <v>2700</v>
      </c>
      <c r="AI610" s="13">
        <v>2341.730224609375</v>
      </c>
      <c r="AJ610" s="13">
        <f t="shared" si="72"/>
        <v>358.269775390625</v>
      </c>
      <c r="AK610" s="14">
        <f t="shared" si="73"/>
        <v>0.13269250940393518</v>
      </c>
      <c r="AL610" s="9">
        <v>2700</v>
      </c>
      <c r="AM610" s="9">
        <v>2123.8835549831219</v>
      </c>
      <c r="AN610" s="9">
        <f t="shared" si="74"/>
        <v>576.11644501687806</v>
      </c>
      <c r="AO610" s="10">
        <f t="shared" si="75"/>
        <v>0.21337646111736225</v>
      </c>
      <c r="AP610" s="16">
        <v>2700</v>
      </c>
      <c r="AQ610" s="16">
        <v>1785.3377804322281</v>
      </c>
      <c r="AR610" s="16">
        <f t="shared" si="76"/>
        <v>914.6622195677719</v>
      </c>
      <c r="AS610" s="17">
        <f t="shared" si="77"/>
        <v>0.33876378502510068</v>
      </c>
      <c r="AT610" s="6">
        <v>2700</v>
      </c>
      <c r="AU610" s="6">
        <v>2113.930908203125</v>
      </c>
      <c r="AV610" s="6">
        <f t="shared" si="78"/>
        <v>586.069091796875</v>
      </c>
      <c r="AW610" s="7">
        <f t="shared" si="79"/>
        <v>0.21706262659143519</v>
      </c>
    </row>
    <row r="611" spans="1:49" x14ac:dyDescent="0.25">
      <c r="A611" t="s">
        <v>56</v>
      </c>
      <c r="B611" t="s">
        <v>178</v>
      </c>
      <c r="C611">
        <v>246133</v>
      </c>
      <c r="D611">
        <v>2015</v>
      </c>
      <c r="E611" t="s">
        <v>188</v>
      </c>
      <c r="F611" t="s">
        <v>398</v>
      </c>
      <c r="G611" t="s">
        <v>972</v>
      </c>
      <c r="I611">
        <v>6</v>
      </c>
      <c r="J611" t="s">
        <v>43</v>
      </c>
      <c r="K611">
        <v>4</v>
      </c>
      <c r="L611" t="s">
        <v>44</v>
      </c>
      <c r="M611">
        <v>3.5</v>
      </c>
      <c r="N611" t="s">
        <v>44</v>
      </c>
      <c r="O611" t="s">
        <v>46</v>
      </c>
      <c r="P611">
        <v>3</v>
      </c>
      <c r="Q611" t="s">
        <v>47</v>
      </c>
      <c r="R611" t="s">
        <v>48</v>
      </c>
      <c r="S611" t="s">
        <v>139</v>
      </c>
      <c r="T611">
        <v>290</v>
      </c>
      <c r="U611" t="s">
        <v>50</v>
      </c>
      <c r="V611" t="s">
        <v>64</v>
      </c>
      <c r="W611" t="s">
        <v>973</v>
      </c>
      <c r="X611" t="s">
        <v>141</v>
      </c>
      <c r="Y611" t="s">
        <v>67</v>
      </c>
      <c r="AA611">
        <v>0</v>
      </c>
      <c r="AB611" t="s">
        <v>54</v>
      </c>
      <c r="AC611" t="s">
        <v>55</v>
      </c>
      <c r="AD611">
        <v>34</v>
      </c>
      <c r="AE611">
        <v>8</v>
      </c>
      <c r="AF611">
        <v>3</v>
      </c>
      <c r="AG611">
        <v>2025</v>
      </c>
      <c r="AH611" s="13">
        <v>4000</v>
      </c>
      <c r="AI611" s="13">
        <v>2946.912353515625</v>
      </c>
      <c r="AJ611" s="13">
        <f t="shared" si="72"/>
        <v>1053.087646484375</v>
      </c>
      <c r="AK611" s="14">
        <f t="shared" si="73"/>
        <v>0.26327191162109376</v>
      </c>
      <c r="AL611" s="9">
        <v>4000</v>
      </c>
      <c r="AM611" s="9">
        <v>3079.506347510172</v>
      </c>
      <c r="AN611" s="9">
        <f t="shared" si="74"/>
        <v>920.49365248982804</v>
      </c>
      <c r="AO611" s="10">
        <f t="shared" si="75"/>
        <v>0.23012341312245702</v>
      </c>
      <c r="AP611" s="16">
        <v>4000</v>
      </c>
      <c r="AQ611" s="16">
        <v>4021.790510830584</v>
      </c>
      <c r="AR611" s="16">
        <f t="shared" si="76"/>
        <v>21.790510830584026</v>
      </c>
      <c r="AS611" s="17">
        <f t="shared" si="77"/>
        <v>5.4476277076460061E-3</v>
      </c>
      <c r="AT611" s="6">
        <v>4000</v>
      </c>
      <c r="AU611" s="6">
        <v>3024.57763671875</v>
      </c>
      <c r="AV611" s="6">
        <f t="shared" si="78"/>
        <v>975.42236328125</v>
      </c>
      <c r="AW611" s="7">
        <f t="shared" si="79"/>
        <v>0.2438555908203125</v>
      </c>
    </row>
    <row r="612" spans="1:49" x14ac:dyDescent="0.25">
      <c r="A612" t="s">
        <v>56</v>
      </c>
      <c r="B612" t="s">
        <v>123</v>
      </c>
      <c r="C612">
        <v>106896</v>
      </c>
      <c r="D612">
        <v>2017</v>
      </c>
      <c r="E612" t="s">
        <v>58</v>
      </c>
      <c r="F612" t="s">
        <v>258</v>
      </c>
      <c r="H612" t="s">
        <v>268</v>
      </c>
      <c r="I612">
        <v>4</v>
      </c>
      <c r="J612" t="s">
        <v>101</v>
      </c>
      <c r="K612">
        <v>4</v>
      </c>
      <c r="L612" t="s">
        <v>44</v>
      </c>
      <c r="M612">
        <v>1.5</v>
      </c>
      <c r="N612" t="s">
        <v>62</v>
      </c>
      <c r="O612" t="s">
        <v>46</v>
      </c>
      <c r="P612">
        <v>4</v>
      </c>
      <c r="Q612" t="s">
        <v>47</v>
      </c>
      <c r="R612" t="s">
        <v>48</v>
      </c>
      <c r="S612" t="s">
        <v>63</v>
      </c>
      <c r="T612">
        <v>170</v>
      </c>
      <c r="U612" t="s">
        <v>50</v>
      </c>
      <c r="V612" t="s">
        <v>95</v>
      </c>
      <c r="W612" t="s">
        <v>974</v>
      </c>
      <c r="X612" t="s">
        <v>52</v>
      </c>
      <c r="Y612" t="s">
        <v>67</v>
      </c>
      <c r="Z612">
        <v>25250</v>
      </c>
      <c r="AA612">
        <v>0</v>
      </c>
      <c r="AB612" t="s">
        <v>54</v>
      </c>
      <c r="AC612" t="s">
        <v>55</v>
      </c>
      <c r="AD612">
        <v>34</v>
      </c>
      <c r="AE612">
        <v>8</v>
      </c>
      <c r="AF612">
        <v>3</v>
      </c>
      <c r="AG612">
        <v>2025</v>
      </c>
      <c r="AH612" s="13">
        <v>4000</v>
      </c>
      <c r="AI612" s="13">
        <v>5019.39111328125</v>
      </c>
      <c r="AJ612" s="13">
        <f t="shared" si="72"/>
        <v>1019.39111328125</v>
      </c>
      <c r="AK612" s="14">
        <f t="shared" si="73"/>
        <v>0.25484777832031252</v>
      </c>
      <c r="AL612" s="9">
        <v>4000</v>
      </c>
      <c r="AM612" s="9">
        <v>5162.6307092321804</v>
      </c>
      <c r="AN612" s="9">
        <f t="shared" si="74"/>
        <v>1162.6307092321804</v>
      </c>
      <c r="AO612" s="10">
        <f t="shared" si="75"/>
        <v>0.29065767730804509</v>
      </c>
      <c r="AP612" s="16">
        <v>4000</v>
      </c>
      <c r="AQ612" s="16">
        <v>4055.256787485273</v>
      </c>
      <c r="AR612" s="16">
        <f t="shared" si="76"/>
        <v>55.25678748527298</v>
      </c>
      <c r="AS612" s="17">
        <f t="shared" si="77"/>
        <v>1.3814196871318246E-2</v>
      </c>
      <c r="AT612" s="6">
        <v>4000</v>
      </c>
      <c r="AU612" s="6">
        <v>4302.724609375</v>
      </c>
      <c r="AV612" s="6">
        <f t="shared" si="78"/>
        <v>302.724609375</v>
      </c>
      <c r="AW612" s="7">
        <f t="shared" si="79"/>
        <v>7.5681152343750002E-2</v>
      </c>
    </row>
    <row r="613" spans="1:49" x14ac:dyDescent="0.25">
      <c r="A613" t="s">
        <v>56</v>
      </c>
      <c r="B613" t="s">
        <v>303</v>
      </c>
      <c r="C613">
        <v>97952</v>
      </c>
      <c r="D613">
        <v>2012</v>
      </c>
      <c r="E613" t="s">
        <v>382</v>
      </c>
      <c r="F613" t="s">
        <v>383</v>
      </c>
      <c r="G613" t="s">
        <v>194</v>
      </c>
      <c r="H613" t="s">
        <v>384</v>
      </c>
      <c r="I613">
        <v>4</v>
      </c>
      <c r="J613" t="s">
        <v>94</v>
      </c>
      <c r="K613">
        <v>4</v>
      </c>
      <c r="L613" t="s">
        <v>44</v>
      </c>
      <c r="M613">
        <v>2.4</v>
      </c>
      <c r="N613" t="s">
        <v>45</v>
      </c>
      <c r="O613" t="s">
        <v>46</v>
      </c>
      <c r="Q613" t="s">
        <v>84</v>
      </c>
      <c r="R613" t="s">
        <v>85</v>
      </c>
      <c r="S613" t="s">
        <v>102</v>
      </c>
      <c r="U613" t="s">
        <v>50</v>
      </c>
      <c r="X613" t="s">
        <v>87</v>
      </c>
      <c r="Y613" t="s">
        <v>67</v>
      </c>
      <c r="AA613">
        <v>0</v>
      </c>
      <c r="AB613" t="s">
        <v>54</v>
      </c>
      <c r="AC613" t="s">
        <v>89</v>
      </c>
      <c r="AD613">
        <v>34</v>
      </c>
      <c r="AE613">
        <v>8</v>
      </c>
      <c r="AF613">
        <v>3</v>
      </c>
      <c r="AG613">
        <v>2025</v>
      </c>
      <c r="AH613" s="13">
        <v>3200</v>
      </c>
      <c r="AI613" s="13">
        <v>2795.6572265625</v>
      </c>
      <c r="AJ613" s="13">
        <f t="shared" si="72"/>
        <v>404.3427734375</v>
      </c>
      <c r="AK613" s="14">
        <f t="shared" si="73"/>
        <v>0.12635711669921876</v>
      </c>
      <c r="AL613" s="9">
        <v>3200</v>
      </c>
      <c r="AM613" s="9">
        <v>2415.2269457875241</v>
      </c>
      <c r="AN613" s="9">
        <f t="shared" si="74"/>
        <v>784.77305421247593</v>
      </c>
      <c r="AO613" s="10">
        <f t="shared" si="75"/>
        <v>0.24524157944139874</v>
      </c>
      <c r="AP613" s="16">
        <v>3200</v>
      </c>
      <c r="AQ613" s="16">
        <v>2079.8264601426772</v>
      </c>
      <c r="AR613" s="16">
        <f t="shared" si="76"/>
        <v>1120.1735398573228</v>
      </c>
      <c r="AS613" s="17">
        <f t="shared" si="77"/>
        <v>0.35005423120541335</v>
      </c>
      <c r="AT613" s="6">
        <v>3200</v>
      </c>
      <c r="AU613" s="6">
        <v>2447.14599609375</v>
      </c>
      <c r="AV613" s="6">
        <f t="shared" si="78"/>
        <v>752.85400390625</v>
      </c>
      <c r="AW613" s="7">
        <f t="shared" si="79"/>
        <v>0.23526687622070314</v>
      </c>
    </row>
    <row r="614" spans="1:49" x14ac:dyDescent="0.25">
      <c r="A614" t="s">
        <v>56</v>
      </c>
      <c r="B614" t="s">
        <v>303</v>
      </c>
      <c r="C614">
        <v>69037</v>
      </c>
      <c r="D614">
        <v>2004</v>
      </c>
      <c r="E614" t="s">
        <v>975</v>
      </c>
      <c r="F614" t="s">
        <v>976</v>
      </c>
      <c r="H614" t="s">
        <v>977</v>
      </c>
      <c r="I614">
        <v>8</v>
      </c>
      <c r="J614" t="s">
        <v>210</v>
      </c>
      <c r="K614">
        <v>4</v>
      </c>
      <c r="L614" t="s">
        <v>44</v>
      </c>
      <c r="M614">
        <v>4.5999999999999996</v>
      </c>
      <c r="N614" t="s">
        <v>116</v>
      </c>
      <c r="Q614" t="s">
        <v>84</v>
      </c>
      <c r="R614" t="s">
        <v>85</v>
      </c>
      <c r="T614">
        <v>224</v>
      </c>
      <c r="U614" t="s">
        <v>50</v>
      </c>
      <c r="V614" t="s">
        <v>64</v>
      </c>
      <c r="X614" t="s">
        <v>87</v>
      </c>
      <c r="Y614" t="s">
        <v>88</v>
      </c>
      <c r="AA614">
        <v>0</v>
      </c>
      <c r="AB614" t="s">
        <v>54</v>
      </c>
      <c r="AC614" t="s">
        <v>89</v>
      </c>
      <c r="AD614">
        <v>34</v>
      </c>
      <c r="AE614">
        <v>8</v>
      </c>
      <c r="AF614">
        <v>3</v>
      </c>
      <c r="AG614">
        <v>2025</v>
      </c>
      <c r="AH614" s="13">
        <v>2400</v>
      </c>
      <c r="AI614" s="13">
        <v>2317.139892578125</v>
      </c>
      <c r="AJ614" s="13">
        <f t="shared" si="72"/>
        <v>82.860107421875</v>
      </c>
      <c r="AK614" s="14">
        <f t="shared" si="73"/>
        <v>3.4525044759114581E-2</v>
      </c>
      <c r="AL614" s="9">
        <v>2400</v>
      </c>
      <c r="AM614" s="9">
        <v>2489.462100882527</v>
      </c>
      <c r="AN614" s="9">
        <f t="shared" si="74"/>
        <v>89.462100882527011</v>
      </c>
      <c r="AO614" s="10">
        <f t="shared" si="75"/>
        <v>3.7275875367719591E-2</v>
      </c>
      <c r="AP614" s="16">
        <v>2400</v>
      </c>
      <c r="AQ614" s="16">
        <v>3047.5136457838512</v>
      </c>
      <c r="AR614" s="16">
        <f t="shared" si="76"/>
        <v>647.51364578385119</v>
      </c>
      <c r="AS614" s="17">
        <f t="shared" si="77"/>
        <v>0.26979735240993802</v>
      </c>
      <c r="AT614" s="6">
        <v>2400</v>
      </c>
      <c r="AU614" s="6">
        <v>2580.869140625</v>
      </c>
      <c r="AV614" s="6">
        <f t="shared" si="78"/>
        <v>180.869140625</v>
      </c>
      <c r="AW614" s="7">
        <f t="shared" si="79"/>
        <v>7.5362141927083334E-2</v>
      </c>
    </row>
    <row r="615" spans="1:49" x14ac:dyDescent="0.25">
      <c r="A615" t="s">
        <v>107</v>
      </c>
      <c r="B615" t="s">
        <v>614</v>
      </c>
      <c r="C615">
        <v>148170</v>
      </c>
      <c r="D615">
        <v>2011</v>
      </c>
      <c r="E615" t="s">
        <v>58</v>
      </c>
      <c r="F615" t="s">
        <v>425</v>
      </c>
      <c r="H615" t="s">
        <v>268</v>
      </c>
      <c r="I615">
        <v>4</v>
      </c>
      <c r="J615" t="s">
        <v>82</v>
      </c>
      <c r="K615">
        <v>4</v>
      </c>
      <c r="L615" t="s">
        <v>44</v>
      </c>
      <c r="M615">
        <v>2.5</v>
      </c>
      <c r="N615" t="s">
        <v>45</v>
      </c>
      <c r="O615" t="s">
        <v>46</v>
      </c>
      <c r="Q615" t="s">
        <v>84</v>
      </c>
      <c r="R615" t="s">
        <v>85</v>
      </c>
      <c r="T615">
        <v>175</v>
      </c>
      <c r="U615" t="s">
        <v>50</v>
      </c>
      <c r="V615" t="s">
        <v>95</v>
      </c>
      <c r="X615" t="s">
        <v>87</v>
      </c>
      <c r="Y615" t="s">
        <v>106</v>
      </c>
      <c r="AA615">
        <v>0</v>
      </c>
      <c r="AB615" t="s">
        <v>54</v>
      </c>
      <c r="AC615" t="s">
        <v>89</v>
      </c>
      <c r="AD615">
        <v>34</v>
      </c>
      <c r="AE615">
        <v>8</v>
      </c>
      <c r="AF615">
        <v>3</v>
      </c>
      <c r="AG615">
        <v>2025</v>
      </c>
      <c r="AH615" s="13">
        <v>550</v>
      </c>
      <c r="AI615" s="13">
        <v>1734.524536132812</v>
      </c>
      <c r="AJ615" s="13">
        <f t="shared" si="72"/>
        <v>1184.524536132812</v>
      </c>
      <c r="AK615" s="14">
        <f t="shared" si="73"/>
        <v>2.1536809747869312</v>
      </c>
      <c r="AL615" s="9">
        <v>550</v>
      </c>
      <c r="AM615" s="9">
        <v>1796.6006303689819</v>
      </c>
      <c r="AN615" s="9">
        <f t="shared" si="74"/>
        <v>1246.6006303689819</v>
      </c>
      <c r="AO615" s="10">
        <f t="shared" si="75"/>
        <v>2.2665466006708761</v>
      </c>
      <c r="AP615" s="16">
        <v>550</v>
      </c>
      <c r="AQ615" s="16">
        <v>1779.8688821722781</v>
      </c>
      <c r="AR615" s="16">
        <f t="shared" si="76"/>
        <v>1229.8688821722781</v>
      </c>
      <c r="AS615" s="17">
        <f t="shared" si="77"/>
        <v>2.2361252403132328</v>
      </c>
      <c r="AT615" s="6">
        <v>550</v>
      </c>
      <c r="AU615" s="6">
        <v>1539.8798828125</v>
      </c>
      <c r="AV615" s="6">
        <f t="shared" si="78"/>
        <v>989.8798828125</v>
      </c>
      <c r="AW615" s="7">
        <f t="shared" si="79"/>
        <v>1.7997816051136364</v>
      </c>
    </row>
    <row r="616" spans="1:49" x14ac:dyDescent="0.25">
      <c r="A616" t="s">
        <v>107</v>
      </c>
      <c r="B616" t="s">
        <v>108</v>
      </c>
      <c r="C616">
        <v>28082</v>
      </c>
      <c r="D616">
        <v>2024</v>
      </c>
      <c r="E616" t="s">
        <v>71</v>
      </c>
      <c r="F616" t="s">
        <v>238</v>
      </c>
      <c r="G616" t="s">
        <v>332</v>
      </c>
      <c r="I616">
        <v>4</v>
      </c>
      <c r="J616" t="s">
        <v>82</v>
      </c>
      <c r="K616">
        <v>4</v>
      </c>
      <c r="L616" t="s">
        <v>44</v>
      </c>
      <c r="M616">
        <v>2</v>
      </c>
      <c r="N616" t="s">
        <v>45</v>
      </c>
      <c r="O616" t="s">
        <v>46</v>
      </c>
      <c r="P616">
        <v>4</v>
      </c>
      <c r="Q616" t="s">
        <v>84</v>
      </c>
      <c r="R616" t="s">
        <v>85</v>
      </c>
      <c r="S616" t="s">
        <v>49</v>
      </c>
      <c r="U616" t="s">
        <v>50</v>
      </c>
      <c r="X616" t="s">
        <v>122</v>
      </c>
      <c r="Y616" t="s">
        <v>106</v>
      </c>
      <c r="AA616">
        <v>0</v>
      </c>
      <c r="AB616" t="s">
        <v>54</v>
      </c>
      <c r="AC616" t="s">
        <v>89</v>
      </c>
      <c r="AD616">
        <v>34</v>
      </c>
      <c r="AE616">
        <v>8</v>
      </c>
      <c r="AF616">
        <v>3</v>
      </c>
      <c r="AG616">
        <v>2025</v>
      </c>
      <c r="AH616" s="13">
        <v>18000</v>
      </c>
      <c r="AI616" s="13">
        <v>15916.185546875</v>
      </c>
      <c r="AJ616" s="13">
        <f t="shared" si="72"/>
        <v>2083.814453125</v>
      </c>
      <c r="AK616" s="14">
        <f t="shared" si="73"/>
        <v>0.11576746961805555</v>
      </c>
      <c r="AL616" s="9">
        <v>18000</v>
      </c>
      <c r="AM616" s="9">
        <v>18031.91108593058</v>
      </c>
      <c r="AN616" s="9">
        <f t="shared" si="74"/>
        <v>31.911085930580157</v>
      </c>
      <c r="AO616" s="10">
        <f t="shared" si="75"/>
        <v>1.7728381072544533E-3</v>
      </c>
      <c r="AP616" s="16">
        <v>18000</v>
      </c>
      <c r="AQ616" s="16">
        <v>16800.773872464859</v>
      </c>
      <c r="AR616" s="16">
        <f t="shared" si="76"/>
        <v>1199.2261275351411</v>
      </c>
      <c r="AS616" s="17">
        <f t="shared" si="77"/>
        <v>6.6623673751952286E-2</v>
      </c>
      <c r="AT616" s="6">
        <v>18000</v>
      </c>
      <c r="AU616" s="6">
        <v>15553.6943359375</v>
      </c>
      <c r="AV616" s="6">
        <f t="shared" si="78"/>
        <v>2446.3056640625</v>
      </c>
      <c r="AW616" s="7">
        <f t="shared" si="79"/>
        <v>0.13590587022569445</v>
      </c>
    </row>
    <row r="617" spans="1:49" x14ac:dyDescent="0.25">
      <c r="A617" t="s">
        <v>56</v>
      </c>
      <c r="B617" t="s">
        <v>178</v>
      </c>
      <c r="C617">
        <v>171656</v>
      </c>
      <c r="D617">
        <v>2011</v>
      </c>
      <c r="E617" t="s">
        <v>79</v>
      </c>
      <c r="F617" t="s">
        <v>286</v>
      </c>
      <c r="G617" t="s">
        <v>698</v>
      </c>
      <c r="I617">
        <v>4</v>
      </c>
      <c r="J617" t="s">
        <v>82</v>
      </c>
      <c r="K617">
        <v>4</v>
      </c>
      <c r="L617" t="s">
        <v>44</v>
      </c>
      <c r="M617">
        <v>2.4</v>
      </c>
      <c r="N617" t="s">
        <v>45</v>
      </c>
      <c r="O617" t="s">
        <v>46</v>
      </c>
      <c r="P617">
        <v>3</v>
      </c>
      <c r="Q617" t="s">
        <v>84</v>
      </c>
      <c r="R617" t="s">
        <v>85</v>
      </c>
      <c r="U617" t="s">
        <v>50</v>
      </c>
      <c r="V617" t="s">
        <v>95</v>
      </c>
      <c r="W617" t="s">
        <v>874</v>
      </c>
      <c r="X617" t="s">
        <v>87</v>
      </c>
      <c r="Y617" t="s">
        <v>67</v>
      </c>
      <c r="AA617">
        <v>0</v>
      </c>
      <c r="AB617" t="s">
        <v>54</v>
      </c>
      <c r="AC617" t="s">
        <v>89</v>
      </c>
      <c r="AD617">
        <v>34</v>
      </c>
      <c r="AE617">
        <v>8</v>
      </c>
      <c r="AF617">
        <v>3</v>
      </c>
      <c r="AG617">
        <v>2025</v>
      </c>
      <c r="AH617" s="13">
        <v>1400</v>
      </c>
      <c r="AI617" s="13">
        <v>1645.735961914062</v>
      </c>
      <c r="AJ617" s="13">
        <f t="shared" si="72"/>
        <v>245.73596191406205</v>
      </c>
      <c r="AK617" s="14">
        <f t="shared" si="73"/>
        <v>0.1755256870814729</v>
      </c>
      <c r="AL617" s="9">
        <v>1400</v>
      </c>
      <c r="AM617" s="9">
        <v>1590.8179830120159</v>
      </c>
      <c r="AN617" s="9">
        <f t="shared" si="74"/>
        <v>190.81798301201593</v>
      </c>
      <c r="AO617" s="10">
        <f t="shared" si="75"/>
        <v>0.1362985592942971</v>
      </c>
      <c r="AP617" s="16">
        <v>1400</v>
      </c>
      <c r="AQ617" s="16">
        <v>1157.5091562858479</v>
      </c>
      <c r="AR617" s="16">
        <f t="shared" si="76"/>
        <v>242.49084371415211</v>
      </c>
      <c r="AS617" s="17">
        <f t="shared" si="77"/>
        <v>0.17320774551010865</v>
      </c>
      <c r="AT617" s="6">
        <v>1400</v>
      </c>
      <c r="AU617" s="6">
        <v>1451.78076171875</v>
      </c>
      <c r="AV617" s="6">
        <f t="shared" si="78"/>
        <v>51.78076171875</v>
      </c>
      <c r="AW617" s="7">
        <f t="shared" si="79"/>
        <v>3.6986258370535714E-2</v>
      </c>
    </row>
    <row r="618" spans="1:49" x14ac:dyDescent="0.25">
      <c r="A618" t="s">
        <v>38</v>
      </c>
      <c r="B618" t="s">
        <v>132</v>
      </c>
      <c r="C618">
        <v>164699</v>
      </c>
      <c r="D618">
        <v>2015</v>
      </c>
      <c r="E618" t="s">
        <v>224</v>
      </c>
      <c r="F618" t="s">
        <v>978</v>
      </c>
      <c r="G618" t="s">
        <v>965</v>
      </c>
      <c r="H618" t="s">
        <v>979</v>
      </c>
      <c r="I618">
        <v>8</v>
      </c>
      <c r="J618" t="s">
        <v>74</v>
      </c>
      <c r="K618">
        <v>4</v>
      </c>
      <c r="L618" t="s">
        <v>44</v>
      </c>
      <c r="M618">
        <v>4.5999999999999996</v>
      </c>
      <c r="N618" t="s">
        <v>62</v>
      </c>
      <c r="O618" t="s">
        <v>46</v>
      </c>
      <c r="P618">
        <v>3</v>
      </c>
      <c r="Q618" t="s">
        <v>47</v>
      </c>
      <c r="R618" t="s">
        <v>48</v>
      </c>
      <c r="S618" t="s">
        <v>63</v>
      </c>
      <c r="T618">
        <v>301</v>
      </c>
      <c r="U618" t="s">
        <v>50</v>
      </c>
      <c r="V618" t="s">
        <v>64</v>
      </c>
      <c r="W618" t="s">
        <v>980</v>
      </c>
      <c r="X618" t="s">
        <v>66</v>
      </c>
      <c r="Y618" t="s">
        <v>97</v>
      </c>
      <c r="AA618">
        <v>0</v>
      </c>
      <c r="AB618" t="s">
        <v>54</v>
      </c>
      <c r="AC618" t="s">
        <v>55</v>
      </c>
      <c r="AD618">
        <v>34</v>
      </c>
      <c r="AE618">
        <v>8</v>
      </c>
      <c r="AF618">
        <v>3</v>
      </c>
      <c r="AG618">
        <v>2025</v>
      </c>
      <c r="AH618" s="13">
        <v>16200</v>
      </c>
      <c r="AI618" s="13">
        <v>11894.5048828125</v>
      </c>
      <c r="AJ618" s="13">
        <f t="shared" si="72"/>
        <v>4305.4951171875</v>
      </c>
      <c r="AK618" s="14">
        <f t="shared" si="73"/>
        <v>0.2657713035300926</v>
      </c>
      <c r="AL618" s="9">
        <v>16200</v>
      </c>
      <c r="AM618" s="9">
        <v>9965.0335079012457</v>
      </c>
      <c r="AN618" s="9">
        <f t="shared" si="74"/>
        <v>6234.9664920987543</v>
      </c>
      <c r="AO618" s="10">
        <f t="shared" si="75"/>
        <v>0.38487447482091075</v>
      </c>
      <c r="AP618" s="16">
        <v>16200</v>
      </c>
      <c r="AQ618" s="16">
        <v>9187.3474443057057</v>
      </c>
      <c r="AR618" s="16">
        <f t="shared" si="76"/>
        <v>7012.6525556942943</v>
      </c>
      <c r="AS618" s="17">
        <f t="shared" si="77"/>
        <v>0.43287978738853666</v>
      </c>
      <c r="AT618" s="6">
        <v>16200</v>
      </c>
      <c r="AU618" s="6">
        <v>11931.693359375</v>
      </c>
      <c r="AV618" s="6">
        <f t="shared" si="78"/>
        <v>4268.306640625</v>
      </c>
      <c r="AW618" s="7">
        <f t="shared" si="79"/>
        <v>0.26347571855709878</v>
      </c>
    </row>
    <row r="619" spans="1:49" x14ac:dyDescent="0.25">
      <c r="A619" t="s">
        <v>107</v>
      </c>
      <c r="B619" t="s">
        <v>108</v>
      </c>
      <c r="C619">
        <v>5556</v>
      </c>
      <c r="D619">
        <v>2024</v>
      </c>
      <c r="E619" t="s">
        <v>169</v>
      </c>
      <c r="F619" t="s">
        <v>319</v>
      </c>
      <c r="G619" t="s">
        <v>236</v>
      </c>
      <c r="I619">
        <v>4</v>
      </c>
      <c r="J619" t="s">
        <v>94</v>
      </c>
      <c r="K619">
        <v>4</v>
      </c>
      <c r="L619" t="s">
        <v>44</v>
      </c>
      <c r="M619">
        <v>2.5</v>
      </c>
      <c r="N619" t="s">
        <v>44</v>
      </c>
      <c r="O619" t="s">
        <v>46</v>
      </c>
      <c r="P619">
        <v>5</v>
      </c>
      <c r="Q619" t="s">
        <v>47</v>
      </c>
      <c r="R619" t="s">
        <v>48</v>
      </c>
      <c r="S619" t="s">
        <v>139</v>
      </c>
      <c r="T619">
        <v>182</v>
      </c>
      <c r="U619" t="s">
        <v>50</v>
      </c>
      <c r="W619" t="s">
        <v>981</v>
      </c>
      <c r="X619" t="s">
        <v>52</v>
      </c>
      <c r="Y619" t="s">
        <v>97</v>
      </c>
      <c r="AA619">
        <v>0</v>
      </c>
      <c r="AB619" t="s">
        <v>54</v>
      </c>
      <c r="AC619" t="s">
        <v>55</v>
      </c>
      <c r="AD619">
        <v>34</v>
      </c>
      <c r="AE619">
        <v>8</v>
      </c>
      <c r="AF619">
        <v>3</v>
      </c>
      <c r="AG619">
        <v>2025</v>
      </c>
      <c r="AH619" s="13">
        <v>31200</v>
      </c>
      <c r="AI619" s="13">
        <v>25628.9765625</v>
      </c>
      <c r="AJ619" s="13">
        <f t="shared" si="72"/>
        <v>5571.0234375</v>
      </c>
      <c r="AK619" s="14">
        <f t="shared" si="73"/>
        <v>0.17855844350961539</v>
      </c>
      <c r="AL619" s="9">
        <v>31200</v>
      </c>
      <c r="AM619" s="9">
        <v>29259.38645011578</v>
      </c>
      <c r="AN619" s="9">
        <f t="shared" si="74"/>
        <v>1940.6135498842195</v>
      </c>
      <c r="AO619" s="10">
        <f t="shared" si="75"/>
        <v>6.2199152239878833E-2</v>
      </c>
      <c r="AP619" s="16">
        <v>31200</v>
      </c>
      <c r="AQ619" s="16">
        <v>28059.240067898209</v>
      </c>
      <c r="AR619" s="16">
        <f t="shared" si="76"/>
        <v>3140.7599321017915</v>
      </c>
      <c r="AS619" s="17">
        <f t="shared" si="77"/>
        <v>0.10066538243915998</v>
      </c>
      <c r="AT619" s="6">
        <v>31200</v>
      </c>
      <c r="AU619" s="6">
        <v>25634.525390625</v>
      </c>
      <c r="AV619" s="6">
        <f t="shared" si="78"/>
        <v>5565.474609375</v>
      </c>
      <c r="AW619" s="7">
        <f t="shared" si="79"/>
        <v>0.17838059645432691</v>
      </c>
    </row>
    <row r="620" spans="1:49" x14ac:dyDescent="0.25">
      <c r="A620" t="s">
        <v>56</v>
      </c>
      <c r="B620" t="s">
        <v>178</v>
      </c>
      <c r="C620">
        <v>60038</v>
      </c>
      <c r="D620">
        <v>2019</v>
      </c>
      <c r="E620" t="s">
        <v>40</v>
      </c>
      <c r="F620" t="s">
        <v>41</v>
      </c>
      <c r="G620" t="s">
        <v>313</v>
      </c>
      <c r="I620">
        <v>4</v>
      </c>
      <c r="J620" t="s">
        <v>61</v>
      </c>
      <c r="K620">
        <v>4</v>
      </c>
      <c r="L620" t="s">
        <v>44</v>
      </c>
      <c r="M620">
        <v>2.4</v>
      </c>
      <c r="N620" t="s">
        <v>44</v>
      </c>
      <c r="O620" t="s">
        <v>46</v>
      </c>
      <c r="P620">
        <v>4</v>
      </c>
      <c r="Q620" t="s">
        <v>47</v>
      </c>
      <c r="R620" t="s">
        <v>48</v>
      </c>
      <c r="S620" t="s">
        <v>63</v>
      </c>
      <c r="T620">
        <v>181</v>
      </c>
      <c r="U620" t="s">
        <v>50</v>
      </c>
      <c r="V620" t="s">
        <v>95</v>
      </c>
      <c r="W620" t="s">
        <v>352</v>
      </c>
      <c r="X620" t="s">
        <v>52</v>
      </c>
      <c r="Y620" t="s">
        <v>53</v>
      </c>
      <c r="Z620">
        <v>26600</v>
      </c>
      <c r="AA620">
        <v>0</v>
      </c>
      <c r="AB620" t="s">
        <v>54</v>
      </c>
      <c r="AC620" t="s">
        <v>55</v>
      </c>
      <c r="AD620">
        <v>34</v>
      </c>
      <c r="AE620">
        <v>8</v>
      </c>
      <c r="AF620">
        <v>3</v>
      </c>
      <c r="AG620">
        <v>2025</v>
      </c>
      <c r="AH620" s="13">
        <v>11200</v>
      </c>
      <c r="AI620" s="13">
        <v>11671.48046875</v>
      </c>
      <c r="AJ620" s="13">
        <f t="shared" si="72"/>
        <v>471.48046875</v>
      </c>
      <c r="AK620" s="14">
        <f t="shared" si="73"/>
        <v>4.2096470424107142E-2</v>
      </c>
      <c r="AL620" s="9">
        <v>11200</v>
      </c>
      <c r="AM620" s="9">
        <v>12979.743513653841</v>
      </c>
      <c r="AN620" s="9">
        <f t="shared" si="74"/>
        <v>1779.7435136538406</v>
      </c>
      <c r="AO620" s="10">
        <f t="shared" si="75"/>
        <v>0.15890567086195007</v>
      </c>
      <c r="AP620" s="16">
        <v>11200</v>
      </c>
      <c r="AQ620" s="16">
        <v>10821.350479815619</v>
      </c>
      <c r="AR620" s="16">
        <f t="shared" si="76"/>
        <v>378.64952018438089</v>
      </c>
      <c r="AS620" s="17">
        <f t="shared" si="77"/>
        <v>3.380799287360544E-2</v>
      </c>
      <c r="AT620" s="6">
        <v>11200</v>
      </c>
      <c r="AU620" s="6">
        <v>13036.7099609375</v>
      </c>
      <c r="AV620" s="6">
        <f t="shared" si="78"/>
        <v>1836.7099609375</v>
      </c>
      <c r="AW620" s="7">
        <f t="shared" si="79"/>
        <v>0.16399196079799108</v>
      </c>
    </row>
    <row r="621" spans="1:49" x14ac:dyDescent="0.25">
      <c r="A621" t="s">
        <v>38</v>
      </c>
      <c r="B621" t="s">
        <v>229</v>
      </c>
      <c r="C621">
        <v>106561</v>
      </c>
      <c r="D621">
        <v>2021</v>
      </c>
      <c r="E621" t="s">
        <v>58</v>
      </c>
      <c r="F621" t="s">
        <v>415</v>
      </c>
      <c r="H621" t="s">
        <v>266</v>
      </c>
      <c r="I621">
        <v>6</v>
      </c>
      <c r="J621" t="s">
        <v>74</v>
      </c>
      <c r="K621">
        <v>4</v>
      </c>
      <c r="L621" t="s">
        <v>44</v>
      </c>
      <c r="M621">
        <v>3.5</v>
      </c>
      <c r="N621" t="s">
        <v>116</v>
      </c>
      <c r="O621" t="s">
        <v>46</v>
      </c>
      <c r="P621">
        <v>3</v>
      </c>
      <c r="Q621" t="s">
        <v>47</v>
      </c>
      <c r="R621" t="s">
        <v>48</v>
      </c>
      <c r="S621" t="s">
        <v>49</v>
      </c>
      <c r="T621">
        <v>310</v>
      </c>
      <c r="U621" t="s">
        <v>50</v>
      </c>
      <c r="V621" t="s">
        <v>64</v>
      </c>
      <c r="W621" t="s">
        <v>636</v>
      </c>
      <c r="X621" t="s">
        <v>77</v>
      </c>
      <c r="Y621" t="s">
        <v>67</v>
      </c>
      <c r="AA621">
        <v>0</v>
      </c>
      <c r="AB621" t="s">
        <v>54</v>
      </c>
      <c r="AC621" t="s">
        <v>68</v>
      </c>
      <c r="AD621">
        <v>34</v>
      </c>
      <c r="AE621">
        <v>8</v>
      </c>
      <c r="AF621">
        <v>3</v>
      </c>
      <c r="AG621">
        <v>2025</v>
      </c>
      <c r="AH621" s="13">
        <v>21000</v>
      </c>
      <c r="AI621" s="13">
        <v>18388.01171875</v>
      </c>
      <c r="AJ621" s="13">
        <f t="shared" si="72"/>
        <v>2611.98828125</v>
      </c>
      <c r="AK621" s="14">
        <f t="shared" si="73"/>
        <v>0.12438039434523809</v>
      </c>
      <c r="AL621" s="9">
        <v>21000</v>
      </c>
      <c r="AM621" s="9">
        <v>24771.351411098</v>
      </c>
      <c r="AN621" s="9">
        <f t="shared" si="74"/>
        <v>3771.3514110979995</v>
      </c>
      <c r="AO621" s="10">
        <f t="shared" si="75"/>
        <v>0.17958816243323808</v>
      </c>
      <c r="AP621" s="16">
        <v>21000</v>
      </c>
      <c r="AQ621" s="16">
        <v>19910.353090320641</v>
      </c>
      <c r="AR621" s="16">
        <f t="shared" si="76"/>
        <v>1089.6469096793589</v>
      </c>
      <c r="AS621" s="17">
        <f t="shared" si="77"/>
        <v>5.1887948079969472E-2</v>
      </c>
      <c r="AT621" s="6">
        <v>21000</v>
      </c>
      <c r="AU621" s="6">
        <v>20343.18359375</v>
      </c>
      <c r="AV621" s="6">
        <f t="shared" si="78"/>
        <v>656.81640625</v>
      </c>
      <c r="AW621" s="7">
        <f t="shared" si="79"/>
        <v>3.1276971726190476E-2</v>
      </c>
    </row>
    <row r="622" spans="1:49" x14ac:dyDescent="0.25">
      <c r="A622" t="s">
        <v>38</v>
      </c>
      <c r="B622" t="s">
        <v>90</v>
      </c>
      <c r="C622">
        <v>133410</v>
      </c>
      <c r="D622">
        <v>2015</v>
      </c>
      <c r="E622" t="s">
        <v>40</v>
      </c>
      <c r="F622" t="s">
        <v>982</v>
      </c>
      <c r="G622" t="s">
        <v>983</v>
      </c>
      <c r="I622">
        <v>6</v>
      </c>
      <c r="J622" t="s">
        <v>74</v>
      </c>
      <c r="K622">
        <v>4</v>
      </c>
      <c r="L622" t="s">
        <v>44</v>
      </c>
      <c r="M622">
        <v>3.3</v>
      </c>
      <c r="N622" t="s">
        <v>45</v>
      </c>
      <c r="O622" t="s">
        <v>46</v>
      </c>
      <c r="P622">
        <v>4</v>
      </c>
      <c r="Q622" t="s">
        <v>47</v>
      </c>
      <c r="R622" t="s">
        <v>365</v>
      </c>
      <c r="U622" t="s">
        <v>50</v>
      </c>
      <c r="W622" t="s">
        <v>984</v>
      </c>
      <c r="X622" t="s">
        <v>66</v>
      </c>
      <c r="Y622" t="s">
        <v>53</v>
      </c>
      <c r="AA622">
        <v>0</v>
      </c>
      <c r="AB622" t="s">
        <v>54</v>
      </c>
      <c r="AC622" t="s">
        <v>365</v>
      </c>
      <c r="AD622">
        <v>34</v>
      </c>
      <c r="AE622">
        <v>8</v>
      </c>
      <c r="AF622">
        <v>3</v>
      </c>
      <c r="AG622">
        <v>2025</v>
      </c>
      <c r="AH622" s="13">
        <v>2800</v>
      </c>
      <c r="AI622" s="13">
        <v>3073.7802734375</v>
      </c>
      <c r="AJ622" s="13">
        <f t="shared" si="72"/>
        <v>273.7802734375</v>
      </c>
      <c r="AK622" s="14">
        <f t="shared" si="73"/>
        <v>9.7778669084821426E-2</v>
      </c>
      <c r="AL622" s="9">
        <v>2800</v>
      </c>
      <c r="AM622" s="9">
        <v>3203.3040562011988</v>
      </c>
      <c r="AN622" s="9">
        <f t="shared" si="74"/>
        <v>403.30405620119882</v>
      </c>
      <c r="AO622" s="10">
        <f t="shared" si="75"/>
        <v>0.14403716292899957</v>
      </c>
      <c r="AP622" s="16">
        <v>2800</v>
      </c>
      <c r="AQ622" s="16">
        <v>3213.592264491544</v>
      </c>
      <c r="AR622" s="16">
        <f t="shared" si="76"/>
        <v>413.59226449154403</v>
      </c>
      <c r="AS622" s="17">
        <f t="shared" si="77"/>
        <v>0.1477115230326943</v>
      </c>
      <c r="AT622" s="6">
        <v>2800</v>
      </c>
      <c r="AU622" s="6">
        <v>3544.8779296875</v>
      </c>
      <c r="AV622" s="6">
        <f t="shared" si="78"/>
        <v>744.8779296875</v>
      </c>
      <c r="AW622" s="7">
        <f t="shared" si="79"/>
        <v>0.26602783203125002</v>
      </c>
    </row>
    <row r="623" spans="1:49" x14ac:dyDescent="0.25">
      <c r="A623" t="s">
        <v>107</v>
      </c>
      <c r="B623" t="s">
        <v>256</v>
      </c>
      <c r="C623">
        <v>78621</v>
      </c>
      <c r="D623">
        <v>1981</v>
      </c>
      <c r="E623" t="s">
        <v>150</v>
      </c>
      <c r="F623" t="s">
        <v>985</v>
      </c>
      <c r="G623" t="s">
        <v>171</v>
      </c>
      <c r="I623">
        <v>6</v>
      </c>
      <c r="J623" t="s">
        <v>694</v>
      </c>
      <c r="K623">
        <v>4</v>
      </c>
      <c r="L623" t="s">
        <v>44</v>
      </c>
      <c r="M623">
        <v>2.8</v>
      </c>
      <c r="N623" t="s">
        <v>45</v>
      </c>
      <c r="O623" t="s">
        <v>42</v>
      </c>
      <c r="Q623" t="s">
        <v>84</v>
      </c>
      <c r="R623" t="s">
        <v>85</v>
      </c>
      <c r="U623" t="s">
        <v>50</v>
      </c>
      <c r="V623" t="s">
        <v>64</v>
      </c>
      <c r="X623" t="s">
        <v>87</v>
      </c>
      <c r="Y623" t="s">
        <v>67</v>
      </c>
      <c r="AA623">
        <v>0</v>
      </c>
      <c r="AB623" t="s">
        <v>54</v>
      </c>
      <c r="AC623" t="s">
        <v>89</v>
      </c>
      <c r="AD623">
        <v>34</v>
      </c>
      <c r="AE623">
        <v>8</v>
      </c>
      <c r="AF623">
        <v>3</v>
      </c>
      <c r="AG623">
        <v>2025</v>
      </c>
      <c r="AH623" s="13">
        <v>500</v>
      </c>
      <c r="AI623" s="13">
        <v>392.20736694335938</v>
      </c>
      <c r="AJ623" s="13">
        <f t="shared" si="72"/>
        <v>107.79263305664063</v>
      </c>
      <c r="AK623" s="14">
        <f t="shared" si="73"/>
        <v>0.21558526611328124</v>
      </c>
      <c r="AL623" s="9">
        <v>500</v>
      </c>
      <c r="AM623" s="9">
        <v>368.40387597039398</v>
      </c>
      <c r="AN623" s="9">
        <f t="shared" si="74"/>
        <v>131.59612402960602</v>
      </c>
      <c r="AO623" s="10">
        <f t="shared" si="75"/>
        <v>0.26319224805921204</v>
      </c>
      <c r="AP623" s="16">
        <v>500</v>
      </c>
      <c r="AQ623" s="16">
        <v>692.24133740044056</v>
      </c>
      <c r="AR623" s="16">
        <f t="shared" si="76"/>
        <v>192.24133740044056</v>
      </c>
      <c r="AS623" s="17">
        <f t="shared" si="77"/>
        <v>0.38448267480088111</v>
      </c>
      <c r="AT623" s="6">
        <v>500</v>
      </c>
      <c r="AU623" s="6">
        <v>425.54299926757813</v>
      </c>
      <c r="AV623" s="6">
        <f t="shared" si="78"/>
        <v>74.457000732421875</v>
      </c>
      <c r="AW623" s="7">
        <f t="shared" si="79"/>
        <v>0.14891400146484374</v>
      </c>
    </row>
    <row r="624" spans="1:49" x14ac:dyDescent="0.25">
      <c r="A624" t="s">
        <v>38</v>
      </c>
      <c r="B624" t="s">
        <v>167</v>
      </c>
      <c r="C624">
        <v>31682</v>
      </c>
      <c r="D624">
        <v>2021</v>
      </c>
      <c r="E624" t="s">
        <v>58</v>
      </c>
      <c r="F624" t="s">
        <v>986</v>
      </c>
      <c r="H624" t="s">
        <v>987</v>
      </c>
      <c r="I624">
        <v>3</v>
      </c>
      <c r="J624" t="s">
        <v>177</v>
      </c>
      <c r="K624">
        <v>4</v>
      </c>
      <c r="L624" t="s">
        <v>44</v>
      </c>
      <c r="M624">
        <v>1.5</v>
      </c>
      <c r="N624" t="s">
        <v>62</v>
      </c>
      <c r="O624" t="s">
        <v>42</v>
      </c>
      <c r="Q624" t="s">
        <v>47</v>
      </c>
      <c r="R624" t="s">
        <v>48</v>
      </c>
      <c r="S624" t="s">
        <v>63</v>
      </c>
      <c r="T624">
        <v>181</v>
      </c>
      <c r="U624" t="s">
        <v>50</v>
      </c>
      <c r="V624" t="s">
        <v>95</v>
      </c>
      <c r="W624" t="s">
        <v>988</v>
      </c>
      <c r="X624" t="s">
        <v>52</v>
      </c>
      <c r="Y624" t="s">
        <v>106</v>
      </c>
      <c r="AA624">
        <v>0</v>
      </c>
      <c r="AB624" t="s">
        <v>54</v>
      </c>
      <c r="AC624" t="s">
        <v>55</v>
      </c>
      <c r="AD624">
        <v>34</v>
      </c>
      <c r="AE624">
        <v>8</v>
      </c>
      <c r="AF624">
        <v>3</v>
      </c>
      <c r="AG624">
        <v>2025</v>
      </c>
      <c r="AH624" s="13">
        <v>16500</v>
      </c>
      <c r="AI624" s="13">
        <v>8555.82421875</v>
      </c>
      <c r="AJ624" s="13">
        <f t="shared" si="72"/>
        <v>7944.17578125</v>
      </c>
      <c r="AK624" s="14">
        <f t="shared" si="73"/>
        <v>0.48146519886363637</v>
      </c>
      <c r="AL624" s="9">
        <v>16500</v>
      </c>
      <c r="AM624" s="9">
        <v>14120.97374240299</v>
      </c>
      <c r="AN624" s="9">
        <f t="shared" si="74"/>
        <v>2379.02625759701</v>
      </c>
      <c r="AO624" s="10">
        <f t="shared" si="75"/>
        <v>0.14418340955133394</v>
      </c>
      <c r="AP624" s="16">
        <v>16500</v>
      </c>
      <c r="AQ624" s="16">
        <v>7007.9156742019613</v>
      </c>
      <c r="AR624" s="16">
        <f t="shared" si="76"/>
        <v>9492.0843257980378</v>
      </c>
      <c r="AS624" s="17">
        <f t="shared" si="77"/>
        <v>0.57527783792715381</v>
      </c>
      <c r="AT624" s="6">
        <v>16500</v>
      </c>
      <c r="AU624" s="6">
        <v>8341.57421875</v>
      </c>
      <c r="AV624" s="6">
        <f t="shared" si="78"/>
        <v>8158.42578125</v>
      </c>
      <c r="AW624" s="7">
        <f t="shared" si="79"/>
        <v>0.49445004734848486</v>
      </c>
    </row>
    <row r="625" spans="1:49" x14ac:dyDescent="0.25">
      <c r="A625" t="s">
        <v>69</v>
      </c>
      <c r="B625" t="s">
        <v>128</v>
      </c>
      <c r="C625">
        <v>111260</v>
      </c>
      <c r="D625">
        <v>2014</v>
      </c>
      <c r="E625" t="s">
        <v>58</v>
      </c>
      <c r="F625" t="s">
        <v>182</v>
      </c>
      <c r="G625" t="s">
        <v>268</v>
      </c>
      <c r="I625">
        <v>4</v>
      </c>
      <c r="J625" t="s">
        <v>101</v>
      </c>
      <c r="K625">
        <v>4</v>
      </c>
      <c r="L625" t="s">
        <v>44</v>
      </c>
      <c r="M625">
        <v>2</v>
      </c>
      <c r="N625" t="s">
        <v>45</v>
      </c>
      <c r="O625" t="s">
        <v>46</v>
      </c>
      <c r="Q625" t="s">
        <v>84</v>
      </c>
      <c r="R625" t="s">
        <v>85</v>
      </c>
      <c r="T625">
        <v>160</v>
      </c>
      <c r="U625" t="s">
        <v>50</v>
      </c>
      <c r="V625" t="s">
        <v>95</v>
      </c>
      <c r="X625" t="s">
        <v>87</v>
      </c>
      <c r="Y625" t="s">
        <v>67</v>
      </c>
      <c r="AA625">
        <v>0</v>
      </c>
      <c r="AB625" t="s">
        <v>54</v>
      </c>
      <c r="AC625" t="s">
        <v>89</v>
      </c>
      <c r="AD625">
        <v>34</v>
      </c>
      <c r="AE625">
        <v>8</v>
      </c>
      <c r="AF625">
        <v>3</v>
      </c>
      <c r="AG625">
        <v>2025</v>
      </c>
      <c r="AH625" s="13">
        <v>2200</v>
      </c>
      <c r="AI625" s="13">
        <v>2188.63623046875</v>
      </c>
      <c r="AJ625" s="13">
        <f t="shared" si="72"/>
        <v>11.36376953125</v>
      </c>
      <c r="AK625" s="14">
        <f t="shared" si="73"/>
        <v>5.165349786931818E-3</v>
      </c>
      <c r="AL625" s="9">
        <v>2200</v>
      </c>
      <c r="AM625" s="9">
        <v>2571.013030717837</v>
      </c>
      <c r="AN625" s="9">
        <f t="shared" si="74"/>
        <v>371.01303071783695</v>
      </c>
      <c r="AO625" s="10">
        <f t="shared" si="75"/>
        <v>0.1686422866899259</v>
      </c>
      <c r="AP625" s="16">
        <v>2200</v>
      </c>
      <c r="AQ625" s="16">
        <v>2145.4645390675159</v>
      </c>
      <c r="AR625" s="16">
        <f t="shared" si="76"/>
        <v>54.535460932484057</v>
      </c>
      <c r="AS625" s="17">
        <f t="shared" si="77"/>
        <v>2.4788845878401845E-2</v>
      </c>
      <c r="AT625" s="6">
        <v>2200</v>
      </c>
      <c r="AU625" s="6">
        <v>2257.381103515625</v>
      </c>
      <c r="AV625" s="6">
        <f t="shared" si="78"/>
        <v>57.381103515625</v>
      </c>
      <c r="AW625" s="7">
        <f t="shared" si="79"/>
        <v>2.6082319779829544E-2</v>
      </c>
    </row>
    <row r="626" spans="1:49" x14ac:dyDescent="0.25">
      <c r="A626" t="s">
        <v>38</v>
      </c>
      <c r="B626" t="s">
        <v>39</v>
      </c>
      <c r="C626">
        <v>33288</v>
      </c>
      <c r="D626">
        <v>2024</v>
      </c>
      <c r="E626" t="s">
        <v>145</v>
      </c>
      <c r="F626" t="s">
        <v>485</v>
      </c>
      <c r="G626" t="s">
        <v>432</v>
      </c>
      <c r="I626">
        <v>6</v>
      </c>
      <c r="J626" t="s">
        <v>101</v>
      </c>
      <c r="K626">
        <v>4</v>
      </c>
      <c r="L626" t="s">
        <v>44</v>
      </c>
      <c r="M626">
        <v>3.5</v>
      </c>
      <c r="N626" t="s">
        <v>44</v>
      </c>
      <c r="O626" t="s">
        <v>46</v>
      </c>
      <c r="P626">
        <v>5</v>
      </c>
      <c r="Q626" t="s">
        <v>47</v>
      </c>
      <c r="R626" t="s">
        <v>48</v>
      </c>
      <c r="S626" t="s">
        <v>63</v>
      </c>
      <c r="T626">
        <v>285</v>
      </c>
      <c r="U626" t="s">
        <v>50</v>
      </c>
      <c r="V626" t="s">
        <v>64</v>
      </c>
      <c r="W626" t="s">
        <v>989</v>
      </c>
      <c r="X626" t="s">
        <v>66</v>
      </c>
      <c r="Y626" t="s">
        <v>67</v>
      </c>
      <c r="AA626">
        <v>0</v>
      </c>
      <c r="AB626" t="s">
        <v>54</v>
      </c>
      <c r="AC626" t="s">
        <v>68</v>
      </c>
      <c r="AD626">
        <v>34</v>
      </c>
      <c r="AE626">
        <v>8</v>
      </c>
      <c r="AF626">
        <v>3</v>
      </c>
      <c r="AG626">
        <v>2025</v>
      </c>
      <c r="AH626" s="13">
        <v>35250</v>
      </c>
      <c r="AI626" s="13">
        <v>47481.79296875</v>
      </c>
      <c r="AJ626" s="13">
        <f t="shared" si="72"/>
        <v>12231.79296875</v>
      </c>
      <c r="AK626" s="14">
        <f t="shared" si="73"/>
        <v>0.34700121897163122</v>
      </c>
      <c r="AL626" s="9">
        <v>35250</v>
      </c>
      <c r="AM626" s="9">
        <v>39910.047349518631</v>
      </c>
      <c r="AN626" s="9">
        <f t="shared" si="74"/>
        <v>4660.0473495186307</v>
      </c>
      <c r="AO626" s="10">
        <f t="shared" si="75"/>
        <v>0.13219992480903917</v>
      </c>
      <c r="AP626" s="16">
        <v>35250</v>
      </c>
      <c r="AQ626" s="16">
        <v>35768.615576257253</v>
      </c>
      <c r="AR626" s="16">
        <f t="shared" si="76"/>
        <v>518.61557625725254</v>
      </c>
      <c r="AS626" s="17">
        <f t="shared" si="77"/>
        <v>1.4712498617227022E-2</v>
      </c>
      <c r="AT626" s="6">
        <v>35250</v>
      </c>
      <c r="AU626" s="6">
        <v>42856.34375</v>
      </c>
      <c r="AV626" s="6">
        <f t="shared" si="78"/>
        <v>7606.34375</v>
      </c>
      <c r="AW626" s="7">
        <f t="shared" si="79"/>
        <v>0.21578280141843972</v>
      </c>
    </row>
    <row r="627" spans="1:49" x14ac:dyDescent="0.25">
      <c r="A627" t="s">
        <v>38</v>
      </c>
      <c r="B627" t="s">
        <v>204</v>
      </c>
      <c r="C627">
        <v>33412</v>
      </c>
      <c r="D627">
        <v>2019</v>
      </c>
      <c r="E627" t="s">
        <v>145</v>
      </c>
      <c r="F627" t="s">
        <v>307</v>
      </c>
      <c r="G627" t="s">
        <v>284</v>
      </c>
      <c r="I627">
        <v>4</v>
      </c>
      <c r="K627">
        <v>4</v>
      </c>
      <c r="L627" t="s">
        <v>240</v>
      </c>
      <c r="M627">
        <v>1.5</v>
      </c>
      <c r="N627" t="s">
        <v>45</v>
      </c>
      <c r="O627" t="s">
        <v>46</v>
      </c>
      <c r="P627">
        <v>4</v>
      </c>
      <c r="Q627" t="s">
        <v>84</v>
      </c>
      <c r="R627" t="s">
        <v>85</v>
      </c>
      <c r="S627" t="s">
        <v>49</v>
      </c>
      <c r="T627">
        <v>192</v>
      </c>
      <c r="U627" t="s">
        <v>50</v>
      </c>
      <c r="V627" t="s">
        <v>95</v>
      </c>
      <c r="W627" t="s">
        <v>678</v>
      </c>
      <c r="X627" t="s">
        <v>52</v>
      </c>
      <c r="Y627" t="s">
        <v>67</v>
      </c>
      <c r="Z627">
        <v>23720</v>
      </c>
      <c r="AA627">
        <v>0</v>
      </c>
      <c r="AB627" t="s">
        <v>54</v>
      </c>
      <c r="AC627" t="s">
        <v>89</v>
      </c>
      <c r="AD627">
        <v>34</v>
      </c>
      <c r="AE627">
        <v>8</v>
      </c>
      <c r="AF627">
        <v>3</v>
      </c>
      <c r="AG627">
        <v>2025</v>
      </c>
      <c r="AH627" s="13">
        <v>19000</v>
      </c>
      <c r="AI627" s="13">
        <v>19859.994140625</v>
      </c>
      <c r="AJ627" s="13">
        <f t="shared" si="72"/>
        <v>859.994140625</v>
      </c>
      <c r="AK627" s="14">
        <f t="shared" si="73"/>
        <v>4.5262849506578946E-2</v>
      </c>
      <c r="AL627" s="9">
        <v>19000</v>
      </c>
      <c r="AM627" s="9">
        <v>16783.579908486929</v>
      </c>
      <c r="AN627" s="9">
        <f t="shared" si="74"/>
        <v>2216.4200915130714</v>
      </c>
      <c r="AO627" s="10">
        <f t="shared" si="75"/>
        <v>0.11665368902700375</v>
      </c>
      <c r="AP627" s="16">
        <v>19000</v>
      </c>
      <c r="AQ627" s="16">
        <v>17690.01816853655</v>
      </c>
      <c r="AR627" s="16">
        <f t="shared" si="76"/>
        <v>1309.9818314634504</v>
      </c>
      <c r="AS627" s="17">
        <f t="shared" si="77"/>
        <v>6.8946412182286865E-2</v>
      </c>
      <c r="AT627" s="6">
        <v>19000</v>
      </c>
      <c r="AU627" s="6">
        <v>18302.314453125</v>
      </c>
      <c r="AV627" s="6">
        <f t="shared" si="78"/>
        <v>697.685546875</v>
      </c>
      <c r="AW627" s="7">
        <f t="shared" si="79"/>
        <v>3.6720291940789476E-2</v>
      </c>
    </row>
    <row r="628" spans="1:49" x14ac:dyDescent="0.25">
      <c r="A628" t="s">
        <v>69</v>
      </c>
      <c r="B628" t="s">
        <v>70</v>
      </c>
      <c r="C628">
        <v>32721</v>
      </c>
      <c r="D628">
        <v>2024</v>
      </c>
      <c r="E628" t="s">
        <v>607</v>
      </c>
      <c r="F628" t="s">
        <v>608</v>
      </c>
      <c r="G628" t="s">
        <v>990</v>
      </c>
      <c r="I628">
        <v>4</v>
      </c>
      <c r="J628" t="s">
        <v>74</v>
      </c>
      <c r="K628">
        <v>4</v>
      </c>
      <c r="L628" t="s">
        <v>44</v>
      </c>
      <c r="M628">
        <v>2</v>
      </c>
      <c r="N628" t="s">
        <v>62</v>
      </c>
      <c r="O628" t="s">
        <v>46</v>
      </c>
      <c r="P628">
        <v>4</v>
      </c>
      <c r="Q628" t="s">
        <v>47</v>
      </c>
      <c r="R628" t="s">
        <v>48</v>
      </c>
      <c r="S628" t="s">
        <v>63</v>
      </c>
      <c r="T628">
        <v>148</v>
      </c>
      <c r="U628" t="s">
        <v>50</v>
      </c>
      <c r="V628" t="s">
        <v>95</v>
      </c>
      <c r="W628" t="s">
        <v>609</v>
      </c>
      <c r="X628" t="s">
        <v>52</v>
      </c>
      <c r="Y628" t="s">
        <v>97</v>
      </c>
      <c r="AA628">
        <v>0</v>
      </c>
      <c r="AB628" t="s">
        <v>54</v>
      </c>
      <c r="AC628" t="s">
        <v>55</v>
      </c>
      <c r="AD628">
        <v>34</v>
      </c>
      <c r="AE628">
        <v>8</v>
      </c>
      <c r="AF628">
        <v>3</v>
      </c>
      <c r="AG628">
        <v>2025</v>
      </c>
      <c r="AH628" s="13">
        <v>15250</v>
      </c>
      <c r="AI628" s="13">
        <v>15673.552734375</v>
      </c>
      <c r="AJ628" s="13">
        <f t="shared" si="72"/>
        <v>423.552734375</v>
      </c>
      <c r="AK628" s="14">
        <f t="shared" si="73"/>
        <v>2.7773949795081968E-2</v>
      </c>
      <c r="AL628" s="9">
        <v>15250</v>
      </c>
      <c r="AM628" s="9">
        <v>18063.30157804105</v>
      </c>
      <c r="AN628" s="9">
        <f t="shared" si="74"/>
        <v>2813.3015780410497</v>
      </c>
      <c r="AO628" s="10">
        <f t="shared" si="75"/>
        <v>0.18447879200269179</v>
      </c>
      <c r="AP628" s="16">
        <v>15250</v>
      </c>
      <c r="AQ628" s="16">
        <v>19590.525839964019</v>
      </c>
      <c r="AR628" s="16">
        <f t="shared" si="76"/>
        <v>4340.5258399640188</v>
      </c>
      <c r="AS628" s="17">
        <f t="shared" si="77"/>
        <v>0.2846246452435422</v>
      </c>
      <c r="AT628" s="6">
        <v>15250</v>
      </c>
      <c r="AU628" s="6">
        <v>15544.9296875</v>
      </c>
      <c r="AV628" s="6">
        <f t="shared" si="78"/>
        <v>294.9296875</v>
      </c>
      <c r="AW628" s="7">
        <f t="shared" si="79"/>
        <v>1.9339651639344261E-2</v>
      </c>
    </row>
    <row r="629" spans="1:49" x14ac:dyDescent="0.25">
      <c r="A629" t="s">
        <v>56</v>
      </c>
      <c r="B629" t="s">
        <v>104</v>
      </c>
      <c r="C629">
        <v>173448</v>
      </c>
      <c r="D629">
        <v>2010</v>
      </c>
      <c r="E629" t="s">
        <v>184</v>
      </c>
      <c r="F629" t="s">
        <v>531</v>
      </c>
      <c r="G629" t="s">
        <v>991</v>
      </c>
      <c r="I629">
        <v>4</v>
      </c>
      <c r="J629" t="s">
        <v>61</v>
      </c>
      <c r="K629">
        <v>4</v>
      </c>
      <c r="L629" t="s">
        <v>44</v>
      </c>
      <c r="M629">
        <v>2.5</v>
      </c>
      <c r="N629" t="s">
        <v>45</v>
      </c>
      <c r="O629" t="s">
        <v>46</v>
      </c>
      <c r="P629">
        <v>4</v>
      </c>
      <c r="Q629" t="s">
        <v>84</v>
      </c>
      <c r="R629" t="s">
        <v>85</v>
      </c>
      <c r="V629" t="s">
        <v>95</v>
      </c>
      <c r="X629" t="s">
        <v>87</v>
      </c>
      <c r="Y629" t="s">
        <v>67</v>
      </c>
      <c r="AA629">
        <v>0</v>
      </c>
      <c r="AB629" t="s">
        <v>54</v>
      </c>
      <c r="AC629" t="s">
        <v>89</v>
      </c>
      <c r="AD629">
        <v>34</v>
      </c>
      <c r="AE629">
        <v>8</v>
      </c>
      <c r="AF629">
        <v>3</v>
      </c>
      <c r="AG629">
        <v>2025</v>
      </c>
      <c r="AH629" s="13">
        <v>1300</v>
      </c>
      <c r="AI629" s="13">
        <v>1113.296752929688</v>
      </c>
      <c r="AJ629" s="13">
        <f t="shared" si="72"/>
        <v>186.70324707031205</v>
      </c>
      <c r="AK629" s="14">
        <f t="shared" si="73"/>
        <v>0.1436178823617785</v>
      </c>
      <c r="AL629" s="9">
        <v>1300</v>
      </c>
      <c r="AM629" s="9">
        <v>1067.803872039719</v>
      </c>
      <c r="AN629" s="9">
        <f t="shared" si="74"/>
        <v>232.19612796028105</v>
      </c>
      <c r="AO629" s="10">
        <f t="shared" si="75"/>
        <v>0.1786124061232931</v>
      </c>
      <c r="AP629" s="16">
        <v>1300</v>
      </c>
      <c r="AQ629" s="16">
        <v>893.87554128358636</v>
      </c>
      <c r="AR629" s="16">
        <f t="shared" si="76"/>
        <v>406.12445871641364</v>
      </c>
      <c r="AS629" s="17">
        <f t="shared" si="77"/>
        <v>0.31240342978185665</v>
      </c>
      <c r="AT629" s="6">
        <v>1300</v>
      </c>
      <c r="AU629" s="6">
        <v>1073.124267578125</v>
      </c>
      <c r="AV629" s="6">
        <f t="shared" si="78"/>
        <v>226.875732421875</v>
      </c>
      <c r="AW629" s="7">
        <f t="shared" si="79"/>
        <v>0.17451979417067306</v>
      </c>
    </row>
    <row r="630" spans="1:49" x14ac:dyDescent="0.25">
      <c r="A630" t="s">
        <v>56</v>
      </c>
      <c r="B630" t="s">
        <v>144</v>
      </c>
      <c r="C630">
        <v>110993</v>
      </c>
      <c r="D630">
        <v>2018</v>
      </c>
      <c r="E630" t="s">
        <v>79</v>
      </c>
      <c r="F630" t="s">
        <v>272</v>
      </c>
      <c r="G630" t="s">
        <v>273</v>
      </c>
      <c r="H630" t="s">
        <v>162</v>
      </c>
      <c r="I630">
        <v>8</v>
      </c>
      <c r="J630" t="s">
        <v>82</v>
      </c>
      <c r="K630">
        <v>4</v>
      </c>
      <c r="L630" t="s">
        <v>44</v>
      </c>
      <c r="M630">
        <v>5.3</v>
      </c>
      <c r="N630" t="s">
        <v>62</v>
      </c>
      <c r="O630" t="s">
        <v>46</v>
      </c>
      <c r="P630">
        <v>4</v>
      </c>
      <c r="Q630" t="s">
        <v>75</v>
      </c>
      <c r="R630" t="s">
        <v>76</v>
      </c>
      <c r="S630" t="s">
        <v>63</v>
      </c>
      <c r="U630" t="s">
        <v>50</v>
      </c>
      <c r="W630" t="s">
        <v>346</v>
      </c>
      <c r="X630" t="s">
        <v>77</v>
      </c>
      <c r="Y630" t="s">
        <v>67</v>
      </c>
      <c r="AA630">
        <v>0</v>
      </c>
      <c r="AB630" t="s">
        <v>54</v>
      </c>
      <c r="AC630" t="s">
        <v>78</v>
      </c>
      <c r="AD630">
        <v>34</v>
      </c>
      <c r="AE630">
        <v>8</v>
      </c>
      <c r="AF630">
        <v>3</v>
      </c>
      <c r="AG630">
        <v>2025</v>
      </c>
      <c r="AH630" s="13">
        <v>19800</v>
      </c>
      <c r="AI630" s="13">
        <v>24248.59375</v>
      </c>
      <c r="AJ630" s="13">
        <f t="shared" si="72"/>
        <v>4448.59375</v>
      </c>
      <c r="AK630" s="14">
        <f t="shared" si="73"/>
        <v>0.22467645202020203</v>
      </c>
      <c r="AL630" s="9">
        <v>19800</v>
      </c>
      <c r="AM630" s="9">
        <v>21369.68830038228</v>
      </c>
      <c r="AN630" s="9">
        <f t="shared" si="74"/>
        <v>1569.6883003822804</v>
      </c>
      <c r="AO630" s="10">
        <f t="shared" si="75"/>
        <v>7.9277186887993956E-2</v>
      </c>
      <c r="AP630" s="16">
        <v>19800</v>
      </c>
      <c r="AQ630" s="16">
        <v>21292.182542097791</v>
      </c>
      <c r="AR630" s="16">
        <f t="shared" si="76"/>
        <v>1492.1825420977912</v>
      </c>
      <c r="AS630" s="17">
        <f t="shared" si="77"/>
        <v>7.5362754651403588E-2</v>
      </c>
      <c r="AT630" s="6">
        <v>19800</v>
      </c>
      <c r="AU630" s="6">
        <v>21198.095703125</v>
      </c>
      <c r="AV630" s="6">
        <f t="shared" si="78"/>
        <v>1398.095703125</v>
      </c>
      <c r="AW630" s="7">
        <f t="shared" si="79"/>
        <v>7.0610894097222224E-2</v>
      </c>
    </row>
    <row r="631" spans="1:49" x14ac:dyDescent="0.25">
      <c r="A631" t="s">
        <v>56</v>
      </c>
      <c r="B631" t="s">
        <v>144</v>
      </c>
      <c r="C631">
        <v>116145</v>
      </c>
      <c r="D631">
        <v>2014</v>
      </c>
      <c r="E631" t="s">
        <v>98</v>
      </c>
      <c r="F631" t="s">
        <v>109</v>
      </c>
      <c r="H631" t="s">
        <v>992</v>
      </c>
      <c r="I631">
        <v>4</v>
      </c>
      <c r="J631" t="s">
        <v>94</v>
      </c>
      <c r="K631">
        <v>4</v>
      </c>
      <c r="L631" t="s">
        <v>44</v>
      </c>
      <c r="M631">
        <v>2.4</v>
      </c>
      <c r="N631" t="s">
        <v>44</v>
      </c>
      <c r="O631" t="s">
        <v>46</v>
      </c>
      <c r="Q631" t="s">
        <v>47</v>
      </c>
      <c r="R631" t="s">
        <v>48</v>
      </c>
      <c r="S631" t="s">
        <v>139</v>
      </c>
      <c r="U631" t="s">
        <v>50</v>
      </c>
      <c r="W631" t="s">
        <v>111</v>
      </c>
      <c r="X631" t="s">
        <v>141</v>
      </c>
      <c r="Y631" t="s">
        <v>88</v>
      </c>
      <c r="AA631">
        <v>0</v>
      </c>
      <c r="AB631" t="s">
        <v>54</v>
      </c>
      <c r="AC631" t="s">
        <v>55</v>
      </c>
      <c r="AD631">
        <v>34</v>
      </c>
      <c r="AE631">
        <v>8</v>
      </c>
      <c r="AF631">
        <v>3</v>
      </c>
      <c r="AG631">
        <v>2025</v>
      </c>
      <c r="AH631" s="13">
        <v>5100</v>
      </c>
      <c r="AI631" s="13">
        <v>4745.416015625</v>
      </c>
      <c r="AJ631" s="13">
        <f t="shared" si="72"/>
        <v>354.583984375</v>
      </c>
      <c r="AK631" s="14">
        <f t="shared" si="73"/>
        <v>6.9526271446078425E-2</v>
      </c>
      <c r="AL631" s="9">
        <v>5100</v>
      </c>
      <c r="AM631" s="9">
        <v>4694.3254713059887</v>
      </c>
      <c r="AN631" s="9">
        <f t="shared" si="74"/>
        <v>405.67452869401131</v>
      </c>
      <c r="AO631" s="10">
        <f t="shared" si="75"/>
        <v>7.9544025234119867E-2</v>
      </c>
      <c r="AP631" s="16">
        <v>5100</v>
      </c>
      <c r="AQ631" s="16">
        <v>3775.4546732836161</v>
      </c>
      <c r="AR631" s="16">
        <f t="shared" si="76"/>
        <v>1324.5453267163839</v>
      </c>
      <c r="AS631" s="17">
        <f t="shared" si="77"/>
        <v>0.25971476994438902</v>
      </c>
      <c r="AT631" s="6">
        <v>5100</v>
      </c>
      <c r="AU631" s="6">
        <v>4647.02490234375</v>
      </c>
      <c r="AV631" s="6">
        <f t="shared" si="78"/>
        <v>452.97509765625</v>
      </c>
      <c r="AW631" s="7">
        <f t="shared" si="79"/>
        <v>8.8818646599264708E-2</v>
      </c>
    </row>
    <row r="632" spans="1:49" x14ac:dyDescent="0.25">
      <c r="A632" t="s">
        <v>38</v>
      </c>
      <c r="B632" t="s">
        <v>229</v>
      </c>
      <c r="C632">
        <v>69291</v>
      </c>
      <c r="D632">
        <v>2020</v>
      </c>
      <c r="E632" t="s">
        <v>40</v>
      </c>
      <c r="F632" t="s">
        <v>312</v>
      </c>
      <c r="G632" t="s">
        <v>993</v>
      </c>
      <c r="I632">
        <v>4</v>
      </c>
      <c r="J632" t="s">
        <v>74</v>
      </c>
      <c r="K632">
        <v>4</v>
      </c>
      <c r="L632" t="s">
        <v>44</v>
      </c>
      <c r="M632">
        <v>2</v>
      </c>
      <c r="N632" t="s">
        <v>45</v>
      </c>
      <c r="O632" t="s">
        <v>46</v>
      </c>
      <c r="P632">
        <v>3</v>
      </c>
      <c r="Q632" t="s">
        <v>84</v>
      </c>
      <c r="R632" t="s">
        <v>85</v>
      </c>
      <c r="T632">
        <v>147</v>
      </c>
      <c r="U632" t="s">
        <v>50</v>
      </c>
      <c r="W632" t="s">
        <v>328</v>
      </c>
      <c r="X632" t="s">
        <v>87</v>
      </c>
      <c r="Y632" t="s">
        <v>106</v>
      </c>
      <c r="AA632">
        <v>0</v>
      </c>
      <c r="AB632" t="s">
        <v>54</v>
      </c>
      <c r="AC632" t="s">
        <v>89</v>
      </c>
      <c r="AD632">
        <v>34</v>
      </c>
      <c r="AE632">
        <v>8</v>
      </c>
      <c r="AF632">
        <v>3</v>
      </c>
      <c r="AG632">
        <v>2025</v>
      </c>
      <c r="AH632" s="13">
        <v>9000</v>
      </c>
      <c r="AI632" s="13">
        <v>8120.97705078125</v>
      </c>
      <c r="AJ632" s="13">
        <f t="shared" si="72"/>
        <v>879.02294921875</v>
      </c>
      <c r="AK632" s="14">
        <f t="shared" si="73"/>
        <v>9.7669216579861107E-2</v>
      </c>
      <c r="AL632" s="9">
        <v>9000</v>
      </c>
      <c r="AM632" s="9">
        <v>8998.8233658444788</v>
      </c>
      <c r="AN632" s="9">
        <f t="shared" si="74"/>
        <v>1.1766341555212421</v>
      </c>
      <c r="AO632" s="10">
        <f t="shared" si="75"/>
        <v>1.3073712839124912E-4</v>
      </c>
      <c r="AP632" s="16">
        <v>9000</v>
      </c>
      <c r="AQ632" s="16">
        <v>7986.9745827205807</v>
      </c>
      <c r="AR632" s="16">
        <f t="shared" si="76"/>
        <v>1013.0254172794193</v>
      </c>
      <c r="AS632" s="17">
        <f t="shared" si="77"/>
        <v>0.11255837969771326</v>
      </c>
      <c r="AT632" s="6">
        <v>9000</v>
      </c>
      <c r="AU632" s="6">
        <v>8705.349609375</v>
      </c>
      <c r="AV632" s="6">
        <f t="shared" si="78"/>
        <v>294.650390625</v>
      </c>
      <c r="AW632" s="7">
        <f t="shared" si="79"/>
        <v>3.2738932291666668E-2</v>
      </c>
    </row>
    <row r="633" spans="1:49" x14ac:dyDescent="0.25">
      <c r="A633" t="s">
        <v>38</v>
      </c>
      <c r="B633" t="s">
        <v>118</v>
      </c>
      <c r="C633">
        <v>119583</v>
      </c>
      <c r="D633">
        <v>2014</v>
      </c>
      <c r="E633" t="s">
        <v>58</v>
      </c>
      <c r="F633" t="s">
        <v>325</v>
      </c>
      <c r="G633" t="s">
        <v>261</v>
      </c>
      <c r="I633">
        <v>6</v>
      </c>
      <c r="J633" t="s">
        <v>101</v>
      </c>
      <c r="K633">
        <v>4</v>
      </c>
      <c r="L633" t="s">
        <v>44</v>
      </c>
      <c r="M633">
        <v>3.5</v>
      </c>
      <c r="N633" t="s">
        <v>45</v>
      </c>
      <c r="O633" t="s">
        <v>46</v>
      </c>
      <c r="Q633" t="s">
        <v>47</v>
      </c>
      <c r="R633" t="s">
        <v>48</v>
      </c>
      <c r="S633" t="s">
        <v>102</v>
      </c>
      <c r="T633">
        <v>285</v>
      </c>
      <c r="U633" t="s">
        <v>50</v>
      </c>
      <c r="V633" t="s">
        <v>64</v>
      </c>
      <c r="X633" t="s">
        <v>141</v>
      </c>
      <c r="Y633" t="s">
        <v>88</v>
      </c>
      <c r="AA633">
        <v>0</v>
      </c>
      <c r="AB633" t="s">
        <v>54</v>
      </c>
      <c r="AC633" t="s">
        <v>55</v>
      </c>
      <c r="AD633">
        <v>34</v>
      </c>
      <c r="AE633">
        <v>8</v>
      </c>
      <c r="AF633">
        <v>3</v>
      </c>
      <c r="AG633">
        <v>2025</v>
      </c>
      <c r="AH633" s="13">
        <v>5500</v>
      </c>
      <c r="AI633" s="13">
        <v>4385.921875</v>
      </c>
      <c r="AJ633" s="13">
        <f t="shared" si="72"/>
        <v>1114.078125</v>
      </c>
      <c r="AK633" s="14">
        <f t="shared" si="73"/>
        <v>0.20255965909090909</v>
      </c>
      <c r="AL633" s="9">
        <v>5500</v>
      </c>
      <c r="AM633" s="9">
        <v>5810.8983925778821</v>
      </c>
      <c r="AN633" s="9">
        <f t="shared" si="74"/>
        <v>310.89839257788208</v>
      </c>
      <c r="AO633" s="10">
        <f t="shared" si="75"/>
        <v>5.6526980468705836E-2</v>
      </c>
      <c r="AP633" s="16">
        <v>5500</v>
      </c>
      <c r="AQ633" s="16">
        <v>4446.1334113204202</v>
      </c>
      <c r="AR633" s="16">
        <f t="shared" si="76"/>
        <v>1053.8665886795798</v>
      </c>
      <c r="AS633" s="17">
        <f t="shared" si="77"/>
        <v>0.19161210703265086</v>
      </c>
      <c r="AT633" s="6">
        <v>5500</v>
      </c>
      <c r="AU633" s="6">
        <v>5175.26904296875</v>
      </c>
      <c r="AV633" s="6">
        <f t="shared" si="78"/>
        <v>324.73095703125</v>
      </c>
      <c r="AW633" s="7">
        <f t="shared" si="79"/>
        <v>5.9041992187500003E-2</v>
      </c>
    </row>
    <row r="634" spans="1:49" x14ac:dyDescent="0.25">
      <c r="A634" t="s">
        <v>56</v>
      </c>
      <c r="B634" t="s">
        <v>303</v>
      </c>
      <c r="C634">
        <v>178512</v>
      </c>
      <c r="D634">
        <v>2006</v>
      </c>
      <c r="E634" t="s">
        <v>58</v>
      </c>
      <c r="F634" t="s">
        <v>168</v>
      </c>
      <c r="G634" t="s">
        <v>763</v>
      </c>
      <c r="H634" t="s">
        <v>521</v>
      </c>
      <c r="I634">
        <v>8</v>
      </c>
      <c r="J634" t="s">
        <v>74</v>
      </c>
      <c r="K634">
        <v>4</v>
      </c>
      <c r="L634" t="s">
        <v>44</v>
      </c>
      <c r="M634">
        <v>5.4</v>
      </c>
      <c r="N634" t="s">
        <v>62</v>
      </c>
      <c r="Q634" t="s">
        <v>75</v>
      </c>
      <c r="R634" t="s">
        <v>76</v>
      </c>
      <c r="S634" t="s">
        <v>63</v>
      </c>
      <c r="T634">
        <v>300</v>
      </c>
      <c r="U634" t="s">
        <v>50</v>
      </c>
      <c r="V634" t="s">
        <v>64</v>
      </c>
      <c r="X634" t="s">
        <v>77</v>
      </c>
      <c r="Y634" t="s">
        <v>67</v>
      </c>
      <c r="AA634">
        <v>0</v>
      </c>
      <c r="AB634" t="s">
        <v>54</v>
      </c>
      <c r="AC634" t="s">
        <v>78</v>
      </c>
      <c r="AD634">
        <v>34</v>
      </c>
      <c r="AE634">
        <v>8</v>
      </c>
      <c r="AF634">
        <v>3</v>
      </c>
      <c r="AG634">
        <v>2025</v>
      </c>
      <c r="AH634" s="13">
        <v>7200</v>
      </c>
      <c r="AI634" s="13">
        <v>2216.919189453125</v>
      </c>
      <c r="AJ634" s="13">
        <f t="shared" si="72"/>
        <v>4983.080810546875</v>
      </c>
      <c r="AK634" s="14">
        <f t="shared" si="73"/>
        <v>0.69209455702039935</v>
      </c>
      <c r="AL634" s="9">
        <v>7200</v>
      </c>
      <c r="AM634" s="9">
        <v>2298.1845708706719</v>
      </c>
      <c r="AN634" s="9">
        <f t="shared" si="74"/>
        <v>4901.8154291293285</v>
      </c>
      <c r="AO634" s="10">
        <f t="shared" si="75"/>
        <v>0.68080769849018452</v>
      </c>
      <c r="AP634" s="16">
        <v>7200</v>
      </c>
      <c r="AQ634" s="16">
        <v>2169.8697887965932</v>
      </c>
      <c r="AR634" s="16">
        <f t="shared" si="76"/>
        <v>5030.1302112034064</v>
      </c>
      <c r="AS634" s="17">
        <f t="shared" si="77"/>
        <v>0.69862919600047313</v>
      </c>
      <c r="AT634" s="6">
        <v>7200</v>
      </c>
      <c r="AU634" s="6">
        <v>2176.3876953125</v>
      </c>
      <c r="AV634" s="6">
        <f t="shared" si="78"/>
        <v>5023.6123046875</v>
      </c>
      <c r="AW634" s="7">
        <f t="shared" si="79"/>
        <v>0.69772393120659726</v>
      </c>
    </row>
    <row r="635" spans="1:49" x14ac:dyDescent="0.25">
      <c r="A635" t="s">
        <v>56</v>
      </c>
      <c r="B635" t="s">
        <v>303</v>
      </c>
      <c r="C635">
        <v>119172</v>
      </c>
      <c r="D635">
        <v>2009</v>
      </c>
      <c r="E635" t="s">
        <v>188</v>
      </c>
      <c r="F635" t="s">
        <v>994</v>
      </c>
      <c r="G635" t="s">
        <v>190</v>
      </c>
      <c r="I635">
        <v>6</v>
      </c>
      <c r="J635" t="s">
        <v>94</v>
      </c>
      <c r="K635">
        <v>4</v>
      </c>
      <c r="L635" t="s">
        <v>44</v>
      </c>
      <c r="M635">
        <v>3.7</v>
      </c>
      <c r="N635" t="s">
        <v>44</v>
      </c>
      <c r="Q635" t="s">
        <v>84</v>
      </c>
      <c r="R635" t="s">
        <v>85</v>
      </c>
      <c r="T635">
        <v>300</v>
      </c>
      <c r="U635" t="s">
        <v>50</v>
      </c>
      <c r="V635" t="s">
        <v>64</v>
      </c>
      <c r="W635" t="s">
        <v>995</v>
      </c>
      <c r="X635" t="s">
        <v>141</v>
      </c>
      <c r="Y635" t="s">
        <v>97</v>
      </c>
      <c r="AA635">
        <v>0</v>
      </c>
      <c r="AB635" t="s">
        <v>54</v>
      </c>
      <c r="AC635" t="s">
        <v>89</v>
      </c>
      <c r="AD635">
        <v>34</v>
      </c>
      <c r="AE635">
        <v>8</v>
      </c>
      <c r="AF635">
        <v>3</v>
      </c>
      <c r="AG635">
        <v>2025</v>
      </c>
      <c r="AH635" s="13">
        <v>4200</v>
      </c>
      <c r="AI635" s="13">
        <v>3145.117919921875</v>
      </c>
      <c r="AJ635" s="13">
        <f t="shared" si="72"/>
        <v>1054.882080078125</v>
      </c>
      <c r="AK635" s="14">
        <f t="shared" si="73"/>
        <v>0.25116240001860118</v>
      </c>
      <c r="AL635" s="9">
        <v>4200</v>
      </c>
      <c r="AM635" s="9">
        <v>3277.470099886707</v>
      </c>
      <c r="AN635" s="9">
        <f t="shared" si="74"/>
        <v>922.52990011329302</v>
      </c>
      <c r="AO635" s="10">
        <f t="shared" si="75"/>
        <v>0.21964997621745072</v>
      </c>
      <c r="AP635" s="16">
        <v>4200</v>
      </c>
      <c r="AQ635" s="16">
        <v>3215.3983139591592</v>
      </c>
      <c r="AR635" s="16">
        <f t="shared" si="76"/>
        <v>984.60168604084083</v>
      </c>
      <c r="AS635" s="17">
        <f t="shared" si="77"/>
        <v>0.23442897286686687</v>
      </c>
      <c r="AT635" s="6">
        <v>4200</v>
      </c>
      <c r="AU635" s="6">
        <v>3785.671142578125</v>
      </c>
      <c r="AV635" s="6">
        <f t="shared" si="78"/>
        <v>414.328857421875</v>
      </c>
      <c r="AW635" s="7">
        <f t="shared" si="79"/>
        <v>9.8649727957589292E-2</v>
      </c>
    </row>
    <row r="636" spans="1:49" x14ac:dyDescent="0.25">
      <c r="A636" t="s">
        <v>56</v>
      </c>
      <c r="B636" t="s">
        <v>196</v>
      </c>
      <c r="C636">
        <v>159716</v>
      </c>
      <c r="D636">
        <v>2017</v>
      </c>
      <c r="E636" t="s">
        <v>79</v>
      </c>
      <c r="F636" t="s">
        <v>286</v>
      </c>
      <c r="G636" t="s">
        <v>996</v>
      </c>
      <c r="I636">
        <v>4</v>
      </c>
      <c r="J636" t="s">
        <v>82</v>
      </c>
      <c r="K636">
        <v>4</v>
      </c>
      <c r="L636" t="s">
        <v>44</v>
      </c>
      <c r="M636">
        <v>1.5</v>
      </c>
      <c r="N636" t="s">
        <v>45</v>
      </c>
      <c r="O636" t="s">
        <v>46</v>
      </c>
      <c r="Q636" t="s">
        <v>84</v>
      </c>
      <c r="R636" t="s">
        <v>85</v>
      </c>
      <c r="U636" t="s">
        <v>50</v>
      </c>
      <c r="V636" t="s">
        <v>95</v>
      </c>
      <c r="W636" t="s">
        <v>997</v>
      </c>
      <c r="X636" t="s">
        <v>87</v>
      </c>
      <c r="Y636" t="s">
        <v>67</v>
      </c>
      <c r="Z636">
        <v>23225</v>
      </c>
      <c r="AA636">
        <v>0</v>
      </c>
      <c r="AB636" t="s">
        <v>54</v>
      </c>
      <c r="AC636" t="s">
        <v>89</v>
      </c>
      <c r="AD636">
        <v>34</v>
      </c>
      <c r="AE636">
        <v>8</v>
      </c>
      <c r="AF636">
        <v>3</v>
      </c>
      <c r="AG636">
        <v>2025</v>
      </c>
      <c r="AH636" s="13">
        <v>2200</v>
      </c>
      <c r="AI636" s="13">
        <v>3412.26513671875</v>
      </c>
      <c r="AJ636" s="13">
        <f t="shared" si="72"/>
        <v>1212.26513671875</v>
      </c>
      <c r="AK636" s="14">
        <f t="shared" si="73"/>
        <v>0.55102960759943187</v>
      </c>
      <c r="AL636" s="9">
        <v>2200</v>
      </c>
      <c r="AM636" s="9">
        <v>2866.158086195393</v>
      </c>
      <c r="AN636" s="9">
        <f t="shared" si="74"/>
        <v>666.15808619539303</v>
      </c>
      <c r="AO636" s="10">
        <f t="shared" si="75"/>
        <v>0.30279913008881504</v>
      </c>
      <c r="AP636" s="16">
        <v>2200</v>
      </c>
      <c r="AQ636" s="16">
        <v>3296.1629818943161</v>
      </c>
      <c r="AR636" s="16">
        <f t="shared" si="76"/>
        <v>1096.1629818943161</v>
      </c>
      <c r="AS636" s="17">
        <f t="shared" si="77"/>
        <v>0.49825590086105276</v>
      </c>
      <c r="AT636" s="6">
        <v>2200</v>
      </c>
      <c r="AU636" s="6">
        <v>3307.51806640625</v>
      </c>
      <c r="AV636" s="6">
        <f t="shared" si="78"/>
        <v>1107.51806640625</v>
      </c>
      <c r="AW636" s="7">
        <f t="shared" si="79"/>
        <v>0.50341730291193176</v>
      </c>
    </row>
    <row r="637" spans="1:49" x14ac:dyDescent="0.25">
      <c r="A637" t="s">
        <v>107</v>
      </c>
      <c r="B637" t="s">
        <v>154</v>
      </c>
      <c r="C637">
        <v>275695</v>
      </c>
      <c r="D637">
        <v>2012</v>
      </c>
      <c r="E637" t="s">
        <v>113</v>
      </c>
      <c r="F637" t="s">
        <v>708</v>
      </c>
      <c r="G637" t="s">
        <v>998</v>
      </c>
      <c r="I637">
        <v>8</v>
      </c>
      <c r="J637" t="s">
        <v>43</v>
      </c>
      <c r="K637">
        <v>4</v>
      </c>
      <c r="L637" t="s">
        <v>44</v>
      </c>
      <c r="M637">
        <v>5.7</v>
      </c>
      <c r="N637" t="s">
        <v>62</v>
      </c>
      <c r="O637" t="s">
        <v>46</v>
      </c>
      <c r="P637">
        <v>2</v>
      </c>
      <c r="Q637" t="s">
        <v>75</v>
      </c>
      <c r="R637" t="s">
        <v>76</v>
      </c>
      <c r="S637" t="s">
        <v>63</v>
      </c>
      <c r="U637" t="s">
        <v>50</v>
      </c>
      <c r="X637" t="s">
        <v>66</v>
      </c>
      <c r="Y637" t="s">
        <v>67</v>
      </c>
      <c r="AA637">
        <v>0</v>
      </c>
      <c r="AB637" t="s">
        <v>54</v>
      </c>
      <c r="AC637" t="s">
        <v>78</v>
      </c>
      <c r="AD637">
        <v>34</v>
      </c>
      <c r="AE637">
        <v>8</v>
      </c>
      <c r="AF637">
        <v>3</v>
      </c>
      <c r="AG637">
        <v>2025</v>
      </c>
      <c r="AH637" s="13">
        <v>1900</v>
      </c>
      <c r="AI637" s="13">
        <v>1499.372192382812</v>
      </c>
      <c r="AJ637" s="13">
        <f t="shared" si="72"/>
        <v>400.62780761718795</v>
      </c>
      <c r="AK637" s="14">
        <f t="shared" si="73"/>
        <v>0.21085674085115155</v>
      </c>
      <c r="AL637" s="9">
        <v>1900</v>
      </c>
      <c r="AM637" s="9">
        <v>1966.8344091050569</v>
      </c>
      <c r="AN637" s="9">
        <f t="shared" si="74"/>
        <v>66.83440910505692</v>
      </c>
      <c r="AO637" s="10">
        <f t="shared" si="75"/>
        <v>3.5176004792135222E-2</v>
      </c>
      <c r="AP637" s="16">
        <v>1900</v>
      </c>
      <c r="AQ637" s="16">
        <v>1791.777108552986</v>
      </c>
      <c r="AR637" s="16">
        <f t="shared" si="76"/>
        <v>108.22289144701404</v>
      </c>
      <c r="AS637" s="17">
        <f t="shared" si="77"/>
        <v>5.6959416551060016E-2</v>
      </c>
      <c r="AT637" s="6">
        <v>1900</v>
      </c>
      <c r="AU637" s="6">
        <v>2043.190063476562</v>
      </c>
      <c r="AV637" s="6">
        <f t="shared" si="78"/>
        <v>143.19006347656205</v>
      </c>
      <c r="AW637" s="7">
        <f t="shared" si="79"/>
        <v>7.5363191303453703E-2</v>
      </c>
    </row>
    <row r="638" spans="1:49" x14ac:dyDescent="0.25">
      <c r="A638" t="s">
        <v>56</v>
      </c>
      <c r="B638" t="s">
        <v>303</v>
      </c>
      <c r="C638">
        <v>75207</v>
      </c>
      <c r="D638">
        <v>2019</v>
      </c>
      <c r="E638" t="s">
        <v>145</v>
      </c>
      <c r="F638" t="s">
        <v>349</v>
      </c>
      <c r="G638" t="s">
        <v>837</v>
      </c>
      <c r="I638">
        <v>4</v>
      </c>
      <c r="J638" t="s">
        <v>82</v>
      </c>
      <c r="K638">
        <v>4</v>
      </c>
      <c r="L638" t="s">
        <v>309</v>
      </c>
      <c r="M638">
        <v>1.5</v>
      </c>
      <c r="N638" t="s">
        <v>45</v>
      </c>
      <c r="Q638" t="s">
        <v>84</v>
      </c>
      <c r="R638" t="s">
        <v>85</v>
      </c>
      <c r="S638" t="s">
        <v>49</v>
      </c>
      <c r="T638">
        <v>205</v>
      </c>
      <c r="U638" t="s">
        <v>50</v>
      </c>
      <c r="V638" t="s">
        <v>95</v>
      </c>
      <c r="W638" t="s">
        <v>838</v>
      </c>
      <c r="X638" t="s">
        <v>122</v>
      </c>
      <c r="Y638" t="s">
        <v>88</v>
      </c>
      <c r="Z638">
        <v>24300</v>
      </c>
      <c r="AA638">
        <v>0</v>
      </c>
      <c r="AB638" t="s">
        <v>54</v>
      </c>
      <c r="AC638" t="s">
        <v>89</v>
      </c>
      <c r="AD638">
        <v>34</v>
      </c>
      <c r="AE638">
        <v>8</v>
      </c>
      <c r="AF638">
        <v>3</v>
      </c>
      <c r="AG638">
        <v>2025</v>
      </c>
      <c r="AH638" s="13">
        <v>18400</v>
      </c>
      <c r="AI638" s="13">
        <v>16066.4423828125</v>
      </c>
      <c r="AJ638" s="13">
        <f t="shared" si="72"/>
        <v>2333.5576171875</v>
      </c>
      <c r="AK638" s="14">
        <f t="shared" si="73"/>
        <v>0.12682378354279891</v>
      </c>
      <c r="AL638" s="9">
        <v>18400</v>
      </c>
      <c r="AM638" s="9">
        <v>13866.407251056929</v>
      </c>
      <c r="AN638" s="9">
        <f t="shared" si="74"/>
        <v>4533.5927489430705</v>
      </c>
      <c r="AO638" s="10">
        <f t="shared" si="75"/>
        <v>0.24639091026864512</v>
      </c>
      <c r="AP638" s="16">
        <v>18400</v>
      </c>
      <c r="AQ638" s="16">
        <v>14574.387012363841</v>
      </c>
      <c r="AR638" s="16">
        <f t="shared" si="76"/>
        <v>3825.6129876361592</v>
      </c>
      <c r="AS638" s="17">
        <f t="shared" si="77"/>
        <v>0.20791374932805212</v>
      </c>
      <c r="AT638" s="6">
        <v>18400</v>
      </c>
      <c r="AU638" s="6">
        <v>15305.3134765625</v>
      </c>
      <c r="AV638" s="6">
        <f t="shared" si="78"/>
        <v>3094.6865234375</v>
      </c>
      <c r="AW638" s="7">
        <f t="shared" si="79"/>
        <v>0.16818948496942934</v>
      </c>
    </row>
    <row r="639" spans="1:49" x14ac:dyDescent="0.25">
      <c r="A639" t="s">
        <v>107</v>
      </c>
      <c r="B639" t="s">
        <v>108</v>
      </c>
      <c r="C639">
        <v>32662</v>
      </c>
      <c r="D639">
        <v>2019</v>
      </c>
      <c r="E639" t="s">
        <v>79</v>
      </c>
      <c r="F639" t="s">
        <v>179</v>
      </c>
      <c r="G639" t="s">
        <v>586</v>
      </c>
      <c r="I639">
        <v>4</v>
      </c>
      <c r="J639" t="s">
        <v>43</v>
      </c>
      <c r="K639">
        <v>4</v>
      </c>
      <c r="L639" t="s">
        <v>44</v>
      </c>
      <c r="M639">
        <v>1.4</v>
      </c>
      <c r="N639" t="s">
        <v>44</v>
      </c>
      <c r="O639" t="s">
        <v>46</v>
      </c>
      <c r="P639">
        <v>4</v>
      </c>
      <c r="Q639" t="s">
        <v>47</v>
      </c>
      <c r="R639" t="s">
        <v>48</v>
      </c>
      <c r="S639" t="s">
        <v>139</v>
      </c>
      <c r="U639" t="s">
        <v>50</v>
      </c>
      <c r="W639" t="s">
        <v>999</v>
      </c>
      <c r="X639" t="s">
        <v>52</v>
      </c>
      <c r="Y639" t="s">
        <v>53</v>
      </c>
      <c r="Z639">
        <v>25695</v>
      </c>
      <c r="AA639">
        <v>0</v>
      </c>
      <c r="AB639" t="s">
        <v>54</v>
      </c>
      <c r="AC639" t="s">
        <v>55</v>
      </c>
      <c r="AD639">
        <v>34</v>
      </c>
      <c r="AE639">
        <v>8</v>
      </c>
      <c r="AF639">
        <v>3</v>
      </c>
      <c r="AG639">
        <v>2025</v>
      </c>
      <c r="AH639" s="13">
        <v>12500</v>
      </c>
      <c r="AI639" s="13">
        <v>14855.3271484375</v>
      </c>
      <c r="AJ639" s="13">
        <f t="shared" si="72"/>
        <v>2355.3271484375</v>
      </c>
      <c r="AK639" s="14">
        <f t="shared" si="73"/>
        <v>0.18842617187499999</v>
      </c>
      <c r="AL639" s="9">
        <v>12500</v>
      </c>
      <c r="AM639" s="9">
        <v>14863.97054643601</v>
      </c>
      <c r="AN639" s="9">
        <f t="shared" si="74"/>
        <v>2363.9705464360104</v>
      </c>
      <c r="AO639" s="10">
        <f t="shared" si="75"/>
        <v>0.18911764371488082</v>
      </c>
      <c r="AP639" s="16">
        <v>12500</v>
      </c>
      <c r="AQ639" s="16">
        <v>13352.32499067378</v>
      </c>
      <c r="AR639" s="16">
        <f t="shared" si="76"/>
        <v>852.32499067378012</v>
      </c>
      <c r="AS639" s="17">
        <f t="shared" si="77"/>
        <v>6.818599925390241E-2</v>
      </c>
      <c r="AT639" s="6">
        <v>12500</v>
      </c>
      <c r="AU639" s="6">
        <v>12047.990234375</v>
      </c>
      <c r="AV639" s="6">
        <f t="shared" si="78"/>
        <v>452.009765625</v>
      </c>
      <c r="AW639" s="7">
        <f t="shared" si="79"/>
        <v>3.6160781250000003E-2</v>
      </c>
    </row>
    <row r="640" spans="1:49" x14ac:dyDescent="0.25">
      <c r="A640" t="s">
        <v>56</v>
      </c>
      <c r="B640" t="s">
        <v>104</v>
      </c>
      <c r="C640">
        <v>107505</v>
      </c>
      <c r="D640">
        <v>2015</v>
      </c>
      <c r="E640" t="s">
        <v>71</v>
      </c>
      <c r="F640" t="s">
        <v>199</v>
      </c>
      <c r="I640">
        <v>4</v>
      </c>
      <c r="J640" t="s">
        <v>101</v>
      </c>
      <c r="K640">
        <v>4</v>
      </c>
      <c r="L640" t="s">
        <v>44</v>
      </c>
      <c r="M640">
        <v>2.5</v>
      </c>
      <c r="N640" t="s">
        <v>44</v>
      </c>
      <c r="O640" t="s">
        <v>46</v>
      </c>
      <c r="P640">
        <v>3</v>
      </c>
      <c r="Q640" t="s">
        <v>47</v>
      </c>
      <c r="R640" t="s">
        <v>207</v>
      </c>
      <c r="S640" t="s">
        <v>63</v>
      </c>
      <c r="U640" t="s">
        <v>50</v>
      </c>
      <c r="X640" t="s">
        <v>52</v>
      </c>
      <c r="Y640" t="s">
        <v>67</v>
      </c>
      <c r="AA640">
        <v>0</v>
      </c>
      <c r="AB640" t="s">
        <v>54</v>
      </c>
      <c r="AC640" t="s">
        <v>55</v>
      </c>
      <c r="AD640">
        <v>34</v>
      </c>
      <c r="AE640">
        <v>8</v>
      </c>
      <c r="AF640">
        <v>3</v>
      </c>
      <c r="AG640">
        <v>2025</v>
      </c>
      <c r="AH640" s="13">
        <v>4500</v>
      </c>
      <c r="AI640" s="13">
        <v>3681.340087890625</v>
      </c>
      <c r="AJ640" s="13">
        <f t="shared" si="72"/>
        <v>818.659912109375</v>
      </c>
      <c r="AK640" s="14">
        <f t="shared" si="73"/>
        <v>0.18192442491319444</v>
      </c>
      <c r="AL640" s="9">
        <v>4500</v>
      </c>
      <c r="AM640" s="9">
        <v>4052.840695168893</v>
      </c>
      <c r="AN640" s="9">
        <f t="shared" si="74"/>
        <v>447.15930483110697</v>
      </c>
      <c r="AO640" s="10">
        <f t="shared" si="75"/>
        <v>9.9368734406912657E-2</v>
      </c>
      <c r="AP640" s="16">
        <v>4500</v>
      </c>
      <c r="AQ640" s="16">
        <v>4191.1133257870833</v>
      </c>
      <c r="AR640" s="16">
        <f t="shared" si="76"/>
        <v>308.88667421291666</v>
      </c>
      <c r="AS640" s="17">
        <f t="shared" si="77"/>
        <v>6.8641483158425928E-2</v>
      </c>
      <c r="AT640" s="6">
        <v>4500</v>
      </c>
      <c r="AU640" s="6">
        <v>3838.679931640625</v>
      </c>
      <c r="AV640" s="6">
        <f t="shared" si="78"/>
        <v>661.320068359375</v>
      </c>
      <c r="AW640" s="7">
        <f t="shared" si="79"/>
        <v>0.14696001519097221</v>
      </c>
    </row>
    <row r="641" spans="1:49" x14ac:dyDescent="0.25">
      <c r="A641" t="s">
        <v>107</v>
      </c>
      <c r="B641" t="s">
        <v>256</v>
      </c>
      <c r="C641">
        <v>193222</v>
      </c>
      <c r="D641">
        <v>2019</v>
      </c>
      <c r="E641" t="s">
        <v>58</v>
      </c>
      <c r="F641" t="s">
        <v>1000</v>
      </c>
      <c r="G641" t="s">
        <v>268</v>
      </c>
      <c r="I641">
        <v>4</v>
      </c>
      <c r="J641" t="s">
        <v>82</v>
      </c>
      <c r="K641">
        <v>4</v>
      </c>
      <c r="L641" t="s">
        <v>44</v>
      </c>
      <c r="M641">
        <v>1.6</v>
      </c>
      <c r="N641" t="s">
        <v>45</v>
      </c>
      <c r="O641" t="s">
        <v>46</v>
      </c>
      <c r="P641">
        <v>3</v>
      </c>
      <c r="Q641" t="s">
        <v>84</v>
      </c>
      <c r="R641" t="s">
        <v>85</v>
      </c>
      <c r="T641">
        <v>120</v>
      </c>
      <c r="U641" t="s">
        <v>134</v>
      </c>
      <c r="V641" t="s">
        <v>95</v>
      </c>
      <c r="X641" t="s">
        <v>87</v>
      </c>
      <c r="Y641" t="s">
        <v>106</v>
      </c>
      <c r="Z641">
        <v>15490</v>
      </c>
      <c r="AA641">
        <v>0</v>
      </c>
      <c r="AB641" t="s">
        <v>54</v>
      </c>
      <c r="AC641" t="s">
        <v>89</v>
      </c>
      <c r="AD641">
        <v>34</v>
      </c>
      <c r="AE641">
        <v>8</v>
      </c>
      <c r="AF641">
        <v>3</v>
      </c>
      <c r="AG641">
        <v>2025</v>
      </c>
      <c r="AH641" s="13">
        <v>1100</v>
      </c>
      <c r="AI641" s="13">
        <v>1634.523559570312</v>
      </c>
      <c r="AJ641" s="13">
        <f t="shared" si="72"/>
        <v>534.52355957031205</v>
      </c>
      <c r="AK641" s="14">
        <f t="shared" si="73"/>
        <v>0.4859305087002837</v>
      </c>
      <c r="AL641" s="9">
        <v>1100</v>
      </c>
      <c r="AM641" s="9">
        <v>1848.376018732102</v>
      </c>
      <c r="AN641" s="9">
        <f t="shared" si="74"/>
        <v>748.37601873210201</v>
      </c>
      <c r="AO641" s="10">
        <f t="shared" si="75"/>
        <v>0.68034183521100178</v>
      </c>
      <c r="AP641" s="16">
        <v>1100</v>
      </c>
      <c r="AQ641" s="16">
        <v>1313.549585465986</v>
      </c>
      <c r="AR641" s="16">
        <f t="shared" si="76"/>
        <v>213.54958546598596</v>
      </c>
      <c r="AS641" s="17">
        <f t="shared" si="77"/>
        <v>0.19413598678725996</v>
      </c>
      <c r="AT641" s="6">
        <v>1100</v>
      </c>
      <c r="AU641" s="6">
        <v>1506.240234375</v>
      </c>
      <c r="AV641" s="6">
        <f t="shared" si="78"/>
        <v>406.240234375</v>
      </c>
      <c r="AW641" s="7">
        <f t="shared" si="79"/>
        <v>0.36930930397727274</v>
      </c>
    </row>
    <row r="642" spans="1:49" x14ac:dyDescent="0.25">
      <c r="A642" t="s">
        <v>38</v>
      </c>
      <c r="B642" t="s">
        <v>167</v>
      </c>
      <c r="C642">
        <v>169463</v>
      </c>
      <c r="D642">
        <v>2011</v>
      </c>
      <c r="E642" t="s">
        <v>79</v>
      </c>
      <c r="F642" t="s">
        <v>286</v>
      </c>
      <c r="G642" t="s">
        <v>1001</v>
      </c>
      <c r="I642">
        <v>4</v>
      </c>
      <c r="J642" t="s">
        <v>94</v>
      </c>
      <c r="K642">
        <v>4</v>
      </c>
      <c r="L642" t="s">
        <v>44</v>
      </c>
      <c r="M642">
        <v>2.4</v>
      </c>
      <c r="N642" t="s">
        <v>45</v>
      </c>
      <c r="O642" t="s">
        <v>46</v>
      </c>
      <c r="Q642" t="s">
        <v>84</v>
      </c>
      <c r="R642" t="s">
        <v>85</v>
      </c>
      <c r="U642" t="s">
        <v>134</v>
      </c>
      <c r="V642" t="s">
        <v>95</v>
      </c>
      <c r="W642" t="s">
        <v>1002</v>
      </c>
      <c r="X642" t="s">
        <v>87</v>
      </c>
      <c r="Y642" t="s">
        <v>67</v>
      </c>
      <c r="AA642">
        <v>0</v>
      </c>
      <c r="AB642" t="s">
        <v>54</v>
      </c>
      <c r="AC642" t="s">
        <v>89</v>
      </c>
      <c r="AD642">
        <v>34</v>
      </c>
      <c r="AE642">
        <v>8</v>
      </c>
      <c r="AF642">
        <v>3</v>
      </c>
      <c r="AG642">
        <v>2025</v>
      </c>
      <c r="AH642" s="13">
        <v>800</v>
      </c>
      <c r="AI642" s="13">
        <v>1619.932006835938</v>
      </c>
      <c r="AJ642" s="13">
        <f t="shared" si="72"/>
        <v>819.93200683593795</v>
      </c>
      <c r="AK642" s="14">
        <f t="shared" si="73"/>
        <v>1.0249150085449223</v>
      </c>
      <c r="AL642" s="9">
        <v>800</v>
      </c>
      <c r="AM642" s="9">
        <v>1519.6445391715019</v>
      </c>
      <c r="AN642" s="9">
        <f t="shared" si="74"/>
        <v>719.64453917150195</v>
      </c>
      <c r="AO642" s="10">
        <f t="shared" si="75"/>
        <v>0.89955567396437741</v>
      </c>
      <c r="AP642" s="16">
        <v>800</v>
      </c>
      <c r="AQ642" s="16">
        <v>1125.4238966809939</v>
      </c>
      <c r="AR642" s="16">
        <f t="shared" si="76"/>
        <v>325.42389668099395</v>
      </c>
      <c r="AS642" s="17">
        <f t="shared" si="77"/>
        <v>0.40677987085124245</v>
      </c>
      <c r="AT642" s="6">
        <v>800</v>
      </c>
      <c r="AU642" s="6">
        <v>1416.422119140625</v>
      </c>
      <c r="AV642" s="6">
        <f t="shared" si="78"/>
        <v>616.422119140625</v>
      </c>
      <c r="AW642" s="7">
        <f t="shared" si="79"/>
        <v>0.77052764892578129</v>
      </c>
    </row>
    <row r="643" spans="1:49" x14ac:dyDescent="0.25">
      <c r="A643" t="s">
        <v>69</v>
      </c>
      <c r="B643" t="s">
        <v>70</v>
      </c>
      <c r="C643">
        <v>142171</v>
      </c>
      <c r="D643">
        <v>2017</v>
      </c>
      <c r="E643" t="s">
        <v>79</v>
      </c>
      <c r="F643" t="s">
        <v>286</v>
      </c>
      <c r="G643" t="s">
        <v>674</v>
      </c>
      <c r="I643">
        <v>4</v>
      </c>
      <c r="J643" t="s">
        <v>43</v>
      </c>
      <c r="K643">
        <v>4</v>
      </c>
      <c r="L643" t="s">
        <v>44</v>
      </c>
      <c r="M643">
        <v>1.5</v>
      </c>
      <c r="N643" t="s">
        <v>45</v>
      </c>
      <c r="O643" t="s">
        <v>46</v>
      </c>
      <c r="P643">
        <v>3</v>
      </c>
      <c r="Q643" t="s">
        <v>84</v>
      </c>
      <c r="R643" t="s">
        <v>85</v>
      </c>
      <c r="U643" t="s">
        <v>50</v>
      </c>
      <c r="V643" t="s">
        <v>95</v>
      </c>
      <c r="W643" t="s">
        <v>997</v>
      </c>
      <c r="X643" t="s">
        <v>87</v>
      </c>
      <c r="Y643" t="s">
        <v>67</v>
      </c>
      <c r="Z643">
        <v>23225</v>
      </c>
      <c r="AA643">
        <v>0</v>
      </c>
      <c r="AB643" t="s">
        <v>54</v>
      </c>
      <c r="AC643" t="s">
        <v>89</v>
      </c>
      <c r="AD643">
        <v>34</v>
      </c>
      <c r="AE643">
        <v>8</v>
      </c>
      <c r="AF643">
        <v>3</v>
      </c>
      <c r="AG643">
        <v>2025</v>
      </c>
      <c r="AH643" s="13">
        <v>1600</v>
      </c>
      <c r="AI643" s="13">
        <v>3981.185546875</v>
      </c>
      <c r="AJ643" s="13">
        <f t="shared" ref="AJ643:AJ706" si="80">ABS(AH643-AI643)</f>
        <v>2381.185546875</v>
      </c>
      <c r="AK643" s="14">
        <f t="shared" ref="AK643:AK706" si="81">ABS($AH643-AI643)/$AH643</f>
        <v>1.488240966796875</v>
      </c>
      <c r="AL643" s="9">
        <v>1600</v>
      </c>
      <c r="AM643" s="9">
        <v>3300.0560458939731</v>
      </c>
      <c r="AN643" s="9">
        <f t="shared" ref="AN643:AN706" si="82">ABS(AL643-AM643)</f>
        <v>1700.0560458939731</v>
      </c>
      <c r="AO643" s="10">
        <f t="shared" ref="AO643:AO706" si="83">ABS($AL643-AM643)/$AL643</f>
        <v>1.0625350286837332</v>
      </c>
      <c r="AP643" s="16">
        <v>1600</v>
      </c>
      <c r="AQ643" s="16">
        <v>3163.059945278123</v>
      </c>
      <c r="AR643" s="16">
        <f t="shared" ref="AR643:AR706" si="84">ABS(AP643-AQ643)</f>
        <v>1563.059945278123</v>
      </c>
      <c r="AS643" s="17">
        <f t="shared" ref="AS643:AS706" si="85">ABS($AP643-AQ643)/$AP643</f>
        <v>0.97691246579882685</v>
      </c>
      <c r="AT643" s="6">
        <v>1600</v>
      </c>
      <c r="AU643" s="6">
        <v>3486.004638671875</v>
      </c>
      <c r="AV643" s="6">
        <f t="shared" ref="AV643:AV706" si="86">ABS(AT643-AU643)</f>
        <v>1886.004638671875</v>
      </c>
      <c r="AW643" s="7">
        <f t="shared" ref="AW643:AW706" si="87">ABS($AT643-AU643)/$AT643</f>
        <v>1.1787528991699219</v>
      </c>
    </row>
    <row r="644" spans="1:49" x14ac:dyDescent="0.25">
      <c r="A644" t="s">
        <v>56</v>
      </c>
      <c r="B644" t="s">
        <v>123</v>
      </c>
      <c r="C644">
        <v>62739</v>
      </c>
      <c r="D644">
        <v>2019</v>
      </c>
      <c r="E644" t="s">
        <v>173</v>
      </c>
      <c r="F644" t="s">
        <v>174</v>
      </c>
      <c r="H644" t="s">
        <v>1003</v>
      </c>
      <c r="I644">
        <v>4</v>
      </c>
      <c r="J644" t="s">
        <v>101</v>
      </c>
      <c r="K644">
        <v>4</v>
      </c>
      <c r="L644" t="s">
        <v>44</v>
      </c>
      <c r="M644">
        <v>2.4</v>
      </c>
      <c r="N644" t="s">
        <v>62</v>
      </c>
      <c r="O644" t="s">
        <v>46</v>
      </c>
      <c r="P644">
        <v>4</v>
      </c>
      <c r="Q644" t="s">
        <v>47</v>
      </c>
      <c r="R644" t="s">
        <v>48</v>
      </c>
      <c r="S644" t="s">
        <v>63</v>
      </c>
      <c r="T644">
        <v>184</v>
      </c>
      <c r="U644" t="s">
        <v>50</v>
      </c>
      <c r="V644" t="s">
        <v>95</v>
      </c>
      <c r="X644" t="s">
        <v>141</v>
      </c>
      <c r="Y644" t="s">
        <v>67</v>
      </c>
      <c r="Z644">
        <v>27395</v>
      </c>
      <c r="AA644">
        <v>0</v>
      </c>
      <c r="AB644" t="s">
        <v>54</v>
      </c>
      <c r="AC644" t="s">
        <v>55</v>
      </c>
      <c r="AD644">
        <v>34</v>
      </c>
      <c r="AE644">
        <v>8</v>
      </c>
      <c r="AF644">
        <v>3</v>
      </c>
      <c r="AG644">
        <v>2025</v>
      </c>
      <c r="AH644" s="13">
        <v>12800</v>
      </c>
      <c r="AI644" s="13">
        <v>13151.5029296875</v>
      </c>
      <c r="AJ644" s="13">
        <f t="shared" si="80"/>
        <v>351.5029296875</v>
      </c>
      <c r="AK644" s="14">
        <f t="shared" si="81"/>
        <v>2.7461166381835937E-2</v>
      </c>
      <c r="AL644" s="9">
        <v>12800</v>
      </c>
      <c r="AM644" s="9">
        <v>13057.72364515707</v>
      </c>
      <c r="AN644" s="9">
        <f t="shared" si="82"/>
        <v>257.72364515706977</v>
      </c>
      <c r="AO644" s="10">
        <f t="shared" si="83"/>
        <v>2.0134659777896077E-2</v>
      </c>
      <c r="AP644" s="16">
        <v>12800</v>
      </c>
      <c r="AQ644" s="16">
        <v>12008.065295607161</v>
      </c>
      <c r="AR644" s="16">
        <f t="shared" si="84"/>
        <v>791.93470439283919</v>
      </c>
      <c r="AS644" s="17">
        <f t="shared" si="85"/>
        <v>6.186989878069056E-2</v>
      </c>
      <c r="AT644" s="6">
        <v>12800</v>
      </c>
      <c r="AU644" s="6">
        <v>12880.859375</v>
      </c>
      <c r="AV644" s="6">
        <f t="shared" si="86"/>
        <v>80.859375</v>
      </c>
      <c r="AW644" s="7">
        <f t="shared" si="87"/>
        <v>6.317138671875E-3</v>
      </c>
    </row>
    <row r="645" spans="1:49" x14ac:dyDescent="0.25">
      <c r="A645" t="s">
        <v>38</v>
      </c>
      <c r="B645" t="s">
        <v>229</v>
      </c>
      <c r="C645">
        <v>153050</v>
      </c>
      <c r="D645">
        <v>2008</v>
      </c>
      <c r="E645" t="s">
        <v>184</v>
      </c>
      <c r="F645" t="s">
        <v>1004</v>
      </c>
      <c r="I645">
        <v>4</v>
      </c>
      <c r="J645" t="s">
        <v>94</v>
      </c>
      <c r="K645">
        <v>4</v>
      </c>
      <c r="L645" t="s">
        <v>44</v>
      </c>
      <c r="M645">
        <v>2.2999999999999998</v>
      </c>
      <c r="N645" t="s">
        <v>45</v>
      </c>
      <c r="Q645" t="s">
        <v>84</v>
      </c>
      <c r="R645" t="s">
        <v>222</v>
      </c>
      <c r="T645">
        <v>153</v>
      </c>
      <c r="U645" t="s">
        <v>50</v>
      </c>
      <c r="W645" t="s">
        <v>1005</v>
      </c>
      <c r="X645" t="s">
        <v>87</v>
      </c>
      <c r="Y645" t="s">
        <v>97</v>
      </c>
      <c r="AA645">
        <v>0</v>
      </c>
      <c r="AB645" t="s">
        <v>54</v>
      </c>
      <c r="AC645" t="s">
        <v>222</v>
      </c>
      <c r="AD645">
        <v>34</v>
      </c>
      <c r="AE645">
        <v>8</v>
      </c>
      <c r="AF645">
        <v>3</v>
      </c>
      <c r="AG645">
        <v>2025</v>
      </c>
      <c r="AH645" s="13">
        <v>800</v>
      </c>
      <c r="AI645" s="13">
        <v>1051.082275390625</v>
      </c>
      <c r="AJ645" s="13">
        <f t="shared" si="80"/>
        <v>251.082275390625</v>
      </c>
      <c r="AK645" s="14">
        <f t="shared" si="81"/>
        <v>0.31385284423828125</v>
      </c>
      <c r="AL645" s="9">
        <v>800</v>
      </c>
      <c r="AM645" s="9">
        <v>960.7300943012707</v>
      </c>
      <c r="AN645" s="9">
        <f t="shared" si="82"/>
        <v>160.7300943012707</v>
      </c>
      <c r="AO645" s="10">
        <f t="shared" si="83"/>
        <v>0.20091261787658837</v>
      </c>
      <c r="AP645" s="16">
        <v>800</v>
      </c>
      <c r="AQ645" s="16">
        <v>907.15937088821522</v>
      </c>
      <c r="AR645" s="16">
        <f t="shared" si="84"/>
        <v>107.15937088821522</v>
      </c>
      <c r="AS645" s="17">
        <f t="shared" si="85"/>
        <v>0.13394921361026901</v>
      </c>
      <c r="AT645" s="6">
        <v>800</v>
      </c>
      <c r="AU645" s="6">
        <v>1122.65234375</v>
      </c>
      <c r="AV645" s="6">
        <f t="shared" si="86"/>
        <v>322.65234375</v>
      </c>
      <c r="AW645" s="7">
        <f t="shared" si="87"/>
        <v>0.4033154296875</v>
      </c>
    </row>
    <row r="646" spans="1:49" x14ac:dyDescent="0.25">
      <c r="A646" t="s">
        <v>56</v>
      </c>
      <c r="B646" t="s">
        <v>57</v>
      </c>
      <c r="C646">
        <v>195195</v>
      </c>
      <c r="D646">
        <v>2013</v>
      </c>
      <c r="E646" t="s">
        <v>71</v>
      </c>
      <c r="F646" t="s">
        <v>590</v>
      </c>
      <c r="I646">
        <v>6</v>
      </c>
      <c r="J646" t="s">
        <v>82</v>
      </c>
      <c r="K646">
        <v>4</v>
      </c>
      <c r="L646" t="s">
        <v>44</v>
      </c>
      <c r="M646">
        <v>3.5</v>
      </c>
      <c r="N646" t="s">
        <v>44</v>
      </c>
      <c r="O646" t="s">
        <v>46</v>
      </c>
      <c r="Q646" t="s">
        <v>47</v>
      </c>
      <c r="R646" t="s">
        <v>207</v>
      </c>
      <c r="U646" t="s">
        <v>50</v>
      </c>
      <c r="X646" t="s">
        <v>141</v>
      </c>
      <c r="Y646" t="s">
        <v>67</v>
      </c>
      <c r="AA646">
        <v>0</v>
      </c>
      <c r="AB646" t="s">
        <v>54</v>
      </c>
      <c r="AC646" t="s">
        <v>55</v>
      </c>
      <c r="AD646">
        <v>34</v>
      </c>
      <c r="AE646">
        <v>8</v>
      </c>
      <c r="AF646">
        <v>3</v>
      </c>
      <c r="AG646">
        <v>2025</v>
      </c>
      <c r="AH646" s="13">
        <v>1600</v>
      </c>
      <c r="AI646" s="13">
        <v>1398.98583984375</v>
      </c>
      <c r="AJ646" s="13">
        <f t="shared" si="80"/>
        <v>201.01416015625</v>
      </c>
      <c r="AK646" s="14">
        <f t="shared" si="81"/>
        <v>0.12563385009765626</v>
      </c>
      <c r="AL646" s="9">
        <v>1600</v>
      </c>
      <c r="AM646" s="9">
        <v>1311.514920946893</v>
      </c>
      <c r="AN646" s="9">
        <f t="shared" si="82"/>
        <v>288.48507905310703</v>
      </c>
      <c r="AO646" s="10">
        <f t="shared" si="83"/>
        <v>0.18030317440819188</v>
      </c>
      <c r="AP646" s="16">
        <v>1600</v>
      </c>
      <c r="AQ646" s="16">
        <v>1397.320413947285</v>
      </c>
      <c r="AR646" s="16">
        <f t="shared" si="84"/>
        <v>202.67958605271497</v>
      </c>
      <c r="AS646" s="17">
        <f t="shared" si="85"/>
        <v>0.12667474128294687</v>
      </c>
      <c r="AT646" s="6">
        <v>1600</v>
      </c>
      <c r="AU646" s="6">
        <v>1136.6220703125</v>
      </c>
      <c r="AV646" s="6">
        <f t="shared" si="86"/>
        <v>463.3779296875</v>
      </c>
      <c r="AW646" s="7">
        <f t="shared" si="87"/>
        <v>0.28961120605468749</v>
      </c>
    </row>
    <row r="647" spans="1:49" x14ac:dyDescent="0.25">
      <c r="A647" t="s">
        <v>107</v>
      </c>
      <c r="B647" t="s">
        <v>154</v>
      </c>
      <c r="C647">
        <v>154626</v>
      </c>
      <c r="D647">
        <v>2014</v>
      </c>
      <c r="E647" t="s">
        <v>79</v>
      </c>
      <c r="F647" t="s">
        <v>272</v>
      </c>
      <c r="G647" t="s">
        <v>698</v>
      </c>
      <c r="H647" t="s">
        <v>162</v>
      </c>
      <c r="I647">
        <v>8</v>
      </c>
      <c r="J647" t="s">
        <v>43</v>
      </c>
      <c r="K647">
        <v>4</v>
      </c>
      <c r="L647" t="s">
        <v>44</v>
      </c>
      <c r="M647">
        <v>5.3</v>
      </c>
      <c r="N647" t="s">
        <v>62</v>
      </c>
      <c r="Q647" t="s">
        <v>75</v>
      </c>
      <c r="R647" t="s">
        <v>76</v>
      </c>
      <c r="S647" t="s">
        <v>63</v>
      </c>
      <c r="U647" t="s">
        <v>50</v>
      </c>
      <c r="W647" t="s">
        <v>1006</v>
      </c>
      <c r="X647" t="s">
        <v>77</v>
      </c>
      <c r="Y647" t="s">
        <v>106</v>
      </c>
      <c r="AA647">
        <v>0</v>
      </c>
      <c r="AB647" t="s">
        <v>54</v>
      </c>
      <c r="AC647" t="s">
        <v>78</v>
      </c>
      <c r="AD647">
        <v>34</v>
      </c>
      <c r="AE647">
        <v>8</v>
      </c>
      <c r="AF647">
        <v>3</v>
      </c>
      <c r="AG647">
        <v>2025</v>
      </c>
      <c r="AH647" s="13">
        <v>6300</v>
      </c>
      <c r="AI647" s="13">
        <v>11191.541015625</v>
      </c>
      <c r="AJ647" s="13">
        <f t="shared" si="80"/>
        <v>4891.541015625</v>
      </c>
      <c r="AK647" s="14">
        <f t="shared" si="81"/>
        <v>0.77643508184523813</v>
      </c>
      <c r="AL647" s="9">
        <v>6300</v>
      </c>
      <c r="AM647" s="9">
        <v>10813.80113998356</v>
      </c>
      <c r="AN647" s="9">
        <f t="shared" si="82"/>
        <v>4513.8011399835596</v>
      </c>
      <c r="AO647" s="10">
        <f t="shared" si="83"/>
        <v>0.71647637142596188</v>
      </c>
      <c r="AP647" s="16">
        <v>6300</v>
      </c>
      <c r="AQ647" s="16">
        <v>9247.7265993364454</v>
      </c>
      <c r="AR647" s="16">
        <f t="shared" si="84"/>
        <v>2947.7265993364454</v>
      </c>
      <c r="AS647" s="17">
        <f t="shared" si="85"/>
        <v>0.46789311100578496</v>
      </c>
      <c r="AT647" s="6">
        <v>6300</v>
      </c>
      <c r="AU647" s="6">
        <v>10030.560546875</v>
      </c>
      <c r="AV647" s="6">
        <f t="shared" si="86"/>
        <v>3730.560546875</v>
      </c>
      <c r="AW647" s="7">
        <f t="shared" si="87"/>
        <v>0.59215246775793651</v>
      </c>
    </row>
    <row r="648" spans="1:49" x14ac:dyDescent="0.25">
      <c r="A648" t="s">
        <v>56</v>
      </c>
      <c r="B648" t="s">
        <v>123</v>
      </c>
      <c r="C648">
        <v>49876</v>
      </c>
      <c r="D648">
        <v>2022</v>
      </c>
      <c r="E648" t="s">
        <v>79</v>
      </c>
      <c r="F648" t="s">
        <v>164</v>
      </c>
      <c r="G648" t="s">
        <v>287</v>
      </c>
      <c r="I648">
        <v>4</v>
      </c>
      <c r="J648" t="s">
        <v>43</v>
      </c>
      <c r="K648">
        <v>4</v>
      </c>
      <c r="L648" t="s">
        <v>44</v>
      </c>
      <c r="M648">
        <v>1.5</v>
      </c>
      <c r="N648" t="s">
        <v>44</v>
      </c>
      <c r="O648" t="s">
        <v>46</v>
      </c>
      <c r="P648">
        <v>3</v>
      </c>
      <c r="Q648" t="s">
        <v>47</v>
      </c>
      <c r="R648" t="s">
        <v>48</v>
      </c>
      <c r="S648" t="s">
        <v>139</v>
      </c>
      <c r="U648" t="s">
        <v>50</v>
      </c>
      <c r="V648" t="s">
        <v>95</v>
      </c>
      <c r="W648" t="s">
        <v>591</v>
      </c>
      <c r="X648" t="s">
        <v>52</v>
      </c>
      <c r="Y648" t="s">
        <v>106</v>
      </c>
      <c r="AA648">
        <v>0</v>
      </c>
      <c r="AB648" t="s">
        <v>54</v>
      </c>
      <c r="AC648" t="s">
        <v>55</v>
      </c>
      <c r="AD648">
        <v>34</v>
      </c>
      <c r="AE648">
        <v>8</v>
      </c>
      <c r="AF648">
        <v>3</v>
      </c>
      <c r="AG648">
        <v>2025</v>
      </c>
      <c r="AH648" s="13">
        <v>15900</v>
      </c>
      <c r="AI648" s="13">
        <v>20479.431640625</v>
      </c>
      <c r="AJ648" s="13">
        <f t="shared" si="80"/>
        <v>4579.431640625</v>
      </c>
      <c r="AK648" s="14">
        <f t="shared" si="81"/>
        <v>0.28801456859276731</v>
      </c>
      <c r="AL648" s="9">
        <v>15900</v>
      </c>
      <c r="AM648" s="9">
        <v>17686.20258819449</v>
      </c>
      <c r="AN648" s="9">
        <f t="shared" si="82"/>
        <v>1786.2025881944901</v>
      </c>
      <c r="AO648" s="10">
        <f t="shared" si="83"/>
        <v>0.11233978542103712</v>
      </c>
      <c r="AP648" s="16">
        <v>15900</v>
      </c>
      <c r="AQ648" s="16">
        <v>15196.1704993044</v>
      </c>
      <c r="AR648" s="16">
        <f t="shared" si="84"/>
        <v>703.82950069559956</v>
      </c>
      <c r="AS648" s="17">
        <f t="shared" si="85"/>
        <v>4.4266006333056579E-2</v>
      </c>
      <c r="AT648" s="6">
        <v>15900</v>
      </c>
      <c r="AU648" s="6">
        <v>16194.74609375</v>
      </c>
      <c r="AV648" s="6">
        <f t="shared" si="86"/>
        <v>294.74609375</v>
      </c>
      <c r="AW648" s="7">
        <f t="shared" si="87"/>
        <v>1.8537490172955976E-2</v>
      </c>
    </row>
    <row r="649" spans="1:49" x14ac:dyDescent="0.25">
      <c r="A649" t="s">
        <v>56</v>
      </c>
      <c r="B649" t="s">
        <v>57</v>
      </c>
      <c r="C649">
        <v>199850</v>
      </c>
      <c r="D649">
        <v>2012</v>
      </c>
      <c r="E649" t="s">
        <v>79</v>
      </c>
      <c r="F649" t="s">
        <v>164</v>
      </c>
      <c r="G649" t="s">
        <v>1007</v>
      </c>
      <c r="I649">
        <v>6</v>
      </c>
      <c r="J649" t="s">
        <v>127</v>
      </c>
      <c r="K649">
        <v>4</v>
      </c>
      <c r="L649" t="s">
        <v>44</v>
      </c>
      <c r="M649">
        <v>3</v>
      </c>
      <c r="N649" t="s">
        <v>45</v>
      </c>
      <c r="O649" t="s">
        <v>46</v>
      </c>
      <c r="Q649" t="s">
        <v>47</v>
      </c>
      <c r="R649" t="s">
        <v>48</v>
      </c>
      <c r="S649" t="s">
        <v>102</v>
      </c>
      <c r="U649" t="s">
        <v>50</v>
      </c>
      <c r="W649" t="s">
        <v>1008</v>
      </c>
      <c r="X649" t="s">
        <v>141</v>
      </c>
      <c r="Y649" t="s">
        <v>88</v>
      </c>
      <c r="AA649">
        <v>0</v>
      </c>
      <c r="AB649" t="s">
        <v>54</v>
      </c>
      <c r="AC649" t="s">
        <v>55</v>
      </c>
      <c r="AD649">
        <v>34</v>
      </c>
      <c r="AE649">
        <v>8</v>
      </c>
      <c r="AF649">
        <v>3</v>
      </c>
      <c r="AG649">
        <v>2025</v>
      </c>
      <c r="AH649" s="13">
        <v>650</v>
      </c>
      <c r="AI649" s="13">
        <v>1485.264770507812</v>
      </c>
      <c r="AJ649" s="13">
        <f t="shared" si="80"/>
        <v>835.26477050781205</v>
      </c>
      <c r="AK649" s="14">
        <f t="shared" si="81"/>
        <v>1.2850227238581724</v>
      </c>
      <c r="AL649" s="9">
        <v>650</v>
      </c>
      <c r="AM649" s="9">
        <v>1442.770236687398</v>
      </c>
      <c r="AN649" s="9">
        <f t="shared" si="82"/>
        <v>792.77023668739798</v>
      </c>
      <c r="AO649" s="10">
        <f t="shared" si="83"/>
        <v>1.2196465179806122</v>
      </c>
      <c r="AP649" s="16">
        <v>650</v>
      </c>
      <c r="AQ649" s="16">
        <v>923.12343740546862</v>
      </c>
      <c r="AR649" s="16">
        <f t="shared" si="84"/>
        <v>273.12343740546862</v>
      </c>
      <c r="AS649" s="17">
        <f t="shared" si="85"/>
        <v>0.42018990370072096</v>
      </c>
      <c r="AT649" s="6">
        <v>650</v>
      </c>
      <c r="AU649" s="6">
        <v>1550.356079101562</v>
      </c>
      <c r="AV649" s="6">
        <f t="shared" si="86"/>
        <v>900.35607910156205</v>
      </c>
      <c r="AW649" s="7">
        <f t="shared" si="87"/>
        <v>1.3851631986177877</v>
      </c>
    </row>
    <row r="650" spans="1:49" x14ac:dyDescent="0.25">
      <c r="A650" t="s">
        <v>38</v>
      </c>
      <c r="B650" t="s">
        <v>39</v>
      </c>
      <c r="C650">
        <v>136556</v>
      </c>
      <c r="D650">
        <v>2018</v>
      </c>
      <c r="E650" t="s">
        <v>217</v>
      </c>
      <c r="F650" t="s">
        <v>298</v>
      </c>
      <c r="G650" t="s">
        <v>1009</v>
      </c>
      <c r="H650" t="s">
        <v>1010</v>
      </c>
      <c r="I650">
        <v>6</v>
      </c>
      <c r="J650" t="s">
        <v>82</v>
      </c>
      <c r="K650">
        <v>4</v>
      </c>
      <c r="L650" t="s">
        <v>44</v>
      </c>
      <c r="M650">
        <v>6.7</v>
      </c>
      <c r="N650" t="s">
        <v>62</v>
      </c>
      <c r="O650" t="s">
        <v>46</v>
      </c>
      <c r="P650">
        <v>4</v>
      </c>
      <c r="Q650" t="s">
        <v>75</v>
      </c>
      <c r="R650" t="s">
        <v>76</v>
      </c>
      <c r="S650" t="s">
        <v>63</v>
      </c>
      <c r="T650">
        <v>385</v>
      </c>
      <c r="U650" t="s">
        <v>300</v>
      </c>
      <c r="V650" t="s">
        <v>95</v>
      </c>
      <c r="X650" t="s">
        <v>301</v>
      </c>
      <c r="Y650" t="s">
        <v>106</v>
      </c>
      <c r="AA650">
        <v>0</v>
      </c>
      <c r="AB650" t="s">
        <v>54</v>
      </c>
      <c r="AC650" t="s">
        <v>302</v>
      </c>
      <c r="AD650">
        <v>34</v>
      </c>
      <c r="AE650">
        <v>8</v>
      </c>
      <c r="AF650">
        <v>3</v>
      </c>
      <c r="AG650">
        <v>2025</v>
      </c>
      <c r="AH650" s="13">
        <v>30000</v>
      </c>
      <c r="AI650" s="13">
        <v>32371.85546875</v>
      </c>
      <c r="AJ650" s="13">
        <f t="shared" si="80"/>
        <v>2371.85546875</v>
      </c>
      <c r="AK650" s="14">
        <f t="shared" si="81"/>
        <v>7.9061848958333333E-2</v>
      </c>
      <c r="AL650" s="9">
        <v>30000</v>
      </c>
      <c r="AM650" s="9">
        <v>22646.971297435579</v>
      </c>
      <c r="AN650" s="9">
        <f t="shared" si="82"/>
        <v>7353.0287025644211</v>
      </c>
      <c r="AO650" s="10">
        <f t="shared" si="83"/>
        <v>0.24510095675214738</v>
      </c>
      <c r="AP650" s="16">
        <v>30000</v>
      </c>
      <c r="AQ650" s="16">
        <v>31645.535887633501</v>
      </c>
      <c r="AR650" s="16">
        <f t="shared" si="84"/>
        <v>1645.5358876335013</v>
      </c>
      <c r="AS650" s="17">
        <f t="shared" si="85"/>
        <v>5.4851196254450042E-2</v>
      </c>
      <c r="AT650" s="6">
        <v>30000</v>
      </c>
      <c r="AU650" s="6">
        <v>30879.14453125</v>
      </c>
      <c r="AV650" s="6">
        <f t="shared" si="86"/>
        <v>879.14453125</v>
      </c>
      <c r="AW650" s="7">
        <f t="shared" si="87"/>
        <v>2.9304817708333333E-2</v>
      </c>
    </row>
    <row r="651" spans="1:49" x14ac:dyDescent="0.25">
      <c r="A651" t="s">
        <v>107</v>
      </c>
      <c r="B651" t="s">
        <v>108</v>
      </c>
      <c r="C651">
        <v>32418</v>
      </c>
      <c r="D651">
        <v>2021</v>
      </c>
      <c r="E651" t="s">
        <v>79</v>
      </c>
      <c r="F651" t="s">
        <v>1011</v>
      </c>
      <c r="G651" t="s">
        <v>434</v>
      </c>
      <c r="I651">
        <v>3</v>
      </c>
      <c r="J651" t="s">
        <v>74</v>
      </c>
      <c r="K651">
        <v>4</v>
      </c>
      <c r="L651" t="s">
        <v>44</v>
      </c>
      <c r="M651">
        <v>1.2</v>
      </c>
      <c r="N651" t="s">
        <v>45</v>
      </c>
      <c r="O651" t="s">
        <v>42</v>
      </c>
      <c r="Q651" t="s">
        <v>47</v>
      </c>
      <c r="R651" t="s">
        <v>48</v>
      </c>
      <c r="S651" t="s">
        <v>102</v>
      </c>
      <c r="U651" t="s">
        <v>50</v>
      </c>
      <c r="V651" t="s">
        <v>95</v>
      </c>
      <c r="W651" t="s">
        <v>1012</v>
      </c>
      <c r="X651" t="s">
        <v>52</v>
      </c>
      <c r="Y651" t="s">
        <v>53</v>
      </c>
      <c r="AA651">
        <v>0</v>
      </c>
      <c r="AB651" t="s">
        <v>54</v>
      </c>
      <c r="AC651" t="s">
        <v>55</v>
      </c>
      <c r="AD651">
        <v>34</v>
      </c>
      <c r="AE651">
        <v>8</v>
      </c>
      <c r="AF651">
        <v>3</v>
      </c>
      <c r="AG651">
        <v>2025</v>
      </c>
      <c r="AH651" s="13">
        <v>7200</v>
      </c>
      <c r="AI651" s="13">
        <v>7513.552734375</v>
      </c>
      <c r="AJ651" s="13">
        <f t="shared" si="80"/>
        <v>313.552734375</v>
      </c>
      <c r="AK651" s="14">
        <f t="shared" si="81"/>
        <v>4.3548990885416666E-2</v>
      </c>
      <c r="AL651" s="9">
        <v>7200</v>
      </c>
      <c r="AM651" s="9">
        <v>6618.986647102075</v>
      </c>
      <c r="AN651" s="9">
        <f t="shared" si="82"/>
        <v>581.01335289792496</v>
      </c>
      <c r="AO651" s="10">
        <f t="shared" si="83"/>
        <v>8.0696299013600689E-2</v>
      </c>
      <c r="AP651" s="16">
        <v>7200</v>
      </c>
      <c r="AQ651" s="16">
        <v>4704.9245439320302</v>
      </c>
      <c r="AR651" s="16">
        <f t="shared" si="84"/>
        <v>2495.0754560679698</v>
      </c>
      <c r="AS651" s="17">
        <f t="shared" si="85"/>
        <v>0.34653825778721803</v>
      </c>
      <c r="AT651" s="6">
        <v>7200</v>
      </c>
      <c r="AU651" s="6">
        <v>6761.77197265625</v>
      </c>
      <c r="AV651" s="6">
        <f t="shared" si="86"/>
        <v>438.22802734375</v>
      </c>
      <c r="AW651" s="7">
        <f t="shared" si="87"/>
        <v>6.0865003797743053E-2</v>
      </c>
    </row>
    <row r="652" spans="1:49" x14ac:dyDescent="0.25">
      <c r="A652" t="s">
        <v>56</v>
      </c>
      <c r="B652" t="s">
        <v>57</v>
      </c>
      <c r="C652">
        <v>154925</v>
      </c>
      <c r="D652">
        <v>2015</v>
      </c>
      <c r="E652" t="s">
        <v>79</v>
      </c>
      <c r="F652" t="s">
        <v>272</v>
      </c>
      <c r="G652" t="s">
        <v>698</v>
      </c>
      <c r="H652" t="s">
        <v>162</v>
      </c>
      <c r="I652">
        <v>8</v>
      </c>
      <c r="J652" t="s">
        <v>43</v>
      </c>
      <c r="K652">
        <v>4</v>
      </c>
      <c r="L652" t="s">
        <v>44</v>
      </c>
      <c r="M652">
        <v>5.3</v>
      </c>
      <c r="N652" t="s">
        <v>62</v>
      </c>
      <c r="O652" t="s">
        <v>46</v>
      </c>
      <c r="Q652" t="s">
        <v>75</v>
      </c>
      <c r="R652" t="s">
        <v>76</v>
      </c>
      <c r="S652" t="s">
        <v>63</v>
      </c>
      <c r="U652" t="s">
        <v>50</v>
      </c>
      <c r="W652" t="s">
        <v>163</v>
      </c>
      <c r="X652" t="s">
        <v>77</v>
      </c>
      <c r="Y652" t="s">
        <v>106</v>
      </c>
      <c r="AA652">
        <v>0</v>
      </c>
      <c r="AB652" t="s">
        <v>54</v>
      </c>
      <c r="AC652" t="s">
        <v>78</v>
      </c>
      <c r="AD652">
        <v>34</v>
      </c>
      <c r="AE652">
        <v>8</v>
      </c>
      <c r="AF652">
        <v>3</v>
      </c>
      <c r="AG652">
        <v>2025</v>
      </c>
      <c r="AH652" s="13">
        <v>11100</v>
      </c>
      <c r="AI652" s="13">
        <v>12585.3076171875</v>
      </c>
      <c r="AJ652" s="13">
        <f t="shared" si="80"/>
        <v>1485.3076171875</v>
      </c>
      <c r="AK652" s="14">
        <f t="shared" si="81"/>
        <v>0.13381149704391893</v>
      </c>
      <c r="AL652" s="9">
        <v>11100</v>
      </c>
      <c r="AM652" s="9">
        <v>11693.602436087211</v>
      </c>
      <c r="AN652" s="9">
        <f t="shared" si="82"/>
        <v>593.60243608721066</v>
      </c>
      <c r="AO652" s="10">
        <f t="shared" si="83"/>
        <v>5.3477696944793755E-2</v>
      </c>
      <c r="AP652" s="16">
        <v>11100</v>
      </c>
      <c r="AQ652" s="16">
        <v>12383.193634915609</v>
      </c>
      <c r="AR652" s="16">
        <f t="shared" si="84"/>
        <v>1283.1936349156094</v>
      </c>
      <c r="AS652" s="17">
        <f t="shared" si="85"/>
        <v>0.11560303017257742</v>
      </c>
      <c r="AT652" s="6">
        <v>11100</v>
      </c>
      <c r="AU652" s="6">
        <v>13358.484375</v>
      </c>
      <c r="AV652" s="6">
        <f t="shared" si="86"/>
        <v>2258.484375</v>
      </c>
      <c r="AW652" s="7">
        <f t="shared" si="87"/>
        <v>0.20346706081081081</v>
      </c>
    </row>
    <row r="653" spans="1:49" x14ac:dyDescent="0.25">
      <c r="A653" t="s">
        <v>69</v>
      </c>
      <c r="B653" t="s">
        <v>70</v>
      </c>
      <c r="C653">
        <v>244160</v>
      </c>
      <c r="D653">
        <v>2010</v>
      </c>
      <c r="E653" t="s">
        <v>145</v>
      </c>
      <c r="F653" t="s">
        <v>146</v>
      </c>
      <c r="G653" t="s">
        <v>284</v>
      </c>
      <c r="I653">
        <v>4</v>
      </c>
      <c r="J653" t="s">
        <v>74</v>
      </c>
      <c r="K653">
        <v>4</v>
      </c>
      <c r="L653" t="s">
        <v>44</v>
      </c>
      <c r="M653">
        <v>2.4</v>
      </c>
      <c r="N653" t="s">
        <v>45</v>
      </c>
      <c r="O653" t="s">
        <v>46</v>
      </c>
      <c r="P653">
        <v>2</v>
      </c>
      <c r="Q653" t="s">
        <v>47</v>
      </c>
      <c r="R653" t="s">
        <v>48</v>
      </c>
      <c r="S653" t="s">
        <v>102</v>
      </c>
      <c r="T653">
        <v>180</v>
      </c>
      <c r="U653" t="s">
        <v>50</v>
      </c>
      <c r="V653" t="s">
        <v>95</v>
      </c>
      <c r="W653" t="s">
        <v>805</v>
      </c>
      <c r="X653" t="s">
        <v>52</v>
      </c>
      <c r="Y653" t="s">
        <v>106</v>
      </c>
      <c r="AA653">
        <v>0</v>
      </c>
      <c r="AB653" t="s">
        <v>54</v>
      </c>
      <c r="AC653" t="s">
        <v>55</v>
      </c>
      <c r="AD653">
        <v>34</v>
      </c>
      <c r="AE653">
        <v>8</v>
      </c>
      <c r="AF653">
        <v>3</v>
      </c>
      <c r="AG653">
        <v>2025</v>
      </c>
      <c r="AH653" s="13">
        <v>2500</v>
      </c>
      <c r="AI653" s="13">
        <v>1093.045654296875</v>
      </c>
      <c r="AJ653" s="13">
        <f t="shared" si="80"/>
        <v>1406.954345703125</v>
      </c>
      <c r="AK653" s="14">
        <f t="shared" si="81"/>
        <v>0.56278173828125</v>
      </c>
      <c r="AL653" s="9">
        <v>2500</v>
      </c>
      <c r="AM653" s="9">
        <v>1626.506129290545</v>
      </c>
      <c r="AN653" s="9">
        <f t="shared" si="82"/>
        <v>873.493870709455</v>
      </c>
      <c r="AO653" s="10">
        <f t="shared" si="83"/>
        <v>0.349397548283782</v>
      </c>
      <c r="AP653" s="16">
        <v>2500</v>
      </c>
      <c r="AQ653" s="16">
        <v>1143.7092293844121</v>
      </c>
      <c r="AR653" s="16">
        <f t="shared" si="84"/>
        <v>1356.2907706155879</v>
      </c>
      <c r="AS653" s="17">
        <f t="shared" si="85"/>
        <v>0.5425163082462352</v>
      </c>
      <c r="AT653" s="6">
        <v>2500</v>
      </c>
      <c r="AU653" s="6">
        <v>1251.310791015625</v>
      </c>
      <c r="AV653" s="6">
        <f t="shared" si="86"/>
        <v>1248.689208984375</v>
      </c>
      <c r="AW653" s="7">
        <f t="shared" si="87"/>
        <v>0.49947568359375</v>
      </c>
    </row>
    <row r="654" spans="1:49" x14ac:dyDescent="0.25">
      <c r="A654" t="s">
        <v>56</v>
      </c>
      <c r="B654" t="s">
        <v>57</v>
      </c>
      <c r="C654">
        <v>157468</v>
      </c>
      <c r="D654">
        <v>2014</v>
      </c>
      <c r="E654" t="s">
        <v>281</v>
      </c>
      <c r="F654" t="s">
        <v>1013</v>
      </c>
      <c r="I654">
        <v>8</v>
      </c>
      <c r="J654" t="s">
        <v>74</v>
      </c>
      <c r="K654">
        <v>4</v>
      </c>
      <c r="L654" t="s">
        <v>44</v>
      </c>
      <c r="M654">
        <v>5.4</v>
      </c>
      <c r="N654" t="s">
        <v>62</v>
      </c>
      <c r="O654" t="s">
        <v>46</v>
      </c>
      <c r="Q654" t="s">
        <v>47</v>
      </c>
      <c r="R654" t="s">
        <v>48</v>
      </c>
      <c r="S654" t="s">
        <v>63</v>
      </c>
      <c r="T654">
        <v>310</v>
      </c>
      <c r="U654" t="s">
        <v>50</v>
      </c>
      <c r="V654" t="s">
        <v>64</v>
      </c>
      <c r="X654" t="s">
        <v>77</v>
      </c>
      <c r="Y654" t="s">
        <v>67</v>
      </c>
      <c r="AA654">
        <v>0</v>
      </c>
      <c r="AB654" t="s">
        <v>54</v>
      </c>
      <c r="AC654" t="s">
        <v>55</v>
      </c>
      <c r="AD654">
        <v>34</v>
      </c>
      <c r="AE654">
        <v>8</v>
      </c>
      <c r="AF654">
        <v>3</v>
      </c>
      <c r="AG654">
        <v>2025</v>
      </c>
      <c r="AH654" s="13">
        <v>6600</v>
      </c>
      <c r="AI654" s="13">
        <v>5480.21044921875</v>
      </c>
      <c r="AJ654" s="13">
        <f t="shared" si="80"/>
        <v>1119.78955078125</v>
      </c>
      <c r="AK654" s="14">
        <f t="shared" si="81"/>
        <v>0.16966508345170456</v>
      </c>
      <c r="AL654" s="9">
        <v>6600</v>
      </c>
      <c r="AM654" s="9">
        <v>5587.663516590128</v>
      </c>
      <c r="AN654" s="9">
        <f t="shared" si="82"/>
        <v>1012.336483409872</v>
      </c>
      <c r="AO654" s="10">
        <f t="shared" si="83"/>
        <v>0.15338431566816244</v>
      </c>
      <c r="AP654" s="16">
        <v>6600</v>
      </c>
      <c r="AQ654" s="16">
        <v>4462.4361688762574</v>
      </c>
      <c r="AR654" s="16">
        <f t="shared" si="84"/>
        <v>2137.5638311237426</v>
      </c>
      <c r="AS654" s="17">
        <f t="shared" si="85"/>
        <v>0.32387330774602163</v>
      </c>
      <c r="AT654" s="6">
        <v>6600</v>
      </c>
      <c r="AU654" s="6">
        <v>4787.14306640625</v>
      </c>
      <c r="AV654" s="6">
        <f t="shared" si="86"/>
        <v>1812.85693359375</v>
      </c>
      <c r="AW654" s="7">
        <f t="shared" si="87"/>
        <v>0.27467529296874998</v>
      </c>
    </row>
    <row r="655" spans="1:49" x14ac:dyDescent="0.25">
      <c r="A655" t="s">
        <v>107</v>
      </c>
      <c r="B655" t="s">
        <v>108</v>
      </c>
      <c r="C655">
        <v>16356</v>
      </c>
      <c r="D655">
        <v>2023</v>
      </c>
      <c r="E655" t="s">
        <v>71</v>
      </c>
      <c r="F655" t="s">
        <v>813</v>
      </c>
      <c r="G655" t="s">
        <v>73</v>
      </c>
      <c r="I655">
        <v>6</v>
      </c>
      <c r="J655" t="s">
        <v>74</v>
      </c>
      <c r="K655">
        <v>4</v>
      </c>
      <c r="L655" t="s">
        <v>44</v>
      </c>
      <c r="M655">
        <v>3.8</v>
      </c>
      <c r="N655" t="s">
        <v>62</v>
      </c>
      <c r="O655" t="s">
        <v>46</v>
      </c>
      <c r="P655">
        <v>5</v>
      </c>
      <c r="Q655" t="s">
        <v>75</v>
      </c>
      <c r="R655" t="s">
        <v>76</v>
      </c>
      <c r="S655" t="s">
        <v>63</v>
      </c>
      <c r="U655" t="s">
        <v>50</v>
      </c>
      <c r="X655" t="s">
        <v>66</v>
      </c>
      <c r="Y655" t="s">
        <v>67</v>
      </c>
      <c r="AA655">
        <v>0</v>
      </c>
      <c r="AB655" t="s">
        <v>54</v>
      </c>
      <c r="AC655" t="s">
        <v>78</v>
      </c>
      <c r="AD655">
        <v>34</v>
      </c>
      <c r="AE655">
        <v>8</v>
      </c>
      <c r="AF655">
        <v>3</v>
      </c>
      <c r="AG655">
        <v>2025</v>
      </c>
      <c r="AH655" s="13">
        <v>35200</v>
      </c>
      <c r="AI655" s="13">
        <v>33061.171875</v>
      </c>
      <c r="AJ655" s="13">
        <f t="shared" si="80"/>
        <v>2138.828125</v>
      </c>
      <c r="AK655" s="14">
        <f t="shared" si="81"/>
        <v>6.0762162642045453E-2</v>
      </c>
      <c r="AL655" s="9">
        <v>35200</v>
      </c>
      <c r="AM655" s="9">
        <v>32710.587357356049</v>
      </c>
      <c r="AN655" s="9">
        <f t="shared" si="82"/>
        <v>2489.4126426439507</v>
      </c>
      <c r="AO655" s="10">
        <f t="shared" si="83"/>
        <v>7.0721950075112242E-2</v>
      </c>
      <c r="AP655" s="16">
        <v>35200</v>
      </c>
      <c r="AQ655" s="16">
        <v>30124.111762899771</v>
      </c>
      <c r="AR655" s="16">
        <f t="shared" si="84"/>
        <v>5075.8882371002292</v>
      </c>
      <c r="AS655" s="17">
        <f t="shared" si="85"/>
        <v>0.1442013703721656</v>
      </c>
      <c r="AT655" s="6">
        <v>35200</v>
      </c>
      <c r="AU655" s="6">
        <v>31343.99609375</v>
      </c>
      <c r="AV655" s="6">
        <f t="shared" si="86"/>
        <v>3856.00390625</v>
      </c>
      <c r="AW655" s="7">
        <f t="shared" si="87"/>
        <v>0.10954556551846591</v>
      </c>
    </row>
    <row r="656" spans="1:49" x14ac:dyDescent="0.25">
      <c r="A656" t="s">
        <v>38</v>
      </c>
      <c r="B656" t="s">
        <v>167</v>
      </c>
      <c r="C656">
        <v>53016</v>
      </c>
      <c r="D656">
        <v>2021</v>
      </c>
      <c r="E656" t="s">
        <v>441</v>
      </c>
      <c r="F656" t="s">
        <v>1014</v>
      </c>
      <c r="H656" t="s">
        <v>443</v>
      </c>
      <c r="I656">
        <v>4</v>
      </c>
      <c r="J656" t="s">
        <v>101</v>
      </c>
      <c r="K656">
        <v>4</v>
      </c>
      <c r="L656" t="s">
        <v>44</v>
      </c>
      <c r="M656">
        <v>2</v>
      </c>
      <c r="N656" t="s">
        <v>45</v>
      </c>
      <c r="O656" t="s">
        <v>46</v>
      </c>
      <c r="P656">
        <v>4</v>
      </c>
      <c r="Q656" t="s">
        <v>47</v>
      </c>
      <c r="R656" t="s">
        <v>48</v>
      </c>
      <c r="S656" t="s">
        <v>102</v>
      </c>
      <c r="T656">
        <v>189</v>
      </c>
      <c r="U656" t="s">
        <v>50</v>
      </c>
      <c r="X656" t="s">
        <v>52</v>
      </c>
      <c r="Y656" t="s">
        <v>444</v>
      </c>
      <c r="Z656">
        <v>31900</v>
      </c>
      <c r="AA656">
        <v>0</v>
      </c>
      <c r="AB656" t="s">
        <v>54</v>
      </c>
      <c r="AC656" t="s">
        <v>55</v>
      </c>
      <c r="AD656">
        <v>34</v>
      </c>
      <c r="AE656">
        <v>8</v>
      </c>
      <c r="AF656">
        <v>3</v>
      </c>
      <c r="AG656">
        <v>2025</v>
      </c>
      <c r="AH656" s="13">
        <v>16500</v>
      </c>
      <c r="AI656" s="13">
        <v>15310</v>
      </c>
      <c r="AJ656" s="13">
        <f t="shared" si="80"/>
        <v>1190</v>
      </c>
      <c r="AK656" s="14">
        <f t="shared" si="81"/>
        <v>7.2121212121212128E-2</v>
      </c>
      <c r="AL656" s="9">
        <v>16500</v>
      </c>
      <c r="AM656" s="9">
        <v>16534.524929342449</v>
      </c>
      <c r="AN656" s="9">
        <f t="shared" si="82"/>
        <v>34.524929342449468</v>
      </c>
      <c r="AO656" s="10">
        <f t="shared" si="83"/>
        <v>2.0924199601484528E-3</v>
      </c>
      <c r="AP656" s="16">
        <v>16500</v>
      </c>
      <c r="AQ656" s="16">
        <v>16578.027540407351</v>
      </c>
      <c r="AR656" s="16">
        <f t="shared" si="84"/>
        <v>78.027540407350898</v>
      </c>
      <c r="AS656" s="17">
        <f t="shared" si="85"/>
        <v>4.7289418428697518E-3</v>
      </c>
      <c r="AT656" s="6">
        <v>16500</v>
      </c>
      <c r="AU656" s="6">
        <v>16535.171875</v>
      </c>
      <c r="AV656" s="6">
        <f t="shared" si="86"/>
        <v>35.171875</v>
      </c>
      <c r="AW656" s="7">
        <f t="shared" si="87"/>
        <v>2.1316287878787878E-3</v>
      </c>
    </row>
    <row r="657" spans="1:49" x14ac:dyDescent="0.25">
      <c r="A657" t="s">
        <v>56</v>
      </c>
      <c r="B657" t="s">
        <v>57</v>
      </c>
      <c r="C657">
        <v>47784</v>
      </c>
      <c r="D657">
        <v>2024</v>
      </c>
      <c r="E657" t="s">
        <v>71</v>
      </c>
      <c r="F657" t="s">
        <v>199</v>
      </c>
      <c r="G657" t="s">
        <v>332</v>
      </c>
      <c r="I657">
        <v>3</v>
      </c>
      <c r="J657" t="s">
        <v>74</v>
      </c>
      <c r="K657">
        <v>4</v>
      </c>
      <c r="L657" t="s">
        <v>44</v>
      </c>
      <c r="M657">
        <v>1.5</v>
      </c>
      <c r="N657" t="s">
        <v>44</v>
      </c>
      <c r="O657" t="s">
        <v>46</v>
      </c>
      <c r="P657">
        <v>3</v>
      </c>
      <c r="Q657" t="s">
        <v>47</v>
      </c>
      <c r="R657" t="s">
        <v>48</v>
      </c>
      <c r="S657" t="s">
        <v>63</v>
      </c>
      <c r="U657" t="s">
        <v>50</v>
      </c>
      <c r="X657" t="s">
        <v>52</v>
      </c>
      <c r="Y657" t="s">
        <v>67</v>
      </c>
      <c r="AA657">
        <v>0</v>
      </c>
      <c r="AB657" t="s">
        <v>54</v>
      </c>
      <c r="AC657" t="s">
        <v>55</v>
      </c>
      <c r="AD657">
        <v>34</v>
      </c>
      <c r="AE657">
        <v>8</v>
      </c>
      <c r="AF657">
        <v>3</v>
      </c>
      <c r="AG657">
        <v>2025</v>
      </c>
      <c r="AH657" s="13">
        <v>17500</v>
      </c>
      <c r="AI657" s="13">
        <v>18906.931640625</v>
      </c>
      <c r="AJ657" s="13">
        <f t="shared" si="80"/>
        <v>1406.931640625</v>
      </c>
      <c r="AK657" s="14">
        <f t="shared" si="81"/>
        <v>8.0396093749999994E-2</v>
      </c>
      <c r="AL657" s="9">
        <v>17500</v>
      </c>
      <c r="AM657" s="9">
        <v>17232.668982090461</v>
      </c>
      <c r="AN657" s="9">
        <f t="shared" si="82"/>
        <v>267.33101790953879</v>
      </c>
      <c r="AO657" s="10">
        <f t="shared" si="83"/>
        <v>1.5276058166259359E-2</v>
      </c>
      <c r="AP657" s="16">
        <v>17500</v>
      </c>
      <c r="AQ657" s="16">
        <v>16799.346261733761</v>
      </c>
      <c r="AR657" s="16">
        <f t="shared" si="84"/>
        <v>700.65373826623909</v>
      </c>
      <c r="AS657" s="17">
        <f t="shared" si="85"/>
        <v>4.0037356472356518E-2</v>
      </c>
      <c r="AT657" s="6">
        <v>17500</v>
      </c>
      <c r="AU657" s="6">
        <v>15857.2001953125</v>
      </c>
      <c r="AV657" s="6">
        <f t="shared" si="86"/>
        <v>1642.7998046875</v>
      </c>
      <c r="AW657" s="7">
        <f t="shared" si="87"/>
        <v>9.3874274553571432E-2</v>
      </c>
    </row>
    <row r="658" spans="1:49" x14ac:dyDescent="0.25">
      <c r="A658" t="s">
        <v>107</v>
      </c>
      <c r="B658" t="s">
        <v>108</v>
      </c>
      <c r="C658">
        <v>51510</v>
      </c>
      <c r="D658">
        <v>2022</v>
      </c>
      <c r="E658" t="s">
        <v>217</v>
      </c>
      <c r="F658" t="s">
        <v>162</v>
      </c>
      <c r="G658" t="s">
        <v>73</v>
      </c>
      <c r="H658" t="s">
        <v>940</v>
      </c>
      <c r="I658">
        <v>6</v>
      </c>
      <c r="J658" t="s">
        <v>101</v>
      </c>
      <c r="K658">
        <v>4</v>
      </c>
      <c r="L658" t="s">
        <v>44</v>
      </c>
      <c r="M658">
        <v>3.6</v>
      </c>
      <c r="N658" t="s">
        <v>62</v>
      </c>
      <c r="O658" t="s">
        <v>46</v>
      </c>
      <c r="P658">
        <v>4</v>
      </c>
      <c r="Q658" t="s">
        <v>75</v>
      </c>
      <c r="R658" t="s">
        <v>76</v>
      </c>
      <c r="S658" t="s">
        <v>63</v>
      </c>
      <c r="T658">
        <v>305</v>
      </c>
      <c r="U658" t="s">
        <v>50</v>
      </c>
      <c r="V658" t="s">
        <v>64</v>
      </c>
      <c r="X658" t="s">
        <v>66</v>
      </c>
      <c r="Y658" t="s">
        <v>67</v>
      </c>
      <c r="AA658">
        <v>0</v>
      </c>
      <c r="AB658" t="s">
        <v>54</v>
      </c>
      <c r="AC658" t="s">
        <v>78</v>
      </c>
      <c r="AD658">
        <v>34</v>
      </c>
      <c r="AE658">
        <v>8</v>
      </c>
      <c r="AF658">
        <v>3</v>
      </c>
      <c r="AG658">
        <v>2025</v>
      </c>
      <c r="AH658" s="13">
        <v>28800</v>
      </c>
      <c r="AI658" s="13">
        <v>26105.66015625</v>
      </c>
      <c r="AJ658" s="13">
        <f t="shared" si="80"/>
        <v>2694.33984375</v>
      </c>
      <c r="AK658" s="14">
        <f t="shared" si="81"/>
        <v>9.3553466796874998E-2</v>
      </c>
      <c r="AL658" s="9">
        <v>28800</v>
      </c>
      <c r="AM658" s="9">
        <v>26617.192816665549</v>
      </c>
      <c r="AN658" s="9">
        <f t="shared" si="82"/>
        <v>2182.8071833344511</v>
      </c>
      <c r="AO658" s="10">
        <f t="shared" si="83"/>
        <v>7.5791916088001773E-2</v>
      </c>
      <c r="AP658" s="16">
        <v>28800</v>
      </c>
      <c r="AQ658" s="16">
        <v>27972.083727100569</v>
      </c>
      <c r="AR658" s="16">
        <f t="shared" si="84"/>
        <v>827.91627289943062</v>
      </c>
      <c r="AS658" s="17">
        <f t="shared" si="85"/>
        <v>2.8747092809008008E-2</v>
      </c>
      <c r="AT658" s="6">
        <v>28800</v>
      </c>
      <c r="AU658" s="6">
        <v>23910.896484375</v>
      </c>
      <c r="AV658" s="6">
        <f t="shared" si="86"/>
        <v>4889.103515625</v>
      </c>
      <c r="AW658" s="7">
        <f t="shared" si="87"/>
        <v>0.16976053873697916</v>
      </c>
    </row>
    <row r="659" spans="1:49" x14ac:dyDescent="0.25">
      <c r="A659" t="s">
        <v>56</v>
      </c>
      <c r="B659" t="s">
        <v>303</v>
      </c>
      <c r="C659">
        <v>55488</v>
      </c>
      <c r="D659">
        <v>2001</v>
      </c>
      <c r="E659" t="s">
        <v>58</v>
      </c>
      <c r="F659" t="s">
        <v>59</v>
      </c>
      <c r="G659" t="s">
        <v>236</v>
      </c>
      <c r="I659">
        <v>6</v>
      </c>
      <c r="J659" t="s">
        <v>257</v>
      </c>
      <c r="K659">
        <v>2</v>
      </c>
      <c r="L659" t="s">
        <v>44</v>
      </c>
      <c r="M659">
        <v>4</v>
      </c>
      <c r="N659" t="s">
        <v>62</v>
      </c>
      <c r="Q659" t="s">
        <v>47</v>
      </c>
      <c r="R659" t="s">
        <v>48</v>
      </c>
      <c r="S659" t="s">
        <v>63</v>
      </c>
      <c r="T659">
        <v>205</v>
      </c>
      <c r="U659" t="s">
        <v>50</v>
      </c>
      <c r="V659" t="s">
        <v>64</v>
      </c>
      <c r="X659" t="s">
        <v>52</v>
      </c>
      <c r="Y659" t="s">
        <v>67</v>
      </c>
      <c r="AA659">
        <v>0</v>
      </c>
      <c r="AB659" t="s">
        <v>54</v>
      </c>
      <c r="AC659" t="s">
        <v>55</v>
      </c>
      <c r="AD659">
        <v>34</v>
      </c>
      <c r="AE659">
        <v>8</v>
      </c>
      <c r="AF659">
        <v>3</v>
      </c>
      <c r="AG659">
        <v>2025</v>
      </c>
      <c r="AH659" s="13">
        <v>800</v>
      </c>
      <c r="AI659" s="13">
        <v>2452.5849609375</v>
      </c>
      <c r="AJ659" s="13">
        <f t="shared" si="80"/>
        <v>1652.5849609375</v>
      </c>
      <c r="AK659" s="14">
        <f t="shared" si="81"/>
        <v>2.0657312011718751</v>
      </c>
      <c r="AL659" s="9">
        <v>800</v>
      </c>
      <c r="AM659" s="9">
        <v>2125.1107947377509</v>
      </c>
      <c r="AN659" s="9">
        <f t="shared" si="82"/>
        <v>1325.1107947377509</v>
      </c>
      <c r="AO659" s="10">
        <f t="shared" si="83"/>
        <v>1.6563884934221886</v>
      </c>
      <c r="AP659" s="16">
        <v>800</v>
      </c>
      <c r="AQ659" s="16">
        <v>1803.5130099036651</v>
      </c>
      <c r="AR659" s="16">
        <f t="shared" si="84"/>
        <v>1003.5130099036651</v>
      </c>
      <c r="AS659" s="17">
        <f t="shared" si="85"/>
        <v>1.2543912623795814</v>
      </c>
      <c r="AT659" s="6">
        <v>800</v>
      </c>
      <c r="AU659" s="6">
        <v>1872.356811523438</v>
      </c>
      <c r="AV659" s="6">
        <f t="shared" si="86"/>
        <v>1072.356811523438</v>
      </c>
      <c r="AW659" s="7">
        <f t="shared" si="87"/>
        <v>1.3404460144042973</v>
      </c>
    </row>
    <row r="660" spans="1:49" x14ac:dyDescent="0.25">
      <c r="A660" t="s">
        <v>69</v>
      </c>
      <c r="B660" t="s">
        <v>160</v>
      </c>
      <c r="C660">
        <v>133357</v>
      </c>
      <c r="D660">
        <v>2014</v>
      </c>
      <c r="E660" t="s">
        <v>113</v>
      </c>
      <c r="F660" t="s">
        <v>1015</v>
      </c>
      <c r="G660" t="s">
        <v>268</v>
      </c>
      <c r="I660">
        <v>4</v>
      </c>
      <c r="J660" t="s">
        <v>94</v>
      </c>
      <c r="K660">
        <v>4</v>
      </c>
      <c r="L660" t="s">
        <v>44</v>
      </c>
      <c r="M660">
        <v>2.4</v>
      </c>
      <c r="N660" t="s">
        <v>45</v>
      </c>
      <c r="O660" t="s">
        <v>46</v>
      </c>
      <c r="Q660" t="s">
        <v>84</v>
      </c>
      <c r="R660" t="s">
        <v>85</v>
      </c>
      <c r="S660" t="s">
        <v>102</v>
      </c>
      <c r="U660" t="s">
        <v>50</v>
      </c>
      <c r="X660" t="s">
        <v>87</v>
      </c>
      <c r="Y660" t="s">
        <v>67</v>
      </c>
      <c r="AA660">
        <v>0</v>
      </c>
      <c r="AB660" t="s">
        <v>54</v>
      </c>
      <c r="AC660" t="s">
        <v>89</v>
      </c>
      <c r="AD660">
        <v>34</v>
      </c>
      <c r="AE660">
        <v>8</v>
      </c>
      <c r="AF660">
        <v>3</v>
      </c>
      <c r="AG660">
        <v>2025</v>
      </c>
      <c r="AH660" s="13">
        <v>3000</v>
      </c>
      <c r="AI660" s="13">
        <v>2058.712158203125</v>
      </c>
      <c r="AJ660" s="13">
        <f t="shared" si="80"/>
        <v>941.287841796875</v>
      </c>
      <c r="AK660" s="14">
        <f t="shared" si="81"/>
        <v>0.31376261393229166</v>
      </c>
      <c r="AL660" s="9">
        <v>3000</v>
      </c>
      <c r="AM660" s="9">
        <v>1855.113385571191</v>
      </c>
      <c r="AN660" s="9">
        <f t="shared" si="82"/>
        <v>1144.886614428809</v>
      </c>
      <c r="AO660" s="10">
        <f t="shared" si="83"/>
        <v>0.38162887147626967</v>
      </c>
      <c r="AP660" s="16">
        <v>3000</v>
      </c>
      <c r="AQ660" s="16">
        <v>1407.811093710515</v>
      </c>
      <c r="AR660" s="16">
        <f t="shared" si="84"/>
        <v>1592.188906289485</v>
      </c>
      <c r="AS660" s="17">
        <f t="shared" si="85"/>
        <v>0.53072963542982832</v>
      </c>
      <c r="AT660" s="6">
        <v>3000</v>
      </c>
      <c r="AU660" s="6">
        <v>1659.112182617188</v>
      </c>
      <c r="AV660" s="6">
        <f t="shared" si="86"/>
        <v>1340.887817382812</v>
      </c>
      <c r="AW660" s="7">
        <f t="shared" si="87"/>
        <v>0.44696260579427066</v>
      </c>
    </row>
    <row r="661" spans="1:49" x14ac:dyDescent="0.25">
      <c r="A661" t="s">
        <v>38</v>
      </c>
      <c r="B661" t="s">
        <v>229</v>
      </c>
      <c r="C661">
        <v>101365</v>
      </c>
      <c r="D661">
        <v>2015</v>
      </c>
      <c r="E661" t="s">
        <v>385</v>
      </c>
      <c r="F661" t="s">
        <v>386</v>
      </c>
      <c r="G661" t="s">
        <v>840</v>
      </c>
      <c r="I661">
        <v>4</v>
      </c>
      <c r="J661" t="s">
        <v>82</v>
      </c>
      <c r="K661">
        <v>4</v>
      </c>
      <c r="L661" t="s">
        <v>44</v>
      </c>
      <c r="M661">
        <v>2</v>
      </c>
      <c r="N661" t="s">
        <v>44</v>
      </c>
      <c r="O661" t="s">
        <v>46</v>
      </c>
      <c r="P661">
        <v>4</v>
      </c>
      <c r="Q661" t="s">
        <v>47</v>
      </c>
      <c r="R661" t="s">
        <v>48</v>
      </c>
      <c r="T661">
        <v>220</v>
      </c>
      <c r="U661" t="s">
        <v>50</v>
      </c>
      <c r="W661" t="s">
        <v>1016</v>
      </c>
      <c r="X661" t="s">
        <v>141</v>
      </c>
      <c r="Y661" t="s">
        <v>244</v>
      </c>
      <c r="AA661">
        <v>0</v>
      </c>
      <c r="AB661" t="s">
        <v>54</v>
      </c>
      <c r="AC661" t="s">
        <v>55</v>
      </c>
      <c r="AD661">
        <v>34</v>
      </c>
      <c r="AE661">
        <v>8</v>
      </c>
      <c r="AF661">
        <v>3</v>
      </c>
      <c r="AG661">
        <v>2025</v>
      </c>
      <c r="AH661" s="13">
        <v>6500</v>
      </c>
      <c r="AI661" s="13">
        <v>7648.97900390625</v>
      </c>
      <c r="AJ661" s="13">
        <f t="shared" si="80"/>
        <v>1148.97900390625</v>
      </c>
      <c r="AK661" s="14">
        <f t="shared" si="81"/>
        <v>0.17676600060096154</v>
      </c>
      <c r="AL661" s="9">
        <v>6500</v>
      </c>
      <c r="AM661" s="9">
        <v>6034.4500120923549</v>
      </c>
      <c r="AN661" s="9">
        <f t="shared" si="82"/>
        <v>465.54998790764512</v>
      </c>
      <c r="AO661" s="10">
        <f t="shared" si="83"/>
        <v>7.1623075062714633E-2</v>
      </c>
      <c r="AP661" s="16">
        <v>6500</v>
      </c>
      <c r="AQ661" s="16">
        <v>6336.1891720334252</v>
      </c>
      <c r="AR661" s="16">
        <f t="shared" si="84"/>
        <v>163.81082796657483</v>
      </c>
      <c r="AS661" s="17">
        <f t="shared" si="85"/>
        <v>2.5201665841011512E-2</v>
      </c>
      <c r="AT661" s="6">
        <v>6500</v>
      </c>
      <c r="AU661" s="6">
        <v>6176.21875</v>
      </c>
      <c r="AV661" s="6">
        <f t="shared" si="86"/>
        <v>323.78125</v>
      </c>
      <c r="AW661" s="7">
        <f t="shared" si="87"/>
        <v>4.9812500000000003E-2</v>
      </c>
    </row>
    <row r="662" spans="1:49" x14ac:dyDescent="0.25">
      <c r="A662" t="s">
        <v>38</v>
      </c>
      <c r="B662" t="s">
        <v>39</v>
      </c>
      <c r="C662">
        <v>66681</v>
      </c>
      <c r="D662">
        <v>2020</v>
      </c>
      <c r="E662" t="s">
        <v>58</v>
      </c>
      <c r="F662" t="s">
        <v>510</v>
      </c>
      <c r="H662" t="s">
        <v>584</v>
      </c>
      <c r="I662">
        <v>8</v>
      </c>
      <c r="J662" t="s">
        <v>43</v>
      </c>
      <c r="K662">
        <v>4</v>
      </c>
      <c r="L662" t="s">
        <v>44</v>
      </c>
      <c r="M662">
        <v>6.2</v>
      </c>
      <c r="N662" t="s">
        <v>62</v>
      </c>
      <c r="O662" t="s">
        <v>323</v>
      </c>
      <c r="Q662" t="s">
        <v>75</v>
      </c>
      <c r="R662" t="s">
        <v>76</v>
      </c>
      <c r="S662" t="s">
        <v>63</v>
      </c>
      <c r="T662">
        <v>383</v>
      </c>
      <c r="U662" t="s">
        <v>50</v>
      </c>
      <c r="V662" t="s">
        <v>64</v>
      </c>
      <c r="X662" t="s">
        <v>390</v>
      </c>
      <c r="Y662" t="s">
        <v>67</v>
      </c>
      <c r="AA662">
        <v>0</v>
      </c>
      <c r="AB662" t="s">
        <v>54</v>
      </c>
      <c r="AC662" t="s">
        <v>78</v>
      </c>
      <c r="AD662">
        <v>34</v>
      </c>
      <c r="AE662">
        <v>8</v>
      </c>
      <c r="AF662">
        <v>3</v>
      </c>
      <c r="AG662">
        <v>2025</v>
      </c>
      <c r="AH662" s="13">
        <v>10000</v>
      </c>
      <c r="AI662" s="13">
        <v>13101.7255859375</v>
      </c>
      <c r="AJ662" s="13">
        <f t="shared" si="80"/>
        <v>3101.7255859375</v>
      </c>
      <c r="AK662" s="14">
        <f t="shared" si="81"/>
        <v>0.31017255859374998</v>
      </c>
      <c r="AL662" s="9">
        <v>10000</v>
      </c>
      <c r="AM662" s="9">
        <v>11182.488072422841</v>
      </c>
      <c r="AN662" s="9">
        <f t="shared" si="82"/>
        <v>1182.4880724228406</v>
      </c>
      <c r="AO662" s="10">
        <f t="shared" si="83"/>
        <v>0.11824880724228405</v>
      </c>
      <c r="AP662" s="16">
        <v>10000</v>
      </c>
      <c r="AQ662" s="16">
        <v>8851.0544588819484</v>
      </c>
      <c r="AR662" s="16">
        <f t="shared" si="84"/>
        <v>1148.9455411180516</v>
      </c>
      <c r="AS662" s="17">
        <f t="shared" si="85"/>
        <v>0.11489455411180516</v>
      </c>
      <c r="AT662" s="6">
        <v>10000</v>
      </c>
      <c r="AU662" s="6">
        <v>9705.736328125</v>
      </c>
      <c r="AV662" s="6">
        <f t="shared" si="86"/>
        <v>294.263671875</v>
      </c>
      <c r="AW662" s="7">
        <f t="shared" si="87"/>
        <v>2.94263671875E-2</v>
      </c>
    </row>
    <row r="663" spans="1:49" x14ac:dyDescent="0.25">
      <c r="A663" t="s">
        <v>69</v>
      </c>
      <c r="B663" t="s">
        <v>70</v>
      </c>
      <c r="C663">
        <v>61522</v>
      </c>
      <c r="D663">
        <v>2019</v>
      </c>
      <c r="E663" t="s">
        <v>217</v>
      </c>
      <c r="F663" t="s">
        <v>162</v>
      </c>
      <c r="H663" t="s">
        <v>820</v>
      </c>
      <c r="I663">
        <v>8</v>
      </c>
      <c r="J663" t="s">
        <v>61</v>
      </c>
      <c r="K663">
        <v>4</v>
      </c>
      <c r="L663" t="s">
        <v>44</v>
      </c>
      <c r="M663">
        <v>5.7</v>
      </c>
      <c r="N663" t="s">
        <v>62</v>
      </c>
      <c r="O663" t="s">
        <v>46</v>
      </c>
      <c r="P663">
        <v>4</v>
      </c>
      <c r="Q663" t="s">
        <v>75</v>
      </c>
      <c r="R663" t="s">
        <v>76</v>
      </c>
      <c r="S663" t="s">
        <v>63</v>
      </c>
      <c r="T663">
        <v>395</v>
      </c>
      <c r="U663" t="s">
        <v>50</v>
      </c>
      <c r="V663" t="s">
        <v>64</v>
      </c>
      <c r="X663" t="s">
        <v>77</v>
      </c>
      <c r="Y663" t="s">
        <v>67</v>
      </c>
      <c r="AA663">
        <v>0</v>
      </c>
      <c r="AB663" t="s">
        <v>54</v>
      </c>
      <c r="AC663" t="s">
        <v>78</v>
      </c>
      <c r="AD663">
        <v>34</v>
      </c>
      <c r="AE663">
        <v>8</v>
      </c>
      <c r="AF663">
        <v>3</v>
      </c>
      <c r="AG663">
        <v>2025</v>
      </c>
      <c r="AH663" s="13">
        <v>30600</v>
      </c>
      <c r="AI663" s="13">
        <v>27761.369140625</v>
      </c>
      <c r="AJ663" s="13">
        <f t="shared" si="80"/>
        <v>2838.630859375</v>
      </c>
      <c r="AK663" s="14">
        <f t="shared" si="81"/>
        <v>9.2765714358660128E-2</v>
      </c>
      <c r="AL663" s="9">
        <v>30600</v>
      </c>
      <c r="AM663" s="9">
        <v>33112.920747922668</v>
      </c>
      <c r="AN663" s="9">
        <f t="shared" si="82"/>
        <v>2512.9207479226679</v>
      </c>
      <c r="AO663" s="10">
        <f t="shared" si="83"/>
        <v>8.212159306936824E-2</v>
      </c>
      <c r="AP663" s="16">
        <v>30600</v>
      </c>
      <c r="AQ663" s="16">
        <v>30350.919529608131</v>
      </c>
      <c r="AR663" s="16">
        <f t="shared" si="84"/>
        <v>249.08047039186931</v>
      </c>
      <c r="AS663" s="17">
        <f t="shared" si="85"/>
        <v>8.1398846533290627E-3</v>
      </c>
      <c r="AT663" s="6">
        <v>30600</v>
      </c>
      <c r="AU663" s="6">
        <v>30383.986328125</v>
      </c>
      <c r="AV663" s="6">
        <f t="shared" si="86"/>
        <v>216.013671875</v>
      </c>
      <c r="AW663" s="7">
        <f t="shared" si="87"/>
        <v>7.0592703227124187E-3</v>
      </c>
    </row>
    <row r="664" spans="1:49" x14ac:dyDescent="0.25">
      <c r="A664" t="s">
        <v>107</v>
      </c>
      <c r="B664" t="s">
        <v>256</v>
      </c>
      <c r="C664">
        <v>85598</v>
      </c>
      <c r="D664">
        <v>2020</v>
      </c>
      <c r="E664" t="s">
        <v>40</v>
      </c>
      <c r="F664" t="s">
        <v>312</v>
      </c>
      <c r="G664" t="s">
        <v>993</v>
      </c>
      <c r="I664">
        <v>4</v>
      </c>
      <c r="J664" t="s">
        <v>74</v>
      </c>
      <c r="K664">
        <v>4</v>
      </c>
      <c r="L664" t="s">
        <v>44</v>
      </c>
      <c r="M664">
        <v>2</v>
      </c>
      <c r="N664" t="s">
        <v>45</v>
      </c>
      <c r="O664" t="s">
        <v>46</v>
      </c>
      <c r="P664">
        <v>2</v>
      </c>
      <c r="Q664" t="s">
        <v>84</v>
      </c>
      <c r="R664" t="s">
        <v>85</v>
      </c>
      <c r="T664">
        <v>147</v>
      </c>
      <c r="U664" t="s">
        <v>50</v>
      </c>
      <c r="W664" t="s">
        <v>328</v>
      </c>
      <c r="X664" t="s">
        <v>87</v>
      </c>
      <c r="Y664" t="s">
        <v>106</v>
      </c>
      <c r="AA664">
        <v>0</v>
      </c>
      <c r="AB664" t="s">
        <v>54</v>
      </c>
      <c r="AC664" t="s">
        <v>89</v>
      </c>
      <c r="AD664">
        <v>34</v>
      </c>
      <c r="AE664">
        <v>8</v>
      </c>
      <c r="AF664">
        <v>3</v>
      </c>
      <c r="AG664">
        <v>2025</v>
      </c>
      <c r="AH664" s="13">
        <v>7900</v>
      </c>
      <c r="AI664" s="13">
        <v>6061.72802734375</v>
      </c>
      <c r="AJ664" s="13">
        <f t="shared" si="80"/>
        <v>1838.27197265625</v>
      </c>
      <c r="AK664" s="14">
        <f t="shared" si="81"/>
        <v>0.23269265476661394</v>
      </c>
      <c r="AL664" s="9">
        <v>7900</v>
      </c>
      <c r="AM664" s="9">
        <v>6116.2622739827411</v>
      </c>
      <c r="AN664" s="9">
        <f t="shared" si="82"/>
        <v>1783.7377260172589</v>
      </c>
      <c r="AO664" s="10">
        <f t="shared" si="83"/>
        <v>0.22578958557180492</v>
      </c>
      <c r="AP664" s="16">
        <v>7900</v>
      </c>
      <c r="AQ664" s="16">
        <v>6142.6653969005647</v>
      </c>
      <c r="AR664" s="16">
        <f t="shared" si="84"/>
        <v>1757.3346030994353</v>
      </c>
      <c r="AS664" s="17">
        <f t="shared" si="85"/>
        <v>0.22244741811385257</v>
      </c>
      <c r="AT664" s="6">
        <v>7900</v>
      </c>
      <c r="AU664" s="6">
        <v>6362.50830078125</v>
      </c>
      <c r="AV664" s="6">
        <f t="shared" si="86"/>
        <v>1537.49169921875</v>
      </c>
      <c r="AW664" s="7">
        <f t="shared" si="87"/>
        <v>0.19461920243275316</v>
      </c>
    </row>
    <row r="665" spans="1:49" x14ac:dyDescent="0.25">
      <c r="A665" t="s">
        <v>38</v>
      </c>
      <c r="B665" t="s">
        <v>132</v>
      </c>
      <c r="C665">
        <v>36594</v>
      </c>
      <c r="D665">
        <v>2024</v>
      </c>
      <c r="E665" t="s">
        <v>173</v>
      </c>
      <c r="F665" t="s">
        <v>943</v>
      </c>
      <c r="H665" t="s">
        <v>462</v>
      </c>
      <c r="I665">
        <v>6</v>
      </c>
      <c r="J665" t="s">
        <v>94</v>
      </c>
      <c r="K665">
        <v>4</v>
      </c>
      <c r="L665" t="s">
        <v>44</v>
      </c>
      <c r="M665">
        <v>3.6</v>
      </c>
      <c r="N665" t="s">
        <v>62</v>
      </c>
      <c r="O665" t="s">
        <v>46</v>
      </c>
      <c r="P665">
        <v>4</v>
      </c>
      <c r="Q665" t="s">
        <v>47</v>
      </c>
      <c r="R665" t="s">
        <v>48</v>
      </c>
      <c r="S665" t="s">
        <v>63</v>
      </c>
      <c r="T665">
        <v>293</v>
      </c>
      <c r="U665" t="s">
        <v>50</v>
      </c>
      <c r="V665" t="s">
        <v>64</v>
      </c>
      <c r="X665" t="s">
        <v>66</v>
      </c>
      <c r="Y665" t="s">
        <v>67</v>
      </c>
      <c r="AA665">
        <v>0</v>
      </c>
      <c r="AB665" t="s">
        <v>54</v>
      </c>
      <c r="AC665" t="s">
        <v>68</v>
      </c>
      <c r="AD665">
        <v>34</v>
      </c>
      <c r="AE665">
        <v>8</v>
      </c>
      <c r="AF665">
        <v>3</v>
      </c>
      <c r="AG665">
        <v>2025</v>
      </c>
      <c r="AH665" s="13">
        <v>28600</v>
      </c>
      <c r="AI665" s="13">
        <v>35720.98046875</v>
      </c>
      <c r="AJ665" s="13">
        <f t="shared" si="80"/>
        <v>7120.98046875</v>
      </c>
      <c r="AK665" s="14">
        <f t="shared" si="81"/>
        <v>0.24898533107517481</v>
      </c>
      <c r="AL665" s="9">
        <v>28600</v>
      </c>
      <c r="AM665" s="9">
        <v>36473.430013899662</v>
      </c>
      <c r="AN665" s="9">
        <f t="shared" si="82"/>
        <v>7873.4300138996623</v>
      </c>
      <c r="AO665" s="10">
        <f t="shared" si="83"/>
        <v>0.2752947557307574</v>
      </c>
      <c r="AP665" s="16">
        <v>28600</v>
      </c>
      <c r="AQ665" s="16">
        <v>32706.013032916639</v>
      </c>
      <c r="AR665" s="16">
        <f t="shared" si="84"/>
        <v>4106.0130329166386</v>
      </c>
      <c r="AS665" s="17">
        <f t="shared" si="85"/>
        <v>0.14356688926281952</v>
      </c>
      <c r="AT665" s="6">
        <v>28600</v>
      </c>
      <c r="AU665" s="6">
        <v>33464.62109375</v>
      </c>
      <c r="AV665" s="6">
        <f t="shared" si="86"/>
        <v>4864.62109375</v>
      </c>
      <c r="AW665" s="7">
        <f t="shared" si="87"/>
        <v>0.17009164663461537</v>
      </c>
    </row>
    <row r="666" spans="1:49" x14ac:dyDescent="0.25">
      <c r="A666" t="s">
        <v>107</v>
      </c>
      <c r="B666" t="s">
        <v>256</v>
      </c>
      <c r="C666">
        <v>236990</v>
      </c>
      <c r="D666">
        <v>2003</v>
      </c>
      <c r="E666" t="s">
        <v>91</v>
      </c>
      <c r="F666" t="s">
        <v>92</v>
      </c>
      <c r="H666" t="s">
        <v>1017</v>
      </c>
      <c r="I666">
        <v>4</v>
      </c>
      <c r="J666" t="s">
        <v>82</v>
      </c>
      <c r="K666">
        <v>4</v>
      </c>
      <c r="L666" t="s">
        <v>44</v>
      </c>
      <c r="M666">
        <v>2.4</v>
      </c>
      <c r="N666" t="s">
        <v>45</v>
      </c>
      <c r="O666" t="s">
        <v>46</v>
      </c>
      <c r="P666">
        <v>3</v>
      </c>
      <c r="Q666" t="s">
        <v>84</v>
      </c>
      <c r="R666" t="s">
        <v>85</v>
      </c>
      <c r="S666" t="s">
        <v>49</v>
      </c>
      <c r="T666">
        <v>157</v>
      </c>
      <c r="U666" t="s">
        <v>50</v>
      </c>
      <c r="V666" t="s">
        <v>95</v>
      </c>
      <c r="W666" t="s">
        <v>96</v>
      </c>
      <c r="X666" t="s">
        <v>87</v>
      </c>
      <c r="Y666" t="s">
        <v>67</v>
      </c>
      <c r="AA666">
        <v>0</v>
      </c>
      <c r="AB666" t="s">
        <v>54</v>
      </c>
      <c r="AC666" t="s">
        <v>89</v>
      </c>
      <c r="AD666">
        <v>34</v>
      </c>
      <c r="AE666">
        <v>8</v>
      </c>
      <c r="AF666">
        <v>3</v>
      </c>
      <c r="AG666">
        <v>2025</v>
      </c>
      <c r="AH666" s="13">
        <v>800</v>
      </c>
      <c r="AI666" s="13">
        <v>661.76654052734375</v>
      </c>
      <c r="AJ666" s="13">
        <f t="shared" si="80"/>
        <v>138.23345947265625</v>
      </c>
      <c r="AK666" s="14">
        <f t="shared" si="81"/>
        <v>0.1727918243408203</v>
      </c>
      <c r="AL666" s="9">
        <v>800</v>
      </c>
      <c r="AM666" s="9">
        <v>764.95374021368161</v>
      </c>
      <c r="AN666" s="9">
        <f t="shared" si="82"/>
        <v>35.046259786318387</v>
      </c>
      <c r="AO666" s="10">
        <f t="shared" si="83"/>
        <v>4.3807824732897988E-2</v>
      </c>
      <c r="AP666" s="16">
        <v>800</v>
      </c>
      <c r="AQ666" s="16">
        <v>614.47528461740194</v>
      </c>
      <c r="AR666" s="16">
        <f t="shared" si="84"/>
        <v>185.52471538259806</v>
      </c>
      <c r="AS666" s="17">
        <f t="shared" si="85"/>
        <v>0.23190589422824759</v>
      </c>
      <c r="AT666" s="6">
        <v>800</v>
      </c>
      <c r="AU666" s="6">
        <v>698.73193359375</v>
      </c>
      <c r="AV666" s="6">
        <f t="shared" si="86"/>
        <v>101.26806640625</v>
      </c>
      <c r="AW666" s="7">
        <f t="shared" si="87"/>
        <v>0.12658508300781249</v>
      </c>
    </row>
    <row r="667" spans="1:49" x14ac:dyDescent="0.25">
      <c r="A667" t="s">
        <v>56</v>
      </c>
      <c r="B667" t="s">
        <v>178</v>
      </c>
      <c r="C667">
        <v>122072</v>
      </c>
      <c r="D667">
        <v>2016</v>
      </c>
      <c r="E667" t="s">
        <v>79</v>
      </c>
      <c r="F667" t="s">
        <v>80</v>
      </c>
      <c r="G667" t="s">
        <v>674</v>
      </c>
      <c r="I667">
        <v>4</v>
      </c>
      <c r="J667" t="s">
        <v>43</v>
      </c>
      <c r="K667">
        <v>4</v>
      </c>
      <c r="L667" t="s">
        <v>44</v>
      </c>
      <c r="M667">
        <v>2.5</v>
      </c>
      <c r="N667" t="s">
        <v>45</v>
      </c>
      <c r="O667" t="s">
        <v>46</v>
      </c>
      <c r="P667">
        <v>4</v>
      </c>
      <c r="Q667" t="s">
        <v>84</v>
      </c>
      <c r="R667" t="s">
        <v>85</v>
      </c>
      <c r="U667" t="s">
        <v>50</v>
      </c>
      <c r="V667" t="s">
        <v>95</v>
      </c>
      <c r="W667" t="s">
        <v>1018</v>
      </c>
      <c r="X667" t="s">
        <v>87</v>
      </c>
      <c r="Y667" t="s">
        <v>88</v>
      </c>
      <c r="AA667">
        <v>0</v>
      </c>
      <c r="AB667" t="s">
        <v>54</v>
      </c>
      <c r="AC667" t="s">
        <v>89</v>
      </c>
      <c r="AD667">
        <v>34</v>
      </c>
      <c r="AE667">
        <v>8</v>
      </c>
      <c r="AF667">
        <v>3</v>
      </c>
      <c r="AG667">
        <v>2025</v>
      </c>
      <c r="AH667" s="13">
        <v>6700</v>
      </c>
      <c r="AI667" s="13">
        <v>7965.912109375</v>
      </c>
      <c r="AJ667" s="13">
        <f t="shared" si="80"/>
        <v>1265.912109375</v>
      </c>
      <c r="AK667" s="14">
        <f t="shared" si="81"/>
        <v>0.18894210587686566</v>
      </c>
      <c r="AL667" s="9">
        <v>6700</v>
      </c>
      <c r="AM667" s="9">
        <v>5867.0695350565757</v>
      </c>
      <c r="AN667" s="9">
        <f t="shared" si="82"/>
        <v>832.93046494342434</v>
      </c>
      <c r="AO667" s="10">
        <f t="shared" si="83"/>
        <v>0.12431797984230214</v>
      </c>
      <c r="AP667" s="16">
        <v>6700</v>
      </c>
      <c r="AQ667" s="16">
        <v>5529.8397103011221</v>
      </c>
      <c r="AR667" s="16">
        <f t="shared" si="84"/>
        <v>1170.1602896988779</v>
      </c>
      <c r="AS667" s="17">
        <f t="shared" si="85"/>
        <v>0.17465078950729521</v>
      </c>
      <c r="AT667" s="6">
        <v>6700</v>
      </c>
      <c r="AU667" s="6">
        <v>5648.49951171875</v>
      </c>
      <c r="AV667" s="6">
        <f t="shared" si="86"/>
        <v>1051.50048828125</v>
      </c>
      <c r="AW667" s="7">
        <f t="shared" si="87"/>
        <v>0.15694037138526121</v>
      </c>
    </row>
    <row r="668" spans="1:49" x14ac:dyDescent="0.25">
      <c r="A668" t="s">
        <v>38</v>
      </c>
      <c r="B668" t="s">
        <v>167</v>
      </c>
      <c r="C668">
        <v>180105</v>
      </c>
      <c r="D668">
        <v>2011</v>
      </c>
      <c r="E668" t="s">
        <v>98</v>
      </c>
      <c r="F668" t="s">
        <v>109</v>
      </c>
      <c r="G668" t="s">
        <v>842</v>
      </c>
      <c r="I668">
        <v>4</v>
      </c>
      <c r="J668" t="s">
        <v>127</v>
      </c>
      <c r="K668">
        <v>4</v>
      </c>
      <c r="L668" t="s">
        <v>44</v>
      </c>
      <c r="M668">
        <v>2.4</v>
      </c>
      <c r="N668" t="s">
        <v>45</v>
      </c>
      <c r="O668" t="s">
        <v>46</v>
      </c>
      <c r="Q668" t="s">
        <v>47</v>
      </c>
      <c r="R668" t="s">
        <v>48</v>
      </c>
      <c r="S668" t="s">
        <v>102</v>
      </c>
      <c r="U668" t="s">
        <v>50</v>
      </c>
      <c r="W668" t="s">
        <v>306</v>
      </c>
      <c r="X668" t="s">
        <v>52</v>
      </c>
      <c r="Y668" t="s">
        <v>88</v>
      </c>
      <c r="AA668">
        <v>0</v>
      </c>
      <c r="AB668" t="s">
        <v>54</v>
      </c>
      <c r="AC668" t="s">
        <v>55</v>
      </c>
      <c r="AD668">
        <v>34</v>
      </c>
      <c r="AE668">
        <v>8</v>
      </c>
      <c r="AF668">
        <v>3</v>
      </c>
      <c r="AG668">
        <v>2025</v>
      </c>
      <c r="AH668" s="13">
        <v>2000</v>
      </c>
      <c r="AI668" s="13">
        <v>1652.196899414062</v>
      </c>
      <c r="AJ668" s="13">
        <f t="shared" si="80"/>
        <v>347.80310058593795</v>
      </c>
      <c r="AK668" s="14">
        <f t="shared" si="81"/>
        <v>0.17390155029296897</v>
      </c>
      <c r="AL668" s="9">
        <v>2000</v>
      </c>
      <c r="AM668" s="9">
        <v>1615.6488782364929</v>
      </c>
      <c r="AN668" s="9">
        <f t="shared" si="82"/>
        <v>384.35112176350708</v>
      </c>
      <c r="AO668" s="10">
        <f t="shared" si="83"/>
        <v>0.19217556088175353</v>
      </c>
      <c r="AP668" s="16">
        <v>2000</v>
      </c>
      <c r="AQ668" s="16">
        <v>1269.058044587968</v>
      </c>
      <c r="AR668" s="16">
        <f t="shared" si="84"/>
        <v>730.94195541203203</v>
      </c>
      <c r="AS668" s="17">
        <f t="shared" si="85"/>
        <v>0.365470977706016</v>
      </c>
      <c r="AT668" s="6">
        <v>2000</v>
      </c>
      <c r="AU668" s="6">
        <v>1577.413940429688</v>
      </c>
      <c r="AV668" s="6">
        <f t="shared" si="86"/>
        <v>422.58605957031205</v>
      </c>
      <c r="AW668" s="7">
        <f t="shared" si="87"/>
        <v>0.21129302978515602</v>
      </c>
    </row>
    <row r="669" spans="1:49" x14ac:dyDescent="0.25">
      <c r="A669" t="s">
        <v>56</v>
      </c>
      <c r="B669" t="s">
        <v>303</v>
      </c>
      <c r="C669">
        <v>203408</v>
      </c>
      <c r="D669">
        <v>2000</v>
      </c>
      <c r="E669" t="s">
        <v>224</v>
      </c>
      <c r="F669" t="s">
        <v>225</v>
      </c>
      <c r="G669" t="s">
        <v>496</v>
      </c>
      <c r="H669" t="s">
        <v>1019</v>
      </c>
      <c r="I669">
        <v>6</v>
      </c>
      <c r="J669" t="s">
        <v>257</v>
      </c>
      <c r="K669">
        <v>4</v>
      </c>
      <c r="L669" t="s">
        <v>44</v>
      </c>
      <c r="M669">
        <v>3</v>
      </c>
      <c r="N669" t="s">
        <v>62</v>
      </c>
      <c r="O669" t="s">
        <v>46</v>
      </c>
      <c r="P669">
        <v>2</v>
      </c>
      <c r="Q669" t="s">
        <v>47</v>
      </c>
      <c r="R669" t="s">
        <v>48</v>
      </c>
      <c r="S669" t="s">
        <v>63</v>
      </c>
      <c r="T669">
        <v>220</v>
      </c>
      <c r="U669" t="s">
        <v>50</v>
      </c>
      <c r="V669" t="s">
        <v>64</v>
      </c>
      <c r="W669" t="s">
        <v>1020</v>
      </c>
      <c r="X669" t="s">
        <v>52</v>
      </c>
      <c r="Y669" t="s">
        <v>97</v>
      </c>
      <c r="AA669">
        <v>0</v>
      </c>
      <c r="AB669" t="s">
        <v>54</v>
      </c>
      <c r="AC669" t="s">
        <v>55</v>
      </c>
      <c r="AD669">
        <v>34</v>
      </c>
      <c r="AE669">
        <v>8</v>
      </c>
      <c r="AF669">
        <v>3</v>
      </c>
      <c r="AG669">
        <v>2025</v>
      </c>
      <c r="AH669" s="13">
        <v>1200</v>
      </c>
      <c r="AI669" s="13">
        <v>632.37982177734375</v>
      </c>
      <c r="AJ669" s="13">
        <f t="shared" si="80"/>
        <v>567.62017822265625</v>
      </c>
      <c r="AK669" s="14">
        <f t="shared" si="81"/>
        <v>0.47301681518554689</v>
      </c>
      <c r="AL669" s="9">
        <v>1200</v>
      </c>
      <c r="AM669" s="9">
        <v>852.73952320233218</v>
      </c>
      <c r="AN669" s="9">
        <f t="shared" si="82"/>
        <v>347.26047679766782</v>
      </c>
      <c r="AO669" s="10">
        <f t="shared" si="83"/>
        <v>0.28938373066472317</v>
      </c>
      <c r="AP669" s="16">
        <v>1200</v>
      </c>
      <c r="AQ669" s="16">
        <v>582.16327116619573</v>
      </c>
      <c r="AR669" s="16">
        <f t="shared" si="84"/>
        <v>617.83672883380427</v>
      </c>
      <c r="AS669" s="17">
        <f t="shared" si="85"/>
        <v>0.51486394069483687</v>
      </c>
      <c r="AT669" s="6">
        <v>1200</v>
      </c>
      <c r="AU669" s="6">
        <v>630.4715576171875</v>
      </c>
      <c r="AV669" s="6">
        <f t="shared" si="86"/>
        <v>569.5284423828125</v>
      </c>
      <c r="AW669" s="7">
        <f t="shared" si="87"/>
        <v>0.47460703531901044</v>
      </c>
    </row>
    <row r="670" spans="1:49" x14ac:dyDescent="0.25">
      <c r="A670" t="s">
        <v>69</v>
      </c>
      <c r="B670" t="s">
        <v>70</v>
      </c>
      <c r="C670">
        <v>170435</v>
      </c>
      <c r="D670">
        <v>2017</v>
      </c>
      <c r="E670" t="s">
        <v>205</v>
      </c>
      <c r="F670" t="s">
        <v>950</v>
      </c>
      <c r="I670">
        <v>8</v>
      </c>
      <c r="J670" t="s">
        <v>43</v>
      </c>
      <c r="K670">
        <v>4</v>
      </c>
      <c r="L670" t="s">
        <v>44</v>
      </c>
      <c r="M670">
        <v>5.6</v>
      </c>
      <c r="N670" t="s">
        <v>116</v>
      </c>
      <c r="O670" t="s">
        <v>46</v>
      </c>
      <c r="P670">
        <v>4</v>
      </c>
      <c r="Q670" t="s">
        <v>47</v>
      </c>
      <c r="R670" t="s">
        <v>48</v>
      </c>
      <c r="S670" t="s">
        <v>49</v>
      </c>
      <c r="U670" t="s">
        <v>50</v>
      </c>
      <c r="X670" t="s">
        <v>77</v>
      </c>
      <c r="Y670" t="s">
        <v>97</v>
      </c>
      <c r="AA670">
        <v>0</v>
      </c>
      <c r="AB670" t="s">
        <v>54</v>
      </c>
      <c r="AC670" t="s">
        <v>55</v>
      </c>
      <c r="AD670">
        <v>34</v>
      </c>
      <c r="AE670">
        <v>8</v>
      </c>
      <c r="AF670">
        <v>3</v>
      </c>
      <c r="AG670">
        <v>2025</v>
      </c>
      <c r="AH670" s="13">
        <v>3200</v>
      </c>
      <c r="AI670" s="13">
        <v>9085.732421875</v>
      </c>
      <c r="AJ670" s="13">
        <f t="shared" si="80"/>
        <v>5885.732421875</v>
      </c>
      <c r="AK670" s="14">
        <f t="shared" si="81"/>
        <v>1.8392913818359375</v>
      </c>
      <c r="AL670" s="9">
        <v>3200</v>
      </c>
      <c r="AM670" s="9">
        <v>8643.3803965902916</v>
      </c>
      <c r="AN670" s="9">
        <f t="shared" si="82"/>
        <v>5443.3803965902916</v>
      </c>
      <c r="AO670" s="10">
        <f t="shared" si="83"/>
        <v>1.7010563739344662</v>
      </c>
      <c r="AP670" s="16">
        <v>3200</v>
      </c>
      <c r="AQ670" s="16">
        <v>7240.0531724792363</v>
      </c>
      <c r="AR670" s="16">
        <f t="shared" si="84"/>
        <v>4040.0531724792363</v>
      </c>
      <c r="AS670" s="17">
        <f t="shared" si="85"/>
        <v>1.2625166163997614</v>
      </c>
      <c r="AT670" s="6">
        <v>3200</v>
      </c>
      <c r="AU670" s="6">
        <v>7813.95654296875</v>
      </c>
      <c r="AV670" s="6">
        <f t="shared" si="86"/>
        <v>4613.95654296875</v>
      </c>
      <c r="AW670" s="7">
        <f t="shared" si="87"/>
        <v>1.4418614196777344</v>
      </c>
    </row>
    <row r="671" spans="1:49" x14ac:dyDescent="0.25">
      <c r="A671" t="s">
        <v>56</v>
      </c>
      <c r="B671" t="s">
        <v>104</v>
      </c>
      <c r="C671">
        <v>213429</v>
      </c>
      <c r="D671">
        <v>2010</v>
      </c>
      <c r="E671" t="s">
        <v>91</v>
      </c>
      <c r="F671" t="s">
        <v>789</v>
      </c>
      <c r="H671" t="s">
        <v>1021</v>
      </c>
      <c r="I671">
        <v>4</v>
      </c>
      <c r="J671" t="s">
        <v>74</v>
      </c>
      <c r="K671">
        <v>4</v>
      </c>
      <c r="L671" t="s">
        <v>44</v>
      </c>
      <c r="M671">
        <v>1.8</v>
      </c>
      <c r="N671" t="s">
        <v>45</v>
      </c>
      <c r="O671" t="s">
        <v>46</v>
      </c>
      <c r="Q671" t="s">
        <v>84</v>
      </c>
      <c r="R671" t="s">
        <v>157</v>
      </c>
      <c r="S671" t="s">
        <v>49</v>
      </c>
      <c r="U671" t="s">
        <v>50</v>
      </c>
      <c r="V671" t="s">
        <v>95</v>
      </c>
      <c r="W671" t="s">
        <v>1022</v>
      </c>
      <c r="X671" t="s">
        <v>122</v>
      </c>
      <c r="Y671" t="s">
        <v>97</v>
      </c>
      <c r="AA671">
        <v>1</v>
      </c>
      <c r="AB671" t="s">
        <v>130</v>
      </c>
      <c r="AC671" t="s">
        <v>620</v>
      </c>
      <c r="AD671">
        <v>34</v>
      </c>
      <c r="AE671">
        <v>8</v>
      </c>
      <c r="AF671">
        <v>3</v>
      </c>
      <c r="AG671">
        <v>2025</v>
      </c>
      <c r="AH671" s="13">
        <v>2300</v>
      </c>
      <c r="AI671" s="13">
        <v>1254.29833984375</v>
      </c>
      <c r="AJ671" s="13">
        <f t="shared" si="80"/>
        <v>1045.70166015625</v>
      </c>
      <c r="AK671" s="14">
        <f t="shared" si="81"/>
        <v>0.4546528957201087</v>
      </c>
      <c r="AL671" s="9">
        <v>2300</v>
      </c>
      <c r="AM671" s="9">
        <v>1316.587315104053</v>
      </c>
      <c r="AN671" s="9">
        <f t="shared" si="82"/>
        <v>983.412684895947</v>
      </c>
      <c r="AO671" s="10">
        <f t="shared" si="83"/>
        <v>0.42757073256345524</v>
      </c>
      <c r="AP671" s="16">
        <v>2300</v>
      </c>
      <c r="AQ671" s="16">
        <v>1080.410989668685</v>
      </c>
      <c r="AR671" s="16">
        <f t="shared" si="84"/>
        <v>1219.589010331315</v>
      </c>
      <c r="AS671" s="17">
        <f t="shared" si="85"/>
        <v>0.5302560914483978</v>
      </c>
      <c r="AT671" s="6">
        <v>2300</v>
      </c>
      <c r="AU671" s="6">
        <v>1010.029174804688</v>
      </c>
      <c r="AV671" s="6">
        <f t="shared" si="86"/>
        <v>1289.970825195312</v>
      </c>
      <c r="AW671" s="7">
        <f t="shared" si="87"/>
        <v>0.56085688051970084</v>
      </c>
    </row>
    <row r="672" spans="1:49" x14ac:dyDescent="0.25">
      <c r="A672" t="s">
        <v>56</v>
      </c>
      <c r="B672" t="s">
        <v>57</v>
      </c>
      <c r="C672">
        <v>38585</v>
      </c>
      <c r="D672">
        <v>2024</v>
      </c>
      <c r="E672" t="s">
        <v>184</v>
      </c>
      <c r="F672" t="s">
        <v>1023</v>
      </c>
      <c r="G672" t="s">
        <v>1024</v>
      </c>
      <c r="I672">
        <v>4</v>
      </c>
      <c r="J672" t="s">
        <v>82</v>
      </c>
      <c r="K672">
        <v>4</v>
      </c>
      <c r="L672" t="s">
        <v>44</v>
      </c>
      <c r="M672">
        <v>2.5</v>
      </c>
      <c r="N672" t="s">
        <v>44</v>
      </c>
      <c r="O672" t="s">
        <v>46</v>
      </c>
      <c r="P672">
        <v>4</v>
      </c>
      <c r="Q672" t="s">
        <v>47</v>
      </c>
      <c r="R672" t="s">
        <v>48</v>
      </c>
      <c r="S672" t="s">
        <v>63</v>
      </c>
      <c r="T672">
        <v>187</v>
      </c>
      <c r="U672" t="s">
        <v>50</v>
      </c>
      <c r="V672" t="s">
        <v>95</v>
      </c>
      <c r="W672" t="s">
        <v>479</v>
      </c>
      <c r="X672" t="s">
        <v>52</v>
      </c>
      <c r="Y672" t="s">
        <v>67</v>
      </c>
      <c r="AA672">
        <v>0</v>
      </c>
      <c r="AB672" t="s">
        <v>54</v>
      </c>
      <c r="AC672" t="s">
        <v>55</v>
      </c>
      <c r="AD672">
        <v>34</v>
      </c>
      <c r="AE672">
        <v>8</v>
      </c>
      <c r="AF672">
        <v>3</v>
      </c>
      <c r="AG672">
        <v>2025</v>
      </c>
      <c r="AH672" s="13">
        <v>24250</v>
      </c>
      <c r="AI672" s="13">
        <v>23219.052734375</v>
      </c>
      <c r="AJ672" s="13">
        <f t="shared" si="80"/>
        <v>1030.947265625</v>
      </c>
      <c r="AK672" s="14">
        <f t="shared" si="81"/>
        <v>4.2513289304123708E-2</v>
      </c>
      <c r="AL672" s="9">
        <v>24250</v>
      </c>
      <c r="AM672" s="9">
        <v>23286.542532769479</v>
      </c>
      <c r="AN672" s="9">
        <f t="shared" si="82"/>
        <v>963.45746723052071</v>
      </c>
      <c r="AO672" s="10">
        <f t="shared" si="83"/>
        <v>3.973020483424828E-2</v>
      </c>
      <c r="AP672" s="16">
        <v>24250</v>
      </c>
      <c r="AQ672" s="16">
        <v>21642.796096566879</v>
      </c>
      <c r="AR672" s="16">
        <f t="shared" si="84"/>
        <v>2607.203903433121</v>
      </c>
      <c r="AS672" s="17">
        <f t="shared" si="85"/>
        <v>0.10751356302816995</v>
      </c>
      <c r="AT672" s="6">
        <v>24250</v>
      </c>
      <c r="AU672" s="6">
        <v>22433.759765625</v>
      </c>
      <c r="AV672" s="6">
        <f t="shared" si="86"/>
        <v>1816.240234375</v>
      </c>
      <c r="AW672" s="7">
        <f t="shared" si="87"/>
        <v>7.4896504510309284E-2</v>
      </c>
    </row>
    <row r="673" spans="1:49" x14ac:dyDescent="0.25">
      <c r="A673" t="s">
        <v>69</v>
      </c>
      <c r="B673" t="s">
        <v>70</v>
      </c>
      <c r="C673">
        <v>59216</v>
      </c>
      <c r="D673">
        <v>2018</v>
      </c>
      <c r="E673" t="s">
        <v>58</v>
      </c>
      <c r="F673" t="s">
        <v>258</v>
      </c>
      <c r="H673" t="s">
        <v>268</v>
      </c>
      <c r="I673">
        <v>4</v>
      </c>
      <c r="J673" t="s">
        <v>94</v>
      </c>
      <c r="K673">
        <v>4</v>
      </c>
      <c r="L673" t="s">
        <v>44</v>
      </c>
      <c r="M673">
        <v>1.5</v>
      </c>
      <c r="N673" t="s">
        <v>62</v>
      </c>
      <c r="O673" t="s">
        <v>46</v>
      </c>
      <c r="P673">
        <v>4</v>
      </c>
      <c r="Q673" t="s">
        <v>47</v>
      </c>
      <c r="R673" t="s">
        <v>48</v>
      </c>
      <c r="S673" t="s">
        <v>63</v>
      </c>
      <c r="T673">
        <v>170</v>
      </c>
      <c r="U673" t="s">
        <v>50</v>
      </c>
      <c r="V673" t="s">
        <v>95</v>
      </c>
      <c r="W673" t="s">
        <v>688</v>
      </c>
      <c r="X673" t="s">
        <v>52</v>
      </c>
      <c r="Y673" t="s">
        <v>67</v>
      </c>
      <c r="Z673">
        <v>25700</v>
      </c>
      <c r="AA673">
        <v>0</v>
      </c>
      <c r="AB673" t="s">
        <v>54</v>
      </c>
      <c r="AC673" t="s">
        <v>55</v>
      </c>
      <c r="AD673">
        <v>34</v>
      </c>
      <c r="AE673">
        <v>8</v>
      </c>
      <c r="AF673">
        <v>3</v>
      </c>
      <c r="AG673">
        <v>2025</v>
      </c>
      <c r="AH673" s="13">
        <v>10600</v>
      </c>
      <c r="AI673" s="13">
        <v>9731.74609375</v>
      </c>
      <c r="AJ673" s="13">
        <f t="shared" si="80"/>
        <v>868.25390625</v>
      </c>
      <c r="AK673" s="14">
        <f t="shared" si="81"/>
        <v>8.1910745872641508E-2</v>
      </c>
      <c r="AL673" s="9">
        <v>10600</v>
      </c>
      <c r="AM673" s="9">
        <v>11019.95792861918</v>
      </c>
      <c r="AN673" s="9">
        <f t="shared" si="82"/>
        <v>419.95792861918017</v>
      </c>
      <c r="AO673" s="10">
        <f t="shared" si="83"/>
        <v>3.9618672511243409E-2</v>
      </c>
      <c r="AP673" s="16">
        <v>10600</v>
      </c>
      <c r="AQ673" s="16">
        <v>11184.61847752663</v>
      </c>
      <c r="AR673" s="16">
        <f t="shared" si="84"/>
        <v>584.61847752663016</v>
      </c>
      <c r="AS673" s="17">
        <f t="shared" si="85"/>
        <v>5.5152686559116051E-2</v>
      </c>
      <c r="AT673" s="6">
        <v>10600</v>
      </c>
      <c r="AU673" s="6">
        <v>10689.064453125</v>
      </c>
      <c r="AV673" s="6">
        <f t="shared" si="86"/>
        <v>89.064453125</v>
      </c>
      <c r="AW673" s="7">
        <f t="shared" si="87"/>
        <v>8.4023068985849061E-3</v>
      </c>
    </row>
    <row r="674" spans="1:49" x14ac:dyDescent="0.25">
      <c r="A674" t="s">
        <v>107</v>
      </c>
      <c r="B674" t="s">
        <v>108</v>
      </c>
      <c r="C674">
        <v>86682</v>
      </c>
      <c r="D674">
        <v>2022</v>
      </c>
      <c r="E674" t="s">
        <v>40</v>
      </c>
      <c r="F674" t="s">
        <v>367</v>
      </c>
      <c r="G674" t="s">
        <v>1025</v>
      </c>
      <c r="I674">
        <v>6</v>
      </c>
      <c r="J674" t="s">
        <v>82</v>
      </c>
      <c r="K674">
        <v>4</v>
      </c>
      <c r="L674" t="s">
        <v>44</v>
      </c>
      <c r="M674">
        <v>3.8</v>
      </c>
      <c r="N674" t="s">
        <v>45</v>
      </c>
      <c r="O674" t="s">
        <v>46</v>
      </c>
      <c r="P674">
        <v>4</v>
      </c>
      <c r="Q674" t="s">
        <v>47</v>
      </c>
      <c r="R674" t="s">
        <v>48</v>
      </c>
      <c r="S674" t="s">
        <v>49</v>
      </c>
      <c r="T674">
        <v>291</v>
      </c>
      <c r="U674" t="s">
        <v>50</v>
      </c>
      <c r="W674" t="s">
        <v>369</v>
      </c>
      <c r="X674" t="s">
        <v>141</v>
      </c>
      <c r="Y674" t="s">
        <v>67</v>
      </c>
      <c r="AA674">
        <v>0</v>
      </c>
      <c r="AB674" t="s">
        <v>54</v>
      </c>
      <c r="AC674" t="s">
        <v>68</v>
      </c>
      <c r="AD674">
        <v>34</v>
      </c>
      <c r="AE674">
        <v>8</v>
      </c>
      <c r="AF674">
        <v>3</v>
      </c>
      <c r="AG674">
        <v>2025</v>
      </c>
      <c r="AH674" s="13">
        <v>24600</v>
      </c>
      <c r="AI674" s="13">
        <v>23870.931640625</v>
      </c>
      <c r="AJ674" s="13">
        <f t="shared" si="80"/>
        <v>729.068359375</v>
      </c>
      <c r="AK674" s="14">
        <f t="shared" si="81"/>
        <v>2.9636925177845528E-2</v>
      </c>
      <c r="AL674" s="9">
        <v>24600</v>
      </c>
      <c r="AM674" s="9">
        <v>23154.235465591591</v>
      </c>
      <c r="AN674" s="9">
        <f t="shared" si="82"/>
        <v>1445.7645344084085</v>
      </c>
      <c r="AO674" s="10">
        <f t="shared" si="83"/>
        <v>5.8770916032862136E-2</v>
      </c>
      <c r="AP674" s="16">
        <v>24600</v>
      </c>
      <c r="AQ674" s="16">
        <v>21173.375105833609</v>
      </c>
      <c r="AR674" s="16">
        <f t="shared" si="84"/>
        <v>3426.6248941663907</v>
      </c>
      <c r="AS674" s="17">
        <f t="shared" si="85"/>
        <v>0.13929369488481264</v>
      </c>
      <c r="AT674" s="6">
        <v>24600</v>
      </c>
      <c r="AU674" s="6">
        <v>23756.1484375</v>
      </c>
      <c r="AV674" s="6">
        <f t="shared" si="86"/>
        <v>843.8515625</v>
      </c>
      <c r="AW674" s="7">
        <f t="shared" si="87"/>
        <v>3.4302909044715446E-2</v>
      </c>
    </row>
    <row r="675" spans="1:49" x14ac:dyDescent="0.25">
      <c r="A675" t="s">
        <v>56</v>
      </c>
      <c r="B675" t="s">
        <v>303</v>
      </c>
      <c r="C675">
        <v>130052</v>
      </c>
      <c r="D675">
        <v>2014</v>
      </c>
      <c r="E675" t="s">
        <v>136</v>
      </c>
      <c r="F675" t="s">
        <v>868</v>
      </c>
      <c r="G675" t="s">
        <v>268</v>
      </c>
      <c r="I675">
        <v>4</v>
      </c>
      <c r="J675" t="s">
        <v>101</v>
      </c>
      <c r="K675">
        <v>4</v>
      </c>
      <c r="L675" t="s">
        <v>44</v>
      </c>
      <c r="M675">
        <v>1.8</v>
      </c>
      <c r="N675" t="s">
        <v>45</v>
      </c>
      <c r="O675" t="s">
        <v>46</v>
      </c>
      <c r="P675">
        <v>2</v>
      </c>
      <c r="Q675" t="s">
        <v>84</v>
      </c>
      <c r="R675" t="s">
        <v>85</v>
      </c>
      <c r="T675">
        <v>170</v>
      </c>
      <c r="U675" t="s">
        <v>50</v>
      </c>
      <c r="X675" t="s">
        <v>87</v>
      </c>
      <c r="Y675" t="s">
        <v>67</v>
      </c>
      <c r="AA675">
        <v>0</v>
      </c>
      <c r="AB675" t="s">
        <v>54</v>
      </c>
      <c r="AC675" t="s">
        <v>89</v>
      </c>
      <c r="AD675">
        <v>34</v>
      </c>
      <c r="AE675">
        <v>8</v>
      </c>
      <c r="AF675">
        <v>3</v>
      </c>
      <c r="AG675">
        <v>2025</v>
      </c>
      <c r="AH675" s="13">
        <v>2200</v>
      </c>
      <c r="AI675" s="13">
        <v>1470.609130859375</v>
      </c>
      <c r="AJ675" s="13">
        <f t="shared" si="80"/>
        <v>729.390869140625</v>
      </c>
      <c r="AK675" s="14">
        <f t="shared" si="81"/>
        <v>0.33154130415482952</v>
      </c>
      <c r="AL675" s="9">
        <v>2200</v>
      </c>
      <c r="AM675" s="9">
        <v>1360.1646410429221</v>
      </c>
      <c r="AN675" s="9">
        <f t="shared" si="82"/>
        <v>839.83535895707791</v>
      </c>
      <c r="AO675" s="10">
        <f t="shared" si="83"/>
        <v>0.38174334498048995</v>
      </c>
      <c r="AP675" s="16">
        <v>2200</v>
      </c>
      <c r="AQ675" s="16">
        <v>1467.3140189592939</v>
      </c>
      <c r="AR675" s="16">
        <f t="shared" si="84"/>
        <v>732.68598104070611</v>
      </c>
      <c r="AS675" s="17">
        <f t="shared" si="85"/>
        <v>0.33303908229123003</v>
      </c>
      <c r="AT675" s="6">
        <v>2200</v>
      </c>
      <c r="AU675" s="6">
        <v>1527.449829101562</v>
      </c>
      <c r="AV675" s="6">
        <f t="shared" si="86"/>
        <v>672.55017089843795</v>
      </c>
      <c r="AW675" s="7">
        <f t="shared" si="87"/>
        <v>0.30570462313565361</v>
      </c>
    </row>
    <row r="676" spans="1:49" x14ac:dyDescent="0.25">
      <c r="A676" t="s">
        <v>56</v>
      </c>
      <c r="B676" t="s">
        <v>144</v>
      </c>
      <c r="C676">
        <v>111862</v>
      </c>
      <c r="D676">
        <v>2015</v>
      </c>
      <c r="E676" t="s">
        <v>660</v>
      </c>
      <c r="F676" t="s">
        <v>1026</v>
      </c>
      <c r="G676" t="s">
        <v>1027</v>
      </c>
      <c r="I676">
        <v>4</v>
      </c>
      <c r="J676" t="s">
        <v>177</v>
      </c>
      <c r="K676">
        <v>4</v>
      </c>
      <c r="L676" t="s">
        <v>44</v>
      </c>
      <c r="M676">
        <v>2</v>
      </c>
      <c r="N676" t="s">
        <v>62</v>
      </c>
      <c r="O676" t="s">
        <v>46</v>
      </c>
      <c r="P676">
        <v>4</v>
      </c>
      <c r="Q676" t="s">
        <v>47</v>
      </c>
      <c r="R676" t="s">
        <v>48</v>
      </c>
      <c r="T676">
        <v>240</v>
      </c>
      <c r="U676" t="s">
        <v>50</v>
      </c>
      <c r="V676" t="s">
        <v>95</v>
      </c>
      <c r="W676" t="s">
        <v>1028</v>
      </c>
      <c r="X676" t="s">
        <v>141</v>
      </c>
      <c r="Y676" t="s">
        <v>716</v>
      </c>
      <c r="AA676">
        <v>0</v>
      </c>
      <c r="AB676" t="s">
        <v>54</v>
      </c>
      <c r="AC676" t="s">
        <v>55</v>
      </c>
      <c r="AD676">
        <v>34</v>
      </c>
      <c r="AE676">
        <v>8</v>
      </c>
      <c r="AF676">
        <v>3</v>
      </c>
      <c r="AG676">
        <v>2025</v>
      </c>
      <c r="AH676" s="13">
        <v>7400</v>
      </c>
      <c r="AI676" s="13">
        <v>6170.81298828125</v>
      </c>
      <c r="AJ676" s="13">
        <f t="shared" si="80"/>
        <v>1229.18701171875</v>
      </c>
      <c r="AK676" s="14">
        <f t="shared" si="81"/>
        <v>0.16610635293496623</v>
      </c>
      <c r="AL676" s="9">
        <v>7400</v>
      </c>
      <c r="AM676" s="9">
        <v>6871.8753145934779</v>
      </c>
      <c r="AN676" s="9">
        <f t="shared" si="82"/>
        <v>528.12468540652208</v>
      </c>
      <c r="AO676" s="10">
        <f t="shared" si="83"/>
        <v>7.1368200730611092E-2</v>
      </c>
      <c r="AP676" s="16">
        <v>7400</v>
      </c>
      <c r="AQ676" s="16">
        <v>5579.6174542411309</v>
      </c>
      <c r="AR676" s="16">
        <f t="shared" si="84"/>
        <v>1820.3825457588691</v>
      </c>
      <c r="AS676" s="17">
        <f t="shared" si="85"/>
        <v>0.24599764131876609</v>
      </c>
      <c r="AT676" s="6">
        <v>7400</v>
      </c>
      <c r="AU676" s="6">
        <v>6463.37255859375</v>
      </c>
      <c r="AV676" s="6">
        <f t="shared" si="86"/>
        <v>936.62744140625</v>
      </c>
      <c r="AW676" s="7">
        <f t="shared" si="87"/>
        <v>0.12657127586570946</v>
      </c>
    </row>
    <row r="677" spans="1:49" x14ac:dyDescent="0.25">
      <c r="A677" t="s">
        <v>69</v>
      </c>
      <c r="B677" t="s">
        <v>70</v>
      </c>
      <c r="C677">
        <v>137770</v>
      </c>
      <c r="D677">
        <v>2016</v>
      </c>
      <c r="E677" t="s">
        <v>213</v>
      </c>
      <c r="F677" t="s">
        <v>1029</v>
      </c>
      <c r="G677" t="s">
        <v>1030</v>
      </c>
      <c r="I677">
        <v>8</v>
      </c>
      <c r="J677" t="s">
        <v>82</v>
      </c>
      <c r="K677">
        <v>4</v>
      </c>
      <c r="L677" t="s">
        <v>44</v>
      </c>
      <c r="M677">
        <v>6.2</v>
      </c>
      <c r="N677" t="s">
        <v>62</v>
      </c>
      <c r="O677" t="s">
        <v>46</v>
      </c>
      <c r="P677">
        <v>3</v>
      </c>
      <c r="Q677" t="s">
        <v>47</v>
      </c>
      <c r="R677" t="s">
        <v>48</v>
      </c>
      <c r="S677" t="s">
        <v>63</v>
      </c>
      <c r="U677" t="s">
        <v>50</v>
      </c>
      <c r="W677" t="s">
        <v>819</v>
      </c>
      <c r="X677" t="s">
        <v>77</v>
      </c>
      <c r="Y677" t="s">
        <v>67</v>
      </c>
      <c r="AA677">
        <v>0</v>
      </c>
      <c r="AB677" t="s">
        <v>54</v>
      </c>
      <c r="AC677" t="s">
        <v>55</v>
      </c>
      <c r="AD677">
        <v>34</v>
      </c>
      <c r="AE677">
        <v>8</v>
      </c>
      <c r="AF677">
        <v>3</v>
      </c>
      <c r="AG677">
        <v>2025</v>
      </c>
      <c r="AH677" s="13">
        <v>13400</v>
      </c>
      <c r="AI677" s="13">
        <v>16362.138671875</v>
      </c>
      <c r="AJ677" s="13">
        <f t="shared" si="80"/>
        <v>2962.138671875</v>
      </c>
      <c r="AK677" s="14">
        <f t="shared" si="81"/>
        <v>0.22105512476679104</v>
      </c>
      <c r="AL677" s="9">
        <v>13400</v>
      </c>
      <c r="AM677" s="9">
        <v>12271.615578593981</v>
      </c>
      <c r="AN677" s="9">
        <f t="shared" si="82"/>
        <v>1128.3844214060191</v>
      </c>
      <c r="AO677" s="10">
        <f t="shared" si="83"/>
        <v>8.4207792642240237E-2</v>
      </c>
      <c r="AP677" s="16">
        <v>13400</v>
      </c>
      <c r="AQ677" s="16">
        <v>13670.86515080971</v>
      </c>
      <c r="AR677" s="16">
        <f t="shared" si="84"/>
        <v>270.86515080971003</v>
      </c>
      <c r="AS677" s="17">
        <f t="shared" si="85"/>
        <v>2.0213817224605225E-2</v>
      </c>
      <c r="AT677" s="6">
        <v>13400</v>
      </c>
      <c r="AU677" s="6">
        <v>13134.29296875</v>
      </c>
      <c r="AV677" s="6">
        <f t="shared" si="86"/>
        <v>265.70703125</v>
      </c>
      <c r="AW677" s="7">
        <f t="shared" si="87"/>
        <v>1.9828882929104476E-2</v>
      </c>
    </row>
    <row r="678" spans="1:49" x14ac:dyDescent="0.25">
      <c r="A678" t="s">
        <v>69</v>
      </c>
      <c r="B678" t="s">
        <v>70</v>
      </c>
      <c r="C678">
        <v>80718</v>
      </c>
      <c r="D678">
        <v>2019</v>
      </c>
      <c r="E678" t="s">
        <v>113</v>
      </c>
      <c r="F678" t="s">
        <v>835</v>
      </c>
      <c r="G678" t="s">
        <v>1031</v>
      </c>
      <c r="H678" t="s">
        <v>482</v>
      </c>
      <c r="I678">
        <v>8</v>
      </c>
      <c r="J678" t="s">
        <v>74</v>
      </c>
      <c r="K678">
        <v>2</v>
      </c>
      <c r="L678" t="s">
        <v>44</v>
      </c>
      <c r="M678">
        <v>5.7</v>
      </c>
      <c r="N678" t="s">
        <v>116</v>
      </c>
      <c r="O678" t="s">
        <v>46</v>
      </c>
      <c r="P678">
        <v>4</v>
      </c>
      <c r="Q678" t="s">
        <v>84</v>
      </c>
      <c r="R678" t="s">
        <v>85</v>
      </c>
      <c r="S678" t="s">
        <v>117</v>
      </c>
      <c r="T678">
        <v>375</v>
      </c>
      <c r="U678" t="s">
        <v>50</v>
      </c>
      <c r="V678" t="s">
        <v>64</v>
      </c>
      <c r="X678" t="s">
        <v>87</v>
      </c>
      <c r="Y678" t="s">
        <v>88</v>
      </c>
      <c r="Z678">
        <v>34545</v>
      </c>
      <c r="AA678">
        <v>0</v>
      </c>
      <c r="AB678" t="s">
        <v>54</v>
      </c>
      <c r="AC678" t="s">
        <v>89</v>
      </c>
      <c r="AD678">
        <v>34</v>
      </c>
      <c r="AE678">
        <v>8</v>
      </c>
      <c r="AF678">
        <v>3</v>
      </c>
      <c r="AG678">
        <v>2025</v>
      </c>
      <c r="AH678" s="13">
        <v>20500</v>
      </c>
      <c r="AI678" s="13">
        <v>19234.474609375</v>
      </c>
      <c r="AJ678" s="13">
        <f t="shared" si="80"/>
        <v>1265.525390625</v>
      </c>
      <c r="AK678" s="14">
        <f t="shared" si="81"/>
        <v>6.1732945884146344E-2</v>
      </c>
      <c r="AL678" s="9">
        <v>20500</v>
      </c>
      <c r="AM678" s="9">
        <v>19157.96553066577</v>
      </c>
      <c r="AN678" s="9">
        <f t="shared" si="82"/>
        <v>1342.0344693342304</v>
      </c>
      <c r="AO678" s="10">
        <f t="shared" si="83"/>
        <v>6.546509606508441E-2</v>
      </c>
      <c r="AP678" s="16">
        <v>20500</v>
      </c>
      <c r="AQ678" s="16">
        <v>16659.388667283121</v>
      </c>
      <c r="AR678" s="16">
        <f t="shared" si="84"/>
        <v>3840.6113327168787</v>
      </c>
      <c r="AS678" s="17">
        <f t="shared" si="85"/>
        <v>0.18734689427887213</v>
      </c>
      <c r="AT678" s="6">
        <v>20500</v>
      </c>
      <c r="AU678" s="6">
        <v>18863.9921875</v>
      </c>
      <c r="AV678" s="6">
        <f t="shared" si="86"/>
        <v>1636.0078125</v>
      </c>
      <c r="AW678" s="7">
        <f t="shared" si="87"/>
        <v>7.980525914634147E-2</v>
      </c>
    </row>
    <row r="679" spans="1:49" x14ac:dyDescent="0.25">
      <c r="A679" t="s">
        <v>56</v>
      </c>
      <c r="B679" t="s">
        <v>178</v>
      </c>
      <c r="C679">
        <v>210194</v>
      </c>
      <c r="D679">
        <v>2010</v>
      </c>
      <c r="E679" t="s">
        <v>91</v>
      </c>
      <c r="F679" t="s">
        <v>517</v>
      </c>
      <c r="G679" t="s">
        <v>1032</v>
      </c>
      <c r="H679" t="s">
        <v>1033</v>
      </c>
      <c r="I679">
        <v>4</v>
      </c>
      <c r="J679" t="s">
        <v>82</v>
      </c>
      <c r="K679">
        <v>4</v>
      </c>
      <c r="L679" t="s">
        <v>44</v>
      </c>
      <c r="M679">
        <v>2.5</v>
      </c>
      <c r="N679" t="s">
        <v>62</v>
      </c>
      <c r="O679" t="s">
        <v>83</v>
      </c>
      <c r="P679">
        <v>1</v>
      </c>
      <c r="Q679" t="s">
        <v>47</v>
      </c>
      <c r="R679" t="s">
        <v>48</v>
      </c>
      <c r="S679" t="s">
        <v>63</v>
      </c>
      <c r="T679">
        <v>179</v>
      </c>
      <c r="U679" t="s">
        <v>50</v>
      </c>
      <c r="V679" t="s">
        <v>95</v>
      </c>
      <c r="W679" t="s">
        <v>537</v>
      </c>
      <c r="X679" t="s">
        <v>52</v>
      </c>
      <c r="Y679" t="s">
        <v>88</v>
      </c>
      <c r="AA679">
        <v>0</v>
      </c>
      <c r="AB679" t="s">
        <v>54</v>
      </c>
      <c r="AC679" t="s">
        <v>55</v>
      </c>
      <c r="AD679">
        <v>34</v>
      </c>
      <c r="AE679">
        <v>8</v>
      </c>
      <c r="AF679">
        <v>3</v>
      </c>
      <c r="AG679">
        <v>2025</v>
      </c>
      <c r="AH679" s="13">
        <v>1200</v>
      </c>
      <c r="AI679" s="13">
        <v>1070.310913085938</v>
      </c>
      <c r="AJ679" s="13">
        <f t="shared" si="80"/>
        <v>129.68908691406205</v>
      </c>
      <c r="AK679" s="14">
        <f t="shared" si="81"/>
        <v>0.10807423909505171</v>
      </c>
      <c r="AL679" s="9">
        <v>1200</v>
      </c>
      <c r="AM679" s="9">
        <v>967.83388462684263</v>
      </c>
      <c r="AN679" s="9">
        <f t="shared" si="82"/>
        <v>232.16611537315737</v>
      </c>
      <c r="AO679" s="10">
        <f t="shared" si="83"/>
        <v>0.19347176281096448</v>
      </c>
      <c r="AP679" s="16">
        <v>1200</v>
      </c>
      <c r="AQ679" s="16">
        <v>543.40234427452458</v>
      </c>
      <c r="AR679" s="16">
        <f t="shared" si="84"/>
        <v>656.59765572547542</v>
      </c>
      <c r="AS679" s="17">
        <f t="shared" si="85"/>
        <v>0.54716471310456283</v>
      </c>
      <c r="AT679" s="6">
        <v>1200</v>
      </c>
      <c r="AU679" s="6">
        <v>835.8531494140625</v>
      </c>
      <c r="AV679" s="6">
        <f t="shared" si="86"/>
        <v>364.1468505859375</v>
      </c>
      <c r="AW679" s="7">
        <f t="shared" si="87"/>
        <v>0.3034557088216146</v>
      </c>
    </row>
    <row r="680" spans="1:49" x14ac:dyDescent="0.25">
      <c r="A680" t="s">
        <v>56</v>
      </c>
      <c r="B680" t="s">
        <v>104</v>
      </c>
      <c r="C680">
        <v>71400</v>
      </c>
      <c r="D680">
        <v>2016</v>
      </c>
      <c r="E680" t="s">
        <v>79</v>
      </c>
      <c r="F680" t="s">
        <v>272</v>
      </c>
      <c r="G680" t="s">
        <v>273</v>
      </c>
      <c r="H680" t="s">
        <v>162</v>
      </c>
      <c r="I680">
        <v>6</v>
      </c>
      <c r="J680" t="s">
        <v>74</v>
      </c>
      <c r="K680">
        <v>4</v>
      </c>
      <c r="L680" t="s">
        <v>44</v>
      </c>
      <c r="M680">
        <v>4.3</v>
      </c>
      <c r="N680" t="s">
        <v>62</v>
      </c>
      <c r="O680" t="s">
        <v>46</v>
      </c>
      <c r="Q680" t="s">
        <v>75</v>
      </c>
      <c r="R680" t="s">
        <v>76</v>
      </c>
      <c r="S680" t="s">
        <v>63</v>
      </c>
      <c r="U680" t="s">
        <v>50</v>
      </c>
      <c r="V680" t="s">
        <v>64</v>
      </c>
      <c r="W680" t="s">
        <v>1034</v>
      </c>
      <c r="X680" t="s">
        <v>77</v>
      </c>
      <c r="Y680" t="s">
        <v>67</v>
      </c>
      <c r="AA680">
        <v>0</v>
      </c>
      <c r="AB680" t="s">
        <v>54</v>
      </c>
      <c r="AC680" t="s">
        <v>78</v>
      </c>
      <c r="AD680">
        <v>34</v>
      </c>
      <c r="AE680">
        <v>8</v>
      </c>
      <c r="AF680">
        <v>3</v>
      </c>
      <c r="AG680">
        <v>2025</v>
      </c>
      <c r="AH680" s="13">
        <v>14500</v>
      </c>
      <c r="AI680" s="13">
        <v>21311.330078125</v>
      </c>
      <c r="AJ680" s="13">
        <f t="shared" si="80"/>
        <v>6811.330078125</v>
      </c>
      <c r="AK680" s="14">
        <f t="shared" si="81"/>
        <v>0.46974690193965518</v>
      </c>
      <c r="AL680" s="9">
        <v>14500</v>
      </c>
      <c r="AM680" s="9">
        <v>19655.44729972248</v>
      </c>
      <c r="AN680" s="9">
        <f t="shared" si="82"/>
        <v>5155.4472997224802</v>
      </c>
      <c r="AO680" s="10">
        <f t="shared" si="83"/>
        <v>0.35554808963603313</v>
      </c>
      <c r="AP680" s="16">
        <v>14500</v>
      </c>
      <c r="AQ680" s="16">
        <v>13503.39377587719</v>
      </c>
      <c r="AR680" s="16">
        <f t="shared" si="84"/>
        <v>996.60622412281009</v>
      </c>
      <c r="AS680" s="17">
        <f t="shared" si="85"/>
        <v>6.8731463732607592E-2</v>
      </c>
      <c r="AT680" s="6">
        <v>14500</v>
      </c>
      <c r="AU680" s="6">
        <v>16109.95703125</v>
      </c>
      <c r="AV680" s="6">
        <f t="shared" si="86"/>
        <v>1609.95703125</v>
      </c>
      <c r="AW680" s="7">
        <f t="shared" si="87"/>
        <v>0.11103151939655172</v>
      </c>
    </row>
    <row r="681" spans="1:49" x14ac:dyDescent="0.25">
      <c r="A681" t="s">
        <v>38</v>
      </c>
      <c r="B681" t="s">
        <v>267</v>
      </c>
      <c r="C681">
        <v>91286</v>
      </c>
      <c r="D681">
        <v>2015</v>
      </c>
      <c r="E681" t="s">
        <v>124</v>
      </c>
      <c r="F681" t="s">
        <v>1035</v>
      </c>
      <c r="G681" t="s">
        <v>1036</v>
      </c>
      <c r="I681">
        <v>6</v>
      </c>
      <c r="J681" t="s">
        <v>74</v>
      </c>
      <c r="K681">
        <v>4</v>
      </c>
      <c r="L681" t="s">
        <v>44</v>
      </c>
      <c r="M681">
        <v>3.8</v>
      </c>
      <c r="N681" t="s">
        <v>116</v>
      </c>
      <c r="O681" t="s">
        <v>46</v>
      </c>
      <c r="Q681" t="s">
        <v>84</v>
      </c>
      <c r="R681" t="s">
        <v>85</v>
      </c>
      <c r="U681" t="s">
        <v>50</v>
      </c>
      <c r="W681" t="s">
        <v>1037</v>
      </c>
      <c r="X681" t="s">
        <v>87</v>
      </c>
      <c r="Y681" t="s">
        <v>53</v>
      </c>
      <c r="AA681">
        <v>0</v>
      </c>
      <c r="AB681" t="s">
        <v>54</v>
      </c>
      <c r="AC681" t="s">
        <v>89</v>
      </c>
      <c r="AD681">
        <v>34</v>
      </c>
      <c r="AE681">
        <v>8</v>
      </c>
      <c r="AF681">
        <v>3</v>
      </c>
      <c r="AG681">
        <v>2025</v>
      </c>
      <c r="AH681" s="13">
        <v>6500</v>
      </c>
      <c r="AI681" s="13">
        <v>6526.0322265625</v>
      </c>
      <c r="AJ681" s="13">
        <f t="shared" si="80"/>
        <v>26.0322265625</v>
      </c>
      <c r="AK681" s="14">
        <f t="shared" si="81"/>
        <v>4.0049579326923079E-3</v>
      </c>
      <c r="AL681" s="9">
        <v>6500</v>
      </c>
      <c r="AM681" s="9">
        <v>6932.6983795151518</v>
      </c>
      <c r="AN681" s="9">
        <f t="shared" si="82"/>
        <v>432.69837951515183</v>
      </c>
      <c r="AO681" s="10">
        <f t="shared" si="83"/>
        <v>6.6568981463869512E-2</v>
      </c>
      <c r="AP681" s="16">
        <v>6500</v>
      </c>
      <c r="AQ681" s="16">
        <v>6569.8282340149144</v>
      </c>
      <c r="AR681" s="16">
        <f t="shared" si="84"/>
        <v>69.828234014914415</v>
      </c>
      <c r="AS681" s="17">
        <f t="shared" si="85"/>
        <v>1.0742805233063757E-2</v>
      </c>
      <c r="AT681" s="6">
        <v>6500</v>
      </c>
      <c r="AU681" s="6">
        <v>6842.265625</v>
      </c>
      <c r="AV681" s="6">
        <f t="shared" si="86"/>
        <v>342.265625</v>
      </c>
      <c r="AW681" s="7">
        <f t="shared" si="87"/>
        <v>5.2656250000000002E-2</v>
      </c>
    </row>
    <row r="682" spans="1:49" x14ac:dyDescent="0.25">
      <c r="A682" t="s">
        <v>38</v>
      </c>
      <c r="B682" t="s">
        <v>410</v>
      </c>
      <c r="C682">
        <v>138272</v>
      </c>
      <c r="D682">
        <v>2016</v>
      </c>
      <c r="E682" t="s">
        <v>58</v>
      </c>
      <c r="F682" t="s">
        <v>168</v>
      </c>
      <c r="I682">
        <v>6</v>
      </c>
      <c r="J682" t="s">
        <v>94</v>
      </c>
      <c r="K682">
        <v>4</v>
      </c>
      <c r="L682" t="s">
        <v>44</v>
      </c>
      <c r="M682">
        <v>3.5</v>
      </c>
      <c r="N682" t="s">
        <v>62</v>
      </c>
      <c r="O682" t="s">
        <v>46</v>
      </c>
      <c r="P682">
        <v>1</v>
      </c>
      <c r="Q682" t="s">
        <v>75</v>
      </c>
      <c r="R682" t="s">
        <v>76</v>
      </c>
      <c r="S682" t="s">
        <v>63</v>
      </c>
      <c r="T682">
        <v>365</v>
      </c>
      <c r="U682" t="s">
        <v>50</v>
      </c>
      <c r="V682" t="s">
        <v>64</v>
      </c>
      <c r="X682" t="s">
        <v>66</v>
      </c>
      <c r="Y682" t="s">
        <v>67</v>
      </c>
      <c r="AA682">
        <v>0</v>
      </c>
      <c r="AB682" t="s">
        <v>54</v>
      </c>
      <c r="AC682" t="s">
        <v>78</v>
      </c>
      <c r="AD682">
        <v>34</v>
      </c>
      <c r="AE682">
        <v>8</v>
      </c>
      <c r="AF682">
        <v>3</v>
      </c>
      <c r="AG682">
        <v>2025</v>
      </c>
      <c r="AH682" s="13">
        <v>12200</v>
      </c>
      <c r="AI682" s="13">
        <v>8435.8740234375</v>
      </c>
      <c r="AJ682" s="13">
        <f t="shared" si="80"/>
        <v>3764.1259765625</v>
      </c>
      <c r="AK682" s="14">
        <f t="shared" si="81"/>
        <v>0.30853491611168032</v>
      </c>
      <c r="AL682" s="9">
        <v>12200</v>
      </c>
      <c r="AM682" s="9">
        <v>9096.5447420096243</v>
      </c>
      <c r="AN682" s="9">
        <f t="shared" si="82"/>
        <v>3103.4552579903757</v>
      </c>
      <c r="AO682" s="10">
        <f t="shared" si="83"/>
        <v>0.25438157852380128</v>
      </c>
      <c r="AP682" s="16">
        <v>12200</v>
      </c>
      <c r="AQ682" s="16">
        <v>9411.7236824539086</v>
      </c>
      <c r="AR682" s="16">
        <f t="shared" si="84"/>
        <v>2788.2763175460914</v>
      </c>
      <c r="AS682" s="17">
        <f t="shared" si="85"/>
        <v>0.22854723914312225</v>
      </c>
      <c r="AT682" s="6">
        <v>12200</v>
      </c>
      <c r="AU682" s="6">
        <v>8955.0224609375</v>
      </c>
      <c r="AV682" s="6">
        <f t="shared" si="86"/>
        <v>3244.9775390625</v>
      </c>
      <c r="AW682" s="7">
        <f t="shared" si="87"/>
        <v>0.2659817654969262</v>
      </c>
    </row>
    <row r="683" spans="1:49" x14ac:dyDescent="0.25">
      <c r="A683" t="s">
        <v>38</v>
      </c>
      <c r="B683" t="s">
        <v>39</v>
      </c>
      <c r="C683">
        <v>152440</v>
      </c>
      <c r="D683">
        <v>2017</v>
      </c>
      <c r="E683" t="s">
        <v>217</v>
      </c>
      <c r="F683" t="s">
        <v>162</v>
      </c>
      <c r="G683" t="s">
        <v>218</v>
      </c>
      <c r="H683" t="s">
        <v>959</v>
      </c>
      <c r="I683">
        <v>8</v>
      </c>
      <c r="J683" t="s">
        <v>127</v>
      </c>
      <c r="K683">
        <v>4</v>
      </c>
      <c r="L683" t="s">
        <v>44</v>
      </c>
      <c r="M683">
        <v>5.7</v>
      </c>
      <c r="N683" t="s">
        <v>116</v>
      </c>
      <c r="O683" t="s">
        <v>46</v>
      </c>
      <c r="P683">
        <v>2</v>
      </c>
      <c r="Q683" t="s">
        <v>75</v>
      </c>
      <c r="R683" t="s">
        <v>76</v>
      </c>
      <c r="S683" t="s">
        <v>49</v>
      </c>
      <c r="T683">
        <v>395</v>
      </c>
      <c r="U683" t="s">
        <v>50</v>
      </c>
      <c r="V683" t="s">
        <v>64</v>
      </c>
      <c r="X683" t="s">
        <v>66</v>
      </c>
      <c r="Y683" t="s">
        <v>106</v>
      </c>
      <c r="AA683">
        <v>0</v>
      </c>
      <c r="AB683" t="s">
        <v>54</v>
      </c>
      <c r="AC683" t="s">
        <v>78</v>
      </c>
      <c r="AD683">
        <v>34</v>
      </c>
      <c r="AE683">
        <v>8</v>
      </c>
      <c r="AF683">
        <v>3</v>
      </c>
      <c r="AG683">
        <v>2025</v>
      </c>
      <c r="AH683" s="13">
        <v>5500</v>
      </c>
      <c r="AI683" s="13">
        <v>7086.52685546875</v>
      </c>
      <c r="AJ683" s="13">
        <f t="shared" si="80"/>
        <v>1586.52685546875</v>
      </c>
      <c r="AK683" s="14">
        <f t="shared" si="81"/>
        <v>0.28845942826704546</v>
      </c>
      <c r="AL683" s="9">
        <v>5500</v>
      </c>
      <c r="AM683" s="9">
        <v>5567.131182165137</v>
      </c>
      <c r="AN683" s="9">
        <f t="shared" si="82"/>
        <v>67.131182165137034</v>
      </c>
      <c r="AO683" s="10">
        <f t="shared" si="83"/>
        <v>1.2205669484570371E-2</v>
      </c>
      <c r="AP683" s="16">
        <v>5500</v>
      </c>
      <c r="AQ683" s="16">
        <v>5683.4167083426182</v>
      </c>
      <c r="AR683" s="16">
        <f t="shared" si="84"/>
        <v>183.41670834261822</v>
      </c>
      <c r="AS683" s="17">
        <f t="shared" si="85"/>
        <v>3.3348492425930583E-2</v>
      </c>
      <c r="AT683" s="6">
        <v>5500</v>
      </c>
      <c r="AU683" s="6">
        <v>6961.6953125</v>
      </c>
      <c r="AV683" s="6">
        <f t="shared" si="86"/>
        <v>1461.6953125</v>
      </c>
      <c r="AW683" s="7">
        <f t="shared" si="87"/>
        <v>0.26576278409090909</v>
      </c>
    </row>
    <row r="684" spans="1:49" x14ac:dyDescent="0.25">
      <c r="A684" t="s">
        <v>56</v>
      </c>
      <c r="B684" t="s">
        <v>303</v>
      </c>
      <c r="C684">
        <v>198418</v>
      </c>
      <c r="D684">
        <v>2007</v>
      </c>
      <c r="E684" t="s">
        <v>91</v>
      </c>
      <c r="F684" t="s">
        <v>1038</v>
      </c>
      <c r="H684" t="s">
        <v>1039</v>
      </c>
      <c r="I684">
        <v>4</v>
      </c>
      <c r="J684" t="s">
        <v>74</v>
      </c>
      <c r="K684">
        <v>2</v>
      </c>
      <c r="L684" t="s">
        <v>44</v>
      </c>
      <c r="M684">
        <v>1.5</v>
      </c>
      <c r="N684" t="s">
        <v>45</v>
      </c>
      <c r="Q684" t="s">
        <v>84</v>
      </c>
      <c r="R684" t="s">
        <v>157</v>
      </c>
      <c r="S684" t="s">
        <v>49</v>
      </c>
      <c r="T684">
        <v>106</v>
      </c>
      <c r="U684" t="s">
        <v>50</v>
      </c>
      <c r="V684" t="s">
        <v>95</v>
      </c>
      <c r="W684" t="s">
        <v>1040</v>
      </c>
      <c r="X684" t="s">
        <v>87</v>
      </c>
      <c r="Y684" t="s">
        <v>97</v>
      </c>
      <c r="AA684">
        <v>0</v>
      </c>
      <c r="AB684" t="s">
        <v>54</v>
      </c>
      <c r="AC684" t="s">
        <v>159</v>
      </c>
      <c r="AD684">
        <v>34</v>
      </c>
      <c r="AE684">
        <v>8</v>
      </c>
      <c r="AF684">
        <v>3</v>
      </c>
      <c r="AG684">
        <v>2025</v>
      </c>
      <c r="AH684" s="13">
        <v>1250</v>
      </c>
      <c r="AI684" s="13">
        <v>928.6156005859375</v>
      </c>
      <c r="AJ684" s="13">
        <f t="shared" si="80"/>
        <v>321.3843994140625</v>
      </c>
      <c r="AK684" s="14">
        <f t="shared" si="81"/>
        <v>0.25710751953125</v>
      </c>
      <c r="AL684" s="9">
        <v>1250</v>
      </c>
      <c r="AM684" s="9">
        <v>939.50068983294614</v>
      </c>
      <c r="AN684" s="9">
        <f t="shared" si="82"/>
        <v>310.49931016705386</v>
      </c>
      <c r="AO684" s="10">
        <f t="shared" si="83"/>
        <v>0.24839944813364309</v>
      </c>
      <c r="AP684" s="16">
        <v>1250</v>
      </c>
      <c r="AQ684" s="16">
        <v>642.30914810368154</v>
      </c>
      <c r="AR684" s="16">
        <f t="shared" si="84"/>
        <v>607.69085189631846</v>
      </c>
      <c r="AS684" s="17">
        <f t="shared" si="85"/>
        <v>0.48615268151705476</v>
      </c>
      <c r="AT684" s="6">
        <v>1250</v>
      </c>
      <c r="AU684" s="6">
        <v>894.83624267578125</v>
      </c>
      <c r="AV684" s="6">
        <f t="shared" si="86"/>
        <v>355.16375732421875</v>
      </c>
      <c r="AW684" s="7">
        <f t="shared" si="87"/>
        <v>0.28413100585937501</v>
      </c>
    </row>
    <row r="685" spans="1:49" x14ac:dyDescent="0.25">
      <c r="A685" t="s">
        <v>38</v>
      </c>
      <c r="B685" t="s">
        <v>229</v>
      </c>
      <c r="C685">
        <v>142933</v>
      </c>
      <c r="D685">
        <v>2016</v>
      </c>
      <c r="E685" t="s">
        <v>40</v>
      </c>
      <c r="F685" t="s">
        <v>119</v>
      </c>
      <c r="I685">
        <v>4</v>
      </c>
      <c r="J685" t="s">
        <v>61</v>
      </c>
      <c r="K685">
        <v>4</v>
      </c>
      <c r="L685" t="s">
        <v>44</v>
      </c>
      <c r="M685">
        <v>2</v>
      </c>
      <c r="N685" t="s">
        <v>45</v>
      </c>
      <c r="O685" t="s">
        <v>46</v>
      </c>
      <c r="P685">
        <v>4</v>
      </c>
      <c r="Q685" t="s">
        <v>47</v>
      </c>
      <c r="R685" t="s">
        <v>48</v>
      </c>
      <c r="U685" t="s">
        <v>50</v>
      </c>
      <c r="W685" t="s">
        <v>938</v>
      </c>
      <c r="X685" t="s">
        <v>52</v>
      </c>
      <c r="Y685" t="s">
        <v>53</v>
      </c>
      <c r="AA685">
        <v>0</v>
      </c>
      <c r="AB685" t="s">
        <v>54</v>
      </c>
      <c r="AC685" t="s">
        <v>55</v>
      </c>
      <c r="AD685">
        <v>34</v>
      </c>
      <c r="AE685">
        <v>8</v>
      </c>
      <c r="AF685">
        <v>3</v>
      </c>
      <c r="AG685">
        <v>2025</v>
      </c>
      <c r="AH685" s="13">
        <v>3500</v>
      </c>
      <c r="AI685" s="13">
        <v>2809.307373046875</v>
      </c>
      <c r="AJ685" s="13">
        <f t="shared" si="80"/>
        <v>690.692626953125</v>
      </c>
      <c r="AK685" s="14">
        <f t="shared" si="81"/>
        <v>0.19734075055803571</v>
      </c>
      <c r="AL685" s="9">
        <v>3500</v>
      </c>
      <c r="AM685" s="9">
        <v>2458.3847209333471</v>
      </c>
      <c r="AN685" s="9">
        <f t="shared" si="82"/>
        <v>1041.6152790666529</v>
      </c>
      <c r="AO685" s="10">
        <f t="shared" si="83"/>
        <v>0.29760436544761509</v>
      </c>
      <c r="AP685" s="16">
        <v>3500</v>
      </c>
      <c r="AQ685" s="16">
        <v>2544.8392225887592</v>
      </c>
      <c r="AR685" s="16">
        <f t="shared" si="84"/>
        <v>955.16077741124082</v>
      </c>
      <c r="AS685" s="17">
        <f t="shared" si="85"/>
        <v>0.27290307926035451</v>
      </c>
      <c r="AT685" s="6">
        <v>3500</v>
      </c>
      <c r="AU685" s="6">
        <v>2615.129150390625</v>
      </c>
      <c r="AV685" s="6">
        <f t="shared" si="86"/>
        <v>884.870849609375</v>
      </c>
      <c r="AW685" s="7">
        <f t="shared" si="87"/>
        <v>0.25282024274553572</v>
      </c>
    </row>
    <row r="686" spans="1:49" x14ac:dyDescent="0.25">
      <c r="A686" t="s">
        <v>38</v>
      </c>
      <c r="B686" t="s">
        <v>289</v>
      </c>
      <c r="C686">
        <v>122683</v>
      </c>
      <c r="D686">
        <v>2015</v>
      </c>
      <c r="E686" t="s">
        <v>382</v>
      </c>
      <c r="F686" t="s">
        <v>383</v>
      </c>
      <c r="G686" t="s">
        <v>171</v>
      </c>
      <c r="I686">
        <v>4</v>
      </c>
      <c r="J686" t="s">
        <v>82</v>
      </c>
      <c r="K686">
        <v>4</v>
      </c>
      <c r="L686" t="s">
        <v>44</v>
      </c>
      <c r="M686">
        <v>2.4</v>
      </c>
      <c r="N686" t="s">
        <v>45</v>
      </c>
      <c r="O686" t="s">
        <v>42</v>
      </c>
      <c r="Q686" t="s">
        <v>84</v>
      </c>
      <c r="R686" t="s">
        <v>85</v>
      </c>
      <c r="S686" t="s">
        <v>102</v>
      </c>
      <c r="U686" t="s">
        <v>50</v>
      </c>
      <c r="X686" t="s">
        <v>87</v>
      </c>
      <c r="Y686" t="s">
        <v>67</v>
      </c>
      <c r="AA686">
        <v>0</v>
      </c>
      <c r="AB686" t="s">
        <v>54</v>
      </c>
      <c r="AC686" t="s">
        <v>89</v>
      </c>
      <c r="AD686">
        <v>34</v>
      </c>
      <c r="AE686">
        <v>8</v>
      </c>
      <c r="AF686">
        <v>3</v>
      </c>
      <c r="AG686">
        <v>2025</v>
      </c>
      <c r="AH686" s="13">
        <v>1000</v>
      </c>
      <c r="AI686" s="13">
        <v>895.30499267578125</v>
      </c>
      <c r="AJ686" s="13">
        <f t="shared" si="80"/>
        <v>104.69500732421875</v>
      </c>
      <c r="AK686" s="14">
        <f t="shared" si="81"/>
        <v>0.10469500732421876</v>
      </c>
      <c r="AL686" s="9">
        <v>1000</v>
      </c>
      <c r="AM686" s="9">
        <v>1180.075050845986</v>
      </c>
      <c r="AN686" s="9">
        <f t="shared" si="82"/>
        <v>180.07505084598597</v>
      </c>
      <c r="AO686" s="10">
        <f t="shared" si="83"/>
        <v>0.18007505084598596</v>
      </c>
      <c r="AP686" s="16">
        <v>1000</v>
      </c>
      <c r="AQ686" s="16">
        <v>1084.704189485524</v>
      </c>
      <c r="AR686" s="16">
        <f t="shared" si="84"/>
        <v>84.704189485524012</v>
      </c>
      <c r="AS686" s="17">
        <f t="shared" si="85"/>
        <v>8.4704189485524009E-2</v>
      </c>
      <c r="AT686" s="6">
        <v>1000</v>
      </c>
      <c r="AU686" s="6">
        <v>1003.075805664062</v>
      </c>
      <c r="AV686" s="6">
        <f t="shared" si="86"/>
        <v>3.0758056640620453</v>
      </c>
      <c r="AW686" s="7">
        <f t="shared" si="87"/>
        <v>3.0758056640620454E-3</v>
      </c>
    </row>
    <row r="687" spans="1:49" x14ac:dyDescent="0.25">
      <c r="A687" t="s">
        <v>107</v>
      </c>
      <c r="B687" t="s">
        <v>192</v>
      </c>
      <c r="C687">
        <v>119559</v>
      </c>
      <c r="D687">
        <v>2018</v>
      </c>
      <c r="E687" t="s">
        <v>58</v>
      </c>
      <c r="F687" t="s">
        <v>325</v>
      </c>
      <c r="G687" t="s">
        <v>259</v>
      </c>
      <c r="I687">
        <v>4</v>
      </c>
      <c r="J687" t="s">
        <v>94</v>
      </c>
      <c r="K687">
        <v>4</v>
      </c>
      <c r="L687" t="s">
        <v>44</v>
      </c>
      <c r="M687">
        <v>2</v>
      </c>
      <c r="N687" t="s">
        <v>44</v>
      </c>
      <c r="O687" t="s">
        <v>46</v>
      </c>
      <c r="Q687" t="s">
        <v>47</v>
      </c>
      <c r="R687" t="s">
        <v>48</v>
      </c>
      <c r="S687" t="s">
        <v>139</v>
      </c>
      <c r="T687">
        <v>245</v>
      </c>
      <c r="U687" t="s">
        <v>50</v>
      </c>
      <c r="V687" t="s">
        <v>95</v>
      </c>
      <c r="W687" t="s">
        <v>326</v>
      </c>
      <c r="X687" t="s">
        <v>141</v>
      </c>
      <c r="Y687" t="s">
        <v>88</v>
      </c>
      <c r="Z687">
        <v>36025</v>
      </c>
      <c r="AA687">
        <v>0</v>
      </c>
      <c r="AB687" t="s">
        <v>54</v>
      </c>
      <c r="AC687" t="s">
        <v>55</v>
      </c>
      <c r="AD687">
        <v>34</v>
      </c>
      <c r="AE687">
        <v>8</v>
      </c>
      <c r="AF687">
        <v>3</v>
      </c>
      <c r="AG687">
        <v>2025</v>
      </c>
      <c r="AH687" s="13">
        <v>4900</v>
      </c>
      <c r="AI687" s="13">
        <v>7677.35986328125</v>
      </c>
      <c r="AJ687" s="13">
        <f t="shared" si="80"/>
        <v>2777.35986328125</v>
      </c>
      <c r="AK687" s="14">
        <f t="shared" si="81"/>
        <v>0.56680813536352037</v>
      </c>
      <c r="AL687" s="9">
        <v>4900</v>
      </c>
      <c r="AM687" s="9">
        <v>8619.7275043439367</v>
      </c>
      <c r="AN687" s="9">
        <f t="shared" si="82"/>
        <v>3719.7275043439367</v>
      </c>
      <c r="AO687" s="10">
        <f t="shared" si="83"/>
        <v>0.75912806211100747</v>
      </c>
      <c r="AP687" s="16">
        <v>4900</v>
      </c>
      <c r="AQ687" s="16">
        <v>8597.8002365144421</v>
      </c>
      <c r="AR687" s="16">
        <f t="shared" si="84"/>
        <v>3697.8002365144421</v>
      </c>
      <c r="AS687" s="17">
        <f t="shared" si="85"/>
        <v>0.75465310949274333</v>
      </c>
      <c r="AT687" s="6">
        <v>4900</v>
      </c>
      <c r="AU687" s="6">
        <v>8038.5498046875</v>
      </c>
      <c r="AV687" s="6">
        <f t="shared" si="86"/>
        <v>3138.5498046875</v>
      </c>
      <c r="AW687" s="7">
        <f t="shared" si="87"/>
        <v>0.6405203683035714</v>
      </c>
    </row>
    <row r="688" spans="1:49" x14ac:dyDescent="0.25">
      <c r="A688" t="s">
        <v>56</v>
      </c>
      <c r="B688" t="s">
        <v>178</v>
      </c>
      <c r="C688">
        <v>175817</v>
      </c>
      <c r="D688">
        <v>2014</v>
      </c>
      <c r="E688" t="s">
        <v>58</v>
      </c>
      <c r="F688" t="s">
        <v>182</v>
      </c>
      <c r="G688" t="s">
        <v>60</v>
      </c>
      <c r="I688">
        <v>4</v>
      </c>
      <c r="J688" t="s">
        <v>82</v>
      </c>
      <c r="K688">
        <v>4</v>
      </c>
      <c r="L688" t="s">
        <v>309</v>
      </c>
      <c r="M688">
        <v>2</v>
      </c>
      <c r="N688" t="s">
        <v>45</v>
      </c>
      <c r="O688" t="s">
        <v>83</v>
      </c>
      <c r="P688">
        <v>1</v>
      </c>
      <c r="Q688" t="s">
        <v>84</v>
      </c>
      <c r="R688" t="s">
        <v>157</v>
      </c>
      <c r="T688">
        <v>252</v>
      </c>
      <c r="U688" t="s">
        <v>50</v>
      </c>
      <c r="V688" t="s">
        <v>95</v>
      </c>
      <c r="X688" t="s">
        <v>87</v>
      </c>
      <c r="Y688" t="s">
        <v>67</v>
      </c>
      <c r="AA688">
        <v>0</v>
      </c>
      <c r="AB688" t="s">
        <v>54</v>
      </c>
      <c r="AC688" t="s">
        <v>159</v>
      </c>
      <c r="AD688">
        <v>34</v>
      </c>
      <c r="AE688">
        <v>8</v>
      </c>
      <c r="AF688">
        <v>3</v>
      </c>
      <c r="AG688">
        <v>2025</v>
      </c>
      <c r="AH688" s="13">
        <v>1700</v>
      </c>
      <c r="AI688" s="13">
        <v>1175.760864257812</v>
      </c>
      <c r="AJ688" s="13">
        <f t="shared" si="80"/>
        <v>524.23913574218795</v>
      </c>
      <c r="AK688" s="14">
        <f t="shared" si="81"/>
        <v>0.30837596220128705</v>
      </c>
      <c r="AL688" s="9">
        <v>1700</v>
      </c>
      <c r="AM688" s="9">
        <v>1094.98140599412</v>
      </c>
      <c r="AN688" s="9">
        <f t="shared" si="82"/>
        <v>605.01859400588</v>
      </c>
      <c r="AO688" s="10">
        <f t="shared" si="83"/>
        <v>0.35589329059169411</v>
      </c>
      <c r="AP688" s="16">
        <v>1700</v>
      </c>
      <c r="AQ688" s="16">
        <v>880.81293613863841</v>
      </c>
      <c r="AR688" s="16">
        <f t="shared" si="84"/>
        <v>819.18706386136159</v>
      </c>
      <c r="AS688" s="17">
        <f t="shared" si="85"/>
        <v>0.48187474344785974</v>
      </c>
      <c r="AT688" s="6">
        <v>1700</v>
      </c>
      <c r="AU688" s="6">
        <v>1369.296752929688</v>
      </c>
      <c r="AV688" s="6">
        <f t="shared" si="86"/>
        <v>330.70324707031205</v>
      </c>
      <c r="AW688" s="7">
        <f t="shared" si="87"/>
        <v>0.19453132180606592</v>
      </c>
    </row>
    <row r="689" spans="1:49" x14ac:dyDescent="0.25">
      <c r="A689" t="s">
        <v>38</v>
      </c>
      <c r="B689" t="s">
        <v>39</v>
      </c>
      <c r="C689">
        <v>84253</v>
      </c>
      <c r="D689">
        <v>2020</v>
      </c>
      <c r="E689" t="s">
        <v>40</v>
      </c>
      <c r="F689" t="s">
        <v>312</v>
      </c>
      <c r="G689" t="s">
        <v>993</v>
      </c>
      <c r="I689">
        <v>4</v>
      </c>
      <c r="J689" t="s">
        <v>43</v>
      </c>
      <c r="K689">
        <v>4</v>
      </c>
      <c r="L689" t="s">
        <v>44</v>
      </c>
      <c r="M689">
        <v>2</v>
      </c>
      <c r="N689" t="s">
        <v>45</v>
      </c>
      <c r="O689" t="s">
        <v>42</v>
      </c>
      <c r="P689">
        <v>3</v>
      </c>
      <c r="Q689" t="s">
        <v>84</v>
      </c>
      <c r="R689" t="s">
        <v>85</v>
      </c>
      <c r="T689">
        <v>147</v>
      </c>
      <c r="U689" t="s">
        <v>50</v>
      </c>
      <c r="W689" t="s">
        <v>328</v>
      </c>
      <c r="X689" t="s">
        <v>87</v>
      </c>
      <c r="Y689" t="s">
        <v>106</v>
      </c>
      <c r="AA689">
        <v>0</v>
      </c>
      <c r="AB689" t="s">
        <v>54</v>
      </c>
      <c r="AC689" t="s">
        <v>89</v>
      </c>
      <c r="AD689">
        <v>34</v>
      </c>
      <c r="AE689">
        <v>8</v>
      </c>
      <c r="AF689">
        <v>3</v>
      </c>
      <c r="AG689">
        <v>2025</v>
      </c>
      <c r="AH689" s="13">
        <v>4900</v>
      </c>
      <c r="AI689" s="13">
        <v>5416.92626953125</v>
      </c>
      <c r="AJ689" s="13">
        <f t="shared" si="80"/>
        <v>516.92626953125</v>
      </c>
      <c r="AK689" s="14">
        <f t="shared" si="81"/>
        <v>0.10549515704719388</v>
      </c>
      <c r="AL689" s="9">
        <v>4900</v>
      </c>
      <c r="AM689" s="9">
        <v>4392.1215903368638</v>
      </c>
      <c r="AN689" s="9">
        <f t="shared" si="82"/>
        <v>507.87840966313615</v>
      </c>
      <c r="AO689" s="10">
        <f t="shared" si="83"/>
        <v>0.1036486550332931</v>
      </c>
      <c r="AP689" s="16">
        <v>4900</v>
      </c>
      <c r="AQ689" s="16">
        <v>4298.8186921478464</v>
      </c>
      <c r="AR689" s="16">
        <f t="shared" si="84"/>
        <v>601.18130785215362</v>
      </c>
      <c r="AS689" s="17">
        <f t="shared" si="85"/>
        <v>0.12269006282697013</v>
      </c>
      <c r="AT689" s="6">
        <v>4900</v>
      </c>
      <c r="AU689" s="6">
        <v>4148.98974609375</v>
      </c>
      <c r="AV689" s="6">
        <f t="shared" si="86"/>
        <v>751.01025390625</v>
      </c>
      <c r="AW689" s="7">
        <f t="shared" si="87"/>
        <v>0.15326739875637754</v>
      </c>
    </row>
    <row r="690" spans="1:49" x14ac:dyDescent="0.25">
      <c r="A690" t="s">
        <v>38</v>
      </c>
      <c r="B690" t="s">
        <v>39</v>
      </c>
      <c r="C690">
        <v>107102</v>
      </c>
      <c r="D690">
        <v>2020</v>
      </c>
      <c r="E690" t="s">
        <v>98</v>
      </c>
      <c r="F690" t="s">
        <v>161</v>
      </c>
      <c r="G690" t="s">
        <v>218</v>
      </c>
      <c r="H690" t="s">
        <v>162</v>
      </c>
      <c r="I690">
        <v>8</v>
      </c>
      <c r="J690" t="s">
        <v>101</v>
      </c>
      <c r="K690">
        <v>4</v>
      </c>
      <c r="L690" t="s">
        <v>44</v>
      </c>
      <c r="M690">
        <v>6.2</v>
      </c>
      <c r="N690" t="s">
        <v>62</v>
      </c>
      <c r="O690" t="s">
        <v>46</v>
      </c>
      <c r="P690">
        <v>4</v>
      </c>
      <c r="Q690" t="s">
        <v>75</v>
      </c>
      <c r="R690" t="s">
        <v>76</v>
      </c>
      <c r="S690" t="s">
        <v>63</v>
      </c>
      <c r="U690" t="s">
        <v>50</v>
      </c>
      <c r="V690" t="s">
        <v>64</v>
      </c>
      <c r="W690" t="s">
        <v>1041</v>
      </c>
      <c r="X690" t="s">
        <v>77</v>
      </c>
      <c r="Y690" t="s">
        <v>106</v>
      </c>
      <c r="AA690">
        <v>0</v>
      </c>
      <c r="AB690" t="s">
        <v>54</v>
      </c>
      <c r="AC690" t="s">
        <v>78</v>
      </c>
      <c r="AD690">
        <v>34</v>
      </c>
      <c r="AE690">
        <v>8</v>
      </c>
      <c r="AF690">
        <v>3</v>
      </c>
      <c r="AG690">
        <v>2025</v>
      </c>
      <c r="AH690" s="13">
        <v>23500</v>
      </c>
      <c r="AI690" s="13">
        <v>30828.091796875</v>
      </c>
      <c r="AJ690" s="13">
        <f t="shared" si="80"/>
        <v>7328.091796875</v>
      </c>
      <c r="AK690" s="14">
        <f t="shared" si="81"/>
        <v>0.31183369348404255</v>
      </c>
      <c r="AL690" s="9">
        <v>23500</v>
      </c>
      <c r="AM690" s="9">
        <v>30238.05921830831</v>
      </c>
      <c r="AN690" s="9">
        <f t="shared" si="82"/>
        <v>6738.0592183083099</v>
      </c>
      <c r="AO690" s="10">
        <f t="shared" si="83"/>
        <v>0.28672592418333231</v>
      </c>
      <c r="AP690" s="16">
        <v>23500</v>
      </c>
      <c r="AQ690" s="16">
        <v>31936.612315845428</v>
      </c>
      <c r="AR690" s="16">
        <f t="shared" si="84"/>
        <v>8436.6123158454284</v>
      </c>
      <c r="AS690" s="17">
        <f t="shared" si="85"/>
        <v>0.35900477939767783</v>
      </c>
      <c r="AT690" s="6">
        <v>23500</v>
      </c>
      <c r="AU690" s="6">
        <v>30803.7578125</v>
      </c>
      <c r="AV690" s="6">
        <f t="shared" si="86"/>
        <v>7303.7578125</v>
      </c>
      <c r="AW690" s="7">
        <f t="shared" si="87"/>
        <v>0.31079820478723402</v>
      </c>
    </row>
    <row r="691" spans="1:49" x14ac:dyDescent="0.25">
      <c r="A691" t="s">
        <v>107</v>
      </c>
      <c r="B691" t="s">
        <v>108</v>
      </c>
      <c r="C691">
        <v>34968</v>
      </c>
      <c r="D691">
        <v>2022</v>
      </c>
      <c r="E691" t="s">
        <v>79</v>
      </c>
      <c r="F691" t="s">
        <v>164</v>
      </c>
      <c r="G691" t="s">
        <v>287</v>
      </c>
      <c r="I691">
        <v>4</v>
      </c>
      <c r="J691" t="s">
        <v>43</v>
      </c>
      <c r="K691">
        <v>4</v>
      </c>
      <c r="L691" t="s">
        <v>44</v>
      </c>
      <c r="M691">
        <v>1.5</v>
      </c>
      <c r="N691" t="s">
        <v>45</v>
      </c>
      <c r="O691" t="s">
        <v>46</v>
      </c>
      <c r="P691">
        <v>5</v>
      </c>
      <c r="Q691" t="s">
        <v>47</v>
      </c>
      <c r="R691" t="s">
        <v>48</v>
      </c>
      <c r="S691" t="s">
        <v>102</v>
      </c>
      <c r="U691" t="s">
        <v>50</v>
      </c>
      <c r="V691" t="s">
        <v>95</v>
      </c>
      <c r="W691" t="s">
        <v>591</v>
      </c>
      <c r="X691" t="s">
        <v>52</v>
      </c>
      <c r="Y691" t="s">
        <v>106</v>
      </c>
      <c r="AA691">
        <v>0</v>
      </c>
      <c r="AB691" t="s">
        <v>54</v>
      </c>
      <c r="AC691" t="s">
        <v>55</v>
      </c>
      <c r="AD691">
        <v>34</v>
      </c>
      <c r="AE691">
        <v>8</v>
      </c>
      <c r="AF691">
        <v>3</v>
      </c>
      <c r="AG691">
        <v>2025</v>
      </c>
      <c r="AH691" s="13">
        <v>18400</v>
      </c>
      <c r="AI691" s="13">
        <v>25205.37890625</v>
      </c>
      <c r="AJ691" s="13">
        <f t="shared" si="80"/>
        <v>6805.37890625</v>
      </c>
      <c r="AK691" s="14">
        <f t="shared" si="81"/>
        <v>0.36985754925271741</v>
      </c>
      <c r="AL691" s="9">
        <v>18400</v>
      </c>
      <c r="AM691" s="9">
        <v>23211.279562335189</v>
      </c>
      <c r="AN691" s="9">
        <f t="shared" si="82"/>
        <v>4811.2795623351885</v>
      </c>
      <c r="AO691" s="10">
        <f t="shared" si="83"/>
        <v>0.26148258490952114</v>
      </c>
      <c r="AP691" s="16">
        <v>18400</v>
      </c>
      <c r="AQ691" s="16">
        <v>21635.493781384139</v>
      </c>
      <c r="AR691" s="16">
        <f t="shared" si="84"/>
        <v>3235.4937813841389</v>
      </c>
      <c r="AS691" s="17">
        <f t="shared" si="85"/>
        <v>0.17584205333609451</v>
      </c>
      <c r="AT691" s="6">
        <v>18400</v>
      </c>
      <c r="AU691" s="6">
        <v>21217.61328125</v>
      </c>
      <c r="AV691" s="6">
        <f t="shared" si="86"/>
        <v>2817.61328125</v>
      </c>
      <c r="AW691" s="7">
        <f t="shared" si="87"/>
        <v>0.15313115658967391</v>
      </c>
    </row>
    <row r="692" spans="1:49" x14ac:dyDescent="0.25">
      <c r="A692" t="s">
        <v>56</v>
      </c>
      <c r="B692" t="s">
        <v>178</v>
      </c>
      <c r="C692">
        <v>182637</v>
      </c>
      <c r="D692">
        <v>2014</v>
      </c>
      <c r="E692" t="s">
        <v>145</v>
      </c>
      <c r="F692" t="s">
        <v>307</v>
      </c>
      <c r="G692" t="s">
        <v>432</v>
      </c>
      <c r="I692">
        <v>4</v>
      </c>
      <c r="J692" t="s">
        <v>82</v>
      </c>
      <c r="K692">
        <v>4</v>
      </c>
      <c r="L692" t="s">
        <v>44</v>
      </c>
      <c r="M692">
        <v>2.4</v>
      </c>
      <c r="N692" t="s">
        <v>45</v>
      </c>
      <c r="O692" t="s">
        <v>46</v>
      </c>
      <c r="P692">
        <v>3</v>
      </c>
      <c r="Q692" t="s">
        <v>84</v>
      </c>
      <c r="R692" t="s">
        <v>85</v>
      </c>
      <c r="T692">
        <v>185</v>
      </c>
      <c r="U692" t="s">
        <v>50</v>
      </c>
      <c r="V692" t="s">
        <v>95</v>
      </c>
      <c r="W692" t="s">
        <v>513</v>
      </c>
      <c r="X692" t="s">
        <v>52</v>
      </c>
      <c r="Y692" t="s">
        <v>67</v>
      </c>
      <c r="AA692">
        <v>0</v>
      </c>
      <c r="AB692" t="s">
        <v>54</v>
      </c>
      <c r="AC692" t="s">
        <v>89</v>
      </c>
      <c r="AD692">
        <v>34</v>
      </c>
      <c r="AE692">
        <v>8</v>
      </c>
      <c r="AF692">
        <v>3</v>
      </c>
      <c r="AG692">
        <v>2025</v>
      </c>
      <c r="AH692" s="13">
        <v>5000</v>
      </c>
      <c r="AI692" s="13">
        <v>3385.94189453125</v>
      </c>
      <c r="AJ692" s="13">
        <f t="shared" si="80"/>
        <v>1614.05810546875</v>
      </c>
      <c r="AK692" s="14">
        <f t="shared" si="81"/>
        <v>0.32281162109375</v>
      </c>
      <c r="AL692" s="9">
        <v>5000</v>
      </c>
      <c r="AM692" s="9">
        <v>3827.512450886702</v>
      </c>
      <c r="AN692" s="9">
        <f t="shared" si="82"/>
        <v>1172.487549113298</v>
      </c>
      <c r="AO692" s="10">
        <f t="shared" si="83"/>
        <v>0.2344975098226596</v>
      </c>
      <c r="AP692" s="16">
        <v>5000</v>
      </c>
      <c r="AQ692" s="16">
        <v>3440.79219907783</v>
      </c>
      <c r="AR692" s="16">
        <f t="shared" si="84"/>
        <v>1559.20780092217</v>
      </c>
      <c r="AS692" s="17">
        <f t="shared" si="85"/>
        <v>0.31184156018443399</v>
      </c>
      <c r="AT692" s="6">
        <v>5000</v>
      </c>
      <c r="AU692" s="6">
        <v>3748.507080078125</v>
      </c>
      <c r="AV692" s="6">
        <f t="shared" si="86"/>
        <v>1251.492919921875</v>
      </c>
      <c r="AW692" s="7">
        <f t="shared" si="87"/>
        <v>0.25029858398437499</v>
      </c>
    </row>
    <row r="693" spans="1:49" x14ac:dyDescent="0.25">
      <c r="A693" t="s">
        <v>38</v>
      </c>
      <c r="B693" t="s">
        <v>132</v>
      </c>
      <c r="C693">
        <v>137661</v>
      </c>
      <c r="D693">
        <v>2011</v>
      </c>
      <c r="E693" t="s">
        <v>58</v>
      </c>
      <c r="F693" t="s">
        <v>258</v>
      </c>
      <c r="H693" t="s">
        <v>266</v>
      </c>
      <c r="I693">
        <v>6</v>
      </c>
      <c r="J693" t="s">
        <v>82</v>
      </c>
      <c r="K693">
        <v>4</v>
      </c>
      <c r="L693" t="s">
        <v>44</v>
      </c>
      <c r="M693">
        <v>3</v>
      </c>
      <c r="N693" t="s">
        <v>45</v>
      </c>
      <c r="O693" t="s">
        <v>46</v>
      </c>
      <c r="P693">
        <v>3</v>
      </c>
      <c r="Q693" t="s">
        <v>47</v>
      </c>
      <c r="R693" t="s">
        <v>48</v>
      </c>
      <c r="T693">
        <v>240</v>
      </c>
      <c r="U693" t="s">
        <v>50</v>
      </c>
      <c r="V693" t="s">
        <v>64</v>
      </c>
      <c r="X693" t="s">
        <v>52</v>
      </c>
      <c r="Y693" t="s">
        <v>67</v>
      </c>
      <c r="AA693">
        <v>0</v>
      </c>
      <c r="AB693" t="s">
        <v>54</v>
      </c>
      <c r="AC693" t="s">
        <v>55</v>
      </c>
      <c r="AD693">
        <v>34</v>
      </c>
      <c r="AE693">
        <v>8</v>
      </c>
      <c r="AF693">
        <v>3</v>
      </c>
      <c r="AG693">
        <v>2025</v>
      </c>
      <c r="AH693" s="13">
        <v>3000</v>
      </c>
      <c r="AI693" s="13">
        <v>2499.515380859375</v>
      </c>
      <c r="AJ693" s="13">
        <f t="shared" si="80"/>
        <v>500.484619140625</v>
      </c>
      <c r="AK693" s="14">
        <f t="shared" si="81"/>
        <v>0.16682820638020834</v>
      </c>
      <c r="AL693" s="9">
        <v>3000</v>
      </c>
      <c r="AM693" s="9">
        <v>2056.398391718486</v>
      </c>
      <c r="AN693" s="9">
        <f t="shared" si="82"/>
        <v>943.60160828151402</v>
      </c>
      <c r="AO693" s="10">
        <f t="shared" si="83"/>
        <v>0.31453386942717132</v>
      </c>
      <c r="AP693" s="16">
        <v>3000</v>
      </c>
      <c r="AQ693" s="16">
        <v>2153.161372677569</v>
      </c>
      <c r="AR693" s="16">
        <f t="shared" si="84"/>
        <v>846.83862732243097</v>
      </c>
      <c r="AS693" s="17">
        <f t="shared" si="85"/>
        <v>0.28227954244081033</v>
      </c>
      <c r="AT693" s="6">
        <v>3000</v>
      </c>
      <c r="AU693" s="6">
        <v>2102.514404296875</v>
      </c>
      <c r="AV693" s="6">
        <f t="shared" si="86"/>
        <v>897.485595703125</v>
      </c>
      <c r="AW693" s="7">
        <f t="shared" si="87"/>
        <v>0.29916186523437499</v>
      </c>
    </row>
    <row r="694" spans="1:49" x14ac:dyDescent="0.25">
      <c r="A694" t="s">
        <v>56</v>
      </c>
      <c r="B694" t="s">
        <v>431</v>
      </c>
      <c r="C694">
        <v>129052</v>
      </c>
      <c r="D694">
        <v>2019</v>
      </c>
      <c r="E694" t="s">
        <v>58</v>
      </c>
      <c r="F694" t="s">
        <v>59</v>
      </c>
      <c r="G694" t="s">
        <v>266</v>
      </c>
      <c r="I694">
        <v>6</v>
      </c>
      <c r="J694" t="s">
        <v>61</v>
      </c>
      <c r="K694">
        <v>4</v>
      </c>
      <c r="L694" t="s">
        <v>44</v>
      </c>
      <c r="M694">
        <v>3.5</v>
      </c>
      <c r="N694" t="s">
        <v>62</v>
      </c>
      <c r="Q694" t="s">
        <v>47</v>
      </c>
      <c r="R694" t="s">
        <v>48</v>
      </c>
      <c r="S694" t="s">
        <v>63</v>
      </c>
      <c r="T694">
        <v>290</v>
      </c>
      <c r="U694" t="s">
        <v>50</v>
      </c>
      <c r="V694" t="s">
        <v>64</v>
      </c>
      <c r="W694" t="s">
        <v>769</v>
      </c>
      <c r="X694" t="s">
        <v>66</v>
      </c>
      <c r="Y694" t="s">
        <v>67</v>
      </c>
      <c r="Z694">
        <v>36550</v>
      </c>
      <c r="AA694">
        <v>0</v>
      </c>
      <c r="AB694" t="s">
        <v>54</v>
      </c>
      <c r="AC694" t="s">
        <v>68</v>
      </c>
      <c r="AD694">
        <v>34</v>
      </c>
      <c r="AE694">
        <v>8</v>
      </c>
      <c r="AF694">
        <v>3</v>
      </c>
      <c r="AG694">
        <v>2025</v>
      </c>
      <c r="AH694" s="13">
        <v>11200</v>
      </c>
      <c r="AI694" s="13">
        <v>12592.416015625</v>
      </c>
      <c r="AJ694" s="13">
        <f t="shared" si="80"/>
        <v>1392.416015625</v>
      </c>
      <c r="AK694" s="14">
        <f t="shared" si="81"/>
        <v>0.12432285853794643</v>
      </c>
      <c r="AL694" s="9">
        <v>11200</v>
      </c>
      <c r="AM694" s="9">
        <v>13271.222721388909</v>
      </c>
      <c r="AN694" s="9">
        <f t="shared" si="82"/>
        <v>2071.2227213889091</v>
      </c>
      <c r="AO694" s="10">
        <f t="shared" si="83"/>
        <v>0.18493060012400975</v>
      </c>
      <c r="AP694" s="16">
        <v>11200</v>
      </c>
      <c r="AQ694" s="16">
        <v>10672.34394525779</v>
      </c>
      <c r="AR694" s="16">
        <f t="shared" si="84"/>
        <v>527.65605474221047</v>
      </c>
      <c r="AS694" s="17">
        <f t="shared" si="85"/>
        <v>4.7112147744840217E-2</v>
      </c>
      <c r="AT694" s="6">
        <v>11200</v>
      </c>
      <c r="AU694" s="6">
        <v>12903.115234375</v>
      </c>
      <c r="AV694" s="6">
        <f t="shared" si="86"/>
        <v>1703.115234375</v>
      </c>
      <c r="AW694" s="7">
        <f t="shared" si="87"/>
        <v>0.15206386021205356</v>
      </c>
    </row>
    <row r="695" spans="1:49" x14ac:dyDescent="0.25">
      <c r="A695" t="s">
        <v>38</v>
      </c>
      <c r="B695" t="s">
        <v>229</v>
      </c>
      <c r="C695">
        <v>166946</v>
      </c>
      <c r="D695">
        <v>2014</v>
      </c>
      <c r="E695" t="s">
        <v>58</v>
      </c>
      <c r="F695" t="s">
        <v>258</v>
      </c>
      <c r="H695" t="s">
        <v>268</v>
      </c>
      <c r="I695">
        <v>4</v>
      </c>
      <c r="J695" t="s">
        <v>94</v>
      </c>
      <c r="K695">
        <v>4</v>
      </c>
      <c r="L695" t="s">
        <v>44</v>
      </c>
      <c r="M695">
        <v>1.6</v>
      </c>
      <c r="N695" t="s">
        <v>45</v>
      </c>
      <c r="O695" t="s">
        <v>42</v>
      </c>
      <c r="P695">
        <v>1</v>
      </c>
      <c r="Q695" t="s">
        <v>47</v>
      </c>
      <c r="R695" t="s">
        <v>48</v>
      </c>
      <c r="S695" t="s">
        <v>49</v>
      </c>
      <c r="T695">
        <v>178</v>
      </c>
      <c r="U695" t="s">
        <v>50</v>
      </c>
      <c r="V695" t="s">
        <v>95</v>
      </c>
      <c r="X695" t="s">
        <v>52</v>
      </c>
      <c r="Y695" t="s">
        <v>67</v>
      </c>
      <c r="AA695">
        <v>0</v>
      </c>
      <c r="AB695" t="s">
        <v>54</v>
      </c>
      <c r="AC695" t="s">
        <v>55</v>
      </c>
      <c r="AD695">
        <v>34</v>
      </c>
      <c r="AE695">
        <v>8</v>
      </c>
      <c r="AF695">
        <v>3</v>
      </c>
      <c r="AG695">
        <v>2025</v>
      </c>
      <c r="AH695" s="13">
        <v>900</v>
      </c>
      <c r="AI695" s="13">
        <v>885.3836669921875</v>
      </c>
      <c r="AJ695" s="13">
        <f t="shared" si="80"/>
        <v>14.6163330078125</v>
      </c>
      <c r="AK695" s="14">
        <f t="shared" si="81"/>
        <v>1.6240370008680557E-2</v>
      </c>
      <c r="AL695" s="9">
        <v>900</v>
      </c>
      <c r="AM695" s="9">
        <v>894.40996595932734</v>
      </c>
      <c r="AN695" s="9">
        <f t="shared" si="82"/>
        <v>5.5900340406726627</v>
      </c>
      <c r="AO695" s="10">
        <f t="shared" si="83"/>
        <v>6.211148934080736E-3</v>
      </c>
      <c r="AP695" s="16">
        <v>900</v>
      </c>
      <c r="AQ695" s="16">
        <v>541.09842878918448</v>
      </c>
      <c r="AR695" s="16">
        <f t="shared" si="84"/>
        <v>358.90157121081552</v>
      </c>
      <c r="AS695" s="17">
        <f t="shared" si="85"/>
        <v>0.39877952356757279</v>
      </c>
      <c r="AT695" s="6">
        <v>900</v>
      </c>
      <c r="AU695" s="6">
        <v>670.97039794921875</v>
      </c>
      <c r="AV695" s="6">
        <f t="shared" si="86"/>
        <v>229.02960205078125</v>
      </c>
      <c r="AW695" s="7">
        <f t="shared" si="87"/>
        <v>0.25447733561197916</v>
      </c>
    </row>
    <row r="696" spans="1:49" x14ac:dyDescent="0.25">
      <c r="A696" t="s">
        <v>107</v>
      </c>
      <c r="B696" t="s">
        <v>256</v>
      </c>
      <c r="C696">
        <v>109516</v>
      </c>
      <c r="D696">
        <v>2020</v>
      </c>
      <c r="E696" t="s">
        <v>382</v>
      </c>
      <c r="F696" t="s">
        <v>496</v>
      </c>
      <c r="H696" t="s">
        <v>1042</v>
      </c>
      <c r="I696">
        <v>6</v>
      </c>
      <c r="J696" t="s">
        <v>74</v>
      </c>
      <c r="K696">
        <v>4</v>
      </c>
      <c r="L696" t="s">
        <v>44</v>
      </c>
      <c r="M696">
        <v>3.6</v>
      </c>
      <c r="N696" t="s">
        <v>116</v>
      </c>
      <c r="O696" t="s">
        <v>46</v>
      </c>
      <c r="P696">
        <v>4</v>
      </c>
      <c r="Q696" t="s">
        <v>84</v>
      </c>
      <c r="R696" t="s">
        <v>85</v>
      </c>
      <c r="S696" t="s">
        <v>117</v>
      </c>
      <c r="T696">
        <v>292</v>
      </c>
      <c r="U696" t="s">
        <v>50</v>
      </c>
      <c r="V696" t="s">
        <v>64</v>
      </c>
      <c r="X696" t="s">
        <v>87</v>
      </c>
      <c r="Y696" t="s">
        <v>88</v>
      </c>
      <c r="Z696">
        <v>38190</v>
      </c>
      <c r="AA696">
        <v>0</v>
      </c>
      <c r="AB696" t="s">
        <v>54</v>
      </c>
      <c r="AC696" t="s">
        <v>89</v>
      </c>
      <c r="AD696">
        <v>34</v>
      </c>
      <c r="AE696">
        <v>8</v>
      </c>
      <c r="AF696">
        <v>3</v>
      </c>
      <c r="AG696">
        <v>2025</v>
      </c>
      <c r="AH696" s="13">
        <v>11200</v>
      </c>
      <c r="AI696" s="13">
        <v>6696.9765625</v>
      </c>
      <c r="AJ696" s="13">
        <f t="shared" si="80"/>
        <v>4503.0234375</v>
      </c>
      <c r="AK696" s="14">
        <f t="shared" si="81"/>
        <v>0.40205566406249998</v>
      </c>
      <c r="AL696" s="9">
        <v>11200</v>
      </c>
      <c r="AM696" s="9">
        <v>13241.66590508284</v>
      </c>
      <c r="AN696" s="9">
        <f t="shared" si="82"/>
        <v>2041.6659050828403</v>
      </c>
      <c r="AO696" s="10">
        <f t="shared" si="83"/>
        <v>0.18229159866811073</v>
      </c>
      <c r="AP696" s="16">
        <v>11200</v>
      </c>
      <c r="AQ696" s="16">
        <v>10653.250971715341</v>
      </c>
      <c r="AR696" s="16">
        <f t="shared" si="84"/>
        <v>546.74902828465929</v>
      </c>
      <c r="AS696" s="17">
        <f t="shared" si="85"/>
        <v>4.8816877525416011E-2</v>
      </c>
      <c r="AT696" s="6">
        <v>11200</v>
      </c>
      <c r="AU696" s="6">
        <v>12088.4482421875</v>
      </c>
      <c r="AV696" s="6">
        <f t="shared" si="86"/>
        <v>888.4482421875</v>
      </c>
      <c r="AW696" s="7">
        <f t="shared" si="87"/>
        <v>7.9325735909598211E-2</v>
      </c>
    </row>
    <row r="697" spans="1:49" x14ac:dyDescent="0.25">
      <c r="A697" t="s">
        <v>38</v>
      </c>
      <c r="B697" t="s">
        <v>229</v>
      </c>
      <c r="C697">
        <v>110237</v>
      </c>
      <c r="D697">
        <v>2020</v>
      </c>
      <c r="E697" t="s">
        <v>71</v>
      </c>
      <c r="F697" t="s">
        <v>105</v>
      </c>
      <c r="G697" t="s">
        <v>200</v>
      </c>
      <c r="I697">
        <v>4</v>
      </c>
      <c r="J697" t="s">
        <v>82</v>
      </c>
      <c r="K697">
        <v>4</v>
      </c>
      <c r="L697" t="s">
        <v>44</v>
      </c>
      <c r="M697">
        <v>1.6</v>
      </c>
      <c r="N697" t="s">
        <v>45</v>
      </c>
      <c r="O697" t="s">
        <v>46</v>
      </c>
      <c r="P697">
        <v>2</v>
      </c>
      <c r="Q697" t="s">
        <v>84</v>
      </c>
      <c r="R697" t="s">
        <v>85</v>
      </c>
      <c r="S697" t="s">
        <v>49</v>
      </c>
      <c r="U697" t="s">
        <v>50</v>
      </c>
      <c r="X697" t="s">
        <v>87</v>
      </c>
      <c r="Y697" t="s">
        <v>106</v>
      </c>
      <c r="Z697">
        <v>17740</v>
      </c>
      <c r="AA697">
        <v>0</v>
      </c>
      <c r="AB697" t="s">
        <v>54</v>
      </c>
      <c r="AC697" t="s">
        <v>89</v>
      </c>
      <c r="AD697">
        <v>34</v>
      </c>
      <c r="AE697">
        <v>8</v>
      </c>
      <c r="AF697">
        <v>3</v>
      </c>
      <c r="AG697">
        <v>2025</v>
      </c>
      <c r="AH697" s="13">
        <v>3000</v>
      </c>
      <c r="AI697" s="13">
        <v>3304.43701171875</v>
      </c>
      <c r="AJ697" s="13">
        <f t="shared" si="80"/>
        <v>304.43701171875</v>
      </c>
      <c r="AK697" s="14">
        <f t="shared" si="81"/>
        <v>0.10147900390625</v>
      </c>
      <c r="AL697" s="9">
        <v>3000</v>
      </c>
      <c r="AM697" s="9">
        <v>3861.9305120695258</v>
      </c>
      <c r="AN697" s="9">
        <f t="shared" si="82"/>
        <v>861.93051206952578</v>
      </c>
      <c r="AO697" s="10">
        <f t="shared" si="83"/>
        <v>0.28731017068984194</v>
      </c>
      <c r="AP697" s="16">
        <v>3000</v>
      </c>
      <c r="AQ697" s="16">
        <v>3787.8105401827852</v>
      </c>
      <c r="AR697" s="16">
        <f t="shared" si="84"/>
        <v>787.81054018278519</v>
      </c>
      <c r="AS697" s="17">
        <f t="shared" si="85"/>
        <v>0.26260351339426174</v>
      </c>
      <c r="AT697" s="6">
        <v>3000</v>
      </c>
      <c r="AU697" s="6">
        <v>3507.456298828125</v>
      </c>
      <c r="AV697" s="6">
        <f t="shared" si="86"/>
        <v>507.456298828125</v>
      </c>
      <c r="AW697" s="7">
        <f t="shared" si="87"/>
        <v>0.169152099609375</v>
      </c>
    </row>
    <row r="698" spans="1:49" x14ac:dyDescent="0.25">
      <c r="A698" t="s">
        <v>69</v>
      </c>
      <c r="B698" t="s">
        <v>70</v>
      </c>
      <c r="C698">
        <v>89364</v>
      </c>
      <c r="D698">
        <v>2013</v>
      </c>
      <c r="E698" t="s">
        <v>113</v>
      </c>
      <c r="F698" t="s">
        <v>114</v>
      </c>
      <c r="G698" t="s">
        <v>268</v>
      </c>
      <c r="I698">
        <v>6</v>
      </c>
      <c r="J698" t="s">
        <v>43</v>
      </c>
      <c r="K698">
        <v>4</v>
      </c>
      <c r="L698" t="s">
        <v>44</v>
      </c>
      <c r="M698">
        <v>3.6</v>
      </c>
      <c r="N698" t="s">
        <v>116</v>
      </c>
      <c r="O698" t="s">
        <v>46</v>
      </c>
      <c r="P698">
        <v>4</v>
      </c>
      <c r="Q698" t="s">
        <v>84</v>
      </c>
      <c r="R698" t="s">
        <v>85</v>
      </c>
      <c r="S698" t="s">
        <v>117</v>
      </c>
      <c r="T698">
        <v>292</v>
      </c>
      <c r="U698" t="s">
        <v>50</v>
      </c>
      <c r="V698" t="s">
        <v>64</v>
      </c>
      <c r="X698" t="s">
        <v>87</v>
      </c>
      <c r="Y698" t="s">
        <v>88</v>
      </c>
      <c r="AA698">
        <v>0</v>
      </c>
      <c r="AB698" t="s">
        <v>54</v>
      </c>
      <c r="AC698" t="s">
        <v>89</v>
      </c>
      <c r="AD698">
        <v>34</v>
      </c>
      <c r="AE698">
        <v>8</v>
      </c>
      <c r="AF698">
        <v>3</v>
      </c>
      <c r="AG698">
        <v>2025</v>
      </c>
      <c r="AH698" s="13">
        <v>9900</v>
      </c>
      <c r="AI698" s="13">
        <v>7222.443359375</v>
      </c>
      <c r="AJ698" s="13">
        <f t="shared" si="80"/>
        <v>2677.556640625</v>
      </c>
      <c r="AK698" s="14">
        <f t="shared" si="81"/>
        <v>0.270460266729798</v>
      </c>
      <c r="AL698" s="9">
        <v>9900</v>
      </c>
      <c r="AM698" s="9">
        <v>6633.8556117048756</v>
      </c>
      <c r="AN698" s="9">
        <f t="shared" si="82"/>
        <v>3266.1443882951244</v>
      </c>
      <c r="AO698" s="10">
        <f t="shared" si="83"/>
        <v>0.3299135745752651</v>
      </c>
      <c r="AP698" s="16">
        <v>9900</v>
      </c>
      <c r="AQ698" s="16">
        <v>6118.7402196130379</v>
      </c>
      <c r="AR698" s="16">
        <f t="shared" si="84"/>
        <v>3781.2597803869621</v>
      </c>
      <c r="AS698" s="17">
        <f t="shared" si="85"/>
        <v>0.38194543236231943</v>
      </c>
      <c r="AT698" s="6">
        <v>9900</v>
      </c>
      <c r="AU698" s="6">
        <v>6912.26953125</v>
      </c>
      <c r="AV698" s="6">
        <f t="shared" si="86"/>
        <v>2987.73046875</v>
      </c>
      <c r="AW698" s="7">
        <f t="shared" si="87"/>
        <v>0.30179095643939396</v>
      </c>
    </row>
    <row r="699" spans="1:49" x14ac:dyDescent="0.25">
      <c r="A699" t="s">
        <v>69</v>
      </c>
      <c r="B699" t="s">
        <v>70</v>
      </c>
      <c r="C699">
        <v>169030</v>
      </c>
      <c r="D699">
        <v>2022</v>
      </c>
      <c r="E699" t="s">
        <v>91</v>
      </c>
      <c r="F699" t="s">
        <v>426</v>
      </c>
      <c r="G699" t="s">
        <v>786</v>
      </c>
      <c r="H699" t="s">
        <v>869</v>
      </c>
      <c r="I699">
        <v>6</v>
      </c>
      <c r="J699" t="s">
        <v>74</v>
      </c>
      <c r="K699">
        <v>4</v>
      </c>
      <c r="L699" t="s">
        <v>44</v>
      </c>
      <c r="M699">
        <v>3.5</v>
      </c>
      <c r="N699" t="s">
        <v>116</v>
      </c>
      <c r="O699" t="s">
        <v>46</v>
      </c>
      <c r="P699">
        <v>3</v>
      </c>
      <c r="Q699" t="s">
        <v>75</v>
      </c>
      <c r="R699" t="s">
        <v>76</v>
      </c>
      <c r="S699" t="s">
        <v>49</v>
      </c>
      <c r="T699">
        <v>278</v>
      </c>
      <c r="U699" t="s">
        <v>50</v>
      </c>
      <c r="V699" t="s">
        <v>64</v>
      </c>
      <c r="W699" t="s">
        <v>228</v>
      </c>
      <c r="X699" t="s">
        <v>141</v>
      </c>
      <c r="Y699" t="s">
        <v>106</v>
      </c>
      <c r="AA699">
        <v>0</v>
      </c>
      <c r="AB699" t="s">
        <v>54</v>
      </c>
      <c r="AC699" t="s">
        <v>78</v>
      </c>
      <c r="AD699">
        <v>34</v>
      </c>
      <c r="AE699">
        <v>8</v>
      </c>
      <c r="AF699">
        <v>3</v>
      </c>
      <c r="AG699">
        <v>2025</v>
      </c>
      <c r="AH699" s="13">
        <v>16200</v>
      </c>
      <c r="AI699" s="13">
        <v>15953.78515625</v>
      </c>
      <c r="AJ699" s="13">
        <f t="shared" si="80"/>
        <v>246.21484375</v>
      </c>
      <c r="AK699" s="14">
        <f t="shared" si="81"/>
        <v>1.5198447145061729E-2</v>
      </c>
      <c r="AL699" s="9">
        <v>16200</v>
      </c>
      <c r="AM699" s="9">
        <v>14794.858760457109</v>
      </c>
      <c r="AN699" s="9">
        <f t="shared" si="82"/>
        <v>1405.1412395428906</v>
      </c>
      <c r="AO699" s="10">
        <f t="shared" si="83"/>
        <v>8.6737113552030287E-2</v>
      </c>
      <c r="AP699" s="16">
        <v>16200</v>
      </c>
      <c r="AQ699" s="16">
        <v>12754.787267966491</v>
      </c>
      <c r="AR699" s="16">
        <f t="shared" si="84"/>
        <v>3445.2127320335094</v>
      </c>
      <c r="AS699" s="17">
        <f t="shared" si="85"/>
        <v>0.21266745259466108</v>
      </c>
      <c r="AT699" s="6">
        <v>16200</v>
      </c>
      <c r="AU699" s="6">
        <v>14540.8564453125</v>
      </c>
      <c r="AV699" s="6">
        <f t="shared" si="86"/>
        <v>1659.1435546875</v>
      </c>
      <c r="AW699" s="7">
        <f t="shared" si="87"/>
        <v>0.10241626880787037</v>
      </c>
    </row>
    <row r="700" spans="1:49" x14ac:dyDescent="0.25">
      <c r="A700" t="s">
        <v>107</v>
      </c>
      <c r="B700" t="s">
        <v>154</v>
      </c>
      <c r="C700">
        <v>168385</v>
      </c>
      <c r="D700">
        <v>2011</v>
      </c>
      <c r="E700" t="s">
        <v>145</v>
      </c>
      <c r="F700" t="s">
        <v>349</v>
      </c>
      <c r="G700" t="s">
        <v>284</v>
      </c>
      <c r="I700">
        <v>4</v>
      </c>
      <c r="J700" t="s">
        <v>74</v>
      </c>
      <c r="K700">
        <v>4</v>
      </c>
      <c r="L700" t="s">
        <v>221</v>
      </c>
      <c r="M700">
        <v>1.8</v>
      </c>
      <c r="N700" t="s">
        <v>45</v>
      </c>
      <c r="O700" t="s">
        <v>46</v>
      </c>
      <c r="Q700" t="s">
        <v>84</v>
      </c>
      <c r="R700" t="s">
        <v>85</v>
      </c>
      <c r="T700">
        <v>140</v>
      </c>
      <c r="U700" t="s">
        <v>50</v>
      </c>
      <c r="V700" t="s">
        <v>95</v>
      </c>
      <c r="W700" t="s">
        <v>475</v>
      </c>
      <c r="X700" t="s">
        <v>122</v>
      </c>
      <c r="Y700" t="s">
        <v>67</v>
      </c>
      <c r="AA700">
        <v>0</v>
      </c>
      <c r="AB700" t="s">
        <v>54</v>
      </c>
      <c r="AC700" t="s">
        <v>89</v>
      </c>
      <c r="AD700">
        <v>34</v>
      </c>
      <c r="AE700">
        <v>8</v>
      </c>
      <c r="AF700">
        <v>3</v>
      </c>
      <c r="AG700">
        <v>2025</v>
      </c>
      <c r="AH700" s="13">
        <v>2800</v>
      </c>
      <c r="AI700" s="13">
        <v>2065.522705078125</v>
      </c>
      <c r="AJ700" s="13">
        <f t="shared" si="80"/>
        <v>734.477294921875</v>
      </c>
      <c r="AK700" s="14">
        <f t="shared" si="81"/>
        <v>0.26231331961495535</v>
      </c>
      <c r="AL700" s="9">
        <v>2800</v>
      </c>
      <c r="AM700" s="9">
        <v>2695.4007291353391</v>
      </c>
      <c r="AN700" s="9">
        <f t="shared" si="82"/>
        <v>104.59927086466087</v>
      </c>
      <c r="AO700" s="10">
        <f t="shared" si="83"/>
        <v>3.7356882451664596E-2</v>
      </c>
      <c r="AP700" s="16">
        <v>2800</v>
      </c>
      <c r="AQ700" s="16">
        <v>2058.7862069958228</v>
      </c>
      <c r="AR700" s="16">
        <f t="shared" si="84"/>
        <v>741.21379300417721</v>
      </c>
      <c r="AS700" s="17">
        <f t="shared" si="85"/>
        <v>0.26471921178720614</v>
      </c>
      <c r="AT700" s="6">
        <v>2800</v>
      </c>
      <c r="AU700" s="6">
        <v>2515.671142578125</v>
      </c>
      <c r="AV700" s="6">
        <f t="shared" si="86"/>
        <v>284.328857421875</v>
      </c>
      <c r="AW700" s="7">
        <f t="shared" si="87"/>
        <v>0.1015460205078125</v>
      </c>
    </row>
    <row r="701" spans="1:49" x14ac:dyDescent="0.25">
      <c r="A701" t="s">
        <v>56</v>
      </c>
      <c r="B701" t="s">
        <v>104</v>
      </c>
      <c r="C701">
        <v>178705</v>
      </c>
      <c r="D701">
        <v>2008</v>
      </c>
      <c r="E701" t="s">
        <v>79</v>
      </c>
      <c r="F701" t="s">
        <v>272</v>
      </c>
      <c r="G701" t="s">
        <v>273</v>
      </c>
      <c r="H701" t="s">
        <v>435</v>
      </c>
      <c r="I701">
        <v>8</v>
      </c>
      <c r="J701" t="s">
        <v>82</v>
      </c>
      <c r="K701">
        <v>2</v>
      </c>
      <c r="L701" t="s">
        <v>44</v>
      </c>
      <c r="M701">
        <v>6</v>
      </c>
      <c r="N701" t="s">
        <v>62</v>
      </c>
      <c r="Q701" t="s">
        <v>75</v>
      </c>
      <c r="R701" t="s">
        <v>76</v>
      </c>
      <c r="S701" t="s">
        <v>63</v>
      </c>
      <c r="T701">
        <v>364</v>
      </c>
      <c r="U701" t="s">
        <v>50</v>
      </c>
      <c r="V701" t="s">
        <v>64</v>
      </c>
      <c r="W701" t="s">
        <v>1043</v>
      </c>
      <c r="X701" t="s">
        <v>390</v>
      </c>
      <c r="Y701" t="s">
        <v>67</v>
      </c>
      <c r="AA701">
        <v>0</v>
      </c>
      <c r="AB701" t="s">
        <v>54</v>
      </c>
      <c r="AC701" t="s">
        <v>78</v>
      </c>
      <c r="AD701">
        <v>34</v>
      </c>
      <c r="AE701">
        <v>8</v>
      </c>
      <c r="AF701">
        <v>3</v>
      </c>
      <c r="AG701">
        <v>2025</v>
      </c>
      <c r="AH701" s="13">
        <v>3200</v>
      </c>
      <c r="AI701" s="13">
        <v>2716.240234375</v>
      </c>
      <c r="AJ701" s="13">
        <f t="shared" si="80"/>
        <v>483.759765625</v>
      </c>
      <c r="AK701" s="14">
        <f t="shared" si="81"/>
        <v>0.15117492675781249</v>
      </c>
      <c r="AL701" s="9">
        <v>3200</v>
      </c>
      <c r="AM701" s="9">
        <v>2745.0103424403292</v>
      </c>
      <c r="AN701" s="9">
        <f t="shared" si="82"/>
        <v>454.98965755967083</v>
      </c>
      <c r="AO701" s="10">
        <f t="shared" si="83"/>
        <v>0.14218426798739714</v>
      </c>
      <c r="AP701" s="16">
        <v>3200</v>
      </c>
      <c r="AQ701" s="16">
        <v>2345.6448696243142</v>
      </c>
      <c r="AR701" s="16">
        <f t="shared" si="84"/>
        <v>854.3551303756858</v>
      </c>
      <c r="AS701" s="17">
        <f t="shared" si="85"/>
        <v>0.26698597824240183</v>
      </c>
      <c r="AT701" s="6">
        <v>3200</v>
      </c>
      <c r="AU701" s="6">
        <v>2561.408447265625</v>
      </c>
      <c r="AV701" s="6">
        <f t="shared" si="86"/>
        <v>638.591552734375</v>
      </c>
      <c r="AW701" s="7">
        <f t="shared" si="87"/>
        <v>0.19955986022949218</v>
      </c>
    </row>
    <row r="702" spans="1:49" x14ac:dyDescent="0.25">
      <c r="A702" t="s">
        <v>107</v>
      </c>
      <c r="B702" t="s">
        <v>108</v>
      </c>
      <c r="C702">
        <v>104401</v>
      </c>
      <c r="D702">
        <v>2019</v>
      </c>
      <c r="E702" t="s">
        <v>173</v>
      </c>
      <c r="F702" t="s">
        <v>329</v>
      </c>
      <c r="H702" t="s">
        <v>1044</v>
      </c>
      <c r="I702">
        <v>4</v>
      </c>
      <c r="J702" t="s">
        <v>43</v>
      </c>
      <c r="K702">
        <v>4</v>
      </c>
      <c r="L702" t="s">
        <v>44</v>
      </c>
      <c r="M702">
        <v>1.3</v>
      </c>
      <c r="N702" t="s">
        <v>62</v>
      </c>
      <c r="O702" t="s">
        <v>46</v>
      </c>
      <c r="P702">
        <v>3</v>
      </c>
      <c r="Q702" t="s">
        <v>47</v>
      </c>
      <c r="R702" t="s">
        <v>48</v>
      </c>
      <c r="T702">
        <v>180</v>
      </c>
      <c r="U702" t="s">
        <v>50</v>
      </c>
      <c r="V702" t="s">
        <v>95</v>
      </c>
      <c r="X702" t="s">
        <v>52</v>
      </c>
      <c r="Y702" t="s">
        <v>331</v>
      </c>
      <c r="Z702">
        <v>22275</v>
      </c>
      <c r="AA702">
        <v>0</v>
      </c>
      <c r="AB702" t="s">
        <v>54</v>
      </c>
      <c r="AC702" t="s">
        <v>55</v>
      </c>
      <c r="AD702">
        <v>34</v>
      </c>
      <c r="AE702">
        <v>8</v>
      </c>
      <c r="AF702">
        <v>3</v>
      </c>
      <c r="AG702">
        <v>2025</v>
      </c>
      <c r="AH702" s="13">
        <v>10500</v>
      </c>
      <c r="AI702" s="13">
        <v>8974.5771484375</v>
      </c>
      <c r="AJ702" s="13">
        <f t="shared" si="80"/>
        <v>1525.4228515625</v>
      </c>
      <c r="AK702" s="14">
        <f t="shared" si="81"/>
        <v>0.14527836681547618</v>
      </c>
      <c r="AL702" s="9">
        <v>10500</v>
      </c>
      <c r="AM702" s="9">
        <v>7900.1643989646864</v>
      </c>
      <c r="AN702" s="9">
        <f t="shared" si="82"/>
        <v>2599.8356010353136</v>
      </c>
      <c r="AO702" s="10">
        <f t="shared" si="83"/>
        <v>0.24760339057479178</v>
      </c>
      <c r="AP702" s="16">
        <v>10500</v>
      </c>
      <c r="AQ702" s="16">
        <v>8238.9846214556692</v>
      </c>
      <c r="AR702" s="16">
        <f t="shared" si="84"/>
        <v>2261.0153785443308</v>
      </c>
      <c r="AS702" s="17">
        <f t="shared" si="85"/>
        <v>0.21533479795660293</v>
      </c>
      <c r="AT702" s="6">
        <v>10500</v>
      </c>
      <c r="AU702" s="6">
        <v>7813.95654296875</v>
      </c>
      <c r="AV702" s="6">
        <f t="shared" si="86"/>
        <v>2686.04345703125</v>
      </c>
      <c r="AW702" s="7">
        <f t="shared" si="87"/>
        <v>0.25581366257440474</v>
      </c>
    </row>
    <row r="703" spans="1:49" x14ac:dyDescent="0.25">
      <c r="A703" t="s">
        <v>56</v>
      </c>
      <c r="B703" t="s">
        <v>431</v>
      </c>
      <c r="C703">
        <v>140307</v>
      </c>
      <c r="D703">
        <v>2012</v>
      </c>
      <c r="E703" t="s">
        <v>58</v>
      </c>
      <c r="F703" t="s">
        <v>1045</v>
      </c>
      <c r="H703" t="s">
        <v>1046</v>
      </c>
      <c r="I703">
        <v>10</v>
      </c>
      <c r="J703" t="s">
        <v>43</v>
      </c>
      <c r="K703">
        <v>2</v>
      </c>
      <c r="L703" t="s">
        <v>44</v>
      </c>
      <c r="M703">
        <v>6.8</v>
      </c>
      <c r="N703" t="s">
        <v>116</v>
      </c>
      <c r="Q703" t="s">
        <v>455</v>
      </c>
      <c r="R703" t="s">
        <v>1047</v>
      </c>
      <c r="S703" t="s">
        <v>49</v>
      </c>
      <c r="T703">
        <v>362</v>
      </c>
      <c r="U703" t="s">
        <v>50</v>
      </c>
      <c r="V703" t="s">
        <v>64</v>
      </c>
      <c r="X703" t="s">
        <v>507</v>
      </c>
      <c r="Y703" t="s">
        <v>67</v>
      </c>
      <c r="AA703">
        <v>0</v>
      </c>
      <c r="AB703" t="s">
        <v>54</v>
      </c>
      <c r="AC703" t="s">
        <v>458</v>
      </c>
      <c r="AD703">
        <v>34</v>
      </c>
      <c r="AE703">
        <v>8</v>
      </c>
      <c r="AF703">
        <v>3</v>
      </c>
      <c r="AG703">
        <v>2025</v>
      </c>
      <c r="AH703" s="13">
        <v>7000</v>
      </c>
      <c r="AI703" s="13">
        <v>3677.138916015625</v>
      </c>
      <c r="AJ703" s="13">
        <f t="shared" si="80"/>
        <v>3322.861083984375</v>
      </c>
      <c r="AK703" s="14">
        <f t="shared" si="81"/>
        <v>0.47469444056919641</v>
      </c>
      <c r="AL703" s="9">
        <v>7000</v>
      </c>
      <c r="AM703" s="9">
        <v>5371.3635781889661</v>
      </c>
      <c r="AN703" s="9">
        <f t="shared" si="82"/>
        <v>1628.6364218110339</v>
      </c>
      <c r="AO703" s="10">
        <f t="shared" si="83"/>
        <v>0.23266234597300484</v>
      </c>
      <c r="AP703" s="16">
        <v>7000</v>
      </c>
      <c r="AQ703" s="16">
        <v>4903.008952876291</v>
      </c>
      <c r="AR703" s="16">
        <f t="shared" si="84"/>
        <v>2096.991047123709</v>
      </c>
      <c r="AS703" s="17">
        <f t="shared" si="85"/>
        <v>0.29957014958910128</v>
      </c>
      <c r="AT703" s="6">
        <v>7000</v>
      </c>
      <c r="AU703" s="6">
        <v>5850.75927734375</v>
      </c>
      <c r="AV703" s="6">
        <f t="shared" si="86"/>
        <v>1149.24072265625</v>
      </c>
      <c r="AW703" s="7">
        <f t="shared" si="87"/>
        <v>0.16417724609375001</v>
      </c>
    </row>
    <row r="704" spans="1:49" x14ac:dyDescent="0.25">
      <c r="A704" t="s">
        <v>56</v>
      </c>
      <c r="B704" t="s">
        <v>57</v>
      </c>
      <c r="C704">
        <v>138879</v>
      </c>
      <c r="D704">
        <v>2018</v>
      </c>
      <c r="E704" t="s">
        <v>58</v>
      </c>
      <c r="F704" t="s">
        <v>168</v>
      </c>
      <c r="I704">
        <v>6</v>
      </c>
      <c r="J704" t="s">
        <v>101</v>
      </c>
      <c r="K704">
        <v>4</v>
      </c>
      <c r="L704" t="s">
        <v>44</v>
      </c>
      <c r="M704">
        <v>2.7</v>
      </c>
      <c r="N704" t="s">
        <v>62</v>
      </c>
      <c r="O704" t="s">
        <v>46</v>
      </c>
      <c r="Q704" t="s">
        <v>75</v>
      </c>
      <c r="R704" t="s">
        <v>76</v>
      </c>
      <c r="S704" t="s">
        <v>63</v>
      </c>
      <c r="T704">
        <v>325</v>
      </c>
      <c r="U704" t="s">
        <v>50</v>
      </c>
      <c r="V704" t="s">
        <v>64</v>
      </c>
      <c r="W704" t="s">
        <v>1048</v>
      </c>
      <c r="X704" t="s">
        <v>66</v>
      </c>
      <c r="Y704" t="s">
        <v>67</v>
      </c>
      <c r="AA704">
        <v>0</v>
      </c>
      <c r="AB704" t="s">
        <v>54</v>
      </c>
      <c r="AC704" t="s">
        <v>78</v>
      </c>
      <c r="AD704">
        <v>34</v>
      </c>
      <c r="AE704">
        <v>8</v>
      </c>
      <c r="AF704">
        <v>3</v>
      </c>
      <c r="AG704">
        <v>2025</v>
      </c>
      <c r="AH704" s="13">
        <v>14900</v>
      </c>
      <c r="AI704" s="13">
        <v>14606.712890625</v>
      </c>
      <c r="AJ704" s="13">
        <f t="shared" si="80"/>
        <v>293.287109375</v>
      </c>
      <c r="AK704" s="14">
        <f t="shared" si="81"/>
        <v>1.9683698615771811E-2</v>
      </c>
      <c r="AL704" s="9">
        <v>14900</v>
      </c>
      <c r="AM704" s="9">
        <v>14813.188874870501</v>
      </c>
      <c r="AN704" s="9">
        <f t="shared" si="82"/>
        <v>86.811125129499487</v>
      </c>
      <c r="AO704" s="10">
        <f t="shared" si="83"/>
        <v>5.8262500086912411E-3</v>
      </c>
      <c r="AP704" s="16">
        <v>14900</v>
      </c>
      <c r="AQ704" s="16">
        <v>15992.164553261069</v>
      </c>
      <c r="AR704" s="16">
        <f t="shared" si="84"/>
        <v>1092.1645532610692</v>
      </c>
      <c r="AS704" s="17">
        <f t="shared" si="85"/>
        <v>7.329963444705162E-2</v>
      </c>
      <c r="AT704" s="6">
        <v>14900</v>
      </c>
      <c r="AU704" s="6">
        <v>14311.6513671875</v>
      </c>
      <c r="AV704" s="6">
        <f t="shared" si="86"/>
        <v>588.3486328125</v>
      </c>
      <c r="AW704" s="7">
        <f t="shared" si="87"/>
        <v>3.9486485423657715E-2</v>
      </c>
    </row>
    <row r="705" spans="1:49" x14ac:dyDescent="0.25">
      <c r="A705" t="s">
        <v>107</v>
      </c>
      <c r="B705" t="s">
        <v>108</v>
      </c>
      <c r="C705">
        <v>129232</v>
      </c>
      <c r="D705">
        <v>2016</v>
      </c>
      <c r="E705" t="s">
        <v>79</v>
      </c>
      <c r="F705" t="s">
        <v>1049</v>
      </c>
      <c r="G705" t="s">
        <v>434</v>
      </c>
      <c r="I705">
        <v>4</v>
      </c>
      <c r="J705" t="s">
        <v>43</v>
      </c>
      <c r="K705">
        <v>4</v>
      </c>
      <c r="L705" t="s">
        <v>44</v>
      </c>
      <c r="M705">
        <v>1.8</v>
      </c>
      <c r="N705" t="s">
        <v>45</v>
      </c>
      <c r="O705" t="s">
        <v>46</v>
      </c>
      <c r="P705">
        <v>3</v>
      </c>
      <c r="Q705" t="s">
        <v>84</v>
      </c>
      <c r="R705" t="s">
        <v>157</v>
      </c>
      <c r="U705" t="s">
        <v>50</v>
      </c>
      <c r="W705" t="s">
        <v>1050</v>
      </c>
      <c r="X705" t="s">
        <v>87</v>
      </c>
      <c r="Y705" t="s">
        <v>67</v>
      </c>
      <c r="AA705">
        <v>0</v>
      </c>
      <c r="AB705" t="s">
        <v>54</v>
      </c>
      <c r="AC705" t="s">
        <v>159</v>
      </c>
      <c r="AD705">
        <v>34</v>
      </c>
      <c r="AE705">
        <v>8</v>
      </c>
      <c r="AF705">
        <v>3</v>
      </c>
      <c r="AG705">
        <v>2025</v>
      </c>
      <c r="AH705" s="13">
        <v>2800</v>
      </c>
      <c r="AI705" s="13">
        <v>2302.578369140625</v>
      </c>
      <c r="AJ705" s="13">
        <f t="shared" si="80"/>
        <v>497.421630859375</v>
      </c>
      <c r="AK705" s="14">
        <f t="shared" si="81"/>
        <v>0.17765058244977677</v>
      </c>
      <c r="AL705" s="9">
        <v>2800</v>
      </c>
      <c r="AM705" s="9">
        <v>2311.4083079380839</v>
      </c>
      <c r="AN705" s="9">
        <f t="shared" si="82"/>
        <v>488.59169206191609</v>
      </c>
      <c r="AO705" s="10">
        <f t="shared" si="83"/>
        <v>0.17449703287925575</v>
      </c>
      <c r="AP705" s="16">
        <v>2800</v>
      </c>
      <c r="AQ705" s="16">
        <v>1841.0427995759301</v>
      </c>
      <c r="AR705" s="16">
        <f t="shared" si="84"/>
        <v>958.95720042406992</v>
      </c>
      <c r="AS705" s="17">
        <f t="shared" si="85"/>
        <v>0.34248471443716783</v>
      </c>
      <c r="AT705" s="6">
        <v>2800</v>
      </c>
      <c r="AU705" s="6">
        <v>2032.047119140625</v>
      </c>
      <c r="AV705" s="6">
        <f t="shared" si="86"/>
        <v>767.952880859375</v>
      </c>
      <c r="AW705" s="7">
        <f t="shared" si="87"/>
        <v>0.27426888602120536</v>
      </c>
    </row>
    <row r="706" spans="1:49" x14ac:dyDescent="0.25">
      <c r="A706" t="s">
        <v>56</v>
      </c>
      <c r="B706" t="s">
        <v>303</v>
      </c>
      <c r="C706">
        <v>200124</v>
      </c>
      <c r="D706">
        <v>2012</v>
      </c>
      <c r="E706" t="s">
        <v>205</v>
      </c>
      <c r="F706" t="s">
        <v>1051</v>
      </c>
      <c r="I706">
        <v>6</v>
      </c>
      <c r="J706" t="s">
        <v>82</v>
      </c>
      <c r="K706">
        <v>4</v>
      </c>
      <c r="L706" t="s">
        <v>44</v>
      </c>
      <c r="M706">
        <v>3.7</v>
      </c>
      <c r="N706" t="s">
        <v>44</v>
      </c>
      <c r="O706" t="s">
        <v>83</v>
      </c>
      <c r="P706">
        <v>1</v>
      </c>
      <c r="Q706" t="s">
        <v>84</v>
      </c>
      <c r="R706" t="s">
        <v>85</v>
      </c>
      <c r="S706" t="s">
        <v>63</v>
      </c>
      <c r="U706" t="s">
        <v>50</v>
      </c>
      <c r="V706" t="s">
        <v>64</v>
      </c>
      <c r="X706" t="s">
        <v>87</v>
      </c>
      <c r="Y706" t="s">
        <v>97</v>
      </c>
      <c r="AA706">
        <v>0</v>
      </c>
      <c r="AB706" t="s">
        <v>54</v>
      </c>
      <c r="AC706" t="s">
        <v>89</v>
      </c>
      <c r="AD706">
        <v>34</v>
      </c>
      <c r="AE706">
        <v>8</v>
      </c>
      <c r="AF706">
        <v>3</v>
      </c>
      <c r="AG706">
        <v>2025</v>
      </c>
      <c r="AH706" s="13">
        <v>450</v>
      </c>
      <c r="AI706" s="13">
        <v>538.71173095703125</v>
      </c>
      <c r="AJ706" s="13">
        <f t="shared" si="80"/>
        <v>88.71173095703125</v>
      </c>
      <c r="AK706" s="14">
        <f t="shared" si="81"/>
        <v>0.19713717990451388</v>
      </c>
      <c r="AL706" s="9">
        <v>450</v>
      </c>
      <c r="AM706" s="9">
        <v>885.41508113307498</v>
      </c>
      <c r="AN706" s="9">
        <f t="shared" si="82"/>
        <v>435.41508113307498</v>
      </c>
      <c r="AO706" s="10">
        <f t="shared" si="83"/>
        <v>0.96758906918461107</v>
      </c>
      <c r="AP706" s="16">
        <v>450</v>
      </c>
      <c r="AQ706" s="16">
        <v>634.30887829094058</v>
      </c>
      <c r="AR706" s="16">
        <f t="shared" si="84"/>
        <v>184.30887829094058</v>
      </c>
      <c r="AS706" s="17">
        <f t="shared" si="85"/>
        <v>0.40957528509097907</v>
      </c>
      <c r="AT706" s="6">
        <v>450</v>
      </c>
      <c r="AU706" s="6">
        <v>604.09124755859375</v>
      </c>
      <c r="AV706" s="6">
        <f t="shared" si="86"/>
        <v>154.09124755859375</v>
      </c>
      <c r="AW706" s="7">
        <f t="shared" si="87"/>
        <v>0.34242499457465275</v>
      </c>
    </row>
    <row r="707" spans="1:49" x14ac:dyDescent="0.25">
      <c r="A707" t="s">
        <v>56</v>
      </c>
      <c r="B707" t="s">
        <v>303</v>
      </c>
      <c r="C707">
        <v>48398</v>
      </c>
      <c r="D707">
        <v>2020</v>
      </c>
      <c r="E707" t="s">
        <v>607</v>
      </c>
      <c r="F707" t="s">
        <v>1052</v>
      </c>
      <c r="H707" t="s">
        <v>1053</v>
      </c>
      <c r="I707">
        <v>3</v>
      </c>
      <c r="J707" t="s">
        <v>82</v>
      </c>
      <c r="K707">
        <v>4</v>
      </c>
      <c r="L707" t="s">
        <v>44</v>
      </c>
      <c r="M707">
        <v>1.2</v>
      </c>
      <c r="N707" t="s">
        <v>45</v>
      </c>
      <c r="O707" t="s">
        <v>46</v>
      </c>
      <c r="P707">
        <v>2</v>
      </c>
      <c r="Q707" t="s">
        <v>84</v>
      </c>
      <c r="R707" t="s">
        <v>157</v>
      </c>
      <c r="S707" t="s">
        <v>102</v>
      </c>
      <c r="U707" t="s">
        <v>50</v>
      </c>
      <c r="V707" t="s">
        <v>95</v>
      </c>
      <c r="X707" t="s">
        <v>87</v>
      </c>
      <c r="Y707" t="s">
        <v>1054</v>
      </c>
      <c r="AA707">
        <v>0</v>
      </c>
      <c r="AB707" t="s">
        <v>54</v>
      </c>
      <c r="AC707" t="s">
        <v>159</v>
      </c>
      <c r="AD707">
        <v>34</v>
      </c>
      <c r="AE707">
        <v>8</v>
      </c>
      <c r="AF707">
        <v>3</v>
      </c>
      <c r="AG707">
        <v>2025</v>
      </c>
      <c r="AH707" s="13">
        <v>4500</v>
      </c>
      <c r="AI707" s="13">
        <v>2973.4208984375</v>
      </c>
      <c r="AJ707" s="13">
        <f t="shared" ref="AJ707:AJ770" si="88">ABS(AH707-AI707)</f>
        <v>1526.5791015625</v>
      </c>
      <c r="AK707" s="14">
        <f t="shared" ref="AK707:AK770" si="89">ABS($AH707-AI707)/$AH707</f>
        <v>0.33923980034722223</v>
      </c>
      <c r="AL707" s="9">
        <v>4500</v>
      </c>
      <c r="AM707" s="9">
        <v>5355.9417037019066</v>
      </c>
      <c r="AN707" s="9">
        <f t="shared" ref="AN707:AN770" si="90">ABS(AL707-AM707)</f>
        <v>855.94170370190659</v>
      </c>
      <c r="AO707" s="10">
        <f t="shared" ref="AO707:AO770" si="91">ABS($AL707-AM707)/$AL707</f>
        <v>0.19020926748931258</v>
      </c>
      <c r="AP707" s="16">
        <v>4500</v>
      </c>
      <c r="AQ707" s="16">
        <v>4242.0616084032499</v>
      </c>
      <c r="AR707" s="16">
        <f t="shared" ref="AR707:AR770" si="92">ABS(AP707-AQ707)</f>
        <v>257.93839159675008</v>
      </c>
      <c r="AS707" s="17">
        <f t="shared" ref="AS707:AS770" si="93">ABS($AP707-AQ707)/$AP707</f>
        <v>5.7319642577055574E-2</v>
      </c>
      <c r="AT707" s="6">
        <v>4500</v>
      </c>
      <c r="AU707" s="6">
        <v>3422.485107421875</v>
      </c>
      <c r="AV707" s="6">
        <f t="shared" ref="AV707:AV770" si="94">ABS(AT707-AU707)</f>
        <v>1077.514892578125</v>
      </c>
      <c r="AW707" s="7">
        <f t="shared" ref="AW707:AW770" si="95">ABS($AT707-AU707)/$AT707</f>
        <v>0.23944775390625</v>
      </c>
    </row>
    <row r="708" spans="1:49" x14ac:dyDescent="0.25">
      <c r="A708" t="s">
        <v>56</v>
      </c>
      <c r="B708" t="s">
        <v>144</v>
      </c>
      <c r="C708">
        <v>199982</v>
      </c>
      <c r="D708">
        <v>2007</v>
      </c>
      <c r="E708" t="s">
        <v>124</v>
      </c>
      <c r="F708" t="s">
        <v>321</v>
      </c>
      <c r="G708" t="s">
        <v>1055</v>
      </c>
      <c r="I708">
        <v>6</v>
      </c>
      <c r="J708" t="s">
        <v>94</v>
      </c>
      <c r="K708">
        <v>4</v>
      </c>
      <c r="L708" t="s">
        <v>44</v>
      </c>
      <c r="M708">
        <v>3.3</v>
      </c>
      <c r="N708" t="s">
        <v>45</v>
      </c>
      <c r="O708" t="s">
        <v>46</v>
      </c>
      <c r="P708">
        <v>1</v>
      </c>
      <c r="Q708" t="s">
        <v>84</v>
      </c>
      <c r="R708" t="s">
        <v>85</v>
      </c>
      <c r="T708">
        <v>234</v>
      </c>
      <c r="U708" t="s">
        <v>50</v>
      </c>
      <c r="V708" t="s">
        <v>64</v>
      </c>
      <c r="X708" t="s">
        <v>87</v>
      </c>
      <c r="Y708" t="s">
        <v>67</v>
      </c>
      <c r="AA708">
        <v>0</v>
      </c>
      <c r="AB708" t="s">
        <v>54</v>
      </c>
      <c r="AC708" t="s">
        <v>89</v>
      </c>
      <c r="AD708">
        <v>34</v>
      </c>
      <c r="AE708">
        <v>8</v>
      </c>
      <c r="AF708">
        <v>3</v>
      </c>
      <c r="AG708">
        <v>2025</v>
      </c>
      <c r="AH708" s="13">
        <v>500</v>
      </c>
      <c r="AI708" s="13">
        <v>398.52310180664063</v>
      </c>
      <c r="AJ708" s="13">
        <f t="shared" si="88"/>
        <v>101.47689819335938</v>
      </c>
      <c r="AK708" s="14">
        <f t="shared" si="89"/>
        <v>0.20295379638671876</v>
      </c>
      <c r="AL708" s="9">
        <v>500</v>
      </c>
      <c r="AM708" s="9">
        <v>482.43639185862929</v>
      </c>
      <c r="AN708" s="9">
        <f t="shared" si="90"/>
        <v>17.563608141370707</v>
      </c>
      <c r="AO708" s="10">
        <f t="shared" si="91"/>
        <v>3.5127216282741416E-2</v>
      </c>
      <c r="AP708" s="16">
        <v>500</v>
      </c>
      <c r="AQ708" s="16">
        <v>463.27107774162141</v>
      </c>
      <c r="AR708" s="16">
        <f t="shared" si="92"/>
        <v>36.728922258378589</v>
      </c>
      <c r="AS708" s="17">
        <f t="shared" si="93"/>
        <v>7.3457844516757173E-2</v>
      </c>
      <c r="AT708" s="6">
        <v>500</v>
      </c>
      <c r="AU708" s="6">
        <v>516.30340576171875</v>
      </c>
      <c r="AV708" s="6">
        <f t="shared" si="94"/>
        <v>16.30340576171875</v>
      </c>
      <c r="AW708" s="7">
        <f t="shared" si="95"/>
        <v>3.2606811523437501E-2</v>
      </c>
    </row>
    <row r="709" spans="1:49" x14ac:dyDescent="0.25">
      <c r="A709" t="s">
        <v>38</v>
      </c>
      <c r="B709" t="s">
        <v>229</v>
      </c>
      <c r="C709">
        <v>79105</v>
      </c>
      <c r="D709">
        <v>2020</v>
      </c>
      <c r="E709" t="s">
        <v>241</v>
      </c>
      <c r="F709" t="s">
        <v>1056</v>
      </c>
      <c r="H709" t="s">
        <v>1057</v>
      </c>
      <c r="I709">
        <v>4</v>
      </c>
      <c r="J709" t="s">
        <v>82</v>
      </c>
      <c r="K709">
        <v>4</v>
      </c>
      <c r="L709" t="s">
        <v>44</v>
      </c>
      <c r="M709">
        <v>2</v>
      </c>
      <c r="N709" t="s">
        <v>116</v>
      </c>
      <c r="O709" t="s">
        <v>46</v>
      </c>
      <c r="P709">
        <v>4</v>
      </c>
      <c r="Q709" t="s">
        <v>47</v>
      </c>
      <c r="R709" t="s">
        <v>48</v>
      </c>
      <c r="T709">
        <v>255</v>
      </c>
      <c r="U709" t="s">
        <v>50</v>
      </c>
      <c r="V709" t="s">
        <v>95</v>
      </c>
      <c r="W709" t="s">
        <v>1058</v>
      </c>
      <c r="X709" t="s">
        <v>141</v>
      </c>
      <c r="Y709" t="s">
        <v>1059</v>
      </c>
      <c r="Z709">
        <v>42500</v>
      </c>
      <c r="AA709">
        <v>0</v>
      </c>
      <c r="AB709" t="s">
        <v>54</v>
      </c>
      <c r="AC709" t="s">
        <v>55</v>
      </c>
      <c r="AD709">
        <v>34</v>
      </c>
      <c r="AE709">
        <v>8</v>
      </c>
      <c r="AF709">
        <v>3</v>
      </c>
      <c r="AG709">
        <v>2025</v>
      </c>
      <c r="AH709" s="13">
        <v>14000</v>
      </c>
      <c r="AI709" s="13">
        <v>17193.65234375</v>
      </c>
      <c r="AJ709" s="13">
        <f t="shared" si="88"/>
        <v>3193.65234375</v>
      </c>
      <c r="AK709" s="14">
        <f t="shared" si="89"/>
        <v>0.22811802455357144</v>
      </c>
      <c r="AL709" s="9">
        <v>14000</v>
      </c>
      <c r="AM709" s="9">
        <v>15963.63003232944</v>
      </c>
      <c r="AN709" s="9">
        <f t="shared" si="90"/>
        <v>1963.6300323294399</v>
      </c>
      <c r="AO709" s="10">
        <f t="shared" si="91"/>
        <v>0.14025928802353144</v>
      </c>
      <c r="AP709" s="16">
        <v>14000</v>
      </c>
      <c r="AQ709" s="16">
        <v>15705.271333646509</v>
      </c>
      <c r="AR709" s="16">
        <f t="shared" si="92"/>
        <v>1705.2713336465094</v>
      </c>
      <c r="AS709" s="17">
        <f t="shared" si="93"/>
        <v>0.12180509526046496</v>
      </c>
      <c r="AT709" s="6">
        <v>14000</v>
      </c>
      <c r="AU709" s="6">
        <v>18054.84375</v>
      </c>
      <c r="AV709" s="6">
        <f t="shared" si="94"/>
        <v>4054.84375</v>
      </c>
      <c r="AW709" s="7">
        <f t="shared" si="95"/>
        <v>0.28963169642857145</v>
      </c>
    </row>
    <row r="710" spans="1:49" x14ac:dyDescent="0.25">
      <c r="A710" t="s">
        <v>56</v>
      </c>
      <c r="B710" t="s">
        <v>178</v>
      </c>
      <c r="C710">
        <v>171220</v>
      </c>
      <c r="D710">
        <v>2011</v>
      </c>
      <c r="E710" t="s">
        <v>79</v>
      </c>
      <c r="F710" t="s">
        <v>272</v>
      </c>
      <c r="G710" t="s">
        <v>698</v>
      </c>
      <c r="H710" t="s">
        <v>162</v>
      </c>
      <c r="I710">
        <v>8</v>
      </c>
      <c r="J710" t="s">
        <v>177</v>
      </c>
      <c r="K710">
        <v>4</v>
      </c>
      <c r="L710" t="s">
        <v>44</v>
      </c>
      <c r="M710">
        <v>5.3</v>
      </c>
      <c r="N710" t="s">
        <v>62</v>
      </c>
      <c r="O710" t="s">
        <v>46</v>
      </c>
      <c r="P710">
        <v>3</v>
      </c>
      <c r="Q710" t="s">
        <v>75</v>
      </c>
      <c r="R710" t="s">
        <v>76</v>
      </c>
      <c r="U710" t="s">
        <v>134</v>
      </c>
      <c r="V710" t="s">
        <v>64</v>
      </c>
      <c r="W710" t="s">
        <v>1060</v>
      </c>
      <c r="X710" t="s">
        <v>66</v>
      </c>
      <c r="Y710" t="s">
        <v>106</v>
      </c>
      <c r="AA710">
        <v>0</v>
      </c>
      <c r="AB710" t="s">
        <v>54</v>
      </c>
      <c r="AC710" t="s">
        <v>78</v>
      </c>
      <c r="AD710">
        <v>34</v>
      </c>
      <c r="AE710">
        <v>8</v>
      </c>
      <c r="AF710">
        <v>3</v>
      </c>
      <c r="AG710">
        <v>2025</v>
      </c>
      <c r="AH710" s="13">
        <v>8000</v>
      </c>
      <c r="AI710" s="13">
        <v>4489.2177734375</v>
      </c>
      <c r="AJ710" s="13">
        <f t="shared" si="88"/>
        <v>3510.7822265625</v>
      </c>
      <c r="AK710" s="14">
        <f t="shared" si="89"/>
        <v>0.43884777832031252</v>
      </c>
      <c r="AL710" s="9">
        <v>8000</v>
      </c>
      <c r="AM710" s="9">
        <v>4851.5580068957024</v>
      </c>
      <c r="AN710" s="9">
        <f t="shared" si="90"/>
        <v>3148.4419931042976</v>
      </c>
      <c r="AO710" s="10">
        <f t="shared" si="91"/>
        <v>0.39355524913803719</v>
      </c>
      <c r="AP710" s="16">
        <v>8000</v>
      </c>
      <c r="AQ710" s="16">
        <v>3625.659412993251</v>
      </c>
      <c r="AR710" s="16">
        <f t="shared" si="92"/>
        <v>4374.340587006749</v>
      </c>
      <c r="AS710" s="17">
        <f t="shared" si="93"/>
        <v>0.54679257337584364</v>
      </c>
      <c r="AT710" s="6">
        <v>8000</v>
      </c>
      <c r="AU710" s="6">
        <v>5021.94384765625</v>
      </c>
      <c r="AV710" s="6">
        <f t="shared" si="94"/>
        <v>2978.05615234375</v>
      </c>
      <c r="AW710" s="7">
        <f t="shared" si="95"/>
        <v>0.37225701904296876</v>
      </c>
    </row>
    <row r="711" spans="1:49" x14ac:dyDescent="0.25">
      <c r="A711" t="s">
        <v>38</v>
      </c>
      <c r="B711" t="s">
        <v>289</v>
      </c>
      <c r="C711">
        <v>143910</v>
      </c>
      <c r="D711">
        <v>2014</v>
      </c>
      <c r="E711" t="s">
        <v>58</v>
      </c>
      <c r="F711" t="s">
        <v>425</v>
      </c>
      <c r="H711" t="s">
        <v>268</v>
      </c>
      <c r="I711">
        <v>4</v>
      </c>
      <c r="J711" t="s">
        <v>260</v>
      </c>
      <c r="K711">
        <v>4</v>
      </c>
      <c r="L711" t="s">
        <v>44</v>
      </c>
      <c r="M711">
        <v>1.5</v>
      </c>
      <c r="N711" t="s">
        <v>45</v>
      </c>
      <c r="O711" t="s">
        <v>46</v>
      </c>
      <c r="P711">
        <v>3</v>
      </c>
      <c r="Q711" t="s">
        <v>84</v>
      </c>
      <c r="R711" t="s">
        <v>85</v>
      </c>
      <c r="S711" t="s">
        <v>102</v>
      </c>
      <c r="U711" t="s">
        <v>50</v>
      </c>
      <c r="V711" t="s">
        <v>95</v>
      </c>
      <c r="X711" t="s">
        <v>87</v>
      </c>
      <c r="Y711" t="s">
        <v>106</v>
      </c>
      <c r="AA711">
        <v>0</v>
      </c>
      <c r="AB711" t="s">
        <v>54</v>
      </c>
      <c r="AC711" t="s">
        <v>89</v>
      </c>
      <c r="AD711">
        <v>34</v>
      </c>
      <c r="AE711">
        <v>8</v>
      </c>
      <c r="AF711">
        <v>3</v>
      </c>
      <c r="AG711">
        <v>2025</v>
      </c>
      <c r="AH711" s="13">
        <v>1800</v>
      </c>
      <c r="AI711" s="13">
        <v>1757.074340820312</v>
      </c>
      <c r="AJ711" s="13">
        <f t="shared" si="88"/>
        <v>42.925659179687955</v>
      </c>
      <c r="AK711" s="14">
        <f t="shared" si="89"/>
        <v>2.3847588433159976E-2</v>
      </c>
      <c r="AL711" s="9">
        <v>1800</v>
      </c>
      <c r="AM711" s="9">
        <v>2020.49445135511</v>
      </c>
      <c r="AN711" s="9">
        <f t="shared" si="90"/>
        <v>220.49445135510996</v>
      </c>
      <c r="AO711" s="10">
        <f t="shared" si="91"/>
        <v>0.12249691741950554</v>
      </c>
      <c r="AP711" s="16">
        <v>1800</v>
      </c>
      <c r="AQ711" s="16">
        <v>1758.312342587097</v>
      </c>
      <c r="AR711" s="16">
        <f t="shared" si="92"/>
        <v>41.687657412903036</v>
      </c>
      <c r="AS711" s="17">
        <f t="shared" si="93"/>
        <v>2.3159809673835019E-2</v>
      </c>
      <c r="AT711" s="6">
        <v>1800</v>
      </c>
      <c r="AU711" s="6">
        <v>1881.979736328125</v>
      </c>
      <c r="AV711" s="6">
        <f t="shared" si="94"/>
        <v>81.979736328125</v>
      </c>
      <c r="AW711" s="7">
        <f t="shared" si="95"/>
        <v>4.5544297960069445E-2</v>
      </c>
    </row>
    <row r="712" spans="1:49" x14ac:dyDescent="0.25">
      <c r="A712" t="s">
        <v>38</v>
      </c>
      <c r="B712" t="s">
        <v>132</v>
      </c>
      <c r="C712">
        <v>54714</v>
      </c>
      <c r="D712">
        <v>2018</v>
      </c>
      <c r="E712" t="s">
        <v>150</v>
      </c>
      <c r="F712" t="s">
        <v>279</v>
      </c>
      <c r="G712" t="s">
        <v>1061</v>
      </c>
      <c r="I712">
        <v>4</v>
      </c>
      <c r="J712" t="s">
        <v>101</v>
      </c>
      <c r="K712">
        <v>4</v>
      </c>
      <c r="L712" t="s">
        <v>44</v>
      </c>
      <c r="M712">
        <v>1.4</v>
      </c>
      <c r="N712" t="s">
        <v>45</v>
      </c>
      <c r="O712" t="s">
        <v>46</v>
      </c>
      <c r="P712">
        <v>3</v>
      </c>
      <c r="Q712" t="s">
        <v>47</v>
      </c>
      <c r="R712" t="s">
        <v>48</v>
      </c>
      <c r="S712" t="s">
        <v>102</v>
      </c>
      <c r="U712" t="s">
        <v>50</v>
      </c>
      <c r="W712" t="s">
        <v>1062</v>
      </c>
      <c r="X712" t="s">
        <v>52</v>
      </c>
      <c r="Y712" t="s">
        <v>53</v>
      </c>
      <c r="Z712">
        <v>24400</v>
      </c>
      <c r="AA712">
        <v>0</v>
      </c>
      <c r="AB712" t="s">
        <v>54</v>
      </c>
      <c r="AC712" t="s">
        <v>55</v>
      </c>
      <c r="AD712">
        <v>34</v>
      </c>
      <c r="AE712">
        <v>8</v>
      </c>
      <c r="AF712">
        <v>3</v>
      </c>
      <c r="AG712">
        <v>2025</v>
      </c>
      <c r="AH712" s="13">
        <v>7200</v>
      </c>
      <c r="AI712" s="13">
        <v>11881.83984375</v>
      </c>
      <c r="AJ712" s="13">
        <f t="shared" si="88"/>
        <v>4681.83984375</v>
      </c>
      <c r="AK712" s="14">
        <f t="shared" si="89"/>
        <v>0.65025553385416668</v>
      </c>
      <c r="AL712" s="9">
        <v>7200</v>
      </c>
      <c r="AM712" s="9">
        <v>9514.6139324605083</v>
      </c>
      <c r="AN712" s="9">
        <f t="shared" si="90"/>
        <v>2314.6139324605083</v>
      </c>
      <c r="AO712" s="10">
        <f t="shared" si="91"/>
        <v>0.32147415728618173</v>
      </c>
      <c r="AP712" s="16">
        <v>7200</v>
      </c>
      <c r="AQ712" s="16">
        <v>8694.356516246713</v>
      </c>
      <c r="AR712" s="16">
        <f t="shared" si="92"/>
        <v>1494.356516246713</v>
      </c>
      <c r="AS712" s="17">
        <f t="shared" si="93"/>
        <v>0.20754951614537681</v>
      </c>
      <c r="AT712" s="6">
        <v>7200</v>
      </c>
      <c r="AU712" s="6">
        <v>9315.51171875</v>
      </c>
      <c r="AV712" s="6">
        <f t="shared" si="94"/>
        <v>2115.51171875</v>
      </c>
      <c r="AW712" s="7">
        <f t="shared" si="95"/>
        <v>0.29382107204861113</v>
      </c>
    </row>
    <row r="713" spans="1:49" x14ac:dyDescent="0.25">
      <c r="A713" t="s">
        <v>38</v>
      </c>
      <c r="B713" t="s">
        <v>167</v>
      </c>
      <c r="C713">
        <v>26675</v>
      </c>
      <c r="D713">
        <v>2022</v>
      </c>
      <c r="E713" t="s">
        <v>58</v>
      </c>
      <c r="F713" t="s">
        <v>258</v>
      </c>
      <c r="H713" t="s">
        <v>261</v>
      </c>
      <c r="I713">
        <v>3</v>
      </c>
      <c r="J713" t="s">
        <v>61</v>
      </c>
      <c r="K713">
        <v>4</v>
      </c>
      <c r="L713" t="s">
        <v>44</v>
      </c>
      <c r="M713">
        <v>1.5</v>
      </c>
      <c r="N713" t="s">
        <v>44</v>
      </c>
      <c r="O713" t="s">
        <v>46</v>
      </c>
      <c r="P713">
        <v>4</v>
      </c>
      <c r="Q713" t="s">
        <v>47</v>
      </c>
      <c r="R713" t="s">
        <v>48</v>
      </c>
      <c r="S713" t="s">
        <v>63</v>
      </c>
      <c r="T713">
        <v>181</v>
      </c>
      <c r="U713" t="s">
        <v>50</v>
      </c>
      <c r="V713" t="s">
        <v>95</v>
      </c>
      <c r="W713" t="s">
        <v>1063</v>
      </c>
      <c r="X713" t="s">
        <v>52</v>
      </c>
      <c r="Y713" t="s">
        <v>67</v>
      </c>
      <c r="AA713">
        <v>0</v>
      </c>
      <c r="AB713" t="s">
        <v>54</v>
      </c>
      <c r="AC713" t="s">
        <v>55</v>
      </c>
      <c r="AD713">
        <v>34</v>
      </c>
      <c r="AE713">
        <v>8</v>
      </c>
      <c r="AF713">
        <v>3</v>
      </c>
      <c r="AG713">
        <v>2025</v>
      </c>
      <c r="AH713" s="13">
        <v>19400</v>
      </c>
      <c r="AI713" s="13">
        <v>21413.87109375</v>
      </c>
      <c r="AJ713" s="13">
        <f t="shared" si="88"/>
        <v>2013.87109375</v>
      </c>
      <c r="AK713" s="14">
        <f t="shared" si="89"/>
        <v>0.10380778833762887</v>
      </c>
      <c r="AL713" s="9">
        <v>19400</v>
      </c>
      <c r="AM713" s="9">
        <v>15739.16875709761</v>
      </c>
      <c r="AN713" s="9">
        <f t="shared" si="90"/>
        <v>3660.8312429023899</v>
      </c>
      <c r="AO713" s="10">
        <f t="shared" si="91"/>
        <v>0.18870264138672113</v>
      </c>
      <c r="AP713" s="16">
        <v>19400</v>
      </c>
      <c r="AQ713" s="16">
        <v>19786.480565220209</v>
      </c>
      <c r="AR713" s="16">
        <f t="shared" si="92"/>
        <v>386.48056522020852</v>
      </c>
      <c r="AS713" s="17">
        <f t="shared" si="93"/>
        <v>1.9921678619598378E-2</v>
      </c>
      <c r="AT713" s="6">
        <v>19400</v>
      </c>
      <c r="AU713" s="6">
        <v>17151.740234375</v>
      </c>
      <c r="AV713" s="6">
        <f t="shared" si="94"/>
        <v>2248.259765625</v>
      </c>
      <c r="AW713" s="7">
        <f t="shared" si="95"/>
        <v>0.11588967864046391</v>
      </c>
    </row>
    <row r="714" spans="1:49" x14ac:dyDescent="0.25">
      <c r="A714" t="s">
        <v>107</v>
      </c>
      <c r="B714" t="s">
        <v>256</v>
      </c>
      <c r="C714">
        <v>110303</v>
      </c>
      <c r="D714">
        <v>2017</v>
      </c>
      <c r="E714" t="s">
        <v>79</v>
      </c>
      <c r="F714" t="s">
        <v>286</v>
      </c>
      <c r="G714" t="s">
        <v>287</v>
      </c>
      <c r="I714">
        <v>4</v>
      </c>
      <c r="J714" t="s">
        <v>74</v>
      </c>
      <c r="K714">
        <v>4</v>
      </c>
      <c r="L714" t="s">
        <v>44</v>
      </c>
      <c r="M714">
        <v>1.5</v>
      </c>
      <c r="N714" t="s">
        <v>45</v>
      </c>
      <c r="O714" t="s">
        <v>46</v>
      </c>
      <c r="P714">
        <v>4</v>
      </c>
      <c r="Q714" t="s">
        <v>84</v>
      </c>
      <c r="R714" t="s">
        <v>85</v>
      </c>
      <c r="U714" t="s">
        <v>50</v>
      </c>
      <c r="V714" t="s">
        <v>95</v>
      </c>
      <c r="W714" t="s">
        <v>997</v>
      </c>
      <c r="X714" t="s">
        <v>87</v>
      </c>
      <c r="Y714" t="s">
        <v>67</v>
      </c>
      <c r="Z714">
        <v>25125</v>
      </c>
      <c r="AA714">
        <v>0</v>
      </c>
      <c r="AB714" t="s">
        <v>54</v>
      </c>
      <c r="AC714" t="s">
        <v>89</v>
      </c>
      <c r="AD714">
        <v>34</v>
      </c>
      <c r="AE714">
        <v>8</v>
      </c>
      <c r="AF714">
        <v>3</v>
      </c>
      <c r="AG714">
        <v>2025</v>
      </c>
      <c r="AH714" s="13">
        <v>6300</v>
      </c>
      <c r="AI714" s="13">
        <v>7351.32568359375</v>
      </c>
      <c r="AJ714" s="13">
        <f t="shared" si="88"/>
        <v>1051.32568359375</v>
      </c>
      <c r="AK714" s="14">
        <f t="shared" si="89"/>
        <v>0.16687709263392858</v>
      </c>
      <c r="AL714" s="9">
        <v>6300</v>
      </c>
      <c r="AM714" s="9">
        <v>6114.7686138218933</v>
      </c>
      <c r="AN714" s="9">
        <f t="shared" si="90"/>
        <v>185.23138617810673</v>
      </c>
      <c r="AO714" s="10">
        <f t="shared" si="91"/>
        <v>2.9401807329858212E-2</v>
      </c>
      <c r="AP714" s="16">
        <v>6300</v>
      </c>
      <c r="AQ714" s="16">
        <v>5807.8177959460854</v>
      </c>
      <c r="AR714" s="16">
        <f t="shared" si="92"/>
        <v>492.18220405391457</v>
      </c>
      <c r="AS714" s="17">
        <f t="shared" si="93"/>
        <v>7.8124159373637231E-2</v>
      </c>
      <c r="AT714" s="6">
        <v>6300</v>
      </c>
      <c r="AU714" s="6">
        <v>6308.64111328125</v>
      </c>
      <c r="AV714" s="6">
        <f t="shared" si="94"/>
        <v>8.64111328125</v>
      </c>
      <c r="AW714" s="7">
        <f t="shared" si="95"/>
        <v>1.3716052827380952E-3</v>
      </c>
    </row>
    <row r="715" spans="1:49" x14ac:dyDescent="0.25">
      <c r="A715" t="s">
        <v>38</v>
      </c>
      <c r="B715" t="s">
        <v>167</v>
      </c>
      <c r="C715">
        <v>91882</v>
      </c>
      <c r="D715">
        <v>2007</v>
      </c>
      <c r="E715" t="s">
        <v>441</v>
      </c>
      <c r="F715" t="s">
        <v>1064</v>
      </c>
      <c r="H715" t="s">
        <v>443</v>
      </c>
      <c r="I715">
        <v>4</v>
      </c>
      <c r="J715" t="s">
        <v>177</v>
      </c>
      <c r="K715">
        <v>2</v>
      </c>
      <c r="L715" t="s">
        <v>44</v>
      </c>
      <c r="M715">
        <v>1.6</v>
      </c>
      <c r="N715" t="s">
        <v>45</v>
      </c>
      <c r="O715" t="s">
        <v>46</v>
      </c>
      <c r="P715">
        <v>4</v>
      </c>
      <c r="Q715" t="s">
        <v>84</v>
      </c>
      <c r="R715" t="s">
        <v>157</v>
      </c>
      <c r="T715">
        <v>175</v>
      </c>
      <c r="U715" t="s">
        <v>50</v>
      </c>
      <c r="X715" t="s">
        <v>87</v>
      </c>
      <c r="Y715" t="s">
        <v>234</v>
      </c>
      <c r="AA715">
        <v>0</v>
      </c>
      <c r="AB715" t="s">
        <v>54</v>
      </c>
      <c r="AC715" t="s">
        <v>159</v>
      </c>
      <c r="AD715">
        <v>34</v>
      </c>
      <c r="AE715">
        <v>8</v>
      </c>
      <c r="AF715">
        <v>3</v>
      </c>
      <c r="AG715">
        <v>2025</v>
      </c>
      <c r="AH715" s="13">
        <v>2100</v>
      </c>
      <c r="AI715" s="13">
        <v>1889.561401367188</v>
      </c>
      <c r="AJ715" s="13">
        <f t="shared" si="88"/>
        <v>210.43859863281205</v>
      </c>
      <c r="AK715" s="14">
        <f t="shared" si="89"/>
        <v>0.10020885649181525</v>
      </c>
      <c r="AL715" s="9">
        <v>2100</v>
      </c>
      <c r="AM715" s="9">
        <v>2156.7037608377332</v>
      </c>
      <c r="AN715" s="9">
        <f t="shared" si="90"/>
        <v>56.703760837733171</v>
      </c>
      <c r="AO715" s="10">
        <f t="shared" si="91"/>
        <v>2.7001790875111033E-2</v>
      </c>
      <c r="AP715" s="16">
        <v>2100</v>
      </c>
      <c r="AQ715" s="16">
        <v>1927.550591601369</v>
      </c>
      <c r="AR715" s="16">
        <f t="shared" si="92"/>
        <v>172.44940839863102</v>
      </c>
      <c r="AS715" s="17">
        <f t="shared" si="93"/>
        <v>8.2118765904110005E-2</v>
      </c>
      <c r="AT715" s="6">
        <v>2100</v>
      </c>
      <c r="AU715" s="6">
        <v>2179.107666015625</v>
      </c>
      <c r="AV715" s="6">
        <f t="shared" si="94"/>
        <v>79.107666015625</v>
      </c>
      <c r="AW715" s="7">
        <f t="shared" si="95"/>
        <v>3.7670317150297616E-2</v>
      </c>
    </row>
    <row r="716" spans="1:49" x14ac:dyDescent="0.25">
      <c r="A716" t="s">
        <v>56</v>
      </c>
      <c r="B716" t="s">
        <v>104</v>
      </c>
      <c r="C716">
        <v>172801</v>
      </c>
      <c r="D716">
        <v>2015</v>
      </c>
      <c r="E716" t="s">
        <v>58</v>
      </c>
      <c r="F716" t="s">
        <v>932</v>
      </c>
      <c r="H716" t="s">
        <v>1065</v>
      </c>
      <c r="I716">
        <v>4</v>
      </c>
      <c r="J716" t="s">
        <v>43</v>
      </c>
      <c r="K716">
        <v>4</v>
      </c>
      <c r="L716" t="s">
        <v>44</v>
      </c>
      <c r="M716">
        <v>2.5</v>
      </c>
      <c r="N716" t="s">
        <v>45</v>
      </c>
      <c r="Q716" t="s">
        <v>75</v>
      </c>
      <c r="R716" t="s">
        <v>422</v>
      </c>
      <c r="U716" t="s">
        <v>50</v>
      </c>
      <c r="X716" t="s">
        <v>141</v>
      </c>
      <c r="Y716" t="s">
        <v>575</v>
      </c>
      <c r="AA716">
        <v>0</v>
      </c>
      <c r="AB716" t="s">
        <v>54</v>
      </c>
      <c r="AC716" t="s">
        <v>424</v>
      </c>
      <c r="AD716">
        <v>34</v>
      </c>
      <c r="AE716">
        <v>8</v>
      </c>
      <c r="AF716">
        <v>3</v>
      </c>
      <c r="AG716">
        <v>2025</v>
      </c>
      <c r="AH716" s="13">
        <v>3300</v>
      </c>
      <c r="AI716" s="13">
        <v>2547.652099609375</v>
      </c>
      <c r="AJ716" s="13">
        <f t="shared" si="88"/>
        <v>752.347900390625</v>
      </c>
      <c r="AK716" s="14">
        <f t="shared" si="89"/>
        <v>0.22798421223958334</v>
      </c>
      <c r="AL716" s="9">
        <v>3300</v>
      </c>
      <c r="AM716" s="9">
        <v>3589.3604210481958</v>
      </c>
      <c r="AN716" s="9">
        <f t="shared" si="90"/>
        <v>289.3604210481958</v>
      </c>
      <c r="AO716" s="10">
        <f t="shared" si="91"/>
        <v>8.7684976075210849E-2</v>
      </c>
      <c r="AP716" s="16">
        <v>3300</v>
      </c>
      <c r="AQ716" s="16">
        <v>2816.908055024096</v>
      </c>
      <c r="AR716" s="16">
        <f t="shared" si="92"/>
        <v>483.09194497590397</v>
      </c>
      <c r="AS716" s="17">
        <f t="shared" si="93"/>
        <v>0.14639149847754665</v>
      </c>
      <c r="AT716" s="6">
        <v>3300</v>
      </c>
      <c r="AU716" s="6">
        <v>3544.8779296875</v>
      </c>
      <c r="AV716" s="6">
        <f t="shared" si="94"/>
        <v>244.8779296875</v>
      </c>
      <c r="AW716" s="7">
        <f t="shared" si="95"/>
        <v>7.4205433238636362E-2</v>
      </c>
    </row>
    <row r="717" spans="1:49" x14ac:dyDescent="0.25">
      <c r="A717" t="s">
        <v>38</v>
      </c>
      <c r="B717" t="s">
        <v>167</v>
      </c>
      <c r="C717">
        <v>235536</v>
      </c>
      <c r="D717">
        <v>2003</v>
      </c>
      <c r="E717" t="s">
        <v>98</v>
      </c>
      <c r="F717" t="s">
        <v>161</v>
      </c>
      <c r="H717" t="s">
        <v>337</v>
      </c>
      <c r="I717">
        <v>8</v>
      </c>
      <c r="J717" t="s">
        <v>257</v>
      </c>
      <c r="K717">
        <v>4</v>
      </c>
      <c r="L717" t="s">
        <v>44</v>
      </c>
      <c r="M717">
        <v>6</v>
      </c>
      <c r="N717" t="s">
        <v>116</v>
      </c>
      <c r="O717" t="s">
        <v>46</v>
      </c>
      <c r="P717">
        <v>2</v>
      </c>
      <c r="Q717" t="s">
        <v>75</v>
      </c>
      <c r="R717" t="s">
        <v>76</v>
      </c>
      <c r="S717" t="s">
        <v>49</v>
      </c>
      <c r="U717" t="s">
        <v>50</v>
      </c>
      <c r="V717" t="s">
        <v>64</v>
      </c>
      <c r="W717" t="s">
        <v>1066</v>
      </c>
      <c r="X717" t="s">
        <v>423</v>
      </c>
      <c r="Y717" t="s">
        <v>67</v>
      </c>
      <c r="AA717">
        <v>0</v>
      </c>
      <c r="AB717" t="s">
        <v>54</v>
      </c>
      <c r="AC717" t="s">
        <v>78</v>
      </c>
      <c r="AD717">
        <v>34</v>
      </c>
      <c r="AE717">
        <v>8</v>
      </c>
      <c r="AF717">
        <v>3</v>
      </c>
      <c r="AG717">
        <v>2025</v>
      </c>
      <c r="AH717" s="13">
        <v>1350</v>
      </c>
      <c r="AI717" s="13">
        <v>1354.592895507812</v>
      </c>
      <c r="AJ717" s="13">
        <f t="shared" si="88"/>
        <v>4.5928955078120453</v>
      </c>
      <c r="AK717" s="14">
        <f t="shared" si="89"/>
        <v>3.4021448206015149E-3</v>
      </c>
      <c r="AL717" s="9">
        <v>1350</v>
      </c>
      <c r="AM717" s="9">
        <v>1278.450078925543</v>
      </c>
      <c r="AN717" s="9">
        <f t="shared" si="90"/>
        <v>71.549921074456961</v>
      </c>
      <c r="AO717" s="10">
        <f t="shared" si="91"/>
        <v>5.2999941536634787E-2</v>
      </c>
      <c r="AP717" s="16">
        <v>1350</v>
      </c>
      <c r="AQ717" s="16">
        <v>2123.3246514392399</v>
      </c>
      <c r="AR717" s="16">
        <f t="shared" si="92"/>
        <v>773.32465143923991</v>
      </c>
      <c r="AS717" s="17">
        <f t="shared" si="93"/>
        <v>0.57283307514017767</v>
      </c>
      <c r="AT717" s="6">
        <v>1350</v>
      </c>
      <c r="AU717" s="6">
        <v>1345.329467773438</v>
      </c>
      <c r="AV717" s="6">
        <f t="shared" si="94"/>
        <v>4.6705322265620453</v>
      </c>
      <c r="AW717" s="7">
        <f t="shared" si="95"/>
        <v>3.4596535011570707E-3</v>
      </c>
    </row>
    <row r="718" spans="1:49" x14ac:dyDescent="0.25">
      <c r="A718" t="s">
        <v>69</v>
      </c>
      <c r="B718" t="s">
        <v>70</v>
      </c>
      <c r="C718">
        <v>152853</v>
      </c>
      <c r="D718">
        <v>2011</v>
      </c>
      <c r="E718" t="s">
        <v>98</v>
      </c>
      <c r="F718" t="s">
        <v>704</v>
      </c>
      <c r="G718" t="s">
        <v>469</v>
      </c>
      <c r="H718" t="s">
        <v>1067</v>
      </c>
      <c r="I718">
        <v>8</v>
      </c>
      <c r="J718" t="s">
        <v>43</v>
      </c>
      <c r="K718">
        <v>4</v>
      </c>
      <c r="L718" t="s">
        <v>44</v>
      </c>
      <c r="M718">
        <v>6.2</v>
      </c>
      <c r="N718" t="s">
        <v>116</v>
      </c>
      <c r="O718" t="s">
        <v>46</v>
      </c>
      <c r="P718">
        <v>4</v>
      </c>
      <c r="Q718" t="s">
        <v>47</v>
      </c>
      <c r="R718" t="s">
        <v>48</v>
      </c>
      <c r="S718" t="s">
        <v>49</v>
      </c>
      <c r="U718" t="s">
        <v>134</v>
      </c>
      <c r="W718" t="s">
        <v>1068</v>
      </c>
      <c r="X718" t="s">
        <v>77</v>
      </c>
      <c r="Y718" t="s">
        <v>67</v>
      </c>
      <c r="AA718">
        <v>0</v>
      </c>
      <c r="AB718" t="s">
        <v>54</v>
      </c>
      <c r="AC718" t="s">
        <v>55</v>
      </c>
      <c r="AD718">
        <v>34</v>
      </c>
      <c r="AE718">
        <v>8</v>
      </c>
      <c r="AF718">
        <v>3</v>
      </c>
      <c r="AG718">
        <v>2025</v>
      </c>
      <c r="AH718" s="13">
        <v>6300</v>
      </c>
      <c r="AI718" s="13">
        <v>5772.8681640625</v>
      </c>
      <c r="AJ718" s="13">
        <f t="shared" si="88"/>
        <v>527.1318359375</v>
      </c>
      <c r="AK718" s="14">
        <f t="shared" si="89"/>
        <v>8.3671719990079371E-2</v>
      </c>
      <c r="AL718" s="9">
        <v>6300</v>
      </c>
      <c r="AM718" s="9">
        <v>6020.3896157430363</v>
      </c>
      <c r="AN718" s="9">
        <f t="shared" si="90"/>
        <v>279.6103842569637</v>
      </c>
      <c r="AO718" s="10">
        <f t="shared" si="91"/>
        <v>4.4382600675708525E-2</v>
      </c>
      <c r="AP718" s="16">
        <v>6300</v>
      </c>
      <c r="AQ718" s="16">
        <v>4465.6781813991965</v>
      </c>
      <c r="AR718" s="16">
        <f t="shared" si="92"/>
        <v>1834.3218186008035</v>
      </c>
      <c r="AS718" s="17">
        <f t="shared" si="93"/>
        <v>0.29116219342869898</v>
      </c>
      <c r="AT718" s="6">
        <v>6300</v>
      </c>
      <c r="AU718" s="6">
        <v>6616.63916015625</v>
      </c>
      <c r="AV718" s="6">
        <f t="shared" si="94"/>
        <v>316.63916015625</v>
      </c>
      <c r="AW718" s="7">
        <f t="shared" si="95"/>
        <v>5.0260184151785715E-2</v>
      </c>
    </row>
    <row r="719" spans="1:49" x14ac:dyDescent="0.25">
      <c r="A719" t="s">
        <v>69</v>
      </c>
      <c r="B719" t="s">
        <v>70</v>
      </c>
      <c r="C719">
        <v>44637</v>
      </c>
      <c r="D719">
        <v>2022</v>
      </c>
      <c r="E719" t="s">
        <v>71</v>
      </c>
      <c r="F719" t="s">
        <v>616</v>
      </c>
      <c r="G719" t="s">
        <v>1069</v>
      </c>
      <c r="I719">
        <v>8</v>
      </c>
      <c r="J719" t="s">
        <v>127</v>
      </c>
      <c r="K719">
        <v>4</v>
      </c>
      <c r="L719" t="s">
        <v>44</v>
      </c>
      <c r="M719">
        <v>5.6</v>
      </c>
      <c r="N719" t="s">
        <v>116</v>
      </c>
      <c r="O719" t="s">
        <v>46</v>
      </c>
      <c r="P719">
        <v>5</v>
      </c>
      <c r="Q719" t="s">
        <v>47</v>
      </c>
      <c r="R719" t="s">
        <v>48</v>
      </c>
      <c r="S719" t="s">
        <v>49</v>
      </c>
      <c r="U719" t="s">
        <v>50</v>
      </c>
      <c r="X719" t="s">
        <v>77</v>
      </c>
      <c r="Y719" t="s">
        <v>97</v>
      </c>
      <c r="AA719">
        <v>0</v>
      </c>
      <c r="AB719" t="s">
        <v>54</v>
      </c>
      <c r="AC719" t="s">
        <v>68</v>
      </c>
      <c r="AD719">
        <v>34</v>
      </c>
      <c r="AE719">
        <v>8</v>
      </c>
      <c r="AF719">
        <v>3</v>
      </c>
      <c r="AG719">
        <v>2025</v>
      </c>
      <c r="AH719" s="13">
        <v>36500</v>
      </c>
      <c r="AI719" s="13">
        <v>28630.078125</v>
      </c>
      <c r="AJ719" s="13">
        <f t="shared" si="88"/>
        <v>7869.921875</v>
      </c>
      <c r="AK719" s="14">
        <f t="shared" si="89"/>
        <v>0.21561429794520548</v>
      </c>
      <c r="AL719" s="9">
        <v>36500</v>
      </c>
      <c r="AM719" s="9">
        <v>25389.98551745779</v>
      </c>
      <c r="AN719" s="9">
        <f t="shared" si="90"/>
        <v>11110.01448254221</v>
      </c>
      <c r="AO719" s="10">
        <f t="shared" si="91"/>
        <v>0.30438395842581401</v>
      </c>
      <c r="AP719" s="16">
        <v>36500</v>
      </c>
      <c r="AQ719" s="16">
        <v>47407.664672246618</v>
      </c>
      <c r="AR719" s="16">
        <f t="shared" si="92"/>
        <v>10907.664672246618</v>
      </c>
      <c r="AS719" s="17">
        <f t="shared" si="93"/>
        <v>0.29884012800675663</v>
      </c>
      <c r="AT719" s="6">
        <v>36500</v>
      </c>
      <c r="AU719" s="6">
        <v>29980.943359375</v>
      </c>
      <c r="AV719" s="6">
        <f t="shared" si="94"/>
        <v>6519.056640625</v>
      </c>
      <c r="AW719" s="7">
        <f t="shared" si="95"/>
        <v>0.17860429152397261</v>
      </c>
    </row>
    <row r="720" spans="1:49" x14ac:dyDescent="0.25">
      <c r="A720" t="s">
        <v>38</v>
      </c>
      <c r="B720" t="s">
        <v>167</v>
      </c>
      <c r="C720">
        <v>8157</v>
      </c>
      <c r="D720">
        <v>2021</v>
      </c>
      <c r="E720" t="s">
        <v>40</v>
      </c>
      <c r="F720" t="s">
        <v>312</v>
      </c>
      <c r="G720" t="s">
        <v>993</v>
      </c>
      <c r="I720">
        <v>4</v>
      </c>
      <c r="J720" t="s">
        <v>43</v>
      </c>
      <c r="K720">
        <v>4</v>
      </c>
      <c r="L720" t="s">
        <v>44</v>
      </c>
      <c r="M720">
        <v>2</v>
      </c>
      <c r="N720" t="s">
        <v>45</v>
      </c>
      <c r="O720" t="s">
        <v>46</v>
      </c>
      <c r="P720">
        <v>4</v>
      </c>
      <c r="Q720" t="s">
        <v>84</v>
      </c>
      <c r="R720" t="s">
        <v>85</v>
      </c>
      <c r="S720" t="s">
        <v>102</v>
      </c>
      <c r="T720">
        <v>147</v>
      </c>
      <c r="U720" t="s">
        <v>50</v>
      </c>
      <c r="W720" t="s">
        <v>328</v>
      </c>
      <c r="X720" t="s">
        <v>87</v>
      </c>
      <c r="Y720" t="s">
        <v>106</v>
      </c>
      <c r="AA720">
        <v>0</v>
      </c>
      <c r="AB720" t="s">
        <v>54</v>
      </c>
      <c r="AC720" t="s">
        <v>89</v>
      </c>
      <c r="AD720">
        <v>34</v>
      </c>
      <c r="AE720">
        <v>8</v>
      </c>
      <c r="AF720">
        <v>3</v>
      </c>
      <c r="AG720">
        <v>2025</v>
      </c>
      <c r="AH720" s="13">
        <v>13500</v>
      </c>
      <c r="AI720" s="13">
        <v>14304.759765625</v>
      </c>
      <c r="AJ720" s="13">
        <f t="shared" si="88"/>
        <v>804.759765625</v>
      </c>
      <c r="AK720" s="14">
        <f t="shared" si="89"/>
        <v>5.9611834490740742E-2</v>
      </c>
      <c r="AL720" s="9">
        <v>13500</v>
      </c>
      <c r="AM720" s="9">
        <v>16972.64502859566</v>
      </c>
      <c r="AN720" s="9">
        <f t="shared" si="90"/>
        <v>3472.6450285956598</v>
      </c>
      <c r="AO720" s="10">
        <f t="shared" si="91"/>
        <v>0.25723296508116</v>
      </c>
      <c r="AP720" s="16">
        <v>13500</v>
      </c>
      <c r="AQ720" s="16">
        <v>15016.636866925701</v>
      </c>
      <c r="AR720" s="16">
        <f t="shared" si="92"/>
        <v>1516.6368669257008</v>
      </c>
      <c r="AS720" s="17">
        <f t="shared" si="93"/>
        <v>0.11234347162412599</v>
      </c>
      <c r="AT720" s="6">
        <v>13500</v>
      </c>
      <c r="AU720" s="6">
        <v>16471.095703125</v>
      </c>
      <c r="AV720" s="6">
        <f t="shared" si="94"/>
        <v>2971.095703125</v>
      </c>
      <c r="AW720" s="7">
        <f t="shared" si="95"/>
        <v>0.22008116319444446</v>
      </c>
    </row>
    <row r="721" spans="1:49" x14ac:dyDescent="0.25">
      <c r="A721" t="s">
        <v>107</v>
      </c>
      <c r="B721" t="s">
        <v>108</v>
      </c>
      <c r="C721">
        <v>85403</v>
      </c>
      <c r="D721">
        <v>2018</v>
      </c>
      <c r="E721" t="s">
        <v>98</v>
      </c>
      <c r="F721" t="s">
        <v>161</v>
      </c>
      <c r="G721" t="s">
        <v>218</v>
      </c>
      <c r="H721" t="s">
        <v>162</v>
      </c>
      <c r="I721">
        <v>8</v>
      </c>
      <c r="J721" t="s">
        <v>94</v>
      </c>
      <c r="K721">
        <v>4</v>
      </c>
      <c r="L721" t="s">
        <v>44</v>
      </c>
      <c r="M721">
        <v>5.3</v>
      </c>
      <c r="N721" t="s">
        <v>62</v>
      </c>
      <c r="O721" t="s">
        <v>46</v>
      </c>
      <c r="P721">
        <v>4</v>
      </c>
      <c r="Q721" t="s">
        <v>75</v>
      </c>
      <c r="R721" t="s">
        <v>76</v>
      </c>
      <c r="S721" t="s">
        <v>63</v>
      </c>
      <c r="U721" t="s">
        <v>50</v>
      </c>
      <c r="W721" t="s">
        <v>414</v>
      </c>
      <c r="X721" t="s">
        <v>77</v>
      </c>
      <c r="Y721" t="s">
        <v>106</v>
      </c>
      <c r="AA721">
        <v>0</v>
      </c>
      <c r="AB721" t="s">
        <v>54</v>
      </c>
      <c r="AC721" t="s">
        <v>78</v>
      </c>
      <c r="AD721">
        <v>34</v>
      </c>
      <c r="AE721">
        <v>8</v>
      </c>
      <c r="AF721">
        <v>3</v>
      </c>
      <c r="AG721">
        <v>2025</v>
      </c>
      <c r="AH721" s="13">
        <v>20200</v>
      </c>
      <c r="AI721" s="13">
        <v>27104.033203125</v>
      </c>
      <c r="AJ721" s="13">
        <f t="shared" si="88"/>
        <v>6904.033203125</v>
      </c>
      <c r="AK721" s="14">
        <f t="shared" si="89"/>
        <v>0.34178382193688117</v>
      </c>
      <c r="AL721" s="9">
        <v>20200</v>
      </c>
      <c r="AM721" s="9">
        <v>27518.628443690421</v>
      </c>
      <c r="AN721" s="9">
        <f t="shared" si="90"/>
        <v>7318.6284436904207</v>
      </c>
      <c r="AO721" s="10">
        <f t="shared" si="91"/>
        <v>0.3623083387965555</v>
      </c>
      <c r="AP721" s="16">
        <v>20200</v>
      </c>
      <c r="AQ721" s="16">
        <v>28460.03396440134</v>
      </c>
      <c r="AR721" s="16">
        <f t="shared" si="92"/>
        <v>8260.0339644013402</v>
      </c>
      <c r="AS721" s="17">
        <f t="shared" si="93"/>
        <v>0.40891257249511587</v>
      </c>
      <c r="AT721" s="6">
        <v>20200</v>
      </c>
      <c r="AU721" s="6">
        <v>28932.728515625</v>
      </c>
      <c r="AV721" s="6">
        <f t="shared" si="94"/>
        <v>8732.728515625</v>
      </c>
      <c r="AW721" s="7">
        <f t="shared" si="95"/>
        <v>0.4323132928527228</v>
      </c>
    </row>
    <row r="722" spans="1:49" x14ac:dyDescent="0.25">
      <c r="A722" t="s">
        <v>38</v>
      </c>
      <c r="B722" t="s">
        <v>229</v>
      </c>
      <c r="C722">
        <v>146468</v>
      </c>
      <c r="D722">
        <v>2009</v>
      </c>
      <c r="E722" t="s">
        <v>241</v>
      </c>
      <c r="F722" t="s">
        <v>1070</v>
      </c>
      <c r="H722" t="s">
        <v>1071</v>
      </c>
      <c r="I722">
        <v>8</v>
      </c>
      <c r="J722" t="s">
        <v>61</v>
      </c>
      <c r="K722">
        <v>4</v>
      </c>
      <c r="L722" t="s">
        <v>44</v>
      </c>
      <c r="M722">
        <v>5.5</v>
      </c>
      <c r="N722" t="s">
        <v>44</v>
      </c>
      <c r="O722" t="s">
        <v>46</v>
      </c>
      <c r="P722">
        <v>4</v>
      </c>
      <c r="Q722" t="s">
        <v>47</v>
      </c>
      <c r="R722" t="s">
        <v>48</v>
      </c>
      <c r="S722" t="s">
        <v>139</v>
      </c>
      <c r="U722" t="s">
        <v>50</v>
      </c>
      <c r="V722" t="s">
        <v>64</v>
      </c>
      <c r="X722" t="s">
        <v>66</v>
      </c>
      <c r="Y722" t="s">
        <v>67</v>
      </c>
      <c r="AA722">
        <v>0</v>
      </c>
      <c r="AB722" t="s">
        <v>54</v>
      </c>
      <c r="AC722" t="s">
        <v>55</v>
      </c>
      <c r="AD722">
        <v>34</v>
      </c>
      <c r="AE722">
        <v>8</v>
      </c>
      <c r="AF722">
        <v>3</v>
      </c>
      <c r="AG722">
        <v>2025</v>
      </c>
      <c r="AH722" s="13">
        <v>4000</v>
      </c>
      <c r="AI722" s="13">
        <v>3350.9775390625</v>
      </c>
      <c r="AJ722" s="13">
        <f t="shared" si="88"/>
        <v>649.0224609375</v>
      </c>
      <c r="AK722" s="14">
        <f t="shared" si="89"/>
        <v>0.16225561523437501</v>
      </c>
      <c r="AL722" s="9">
        <v>4000</v>
      </c>
      <c r="AM722" s="9">
        <v>2889.629426868446</v>
      </c>
      <c r="AN722" s="9">
        <f t="shared" si="90"/>
        <v>1110.370573131554</v>
      </c>
      <c r="AO722" s="10">
        <f t="shared" si="91"/>
        <v>0.27759264328288852</v>
      </c>
      <c r="AP722" s="16">
        <v>4000</v>
      </c>
      <c r="AQ722" s="16">
        <v>1881.4167939299421</v>
      </c>
      <c r="AR722" s="16">
        <f t="shared" si="92"/>
        <v>2118.5832060700577</v>
      </c>
      <c r="AS722" s="17">
        <f t="shared" si="93"/>
        <v>0.52964580151751439</v>
      </c>
      <c r="AT722" s="6">
        <v>4000</v>
      </c>
      <c r="AU722" s="6">
        <v>2480.298828125</v>
      </c>
      <c r="AV722" s="6">
        <f t="shared" si="94"/>
        <v>1519.701171875</v>
      </c>
      <c r="AW722" s="7">
        <f t="shared" si="95"/>
        <v>0.37992529296874999</v>
      </c>
    </row>
    <row r="723" spans="1:49" x14ac:dyDescent="0.25">
      <c r="A723" t="s">
        <v>107</v>
      </c>
      <c r="B723" t="s">
        <v>108</v>
      </c>
      <c r="C723">
        <v>32499</v>
      </c>
      <c r="D723">
        <v>2022</v>
      </c>
      <c r="E723" t="s">
        <v>79</v>
      </c>
      <c r="F723" t="s">
        <v>272</v>
      </c>
      <c r="G723" t="s">
        <v>1072</v>
      </c>
      <c r="H723" t="s">
        <v>162</v>
      </c>
      <c r="I723">
        <v>4</v>
      </c>
      <c r="J723" t="s">
        <v>82</v>
      </c>
      <c r="K723">
        <v>4</v>
      </c>
      <c r="L723" t="s">
        <v>44</v>
      </c>
      <c r="M723">
        <v>2.7</v>
      </c>
      <c r="N723" t="s">
        <v>62</v>
      </c>
      <c r="O723" t="s">
        <v>46</v>
      </c>
      <c r="P723">
        <v>5</v>
      </c>
      <c r="Q723" t="s">
        <v>75</v>
      </c>
      <c r="R723" t="s">
        <v>76</v>
      </c>
      <c r="S723" t="s">
        <v>63</v>
      </c>
      <c r="U723" t="s">
        <v>50</v>
      </c>
      <c r="V723" t="s">
        <v>95</v>
      </c>
      <c r="W723" t="s">
        <v>749</v>
      </c>
      <c r="X723" t="s">
        <v>66</v>
      </c>
      <c r="Y723" t="s">
        <v>67</v>
      </c>
      <c r="AA723">
        <v>0</v>
      </c>
      <c r="AB723" t="s">
        <v>54</v>
      </c>
      <c r="AC723" t="s">
        <v>78</v>
      </c>
      <c r="AD723">
        <v>34</v>
      </c>
      <c r="AE723">
        <v>8</v>
      </c>
      <c r="AF723">
        <v>3</v>
      </c>
      <c r="AG723">
        <v>2025</v>
      </c>
      <c r="AH723" s="13">
        <v>33000</v>
      </c>
      <c r="AI723" s="13">
        <v>41271.30078125</v>
      </c>
      <c r="AJ723" s="13">
        <f t="shared" si="88"/>
        <v>8271.30078125</v>
      </c>
      <c r="AK723" s="14">
        <f t="shared" si="89"/>
        <v>0.25064547821969696</v>
      </c>
      <c r="AL723" s="9">
        <v>33000</v>
      </c>
      <c r="AM723" s="9">
        <v>38052.0968158916</v>
      </c>
      <c r="AN723" s="9">
        <f t="shared" si="90"/>
        <v>5052.0968158916003</v>
      </c>
      <c r="AO723" s="10">
        <f t="shared" si="91"/>
        <v>0.15309384290580608</v>
      </c>
      <c r="AP723" s="16">
        <v>33000</v>
      </c>
      <c r="AQ723" s="16">
        <v>35889.765811891957</v>
      </c>
      <c r="AR723" s="16">
        <f t="shared" si="92"/>
        <v>2889.7658118919571</v>
      </c>
      <c r="AS723" s="17">
        <f t="shared" si="93"/>
        <v>8.7568660966422948E-2</v>
      </c>
      <c r="AT723" s="6">
        <v>33000</v>
      </c>
      <c r="AU723" s="6">
        <v>36082.3046875</v>
      </c>
      <c r="AV723" s="6">
        <f t="shared" si="94"/>
        <v>3082.3046875</v>
      </c>
      <c r="AW723" s="7">
        <f t="shared" si="95"/>
        <v>9.3403172348484845E-2</v>
      </c>
    </row>
    <row r="724" spans="1:49" x14ac:dyDescent="0.25">
      <c r="A724" t="s">
        <v>69</v>
      </c>
      <c r="B724" t="s">
        <v>160</v>
      </c>
      <c r="C724">
        <v>84368</v>
      </c>
      <c r="D724">
        <v>2012</v>
      </c>
      <c r="E724" t="s">
        <v>136</v>
      </c>
      <c r="F724" t="s">
        <v>868</v>
      </c>
      <c r="G724" t="s">
        <v>268</v>
      </c>
      <c r="I724">
        <v>5</v>
      </c>
      <c r="J724" t="s">
        <v>43</v>
      </c>
      <c r="K724">
        <v>4</v>
      </c>
      <c r="L724" t="s">
        <v>44</v>
      </c>
      <c r="M724">
        <v>2.5</v>
      </c>
      <c r="N724" t="s">
        <v>45</v>
      </c>
      <c r="O724" t="s">
        <v>46</v>
      </c>
      <c r="P724">
        <v>2</v>
      </c>
      <c r="Q724" t="s">
        <v>84</v>
      </c>
      <c r="R724" t="s">
        <v>85</v>
      </c>
      <c r="T724">
        <v>170</v>
      </c>
      <c r="U724" t="s">
        <v>50</v>
      </c>
      <c r="X724" t="s">
        <v>87</v>
      </c>
      <c r="Y724" t="s">
        <v>67</v>
      </c>
      <c r="AA724">
        <v>0</v>
      </c>
      <c r="AB724" t="s">
        <v>54</v>
      </c>
      <c r="AC724" t="s">
        <v>89</v>
      </c>
      <c r="AD724">
        <v>34</v>
      </c>
      <c r="AE724">
        <v>8</v>
      </c>
      <c r="AF724">
        <v>3</v>
      </c>
      <c r="AG724">
        <v>2025</v>
      </c>
      <c r="AH724" s="13">
        <v>1000</v>
      </c>
      <c r="AI724" s="13">
        <v>1948.63037109375</v>
      </c>
      <c r="AJ724" s="13">
        <f t="shared" si="88"/>
        <v>948.63037109375</v>
      </c>
      <c r="AK724" s="14">
        <f t="shared" si="89"/>
        <v>0.94863037109375004</v>
      </c>
      <c r="AL724" s="9">
        <v>1000</v>
      </c>
      <c r="AM724" s="9">
        <v>1622.168239753953</v>
      </c>
      <c r="AN724" s="9">
        <f t="shared" si="90"/>
        <v>622.168239753953</v>
      </c>
      <c r="AO724" s="10">
        <f t="shared" si="91"/>
        <v>0.62216823975395297</v>
      </c>
      <c r="AP724" s="16">
        <v>1000</v>
      </c>
      <c r="AQ724" s="16">
        <v>2239.5677734631872</v>
      </c>
      <c r="AR724" s="16">
        <f t="shared" si="92"/>
        <v>1239.5677734631872</v>
      </c>
      <c r="AS724" s="17">
        <f t="shared" si="93"/>
        <v>1.2395677734631871</v>
      </c>
      <c r="AT724" s="6">
        <v>1000</v>
      </c>
      <c r="AU724" s="6">
        <v>1755.485595703125</v>
      </c>
      <c r="AV724" s="6">
        <f t="shared" si="94"/>
        <v>755.485595703125</v>
      </c>
      <c r="AW724" s="7">
        <f t="shared" si="95"/>
        <v>0.75548559570312501</v>
      </c>
    </row>
    <row r="725" spans="1:49" x14ac:dyDescent="0.25">
      <c r="A725" t="s">
        <v>107</v>
      </c>
      <c r="B725" t="s">
        <v>154</v>
      </c>
      <c r="C725">
        <v>276768</v>
      </c>
      <c r="D725">
        <v>2008</v>
      </c>
      <c r="E725" t="s">
        <v>173</v>
      </c>
      <c r="F725" t="s">
        <v>438</v>
      </c>
      <c r="G725" t="s">
        <v>1073</v>
      </c>
      <c r="H725" t="s">
        <v>1074</v>
      </c>
      <c r="I725">
        <v>6</v>
      </c>
      <c r="J725" t="s">
        <v>94</v>
      </c>
      <c r="K725">
        <v>4</v>
      </c>
      <c r="L725" t="s">
        <v>44</v>
      </c>
      <c r="M725">
        <v>3.7</v>
      </c>
      <c r="N725" t="s">
        <v>62</v>
      </c>
      <c r="O725" t="s">
        <v>46</v>
      </c>
      <c r="Q725" t="s">
        <v>47</v>
      </c>
      <c r="R725" t="s">
        <v>48</v>
      </c>
      <c r="S725" t="s">
        <v>63</v>
      </c>
      <c r="U725" t="s">
        <v>50</v>
      </c>
      <c r="V725" t="s">
        <v>64</v>
      </c>
      <c r="X725" t="s">
        <v>141</v>
      </c>
      <c r="Y725" t="s">
        <v>67</v>
      </c>
      <c r="AA725">
        <v>0</v>
      </c>
      <c r="AB725" t="s">
        <v>54</v>
      </c>
      <c r="AC725" t="s">
        <v>55</v>
      </c>
      <c r="AD725">
        <v>34</v>
      </c>
      <c r="AE725">
        <v>8</v>
      </c>
      <c r="AF725">
        <v>3</v>
      </c>
      <c r="AG725">
        <v>2025</v>
      </c>
      <c r="AH725" s="13">
        <v>550</v>
      </c>
      <c r="AI725" s="13">
        <v>598.7872314453125</v>
      </c>
      <c r="AJ725" s="13">
        <f t="shared" si="88"/>
        <v>48.7872314453125</v>
      </c>
      <c r="AK725" s="14">
        <f t="shared" si="89"/>
        <v>8.870405717329545E-2</v>
      </c>
      <c r="AL725" s="9">
        <v>550</v>
      </c>
      <c r="AM725" s="9">
        <v>659.65923683853032</v>
      </c>
      <c r="AN725" s="9">
        <f t="shared" si="90"/>
        <v>109.65923683853032</v>
      </c>
      <c r="AO725" s="10">
        <f t="shared" si="91"/>
        <v>0.19938043061550967</v>
      </c>
      <c r="AP725" s="16">
        <v>550</v>
      </c>
      <c r="AQ725" s="16">
        <v>437.95795536799977</v>
      </c>
      <c r="AR725" s="16">
        <f t="shared" si="92"/>
        <v>112.04204463200023</v>
      </c>
      <c r="AS725" s="17">
        <f t="shared" si="93"/>
        <v>0.2037128084218186</v>
      </c>
      <c r="AT725" s="6">
        <v>550</v>
      </c>
      <c r="AU725" s="6">
        <v>653.0634765625</v>
      </c>
      <c r="AV725" s="6">
        <f t="shared" si="94"/>
        <v>103.0634765625</v>
      </c>
      <c r="AW725" s="7">
        <f t="shared" si="95"/>
        <v>0.18738813920454545</v>
      </c>
    </row>
    <row r="726" spans="1:49" x14ac:dyDescent="0.25">
      <c r="A726" t="s">
        <v>107</v>
      </c>
      <c r="B726" t="s">
        <v>192</v>
      </c>
      <c r="C726">
        <v>121391</v>
      </c>
      <c r="D726">
        <v>2015</v>
      </c>
      <c r="E726" t="s">
        <v>58</v>
      </c>
      <c r="F726" t="s">
        <v>557</v>
      </c>
      <c r="H726" t="s">
        <v>454</v>
      </c>
      <c r="I726">
        <v>8</v>
      </c>
      <c r="J726" t="s">
        <v>43</v>
      </c>
      <c r="K726">
        <v>2</v>
      </c>
      <c r="L726" t="s">
        <v>44</v>
      </c>
      <c r="M726">
        <v>5.4</v>
      </c>
      <c r="N726" t="s">
        <v>116</v>
      </c>
      <c r="O726" t="s">
        <v>46</v>
      </c>
      <c r="P726">
        <v>3</v>
      </c>
      <c r="Q726" t="s">
        <v>455</v>
      </c>
      <c r="R726" t="s">
        <v>456</v>
      </c>
      <c r="T726">
        <v>255</v>
      </c>
      <c r="U726" t="s">
        <v>50</v>
      </c>
      <c r="V726" t="s">
        <v>64</v>
      </c>
      <c r="X726" t="s">
        <v>301</v>
      </c>
      <c r="Y726" t="s">
        <v>67</v>
      </c>
      <c r="AA726">
        <v>0</v>
      </c>
      <c r="AB726" t="s">
        <v>54</v>
      </c>
      <c r="AC726" t="s">
        <v>673</v>
      </c>
      <c r="AD726">
        <v>34</v>
      </c>
      <c r="AE726">
        <v>8</v>
      </c>
      <c r="AF726">
        <v>3</v>
      </c>
      <c r="AG726">
        <v>2025</v>
      </c>
      <c r="AH726" s="13">
        <v>14100</v>
      </c>
      <c r="AI726" s="13">
        <v>9817.9462890625</v>
      </c>
      <c r="AJ726" s="13">
        <f t="shared" si="88"/>
        <v>4282.0537109375</v>
      </c>
      <c r="AK726" s="14">
        <f t="shared" si="89"/>
        <v>0.30369175254875885</v>
      </c>
      <c r="AL726" s="9">
        <v>14100</v>
      </c>
      <c r="AM726" s="9">
        <v>8902.8429571760407</v>
      </c>
      <c r="AN726" s="9">
        <f t="shared" si="90"/>
        <v>5197.1570428239593</v>
      </c>
      <c r="AO726" s="10">
        <f t="shared" si="91"/>
        <v>0.36859269807262124</v>
      </c>
      <c r="AP726" s="16">
        <v>14100</v>
      </c>
      <c r="AQ726" s="16">
        <v>6354.0247551796392</v>
      </c>
      <c r="AR726" s="16">
        <f t="shared" si="92"/>
        <v>7745.9752448203608</v>
      </c>
      <c r="AS726" s="17">
        <f t="shared" si="93"/>
        <v>0.54935994644116037</v>
      </c>
      <c r="AT726" s="6">
        <v>14100</v>
      </c>
      <c r="AU726" s="6">
        <v>7526.1259765625</v>
      </c>
      <c r="AV726" s="6">
        <f t="shared" si="94"/>
        <v>6573.8740234375</v>
      </c>
      <c r="AW726" s="7">
        <f t="shared" si="95"/>
        <v>0.4662322002437943</v>
      </c>
    </row>
    <row r="727" spans="1:49" x14ac:dyDescent="0.25">
      <c r="A727" t="s">
        <v>69</v>
      </c>
      <c r="B727" t="s">
        <v>545</v>
      </c>
      <c r="C727">
        <v>184537</v>
      </c>
      <c r="D727">
        <v>2007</v>
      </c>
      <c r="E727" t="s">
        <v>79</v>
      </c>
      <c r="F727" t="s">
        <v>411</v>
      </c>
      <c r="G727" t="s">
        <v>761</v>
      </c>
      <c r="H727" t="s">
        <v>435</v>
      </c>
      <c r="I727">
        <v>5</v>
      </c>
      <c r="J727" t="s">
        <v>82</v>
      </c>
      <c r="K727">
        <v>4</v>
      </c>
      <c r="L727" t="s">
        <v>44</v>
      </c>
      <c r="M727">
        <v>3.7</v>
      </c>
      <c r="N727" t="s">
        <v>62</v>
      </c>
      <c r="O727" t="s">
        <v>46</v>
      </c>
      <c r="P727">
        <v>4</v>
      </c>
      <c r="Q727" t="s">
        <v>75</v>
      </c>
      <c r="R727" t="s">
        <v>76</v>
      </c>
      <c r="S727" t="s">
        <v>63</v>
      </c>
      <c r="U727" t="s">
        <v>50</v>
      </c>
      <c r="V727" t="s">
        <v>95</v>
      </c>
      <c r="W727" t="s">
        <v>1075</v>
      </c>
      <c r="X727" t="s">
        <v>141</v>
      </c>
      <c r="Y727" t="s">
        <v>67</v>
      </c>
      <c r="AA727">
        <v>0</v>
      </c>
      <c r="AB727" t="s">
        <v>54</v>
      </c>
      <c r="AC727" t="s">
        <v>78</v>
      </c>
      <c r="AD727">
        <v>34</v>
      </c>
      <c r="AE727">
        <v>8</v>
      </c>
      <c r="AF727">
        <v>3</v>
      </c>
      <c r="AG727">
        <v>2025</v>
      </c>
      <c r="AH727" s="13">
        <v>2800</v>
      </c>
      <c r="AI727" s="13">
        <v>4528.22607421875</v>
      </c>
      <c r="AJ727" s="13">
        <f t="shared" si="88"/>
        <v>1728.22607421875</v>
      </c>
      <c r="AK727" s="14">
        <f t="shared" si="89"/>
        <v>0.61722359793526782</v>
      </c>
      <c r="AL727" s="9">
        <v>2800</v>
      </c>
      <c r="AM727" s="9">
        <v>3964.5596283406771</v>
      </c>
      <c r="AN727" s="9">
        <f t="shared" si="90"/>
        <v>1164.5596283406771</v>
      </c>
      <c r="AO727" s="10">
        <f t="shared" si="91"/>
        <v>0.41591415297881329</v>
      </c>
      <c r="AP727" s="16">
        <v>2800</v>
      </c>
      <c r="AQ727" s="16">
        <v>2131.1308447649972</v>
      </c>
      <c r="AR727" s="16">
        <f t="shared" si="92"/>
        <v>668.86915523500284</v>
      </c>
      <c r="AS727" s="17">
        <f t="shared" si="93"/>
        <v>0.23888184115535815</v>
      </c>
      <c r="AT727" s="6">
        <v>2800</v>
      </c>
      <c r="AU727" s="6">
        <v>3835.531982421875</v>
      </c>
      <c r="AV727" s="6">
        <f t="shared" si="94"/>
        <v>1035.531982421875</v>
      </c>
      <c r="AW727" s="7">
        <f t="shared" si="95"/>
        <v>0.36983285086495538</v>
      </c>
    </row>
    <row r="728" spans="1:49" x14ac:dyDescent="0.25">
      <c r="A728" t="s">
        <v>69</v>
      </c>
      <c r="B728" t="s">
        <v>70</v>
      </c>
      <c r="C728">
        <v>101852</v>
      </c>
      <c r="D728">
        <v>2016</v>
      </c>
      <c r="E728" t="s">
        <v>71</v>
      </c>
      <c r="F728" t="s">
        <v>199</v>
      </c>
      <c r="I728">
        <v>4</v>
      </c>
      <c r="J728" t="s">
        <v>43</v>
      </c>
      <c r="K728">
        <v>4</v>
      </c>
      <c r="L728" t="s">
        <v>44</v>
      </c>
      <c r="M728">
        <v>2.5</v>
      </c>
      <c r="N728" t="s">
        <v>44</v>
      </c>
      <c r="O728" t="s">
        <v>46</v>
      </c>
      <c r="P728">
        <v>4</v>
      </c>
      <c r="Q728" t="s">
        <v>47</v>
      </c>
      <c r="R728" t="s">
        <v>207</v>
      </c>
      <c r="S728" t="s">
        <v>63</v>
      </c>
      <c r="U728" t="s">
        <v>50</v>
      </c>
      <c r="X728" t="s">
        <v>52</v>
      </c>
      <c r="Y728" t="s">
        <v>53</v>
      </c>
      <c r="AA728">
        <v>0</v>
      </c>
      <c r="AB728" t="s">
        <v>54</v>
      </c>
      <c r="AC728" t="s">
        <v>55</v>
      </c>
      <c r="AD728">
        <v>34</v>
      </c>
      <c r="AE728">
        <v>8</v>
      </c>
      <c r="AF728">
        <v>3</v>
      </c>
      <c r="AG728">
        <v>2025</v>
      </c>
      <c r="AH728" s="13">
        <v>7900</v>
      </c>
      <c r="AI728" s="13">
        <v>5966.732421875</v>
      </c>
      <c r="AJ728" s="13">
        <f t="shared" si="88"/>
        <v>1933.267578125</v>
      </c>
      <c r="AK728" s="14">
        <f t="shared" si="89"/>
        <v>0.24471741495253166</v>
      </c>
      <c r="AL728" s="9">
        <v>7900</v>
      </c>
      <c r="AM728" s="9">
        <v>6096.5548889346846</v>
      </c>
      <c r="AN728" s="9">
        <f t="shared" si="90"/>
        <v>1803.4451110653154</v>
      </c>
      <c r="AO728" s="10">
        <f t="shared" si="91"/>
        <v>0.22828419127409055</v>
      </c>
      <c r="AP728" s="16">
        <v>7900</v>
      </c>
      <c r="AQ728" s="16">
        <v>5951.225377452718</v>
      </c>
      <c r="AR728" s="16">
        <f t="shared" si="92"/>
        <v>1948.774622547282</v>
      </c>
      <c r="AS728" s="17">
        <f t="shared" si="93"/>
        <v>0.24668033196801037</v>
      </c>
      <c r="AT728" s="6">
        <v>7900</v>
      </c>
      <c r="AU728" s="6">
        <v>5677.771484375</v>
      </c>
      <c r="AV728" s="6">
        <f t="shared" si="94"/>
        <v>2222.228515625</v>
      </c>
      <c r="AW728" s="7">
        <f t="shared" si="95"/>
        <v>0.28129474881329114</v>
      </c>
    </row>
    <row r="729" spans="1:49" x14ac:dyDescent="0.25">
      <c r="A729" t="s">
        <v>56</v>
      </c>
      <c r="B729" t="s">
        <v>178</v>
      </c>
      <c r="C729">
        <v>118630</v>
      </c>
      <c r="D729">
        <v>2010</v>
      </c>
      <c r="E729" t="s">
        <v>58</v>
      </c>
      <c r="F729" t="s">
        <v>510</v>
      </c>
      <c r="H729" t="s">
        <v>584</v>
      </c>
      <c r="I729">
        <v>10</v>
      </c>
      <c r="J729" t="s">
        <v>101</v>
      </c>
      <c r="K729">
        <v>2</v>
      </c>
      <c r="L729" t="s">
        <v>44</v>
      </c>
      <c r="M729">
        <v>6.8</v>
      </c>
      <c r="N729" t="s">
        <v>62</v>
      </c>
      <c r="O729" t="s">
        <v>46</v>
      </c>
      <c r="P729">
        <v>2</v>
      </c>
      <c r="Q729" t="s">
        <v>75</v>
      </c>
      <c r="R729" t="s">
        <v>76</v>
      </c>
      <c r="S729" t="s">
        <v>63</v>
      </c>
      <c r="T729">
        <v>305</v>
      </c>
      <c r="U729" t="s">
        <v>50</v>
      </c>
      <c r="V729" t="s">
        <v>64</v>
      </c>
      <c r="W729" t="s">
        <v>1076</v>
      </c>
      <c r="X729" t="s">
        <v>390</v>
      </c>
      <c r="Y729" t="s">
        <v>67</v>
      </c>
      <c r="AA729">
        <v>0</v>
      </c>
      <c r="AB729" t="s">
        <v>54</v>
      </c>
      <c r="AC729" t="s">
        <v>78</v>
      </c>
      <c r="AD729">
        <v>34</v>
      </c>
      <c r="AE729">
        <v>8</v>
      </c>
      <c r="AF729">
        <v>3</v>
      </c>
      <c r="AG729">
        <v>2025</v>
      </c>
      <c r="AH729" s="13">
        <v>5100</v>
      </c>
      <c r="AI729" s="13">
        <v>4492.91064453125</v>
      </c>
      <c r="AJ729" s="13">
        <f t="shared" si="88"/>
        <v>607.08935546875</v>
      </c>
      <c r="AK729" s="14">
        <f t="shared" si="89"/>
        <v>0.11903712852328431</v>
      </c>
      <c r="AL729" s="9">
        <v>5100</v>
      </c>
      <c r="AM729" s="9">
        <v>6438.4237459898941</v>
      </c>
      <c r="AN729" s="9">
        <f t="shared" si="90"/>
        <v>1338.4237459898941</v>
      </c>
      <c r="AO729" s="10">
        <f t="shared" si="91"/>
        <v>0.26243602862546944</v>
      </c>
      <c r="AP729" s="16">
        <v>5100</v>
      </c>
      <c r="AQ729" s="16">
        <v>4923.4077928442302</v>
      </c>
      <c r="AR729" s="16">
        <f t="shared" si="92"/>
        <v>176.59220715576976</v>
      </c>
      <c r="AS729" s="17">
        <f t="shared" si="93"/>
        <v>3.4625922971719562E-2</v>
      </c>
      <c r="AT729" s="6">
        <v>5100</v>
      </c>
      <c r="AU729" s="6">
        <v>4855.85205078125</v>
      </c>
      <c r="AV729" s="6">
        <f t="shared" si="94"/>
        <v>244.14794921875</v>
      </c>
      <c r="AW729" s="7">
        <f t="shared" si="95"/>
        <v>4.7872146905637257E-2</v>
      </c>
    </row>
    <row r="730" spans="1:49" x14ac:dyDescent="0.25">
      <c r="A730" t="s">
        <v>38</v>
      </c>
      <c r="B730" t="s">
        <v>229</v>
      </c>
      <c r="C730">
        <v>89435</v>
      </c>
      <c r="D730">
        <v>2018</v>
      </c>
      <c r="E730" t="s">
        <v>136</v>
      </c>
      <c r="F730" t="s">
        <v>137</v>
      </c>
      <c r="G730" t="s">
        <v>1077</v>
      </c>
      <c r="I730">
        <v>6</v>
      </c>
      <c r="J730" t="s">
        <v>43</v>
      </c>
      <c r="K730">
        <v>4</v>
      </c>
      <c r="L730" t="s">
        <v>44</v>
      </c>
      <c r="M730">
        <v>3.6</v>
      </c>
      <c r="N730" t="s">
        <v>45</v>
      </c>
      <c r="O730" t="s">
        <v>46</v>
      </c>
      <c r="P730">
        <v>4</v>
      </c>
      <c r="Q730" t="s">
        <v>47</v>
      </c>
      <c r="R730" t="s">
        <v>48</v>
      </c>
      <c r="S730" t="s">
        <v>139</v>
      </c>
      <c r="T730">
        <v>276</v>
      </c>
      <c r="U730" t="s">
        <v>50</v>
      </c>
      <c r="X730" t="s">
        <v>141</v>
      </c>
      <c r="Y730" t="s">
        <v>67</v>
      </c>
      <c r="Z730">
        <v>37340</v>
      </c>
      <c r="AA730">
        <v>0</v>
      </c>
      <c r="AB730" t="s">
        <v>54</v>
      </c>
      <c r="AC730" t="s">
        <v>68</v>
      </c>
      <c r="AD730">
        <v>34</v>
      </c>
      <c r="AE730">
        <v>8</v>
      </c>
      <c r="AF730">
        <v>3</v>
      </c>
      <c r="AG730">
        <v>2025</v>
      </c>
      <c r="AH730" s="13">
        <v>10750</v>
      </c>
      <c r="AI730" s="13">
        <v>10640.6572265625</v>
      </c>
      <c r="AJ730" s="13">
        <f t="shared" si="88"/>
        <v>109.3427734375</v>
      </c>
      <c r="AK730" s="14">
        <f t="shared" si="89"/>
        <v>1.0171420784883721E-2</v>
      </c>
      <c r="AL730" s="9">
        <v>10750</v>
      </c>
      <c r="AM730" s="9">
        <v>11157.502673368759</v>
      </c>
      <c r="AN730" s="9">
        <f t="shared" si="90"/>
        <v>407.50267336875913</v>
      </c>
      <c r="AO730" s="10">
        <f t="shared" si="91"/>
        <v>3.7907225429652011E-2</v>
      </c>
      <c r="AP730" s="16">
        <v>10750</v>
      </c>
      <c r="AQ730" s="16">
        <v>11620.537394813749</v>
      </c>
      <c r="AR730" s="16">
        <f t="shared" si="92"/>
        <v>870.53739481374942</v>
      </c>
      <c r="AS730" s="17">
        <f t="shared" si="93"/>
        <v>8.0980222773372038E-2</v>
      </c>
      <c r="AT730" s="6">
        <v>10750</v>
      </c>
      <c r="AU730" s="6">
        <v>10867.2197265625</v>
      </c>
      <c r="AV730" s="6">
        <f t="shared" si="94"/>
        <v>117.2197265625</v>
      </c>
      <c r="AW730" s="7">
        <f t="shared" si="95"/>
        <v>1.0904160610465116E-2</v>
      </c>
    </row>
    <row r="731" spans="1:49" x14ac:dyDescent="0.25">
      <c r="A731" t="s">
        <v>69</v>
      </c>
      <c r="B731" t="s">
        <v>70</v>
      </c>
      <c r="C731">
        <v>73095</v>
      </c>
      <c r="D731">
        <v>2018</v>
      </c>
      <c r="E731" t="s">
        <v>79</v>
      </c>
      <c r="F731" t="s">
        <v>1049</v>
      </c>
      <c r="G731" t="s">
        <v>273</v>
      </c>
      <c r="I731">
        <v>4</v>
      </c>
      <c r="J731" t="s">
        <v>74</v>
      </c>
      <c r="K731">
        <v>4</v>
      </c>
      <c r="L731" t="s">
        <v>44</v>
      </c>
      <c r="M731">
        <v>1.8</v>
      </c>
      <c r="N731" t="s">
        <v>45</v>
      </c>
      <c r="O731" t="s">
        <v>46</v>
      </c>
      <c r="P731">
        <v>4</v>
      </c>
      <c r="Q731" t="s">
        <v>84</v>
      </c>
      <c r="R731" t="s">
        <v>85</v>
      </c>
      <c r="S731" t="s">
        <v>102</v>
      </c>
      <c r="U731" t="s">
        <v>50</v>
      </c>
      <c r="W731" t="s">
        <v>1078</v>
      </c>
      <c r="X731" t="s">
        <v>87</v>
      </c>
      <c r="Y731" t="s">
        <v>67</v>
      </c>
      <c r="Z731">
        <v>17720</v>
      </c>
      <c r="AA731">
        <v>0</v>
      </c>
      <c r="AB731" t="s">
        <v>54</v>
      </c>
      <c r="AC731" t="s">
        <v>89</v>
      </c>
      <c r="AD731">
        <v>34</v>
      </c>
      <c r="AE731">
        <v>8</v>
      </c>
      <c r="AF731">
        <v>3</v>
      </c>
      <c r="AG731">
        <v>2025</v>
      </c>
      <c r="AH731" s="13">
        <v>6100</v>
      </c>
      <c r="AI731" s="13">
        <v>8321.6123046875</v>
      </c>
      <c r="AJ731" s="13">
        <f t="shared" si="88"/>
        <v>2221.6123046875</v>
      </c>
      <c r="AK731" s="14">
        <f t="shared" si="89"/>
        <v>0.36419873847336065</v>
      </c>
      <c r="AL731" s="9">
        <v>6100</v>
      </c>
      <c r="AM731" s="9">
        <v>8544.3833791998932</v>
      </c>
      <c r="AN731" s="9">
        <f t="shared" si="90"/>
        <v>2444.3833791998932</v>
      </c>
      <c r="AO731" s="10">
        <f t="shared" si="91"/>
        <v>0.40071858675408084</v>
      </c>
      <c r="AP731" s="16">
        <v>6100</v>
      </c>
      <c r="AQ731" s="16">
        <v>7034.9758551399063</v>
      </c>
      <c r="AR731" s="16">
        <f t="shared" si="92"/>
        <v>934.97585513990634</v>
      </c>
      <c r="AS731" s="17">
        <f t="shared" si="93"/>
        <v>0.15327473035080433</v>
      </c>
      <c r="AT731" s="6">
        <v>6100</v>
      </c>
      <c r="AU731" s="6">
        <v>6878.8974609375</v>
      </c>
      <c r="AV731" s="6">
        <f t="shared" si="94"/>
        <v>778.8974609375</v>
      </c>
      <c r="AW731" s="7">
        <f t="shared" si="95"/>
        <v>0.12768810835040983</v>
      </c>
    </row>
    <row r="732" spans="1:49" x14ac:dyDescent="0.25">
      <c r="A732" t="s">
        <v>107</v>
      </c>
      <c r="B732" t="s">
        <v>108</v>
      </c>
      <c r="C732">
        <v>66482</v>
      </c>
      <c r="D732">
        <v>2023</v>
      </c>
      <c r="E732" t="s">
        <v>136</v>
      </c>
      <c r="F732" t="s">
        <v>657</v>
      </c>
      <c r="G732" t="s">
        <v>42</v>
      </c>
      <c r="I732">
        <v>4</v>
      </c>
      <c r="J732" t="s">
        <v>82</v>
      </c>
      <c r="K732">
        <v>4</v>
      </c>
      <c r="L732" t="s">
        <v>44</v>
      </c>
      <c r="M732">
        <v>2</v>
      </c>
      <c r="N732" t="s">
        <v>45</v>
      </c>
      <c r="O732" t="s">
        <v>42</v>
      </c>
      <c r="Q732" t="s">
        <v>47</v>
      </c>
      <c r="R732" t="s">
        <v>48</v>
      </c>
      <c r="T732">
        <v>184</v>
      </c>
      <c r="U732" t="s">
        <v>50</v>
      </c>
      <c r="W732" t="s">
        <v>969</v>
      </c>
      <c r="X732" t="s">
        <v>141</v>
      </c>
      <c r="Y732" t="s">
        <v>106</v>
      </c>
      <c r="AA732">
        <v>0</v>
      </c>
      <c r="AB732" t="s">
        <v>54</v>
      </c>
      <c r="AC732" t="s">
        <v>55</v>
      </c>
      <c r="AD732">
        <v>34</v>
      </c>
      <c r="AE732">
        <v>8</v>
      </c>
      <c r="AF732">
        <v>3</v>
      </c>
      <c r="AG732">
        <v>2025</v>
      </c>
      <c r="AH732" s="13">
        <v>6000</v>
      </c>
      <c r="AI732" s="13">
        <v>7816.185546875</v>
      </c>
      <c r="AJ732" s="13">
        <f t="shared" si="88"/>
        <v>1816.185546875</v>
      </c>
      <c r="AK732" s="14">
        <f t="shared" si="89"/>
        <v>0.30269759114583333</v>
      </c>
      <c r="AL732" s="9">
        <v>6000</v>
      </c>
      <c r="AM732" s="9">
        <v>5130.768350131314</v>
      </c>
      <c r="AN732" s="9">
        <f t="shared" si="90"/>
        <v>869.23164986868596</v>
      </c>
      <c r="AO732" s="10">
        <f t="shared" si="91"/>
        <v>0.14487194164478098</v>
      </c>
      <c r="AP732" s="16">
        <v>6000</v>
      </c>
      <c r="AQ732" s="16">
        <v>8212.2873987837429</v>
      </c>
      <c r="AR732" s="16">
        <f t="shared" si="92"/>
        <v>2212.2873987837429</v>
      </c>
      <c r="AS732" s="17">
        <f t="shared" si="93"/>
        <v>0.36871456646395717</v>
      </c>
      <c r="AT732" s="6">
        <v>6000</v>
      </c>
      <c r="AU732" s="6">
        <v>6190.869140625</v>
      </c>
      <c r="AV732" s="6">
        <f t="shared" si="94"/>
        <v>190.869140625</v>
      </c>
      <c r="AW732" s="7">
        <f t="shared" si="95"/>
        <v>3.1811523437500003E-2</v>
      </c>
    </row>
    <row r="733" spans="1:49" x14ac:dyDescent="0.25">
      <c r="A733" t="s">
        <v>38</v>
      </c>
      <c r="B733" t="s">
        <v>229</v>
      </c>
      <c r="C733">
        <v>123292</v>
      </c>
      <c r="D733">
        <v>2018</v>
      </c>
      <c r="E733" t="s">
        <v>40</v>
      </c>
      <c r="F733" t="s">
        <v>360</v>
      </c>
      <c r="G733" t="s">
        <v>1079</v>
      </c>
      <c r="I733">
        <v>4</v>
      </c>
      <c r="J733" t="s">
        <v>74</v>
      </c>
      <c r="K733">
        <v>4</v>
      </c>
      <c r="L733" t="s">
        <v>44</v>
      </c>
      <c r="M733">
        <v>2.4</v>
      </c>
      <c r="N733" t="s">
        <v>45</v>
      </c>
      <c r="O733" t="s">
        <v>46</v>
      </c>
      <c r="P733">
        <v>3</v>
      </c>
      <c r="Q733" t="s">
        <v>47</v>
      </c>
      <c r="R733" t="s">
        <v>48</v>
      </c>
      <c r="S733" t="s">
        <v>49</v>
      </c>
      <c r="T733">
        <v>185</v>
      </c>
      <c r="U733" t="s">
        <v>50</v>
      </c>
      <c r="W733" t="s">
        <v>362</v>
      </c>
      <c r="X733" t="s">
        <v>141</v>
      </c>
      <c r="Y733" t="s">
        <v>67</v>
      </c>
      <c r="AA733">
        <v>0</v>
      </c>
      <c r="AB733" t="s">
        <v>54</v>
      </c>
      <c r="AC733" t="s">
        <v>55</v>
      </c>
      <c r="AD733">
        <v>34</v>
      </c>
      <c r="AE733">
        <v>8</v>
      </c>
      <c r="AF733">
        <v>3</v>
      </c>
      <c r="AG733">
        <v>2025</v>
      </c>
      <c r="AH733" s="13">
        <v>5400</v>
      </c>
      <c r="AI733" s="13">
        <v>5176.48876953125</v>
      </c>
      <c r="AJ733" s="13">
        <f t="shared" si="88"/>
        <v>223.51123046875</v>
      </c>
      <c r="AK733" s="14">
        <f t="shared" si="89"/>
        <v>4.1390968605324076E-2</v>
      </c>
      <c r="AL733" s="9">
        <v>5400</v>
      </c>
      <c r="AM733" s="9">
        <v>5151.9199518743726</v>
      </c>
      <c r="AN733" s="9">
        <f t="shared" si="90"/>
        <v>248.0800481256274</v>
      </c>
      <c r="AO733" s="10">
        <f t="shared" si="91"/>
        <v>4.5940749652893964E-2</v>
      </c>
      <c r="AP733" s="16">
        <v>5400</v>
      </c>
      <c r="AQ733" s="16">
        <v>4612.4269377718583</v>
      </c>
      <c r="AR733" s="16">
        <f t="shared" si="92"/>
        <v>787.57306222814168</v>
      </c>
      <c r="AS733" s="17">
        <f t="shared" si="93"/>
        <v>0.14584686337558178</v>
      </c>
      <c r="AT733" s="6">
        <v>5400</v>
      </c>
      <c r="AU733" s="6">
        <v>4987.2578125</v>
      </c>
      <c r="AV733" s="6">
        <f t="shared" si="94"/>
        <v>412.7421875</v>
      </c>
      <c r="AW733" s="7">
        <f t="shared" si="95"/>
        <v>7.6433738425925921E-2</v>
      </c>
    </row>
    <row r="734" spans="1:49" x14ac:dyDescent="0.25">
      <c r="A734" t="s">
        <v>107</v>
      </c>
      <c r="B734" t="s">
        <v>154</v>
      </c>
      <c r="C734">
        <v>60210</v>
      </c>
      <c r="D734">
        <v>2019</v>
      </c>
      <c r="E734" t="s">
        <v>79</v>
      </c>
      <c r="F734" t="s">
        <v>263</v>
      </c>
      <c r="G734" t="s">
        <v>434</v>
      </c>
      <c r="I734">
        <v>4</v>
      </c>
      <c r="J734" t="s">
        <v>94</v>
      </c>
      <c r="K734">
        <v>4</v>
      </c>
      <c r="L734" t="s">
        <v>44</v>
      </c>
      <c r="M734">
        <v>1.4</v>
      </c>
      <c r="N734" t="s">
        <v>45</v>
      </c>
      <c r="O734" t="s">
        <v>46</v>
      </c>
      <c r="P734">
        <v>4</v>
      </c>
      <c r="Q734" t="s">
        <v>84</v>
      </c>
      <c r="R734" t="s">
        <v>85</v>
      </c>
      <c r="U734" t="s">
        <v>50</v>
      </c>
      <c r="V734" t="s">
        <v>95</v>
      </c>
      <c r="W734" t="s">
        <v>311</v>
      </c>
      <c r="X734" t="s">
        <v>87</v>
      </c>
      <c r="Y734" t="s">
        <v>67</v>
      </c>
      <c r="Z734">
        <v>19995</v>
      </c>
      <c r="AA734">
        <v>0</v>
      </c>
      <c r="AB734" t="s">
        <v>54</v>
      </c>
      <c r="AC734" t="s">
        <v>89</v>
      </c>
      <c r="AD734">
        <v>34</v>
      </c>
      <c r="AE734">
        <v>8</v>
      </c>
      <c r="AF734">
        <v>3</v>
      </c>
      <c r="AG734">
        <v>2025</v>
      </c>
      <c r="AH734" s="13">
        <v>8700</v>
      </c>
      <c r="AI734" s="13">
        <v>11501.107421875</v>
      </c>
      <c r="AJ734" s="13">
        <f t="shared" si="88"/>
        <v>2801.107421875</v>
      </c>
      <c r="AK734" s="14">
        <f t="shared" si="89"/>
        <v>0.32196637033045977</v>
      </c>
      <c r="AL734" s="9">
        <v>8700</v>
      </c>
      <c r="AM734" s="9">
        <v>12096.771493419281</v>
      </c>
      <c r="AN734" s="9">
        <f t="shared" si="90"/>
        <v>3396.7714934192809</v>
      </c>
      <c r="AO734" s="10">
        <f t="shared" si="91"/>
        <v>0.39043350499072194</v>
      </c>
      <c r="AP734" s="16">
        <v>8700</v>
      </c>
      <c r="AQ734" s="16">
        <v>10007.26325376718</v>
      </c>
      <c r="AR734" s="16">
        <f t="shared" si="92"/>
        <v>1307.2632537671798</v>
      </c>
      <c r="AS734" s="17">
        <f t="shared" si="93"/>
        <v>0.15026014411117009</v>
      </c>
      <c r="AT734" s="6">
        <v>8700</v>
      </c>
      <c r="AU734" s="6">
        <v>10862.18359375</v>
      </c>
      <c r="AV734" s="6">
        <f t="shared" si="94"/>
        <v>2162.18359375</v>
      </c>
      <c r="AW734" s="7">
        <f t="shared" si="95"/>
        <v>0.24852684985632184</v>
      </c>
    </row>
    <row r="735" spans="1:49" x14ac:dyDescent="0.25">
      <c r="A735" t="s">
        <v>56</v>
      </c>
      <c r="B735" t="s">
        <v>57</v>
      </c>
      <c r="C735">
        <v>53512</v>
      </c>
      <c r="D735">
        <v>2022</v>
      </c>
      <c r="E735" t="s">
        <v>79</v>
      </c>
      <c r="F735" t="s">
        <v>286</v>
      </c>
      <c r="G735" t="s">
        <v>996</v>
      </c>
      <c r="I735">
        <v>4</v>
      </c>
      <c r="J735" t="s">
        <v>82</v>
      </c>
      <c r="K735">
        <v>4</v>
      </c>
      <c r="L735" t="s">
        <v>44</v>
      </c>
      <c r="M735">
        <v>1.5</v>
      </c>
      <c r="N735" t="s">
        <v>45</v>
      </c>
      <c r="O735" t="s">
        <v>46</v>
      </c>
      <c r="P735">
        <v>2</v>
      </c>
      <c r="Q735" t="s">
        <v>84</v>
      </c>
      <c r="R735" t="s">
        <v>85</v>
      </c>
      <c r="S735" t="s">
        <v>102</v>
      </c>
      <c r="U735" t="s">
        <v>50</v>
      </c>
      <c r="V735" t="s">
        <v>95</v>
      </c>
      <c r="W735" t="s">
        <v>470</v>
      </c>
      <c r="X735" t="s">
        <v>87</v>
      </c>
      <c r="Y735" t="s">
        <v>67</v>
      </c>
      <c r="AA735">
        <v>0</v>
      </c>
      <c r="AB735" t="s">
        <v>54</v>
      </c>
      <c r="AC735" t="s">
        <v>89</v>
      </c>
      <c r="AD735">
        <v>34</v>
      </c>
      <c r="AE735">
        <v>8</v>
      </c>
      <c r="AF735">
        <v>3</v>
      </c>
      <c r="AG735">
        <v>2025</v>
      </c>
      <c r="AH735" s="13">
        <v>7000</v>
      </c>
      <c r="AI735" s="13">
        <v>15902.6357421875</v>
      </c>
      <c r="AJ735" s="13">
        <f t="shared" si="88"/>
        <v>8902.6357421875</v>
      </c>
      <c r="AK735" s="14">
        <f t="shared" si="89"/>
        <v>1.2718051060267856</v>
      </c>
      <c r="AL735" s="9">
        <v>7000</v>
      </c>
      <c r="AM735" s="9">
        <v>10843.61431116793</v>
      </c>
      <c r="AN735" s="9">
        <f t="shared" si="90"/>
        <v>3843.6143111679303</v>
      </c>
      <c r="AO735" s="10">
        <f t="shared" si="91"/>
        <v>0.54908775873827576</v>
      </c>
      <c r="AP735" s="16">
        <v>7000</v>
      </c>
      <c r="AQ735" s="16">
        <v>11637.145892560029</v>
      </c>
      <c r="AR735" s="16">
        <f t="shared" si="92"/>
        <v>4637.1458925600291</v>
      </c>
      <c r="AS735" s="17">
        <f t="shared" si="93"/>
        <v>0.66244941322286133</v>
      </c>
      <c r="AT735" s="6">
        <v>7000</v>
      </c>
      <c r="AU735" s="6">
        <v>11669.64453125</v>
      </c>
      <c r="AV735" s="6">
        <f t="shared" si="94"/>
        <v>4669.64453125</v>
      </c>
      <c r="AW735" s="7">
        <f t="shared" si="95"/>
        <v>0.66709207589285713</v>
      </c>
    </row>
    <row r="736" spans="1:49" x14ac:dyDescent="0.25">
      <c r="A736" t="s">
        <v>107</v>
      </c>
      <c r="B736" t="s">
        <v>614</v>
      </c>
      <c r="C736">
        <v>35474</v>
      </c>
      <c r="D736">
        <v>2013</v>
      </c>
      <c r="E736" t="s">
        <v>58</v>
      </c>
      <c r="F736" t="s">
        <v>737</v>
      </c>
      <c r="G736" t="s">
        <v>120</v>
      </c>
      <c r="H736" t="s">
        <v>1080</v>
      </c>
      <c r="I736">
        <v>6</v>
      </c>
      <c r="J736" t="s">
        <v>94</v>
      </c>
      <c r="K736">
        <v>2</v>
      </c>
      <c r="L736" t="s">
        <v>44</v>
      </c>
      <c r="M736">
        <v>3.7</v>
      </c>
      <c r="N736" t="s">
        <v>116</v>
      </c>
      <c r="O736" t="s">
        <v>46</v>
      </c>
      <c r="Q736" t="s">
        <v>84</v>
      </c>
      <c r="R736" t="s">
        <v>683</v>
      </c>
      <c r="T736">
        <v>305</v>
      </c>
      <c r="U736" t="s">
        <v>50</v>
      </c>
      <c r="V736" t="s">
        <v>64</v>
      </c>
      <c r="X736" t="s">
        <v>87</v>
      </c>
      <c r="Y736" t="s">
        <v>67</v>
      </c>
      <c r="AA736">
        <v>0</v>
      </c>
      <c r="AB736" t="s">
        <v>54</v>
      </c>
      <c r="AC736" t="s">
        <v>684</v>
      </c>
      <c r="AD736">
        <v>34</v>
      </c>
      <c r="AE736">
        <v>8</v>
      </c>
      <c r="AF736">
        <v>3</v>
      </c>
      <c r="AG736">
        <v>2025</v>
      </c>
      <c r="AH736" s="13">
        <v>10500</v>
      </c>
      <c r="AI736" s="13">
        <v>12160.1767578125</v>
      </c>
      <c r="AJ736" s="13">
        <f t="shared" si="88"/>
        <v>1660.1767578125</v>
      </c>
      <c r="AK736" s="14">
        <f t="shared" si="89"/>
        <v>0.15811207217261905</v>
      </c>
      <c r="AL736" s="9">
        <v>10500</v>
      </c>
      <c r="AM736" s="9">
        <v>11291.20789345845</v>
      </c>
      <c r="AN736" s="9">
        <f t="shared" si="90"/>
        <v>791.20789345844969</v>
      </c>
      <c r="AO736" s="10">
        <f t="shared" si="91"/>
        <v>7.5353132710328535E-2</v>
      </c>
      <c r="AP736" s="16">
        <v>10500</v>
      </c>
      <c r="AQ736" s="16">
        <v>10957.613107661669</v>
      </c>
      <c r="AR736" s="16">
        <f t="shared" si="92"/>
        <v>457.61310766166935</v>
      </c>
      <c r="AS736" s="17">
        <f t="shared" si="93"/>
        <v>4.3582200729682795E-2</v>
      </c>
      <c r="AT736" s="6">
        <v>10500</v>
      </c>
      <c r="AU736" s="6">
        <v>10693.8671875</v>
      </c>
      <c r="AV736" s="6">
        <f t="shared" si="94"/>
        <v>193.8671875</v>
      </c>
      <c r="AW736" s="7">
        <f t="shared" si="95"/>
        <v>1.8463541666666666E-2</v>
      </c>
    </row>
    <row r="737" spans="1:49" x14ac:dyDescent="0.25">
      <c r="A737" t="s">
        <v>56</v>
      </c>
      <c r="B737" t="s">
        <v>57</v>
      </c>
      <c r="C737">
        <v>123796</v>
      </c>
      <c r="D737">
        <v>2018</v>
      </c>
      <c r="E737" t="s">
        <v>145</v>
      </c>
      <c r="F737" t="s">
        <v>485</v>
      </c>
      <c r="G737" t="s">
        <v>1081</v>
      </c>
      <c r="I737">
        <v>6</v>
      </c>
      <c r="J737" t="s">
        <v>74</v>
      </c>
      <c r="K737">
        <v>4</v>
      </c>
      <c r="L737" t="s">
        <v>44</v>
      </c>
      <c r="M737">
        <v>3.5</v>
      </c>
      <c r="N737" t="s">
        <v>44</v>
      </c>
      <c r="O737" t="s">
        <v>46</v>
      </c>
      <c r="Q737" t="s">
        <v>47</v>
      </c>
      <c r="R737" t="s">
        <v>48</v>
      </c>
      <c r="S737" t="s">
        <v>63</v>
      </c>
      <c r="T737">
        <v>280</v>
      </c>
      <c r="U737" t="s">
        <v>50</v>
      </c>
      <c r="V737" t="s">
        <v>64</v>
      </c>
      <c r="W737" t="s">
        <v>577</v>
      </c>
      <c r="X737" t="s">
        <v>141</v>
      </c>
      <c r="Y737" t="s">
        <v>67</v>
      </c>
      <c r="Z737">
        <v>36760</v>
      </c>
      <c r="AA737">
        <v>0</v>
      </c>
      <c r="AB737" t="s">
        <v>54</v>
      </c>
      <c r="AC737" t="s">
        <v>68</v>
      </c>
      <c r="AD737">
        <v>34</v>
      </c>
      <c r="AE737">
        <v>8</v>
      </c>
      <c r="AF737">
        <v>3</v>
      </c>
      <c r="AG737">
        <v>2025</v>
      </c>
      <c r="AH737" s="13">
        <v>14400</v>
      </c>
      <c r="AI737" s="13">
        <v>12747.353515625</v>
      </c>
      <c r="AJ737" s="13">
        <f t="shared" si="88"/>
        <v>1652.646484375</v>
      </c>
      <c r="AK737" s="14">
        <f t="shared" si="89"/>
        <v>0.11476711697048611</v>
      </c>
      <c r="AL737" s="9">
        <v>14400</v>
      </c>
      <c r="AM737" s="9">
        <v>14369.418670140791</v>
      </c>
      <c r="AN737" s="9">
        <f t="shared" si="90"/>
        <v>30.581329859209291</v>
      </c>
      <c r="AO737" s="10">
        <f t="shared" si="91"/>
        <v>2.1237034624450898E-3</v>
      </c>
      <c r="AP737" s="16">
        <v>14400</v>
      </c>
      <c r="AQ737" s="16">
        <v>12031.928018009339</v>
      </c>
      <c r="AR737" s="16">
        <f t="shared" si="92"/>
        <v>2368.0719819906608</v>
      </c>
      <c r="AS737" s="17">
        <f t="shared" si="93"/>
        <v>0.1644494431937959</v>
      </c>
      <c r="AT737" s="6">
        <v>14400</v>
      </c>
      <c r="AU737" s="6">
        <v>12836.880859375</v>
      </c>
      <c r="AV737" s="6">
        <f t="shared" si="94"/>
        <v>1563.119140625</v>
      </c>
      <c r="AW737" s="7">
        <f t="shared" si="95"/>
        <v>0.10854994032118055</v>
      </c>
    </row>
    <row r="738" spans="1:49" x14ac:dyDescent="0.25">
      <c r="A738" t="s">
        <v>56</v>
      </c>
      <c r="B738" t="s">
        <v>303</v>
      </c>
      <c r="C738">
        <v>148403</v>
      </c>
      <c r="D738">
        <v>2018</v>
      </c>
      <c r="E738" t="s">
        <v>124</v>
      </c>
      <c r="F738" t="s">
        <v>351</v>
      </c>
      <c r="G738" t="s">
        <v>1082</v>
      </c>
      <c r="I738">
        <v>6</v>
      </c>
      <c r="J738" t="s">
        <v>74</v>
      </c>
      <c r="K738">
        <v>4</v>
      </c>
      <c r="L738" t="s">
        <v>44</v>
      </c>
      <c r="M738">
        <v>3.3</v>
      </c>
      <c r="N738" t="s">
        <v>45</v>
      </c>
      <c r="O738" t="s">
        <v>46</v>
      </c>
      <c r="P738">
        <v>3</v>
      </c>
      <c r="Q738" t="s">
        <v>47</v>
      </c>
      <c r="R738" t="s">
        <v>48</v>
      </c>
      <c r="S738" t="s">
        <v>49</v>
      </c>
      <c r="T738">
        <v>290</v>
      </c>
      <c r="U738" t="s">
        <v>50</v>
      </c>
      <c r="V738" t="s">
        <v>64</v>
      </c>
      <c r="W738" t="s">
        <v>1083</v>
      </c>
      <c r="X738" t="s">
        <v>141</v>
      </c>
      <c r="Y738" t="s">
        <v>53</v>
      </c>
      <c r="AA738">
        <v>0</v>
      </c>
      <c r="AB738" t="s">
        <v>54</v>
      </c>
      <c r="AC738" t="s">
        <v>55</v>
      </c>
      <c r="AD738">
        <v>34</v>
      </c>
      <c r="AE738">
        <v>8</v>
      </c>
      <c r="AF738">
        <v>3</v>
      </c>
      <c r="AG738">
        <v>2025</v>
      </c>
      <c r="AH738" s="13">
        <v>3000</v>
      </c>
      <c r="AI738" s="13">
        <v>4975.98681640625</v>
      </c>
      <c r="AJ738" s="13">
        <f t="shared" si="88"/>
        <v>1975.98681640625</v>
      </c>
      <c r="AK738" s="14">
        <f t="shared" si="89"/>
        <v>0.65866227213541662</v>
      </c>
      <c r="AL738" s="9">
        <v>3000</v>
      </c>
      <c r="AM738" s="9">
        <v>5293.8516361189741</v>
      </c>
      <c r="AN738" s="9">
        <f t="shared" si="90"/>
        <v>2293.8516361189741</v>
      </c>
      <c r="AO738" s="10">
        <f t="shared" si="91"/>
        <v>0.76461721203965805</v>
      </c>
      <c r="AP738" s="16">
        <v>3000</v>
      </c>
      <c r="AQ738" s="16">
        <v>4103.8163793685808</v>
      </c>
      <c r="AR738" s="16">
        <f t="shared" si="92"/>
        <v>1103.8163793685808</v>
      </c>
      <c r="AS738" s="17">
        <f t="shared" si="93"/>
        <v>0.36793879312286026</v>
      </c>
      <c r="AT738" s="6">
        <v>3000</v>
      </c>
      <c r="AU738" s="6">
        <v>5211.8984375</v>
      </c>
      <c r="AV738" s="6">
        <f t="shared" si="94"/>
        <v>2211.8984375</v>
      </c>
      <c r="AW738" s="7">
        <f t="shared" si="95"/>
        <v>0.73729947916666672</v>
      </c>
    </row>
    <row r="739" spans="1:49" x14ac:dyDescent="0.25">
      <c r="A739" t="s">
        <v>56</v>
      </c>
      <c r="B739" t="s">
        <v>178</v>
      </c>
      <c r="C739">
        <v>125564</v>
      </c>
      <c r="D739">
        <v>2012</v>
      </c>
      <c r="E739" t="s">
        <v>124</v>
      </c>
      <c r="F739" t="s">
        <v>125</v>
      </c>
      <c r="G739" t="s">
        <v>895</v>
      </c>
      <c r="I739">
        <v>4</v>
      </c>
      <c r="J739" t="s">
        <v>82</v>
      </c>
      <c r="K739">
        <v>4</v>
      </c>
      <c r="L739" t="s">
        <v>44</v>
      </c>
      <c r="M739">
        <v>1.8</v>
      </c>
      <c r="N739" t="s">
        <v>45</v>
      </c>
      <c r="O739" t="s">
        <v>46</v>
      </c>
      <c r="P739">
        <v>3</v>
      </c>
      <c r="Q739" t="s">
        <v>84</v>
      </c>
      <c r="R739" t="s">
        <v>85</v>
      </c>
      <c r="U739" t="s">
        <v>50</v>
      </c>
      <c r="W739" t="s">
        <v>547</v>
      </c>
      <c r="X739" t="s">
        <v>87</v>
      </c>
      <c r="Y739" t="s">
        <v>67</v>
      </c>
      <c r="AA739">
        <v>0</v>
      </c>
      <c r="AB739" t="s">
        <v>54</v>
      </c>
      <c r="AC739" t="s">
        <v>89</v>
      </c>
      <c r="AD739">
        <v>34</v>
      </c>
      <c r="AE739">
        <v>8</v>
      </c>
      <c r="AF739">
        <v>3</v>
      </c>
      <c r="AG739">
        <v>2025</v>
      </c>
      <c r="AH739" s="13">
        <v>2200</v>
      </c>
      <c r="AI739" s="13">
        <v>2165.483154296875</v>
      </c>
      <c r="AJ739" s="13">
        <f t="shared" si="88"/>
        <v>34.516845703125</v>
      </c>
      <c r="AK739" s="14">
        <f t="shared" si="89"/>
        <v>1.5689475319602273E-2</v>
      </c>
      <c r="AL739" s="9">
        <v>2200</v>
      </c>
      <c r="AM739" s="9">
        <v>2183.0588633781472</v>
      </c>
      <c r="AN739" s="9">
        <f t="shared" si="90"/>
        <v>16.94113662185282</v>
      </c>
      <c r="AO739" s="10">
        <f t="shared" si="91"/>
        <v>7.7005166462967367E-3</v>
      </c>
      <c r="AP739" s="16">
        <v>2200</v>
      </c>
      <c r="AQ739" s="16">
        <v>2024.0555798909011</v>
      </c>
      <c r="AR739" s="16">
        <f t="shared" si="92"/>
        <v>175.94442010909893</v>
      </c>
      <c r="AS739" s="17">
        <f t="shared" si="93"/>
        <v>7.9974736413226791E-2</v>
      </c>
      <c r="AT739" s="6">
        <v>2200</v>
      </c>
      <c r="AU739" s="6">
        <v>2188.03369140625</v>
      </c>
      <c r="AV739" s="6">
        <f t="shared" si="94"/>
        <v>11.96630859375</v>
      </c>
      <c r="AW739" s="7">
        <f t="shared" si="95"/>
        <v>5.4392311789772723E-3</v>
      </c>
    </row>
    <row r="740" spans="1:49" x14ac:dyDescent="0.25">
      <c r="A740" t="s">
        <v>38</v>
      </c>
      <c r="B740" t="s">
        <v>229</v>
      </c>
      <c r="C740">
        <v>112063</v>
      </c>
      <c r="D740">
        <v>2016</v>
      </c>
      <c r="E740" t="s">
        <v>58</v>
      </c>
      <c r="F740" t="s">
        <v>425</v>
      </c>
      <c r="H740" t="s">
        <v>268</v>
      </c>
      <c r="I740">
        <v>4</v>
      </c>
      <c r="J740" t="s">
        <v>127</v>
      </c>
      <c r="K740">
        <v>4</v>
      </c>
      <c r="L740" t="s">
        <v>44</v>
      </c>
      <c r="M740">
        <v>1.5</v>
      </c>
      <c r="N740" t="s">
        <v>45</v>
      </c>
      <c r="O740" t="s">
        <v>46</v>
      </c>
      <c r="Q740" t="s">
        <v>84</v>
      </c>
      <c r="R740" t="s">
        <v>85</v>
      </c>
      <c r="S740" t="s">
        <v>102</v>
      </c>
      <c r="U740" t="s">
        <v>50</v>
      </c>
      <c r="V740" t="s">
        <v>95</v>
      </c>
      <c r="X740" t="s">
        <v>87</v>
      </c>
      <c r="Y740" t="s">
        <v>106</v>
      </c>
      <c r="AA740">
        <v>0</v>
      </c>
      <c r="AB740" t="s">
        <v>54</v>
      </c>
      <c r="AC740" t="s">
        <v>89</v>
      </c>
      <c r="AD740">
        <v>34</v>
      </c>
      <c r="AE740">
        <v>8</v>
      </c>
      <c r="AF740">
        <v>3</v>
      </c>
      <c r="AG740">
        <v>2025</v>
      </c>
      <c r="AH740" s="13">
        <v>2600</v>
      </c>
      <c r="AI740" s="13">
        <v>4165.78857421875</v>
      </c>
      <c r="AJ740" s="13">
        <f t="shared" si="88"/>
        <v>1565.78857421875</v>
      </c>
      <c r="AK740" s="14">
        <f t="shared" si="89"/>
        <v>0.60222637469951923</v>
      </c>
      <c r="AL740" s="9">
        <v>2600</v>
      </c>
      <c r="AM740" s="9">
        <v>3979.021108512582</v>
      </c>
      <c r="AN740" s="9">
        <f t="shared" si="90"/>
        <v>1379.021108512582</v>
      </c>
      <c r="AO740" s="10">
        <f t="shared" si="91"/>
        <v>0.53039273404330078</v>
      </c>
      <c r="AP740" s="16">
        <v>2600</v>
      </c>
      <c r="AQ740" s="16">
        <v>3504.5017560404358</v>
      </c>
      <c r="AR740" s="16">
        <f t="shared" si="92"/>
        <v>904.50175604043579</v>
      </c>
      <c r="AS740" s="17">
        <f t="shared" si="93"/>
        <v>0.34788529078478297</v>
      </c>
      <c r="AT740" s="6">
        <v>2600</v>
      </c>
      <c r="AU740" s="6">
        <v>4046.732177734375</v>
      </c>
      <c r="AV740" s="6">
        <f t="shared" si="94"/>
        <v>1446.732177734375</v>
      </c>
      <c r="AW740" s="7">
        <f t="shared" si="95"/>
        <v>0.5564354529747596</v>
      </c>
    </row>
    <row r="741" spans="1:49" x14ac:dyDescent="0.25">
      <c r="A741" t="s">
        <v>107</v>
      </c>
      <c r="B741" t="s">
        <v>154</v>
      </c>
      <c r="C741">
        <v>103858</v>
      </c>
      <c r="D741">
        <v>2020</v>
      </c>
      <c r="E741" t="s">
        <v>91</v>
      </c>
      <c r="F741" t="s">
        <v>855</v>
      </c>
      <c r="G741" t="s">
        <v>1084</v>
      </c>
      <c r="H741" t="s">
        <v>1085</v>
      </c>
      <c r="I741">
        <v>6</v>
      </c>
      <c r="J741" t="s">
        <v>43</v>
      </c>
      <c r="K741">
        <v>4</v>
      </c>
      <c r="L741" t="s">
        <v>44</v>
      </c>
      <c r="M741">
        <v>3.5</v>
      </c>
      <c r="N741" t="s">
        <v>45</v>
      </c>
      <c r="O741" t="s">
        <v>46</v>
      </c>
      <c r="P741">
        <v>3</v>
      </c>
      <c r="Q741" t="s">
        <v>84</v>
      </c>
      <c r="R741" t="s">
        <v>85</v>
      </c>
      <c r="S741" t="s">
        <v>49</v>
      </c>
      <c r="T741">
        <v>301</v>
      </c>
      <c r="U741" t="s">
        <v>50</v>
      </c>
      <c r="V741" t="s">
        <v>64</v>
      </c>
      <c r="W741" t="s">
        <v>228</v>
      </c>
      <c r="X741" t="s">
        <v>87</v>
      </c>
      <c r="Y741" t="s">
        <v>67</v>
      </c>
      <c r="Z741">
        <v>35800</v>
      </c>
      <c r="AA741">
        <v>0</v>
      </c>
      <c r="AB741" t="s">
        <v>54</v>
      </c>
      <c r="AC741" t="s">
        <v>89</v>
      </c>
      <c r="AD741">
        <v>34</v>
      </c>
      <c r="AE741">
        <v>8</v>
      </c>
      <c r="AF741">
        <v>3</v>
      </c>
      <c r="AG741">
        <v>2025</v>
      </c>
      <c r="AH741" s="13">
        <v>16900</v>
      </c>
      <c r="AI741" s="13">
        <v>13590.0546875</v>
      </c>
      <c r="AJ741" s="13">
        <f t="shared" si="88"/>
        <v>3309.9453125</v>
      </c>
      <c r="AK741" s="14">
        <f t="shared" si="89"/>
        <v>0.19585475221893492</v>
      </c>
      <c r="AL741" s="9">
        <v>16900</v>
      </c>
      <c r="AM741" s="9">
        <v>14740.743192941851</v>
      </c>
      <c r="AN741" s="9">
        <f t="shared" si="90"/>
        <v>2159.2568070581492</v>
      </c>
      <c r="AO741" s="10">
        <f t="shared" si="91"/>
        <v>0.12776667497385499</v>
      </c>
      <c r="AP741" s="16">
        <v>16900</v>
      </c>
      <c r="AQ741" s="16">
        <v>17196.63058451295</v>
      </c>
      <c r="AR741" s="16">
        <f t="shared" si="92"/>
        <v>296.63058451295001</v>
      </c>
      <c r="AS741" s="17">
        <f t="shared" si="93"/>
        <v>1.7552105592482249E-2</v>
      </c>
      <c r="AT741" s="6">
        <v>16900</v>
      </c>
      <c r="AU741" s="6">
        <v>14486.6494140625</v>
      </c>
      <c r="AV741" s="6">
        <f t="shared" si="94"/>
        <v>2413.3505859375</v>
      </c>
      <c r="AW741" s="7">
        <f t="shared" si="95"/>
        <v>0.14280180981878698</v>
      </c>
    </row>
    <row r="742" spans="1:49" x14ac:dyDescent="0.25">
      <c r="A742" t="s">
        <v>69</v>
      </c>
      <c r="B742" t="s">
        <v>70</v>
      </c>
      <c r="C742">
        <v>85320</v>
      </c>
      <c r="D742">
        <v>2020</v>
      </c>
      <c r="E742" t="s">
        <v>173</v>
      </c>
      <c r="F742" t="s">
        <v>631</v>
      </c>
      <c r="G742" t="s">
        <v>171</v>
      </c>
      <c r="I742">
        <v>4</v>
      </c>
      <c r="J742" t="s">
        <v>74</v>
      </c>
      <c r="K742">
        <v>4</v>
      </c>
      <c r="L742" t="s">
        <v>44</v>
      </c>
      <c r="M742">
        <v>2.4</v>
      </c>
      <c r="N742" t="s">
        <v>62</v>
      </c>
      <c r="O742" t="s">
        <v>46</v>
      </c>
      <c r="P742">
        <v>2</v>
      </c>
      <c r="Q742" t="s">
        <v>47</v>
      </c>
      <c r="R742" t="s">
        <v>48</v>
      </c>
      <c r="S742" t="s">
        <v>63</v>
      </c>
      <c r="T742">
        <v>180</v>
      </c>
      <c r="U742" t="s">
        <v>50</v>
      </c>
      <c r="V742" t="s">
        <v>95</v>
      </c>
      <c r="X742" t="s">
        <v>52</v>
      </c>
      <c r="Y742" t="s">
        <v>106</v>
      </c>
      <c r="AA742">
        <v>0</v>
      </c>
      <c r="AB742" t="s">
        <v>54</v>
      </c>
      <c r="AC742" t="s">
        <v>55</v>
      </c>
      <c r="AD742">
        <v>34</v>
      </c>
      <c r="AE742">
        <v>8</v>
      </c>
      <c r="AF742">
        <v>3</v>
      </c>
      <c r="AG742">
        <v>2025</v>
      </c>
      <c r="AH742" s="13">
        <v>5400</v>
      </c>
      <c r="AI742" s="13">
        <v>9457.3984375</v>
      </c>
      <c r="AJ742" s="13">
        <f t="shared" si="88"/>
        <v>4057.3984375</v>
      </c>
      <c r="AK742" s="14">
        <f t="shared" si="89"/>
        <v>0.75137008101851854</v>
      </c>
      <c r="AL742" s="9">
        <v>5400</v>
      </c>
      <c r="AM742" s="9">
        <v>11568.50014874473</v>
      </c>
      <c r="AN742" s="9">
        <f t="shared" si="90"/>
        <v>6168.5001487447298</v>
      </c>
      <c r="AO742" s="10">
        <f t="shared" si="91"/>
        <v>1.1423148423601353</v>
      </c>
      <c r="AP742" s="16">
        <v>5400</v>
      </c>
      <c r="AQ742" s="16">
        <v>10933.3985981081</v>
      </c>
      <c r="AR742" s="16">
        <f t="shared" si="92"/>
        <v>5533.3985981081005</v>
      </c>
      <c r="AS742" s="17">
        <f t="shared" si="93"/>
        <v>1.0247034440940928</v>
      </c>
      <c r="AT742" s="6">
        <v>5400</v>
      </c>
      <c r="AU742" s="6">
        <v>9293.0947265625</v>
      </c>
      <c r="AV742" s="6">
        <f t="shared" si="94"/>
        <v>3893.0947265625</v>
      </c>
      <c r="AW742" s="7">
        <f t="shared" si="95"/>
        <v>0.72094346788194441</v>
      </c>
    </row>
    <row r="743" spans="1:49" x14ac:dyDescent="0.25">
      <c r="A743" t="s">
        <v>56</v>
      </c>
      <c r="B743" t="s">
        <v>144</v>
      </c>
      <c r="C743">
        <v>150180</v>
      </c>
      <c r="D743">
        <v>2017</v>
      </c>
      <c r="E743" t="s">
        <v>91</v>
      </c>
      <c r="F743" t="s">
        <v>553</v>
      </c>
      <c r="G743" t="s">
        <v>1086</v>
      </c>
      <c r="H743" t="s">
        <v>1087</v>
      </c>
      <c r="I743">
        <v>6</v>
      </c>
      <c r="J743" t="s">
        <v>101</v>
      </c>
      <c r="K743">
        <v>4</v>
      </c>
      <c r="L743" t="s">
        <v>44</v>
      </c>
      <c r="M743">
        <v>4</v>
      </c>
      <c r="N743" t="s">
        <v>62</v>
      </c>
      <c r="O743" t="s">
        <v>46</v>
      </c>
      <c r="Q743" t="s">
        <v>47</v>
      </c>
      <c r="R743" t="s">
        <v>48</v>
      </c>
      <c r="S743" t="s">
        <v>63</v>
      </c>
      <c r="T743">
        <v>270</v>
      </c>
      <c r="U743" t="s">
        <v>50</v>
      </c>
      <c r="V743" t="s">
        <v>64</v>
      </c>
      <c r="W743" t="s">
        <v>429</v>
      </c>
      <c r="X743" t="s">
        <v>66</v>
      </c>
      <c r="Y743" t="s">
        <v>97</v>
      </c>
      <c r="Z743">
        <v>37335</v>
      </c>
      <c r="AA743">
        <v>0</v>
      </c>
      <c r="AB743" t="s">
        <v>54</v>
      </c>
      <c r="AC743" t="s">
        <v>55</v>
      </c>
      <c r="AD743">
        <v>34</v>
      </c>
      <c r="AE743">
        <v>8</v>
      </c>
      <c r="AF743">
        <v>3</v>
      </c>
      <c r="AG743">
        <v>2025</v>
      </c>
      <c r="AH743" s="13">
        <v>19600</v>
      </c>
      <c r="AI743" s="13">
        <v>16155.0078125</v>
      </c>
      <c r="AJ743" s="13">
        <f t="shared" si="88"/>
        <v>3444.9921875</v>
      </c>
      <c r="AK743" s="14">
        <f t="shared" si="89"/>
        <v>0.17576490752551022</v>
      </c>
      <c r="AL743" s="9">
        <v>19600</v>
      </c>
      <c r="AM743" s="9">
        <v>14646.763096967899</v>
      </c>
      <c r="AN743" s="9">
        <f t="shared" si="90"/>
        <v>4953.2369030321006</v>
      </c>
      <c r="AO743" s="10">
        <f t="shared" si="91"/>
        <v>0.25271616852204593</v>
      </c>
      <c r="AP743" s="16">
        <v>19600</v>
      </c>
      <c r="AQ743" s="16">
        <v>11047.479841802349</v>
      </c>
      <c r="AR743" s="16">
        <f t="shared" si="92"/>
        <v>8552.5201581976507</v>
      </c>
      <c r="AS743" s="17">
        <f t="shared" si="93"/>
        <v>0.43635306929579853</v>
      </c>
      <c r="AT743" s="6">
        <v>19600</v>
      </c>
      <c r="AU743" s="6">
        <v>13726.244140625</v>
      </c>
      <c r="AV743" s="6">
        <f t="shared" si="94"/>
        <v>5873.755859375</v>
      </c>
      <c r="AW743" s="7">
        <f t="shared" si="95"/>
        <v>0.29968142139668369</v>
      </c>
    </row>
    <row r="744" spans="1:49" x14ac:dyDescent="0.25">
      <c r="A744" t="s">
        <v>38</v>
      </c>
      <c r="B744" t="s">
        <v>267</v>
      </c>
      <c r="C744">
        <v>134239</v>
      </c>
      <c r="D744">
        <v>2015</v>
      </c>
      <c r="E744" t="s">
        <v>169</v>
      </c>
      <c r="F744" t="s">
        <v>319</v>
      </c>
      <c r="G744" t="s">
        <v>1088</v>
      </c>
      <c r="I744">
        <v>4</v>
      </c>
      <c r="J744" t="s">
        <v>74</v>
      </c>
      <c r="K744">
        <v>4</v>
      </c>
      <c r="L744" t="s">
        <v>44</v>
      </c>
      <c r="M744">
        <v>2</v>
      </c>
      <c r="N744" t="s">
        <v>44</v>
      </c>
      <c r="O744" t="s">
        <v>46</v>
      </c>
      <c r="Q744" t="s">
        <v>47</v>
      </c>
      <c r="R744" t="s">
        <v>48</v>
      </c>
      <c r="S744" t="s">
        <v>139</v>
      </c>
      <c r="U744" t="s">
        <v>50</v>
      </c>
      <c r="W744" t="s">
        <v>1089</v>
      </c>
      <c r="X744" t="s">
        <v>52</v>
      </c>
      <c r="Y744" t="s">
        <v>97</v>
      </c>
      <c r="AA744">
        <v>0</v>
      </c>
      <c r="AB744" t="s">
        <v>54</v>
      </c>
      <c r="AC744" t="s">
        <v>55</v>
      </c>
      <c r="AD744">
        <v>34</v>
      </c>
      <c r="AE744">
        <v>8</v>
      </c>
      <c r="AF744">
        <v>3</v>
      </c>
      <c r="AG744">
        <v>2025</v>
      </c>
      <c r="AH744" s="13">
        <v>2800</v>
      </c>
      <c r="AI744" s="13">
        <v>3598.4853515625</v>
      </c>
      <c r="AJ744" s="13">
        <f t="shared" si="88"/>
        <v>798.4853515625</v>
      </c>
      <c r="AK744" s="14">
        <f t="shared" si="89"/>
        <v>0.28517333984374998</v>
      </c>
      <c r="AL744" s="9">
        <v>2800</v>
      </c>
      <c r="AM744" s="9">
        <v>3904.1128236862851</v>
      </c>
      <c r="AN744" s="9">
        <f t="shared" si="90"/>
        <v>1104.1128236862851</v>
      </c>
      <c r="AO744" s="10">
        <f t="shared" si="91"/>
        <v>0.39432600845938753</v>
      </c>
      <c r="AP744" s="16">
        <v>2800</v>
      </c>
      <c r="AQ744" s="16">
        <v>4084.071265284595</v>
      </c>
      <c r="AR744" s="16">
        <f t="shared" si="92"/>
        <v>1284.071265284595</v>
      </c>
      <c r="AS744" s="17">
        <f t="shared" si="93"/>
        <v>0.45859688045878394</v>
      </c>
      <c r="AT744" s="6">
        <v>2800</v>
      </c>
      <c r="AU744" s="6">
        <v>3436.58251953125</v>
      </c>
      <c r="AV744" s="6">
        <f t="shared" si="94"/>
        <v>636.58251953125</v>
      </c>
      <c r="AW744" s="7">
        <f t="shared" si="95"/>
        <v>0.2273508998325893</v>
      </c>
    </row>
    <row r="745" spans="1:49" x14ac:dyDescent="0.25">
      <c r="A745" t="s">
        <v>38</v>
      </c>
      <c r="B745" t="s">
        <v>410</v>
      </c>
      <c r="C745">
        <v>63013</v>
      </c>
      <c r="D745">
        <v>2002</v>
      </c>
      <c r="E745" t="s">
        <v>58</v>
      </c>
      <c r="F745" t="s">
        <v>1090</v>
      </c>
      <c r="H745" t="s">
        <v>120</v>
      </c>
      <c r="I745">
        <v>8</v>
      </c>
      <c r="J745" t="s">
        <v>61</v>
      </c>
      <c r="K745">
        <v>2</v>
      </c>
      <c r="L745" t="s">
        <v>44</v>
      </c>
      <c r="M745">
        <v>3.9</v>
      </c>
      <c r="N745" t="s">
        <v>116</v>
      </c>
      <c r="O745" t="s">
        <v>46</v>
      </c>
      <c r="Q745" t="s">
        <v>84</v>
      </c>
      <c r="R745" t="s">
        <v>683</v>
      </c>
      <c r="T745">
        <v>252</v>
      </c>
      <c r="U745" t="s">
        <v>50</v>
      </c>
      <c r="V745" t="s">
        <v>64</v>
      </c>
      <c r="X745" t="s">
        <v>87</v>
      </c>
      <c r="Y745" t="s">
        <v>67</v>
      </c>
      <c r="AA745">
        <v>0</v>
      </c>
      <c r="AB745" t="s">
        <v>54</v>
      </c>
      <c r="AC745" t="s">
        <v>684</v>
      </c>
      <c r="AD745">
        <v>34</v>
      </c>
      <c r="AE745">
        <v>8</v>
      </c>
      <c r="AF745">
        <v>3</v>
      </c>
      <c r="AG745">
        <v>2025</v>
      </c>
      <c r="AH745" s="13">
        <v>7500</v>
      </c>
      <c r="AI745" s="13">
        <v>6196.59375</v>
      </c>
      <c r="AJ745" s="13">
        <f t="shared" si="88"/>
        <v>1303.40625</v>
      </c>
      <c r="AK745" s="14">
        <f t="shared" si="89"/>
        <v>0.17378750000000001</v>
      </c>
      <c r="AL745" s="9">
        <v>7500</v>
      </c>
      <c r="AM745" s="9">
        <v>4808.8738491818322</v>
      </c>
      <c r="AN745" s="9">
        <f t="shared" si="90"/>
        <v>2691.1261508181678</v>
      </c>
      <c r="AO745" s="10">
        <f t="shared" si="91"/>
        <v>0.35881682010908905</v>
      </c>
      <c r="AP745" s="16">
        <v>7500</v>
      </c>
      <c r="AQ745" s="16">
        <v>5313.132280175997</v>
      </c>
      <c r="AR745" s="16">
        <f t="shared" si="92"/>
        <v>2186.867719824003</v>
      </c>
      <c r="AS745" s="17">
        <f t="shared" si="93"/>
        <v>0.29158236264320042</v>
      </c>
      <c r="AT745" s="6">
        <v>7500</v>
      </c>
      <c r="AU745" s="6">
        <v>5548.736328125</v>
      </c>
      <c r="AV745" s="6">
        <f t="shared" si="94"/>
        <v>1951.263671875</v>
      </c>
      <c r="AW745" s="7">
        <f t="shared" si="95"/>
        <v>0.26016848958333333</v>
      </c>
    </row>
    <row r="746" spans="1:49" x14ac:dyDescent="0.25">
      <c r="A746" t="s">
        <v>38</v>
      </c>
      <c r="B746" t="s">
        <v>167</v>
      </c>
      <c r="C746">
        <v>109528</v>
      </c>
      <c r="D746">
        <v>2013</v>
      </c>
      <c r="E746" t="s">
        <v>58</v>
      </c>
      <c r="F746" t="s">
        <v>182</v>
      </c>
      <c r="G746" t="s">
        <v>268</v>
      </c>
      <c r="I746">
        <v>4</v>
      </c>
      <c r="J746" t="s">
        <v>43</v>
      </c>
      <c r="K746">
        <v>4</v>
      </c>
      <c r="L746" t="s">
        <v>44</v>
      </c>
      <c r="M746">
        <v>2</v>
      </c>
      <c r="N746" t="s">
        <v>45</v>
      </c>
      <c r="O746" t="s">
        <v>46</v>
      </c>
      <c r="Q746" t="s">
        <v>84</v>
      </c>
      <c r="R746" t="s">
        <v>85</v>
      </c>
      <c r="T746">
        <v>160</v>
      </c>
      <c r="U746" t="s">
        <v>50</v>
      </c>
      <c r="V746" t="s">
        <v>95</v>
      </c>
      <c r="X746" t="s">
        <v>87</v>
      </c>
      <c r="Y746" t="s">
        <v>67</v>
      </c>
      <c r="AA746">
        <v>0</v>
      </c>
      <c r="AB746" t="s">
        <v>54</v>
      </c>
      <c r="AC746" t="s">
        <v>89</v>
      </c>
      <c r="AD746">
        <v>34</v>
      </c>
      <c r="AE746">
        <v>8</v>
      </c>
      <c r="AF746">
        <v>3</v>
      </c>
      <c r="AG746">
        <v>2025</v>
      </c>
      <c r="AH746" s="13">
        <v>1500</v>
      </c>
      <c r="AI746" s="13">
        <v>2051.398193359375</v>
      </c>
      <c r="AJ746" s="13">
        <f t="shared" si="88"/>
        <v>551.398193359375</v>
      </c>
      <c r="AK746" s="14">
        <f t="shared" si="89"/>
        <v>0.36759879557291669</v>
      </c>
      <c r="AL746" s="9">
        <v>1500</v>
      </c>
      <c r="AM746" s="9">
        <v>2641.202332183896</v>
      </c>
      <c r="AN746" s="9">
        <f t="shared" si="90"/>
        <v>1141.202332183896</v>
      </c>
      <c r="AO746" s="10">
        <f t="shared" si="91"/>
        <v>0.76080155478926403</v>
      </c>
      <c r="AP746" s="16">
        <v>1500</v>
      </c>
      <c r="AQ746" s="16">
        <v>1987.4835248704919</v>
      </c>
      <c r="AR746" s="16">
        <f t="shared" si="92"/>
        <v>487.48352487049192</v>
      </c>
      <c r="AS746" s="17">
        <f t="shared" si="93"/>
        <v>0.32498901658032797</v>
      </c>
      <c r="AT746" s="6">
        <v>1500</v>
      </c>
      <c r="AU746" s="6">
        <v>1968.159301757812</v>
      </c>
      <c r="AV746" s="6">
        <f t="shared" si="94"/>
        <v>468.15930175781205</v>
      </c>
      <c r="AW746" s="7">
        <f t="shared" si="95"/>
        <v>0.31210620117187471</v>
      </c>
    </row>
    <row r="747" spans="1:49" x14ac:dyDescent="0.25">
      <c r="A747" t="s">
        <v>56</v>
      </c>
      <c r="B747" t="s">
        <v>57</v>
      </c>
      <c r="C747">
        <v>161732</v>
      </c>
      <c r="D747">
        <v>2013</v>
      </c>
      <c r="E747" t="s">
        <v>79</v>
      </c>
      <c r="F747" t="s">
        <v>272</v>
      </c>
      <c r="G747" t="s">
        <v>698</v>
      </c>
      <c r="H747" t="s">
        <v>162</v>
      </c>
      <c r="I747">
        <v>8</v>
      </c>
      <c r="J747" t="s">
        <v>43</v>
      </c>
      <c r="K747">
        <v>2</v>
      </c>
      <c r="L747" t="s">
        <v>44</v>
      </c>
      <c r="M747">
        <v>5.3</v>
      </c>
      <c r="N747" t="s">
        <v>62</v>
      </c>
      <c r="O747" t="s">
        <v>46</v>
      </c>
      <c r="P747">
        <v>2</v>
      </c>
      <c r="Q747" t="s">
        <v>75</v>
      </c>
      <c r="R747" t="s">
        <v>76</v>
      </c>
      <c r="S747" t="s">
        <v>63</v>
      </c>
      <c r="U747" t="s">
        <v>134</v>
      </c>
      <c r="V747" t="s">
        <v>64</v>
      </c>
      <c r="W747" t="s">
        <v>1091</v>
      </c>
      <c r="X747" t="s">
        <v>66</v>
      </c>
      <c r="Y747" t="s">
        <v>67</v>
      </c>
      <c r="AA747">
        <v>0</v>
      </c>
      <c r="AB747" t="s">
        <v>54</v>
      </c>
      <c r="AC747" t="s">
        <v>78</v>
      </c>
      <c r="AD747">
        <v>34</v>
      </c>
      <c r="AE747">
        <v>8</v>
      </c>
      <c r="AF747">
        <v>3</v>
      </c>
      <c r="AG747">
        <v>2025</v>
      </c>
      <c r="AH747" s="13">
        <v>3300</v>
      </c>
      <c r="AI747" s="13">
        <v>4289.92578125</v>
      </c>
      <c r="AJ747" s="13">
        <f t="shared" si="88"/>
        <v>989.92578125</v>
      </c>
      <c r="AK747" s="14">
        <f t="shared" si="89"/>
        <v>0.29997750946969698</v>
      </c>
      <c r="AL747" s="9">
        <v>3300</v>
      </c>
      <c r="AM747" s="9">
        <v>4667.9071366220351</v>
      </c>
      <c r="AN747" s="9">
        <f t="shared" si="90"/>
        <v>1367.9071366220351</v>
      </c>
      <c r="AO747" s="10">
        <f t="shared" si="91"/>
        <v>0.41451731412788939</v>
      </c>
      <c r="AP747" s="16">
        <v>3300</v>
      </c>
      <c r="AQ747" s="16">
        <v>3813.348774770152</v>
      </c>
      <c r="AR747" s="16">
        <f t="shared" si="92"/>
        <v>513.34877477015198</v>
      </c>
      <c r="AS747" s="17">
        <f t="shared" si="93"/>
        <v>0.15556023477883393</v>
      </c>
      <c r="AT747" s="6">
        <v>3300</v>
      </c>
      <c r="AU747" s="6">
        <v>4417.6181640625</v>
      </c>
      <c r="AV747" s="6">
        <f t="shared" si="94"/>
        <v>1117.6181640625</v>
      </c>
      <c r="AW747" s="7">
        <f t="shared" si="95"/>
        <v>0.33867217092803031</v>
      </c>
    </row>
    <row r="748" spans="1:49" x14ac:dyDescent="0.25">
      <c r="A748" t="s">
        <v>69</v>
      </c>
      <c r="B748" t="s">
        <v>70</v>
      </c>
      <c r="C748">
        <v>62139</v>
      </c>
      <c r="D748">
        <v>2019</v>
      </c>
      <c r="E748" t="s">
        <v>173</v>
      </c>
      <c r="F748" t="s">
        <v>631</v>
      </c>
      <c r="G748" t="s">
        <v>171</v>
      </c>
      <c r="I748">
        <v>4</v>
      </c>
      <c r="J748" t="s">
        <v>43</v>
      </c>
      <c r="K748">
        <v>4</v>
      </c>
      <c r="L748" t="s">
        <v>44</v>
      </c>
      <c r="M748">
        <v>2.4</v>
      </c>
      <c r="N748" t="s">
        <v>45</v>
      </c>
      <c r="O748" t="s">
        <v>46</v>
      </c>
      <c r="P748">
        <v>4</v>
      </c>
      <c r="Q748" t="s">
        <v>47</v>
      </c>
      <c r="R748" t="s">
        <v>48</v>
      </c>
      <c r="S748" t="s">
        <v>102</v>
      </c>
      <c r="T748">
        <v>180</v>
      </c>
      <c r="U748" t="s">
        <v>50</v>
      </c>
      <c r="V748" t="s">
        <v>95</v>
      </c>
      <c r="X748" t="s">
        <v>52</v>
      </c>
      <c r="Y748" t="s">
        <v>106</v>
      </c>
      <c r="AA748">
        <v>0</v>
      </c>
      <c r="AB748" t="s">
        <v>54</v>
      </c>
      <c r="AC748" t="s">
        <v>55</v>
      </c>
      <c r="AD748">
        <v>34</v>
      </c>
      <c r="AE748">
        <v>8</v>
      </c>
      <c r="AF748">
        <v>3</v>
      </c>
      <c r="AG748">
        <v>2025</v>
      </c>
      <c r="AH748" s="13">
        <v>15400</v>
      </c>
      <c r="AI748" s="13">
        <v>14646.0927734375</v>
      </c>
      <c r="AJ748" s="13">
        <f t="shared" si="88"/>
        <v>753.9072265625</v>
      </c>
      <c r="AK748" s="14">
        <f t="shared" si="89"/>
        <v>4.8955014711850646E-2</v>
      </c>
      <c r="AL748" s="9">
        <v>15400</v>
      </c>
      <c r="AM748" s="9">
        <v>16459.258276458761</v>
      </c>
      <c r="AN748" s="9">
        <f t="shared" si="90"/>
        <v>1059.2582764587605</v>
      </c>
      <c r="AO748" s="10">
        <f t="shared" si="91"/>
        <v>6.878300496485458E-2</v>
      </c>
      <c r="AP748" s="16">
        <v>15400</v>
      </c>
      <c r="AQ748" s="16">
        <v>14855.340867061041</v>
      </c>
      <c r="AR748" s="16">
        <f t="shared" si="92"/>
        <v>544.65913293895937</v>
      </c>
      <c r="AS748" s="17">
        <f t="shared" si="93"/>
        <v>3.536747616486749E-2</v>
      </c>
      <c r="AT748" s="6">
        <v>15400</v>
      </c>
      <c r="AU748" s="6">
        <v>13711.1845703125</v>
      </c>
      <c r="AV748" s="6">
        <f t="shared" si="94"/>
        <v>1688.8154296875</v>
      </c>
      <c r="AW748" s="7">
        <f t="shared" si="95"/>
        <v>0.1096633395900974</v>
      </c>
    </row>
    <row r="749" spans="1:49" x14ac:dyDescent="0.25">
      <c r="A749" t="s">
        <v>69</v>
      </c>
      <c r="B749" t="s">
        <v>707</v>
      </c>
      <c r="C749">
        <v>88929</v>
      </c>
      <c r="D749">
        <v>2015</v>
      </c>
      <c r="E749" t="s">
        <v>91</v>
      </c>
      <c r="F749" t="s">
        <v>341</v>
      </c>
      <c r="G749" t="s">
        <v>1092</v>
      </c>
      <c r="H749" t="s">
        <v>1093</v>
      </c>
      <c r="I749">
        <v>4</v>
      </c>
      <c r="J749" t="s">
        <v>94</v>
      </c>
      <c r="K749">
        <v>4</v>
      </c>
      <c r="L749" t="s">
        <v>44</v>
      </c>
      <c r="M749">
        <v>1.8</v>
      </c>
      <c r="N749" t="s">
        <v>45</v>
      </c>
      <c r="O749" t="s">
        <v>46</v>
      </c>
      <c r="P749">
        <v>4</v>
      </c>
      <c r="Q749" t="s">
        <v>84</v>
      </c>
      <c r="R749" t="s">
        <v>85</v>
      </c>
      <c r="S749" t="s">
        <v>49</v>
      </c>
      <c r="T749">
        <v>132</v>
      </c>
      <c r="U749" t="s">
        <v>50</v>
      </c>
      <c r="V749" t="s">
        <v>95</v>
      </c>
      <c r="W749" t="s">
        <v>343</v>
      </c>
      <c r="X749" t="s">
        <v>87</v>
      </c>
      <c r="Y749" t="s">
        <v>88</v>
      </c>
      <c r="AA749">
        <v>0</v>
      </c>
      <c r="AB749" t="s">
        <v>54</v>
      </c>
      <c r="AC749" t="s">
        <v>89</v>
      </c>
      <c r="AD749">
        <v>34</v>
      </c>
      <c r="AE749">
        <v>8</v>
      </c>
      <c r="AF749">
        <v>3</v>
      </c>
      <c r="AG749">
        <v>2025</v>
      </c>
      <c r="AH749" s="13">
        <v>8000</v>
      </c>
      <c r="AI749" s="13">
        <v>6038.6044921875</v>
      </c>
      <c r="AJ749" s="13">
        <f t="shared" si="88"/>
        <v>1961.3955078125</v>
      </c>
      <c r="AK749" s="14">
        <f t="shared" si="89"/>
        <v>0.24517443847656251</v>
      </c>
      <c r="AL749" s="9">
        <v>8000</v>
      </c>
      <c r="AM749" s="9">
        <v>7095.0549629018433</v>
      </c>
      <c r="AN749" s="9">
        <f t="shared" si="90"/>
        <v>904.94503709815672</v>
      </c>
      <c r="AO749" s="10">
        <f t="shared" si="91"/>
        <v>0.1131181296372696</v>
      </c>
      <c r="AP749" s="16">
        <v>8000</v>
      </c>
      <c r="AQ749" s="16">
        <v>7900.5933895516227</v>
      </c>
      <c r="AR749" s="16">
        <f t="shared" si="92"/>
        <v>99.406610448377251</v>
      </c>
      <c r="AS749" s="17">
        <f t="shared" si="93"/>
        <v>1.2425826306047156E-2</v>
      </c>
      <c r="AT749" s="6">
        <v>8000</v>
      </c>
      <c r="AU749" s="6">
        <v>7202.2529296875</v>
      </c>
      <c r="AV749" s="6">
        <f t="shared" si="94"/>
        <v>797.7470703125</v>
      </c>
      <c r="AW749" s="7">
        <f t="shared" si="95"/>
        <v>9.9718383789062504E-2</v>
      </c>
    </row>
    <row r="750" spans="1:49" x14ac:dyDescent="0.25">
      <c r="A750" t="s">
        <v>38</v>
      </c>
      <c r="B750" t="s">
        <v>167</v>
      </c>
      <c r="C750">
        <v>115378</v>
      </c>
      <c r="D750">
        <v>2018</v>
      </c>
      <c r="E750" t="s">
        <v>269</v>
      </c>
      <c r="F750" t="s">
        <v>1094</v>
      </c>
      <c r="G750" t="s">
        <v>1095</v>
      </c>
      <c r="H750" t="s">
        <v>783</v>
      </c>
      <c r="I750">
        <v>4</v>
      </c>
      <c r="J750" t="s">
        <v>82</v>
      </c>
      <c r="K750">
        <v>4</v>
      </c>
      <c r="L750" t="s">
        <v>44</v>
      </c>
      <c r="M750">
        <v>2</v>
      </c>
      <c r="N750" t="s">
        <v>44</v>
      </c>
      <c r="O750" t="s">
        <v>46</v>
      </c>
      <c r="P750">
        <v>1</v>
      </c>
      <c r="Q750" t="s">
        <v>84</v>
      </c>
      <c r="R750" t="s">
        <v>85</v>
      </c>
      <c r="S750" t="s">
        <v>139</v>
      </c>
      <c r="T750">
        <v>180</v>
      </c>
      <c r="U750" t="s">
        <v>50</v>
      </c>
      <c r="X750" t="s">
        <v>87</v>
      </c>
      <c r="Y750" t="s">
        <v>1096</v>
      </c>
      <c r="Z750">
        <v>36900</v>
      </c>
      <c r="AA750">
        <v>0</v>
      </c>
      <c r="AB750" t="s">
        <v>54</v>
      </c>
      <c r="AC750" t="s">
        <v>89</v>
      </c>
      <c r="AD750">
        <v>34</v>
      </c>
      <c r="AE750">
        <v>8</v>
      </c>
      <c r="AF750">
        <v>3</v>
      </c>
      <c r="AG750">
        <v>2025</v>
      </c>
      <c r="AH750" s="13">
        <v>3500</v>
      </c>
      <c r="AI750" s="13">
        <v>5092.00146484375</v>
      </c>
      <c r="AJ750" s="13">
        <f t="shared" si="88"/>
        <v>1592.00146484375</v>
      </c>
      <c r="AK750" s="14">
        <f t="shared" si="89"/>
        <v>0.45485756138392858</v>
      </c>
      <c r="AL750" s="9">
        <v>3500</v>
      </c>
      <c r="AM750" s="9">
        <v>4549.1367929485295</v>
      </c>
      <c r="AN750" s="9">
        <f t="shared" si="90"/>
        <v>1049.1367929485295</v>
      </c>
      <c r="AO750" s="10">
        <f t="shared" si="91"/>
        <v>0.2997533694138656</v>
      </c>
      <c r="AP750" s="16">
        <v>3500</v>
      </c>
      <c r="AQ750" s="16">
        <v>4098.0712246988496</v>
      </c>
      <c r="AR750" s="16">
        <f t="shared" si="92"/>
        <v>598.07122469884962</v>
      </c>
      <c r="AS750" s="17">
        <f t="shared" si="93"/>
        <v>0.1708774927710999</v>
      </c>
      <c r="AT750" s="6">
        <v>3500</v>
      </c>
      <c r="AU750" s="6">
        <v>4459.91650390625</v>
      </c>
      <c r="AV750" s="6">
        <f t="shared" si="94"/>
        <v>959.91650390625</v>
      </c>
      <c r="AW750" s="7">
        <f t="shared" si="95"/>
        <v>0.27426185825892857</v>
      </c>
    </row>
    <row r="751" spans="1:49" x14ac:dyDescent="0.25">
      <c r="A751" t="s">
        <v>107</v>
      </c>
      <c r="B751" t="s">
        <v>256</v>
      </c>
      <c r="C751">
        <v>128835</v>
      </c>
      <c r="D751">
        <v>2018</v>
      </c>
      <c r="E751" t="s">
        <v>113</v>
      </c>
      <c r="F751" t="s">
        <v>859</v>
      </c>
      <c r="G751" t="s">
        <v>1097</v>
      </c>
      <c r="H751" t="s">
        <v>268</v>
      </c>
      <c r="I751">
        <v>6</v>
      </c>
      <c r="J751" t="s">
        <v>61</v>
      </c>
      <c r="K751">
        <v>4</v>
      </c>
      <c r="L751" t="s">
        <v>44</v>
      </c>
      <c r="M751">
        <v>3.6</v>
      </c>
      <c r="N751" t="s">
        <v>45</v>
      </c>
      <c r="O751" t="s">
        <v>46</v>
      </c>
      <c r="P751">
        <v>2</v>
      </c>
      <c r="Q751" t="s">
        <v>47</v>
      </c>
      <c r="R751" t="s">
        <v>365</v>
      </c>
      <c r="S751" t="s">
        <v>102</v>
      </c>
      <c r="T751">
        <v>283</v>
      </c>
      <c r="U751" t="s">
        <v>50</v>
      </c>
      <c r="V751" t="s">
        <v>64</v>
      </c>
      <c r="X751" t="s">
        <v>66</v>
      </c>
      <c r="Y751" t="s">
        <v>88</v>
      </c>
      <c r="AA751">
        <v>0</v>
      </c>
      <c r="AB751" t="s">
        <v>54</v>
      </c>
      <c r="AC751" t="s">
        <v>365</v>
      </c>
      <c r="AD751">
        <v>34</v>
      </c>
      <c r="AE751">
        <v>8</v>
      </c>
      <c r="AF751">
        <v>3</v>
      </c>
      <c r="AG751">
        <v>2025</v>
      </c>
      <c r="AH751" s="13">
        <v>2700</v>
      </c>
      <c r="AI751" s="13">
        <v>3851.102294921875</v>
      </c>
      <c r="AJ751" s="13">
        <f t="shared" si="88"/>
        <v>1151.102294921875</v>
      </c>
      <c r="AK751" s="14">
        <f t="shared" si="89"/>
        <v>0.42633418330439815</v>
      </c>
      <c r="AL751" s="9">
        <v>2700</v>
      </c>
      <c r="AM751" s="9">
        <v>4413.8835040587091</v>
      </c>
      <c r="AN751" s="9">
        <f t="shared" si="90"/>
        <v>1713.8835040587091</v>
      </c>
      <c r="AO751" s="10">
        <f t="shared" si="91"/>
        <v>0.63477166816989228</v>
      </c>
      <c r="AP751" s="16">
        <v>2700</v>
      </c>
      <c r="AQ751" s="16">
        <v>3244.8309643909938</v>
      </c>
      <c r="AR751" s="16">
        <f t="shared" si="92"/>
        <v>544.83096439099381</v>
      </c>
      <c r="AS751" s="17">
        <f t="shared" si="93"/>
        <v>0.20178924607073845</v>
      </c>
      <c r="AT751" s="6">
        <v>2700</v>
      </c>
      <c r="AU751" s="6">
        <v>3939.467529296875</v>
      </c>
      <c r="AV751" s="6">
        <f t="shared" si="94"/>
        <v>1239.467529296875</v>
      </c>
      <c r="AW751" s="7">
        <f t="shared" si="95"/>
        <v>0.45906204788773147</v>
      </c>
    </row>
    <row r="752" spans="1:49" x14ac:dyDescent="0.25">
      <c r="A752" t="s">
        <v>107</v>
      </c>
      <c r="B752" t="s">
        <v>108</v>
      </c>
      <c r="C752">
        <v>18454</v>
      </c>
      <c r="D752">
        <v>2022</v>
      </c>
      <c r="E752" t="s">
        <v>136</v>
      </c>
      <c r="F752" t="s">
        <v>657</v>
      </c>
      <c r="G752" t="s">
        <v>1098</v>
      </c>
      <c r="I752">
        <v>4</v>
      </c>
      <c r="J752" t="s">
        <v>94</v>
      </c>
      <c r="K752">
        <v>4</v>
      </c>
      <c r="L752" t="s">
        <v>44</v>
      </c>
      <c r="M752">
        <v>2</v>
      </c>
      <c r="N752" t="s">
        <v>44</v>
      </c>
      <c r="O752" t="s">
        <v>46</v>
      </c>
      <c r="P752">
        <v>2</v>
      </c>
      <c r="Q752" t="s">
        <v>47</v>
      </c>
      <c r="R752" t="s">
        <v>48</v>
      </c>
      <c r="S752" t="s">
        <v>139</v>
      </c>
      <c r="T752">
        <v>184</v>
      </c>
      <c r="U752" t="s">
        <v>50</v>
      </c>
      <c r="X752" t="s">
        <v>141</v>
      </c>
      <c r="Y752" t="s">
        <v>106</v>
      </c>
      <c r="AA752">
        <v>0</v>
      </c>
      <c r="AB752" t="s">
        <v>54</v>
      </c>
      <c r="AC752" t="s">
        <v>55</v>
      </c>
      <c r="AD752">
        <v>34</v>
      </c>
      <c r="AE752">
        <v>8</v>
      </c>
      <c r="AF752">
        <v>3</v>
      </c>
      <c r="AG752">
        <v>2025</v>
      </c>
      <c r="AH752" s="13">
        <v>17000</v>
      </c>
      <c r="AI752" s="13">
        <v>17709.564453125</v>
      </c>
      <c r="AJ752" s="13">
        <f t="shared" si="88"/>
        <v>709.564453125</v>
      </c>
      <c r="AK752" s="14">
        <f t="shared" si="89"/>
        <v>4.1739085477941175E-2</v>
      </c>
      <c r="AL752" s="9">
        <v>17000</v>
      </c>
      <c r="AM752" s="9">
        <v>13705.618872012719</v>
      </c>
      <c r="AN752" s="9">
        <f t="shared" si="90"/>
        <v>3294.3811279872807</v>
      </c>
      <c r="AO752" s="10">
        <f t="shared" si="91"/>
        <v>0.19378712517572239</v>
      </c>
      <c r="AP752" s="16">
        <v>17000</v>
      </c>
      <c r="AQ752" s="16">
        <v>15300.48245887992</v>
      </c>
      <c r="AR752" s="16">
        <f t="shared" si="92"/>
        <v>1699.5175411200798</v>
      </c>
      <c r="AS752" s="17">
        <f t="shared" si="93"/>
        <v>9.9971620065887043E-2</v>
      </c>
      <c r="AT752" s="6">
        <v>17000</v>
      </c>
      <c r="AU752" s="6">
        <v>15497.6328125</v>
      </c>
      <c r="AV752" s="6">
        <f t="shared" si="94"/>
        <v>1502.3671875</v>
      </c>
      <c r="AW752" s="7">
        <f t="shared" si="95"/>
        <v>8.8374540441176472E-2</v>
      </c>
    </row>
    <row r="753" spans="1:49" x14ac:dyDescent="0.25">
      <c r="A753" t="s">
        <v>69</v>
      </c>
      <c r="B753" t="s">
        <v>160</v>
      </c>
      <c r="C753">
        <v>198983</v>
      </c>
      <c r="D753">
        <v>2016</v>
      </c>
      <c r="E753" t="s">
        <v>79</v>
      </c>
      <c r="F753" t="s">
        <v>272</v>
      </c>
      <c r="G753" t="s">
        <v>527</v>
      </c>
      <c r="H753" t="s">
        <v>162</v>
      </c>
      <c r="I753">
        <v>8</v>
      </c>
      <c r="J753" t="s">
        <v>43</v>
      </c>
      <c r="K753">
        <v>4</v>
      </c>
      <c r="L753" t="s">
        <v>44</v>
      </c>
      <c r="M753">
        <v>5.3</v>
      </c>
      <c r="N753" t="s">
        <v>116</v>
      </c>
      <c r="O753" t="s">
        <v>46</v>
      </c>
      <c r="P753">
        <v>3</v>
      </c>
      <c r="Q753" t="s">
        <v>75</v>
      </c>
      <c r="R753" t="s">
        <v>76</v>
      </c>
      <c r="S753" t="s">
        <v>49</v>
      </c>
      <c r="U753" t="s">
        <v>50</v>
      </c>
      <c r="W753" t="s">
        <v>480</v>
      </c>
      <c r="X753" t="s">
        <v>66</v>
      </c>
      <c r="Y753" t="s">
        <v>67</v>
      </c>
      <c r="AA753">
        <v>0</v>
      </c>
      <c r="AB753" t="s">
        <v>54</v>
      </c>
      <c r="AC753" t="s">
        <v>78</v>
      </c>
      <c r="AD753">
        <v>34</v>
      </c>
      <c r="AE753">
        <v>8</v>
      </c>
      <c r="AF753">
        <v>3</v>
      </c>
      <c r="AG753">
        <v>2025</v>
      </c>
      <c r="AH753" s="13">
        <v>5500</v>
      </c>
      <c r="AI753" s="13">
        <v>6601.19482421875</v>
      </c>
      <c r="AJ753" s="13">
        <f t="shared" si="88"/>
        <v>1101.19482421875</v>
      </c>
      <c r="AK753" s="14">
        <f t="shared" si="89"/>
        <v>0.20021724076704545</v>
      </c>
      <c r="AL753" s="9">
        <v>5500</v>
      </c>
      <c r="AM753" s="9">
        <v>5407.5820893803993</v>
      </c>
      <c r="AN753" s="9">
        <f t="shared" si="90"/>
        <v>92.417910619600661</v>
      </c>
      <c r="AO753" s="10">
        <f t="shared" si="91"/>
        <v>1.680325647629103E-2</v>
      </c>
      <c r="AP753" s="16">
        <v>5500</v>
      </c>
      <c r="AQ753" s="16">
        <v>4699.1049983556568</v>
      </c>
      <c r="AR753" s="16">
        <f t="shared" si="92"/>
        <v>800.89500164434321</v>
      </c>
      <c r="AS753" s="17">
        <f t="shared" si="93"/>
        <v>0.14561727302624422</v>
      </c>
      <c r="AT753" s="6">
        <v>5500</v>
      </c>
      <c r="AU753" s="6">
        <v>5768.95458984375</v>
      </c>
      <c r="AV753" s="6">
        <f t="shared" si="94"/>
        <v>268.95458984375</v>
      </c>
      <c r="AW753" s="7">
        <f t="shared" si="95"/>
        <v>4.8900834517045452E-2</v>
      </c>
    </row>
    <row r="754" spans="1:49" x14ac:dyDescent="0.25">
      <c r="A754" t="s">
        <v>38</v>
      </c>
      <c r="B754" t="s">
        <v>132</v>
      </c>
      <c r="C754">
        <v>55146</v>
      </c>
      <c r="D754">
        <v>2023</v>
      </c>
      <c r="E754" t="s">
        <v>71</v>
      </c>
      <c r="F754" t="s">
        <v>199</v>
      </c>
      <c r="G754" t="s">
        <v>779</v>
      </c>
      <c r="I754">
        <v>3</v>
      </c>
      <c r="J754" t="s">
        <v>82</v>
      </c>
      <c r="K754">
        <v>4</v>
      </c>
      <c r="L754" t="s">
        <v>44</v>
      </c>
      <c r="M754">
        <v>1.5</v>
      </c>
      <c r="N754" t="s">
        <v>44</v>
      </c>
      <c r="O754" t="s">
        <v>46</v>
      </c>
      <c r="P754">
        <v>4</v>
      </c>
      <c r="Q754" t="s">
        <v>47</v>
      </c>
      <c r="R754" t="s">
        <v>48</v>
      </c>
      <c r="S754" t="s">
        <v>63</v>
      </c>
      <c r="U754" t="s">
        <v>50</v>
      </c>
      <c r="V754" t="s">
        <v>95</v>
      </c>
      <c r="X754" t="s">
        <v>52</v>
      </c>
      <c r="Y754" t="s">
        <v>67</v>
      </c>
      <c r="AA754">
        <v>0</v>
      </c>
      <c r="AB754" t="s">
        <v>54</v>
      </c>
      <c r="AC754" t="s">
        <v>55</v>
      </c>
      <c r="AD754">
        <v>34</v>
      </c>
      <c r="AE754">
        <v>8</v>
      </c>
      <c r="AF754">
        <v>3</v>
      </c>
      <c r="AG754">
        <v>2025</v>
      </c>
      <c r="AH754" s="13">
        <v>18100</v>
      </c>
      <c r="AI754" s="13">
        <v>17660.1796875</v>
      </c>
      <c r="AJ754" s="13">
        <f t="shared" si="88"/>
        <v>439.8203125</v>
      </c>
      <c r="AK754" s="14">
        <f t="shared" si="89"/>
        <v>2.4299464779005527E-2</v>
      </c>
      <c r="AL754" s="9">
        <v>18100</v>
      </c>
      <c r="AM754" s="9">
        <v>16981.668856285229</v>
      </c>
      <c r="AN754" s="9">
        <f t="shared" si="90"/>
        <v>1118.3311437147713</v>
      </c>
      <c r="AO754" s="10">
        <f t="shared" si="91"/>
        <v>6.1786251033965268E-2</v>
      </c>
      <c r="AP754" s="16">
        <v>18100</v>
      </c>
      <c r="AQ754" s="16">
        <v>17550.991151533181</v>
      </c>
      <c r="AR754" s="16">
        <f t="shared" si="92"/>
        <v>549.00884846681947</v>
      </c>
      <c r="AS754" s="17">
        <f t="shared" si="93"/>
        <v>3.033198057827732E-2</v>
      </c>
      <c r="AT754" s="6">
        <v>18100</v>
      </c>
      <c r="AU754" s="6">
        <v>17422.654296875</v>
      </c>
      <c r="AV754" s="6">
        <f t="shared" si="94"/>
        <v>677.345703125</v>
      </c>
      <c r="AW754" s="7">
        <f t="shared" si="95"/>
        <v>3.7422414537292815E-2</v>
      </c>
    </row>
    <row r="755" spans="1:49" x14ac:dyDescent="0.25">
      <c r="A755" t="s">
        <v>107</v>
      </c>
      <c r="B755" t="s">
        <v>108</v>
      </c>
      <c r="C755">
        <v>85397</v>
      </c>
      <c r="D755">
        <v>2013</v>
      </c>
      <c r="E755" t="s">
        <v>40</v>
      </c>
      <c r="F755" t="s">
        <v>295</v>
      </c>
      <c r="G755" t="s">
        <v>313</v>
      </c>
      <c r="I755">
        <v>4</v>
      </c>
      <c r="J755" t="s">
        <v>210</v>
      </c>
      <c r="K755">
        <v>4</v>
      </c>
      <c r="L755" t="s">
        <v>44</v>
      </c>
      <c r="M755">
        <v>2.4</v>
      </c>
      <c r="N755" t="s">
        <v>45</v>
      </c>
      <c r="O755" t="s">
        <v>46</v>
      </c>
      <c r="P755">
        <v>2</v>
      </c>
      <c r="Q755" t="s">
        <v>84</v>
      </c>
      <c r="R755" t="s">
        <v>85</v>
      </c>
      <c r="U755" t="s">
        <v>50</v>
      </c>
      <c r="W755" t="s">
        <v>921</v>
      </c>
      <c r="X755" t="s">
        <v>87</v>
      </c>
      <c r="Y755" t="s">
        <v>67</v>
      </c>
      <c r="AA755">
        <v>0</v>
      </c>
      <c r="AB755" t="s">
        <v>54</v>
      </c>
      <c r="AC755" t="s">
        <v>89</v>
      </c>
      <c r="AD755">
        <v>34</v>
      </c>
      <c r="AE755">
        <v>8</v>
      </c>
      <c r="AF755">
        <v>3</v>
      </c>
      <c r="AG755">
        <v>2025</v>
      </c>
      <c r="AH755" s="13">
        <v>2500</v>
      </c>
      <c r="AI755" s="13">
        <v>2815.85302734375</v>
      </c>
      <c r="AJ755" s="13">
        <f t="shared" si="88"/>
        <v>315.85302734375</v>
      </c>
      <c r="AK755" s="14">
        <f t="shared" si="89"/>
        <v>0.1263412109375</v>
      </c>
      <c r="AL755" s="9">
        <v>2500</v>
      </c>
      <c r="AM755" s="9">
        <v>2458.824974833602</v>
      </c>
      <c r="AN755" s="9">
        <f t="shared" si="90"/>
        <v>41.175025166397972</v>
      </c>
      <c r="AO755" s="10">
        <f t="shared" si="91"/>
        <v>1.6470010066559189E-2</v>
      </c>
      <c r="AP755" s="16">
        <v>2500</v>
      </c>
      <c r="AQ755" s="16">
        <v>2684.6594967571241</v>
      </c>
      <c r="AR755" s="16">
        <f t="shared" si="92"/>
        <v>184.65949675712409</v>
      </c>
      <c r="AS755" s="17">
        <f t="shared" si="93"/>
        <v>7.3863798702849634E-2</v>
      </c>
      <c r="AT755" s="6">
        <v>2500</v>
      </c>
      <c r="AU755" s="6">
        <v>2546.0458984375</v>
      </c>
      <c r="AV755" s="6">
        <f t="shared" si="94"/>
        <v>46.0458984375</v>
      </c>
      <c r="AW755" s="7">
        <f t="shared" si="95"/>
        <v>1.8418359374999999E-2</v>
      </c>
    </row>
    <row r="756" spans="1:49" x14ac:dyDescent="0.25">
      <c r="A756" t="s">
        <v>56</v>
      </c>
      <c r="B756" t="s">
        <v>104</v>
      </c>
      <c r="C756">
        <v>164485</v>
      </c>
      <c r="D756">
        <v>2009</v>
      </c>
      <c r="E756" t="s">
        <v>98</v>
      </c>
      <c r="F756" t="s">
        <v>161</v>
      </c>
      <c r="G756" t="s">
        <v>100</v>
      </c>
      <c r="H756" t="s">
        <v>435</v>
      </c>
      <c r="I756">
        <v>8</v>
      </c>
      <c r="J756" t="s">
        <v>101</v>
      </c>
      <c r="K756">
        <v>2</v>
      </c>
      <c r="L756" t="s">
        <v>44</v>
      </c>
      <c r="M756">
        <v>5.3</v>
      </c>
      <c r="N756" t="s">
        <v>62</v>
      </c>
      <c r="Q756" t="s">
        <v>75</v>
      </c>
      <c r="R756" t="s">
        <v>76</v>
      </c>
      <c r="S756" t="s">
        <v>63</v>
      </c>
      <c r="U756" t="s">
        <v>134</v>
      </c>
      <c r="V756" t="s">
        <v>64</v>
      </c>
      <c r="W756" t="s">
        <v>1099</v>
      </c>
      <c r="X756" t="s">
        <v>66</v>
      </c>
      <c r="Y756" t="s">
        <v>67</v>
      </c>
      <c r="AA756">
        <v>0</v>
      </c>
      <c r="AB756" t="s">
        <v>54</v>
      </c>
      <c r="AC756" t="s">
        <v>78</v>
      </c>
      <c r="AD756">
        <v>34</v>
      </c>
      <c r="AE756">
        <v>8</v>
      </c>
      <c r="AF756">
        <v>3</v>
      </c>
      <c r="AG756">
        <v>2025</v>
      </c>
      <c r="AH756" s="13">
        <v>2900</v>
      </c>
      <c r="AI756" s="13">
        <v>2606.227294921875</v>
      </c>
      <c r="AJ756" s="13">
        <f t="shared" si="88"/>
        <v>293.772705078125</v>
      </c>
      <c r="AK756" s="14">
        <f t="shared" si="89"/>
        <v>0.10130093278556035</v>
      </c>
      <c r="AL756" s="9">
        <v>2900</v>
      </c>
      <c r="AM756" s="9">
        <v>2475.7400292842131</v>
      </c>
      <c r="AN756" s="9">
        <f t="shared" si="90"/>
        <v>424.25997071578695</v>
      </c>
      <c r="AO756" s="10">
        <f t="shared" si="91"/>
        <v>0.14629654162613343</v>
      </c>
      <c r="AP756" s="16">
        <v>2900</v>
      </c>
      <c r="AQ756" s="16">
        <v>2529.5149487181852</v>
      </c>
      <c r="AR756" s="16">
        <f t="shared" si="92"/>
        <v>370.48505128181478</v>
      </c>
      <c r="AS756" s="17">
        <f t="shared" si="93"/>
        <v>0.12775346595924647</v>
      </c>
      <c r="AT756" s="6">
        <v>2900</v>
      </c>
      <c r="AU756" s="6">
        <v>2644.31298828125</v>
      </c>
      <c r="AV756" s="6">
        <f t="shared" si="94"/>
        <v>255.68701171875</v>
      </c>
      <c r="AW756" s="7">
        <f t="shared" si="95"/>
        <v>8.8167935075431039E-2</v>
      </c>
    </row>
    <row r="757" spans="1:49" x14ac:dyDescent="0.25">
      <c r="A757" t="s">
        <v>69</v>
      </c>
      <c r="B757" t="s">
        <v>1100</v>
      </c>
      <c r="C757">
        <v>70802</v>
      </c>
      <c r="D757">
        <v>2020</v>
      </c>
      <c r="E757" t="s">
        <v>58</v>
      </c>
      <c r="F757" t="s">
        <v>59</v>
      </c>
      <c r="G757" t="s">
        <v>171</v>
      </c>
      <c r="I757">
        <v>4</v>
      </c>
      <c r="J757" t="s">
        <v>43</v>
      </c>
      <c r="K757">
        <v>4</v>
      </c>
      <c r="L757" t="s">
        <v>44</v>
      </c>
      <c r="M757">
        <v>2.2999999999999998</v>
      </c>
      <c r="N757" t="s">
        <v>116</v>
      </c>
      <c r="Q757" t="s">
        <v>47</v>
      </c>
      <c r="R757" t="s">
        <v>48</v>
      </c>
      <c r="S757" t="s">
        <v>117</v>
      </c>
      <c r="T757">
        <v>270</v>
      </c>
      <c r="U757" t="s">
        <v>50</v>
      </c>
      <c r="V757" t="s">
        <v>95</v>
      </c>
      <c r="X757" t="s">
        <v>141</v>
      </c>
      <c r="Y757" t="s">
        <v>67</v>
      </c>
      <c r="AA757">
        <v>0</v>
      </c>
      <c r="AB757" t="s">
        <v>54</v>
      </c>
      <c r="AC757" t="s">
        <v>68</v>
      </c>
      <c r="AD757">
        <v>34</v>
      </c>
      <c r="AE757">
        <v>8</v>
      </c>
      <c r="AF757">
        <v>3</v>
      </c>
      <c r="AG757">
        <v>2025</v>
      </c>
      <c r="AH757" s="13">
        <v>22000</v>
      </c>
      <c r="AI757" s="13">
        <v>21310.251953125</v>
      </c>
      <c r="AJ757" s="13">
        <f t="shared" si="88"/>
        <v>689.748046875</v>
      </c>
      <c r="AK757" s="14">
        <f t="shared" si="89"/>
        <v>3.1352183948863639E-2</v>
      </c>
      <c r="AL757" s="9">
        <v>22000</v>
      </c>
      <c r="AM757" s="9">
        <v>19823.951159642569</v>
      </c>
      <c r="AN757" s="9">
        <f t="shared" si="90"/>
        <v>2176.0488403574309</v>
      </c>
      <c r="AO757" s="10">
        <f t="shared" si="91"/>
        <v>9.8911310925337767E-2</v>
      </c>
      <c r="AP757" s="16">
        <v>22000</v>
      </c>
      <c r="AQ757" s="16">
        <v>19645.555088340181</v>
      </c>
      <c r="AR757" s="16">
        <f t="shared" si="92"/>
        <v>2354.4449116598189</v>
      </c>
      <c r="AS757" s="17">
        <f t="shared" si="93"/>
        <v>0.1070202232572645</v>
      </c>
      <c r="AT757" s="6">
        <v>22000</v>
      </c>
      <c r="AU757" s="6">
        <v>19763.404296875</v>
      </c>
      <c r="AV757" s="6">
        <f t="shared" si="94"/>
        <v>2236.595703125</v>
      </c>
      <c r="AW757" s="7">
        <f t="shared" si="95"/>
        <v>0.10166344105113637</v>
      </c>
    </row>
    <row r="758" spans="1:49" x14ac:dyDescent="0.25">
      <c r="A758" t="s">
        <v>69</v>
      </c>
      <c r="B758" t="s">
        <v>1100</v>
      </c>
      <c r="C758">
        <v>90800</v>
      </c>
      <c r="D758">
        <v>2019</v>
      </c>
      <c r="E758" t="s">
        <v>281</v>
      </c>
      <c r="F758" t="s">
        <v>1101</v>
      </c>
      <c r="H758" t="s">
        <v>1102</v>
      </c>
      <c r="I758">
        <v>4</v>
      </c>
      <c r="J758" t="s">
        <v>43</v>
      </c>
      <c r="K758">
        <v>4</v>
      </c>
      <c r="L758" t="s">
        <v>44</v>
      </c>
      <c r="M758">
        <v>2</v>
      </c>
      <c r="N758" t="s">
        <v>44</v>
      </c>
      <c r="Q758" t="s">
        <v>84</v>
      </c>
      <c r="R758" t="s">
        <v>85</v>
      </c>
      <c r="S758" t="s">
        <v>139</v>
      </c>
      <c r="T758">
        <v>240</v>
      </c>
      <c r="U758" t="s">
        <v>50</v>
      </c>
      <c r="V758" t="s">
        <v>95</v>
      </c>
      <c r="W758" t="s">
        <v>65</v>
      </c>
      <c r="X758" t="s">
        <v>87</v>
      </c>
      <c r="Y758" t="s">
        <v>106</v>
      </c>
      <c r="Z758">
        <v>46995</v>
      </c>
      <c r="AA758">
        <v>0</v>
      </c>
      <c r="AB758" t="s">
        <v>54</v>
      </c>
      <c r="AC758" t="s">
        <v>89</v>
      </c>
      <c r="AD758">
        <v>34</v>
      </c>
      <c r="AE758">
        <v>8</v>
      </c>
      <c r="AF758">
        <v>3</v>
      </c>
      <c r="AG758">
        <v>2025</v>
      </c>
      <c r="AH758" s="13">
        <v>14500</v>
      </c>
      <c r="AI758" s="13">
        <v>11377.7548828125</v>
      </c>
      <c r="AJ758" s="13">
        <f t="shared" si="88"/>
        <v>3122.2451171875</v>
      </c>
      <c r="AK758" s="14">
        <f t="shared" si="89"/>
        <v>0.2153272494612069</v>
      </c>
      <c r="AL758" s="9">
        <v>14500</v>
      </c>
      <c r="AM758" s="9">
        <v>11307.60315916432</v>
      </c>
      <c r="AN758" s="9">
        <f t="shared" si="90"/>
        <v>3192.3968408356795</v>
      </c>
      <c r="AO758" s="10">
        <f t="shared" si="91"/>
        <v>0.22016529936797791</v>
      </c>
      <c r="AP758" s="16">
        <v>14500</v>
      </c>
      <c r="AQ758" s="16">
        <v>13608.396821113171</v>
      </c>
      <c r="AR758" s="16">
        <f t="shared" si="92"/>
        <v>891.60317888682948</v>
      </c>
      <c r="AS758" s="17">
        <f t="shared" si="93"/>
        <v>6.1489874405988243E-2</v>
      </c>
      <c r="AT758" s="6">
        <v>14500</v>
      </c>
      <c r="AU758" s="6">
        <v>12096.7060546875</v>
      </c>
      <c r="AV758" s="6">
        <f t="shared" si="94"/>
        <v>2403.2939453125</v>
      </c>
      <c r="AW758" s="7">
        <f t="shared" si="95"/>
        <v>0.16574441002155171</v>
      </c>
    </row>
    <row r="759" spans="1:49" x14ac:dyDescent="0.25">
      <c r="A759" t="s">
        <v>107</v>
      </c>
      <c r="B759" t="s">
        <v>614</v>
      </c>
      <c r="C759">
        <v>95566</v>
      </c>
      <c r="D759">
        <v>2018</v>
      </c>
      <c r="E759" t="s">
        <v>79</v>
      </c>
      <c r="F759" t="s">
        <v>411</v>
      </c>
      <c r="G759" t="s">
        <v>1103</v>
      </c>
      <c r="I759">
        <v>6</v>
      </c>
      <c r="J759" t="s">
        <v>61</v>
      </c>
      <c r="K759">
        <v>4</v>
      </c>
      <c r="L759" t="s">
        <v>44</v>
      </c>
      <c r="M759">
        <v>3.6</v>
      </c>
      <c r="N759" t="s">
        <v>62</v>
      </c>
      <c r="O759" t="s">
        <v>46</v>
      </c>
      <c r="P759">
        <v>3</v>
      </c>
      <c r="Q759" t="s">
        <v>75</v>
      </c>
      <c r="R759" t="s">
        <v>76</v>
      </c>
      <c r="S759" t="s">
        <v>63</v>
      </c>
      <c r="U759" t="s">
        <v>50</v>
      </c>
      <c r="V759" t="s">
        <v>64</v>
      </c>
      <c r="W759" t="s">
        <v>1104</v>
      </c>
      <c r="X759" t="s">
        <v>141</v>
      </c>
      <c r="Y759" t="s">
        <v>67</v>
      </c>
      <c r="AA759">
        <v>0</v>
      </c>
      <c r="AB759" t="s">
        <v>54</v>
      </c>
      <c r="AC759" t="s">
        <v>78</v>
      </c>
      <c r="AD759">
        <v>34</v>
      </c>
      <c r="AE759">
        <v>8</v>
      </c>
      <c r="AF759">
        <v>3</v>
      </c>
      <c r="AG759">
        <v>2025</v>
      </c>
      <c r="AH759" s="13">
        <v>16400</v>
      </c>
      <c r="AI759" s="13">
        <v>19895.787109375</v>
      </c>
      <c r="AJ759" s="13">
        <f t="shared" si="88"/>
        <v>3495.787109375</v>
      </c>
      <c r="AK759" s="14">
        <f t="shared" si="89"/>
        <v>0.21315775057164635</v>
      </c>
      <c r="AL759" s="9">
        <v>16400</v>
      </c>
      <c r="AM759" s="9">
        <v>17683.03739364717</v>
      </c>
      <c r="AN759" s="9">
        <f t="shared" si="90"/>
        <v>1283.0373936471697</v>
      </c>
      <c r="AO759" s="10">
        <f t="shared" si="91"/>
        <v>7.8233987417510351E-2</v>
      </c>
      <c r="AP759" s="16">
        <v>16400</v>
      </c>
      <c r="AQ759" s="16">
        <v>19650.895568291511</v>
      </c>
      <c r="AR759" s="16">
        <f t="shared" si="92"/>
        <v>3250.8955682915112</v>
      </c>
      <c r="AS759" s="17">
        <f t="shared" si="93"/>
        <v>0.19822533952997018</v>
      </c>
      <c r="AT759" s="6">
        <v>16400</v>
      </c>
      <c r="AU759" s="6">
        <v>17308.658203125</v>
      </c>
      <c r="AV759" s="6">
        <f t="shared" si="94"/>
        <v>908.658203125</v>
      </c>
      <c r="AW759" s="7">
        <f t="shared" si="95"/>
        <v>5.5405987995426828E-2</v>
      </c>
    </row>
    <row r="760" spans="1:49" x14ac:dyDescent="0.25">
      <c r="A760" t="s">
        <v>56</v>
      </c>
      <c r="B760" t="s">
        <v>57</v>
      </c>
      <c r="C760">
        <v>211001</v>
      </c>
      <c r="D760">
        <v>2007</v>
      </c>
      <c r="E760" t="s">
        <v>58</v>
      </c>
      <c r="F760" t="s">
        <v>1105</v>
      </c>
      <c r="H760" t="s">
        <v>171</v>
      </c>
      <c r="I760">
        <v>6</v>
      </c>
      <c r="J760" t="s">
        <v>257</v>
      </c>
      <c r="K760">
        <v>4</v>
      </c>
      <c r="L760" t="s">
        <v>44</v>
      </c>
      <c r="M760">
        <v>4</v>
      </c>
      <c r="N760" t="s">
        <v>62</v>
      </c>
      <c r="O760" t="s">
        <v>46</v>
      </c>
      <c r="Q760" t="s">
        <v>47</v>
      </c>
      <c r="R760" t="s">
        <v>76</v>
      </c>
      <c r="S760" t="s">
        <v>63</v>
      </c>
      <c r="T760">
        <v>210</v>
      </c>
      <c r="U760" t="s">
        <v>50</v>
      </c>
      <c r="V760" t="s">
        <v>64</v>
      </c>
      <c r="X760" t="s">
        <v>66</v>
      </c>
      <c r="Y760" t="s">
        <v>67</v>
      </c>
      <c r="AA760">
        <v>0</v>
      </c>
      <c r="AB760" t="s">
        <v>54</v>
      </c>
      <c r="AC760" t="s">
        <v>78</v>
      </c>
      <c r="AD760">
        <v>34</v>
      </c>
      <c r="AE760">
        <v>8</v>
      </c>
      <c r="AF760">
        <v>3</v>
      </c>
      <c r="AG760">
        <v>2025</v>
      </c>
      <c r="AH760" s="13">
        <v>900</v>
      </c>
      <c r="AI760" s="13">
        <v>1699.271606445312</v>
      </c>
      <c r="AJ760" s="13">
        <f t="shared" si="88"/>
        <v>799.27160644531205</v>
      </c>
      <c r="AK760" s="14">
        <f t="shared" si="89"/>
        <v>0.88807956271701338</v>
      </c>
      <c r="AL760" s="9">
        <v>900</v>
      </c>
      <c r="AM760" s="9">
        <v>1767.3972619790759</v>
      </c>
      <c r="AN760" s="9">
        <f t="shared" si="90"/>
        <v>867.39726197907589</v>
      </c>
      <c r="AO760" s="10">
        <f t="shared" si="91"/>
        <v>0.96377473553230653</v>
      </c>
      <c r="AP760" s="16">
        <v>900</v>
      </c>
      <c r="AQ760" s="16">
        <v>1586.8693005010309</v>
      </c>
      <c r="AR760" s="16">
        <f t="shared" si="92"/>
        <v>686.86930050103092</v>
      </c>
      <c r="AS760" s="17">
        <f t="shared" si="93"/>
        <v>0.76318811166781209</v>
      </c>
      <c r="AT760" s="6">
        <v>900</v>
      </c>
      <c r="AU760" s="6">
        <v>1686.259643554688</v>
      </c>
      <c r="AV760" s="6">
        <f t="shared" si="94"/>
        <v>786.25964355468795</v>
      </c>
      <c r="AW760" s="7">
        <f t="shared" si="95"/>
        <v>0.87362182617187556</v>
      </c>
    </row>
    <row r="761" spans="1:49" x14ac:dyDescent="0.25">
      <c r="A761" t="s">
        <v>38</v>
      </c>
      <c r="B761" t="s">
        <v>132</v>
      </c>
      <c r="C761">
        <v>33653</v>
      </c>
      <c r="D761">
        <v>2023</v>
      </c>
      <c r="E761" t="s">
        <v>607</v>
      </c>
      <c r="F761" t="s">
        <v>1106</v>
      </c>
      <c r="G761" t="s">
        <v>1107</v>
      </c>
      <c r="I761">
        <v>4</v>
      </c>
      <c r="J761" t="s">
        <v>94</v>
      </c>
      <c r="K761">
        <v>4</v>
      </c>
      <c r="L761" t="s">
        <v>44</v>
      </c>
      <c r="M761">
        <v>1.5</v>
      </c>
      <c r="N761" t="s">
        <v>62</v>
      </c>
      <c r="O761" t="s">
        <v>46</v>
      </c>
      <c r="P761">
        <v>5</v>
      </c>
      <c r="Q761" t="s">
        <v>47</v>
      </c>
      <c r="R761" t="s">
        <v>48</v>
      </c>
      <c r="S761" t="s">
        <v>63</v>
      </c>
      <c r="T761">
        <v>152</v>
      </c>
      <c r="U761" t="s">
        <v>50</v>
      </c>
      <c r="V761" t="s">
        <v>95</v>
      </c>
      <c r="W761" t="s">
        <v>1108</v>
      </c>
      <c r="X761" t="s">
        <v>52</v>
      </c>
      <c r="Y761" t="s">
        <v>97</v>
      </c>
      <c r="AA761">
        <v>0</v>
      </c>
      <c r="AB761" t="s">
        <v>54</v>
      </c>
      <c r="AC761" t="s">
        <v>55</v>
      </c>
      <c r="AD761">
        <v>34</v>
      </c>
      <c r="AE761">
        <v>8</v>
      </c>
      <c r="AF761">
        <v>3</v>
      </c>
      <c r="AG761">
        <v>2025</v>
      </c>
      <c r="AH761" s="13">
        <v>18600</v>
      </c>
      <c r="AI761" s="13">
        <v>16741.921875</v>
      </c>
      <c r="AJ761" s="13">
        <f t="shared" si="88"/>
        <v>1858.078125</v>
      </c>
      <c r="AK761" s="14">
        <f t="shared" si="89"/>
        <v>9.9896673387096777E-2</v>
      </c>
      <c r="AL761" s="9">
        <v>18600</v>
      </c>
      <c r="AM761" s="9">
        <v>18788.443993913039</v>
      </c>
      <c r="AN761" s="9">
        <f t="shared" si="90"/>
        <v>188.44399391303887</v>
      </c>
      <c r="AO761" s="10">
        <f t="shared" si="91"/>
        <v>1.0131397522206391E-2</v>
      </c>
      <c r="AP761" s="16">
        <v>18600</v>
      </c>
      <c r="AQ761" s="16">
        <v>21555.904031151829</v>
      </c>
      <c r="AR761" s="16">
        <f t="shared" si="92"/>
        <v>2955.9040311518293</v>
      </c>
      <c r="AS761" s="17">
        <f t="shared" si="93"/>
        <v>0.15891957156730266</v>
      </c>
      <c r="AT761" s="6">
        <v>18600</v>
      </c>
      <c r="AU761" s="6">
        <v>16683.408203125</v>
      </c>
      <c r="AV761" s="6">
        <f t="shared" si="94"/>
        <v>1916.591796875</v>
      </c>
      <c r="AW761" s="7">
        <f t="shared" si="95"/>
        <v>0.10304256972446237</v>
      </c>
    </row>
    <row r="762" spans="1:49" x14ac:dyDescent="0.25">
      <c r="A762" t="s">
        <v>107</v>
      </c>
      <c r="B762" t="s">
        <v>154</v>
      </c>
      <c r="C762">
        <v>203681</v>
      </c>
      <c r="D762">
        <v>2018</v>
      </c>
      <c r="E762" t="s">
        <v>58</v>
      </c>
      <c r="F762" t="s">
        <v>420</v>
      </c>
      <c r="H762" t="s">
        <v>1109</v>
      </c>
      <c r="I762">
        <v>6</v>
      </c>
      <c r="J762" t="s">
        <v>43</v>
      </c>
      <c r="K762">
        <v>3</v>
      </c>
      <c r="L762" t="s">
        <v>44</v>
      </c>
      <c r="M762">
        <v>3.7</v>
      </c>
      <c r="N762" t="s">
        <v>116</v>
      </c>
      <c r="O762" t="s">
        <v>46</v>
      </c>
      <c r="P762">
        <v>2</v>
      </c>
      <c r="Q762" t="s">
        <v>75</v>
      </c>
      <c r="R762" t="s">
        <v>422</v>
      </c>
      <c r="T762">
        <v>275</v>
      </c>
      <c r="U762" t="s">
        <v>50</v>
      </c>
      <c r="V762" t="s">
        <v>64</v>
      </c>
      <c r="X762" t="s">
        <v>390</v>
      </c>
      <c r="Y762" t="s">
        <v>67</v>
      </c>
      <c r="AA762">
        <v>0</v>
      </c>
      <c r="AB762" t="s">
        <v>54</v>
      </c>
      <c r="AC762" t="s">
        <v>424</v>
      </c>
      <c r="AD762">
        <v>34</v>
      </c>
      <c r="AE762">
        <v>8</v>
      </c>
      <c r="AF762">
        <v>3</v>
      </c>
      <c r="AG762">
        <v>2025</v>
      </c>
      <c r="AH762" s="13">
        <v>3100</v>
      </c>
      <c r="AI762" s="13">
        <v>5553.6767578125</v>
      </c>
      <c r="AJ762" s="13">
        <f t="shared" si="88"/>
        <v>2453.6767578125</v>
      </c>
      <c r="AK762" s="14">
        <f t="shared" si="89"/>
        <v>0.79150863155241935</v>
      </c>
      <c r="AL762" s="9">
        <v>3100</v>
      </c>
      <c r="AM762" s="9">
        <v>7259.0396919593541</v>
      </c>
      <c r="AN762" s="9">
        <f t="shared" si="90"/>
        <v>4159.0396919593541</v>
      </c>
      <c r="AO762" s="10">
        <f t="shared" si="91"/>
        <v>1.3416257070836626</v>
      </c>
      <c r="AP762" s="16">
        <v>3100</v>
      </c>
      <c r="AQ762" s="16">
        <v>6806.9211462825897</v>
      </c>
      <c r="AR762" s="16">
        <f t="shared" si="92"/>
        <v>3706.9211462825897</v>
      </c>
      <c r="AS762" s="17">
        <f t="shared" si="93"/>
        <v>1.1957810149298675</v>
      </c>
      <c r="AT762" s="6">
        <v>3100</v>
      </c>
      <c r="AU762" s="6">
        <v>6948.17578125</v>
      </c>
      <c r="AV762" s="6">
        <f t="shared" si="94"/>
        <v>3848.17578125</v>
      </c>
      <c r="AW762" s="7">
        <f t="shared" si="95"/>
        <v>1.2413470262096775</v>
      </c>
    </row>
    <row r="763" spans="1:49" x14ac:dyDescent="0.25">
      <c r="A763" t="s">
        <v>38</v>
      </c>
      <c r="B763" t="s">
        <v>289</v>
      </c>
      <c r="C763">
        <v>149806</v>
      </c>
      <c r="D763">
        <v>2016</v>
      </c>
      <c r="E763" t="s">
        <v>113</v>
      </c>
      <c r="F763" t="s">
        <v>253</v>
      </c>
      <c r="G763" t="s">
        <v>476</v>
      </c>
      <c r="H763" t="s">
        <v>931</v>
      </c>
      <c r="I763">
        <v>6</v>
      </c>
      <c r="J763" t="s">
        <v>74</v>
      </c>
      <c r="K763">
        <v>4</v>
      </c>
      <c r="L763" t="s">
        <v>44</v>
      </c>
      <c r="M763">
        <v>3.6</v>
      </c>
      <c r="N763" t="s">
        <v>45</v>
      </c>
      <c r="Q763" t="s">
        <v>47</v>
      </c>
      <c r="R763" t="s">
        <v>48</v>
      </c>
      <c r="S763" t="s">
        <v>102</v>
      </c>
      <c r="U763" t="s">
        <v>50</v>
      </c>
      <c r="X763" t="s">
        <v>141</v>
      </c>
      <c r="Y763" t="s">
        <v>106</v>
      </c>
      <c r="AA763">
        <v>0</v>
      </c>
      <c r="AB763" t="s">
        <v>54</v>
      </c>
      <c r="AC763" t="s">
        <v>55</v>
      </c>
      <c r="AD763">
        <v>34</v>
      </c>
      <c r="AE763">
        <v>8</v>
      </c>
      <c r="AF763">
        <v>3</v>
      </c>
      <c r="AG763">
        <v>2025</v>
      </c>
      <c r="AH763" s="13">
        <v>900</v>
      </c>
      <c r="AI763" s="13">
        <v>2005.73583984375</v>
      </c>
      <c r="AJ763" s="13">
        <f t="shared" si="88"/>
        <v>1105.73583984375</v>
      </c>
      <c r="AK763" s="14">
        <f t="shared" si="89"/>
        <v>1.2285953776041667</v>
      </c>
      <c r="AL763" s="9">
        <v>900</v>
      </c>
      <c r="AM763" s="9">
        <v>2322.7914189274361</v>
      </c>
      <c r="AN763" s="9">
        <f t="shared" si="90"/>
        <v>1422.7914189274361</v>
      </c>
      <c r="AO763" s="10">
        <f t="shared" si="91"/>
        <v>1.580879354363818</v>
      </c>
      <c r="AP763" s="16">
        <v>900</v>
      </c>
      <c r="AQ763" s="16">
        <v>1653.0224046967301</v>
      </c>
      <c r="AR763" s="16">
        <f t="shared" si="92"/>
        <v>753.02240469673006</v>
      </c>
      <c r="AS763" s="17">
        <f t="shared" si="93"/>
        <v>0.83669156077414453</v>
      </c>
      <c r="AT763" s="6">
        <v>900</v>
      </c>
      <c r="AU763" s="6">
        <v>1954.36181640625</v>
      </c>
      <c r="AV763" s="6">
        <f t="shared" si="94"/>
        <v>1054.36181640625</v>
      </c>
      <c r="AW763" s="7">
        <f t="shared" si="95"/>
        <v>1.1715131293402778</v>
      </c>
    </row>
    <row r="764" spans="1:49" x14ac:dyDescent="0.25">
      <c r="A764" t="s">
        <v>56</v>
      </c>
      <c r="B764" t="s">
        <v>123</v>
      </c>
      <c r="C764">
        <v>141639</v>
      </c>
      <c r="D764">
        <v>2010</v>
      </c>
      <c r="E764" t="s">
        <v>124</v>
      </c>
      <c r="F764" t="s">
        <v>125</v>
      </c>
      <c r="G764" t="s">
        <v>1110</v>
      </c>
      <c r="I764">
        <v>4</v>
      </c>
      <c r="J764" t="s">
        <v>61</v>
      </c>
      <c r="K764">
        <v>4</v>
      </c>
      <c r="L764" t="s">
        <v>44</v>
      </c>
      <c r="M764">
        <v>2</v>
      </c>
      <c r="N764" t="s">
        <v>45</v>
      </c>
      <c r="O764" t="s">
        <v>46</v>
      </c>
      <c r="P764">
        <v>4</v>
      </c>
      <c r="Q764" t="s">
        <v>84</v>
      </c>
      <c r="R764" t="s">
        <v>85</v>
      </c>
      <c r="U764" t="s">
        <v>50</v>
      </c>
      <c r="X764" t="s">
        <v>87</v>
      </c>
      <c r="Y764" t="s">
        <v>53</v>
      </c>
      <c r="AA764">
        <v>0</v>
      </c>
      <c r="AB764" t="s">
        <v>54</v>
      </c>
      <c r="AC764" t="s">
        <v>89</v>
      </c>
      <c r="AD764">
        <v>34</v>
      </c>
      <c r="AE764">
        <v>8</v>
      </c>
      <c r="AF764">
        <v>3</v>
      </c>
      <c r="AG764">
        <v>2025</v>
      </c>
      <c r="AH764" s="13">
        <v>2200</v>
      </c>
      <c r="AI764" s="13">
        <v>1479.466064453125</v>
      </c>
      <c r="AJ764" s="13">
        <f t="shared" si="88"/>
        <v>720.533935546875</v>
      </c>
      <c r="AK764" s="14">
        <f t="shared" si="89"/>
        <v>0.32751542524857957</v>
      </c>
      <c r="AL764" s="9">
        <v>2200</v>
      </c>
      <c r="AM764" s="9">
        <v>1383.5349995082879</v>
      </c>
      <c r="AN764" s="9">
        <f t="shared" si="90"/>
        <v>816.46500049171209</v>
      </c>
      <c r="AO764" s="10">
        <f t="shared" si="91"/>
        <v>0.37112045476896005</v>
      </c>
      <c r="AP764" s="16">
        <v>2200</v>
      </c>
      <c r="AQ764" s="16">
        <v>1244.698760900176</v>
      </c>
      <c r="AR764" s="16">
        <f t="shared" si="92"/>
        <v>955.30123909982399</v>
      </c>
      <c r="AS764" s="17">
        <f t="shared" si="93"/>
        <v>0.43422783595446546</v>
      </c>
      <c r="AT764" s="6">
        <v>2200</v>
      </c>
      <c r="AU764" s="6">
        <v>1381.741577148438</v>
      </c>
      <c r="AV764" s="6">
        <f t="shared" si="94"/>
        <v>818.25842285156205</v>
      </c>
      <c r="AW764" s="7">
        <f t="shared" si="95"/>
        <v>0.37193564675071</v>
      </c>
    </row>
    <row r="765" spans="1:49" x14ac:dyDescent="0.25">
      <c r="A765" t="s">
        <v>38</v>
      </c>
      <c r="B765" t="s">
        <v>289</v>
      </c>
      <c r="C765">
        <v>166302</v>
      </c>
      <c r="D765">
        <v>2017</v>
      </c>
      <c r="E765" t="s">
        <v>607</v>
      </c>
      <c r="F765" t="s">
        <v>608</v>
      </c>
      <c r="H765" t="s">
        <v>316</v>
      </c>
      <c r="I765">
        <v>4</v>
      </c>
      <c r="J765" t="s">
        <v>82</v>
      </c>
      <c r="K765">
        <v>4</v>
      </c>
      <c r="L765" t="s">
        <v>44</v>
      </c>
      <c r="M765">
        <v>2</v>
      </c>
      <c r="N765" t="s">
        <v>45</v>
      </c>
      <c r="O765" t="s">
        <v>46</v>
      </c>
      <c r="P765">
        <v>3</v>
      </c>
      <c r="Q765" t="s">
        <v>47</v>
      </c>
      <c r="R765" t="s">
        <v>48</v>
      </c>
      <c r="S765" t="s">
        <v>49</v>
      </c>
      <c r="U765" t="s">
        <v>50</v>
      </c>
      <c r="W765" t="s">
        <v>1111</v>
      </c>
      <c r="X765" t="s">
        <v>52</v>
      </c>
      <c r="Y765" t="s">
        <v>97</v>
      </c>
      <c r="AA765">
        <v>0</v>
      </c>
      <c r="AB765" t="s">
        <v>54</v>
      </c>
      <c r="AC765" t="s">
        <v>55</v>
      </c>
      <c r="AD765">
        <v>34</v>
      </c>
      <c r="AE765">
        <v>8</v>
      </c>
      <c r="AF765">
        <v>3</v>
      </c>
      <c r="AG765">
        <v>2025</v>
      </c>
      <c r="AH765" s="13">
        <v>2200</v>
      </c>
      <c r="AI765" s="13">
        <v>1878.781616210938</v>
      </c>
      <c r="AJ765" s="13">
        <f t="shared" si="88"/>
        <v>321.21838378906205</v>
      </c>
      <c r="AK765" s="14">
        <f t="shared" si="89"/>
        <v>0.14600835626775546</v>
      </c>
      <c r="AL765" s="9">
        <v>2200</v>
      </c>
      <c r="AM765" s="9">
        <v>2020.0083927208091</v>
      </c>
      <c r="AN765" s="9">
        <f t="shared" si="90"/>
        <v>179.99160727919093</v>
      </c>
      <c r="AO765" s="10">
        <f t="shared" si="91"/>
        <v>8.1814366945086786E-2</v>
      </c>
      <c r="AP765" s="16">
        <v>2200</v>
      </c>
      <c r="AQ765" s="16">
        <v>1976.4779806822</v>
      </c>
      <c r="AR765" s="16">
        <f t="shared" si="92"/>
        <v>223.52201931779996</v>
      </c>
      <c r="AS765" s="17">
        <f t="shared" si="93"/>
        <v>0.10160091787172726</v>
      </c>
      <c r="AT765" s="6">
        <v>2200</v>
      </c>
      <c r="AU765" s="6">
        <v>1976.92236328125</v>
      </c>
      <c r="AV765" s="6">
        <f t="shared" si="94"/>
        <v>223.07763671875</v>
      </c>
      <c r="AW765" s="7">
        <f t="shared" si="95"/>
        <v>0.10139892578125</v>
      </c>
    </row>
    <row r="766" spans="1:49" x14ac:dyDescent="0.25">
      <c r="A766" t="s">
        <v>56</v>
      </c>
      <c r="B766" t="s">
        <v>104</v>
      </c>
      <c r="C766">
        <v>133290</v>
      </c>
      <c r="D766">
        <v>2014</v>
      </c>
      <c r="E766" t="s">
        <v>169</v>
      </c>
      <c r="F766" t="s">
        <v>319</v>
      </c>
      <c r="G766" t="s">
        <v>1112</v>
      </c>
      <c r="I766">
        <v>4</v>
      </c>
      <c r="J766" t="s">
        <v>74</v>
      </c>
      <c r="K766">
        <v>4</v>
      </c>
      <c r="L766" t="s">
        <v>44</v>
      </c>
      <c r="M766">
        <v>2.5</v>
      </c>
      <c r="N766" t="s">
        <v>44</v>
      </c>
      <c r="O766" t="s">
        <v>46</v>
      </c>
      <c r="P766">
        <v>4</v>
      </c>
      <c r="Q766" t="s">
        <v>47</v>
      </c>
      <c r="R766" t="s">
        <v>48</v>
      </c>
      <c r="S766" t="s">
        <v>139</v>
      </c>
      <c r="U766" t="s">
        <v>50</v>
      </c>
      <c r="V766" t="s">
        <v>596</v>
      </c>
      <c r="W766" t="s">
        <v>597</v>
      </c>
      <c r="X766" t="s">
        <v>52</v>
      </c>
      <c r="Y766" t="s">
        <v>97</v>
      </c>
      <c r="AA766">
        <v>0</v>
      </c>
      <c r="AB766" t="s">
        <v>54</v>
      </c>
      <c r="AC766" t="s">
        <v>55</v>
      </c>
      <c r="AD766">
        <v>34</v>
      </c>
      <c r="AE766">
        <v>8</v>
      </c>
      <c r="AF766">
        <v>3</v>
      </c>
      <c r="AG766">
        <v>2025</v>
      </c>
      <c r="AH766" s="13">
        <v>5000</v>
      </c>
      <c r="AI766" s="13">
        <v>3397.382568359375</v>
      </c>
      <c r="AJ766" s="13">
        <f t="shared" si="88"/>
        <v>1602.617431640625</v>
      </c>
      <c r="AK766" s="14">
        <f t="shared" si="89"/>
        <v>0.320523486328125</v>
      </c>
      <c r="AL766" s="9">
        <v>5000</v>
      </c>
      <c r="AM766" s="9">
        <v>3825.2003793869721</v>
      </c>
      <c r="AN766" s="9">
        <f t="shared" si="90"/>
        <v>1174.7996206130279</v>
      </c>
      <c r="AO766" s="10">
        <f t="shared" si="91"/>
        <v>0.23495992412260558</v>
      </c>
      <c r="AP766" s="16">
        <v>5000</v>
      </c>
      <c r="AQ766" s="16">
        <v>3320.5855653846352</v>
      </c>
      <c r="AR766" s="16">
        <f t="shared" si="92"/>
        <v>1679.4144346153648</v>
      </c>
      <c r="AS766" s="17">
        <f t="shared" si="93"/>
        <v>0.33588288692307294</v>
      </c>
      <c r="AT766" s="6">
        <v>5000</v>
      </c>
      <c r="AU766" s="6">
        <v>3465.999755859375</v>
      </c>
      <c r="AV766" s="6">
        <f t="shared" si="94"/>
        <v>1534.000244140625</v>
      </c>
      <c r="AW766" s="7">
        <f t="shared" si="95"/>
        <v>0.306800048828125</v>
      </c>
    </row>
    <row r="767" spans="1:49" x14ac:dyDescent="0.25">
      <c r="A767" t="s">
        <v>69</v>
      </c>
      <c r="B767" t="s">
        <v>70</v>
      </c>
      <c r="C767">
        <v>130965</v>
      </c>
      <c r="D767">
        <v>2010</v>
      </c>
      <c r="E767" t="s">
        <v>71</v>
      </c>
      <c r="F767" t="s">
        <v>813</v>
      </c>
      <c r="I767">
        <v>6</v>
      </c>
      <c r="J767" t="s">
        <v>43</v>
      </c>
      <c r="K767">
        <v>4</v>
      </c>
      <c r="L767" t="s">
        <v>44</v>
      </c>
      <c r="M767">
        <v>4</v>
      </c>
      <c r="N767" t="s">
        <v>62</v>
      </c>
      <c r="O767" t="s">
        <v>46</v>
      </c>
      <c r="P767">
        <v>1</v>
      </c>
      <c r="Q767" t="s">
        <v>75</v>
      </c>
      <c r="R767" t="s">
        <v>76</v>
      </c>
      <c r="S767" t="s">
        <v>63</v>
      </c>
      <c r="U767" t="s">
        <v>50</v>
      </c>
      <c r="X767" t="s">
        <v>141</v>
      </c>
      <c r="Y767" t="s">
        <v>67</v>
      </c>
      <c r="AA767">
        <v>0</v>
      </c>
      <c r="AB767" t="s">
        <v>54</v>
      </c>
      <c r="AC767" t="s">
        <v>78</v>
      </c>
      <c r="AD767">
        <v>34</v>
      </c>
      <c r="AE767">
        <v>8</v>
      </c>
      <c r="AF767">
        <v>3</v>
      </c>
      <c r="AG767">
        <v>2025</v>
      </c>
      <c r="AH767" s="13">
        <v>3600</v>
      </c>
      <c r="AI767" s="13">
        <v>2879.130615234375</v>
      </c>
      <c r="AJ767" s="13">
        <f t="shared" si="88"/>
        <v>720.869384765625</v>
      </c>
      <c r="AK767" s="14">
        <f t="shared" si="89"/>
        <v>0.20024149576822917</v>
      </c>
      <c r="AL767" s="9">
        <v>3600</v>
      </c>
      <c r="AM767" s="9">
        <v>3051.9632426238222</v>
      </c>
      <c r="AN767" s="9">
        <f t="shared" si="90"/>
        <v>548.03675737617777</v>
      </c>
      <c r="AO767" s="10">
        <f t="shared" si="91"/>
        <v>0.15223243260449382</v>
      </c>
      <c r="AP767" s="16">
        <v>3600</v>
      </c>
      <c r="AQ767" s="16">
        <v>2966.6798504304611</v>
      </c>
      <c r="AR767" s="16">
        <f t="shared" si="92"/>
        <v>633.3201495695389</v>
      </c>
      <c r="AS767" s="17">
        <f t="shared" si="93"/>
        <v>0.17592226376931636</v>
      </c>
      <c r="AT767" s="6">
        <v>3600</v>
      </c>
      <c r="AU767" s="6">
        <v>2648.306884765625</v>
      </c>
      <c r="AV767" s="6">
        <f t="shared" si="94"/>
        <v>951.693115234375</v>
      </c>
      <c r="AW767" s="7">
        <f t="shared" si="95"/>
        <v>0.26435919867621527</v>
      </c>
    </row>
    <row r="768" spans="1:49" x14ac:dyDescent="0.25">
      <c r="A768" t="s">
        <v>38</v>
      </c>
      <c r="B768" t="s">
        <v>90</v>
      </c>
      <c r="C768">
        <v>69549</v>
      </c>
      <c r="D768">
        <v>2011</v>
      </c>
      <c r="E768" t="s">
        <v>269</v>
      </c>
      <c r="F768" t="s">
        <v>1113</v>
      </c>
      <c r="H768" t="s">
        <v>1114</v>
      </c>
      <c r="I768">
        <v>6</v>
      </c>
      <c r="J768" t="s">
        <v>61</v>
      </c>
      <c r="K768">
        <v>2</v>
      </c>
      <c r="L768" t="s">
        <v>44</v>
      </c>
      <c r="M768">
        <v>3</v>
      </c>
      <c r="N768" t="s">
        <v>116</v>
      </c>
      <c r="O768" t="s">
        <v>46</v>
      </c>
      <c r="P768">
        <v>5</v>
      </c>
      <c r="Q768" t="s">
        <v>84</v>
      </c>
      <c r="R768" t="s">
        <v>683</v>
      </c>
      <c r="T768">
        <v>300</v>
      </c>
      <c r="U768" t="s">
        <v>50</v>
      </c>
      <c r="X768" t="s">
        <v>87</v>
      </c>
      <c r="Y768" t="s">
        <v>244</v>
      </c>
      <c r="AA768">
        <v>0</v>
      </c>
      <c r="AB768" t="s">
        <v>54</v>
      </c>
      <c r="AC768" t="s">
        <v>684</v>
      </c>
      <c r="AD768">
        <v>34</v>
      </c>
      <c r="AE768">
        <v>8</v>
      </c>
      <c r="AF768">
        <v>3</v>
      </c>
      <c r="AG768">
        <v>2025</v>
      </c>
      <c r="AH768" s="13">
        <v>6200</v>
      </c>
      <c r="AI768" s="13">
        <v>6431.97705078125</v>
      </c>
      <c r="AJ768" s="13">
        <f t="shared" si="88"/>
        <v>231.97705078125</v>
      </c>
      <c r="AK768" s="14">
        <f t="shared" si="89"/>
        <v>3.7415653351814515E-2</v>
      </c>
      <c r="AL768" s="9">
        <v>6200</v>
      </c>
      <c r="AM768" s="9">
        <v>8221.1896141259767</v>
      </c>
      <c r="AN768" s="9">
        <f t="shared" si="90"/>
        <v>2021.1896141259767</v>
      </c>
      <c r="AO768" s="10">
        <f t="shared" si="91"/>
        <v>0.32599832485902852</v>
      </c>
      <c r="AP768" s="16">
        <v>6200</v>
      </c>
      <c r="AQ768" s="16">
        <v>8796.5594890421926</v>
      </c>
      <c r="AR768" s="16">
        <f t="shared" si="92"/>
        <v>2596.5594890421926</v>
      </c>
      <c r="AS768" s="17">
        <f t="shared" si="93"/>
        <v>0.41879991758745044</v>
      </c>
      <c r="AT768" s="6">
        <v>6200</v>
      </c>
      <c r="AU768" s="6">
        <v>8139.1689453125</v>
      </c>
      <c r="AV768" s="6">
        <f t="shared" si="94"/>
        <v>1939.1689453125</v>
      </c>
      <c r="AW768" s="7">
        <f t="shared" si="95"/>
        <v>0.31276918472782256</v>
      </c>
    </row>
    <row r="769" spans="1:49" x14ac:dyDescent="0.25">
      <c r="A769" t="s">
        <v>69</v>
      </c>
      <c r="B769" t="s">
        <v>452</v>
      </c>
      <c r="C769">
        <v>72465</v>
      </c>
      <c r="D769">
        <v>2014</v>
      </c>
      <c r="E769" t="s">
        <v>58</v>
      </c>
      <c r="F769" t="s">
        <v>548</v>
      </c>
      <c r="I769">
        <v>10</v>
      </c>
      <c r="J769" t="s">
        <v>43</v>
      </c>
      <c r="K769">
        <v>1</v>
      </c>
      <c r="L769" t="s">
        <v>44</v>
      </c>
      <c r="M769">
        <v>6.8</v>
      </c>
      <c r="N769" t="s">
        <v>116</v>
      </c>
      <c r="O769" t="s">
        <v>46</v>
      </c>
      <c r="P769">
        <v>2</v>
      </c>
      <c r="Q769" t="s">
        <v>455</v>
      </c>
      <c r="R769" t="s">
        <v>549</v>
      </c>
      <c r="S769" t="s">
        <v>49</v>
      </c>
      <c r="T769">
        <v>362</v>
      </c>
      <c r="U769" t="s">
        <v>50</v>
      </c>
      <c r="V769" t="s">
        <v>64</v>
      </c>
      <c r="X769" t="s">
        <v>507</v>
      </c>
      <c r="Y769" t="s">
        <v>67</v>
      </c>
      <c r="AA769">
        <v>0</v>
      </c>
      <c r="AB769" t="s">
        <v>54</v>
      </c>
      <c r="AC769" t="s">
        <v>458</v>
      </c>
      <c r="AD769">
        <v>34</v>
      </c>
      <c r="AE769">
        <v>8</v>
      </c>
      <c r="AF769">
        <v>3</v>
      </c>
      <c r="AG769">
        <v>2025</v>
      </c>
      <c r="AH769" s="13">
        <v>9000</v>
      </c>
      <c r="AI769" s="13">
        <v>12184.7890625</v>
      </c>
      <c r="AJ769" s="13">
        <f t="shared" si="88"/>
        <v>3184.7890625</v>
      </c>
      <c r="AK769" s="14">
        <f t="shared" si="89"/>
        <v>0.35386545138888886</v>
      </c>
      <c r="AL769" s="9">
        <v>9000</v>
      </c>
      <c r="AM769" s="9">
        <v>12550.1735872966</v>
      </c>
      <c r="AN769" s="9">
        <f t="shared" si="90"/>
        <v>3550.1735872966001</v>
      </c>
      <c r="AO769" s="10">
        <f t="shared" si="91"/>
        <v>0.39446373192184447</v>
      </c>
      <c r="AP769" s="16">
        <v>9000</v>
      </c>
      <c r="AQ769" s="16">
        <v>12053.044773389611</v>
      </c>
      <c r="AR769" s="16">
        <f t="shared" si="92"/>
        <v>3053.0447733896108</v>
      </c>
      <c r="AS769" s="17">
        <f t="shared" si="93"/>
        <v>0.33922719704329007</v>
      </c>
      <c r="AT769" s="6">
        <v>9000</v>
      </c>
      <c r="AU769" s="6">
        <v>10753.013671875</v>
      </c>
      <c r="AV769" s="6">
        <f t="shared" si="94"/>
        <v>1753.013671875</v>
      </c>
      <c r="AW769" s="7">
        <f t="shared" si="95"/>
        <v>0.19477929687500001</v>
      </c>
    </row>
    <row r="770" spans="1:49" x14ac:dyDescent="0.25">
      <c r="A770" t="s">
        <v>38</v>
      </c>
      <c r="B770" t="s">
        <v>39</v>
      </c>
      <c r="C770">
        <v>155043</v>
      </c>
      <c r="D770">
        <v>2019</v>
      </c>
      <c r="E770" t="s">
        <v>124</v>
      </c>
      <c r="F770" t="s">
        <v>125</v>
      </c>
      <c r="G770" t="s">
        <v>268</v>
      </c>
      <c r="I770">
        <v>4</v>
      </c>
      <c r="J770" t="s">
        <v>74</v>
      </c>
      <c r="K770">
        <v>4</v>
      </c>
      <c r="L770" t="s">
        <v>44</v>
      </c>
      <c r="M770">
        <v>2</v>
      </c>
      <c r="N770" t="s">
        <v>45</v>
      </c>
      <c r="O770" t="s">
        <v>46</v>
      </c>
      <c r="P770">
        <v>2</v>
      </c>
      <c r="Q770" t="s">
        <v>84</v>
      </c>
      <c r="R770" t="s">
        <v>85</v>
      </c>
      <c r="T770">
        <v>147</v>
      </c>
      <c r="U770" t="s">
        <v>50</v>
      </c>
      <c r="W770" t="s">
        <v>353</v>
      </c>
      <c r="X770" t="s">
        <v>87</v>
      </c>
      <c r="Y770" t="s">
        <v>67</v>
      </c>
      <c r="Z770">
        <v>18200</v>
      </c>
      <c r="AA770">
        <v>0</v>
      </c>
      <c r="AB770" t="s">
        <v>54</v>
      </c>
      <c r="AC770" t="s">
        <v>89</v>
      </c>
      <c r="AD770">
        <v>34</v>
      </c>
      <c r="AE770">
        <v>8</v>
      </c>
      <c r="AF770">
        <v>3</v>
      </c>
      <c r="AG770">
        <v>2025</v>
      </c>
      <c r="AH770" s="13">
        <v>1500</v>
      </c>
      <c r="AI770" s="13">
        <v>1984.346557617188</v>
      </c>
      <c r="AJ770" s="13">
        <f t="shared" si="88"/>
        <v>484.34655761718795</v>
      </c>
      <c r="AK770" s="14">
        <f t="shared" si="89"/>
        <v>0.32289770507812532</v>
      </c>
      <c r="AL770" s="9">
        <v>1500</v>
      </c>
      <c r="AM770" s="9">
        <v>2746.4392331487402</v>
      </c>
      <c r="AN770" s="9">
        <f t="shared" si="90"/>
        <v>1246.4392331487402</v>
      </c>
      <c r="AO770" s="10">
        <f t="shared" si="91"/>
        <v>0.83095948876582681</v>
      </c>
      <c r="AP770" s="16">
        <v>1500</v>
      </c>
      <c r="AQ770" s="16">
        <v>2331.3010953601411</v>
      </c>
      <c r="AR770" s="16">
        <f t="shared" si="92"/>
        <v>831.30109536014106</v>
      </c>
      <c r="AS770" s="17">
        <f t="shared" si="93"/>
        <v>0.55420073024009409</v>
      </c>
      <c r="AT770" s="6">
        <v>1500</v>
      </c>
      <c r="AU770" s="6">
        <v>2584.48388671875</v>
      </c>
      <c r="AV770" s="6">
        <f t="shared" si="94"/>
        <v>1084.48388671875</v>
      </c>
      <c r="AW770" s="7">
        <f t="shared" si="95"/>
        <v>0.72298925781250001</v>
      </c>
    </row>
    <row r="771" spans="1:49" x14ac:dyDescent="0.25">
      <c r="A771" t="s">
        <v>107</v>
      </c>
      <c r="B771" t="s">
        <v>108</v>
      </c>
      <c r="C771">
        <v>110732</v>
      </c>
      <c r="D771">
        <v>2019</v>
      </c>
      <c r="E771" t="s">
        <v>382</v>
      </c>
      <c r="F771" t="s">
        <v>471</v>
      </c>
      <c r="G771" t="s">
        <v>171</v>
      </c>
      <c r="I771">
        <v>6</v>
      </c>
      <c r="J771" t="s">
        <v>61</v>
      </c>
      <c r="K771">
        <v>4</v>
      </c>
      <c r="L771" t="s">
        <v>44</v>
      </c>
      <c r="M771">
        <v>3.6</v>
      </c>
      <c r="N771" t="s">
        <v>45</v>
      </c>
      <c r="O771" t="s">
        <v>46</v>
      </c>
      <c r="P771">
        <v>3</v>
      </c>
      <c r="Q771" t="s">
        <v>47</v>
      </c>
      <c r="R771" t="s">
        <v>365</v>
      </c>
      <c r="S771" t="s">
        <v>102</v>
      </c>
      <c r="T771">
        <v>287</v>
      </c>
      <c r="U771" t="s">
        <v>50</v>
      </c>
      <c r="V771" t="s">
        <v>64</v>
      </c>
      <c r="X771" t="s">
        <v>66</v>
      </c>
      <c r="Y771" t="s">
        <v>88</v>
      </c>
      <c r="AA771">
        <v>0</v>
      </c>
      <c r="AB771" t="s">
        <v>54</v>
      </c>
      <c r="AC771" t="s">
        <v>365</v>
      </c>
      <c r="AD771">
        <v>34</v>
      </c>
      <c r="AE771">
        <v>8</v>
      </c>
      <c r="AF771">
        <v>3</v>
      </c>
      <c r="AG771">
        <v>2025</v>
      </c>
      <c r="AH771" s="13">
        <v>9800</v>
      </c>
      <c r="AI771" s="13">
        <v>14126.232421875</v>
      </c>
      <c r="AJ771" s="13">
        <f t="shared" ref="AJ771:AJ834" si="96">ABS(AH771-AI771)</f>
        <v>4326.232421875</v>
      </c>
      <c r="AK771" s="14">
        <f t="shared" ref="AK771:AK834" si="97">ABS($AH771-AI771)/$AH771</f>
        <v>0.44145228794642855</v>
      </c>
      <c r="AL771" s="9">
        <v>9800</v>
      </c>
      <c r="AM771" s="9">
        <v>11451.020097792531</v>
      </c>
      <c r="AN771" s="9">
        <f t="shared" ref="AN771:AN834" si="98">ABS(AL771-AM771)</f>
        <v>1651.0200977925306</v>
      </c>
      <c r="AO771" s="10">
        <f t="shared" ref="AO771:AO834" si="99">ABS($AL771-AM771)/$AL771</f>
        <v>0.16847143855025823</v>
      </c>
      <c r="AP771" s="16">
        <v>9800</v>
      </c>
      <c r="AQ771" s="16">
        <v>10924.737807532971</v>
      </c>
      <c r="AR771" s="16">
        <f t="shared" ref="AR771:AR834" si="100">ABS(AP771-AQ771)</f>
        <v>1124.7378075329707</v>
      </c>
      <c r="AS771" s="17">
        <f t="shared" ref="AS771:AS834" si="101">ABS($AP771-AQ771)/$AP771</f>
        <v>0.11476916403397661</v>
      </c>
      <c r="AT771" s="6">
        <v>9800</v>
      </c>
      <c r="AU771" s="6">
        <v>11069.3115234375</v>
      </c>
      <c r="AV771" s="6">
        <f t="shared" ref="AV771:AV834" si="102">ABS(AT771-AU771)</f>
        <v>1269.3115234375</v>
      </c>
      <c r="AW771" s="7">
        <f t="shared" ref="AW771:AW834" si="103">ABS($AT771-AU771)/$AT771</f>
        <v>0.12952158402423469</v>
      </c>
    </row>
    <row r="772" spans="1:49" x14ac:dyDescent="0.25">
      <c r="A772" t="s">
        <v>107</v>
      </c>
      <c r="B772" t="s">
        <v>108</v>
      </c>
      <c r="C772">
        <v>65496</v>
      </c>
      <c r="D772">
        <v>2007</v>
      </c>
      <c r="E772" t="s">
        <v>155</v>
      </c>
      <c r="F772" t="s">
        <v>1115</v>
      </c>
      <c r="I772">
        <v>4</v>
      </c>
      <c r="J772" t="s">
        <v>43</v>
      </c>
      <c r="K772">
        <v>2</v>
      </c>
      <c r="L772" t="s">
        <v>44</v>
      </c>
      <c r="M772">
        <v>2.4</v>
      </c>
      <c r="N772" t="s">
        <v>116</v>
      </c>
      <c r="O772" t="s">
        <v>46</v>
      </c>
      <c r="P772">
        <v>3</v>
      </c>
      <c r="Q772" t="s">
        <v>84</v>
      </c>
      <c r="R772" t="s">
        <v>683</v>
      </c>
      <c r="U772" t="s">
        <v>50</v>
      </c>
      <c r="V772" t="s">
        <v>95</v>
      </c>
      <c r="W772" t="s">
        <v>874</v>
      </c>
      <c r="X772" t="s">
        <v>87</v>
      </c>
      <c r="Y772" t="s">
        <v>67</v>
      </c>
      <c r="AA772">
        <v>0</v>
      </c>
      <c r="AB772" t="s">
        <v>54</v>
      </c>
      <c r="AC772" t="s">
        <v>684</v>
      </c>
      <c r="AD772">
        <v>34</v>
      </c>
      <c r="AE772">
        <v>8</v>
      </c>
      <c r="AF772">
        <v>3</v>
      </c>
      <c r="AG772">
        <v>2025</v>
      </c>
      <c r="AH772" s="13">
        <v>6400</v>
      </c>
      <c r="AI772" s="13">
        <v>3212.1328125</v>
      </c>
      <c r="AJ772" s="13">
        <f t="shared" si="96"/>
        <v>3187.8671875</v>
      </c>
      <c r="AK772" s="14">
        <f t="shared" si="97"/>
        <v>0.49810424804687498</v>
      </c>
      <c r="AL772" s="9">
        <v>6400</v>
      </c>
      <c r="AM772" s="9">
        <v>3645.576453701527</v>
      </c>
      <c r="AN772" s="9">
        <f t="shared" si="98"/>
        <v>2754.423546298473</v>
      </c>
      <c r="AO772" s="10">
        <f t="shared" si="99"/>
        <v>0.43037867910913641</v>
      </c>
      <c r="AP772" s="16">
        <v>6400</v>
      </c>
      <c r="AQ772" s="16">
        <v>4495.4634137447001</v>
      </c>
      <c r="AR772" s="16">
        <f t="shared" si="100"/>
        <v>1904.5365862552999</v>
      </c>
      <c r="AS772" s="17">
        <f t="shared" si="101"/>
        <v>0.2975838416023906</v>
      </c>
      <c r="AT772" s="6">
        <v>6400</v>
      </c>
      <c r="AU772" s="6">
        <v>3937.96826171875</v>
      </c>
      <c r="AV772" s="6">
        <f t="shared" si="102"/>
        <v>2462.03173828125</v>
      </c>
      <c r="AW772" s="7">
        <f t="shared" si="103"/>
        <v>0.38469245910644534</v>
      </c>
    </row>
    <row r="773" spans="1:49" x14ac:dyDescent="0.25">
      <c r="A773" t="s">
        <v>38</v>
      </c>
      <c r="B773" t="s">
        <v>267</v>
      </c>
      <c r="C773">
        <v>45719</v>
      </c>
      <c r="D773">
        <v>2017</v>
      </c>
      <c r="E773" t="s">
        <v>136</v>
      </c>
      <c r="F773" t="s">
        <v>211</v>
      </c>
      <c r="H773" t="s">
        <v>42</v>
      </c>
      <c r="I773">
        <v>4</v>
      </c>
      <c r="J773" t="s">
        <v>74</v>
      </c>
      <c r="K773">
        <v>4</v>
      </c>
      <c r="L773" t="s">
        <v>44</v>
      </c>
      <c r="M773">
        <v>1.4</v>
      </c>
      <c r="N773" t="s">
        <v>45</v>
      </c>
      <c r="O773" t="s">
        <v>46</v>
      </c>
      <c r="Q773" t="s">
        <v>84</v>
      </c>
      <c r="R773" t="s">
        <v>85</v>
      </c>
      <c r="T773">
        <v>150</v>
      </c>
      <c r="U773" t="s">
        <v>50</v>
      </c>
      <c r="W773" t="s">
        <v>736</v>
      </c>
      <c r="X773" t="s">
        <v>87</v>
      </c>
      <c r="Y773" t="s">
        <v>106</v>
      </c>
      <c r="AA773">
        <v>0</v>
      </c>
      <c r="AB773" t="s">
        <v>54</v>
      </c>
      <c r="AC773" t="s">
        <v>89</v>
      </c>
      <c r="AD773">
        <v>34</v>
      </c>
      <c r="AE773">
        <v>8</v>
      </c>
      <c r="AF773">
        <v>3</v>
      </c>
      <c r="AG773">
        <v>2025</v>
      </c>
      <c r="AH773" s="13">
        <v>6300</v>
      </c>
      <c r="AI773" s="13">
        <v>7490.33349609375</v>
      </c>
      <c r="AJ773" s="13">
        <f t="shared" si="96"/>
        <v>1190.33349609375</v>
      </c>
      <c r="AK773" s="14">
        <f t="shared" si="97"/>
        <v>0.18894182477678573</v>
      </c>
      <c r="AL773" s="9">
        <v>6300</v>
      </c>
      <c r="AM773" s="9">
        <v>6503.377310981803</v>
      </c>
      <c r="AN773" s="9">
        <f t="shared" si="98"/>
        <v>203.37731098180302</v>
      </c>
      <c r="AO773" s="10">
        <f t="shared" si="99"/>
        <v>3.2282112854254447E-2</v>
      </c>
      <c r="AP773" s="16">
        <v>6300</v>
      </c>
      <c r="AQ773" s="16">
        <v>5957.5285701370167</v>
      </c>
      <c r="AR773" s="16">
        <f t="shared" si="100"/>
        <v>342.47142986298331</v>
      </c>
      <c r="AS773" s="17">
        <f t="shared" si="101"/>
        <v>5.4360544422695764E-2</v>
      </c>
      <c r="AT773" s="6">
        <v>6300</v>
      </c>
      <c r="AU773" s="6">
        <v>7143.1572265625</v>
      </c>
      <c r="AV773" s="6">
        <f t="shared" si="102"/>
        <v>843.1572265625</v>
      </c>
      <c r="AW773" s="7">
        <f t="shared" si="103"/>
        <v>0.13383448040674603</v>
      </c>
    </row>
    <row r="774" spans="1:49" x14ac:dyDescent="0.25">
      <c r="A774" t="s">
        <v>38</v>
      </c>
      <c r="B774" t="s">
        <v>267</v>
      </c>
      <c r="C774">
        <v>93638</v>
      </c>
      <c r="D774">
        <v>2015</v>
      </c>
      <c r="E774" t="s">
        <v>98</v>
      </c>
      <c r="F774" t="s">
        <v>161</v>
      </c>
      <c r="G774" t="s">
        <v>218</v>
      </c>
      <c r="H774" t="s">
        <v>162</v>
      </c>
      <c r="I774">
        <v>8</v>
      </c>
      <c r="J774" t="s">
        <v>94</v>
      </c>
      <c r="K774">
        <v>4</v>
      </c>
      <c r="L774" t="s">
        <v>44</v>
      </c>
      <c r="M774">
        <v>5.3</v>
      </c>
      <c r="N774" t="s">
        <v>62</v>
      </c>
      <c r="O774" t="s">
        <v>323</v>
      </c>
      <c r="P774">
        <v>3</v>
      </c>
      <c r="Q774" t="s">
        <v>75</v>
      </c>
      <c r="R774" t="s">
        <v>76</v>
      </c>
      <c r="S774" t="s">
        <v>63</v>
      </c>
      <c r="U774" t="s">
        <v>50</v>
      </c>
      <c r="W774" t="s">
        <v>163</v>
      </c>
      <c r="X774" t="s">
        <v>77</v>
      </c>
      <c r="Y774" t="s">
        <v>67</v>
      </c>
      <c r="AA774">
        <v>0</v>
      </c>
      <c r="AB774" t="s">
        <v>54</v>
      </c>
      <c r="AC774" t="s">
        <v>78</v>
      </c>
      <c r="AD774">
        <v>34</v>
      </c>
      <c r="AE774">
        <v>8</v>
      </c>
      <c r="AF774">
        <v>3</v>
      </c>
      <c r="AG774">
        <v>2025</v>
      </c>
      <c r="AH774" s="13">
        <v>15800</v>
      </c>
      <c r="AI774" s="13">
        <v>14800.5556640625</v>
      </c>
      <c r="AJ774" s="13">
        <f t="shared" si="96"/>
        <v>999.4443359375</v>
      </c>
      <c r="AK774" s="14">
        <f t="shared" si="97"/>
        <v>6.3255970628955702E-2</v>
      </c>
      <c r="AL774" s="9">
        <v>15800</v>
      </c>
      <c r="AM774" s="9">
        <v>12439.2649776895</v>
      </c>
      <c r="AN774" s="9">
        <f t="shared" si="98"/>
        <v>3360.7350223105004</v>
      </c>
      <c r="AO774" s="10">
        <f t="shared" si="99"/>
        <v>0.21270474824750002</v>
      </c>
      <c r="AP774" s="16">
        <v>15800</v>
      </c>
      <c r="AQ774" s="16">
        <v>14296.37570020559</v>
      </c>
      <c r="AR774" s="16">
        <f t="shared" si="100"/>
        <v>1503.62429979441</v>
      </c>
      <c r="AS774" s="17">
        <f t="shared" si="101"/>
        <v>9.5166094923696834E-2</v>
      </c>
      <c r="AT774" s="6">
        <v>15800</v>
      </c>
      <c r="AU774" s="6">
        <v>13297.1904296875</v>
      </c>
      <c r="AV774" s="6">
        <f t="shared" si="102"/>
        <v>2502.8095703125</v>
      </c>
      <c r="AW774" s="7">
        <f t="shared" si="103"/>
        <v>0.15840566900712025</v>
      </c>
    </row>
    <row r="775" spans="1:49" x14ac:dyDescent="0.25">
      <c r="A775" t="s">
        <v>69</v>
      </c>
      <c r="B775" t="s">
        <v>70</v>
      </c>
      <c r="C775">
        <v>137545</v>
      </c>
      <c r="D775">
        <v>2020</v>
      </c>
      <c r="E775" t="s">
        <v>71</v>
      </c>
      <c r="F775" t="s">
        <v>590</v>
      </c>
      <c r="G775" t="s">
        <v>200</v>
      </c>
      <c r="H775" t="s">
        <v>209</v>
      </c>
      <c r="I775">
        <v>6</v>
      </c>
      <c r="J775" t="s">
        <v>74</v>
      </c>
      <c r="K775">
        <v>4</v>
      </c>
      <c r="L775" t="s">
        <v>44</v>
      </c>
      <c r="M775">
        <v>3.5</v>
      </c>
      <c r="N775" t="s">
        <v>45</v>
      </c>
      <c r="O775" t="s">
        <v>46</v>
      </c>
      <c r="P775">
        <v>2</v>
      </c>
      <c r="Q775" t="s">
        <v>47</v>
      </c>
      <c r="R775" t="s">
        <v>48</v>
      </c>
      <c r="S775" t="s">
        <v>49</v>
      </c>
      <c r="U775" t="s">
        <v>50</v>
      </c>
      <c r="X775" t="s">
        <v>141</v>
      </c>
      <c r="Y775" t="s">
        <v>67</v>
      </c>
      <c r="AA775">
        <v>0</v>
      </c>
      <c r="AB775" t="s">
        <v>54</v>
      </c>
      <c r="AC775" t="s">
        <v>68</v>
      </c>
      <c r="AD775">
        <v>34</v>
      </c>
      <c r="AE775">
        <v>8</v>
      </c>
      <c r="AF775">
        <v>3</v>
      </c>
      <c r="AG775">
        <v>2025</v>
      </c>
      <c r="AH775" s="13">
        <v>4500</v>
      </c>
      <c r="AI775" s="13">
        <v>6566.58056640625</v>
      </c>
      <c r="AJ775" s="13">
        <f t="shared" si="96"/>
        <v>2066.58056640625</v>
      </c>
      <c r="AK775" s="14">
        <f t="shared" si="97"/>
        <v>0.45924012586805557</v>
      </c>
      <c r="AL775" s="9">
        <v>4500</v>
      </c>
      <c r="AM775" s="9">
        <v>5193.1111189502153</v>
      </c>
      <c r="AN775" s="9">
        <f t="shared" si="98"/>
        <v>693.11111895021531</v>
      </c>
      <c r="AO775" s="10">
        <f t="shared" si="99"/>
        <v>0.15402469310004785</v>
      </c>
      <c r="AP775" s="16">
        <v>4500</v>
      </c>
      <c r="AQ775" s="16">
        <v>5221.3786417479887</v>
      </c>
      <c r="AR775" s="16">
        <f t="shared" si="100"/>
        <v>721.37864174798869</v>
      </c>
      <c r="AS775" s="17">
        <f t="shared" si="101"/>
        <v>0.16030636483288638</v>
      </c>
      <c r="AT775" s="6">
        <v>4500</v>
      </c>
      <c r="AU775" s="6">
        <v>5150.9794921875</v>
      </c>
      <c r="AV775" s="6">
        <f t="shared" si="102"/>
        <v>650.9794921875</v>
      </c>
      <c r="AW775" s="7">
        <f t="shared" si="103"/>
        <v>0.14466210937499999</v>
      </c>
    </row>
    <row r="776" spans="1:49" x14ac:dyDescent="0.25">
      <c r="A776" t="s">
        <v>69</v>
      </c>
      <c r="B776" t="s">
        <v>70</v>
      </c>
      <c r="C776">
        <v>91895</v>
      </c>
      <c r="D776">
        <v>2022</v>
      </c>
      <c r="E776" t="s">
        <v>607</v>
      </c>
      <c r="F776" t="s">
        <v>1116</v>
      </c>
      <c r="I776">
        <v>4</v>
      </c>
      <c r="J776" t="s">
        <v>101</v>
      </c>
      <c r="K776">
        <v>4</v>
      </c>
      <c r="L776" t="s">
        <v>44</v>
      </c>
      <c r="M776">
        <v>2.5</v>
      </c>
      <c r="N776" t="s">
        <v>45</v>
      </c>
      <c r="O776" t="s">
        <v>46</v>
      </c>
      <c r="P776">
        <v>3</v>
      </c>
      <c r="Q776" t="s">
        <v>47</v>
      </c>
      <c r="R776" t="s">
        <v>48</v>
      </c>
      <c r="S776" t="s">
        <v>49</v>
      </c>
      <c r="U776" t="s">
        <v>50</v>
      </c>
      <c r="V776" t="s">
        <v>95</v>
      </c>
      <c r="X776" t="s">
        <v>141</v>
      </c>
      <c r="Y776" t="s">
        <v>97</v>
      </c>
      <c r="AA776">
        <v>0</v>
      </c>
      <c r="AB776" t="s">
        <v>54</v>
      </c>
      <c r="AC776" t="s">
        <v>68</v>
      </c>
      <c r="AD776">
        <v>34</v>
      </c>
      <c r="AE776">
        <v>8</v>
      </c>
      <c r="AF776">
        <v>3</v>
      </c>
      <c r="AG776">
        <v>2025</v>
      </c>
      <c r="AH776" s="13">
        <v>10000</v>
      </c>
      <c r="AI776" s="13">
        <v>12630.0751953125</v>
      </c>
      <c r="AJ776" s="13">
        <f t="shared" si="96"/>
        <v>2630.0751953125</v>
      </c>
      <c r="AK776" s="14">
        <f t="shared" si="97"/>
        <v>0.26300751953125001</v>
      </c>
      <c r="AL776" s="9">
        <v>10000</v>
      </c>
      <c r="AM776" s="9">
        <v>10136.546710152181</v>
      </c>
      <c r="AN776" s="9">
        <f t="shared" si="98"/>
        <v>136.54671015218082</v>
      </c>
      <c r="AO776" s="10">
        <f t="shared" si="99"/>
        <v>1.3654671015218082E-2</v>
      </c>
      <c r="AP776" s="16">
        <v>10000</v>
      </c>
      <c r="AQ776" s="16">
        <v>11769.864839319631</v>
      </c>
      <c r="AR776" s="16">
        <f t="shared" si="100"/>
        <v>1769.8648393196308</v>
      </c>
      <c r="AS776" s="17">
        <f t="shared" si="101"/>
        <v>0.17698648393196309</v>
      </c>
      <c r="AT776" s="6">
        <v>10000</v>
      </c>
      <c r="AU776" s="6">
        <v>11253.79296875</v>
      </c>
      <c r="AV776" s="6">
        <f t="shared" si="102"/>
        <v>1253.79296875</v>
      </c>
      <c r="AW776" s="7">
        <f t="shared" si="103"/>
        <v>0.12537929687499999</v>
      </c>
    </row>
    <row r="777" spans="1:49" x14ac:dyDescent="0.25">
      <c r="A777" t="s">
        <v>107</v>
      </c>
      <c r="B777" t="s">
        <v>256</v>
      </c>
      <c r="C777">
        <v>87969</v>
      </c>
      <c r="D777">
        <v>2014</v>
      </c>
      <c r="E777" t="s">
        <v>136</v>
      </c>
      <c r="F777" t="s">
        <v>681</v>
      </c>
      <c r="G777" t="s">
        <v>1117</v>
      </c>
      <c r="I777">
        <v>4</v>
      </c>
      <c r="J777" t="s">
        <v>82</v>
      </c>
      <c r="K777">
        <v>2</v>
      </c>
      <c r="L777" t="s">
        <v>44</v>
      </c>
      <c r="M777">
        <v>1.8</v>
      </c>
      <c r="N777" t="s">
        <v>45</v>
      </c>
      <c r="O777" t="s">
        <v>42</v>
      </c>
      <c r="P777">
        <v>2</v>
      </c>
      <c r="Q777" t="s">
        <v>84</v>
      </c>
      <c r="R777" t="s">
        <v>157</v>
      </c>
      <c r="T777">
        <v>170</v>
      </c>
      <c r="U777" t="s">
        <v>50</v>
      </c>
      <c r="X777" t="s">
        <v>87</v>
      </c>
      <c r="Y777" t="s">
        <v>106</v>
      </c>
      <c r="AA777">
        <v>0</v>
      </c>
      <c r="AB777" t="s">
        <v>54</v>
      </c>
      <c r="AC777" t="s">
        <v>159</v>
      </c>
      <c r="AD777">
        <v>34</v>
      </c>
      <c r="AE777">
        <v>8</v>
      </c>
      <c r="AF777">
        <v>3</v>
      </c>
      <c r="AG777">
        <v>2025</v>
      </c>
      <c r="AH777" s="13">
        <v>1600</v>
      </c>
      <c r="AI777" s="13">
        <v>1212.230346679688</v>
      </c>
      <c r="AJ777" s="13">
        <f t="shared" si="96"/>
        <v>387.76965332031205</v>
      </c>
      <c r="AK777" s="14">
        <f t="shared" si="97"/>
        <v>0.24235603332519504</v>
      </c>
      <c r="AL777" s="9">
        <v>1600</v>
      </c>
      <c r="AM777" s="9">
        <v>1329.330159439505</v>
      </c>
      <c r="AN777" s="9">
        <f t="shared" si="98"/>
        <v>270.669840560495</v>
      </c>
      <c r="AO777" s="10">
        <f t="shared" si="99"/>
        <v>0.16916865035030937</v>
      </c>
      <c r="AP777" s="16">
        <v>1600</v>
      </c>
      <c r="AQ777" s="16">
        <v>996.75612968927669</v>
      </c>
      <c r="AR777" s="16">
        <f t="shared" si="100"/>
        <v>603.24387031072331</v>
      </c>
      <c r="AS777" s="17">
        <f t="shared" si="101"/>
        <v>0.37702741894420205</v>
      </c>
      <c r="AT777" s="6">
        <v>1600</v>
      </c>
      <c r="AU777" s="6">
        <v>1171.359252929688</v>
      </c>
      <c r="AV777" s="6">
        <f t="shared" si="102"/>
        <v>428.64074707031205</v>
      </c>
      <c r="AW777" s="7">
        <f t="shared" si="103"/>
        <v>0.26790046691894503</v>
      </c>
    </row>
    <row r="778" spans="1:49" x14ac:dyDescent="0.25">
      <c r="A778" t="s">
        <v>38</v>
      </c>
      <c r="B778" t="s">
        <v>167</v>
      </c>
      <c r="C778">
        <v>230030</v>
      </c>
      <c r="D778">
        <v>2011</v>
      </c>
      <c r="E778" t="s">
        <v>113</v>
      </c>
      <c r="F778" t="s">
        <v>859</v>
      </c>
      <c r="G778" t="s">
        <v>1118</v>
      </c>
      <c r="I778">
        <v>6</v>
      </c>
      <c r="J778" t="s">
        <v>74</v>
      </c>
      <c r="K778">
        <v>4</v>
      </c>
      <c r="L778" t="s">
        <v>44</v>
      </c>
      <c r="M778">
        <v>3.6</v>
      </c>
      <c r="N778" t="s">
        <v>45</v>
      </c>
      <c r="O778" t="s">
        <v>46</v>
      </c>
      <c r="Q778" t="s">
        <v>47</v>
      </c>
      <c r="R778" t="s">
        <v>365</v>
      </c>
      <c r="S778" t="s">
        <v>102</v>
      </c>
      <c r="U778" t="s">
        <v>50</v>
      </c>
      <c r="W778" t="s">
        <v>562</v>
      </c>
      <c r="X778" t="s">
        <v>66</v>
      </c>
      <c r="Y778" t="s">
        <v>88</v>
      </c>
      <c r="AA778">
        <v>0</v>
      </c>
      <c r="AB778" t="s">
        <v>54</v>
      </c>
      <c r="AC778" t="s">
        <v>365</v>
      </c>
      <c r="AD778">
        <v>34</v>
      </c>
      <c r="AE778">
        <v>8</v>
      </c>
      <c r="AF778">
        <v>3</v>
      </c>
      <c r="AG778">
        <v>2025</v>
      </c>
      <c r="AH778" s="13">
        <v>1300</v>
      </c>
      <c r="AI778" s="13">
        <v>975.5430908203125</v>
      </c>
      <c r="AJ778" s="13">
        <f t="shared" si="96"/>
        <v>324.4569091796875</v>
      </c>
      <c r="AK778" s="14">
        <f t="shared" si="97"/>
        <v>0.24958223783052885</v>
      </c>
      <c r="AL778" s="9">
        <v>1300</v>
      </c>
      <c r="AM778" s="9">
        <v>989.07467298006327</v>
      </c>
      <c r="AN778" s="9">
        <f t="shared" si="98"/>
        <v>310.92532701993673</v>
      </c>
      <c r="AO778" s="10">
        <f t="shared" si="99"/>
        <v>0.23917332847687442</v>
      </c>
      <c r="AP778" s="16">
        <v>1300</v>
      </c>
      <c r="AQ778" s="16">
        <v>833.6349267367525</v>
      </c>
      <c r="AR778" s="16">
        <f t="shared" si="100"/>
        <v>466.3650732632475</v>
      </c>
      <c r="AS778" s="17">
        <f t="shared" si="101"/>
        <v>0.3587423640486519</v>
      </c>
      <c r="AT778" s="6">
        <v>1300</v>
      </c>
      <c r="AU778" s="6">
        <v>1021.388000488281</v>
      </c>
      <c r="AV778" s="6">
        <f t="shared" si="102"/>
        <v>278.61199951171898</v>
      </c>
      <c r="AW778" s="7">
        <f t="shared" si="103"/>
        <v>0.2143169227013223</v>
      </c>
    </row>
    <row r="779" spans="1:49" x14ac:dyDescent="0.25">
      <c r="A779" t="s">
        <v>56</v>
      </c>
      <c r="B779" t="s">
        <v>57</v>
      </c>
      <c r="C779">
        <v>73555</v>
      </c>
      <c r="D779">
        <v>2022</v>
      </c>
      <c r="E779" t="s">
        <v>150</v>
      </c>
      <c r="F779" t="s">
        <v>279</v>
      </c>
      <c r="H779" t="s">
        <v>1061</v>
      </c>
      <c r="I779">
        <v>4</v>
      </c>
      <c r="J779" t="s">
        <v>61</v>
      </c>
      <c r="K779">
        <v>4</v>
      </c>
      <c r="L779" t="s">
        <v>44</v>
      </c>
      <c r="M779">
        <v>1.4</v>
      </c>
      <c r="N779" t="s">
        <v>45</v>
      </c>
      <c r="O779" t="s">
        <v>46</v>
      </c>
      <c r="P779">
        <v>4</v>
      </c>
      <c r="Q779" t="s">
        <v>47</v>
      </c>
      <c r="R779" t="s">
        <v>48</v>
      </c>
      <c r="S779" t="s">
        <v>102</v>
      </c>
      <c r="U779" t="s">
        <v>50</v>
      </c>
      <c r="V779" t="s">
        <v>95</v>
      </c>
      <c r="W779" t="s">
        <v>1119</v>
      </c>
      <c r="X779" t="s">
        <v>52</v>
      </c>
      <c r="Y779" t="s">
        <v>53</v>
      </c>
      <c r="AA779">
        <v>0</v>
      </c>
      <c r="AB779" t="s">
        <v>54</v>
      </c>
      <c r="AC779" t="s">
        <v>55</v>
      </c>
      <c r="AD779">
        <v>34</v>
      </c>
      <c r="AE779">
        <v>8</v>
      </c>
      <c r="AF779">
        <v>3</v>
      </c>
      <c r="AG779">
        <v>2025</v>
      </c>
      <c r="AH779" s="13">
        <v>13700</v>
      </c>
      <c r="AI779" s="13">
        <v>9069.7578125</v>
      </c>
      <c r="AJ779" s="13">
        <f t="shared" si="96"/>
        <v>4630.2421875</v>
      </c>
      <c r="AK779" s="14">
        <f t="shared" si="97"/>
        <v>0.33797388229927006</v>
      </c>
      <c r="AL779" s="9">
        <v>13700</v>
      </c>
      <c r="AM779" s="9">
        <v>14678.068039814259</v>
      </c>
      <c r="AN779" s="9">
        <f t="shared" si="98"/>
        <v>978.06803981425946</v>
      </c>
      <c r="AO779" s="10">
        <f t="shared" si="99"/>
        <v>7.1391827723668574E-2</v>
      </c>
      <c r="AP779" s="16">
        <v>13700</v>
      </c>
      <c r="AQ779" s="16">
        <v>13884.086302548751</v>
      </c>
      <c r="AR779" s="16">
        <f t="shared" si="100"/>
        <v>184.08630254875061</v>
      </c>
      <c r="AS779" s="17">
        <f t="shared" si="101"/>
        <v>1.3436956390419752E-2</v>
      </c>
      <c r="AT779" s="6">
        <v>13700</v>
      </c>
      <c r="AU779" s="6">
        <v>14167.7080078125</v>
      </c>
      <c r="AV779" s="6">
        <f t="shared" si="102"/>
        <v>467.7080078125</v>
      </c>
      <c r="AW779" s="7">
        <f t="shared" si="103"/>
        <v>3.4139270643248176E-2</v>
      </c>
    </row>
    <row r="780" spans="1:49" x14ac:dyDescent="0.25">
      <c r="A780" t="s">
        <v>56</v>
      </c>
      <c r="B780" t="s">
        <v>123</v>
      </c>
      <c r="C780">
        <v>193691</v>
      </c>
      <c r="D780">
        <v>2015</v>
      </c>
      <c r="E780" t="s">
        <v>58</v>
      </c>
      <c r="F780" t="s">
        <v>420</v>
      </c>
      <c r="G780" t="s">
        <v>1120</v>
      </c>
      <c r="H780" t="s">
        <v>421</v>
      </c>
      <c r="I780">
        <v>6</v>
      </c>
      <c r="J780" t="s">
        <v>43</v>
      </c>
      <c r="K780">
        <v>3</v>
      </c>
      <c r="L780" t="s">
        <v>44</v>
      </c>
      <c r="M780">
        <v>3.5</v>
      </c>
      <c r="N780" t="s">
        <v>116</v>
      </c>
      <c r="O780" t="s">
        <v>46</v>
      </c>
      <c r="P780">
        <v>4</v>
      </c>
      <c r="Q780" t="s">
        <v>75</v>
      </c>
      <c r="R780" t="s">
        <v>422</v>
      </c>
      <c r="T780">
        <v>310</v>
      </c>
      <c r="U780" t="s">
        <v>50</v>
      </c>
      <c r="V780" t="s">
        <v>64</v>
      </c>
      <c r="X780" t="s">
        <v>423</v>
      </c>
      <c r="Y780" t="s">
        <v>67</v>
      </c>
      <c r="AA780">
        <v>0</v>
      </c>
      <c r="AB780" t="s">
        <v>54</v>
      </c>
      <c r="AC780" t="s">
        <v>424</v>
      </c>
      <c r="AD780">
        <v>34</v>
      </c>
      <c r="AE780">
        <v>8</v>
      </c>
      <c r="AF780">
        <v>3</v>
      </c>
      <c r="AG780">
        <v>2025</v>
      </c>
      <c r="AH780" s="13">
        <v>4700</v>
      </c>
      <c r="AI780" s="13">
        <v>3835.597900390625</v>
      </c>
      <c r="AJ780" s="13">
        <f t="shared" si="96"/>
        <v>864.402099609375</v>
      </c>
      <c r="AK780" s="14">
        <f t="shared" si="97"/>
        <v>0.18391534034242021</v>
      </c>
      <c r="AL780" s="9">
        <v>4700</v>
      </c>
      <c r="AM780" s="9">
        <v>4756.001040336917</v>
      </c>
      <c r="AN780" s="9">
        <f t="shared" si="98"/>
        <v>56.001040336916958</v>
      </c>
      <c r="AO780" s="10">
        <f t="shared" si="99"/>
        <v>1.191511496530148E-2</v>
      </c>
      <c r="AP780" s="16">
        <v>4700</v>
      </c>
      <c r="AQ780" s="16">
        <v>4755.1976011695106</v>
      </c>
      <c r="AR780" s="16">
        <f t="shared" si="100"/>
        <v>55.197601169510563</v>
      </c>
      <c r="AS780" s="17">
        <f t="shared" si="101"/>
        <v>1.1744170461597992E-2</v>
      </c>
      <c r="AT780" s="6">
        <v>4700</v>
      </c>
      <c r="AU780" s="6">
        <v>5580.15771484375</v>
      </c>
      <c r="AV780" s="6">
        <f t="shared" si="102"/>
        <v>880.15771484375</v>
      </c>
      <c r="AW780" s="7">
        <f t="shared" si="103"/>
        <v>0.18726759890292552</v>
      </c>
    </row>
    <row r="781" spans="1:49" x14ac:dyDescent="0.25">
      <c r="A781" t="s">
        <v>107</v>
      </c>
      <c r="B781" t="s">
        <v>108</v>
      </c>
      <c r="C781">
        <v>69430</v>
      </c>
      <c r="D781">
        <v>2018</v>
      </c>
      <c r="E781" t="s">
        <v>241</v>
      </c>
      <c r="F781" t="s">
        <v>1121</v>
      </c>
      <c r="H781" t="s">
        <v>1122</v>
      </c>
      <c r="I781">
        <v>4</v>
      </c>
      <c r="J781" t="s">
        <v>43</v>
      </c>
      <c r="K781">
        <v>4</v>
      </c>
      <c r="L781" t="s">
        <v>44</v>
      </c>
      <c r="M781">
        <v>2</v>
      </c>
      <c r="N781" t="s">
        <v>44</v>
      </c>
      <c r="O781" t="s">
        <v>323</v>
      </c>
      <c r="Q781" t="s">
        <v>84</v>
      </c>
      <c r="R781" t="s">
        <v>85</v>
      </c>
      <c r="U781" t="s">
        <v>50</v>
      </c>
      <c r="V781" t="s">
        <v>95</v>
      </c>
      <c r="X781" t="s">
        <v>87</v>
      </c>
      <c r="Y781" t="s">
        <v>613</v>
      </c>
      <c r="Z781">
        <v>34700</v>
      </c>
      <c r="AA781">
        <v>0</v>
      </c>
      <c r="AB781" t="s">
        <v>54</v>
      </c>
      <c r="AC781" t="s">
        <v>89</v>
      </c>
      <c r="AD781">
        <v>34</v>
      </c>
      <c r="AE781">
        <v>8</v>
      </c>
      <c r="AF781">
        <v>3</v>
      </c>
      <c r="AG781">
        <v>2025</v>
      </c>
      <c r="AH781" s="13">
        <v>4800</v>
      </c>
      <c r="AI781" s="13">
        <v>5044.599609375</v>
      </c>
      <c r="AJ781" s="13">
        <f t="shared" si="96"/>
        <v>244.599609375</v>
      </c>
      <c r="AK781" s="14">
        <f t="shared" si="97"/>
        <v>5.0958251953124999E-2</v>
      </c>
      <c r="AL781" s="9">
        <v>4800</v>
      </c>
      <c r="AM781" s="9">
        <v>5170.0476684103378</v>
      </c>
      <c r="AN781" s="9">
        <f t="shared" si="98"/>
        <v>370.04766841033779</v>
      </c>
      <c r="AO781" s="10">
        <f t="shared" si="99"/>
        <v>7.7093264252153709E-2</v>
      </c>
      <c r="AP781" s="16">
        <v>4800</v>
      </c>
      <c r="AQ781" s="16">
        <v>3551.311004937987</v>
      </c>
      <c r="AR781" s="16">
        <f t="shared" si="100"/>
        <v>1248.688995062013</v>
      </c>
      <c r="AS781" s="17">
        <f t="shared" si="101"/>
        <v>0.26014354063791939</v>
      </c>
      <c r="AT781" s="6">
        <v>4800</v>
      </c>
      <c r="AU781" s="6">
        <v>5404.52392578125</v>
      </c>
      <c r="AV781" s="6">
        <f t="shared" si="102"/>
        <v>604.52392578125</v>
      </c>
      <c r="AW781" s="7">
        <f t="shared" si="103"/>
        <v>0.12594248453776041</v>
      </c>
    </row>
    <row r="782" spans="1:49" x14ac:dyDescent="0.25">
      <c r="A782" t="s">
        <v>69</v>
      </c>
      <c r="B782" t="s">
        <v>70</v>
      </c>
      <c r="C782">
        <v>109090</v>
      </c>
      <c r="D782">
        <v>2019</v>
      </c>
      <c r="E782" t="s">
        <v>40</v>
      </c>
      <c r="F782" t="s">
        <v>312</v>
      </c>
      <c r="G782" t="s">
        <v>313</v>
      </c>
      <c r="I782">
        <v>4</v>
      </c>
      <c r="J782" t="s">
        <v>260</v>
      </c>
      <c r="K782">
        <v>4</v>
      </c>
      <c r="L782" t="s">
        <v>44</v>
      </c>
      <c r="M782">
        <v>2</v>
      </c>
      <c r="N782" t="s">
        <v>45</v>
      </c>
      <c r="O782" t="s">
        <v>46</v>
      </c>
      <c r="P782">
        <v>4</v>
      </c>
      <c r="Q782" t="s">
        <v>84</v>
      </c>
      <c r="R782" t="s">
        <v>85</v>
      </c>
      <c r="T782">
        <v>147</v>
      </c>
      <c r="U782" t="s">
        <v>50</v>
      </c>
      <c r="W782" t="s">
        <v>328</v>
      </c>
      <c r="X782" t="s">
        <v>87</v>
      </c>
      <c r="Y782" t="s">
        <v>106</v>
      </c>
      <c r="AA782">
        <v>0</v>
      </c>
      <c r="AB782" t="s">
        <v>54</v>
      </c>
      <c r="AC782" t="s">
        <v>89</v>
      </c>
      <c r="AD782">
        <v>34</v>
      </c>
      <c r="AE782">
        <v>8</v>
      </c>
      <c r="AF782">
        <v>3</v>
      </c>
      <c r="AG782">
        <v>2025</v>
      </c>
      <c r="AH782" s="13">
        <v>4900</v>
      </c>
      <c r="AI782" s="13">
        <v>5194.5966796875</v>
      </c>
      <c r="AJ782" s="13">
        <f t="shared" si="96"/>
        <v>294.5966796875</v>
      </c>
      <c r="AK782" s="14">
        <f t="shared" si="97"/>
        <v>6.012177136479592E-2</v>
      </c>
      <c r="AL782" s="9">
        <v>4900</v>
      </c>
      <c r="AM782" s="9">
        <v>7339.9811569792437</v>
      </c>
      <c r="AN782" s="9">
        <f t="shared" si="98"/>
        <v>2439.9811569792437</v>
      </c>
      <c r="AO782" s="10">
        <f t="shared" si="99"/>
        <v>0.49795533815902931</v>
      </c>
      <c r="AP782" s="16">
        <v>4900</v>
      </c>
      <c r="AQ782" s="16">
        <v>7128.6498822348522</v>
      </c>
      <c r="AR782" s="16">
        <f t="shared" si="100"/>
        <v>2228.6498822348522</v>
      </c>
      <c r="AS782" s="17">
        <f t="shared" si="101"/>
        <v>0.45482650657854123</v>
      </c>
      <c r="AT782" s="6">
        <v>4900</v>
      </c>
      <c r="AU782" s="6">
        <v>7418.62158203125</v>
      </c>
      <c r="AV782" s="6">
        <f t="shared" si="102"/>
        <v>2518.62158203125</v>
      </c>
      <c r="AW782" s="7">
        <f t="shared" si="103"/>
        <v>0.51400440449617346</v>
      </c>
    </row>
    <row r="783" spans="1:49" x14ac:dyDescent="0.25">
      <c r="A783" t="s">
        <v>38</v>
      </c>
      <c r="B783" t="s">
        <v>167</v>
      </c>
      <c r="C783">
        <v>131382</v>
      </c>
      <c r="D783">
        <v>2016</v>
      </c>
      <c r="E783" t="s">
        <v>113</v>
      </c>
      <c r="F783" t="s">
        <v>859</v>
      </c>
      <c r="G783" t="s">
        <v>476</v>
      </c>
      <c r="H783" t="s">
        <v>1097</v>
      </c>
      <c r="I783">
        <v>6</v>
      </c>
      <c r="J783" t="s">
        <v>82</v>
      </c>
      <c r="K783">
        <v>4</v>
      </c>
      <c r="L783" t="s">
        <v>44</v>
      </c>
      <c r="M783">
        <v>3.6</v>
      </c>
      <c r="N783" t="s">
        <v>45</v>
      </c>
      <c r="O783" t="s">
        <v>46</v>
      </c>
      <c r="P783">
        <v>4</v>
      </c>
      <c r="Q783" t="s">
        <v>47</v>
      </c>
      <c r="R783" t="s">
        <v>365</v>
      </c>
      <c r="S783" t="s">
        <v>102</v>
      </c>
      <c r="U783" t="s">
        <v>50</v>
      </c>
      <c r="X783" t="s">
        <v>66</v>
      </c>
      <c r="Y783" t="s">
        <v>88</v>
      </c>
      <c r="AA783">
        <v>0</v>
      </c>
      <c r="AB783" t="s">
        <v>54</v>
      </c>
      <c r="AC783" t="s">
        <v>365</v>
      </c>
      <c r="AD783">
        <v>34</v>
      </c>
      <c r="AE783">
        <v>8</v>
      </c>
      <c r="AF783">
        <v>3</v>
      </c>
      <c r="AG783">
        <v>2025</v>
      </c>
      <c r="AH783" s="13">
        <v>3900</v>
      </c>
      <c r="AI783" s="13">
        <v>4457.07568359375</v>
      </c>
      <c r="AJ783" s="13">
        <f t="shared" si="96"/>
        <v>557.07568359375</v>
      </c>
      <c r="AK783" s="14">
        <f t="shared" si="97"/>
        <v>0.14283991887019232</v>
      </c>
      <c r="AL783" s="9">
        <v>3900</v>
      </c>
      <c r="AM783" s="9">
        <v>4467.9014493085324</v>
      </c>
      <c r="AN783" s="9">
        <f t="shared" si="98"/>
        <v>567.90144930853239</v>
      </c>
      <c r="AO783" s="10">
        <f t="shared" si="99"/>
        <v>0.14561575623295703</v>
      </c>
      <c r="AP783" s="16">
        <v>3900</v>
      </c>
      <c r="AQ783" s="16">
        <v>3983.0352624570141</v>
      </c>
      <c r="AR783" s="16">
        <f t="shared" si="100"/>
        <v>83.035262457014142</v>
      </c>
      <c r="AS783" s="17">
        <f t="shared" si="101"/>
        <v>2.1291092937695932E-2</v>
      </c>
      <c r="AT783" s="6">
        <v>3900</v>
      </c>
      <c r="AU783" s="6">
        <v>4233.96142578125</v>
      </c>
      <c r="AV783" s="6">
        <f t="shared" si="102"/>
        <v>333.96142578125</v>
      </c>
      <c r="AW783" s="7">
        <f t="shared" si="103"/>
        <v>8.5631134815705126E-2</v>
      </c>
    </row>
    <row r="784" spans="1:49" x14ac:dyDescent="0.25">
      <c r="A784" t="s">
        <v>38</v>
      </c>
      <c r="B784" t="s">
        <v>229</v>
      </c>
      <c r="C784">
        <v>27656</v>
      </c>
      <c r="D784">
        <v>2023</v>
      </c>
      <c r="E784" t="s">
        <v>40</v>
      </c>
      <c r="F784" t="s">
        <v>41</v>
      </c>
      <c r="G784" t="s">
        <v>313</v>
      </c>
      <c r="I784">
        <v>4</v>
      </c>
      <c r="J784" t="s">
        <v>94</v>
      </c>
      <c r="K784">
        <v>4</v>
      </c>
      <c r="L784" t="s">
        <v>44</v>
      </c>
      <c r="M784">
        <v>2.5</v>
      </c>
      <c r="N784" t="s">
        <v>45</v>
      </c>
      <c r="O784" t="s">
        <v>46</v>
      </c>
      <c r="Q784" t="s">
        <v>47</v>
      </c>
      <c r="R784" t="s">
        <v>48</v>
      </c>
      <c r="S784" t="s">
        <v>49</v>
      </c>
      <c r="T784">
        <v>187.5</v>
      </c>
      <c r="U784" t="s">
        <v>50</v>
      </c>
      <c r="W784" t="s">
        <v>676</v>
      </c>
      <c r="X784" t="s">
        <v>52</v>
      </c>
      <c r="Y784" t="s">
        <v>67</v>
      </c>
      <c r="AA784">
        <v>0</v>
      </c>
      <c r="AB784" t="s">
        <v>54</v>
      </c>
      <c r="AC784" t="s">
        <v>55</v>
      </c>
      <c r="AD784">
        <v>34</v>
      </c>
      <c r="AE784">
        <v>8</v>
      </c>
      <c r="AF784">
        <v>3</v>
      </c>
      <c r="AG784">
        <v>2025</v>
      </c>
      <c r="AH784" s="13">
        <v>22000</v>
      </c>
      <c r="AI784" s="13">
        <v>21610.603515625</v>
      </c>
      <c r="AJ784" s="13">
        <f t="shared" si="96"/>
        <v>389.396484375</v>
      </c>
      <c r="AK784" s="14">
        <f t="shared" si="97"/>
        <v>1.7699840198863635E-2</v>
      </c>
      <c r="AL784" s="9">
        <v>22000</v>
      </c>
      <c r="AM784" s="9">
        <v>23196.443539061751</v>
      </c>
      <c r="AN784" s="9">
        <f t="shared" si="98"/>
        <v>1196.4435390617509</v>
      </c>
      <c r="AO784" s="10">
        <f t="shared" si="99"/>
        <v>5.4383797230079585E-2</v>
      </c>
      <c r="AP784" s="16">
        <v>22000</v>
      </c>
      <c r="AQ784" s="16">
        <v>19324.30597004942</v>
      </c>
      <c r="AR784" s="16">
        <f t="shared" si="100"/>
        <v>2675.6940299505804</v>
      </c>
      <c r="AS784" s="17">
        <f t="shared" si="101"/>
        <v>0.12162245590684456</v>
      </c>
      <c r="AT784" s="6">
        <v>22000</v>
      </c>
      <c r="AU784" s="6">
        <v>21399.29296875</v>
      </c>
      <c r="AV784" s="6">
        <f t="shared" si="102"/>
        <v>600.70703125</v>
      </c>
      <c r="AW784" s="7">
        <f t="shared" si="103"/>
        <v>2.7304865056818183E-2</v>
      </c>
    </row>
    <row r="785" spans="1:49" x14ac:dyDescent="0.25">
      <c r="A785" t="s">
        <v>107</v>
      </c>
      <c r="B785" t="s">
        <v>154</v>
      </c>
      <c r="C785">
        <v>100392</v>
      </c>
      <c r="D785">
        <v>2021</v>
      </c>
      <c r="E785" t="s">
        <v>79</v>
      </c>
      <c r="F785" t="s">
        <v>1011</v>
      </c>
      <c r="G785" t="s">
        <v>273</v>
      </c>
      <c r="I785">
        <v>3</v>
      </c>
      <c r="J785" t="s">
        <v>82</v>
      </c>
      <c r="K785">
        <v>4</v>
      </c>
      <c r="L785" t="s">
        <v>44</v>
      </c>
      <c r="M785">
        <v>1.3</v>
      </c>
      <c r="N785" t="s">
        <v>44</v>
      </c>
      <c r="O785" t="s">
        <v>46</v>
      </c>
      <c r="P785">
        <v>4</v>
      </c>
      <c r="Q785" t="s">
        <v>47</v>
      </c>
      <c r="R785" t="s">
        <v>48</v>
      </c>
      <c r="S785" t="s">
        <v>139</v>
      </c>
      <c r="U785" t="s">
        <v>50</v>
      </c>
      <c r="V785" t="s">
        <v>95</v>
      </c>
      <c r="W785" t="s">
        <v>1123</v>
      </c>
      <c r="X785" t="s">
        <v>52</v>
      </c>
      <c r="Y785" t="s">
        <v>53</v>
      </c>
      <c r="AA785">
        <v>0</v>
      </c>
      <c r="AB785" t="s">
        <v>54</v>
      </c>
      <c r="AC785" t="s">
        <v>55</v>
      </c>
      <c r="AD785">
        <v>34</v>
      </c>
      <c r="AE785">
        <v>8</v>
      </c>
      <c r="AF785">
        <v>3</v>
      </c>
      <c r="AG785">
        <v>2025</v>
      </c>
      <c r="AH785" s="13">
        <v>14600</v>
      </c>
      <c r="AI785" s="13">
        <v>15152.041015625</v>
      </c>
      <c r="AJ785" s="13">
        <f t="shared" si="96"/>
        <v>552.041015625</v>
      </c>
      <c r="AK785" s="14">
        <f t="shared" si="97"/>
        <v>3.781102846746575E-2</v>
      </c>
      <c r="AL785" s="9">
        <v>14600</v>
      </c>
      <c r="AM785" s="9">
        <v>12073.0743044961</v>
      </c>
      <c r="AN785" s="9">
        <f t="shared" si="98"/>
        <v>2526.9256955039</v>
      </c>
      <c r="AO785" s="10">
        <f t="shared" si="99"/>
        <v>0.17307710243177396</v>
      </c>
      <c r="AP785" s="16">
        <v>14600</v>
      </c>
      <c r="AQ785" s="16">
        <v>10059.922915262739</v>
      </c>
      <c r="AR785" s="16">
        <f t="shared" si="100"/>
        <v>4540.0770847372605</v>
      </c>
      <c r="AS785" s="17">
        <f t="shared" si="101"/>
        <v>0.31096418388611374</v>
      </c>
      <c r="AT785" s="6">
        <v>14600</v>
      </c>
      <c r="AU785" s="6">
        <v>11673.5849609375</v>
      </c>
      <c r="AV785" s="6">
        <f t="shared" si="102"/>
        <v>2926.4150390625</v>
      </c>
      <c r="AW785" s="7">
        <f t="shared" si="103"/>
        <v>0.20043938623715754</v>
      </c>
    </row>
    <row r="786" spans="1:49" x14ac:dyDescent="0.25">
      <c r="A786" t="s">
        <v>56</v>
      </c>
      <c r="B786" t="s">
        <v>123</v>
      </c>
      <c r="C786">
        <v>102188</v>
      </c>
      <c r="D786">
        <v>2018</v>
      </c>
      <c r="E786" t="s">
        <v>79</v>
      </c>
      <c r="F786" t="s">
        <v>179</v>
      </c>
      <c r="G786" t="s">
        <v>434</v>
      </c>
      <c r="I786">
        <v>4</v>
      </c>
      <c r="J786" t="s">
        <v>61</v>
      </c>
      <c r="K786">
        <v>4</v>
      </c>
      <c r="L786" t="s">
        <v>44</v>
      </c>
      <c r="M786">
        <v>1.4</v>
      </c>
      <c r="N786" t="s">
        <v>44</v>
      </c>
      <c r="O786" t="s">
        <v>46</v>
      </c>
      <c r="P786">
        <v>4</v>
      </c>
      <c r="Q786" t="s">
        <v>47</v>
      </c>
      <c r="R786" t="s">
        <v>48</v>
      </c>
      <c r="S786" t="s">
        <v>139</v>
      </c>
      <c r="U786" t="s">
        <v>50</v>
      </c>
      <c r="W786" t="s">
        <v>999</v>
      </c>
      <c r="X786" t="s">
        <v>52</v>
      </c>
      <c r="Y786" t="s">
        <v>106</v>
      </c>
      <c r="Z786">
        <v>21000</v>
      </c>
      <c r="AA786">
        <v>0</v>
      </c>
      <c r="AB786" t="s">
        <v>54</v>
      </c>
      <c r="AC786" t="s">
        <v>55</v>
      </c>
      <c r="AD786">
        <v>34</v>
      </c>
      <c r="AE786">
        <v>8</v>
      </c>
      <c r="AF786">
        <v>3</v>
      </c>
      <c r="AG786">
        <v>2025</v>
      </c>
      <c r="AH786" s="13">
        <v>4200</v>
      </c>
      <c r="AI786" s="13">
        <v>7680.8466796875</v>
      </c>
      <c r="AJ786" s="13">
        <f t="shared" si="96"/>
        <v>3480.8466796875</v>
      </c>
      <c r="AK786" s="14">
        <f t="shared" si="97"/>
        <v>0.82877301897321431</v>
      </c>
      <c r="AL786" s="9">
        <v>4200</v>
      </c>
      <c r="AM786" s="9">
        <v>6219.970259181262</v>
      </c>
      <c r="AN786" s="9">
        <f t="shared" si="98"/>
        <v>2019.970259181262</v>
      </c>
      <c r="AO786" s="10">
        <f t="shared" si="99"/>
        <v>0.4809452998050624</v>
      </c>
      <c r="AP786" s="16">
        <v>4200</v>
      </c>
      <c r="AQ786" s="16">
        <v>4469.8974015806443</v>
      </c>
      <c r="AR786" s="16">
        <f t="shared" si="100"/>
        <v>269.89740158064433</v>
      </c>
      <c r="AS786" s="17">
        <f t="shared" si="101"/>
        <v>6.4261286090629602E-2</v>
      </c>
      <c r="AT786" s="6">
        <v>4200</v>
      </c>
      <c r="AU786" s="6">
        <v>5438.61865234375</v>
      </c>
      <c r="AV786" s="6">
        <f t="shared" si="102"/>
        <v>1238.61865234375</v>
      </c>
      <c r="AW786" s="7">
        <f t="shared" si="103"/>
        <v>0.29490920293898809</v>
      </c>
    </row>
    <row r="787" spans="1:49" x14ac:dyDescent="0.25">
      <c r="A787" t="s">
        <v>38</v>
      </c>
      <c r="B787" t="s">
        <v>132</v>
      </c>
      <c r="C787">
        <v>81448</v>
      </c>
      <c r="D787">
        <v>2020</v>
      </c>
      <c r="E787" t="s">
        <v>71</v>
      </c>
      <c r="F787" t="s">
        <v>324</v>
      </c>
      <c r="I787">
        <v>4</v>
      </c>
      <c r="J787" t="s">
        <v>74</v>
      </c>
      <c r="K787">
        <v>4</v>
      </c>
      <c r="L787" t="s">
        <v>44</v>
      </c>
      <c r="M787">
        <v>1.6</v>
      </c>
      <c r="N787" t="s">
        <v>45</v>
      </c>
      <c r="O787" t="s">
        <v>46</v>
      </c>
      <c r="P787">
        <v>4</v>
      </c>
      <c r="Q787" t="s">
        <v>84</v>
      </c>
      <c r="R787" t="s">
        <v>157</v>
      </c>
      <c r="S787" t="s">
        <v>49</v>
      </c>
      <c r="U787" t="s">
        <v>50</v>
      </c>
      <c r="X787" t="s">
        <v>87</v>
      </c>
      <c r="Y787" t="s">
        <v>106</v>
      </c>
      <c r="AA787">
        <v>0</v>
      </c>
      <c r="AB787" t="s">
        <v>54</v>
      </c>
      <c r="AC787" t="s">
        <v>159</v>
      </c>
      <c r="AD787">
        <v>34</v>
      </c>
      <c r="AE787">
        <v>8</v>
      </c>
      <c r="AF787">
        <v>3</v>
      </c>
      <c r="AG787">
        <v>2025</v>
      </c>
      <c r="AH787" s="13">
        <v>11200</v>
      </c>
      <c r="AI787" s="13">
        <v>9316.5244140625</v>
      </c>
      <c r="AJ787" s="13">
        <f t="shared" si="96"/>
        <v>1883.4755859375</v>
      </c>
      <c r="AK787" s="14">
        <f t="shared" si="97"/>
        <v>0.16816746303013394</v>
      </c>
      <c r="AL787" s="9">
        <v>11200</v>
      </c>
      <c r="AM787" s="9">
        <v>9041.1771436801737</v>
      </c>
      <c r="AN787" s="9">
        <f t="shared" si="98"/>
        <v>2158.8228563198263</v>
      </c>
      <c r="AO787" s="10">
        <f t="shared" si="99"/>
        <v>0.19275204074284163</v>
      </c>
      <c r="AP787" s="16">
        <v>11200</v>
      </c>
      <c r="AQ787" s="16">
        <v>10062.62966503644</v>
      </c>
      <c r="AR787" s="16">
        <f t="shared" si="100"/>
        <v>1137.3703349635598</v>
      </c>
      <c r="AS787" s="17">
        <f t="shared" si="101"/>
        <v>0.10155092276460355</v>
      </c>
      <c r="AT787" s="6">
        <v>11200</v>
      </c>
      <c r="AU787" s="6">
        <v>9129.443359375</v>
      </c>
      <c r="AV787" s="6">
        <f t="shared" si="102"/>
        <v>2070.556640625</v>
      </c>
      <c r="AW787" s="7">
        <f t="shared" si="103"/>
        <v>0.18487112862723215</v>
      </c>
    </row>
    <row r="788" spans="1:49" x14ac:dyDescent="0.25">
      <c r="A788" t="s">
        <v>69</v>
      </c>
      <c r="B788" t="s">
        <v>223</v>
      </c>
      <c r="C788">
        <v>281779</v>
      </c>
      <c r="D788">
        <v>2005</v>
      </c>
      <c r="E788" t="s">
        <v>98</v>
      </c>
      <c r="F788" t="s">
        <v>704</v>
      </c>
      <c r="H788" t="s">
        <v>162</v>
      </c>
      <c r="I788">
        <v>8</v>
      </c>
      <c r="J788" t="s">
        <v>43</v>
      </c>
      <c r="K788">
        <v>4</v>
      </c>
      <c r="L788" t="s">
        <v>44</v>
      </c>
      <c r="M788">
        <v>4.8</v>
      </c>
      <c r="N788" t="s">
        <v>116</v>
      </c>
      <c r="O788" t="s">
        <v>46</v>
      </c>
      <c r="Q788" t="s">
        <v>47</v>
      </c>
      <c r="R788" t="s">
        <v>48</v>
      </c>
      <c r="S788" t="s">
        <v>49</v>
      </c>
      <c r="U788" t="s">
        <v>50</v>
      </c>
      <c r="V788" t="s">
        <v>64</v>
      </c>
      <c r="W788" t="s">
        <v>1124</v>
      </c>
      <c r="X788" t="s">
        <v>66</v>
      </c>
      <c r="Y788" t="s">
        <v>67</v>
      </c>
      <c r="AA788">
        <v>0</v>
      </c>
      <c r="AB788" t="s">
        <v>54</v>
      </c>
      <c r="AC788" t="s">
        <v>55</v>
      </c>
      <c r="AD788">
        <v>34</v>
      </c>
      <c r="AE788">
        <v>8</v>
      </c>
      <c r="AF788">
        <v>3</v>
      </c>
      <c r="AG788">
        <v>2025</v>
      </c>
      <c r="AH788" s="13">
        <v>1400</v>
      </c>
      <c r="AI788" s="13">
        <v>1188.507934570312</v>
      </c>
      <c r="AJ788" s="13">
        <f t="shared" si="96"/>
        <v>211.49206542968795</v>
      </c>
      <c r="AK788" s="14">
        <f t="shared" si="97"/>
        <v>0.15106576102120567</v>
      </c>
      <c r="AL788" s="9">
        <v>1400</v>
      </c>
      <c r="AM788" s="9">
        <v>1380.279161586255</v>
      </c>
      <c r="AN788" s="9">
        <f t="shared" si="98"/>
        <v>19.720838413745014</v>
      </c>
      <c r="AO788" s="10">
        <f t="shared" si="99"/>
        <v>1.4086313152675009E-2</v>
      </c>
      <c r="AP788" s="16">
        <v>1400</v>
      </c>
      <c r="AQ788" s="16">
        <v>806.45917334235025</v>
      </c>
      <c r="AR788" s="16">
        <f t="shared" si="100"/>
        <v>593.54082665764975</v>
      </c>
      <c r="AS788" s="17">
        <f t="shared" si="101"/>
        <v>0.42395773332689268</v>
      </c>
      <c r="AT788" s="6">
        <v>1400</v>
      </c>
      <c r="AU788" s="6">
        <v>1349.475341796875</v>
      </c>
      <c r="AV788" s="6">
        <f t="shared" si="102"/>
        <v>50.524658203125</v>
      </c>
      <c r="AW788" s="7">
        <f t="shared" si="103"/>
        <v>3.6089041573660711E-2</v>
      </c>
    </row>
    <row r="789" spans="1:49" x14ac:dyDescent="0.25">
      <c r="A789" t="s">
        <v>56</v>
      </c>
      <c r="B789" t="s">
        <v>178</v>
      </c>
      <c r="C789">
        <v>32404</v>
      </c>
      <c r="D789">
        <v>2014</v>
      </c>
      <c r="E789" t="s">
        <v>58</v>
      </c>
      <c r="F789" t="s">
        <v>168</v>
      </c>
      <c r="I789">
        <v>8</v>
      </c>
      <c r="J789" t="s">
        <v>61</v>
      </c>
      <c r="K789">
        <v>4</v>
      </c>
      <c r="L789" t="s">
        <v>44</v>
      </c>
      <c r="M789">
        <v>5</v>
      </c>
      <c r="N789" t="s">
        <v>62</v>
      </c>
      <c r="O789" t="s">
        <v>46</v>
      </c>
      <c r="P789">
        <v>4</v>
      </c>
      <c r="Q789" t="s">
        <v>75</v>
      </c>
      <c r="R789" t="s">
        <v>76</v>
      </c>
      <c r="S789" t="s">
        <v>63</v>
      </c>
      <c r="T789">
        <v>360</v>
      </c>
      <c r="U789" t="s">
        <v>50</v>
      </c>
      <c r="V789" t="s">
        <v>64</v>
      </c>
      <c r="X789" t="s">
        <v>77</v>
      </c>
      <c r="Y789" t="s">
        <v>67</v>
      </c>
      <c r="AA789">
        <v>0</v>
      </c>
      <c r="AB789" t="s">
        <v>54</v>
      </c>
      <c r="AC789" t="s">
        <v>78</v>
      </c>
      <c r="AD789">
        <v>34</v>
      </c>
      <c r="AE789">
        <v>8</v>
      </c>
      <c r="AF789">
        <v>3</v>
      </c>
      <c r="AG789">
        <v>2025</v>
      </c>
      <c r="AH789" s="13">
        <v>20200</v>
      </c>
      <c r="AI789" s="13">
        <v>19859.69140625</v>
      </c>
      <c r="AJ789" s="13">
        <f t="shared" si="96"/>
        <v>340.30859375</v>
      </c>
      <c r="AK789" s="14">
        <f t="shared" si="97"/>
        <v>1.6846960086633663E-2</v>
      </c>
      <c r="AL789" s="9">
        <v>20200</v>
      </c>
      <c r="AM789" s="9">
        <v>22006.068665582221</v>
      </c>
      <c r="AN789" s="9">
        <f t="shared" si="98"/>
        <v>1806.068665582221</v>
      </c>
      <c r="AO789" s="10">
        <f t="shared" si="99"/>
        <v>8.940933988030797E-2</v>
      </c>
      <c r="AP789" s="16">
        <v>20200</v>
      </c>
      <c r="AQ789" s="16">
        <v>16639.938678200469</v>
      </c>
      <c r="AR789" s="16">
        <f t="shared" si="100"/>
        <v>3560.0613217995306</v>
      </c>
      <c r="AS789" s="17">
        <f t="shared" si="101"/>
        <v>0.17624065949502626</v>
      </c>
      <c r="AT789" s="6">
        <v>20200</v>
      </c>
      <c r="AU789" s="6">
        <v>20553.099609375</v>
      </c>
      <c r="AV789" s="6">
        <f t="shared" si="102"/>
        <v>353.099609375</v>
      </c>
      <c r="AW789" s="7">
        <f t="shared" si="103"/>
        <v>1.7480178681930691E-2</v>
      </c>
    </row>
    <row r="790" spans="1:49" x14ac:dyDescent="0.25">
      <c r="A790" t="s">
        <v>56</v>
      </c>
      <c r="B790" t="s">
        <v>57</v>
      </c>
      <c r="C790">
        <v>149396</v>
      </c>
      <c r="D790">
        <v>2013</v>
      </c>
      <c r="E790" t="s">
        <v>71</v>
      </c>
      <c r="F790" t="s">
        <v>1125</v>
      </c>
      <c r="I790">
        <v>4</v>
      </c>
      <c r="J790" t="s">
        <v>43</v>
      </c>
      <c r="K790">
        <v>4</v>
      </c>
      <c r="L790" t="s">
        <v>44</v>
      </c>
      <c r="M790">
        <v>1.6</v>
      </c>
      <c r="N790" t="s">
        <v>45</v>
      </c>
      <c r="O790" t="s">
        <v>46</v>
      </c>
      <c r="P790">
        <v>3</v>
      </c>
      <c r="Q790" t="s">
        <v>47</v>
      </c>
      <c r="R790" t="s">
        <v>207</v>
      </c>
      <c r="S790" t="s">
        <v>49</v>
      </c>
      <c r="U790" t="s">
        <v>50</v>
      </c>
      <c r="X790" t="s">
        <v>122</v>
      </c>
      <c r="Y790" t="s">
        <v>97</v>
      </c>
      <c r="AA790">
        <v>0</v>
      </c>
      <c r="AB790" t="s">
        <v>54</v>
      </c>
      <c r="AC790" t="s">
        <v>55</v>
      </c>
      <c r="AD790">
        <v>34</v>
      </c>
      <c r="AE790">
        <v>8</v>
      </c>
      <c r="AF790">
        <v>3</v>
      </c>
      <c r="AG790">
        <v>2025</v>
      </c>
      <c r="AH790" s="13">
        <v>900</v>
      </c>
      <c r="AI790" s="13">
        <v>1621.819091796875</v>
      </c>
      <c r="AJ790" s="13">
        <f t="shared" si="96"/>
        <v>721.819091796875</v>
      </c>
      <c r="AK790" s="14">
        <f t="shared" si="97"/>
        <v>0.80202121310763885</v>
      </c>
      <c r="AL790" s="9">
        <v>900</v>
      </c>
      <c r="AM790" s="9">
        <v>1733.49076651669</v>
      </c>
      <c r="AN790" s="9">
        <f t="shared" si="98"/>
        <v>833.49076651668997</v>
      </c>
      <c r="AO790" s="10">
        <f t="shared" si="99"/>
        <v>0.92610085168521106</v>
      </c>
      <c r="AP790" s="16">
        <v>900</v>
      </c>
      <c r="AQ790" s="16">
        <v>1599.666162189533</v>
      </c>
      <c r="AR790" s="16">
        <f t="shared" si="100"/>
        <v>699.666162189533</v>
      </c>
      <c r="AS790" s="17">
        <f t="shared" si="101"/>
        <v>0.77740684687725892</v>
      </c>
      <c r="AT790" s="6">
        <v>900</v>
      </c>
      <c r="AU790" s="6">
        <v>1427.505126953125</v>
      </c>
      <c r="AV790" s="6">
        <f t="shared" si="102"/>
        <v>527.505126953125</v>
      </c>
      <c r="AW790" s="7">
        <f t="shared" si="103"/>
        <v>0.58611680772569441</v>
      </c>
    </row>
    <row r="791" spans="1:49" x14ac:dyDescent="0.25">
      <c r="A791" t="s">
        <v>56</v>
      </c>
      <c r="B791" t="s">
        <v>144</v>
      </c>
      <c r="C791">
        <v>115786</v>
      </c>
      <c r="D791">
        <v>2017</v>
      </c>
      <c r="E791" t="s">
        <v>213</v>
      </c>
      <c r="F791" t="s">
        <v>1029</v>
      </c>
      <c r="G791" t="s">
        <v>215</v>
      </c>
      <c r="I791">
        <v>8</v>
      </c>
      <c r="J791" t="s">
        <v>74</v>
      </c>
      <c r="K791">
        <v>4</v>
      </c>
      <c r="L791" t="s">
        <v>44</v>
      </c>
      <c r="M791">
        <v>6.2</v>
      </c>
      <c r="N791" t="s">
        <v>62</v>
      </c>
      <c r="O791" t="s">
        <v>46</v>
      </c>
      <c r="P791">
        <v>4</v>
      </c>
      <c r="Q791" t="s">
        <v>47</v>
      </c>
      <c r="R791" t="s">
        <v>48</v>
      </c>
      <c r="S791" t="s">
        <v>63</v>
      </c>
      <c r="U791" t="s">
        <v>50</v>
      </c>
      <c r="W791" t="s">
        <v>1126</v>
      </c>
      <c r="X791" t="s">
        <v>77</v>
      </c>
      <c r="Y791" t="s">
        <v>67</v>
      </c>
      <c r="Z791">
        <v>78395</v>
      </c>
      <c r="AA791">
        <v>0</v>
      </c>
      <c r="AB791" t="s">
        <v>54</v>
      </c>
      <c r="AC791" t="s">
        <v>55</v>
      </c>
      <c r="AD791">
        <v>34</v>
      </c>
      <c r="AE791">
        <v>8</v>
      </c>
      <c r="AF791">
        <v>3</v>
      </c>
      <c r="AG791">
        <v>2025</v>
      </c>
      <c r="AH791" s="13">
        <v>20000</v>
      </c>
      <c r="AI791" s="13">
        <v>25757.79296875</v>
      </c>
      <c r="AJ791" s="13">
        <f t="shared" si="96"/>
        <v>5757.79296875</v>
      </c>
      <c r="AK791" s="14">
        <f t="shared" si="97"/>
        <v>0.28788964843749998</v>
      </c>
      <c r="AL791" s="9">
        <v>20000</v>
      </c>
      <c r="AM791" s="9">
        <v>21649.02341735247</v>
      </c>
      <c r="AN791" s="9">
        <f t="shared" si="98"/>
        <v>1649.0234173524696</v>
      </c>
      <c r="AO791" s="10">
        <f t="shared" si="99"/>
        <v>8.2451170867623477E-2</v>
      </c>
      <c r="AP791" s="16">
        <v>20000</v>
      </c>
      <c r="AQ791" s="16">
        <v>21976.919992586259</v>
      </c>
      <c r="AR791" s="16">
        <f t="shared" si="100"/>
        <v>1976.9199925862595</v>
      </c>
      <c r="AS791" s="17">
        <f t="shared" si="101"/>
        <v>9.8845999629312967E-2</v>
      </c>
      <c r="AT791" s="6">
        <v>20000</v>
      </c>
      <c r="AU791" s="6">
        <v>20778.275390625</v>
      </c>
      <c r="AV791" s="6">
        <f t="shared" si="102"/>
        <v>778.275390625</v>
      </c>
      <c r="AW791" s="7">
        <f t="shared" si="103"/>
        <v>3.8913769531250003E-2</v>
      </c>
    </row>
    <row r="792" spans="1:49" x14ac:dyDescent="0.25">
      <c r="A792" t="s">
        <v>56</v>
      </c>
      <c r="B792" t="s">
        <v>104</v>
      </c>
      <c r="C792">
        <v>129614</v>
      </c>
      <c r="D792">
        <v>2009</v>
      </c>
      <c r="E792" t="s">
        <v>145</v>
      </c>
      <c r="F792" t="s">
        <v>146</v>
      </c>
      <c r="G792" t="s">
        <v>313</v>
      </c>
      <c r="I792">
        <v>4</v>
      </c>
      <c r="J792" t="s">
        <v>101</v>
      </c>
      <c r="K792">
        <v>4</v>
      </c>
      <c r="L792" t="s">
        <v>44</v>
      </c>
      <c r="M792">
        <v>2.4</v>
      </c>
      <c r="N792" t="s">
        <v>62</v>
      </c>
      <c r="O792" t="s">
        <v>46</v>
      </c>
      <c r="P792">
        <v>2</v>
      </c>
      <c r="Q792" t="s">
        <v>47</v>
      </c>
      <c r="R792" t="s">
        <v>48</v>
      </c>
      <c r="S792" t="s">
        <v>63</v>
      </c>
      <c r="T792">
        <v>166</v>
      </c>
      <c r="U792" t="s">
        <v>50</v>
      </c>
      <c r="V792" t="s">
        <v>95</v>
      </c>
      <c r="W792" t="s">
        <v>854</v>
      </c>
      <c r="X792" t="s">
        <v>52</v>
      </c>
      <c r="Y792" t="s">
        <v>67</v>
      </c>
      <c r="AA792">
        <v>0</v>
      </c>
      <c r="AB792" t="s">
        <v>54</v>
      </c>
      <c r="AC792" t="s">
        <v>55</v>
      </c>
      <c r="AD792">
        <v>34</v>
      </c>
      <c r="AE792">
        <v>8</v>
      </c>
      <c r="AF792">
        <v>3</v>
      </c>
      <c r="AG792">
        <v>2025</v>
      </c>
      <c r="AH792" s="13">
        <v>2700</v>
      </c>
      <c r="AI792" s="13">
        <v>2546.0908203125</v>
      </c>
      <c r="AJ792" s="13">
        <f t="shared" si="96"/>
        <v>153.9091796875</v>
      </c>
      <c r="AK792" s="14">
        <f t="shared" si="97"/>
        <v>5.7003399884259259E-2</v>
      </c>
      <c r="AL792" s="9">
        <v>2700</v>
      </c>
      <c r="AM792" s="9">
        <v>3551.966581781071</v>
      </c>
      <c r="AN792" s="9">
        <f t="shared" si="98"/>
        <v>851.966581781071</v>
      </c>
      <c r="AO792" s="10">
        <f t="shared" si="99"/>
        <v>0.31554317843743368</v>
      </c>
      <c r="AP792" s="16">
        <v>2700</v>
      </c>
      <c r="AQ792" s="16">
        <v>2297.892638962237</v>
      </c>
      <c r="AR792" s="16">
        <f t="shared" si="100"/>
        <v>402.10736103776298</v>
      </c>
      <c r="AS792" s="17">
        <f t="shared" si="101"/>
        <v>0.14892865223620852</v>
      </c>
      <c r="AT792" s="6">
        <v>2700</v>
      </c>
      <c r="AU792" s="6">
        <v>2615.129150390625</v>
      </c>
      <c r="AV792" s="6">
        <f t="shared" si="102"/>
        <v>84.870849609375</v>
      </c>
      <c r="AW792" s="7">
        <f t="shared" si="103"/>
        <v>3.1433648003472224E-2</v>
      </c>
    </row>
    <row r="793" spans="1:49" x14ac:dyDescent="0.25">
      <c r="A793" t="s">
        <v>38</v>
      </c>
      <c r="B793" t="s">
        <v>167</v>
      </c>
      <c r="C793">
        <v>171629</v>
      </c>
      <c r="D793">
        <v>2006</v>
      </c>
      <c r="E793" t="s">
        <v>113</v>
      </c>
      <c r="F793" t="s">
        <v>1127</v>
      </c>
      <c r="G793" t="s">
        <v>1128</v>
      </c>
      <c r="H793" t="s">
        <v>392</v>
      </c>
      <c r="I793">
        <v>4</v>
      </c>
      <c r="J793" t="s">
        <v>101</v>
      </c>
      <c r="K793">
        <v>4</v>
      </c>
      <c r="L793" t="s">
        <v>44</v>
      </c>
      <c r="M793">
        <v>2.4</v>
      </c>
      <c r="N793" t="s">
        <v>45</v>
      </c>
      <c r="O793" t="s">
        <v>46</v>
      </c>
      <c r="P793">
        <v>2</v>
      </c>
      <c r="Q793" t="s">
        <v>47</v>
      </c>
      <c r="R793" t="s">
        <v>424</v>
      </c>
      <c r="S793" t="s">
        <v>102</v>
      </c>
      <c r="U793" t="s">
        <v>50</v>
      </c>
      <c r="V793" t="s">
        <v>95</v>
      </c>
      <c r="X793" t="s">
        <v>141</v>
      </c>
      <c r="Y793" t="s">
        <v>67</v>
      </c>
      <c r="AA793">
        <v>0</v>
      </c>
      <c r="AB793" t="s">
        <v>54</v>
      </c>
      <c r="AC793" t="s">
        <v>424</v>
      </c>
      <c r="AD793">
        <v>34</v>
      </c>
      <c r="AE793">
        <v>8</v>
      </c>
      <c r="AF793">
        <v>3</v>
      </c>
      <c r="AG793">
        <v>2025</v>
      </c>
      <c r="AH793" s="13">
        <v>350</v>
      </c>
      <c r="AI793" s="13">
        <v>578.39678955078125</v>
      </c>
      <c r="AJ793" s="13">
        <f t="shared" si="96"/>
        <v>228.39678955078125</v>
      </c>
      <c r="AK793" s="14">
        <f t="shared" si="97"/>
        <v>0.652562255859375</v>
      </c>
      <c r="AL793" s="9">
        <v>350</v>
      </c>
      <c r="AM793" s="9">
        <v>703.42715543440374</v>
      </c>
      <c r="AN793" s="9">
        <f t="shared" si="98"/>
        <v>353.42715543440374</v>
      </c>
      <c r="AO793" s="10">
        <f t="shared" si="99"/>
        <v>1.009791872669725</v>
      </c>
      <c r="AP793" s="16">
        <v>350</v>
      </c>
      <c r="AQ793" s="16">
        <v>462.16437171890777</v>
      </c>
      <c r="AR793" s="16">
        <f t="shared" si="100"/>
        <v>112.16437171890777</v>
      </c>
      <c r="AS793" s="17">
        <f t="shared" si="101"/>
        <v>0.32046963348259366</v>
      </c>
      <c r="AT793" s="6">
        <v>350</v>
      </c>
      <c r="AU793" s="6">
        <v>660.6016845703125</v>
      </c>
      <c r="AV793" s="6">
        <f t="shared" si="102"/>
        <v>310.6016845703125</v>
      </c>
      <c r="AW793" s="7">
        <f t="shared" si="103"/>
        <v>0.88743338448660714</v>
      </c>
    </row>
    <row r="794" spans="1:49" x14ac:dyDescent="0.25">
      <c r="A794" t="s">
        <v>38</v>
      </c>
      <c r="B794" t="s">
        <v>132</v>
      </c>
      <c r="C794">
        <v>101852</v>
      </c>
      <c r="D794">
        <v>2021</v>
      </c>
      <c r="E794" t="s">
        <v>91</v>
      </c>
      <c r="F794" t="s">
        <v>315</v>
      </c>
      <c r="G794" t="s">
        <v>518</v>
      </c>
      <c r="H794" t="s">
        <v>1129</v>
      </c>
      <c r="I794">
        <v>6</v>
      </c>
      <c r="J794" t="s">
        <v>94</v>
      </c>
      <c r="K794">
        <v>4</v>
      </c>
      <c r="L794" t="s">
        <v>44</v>
      </c>
      <c r="M794">
        <v>3.5</v>
      </c>
      <c r="N794" t="s">
        <v>44</v>
      </c>
      <c r="O794" t="s">
        <v>46</v>
      </c>
      <c r="P794">
        <v>3</v>
      </c>
      <c r="Q794" t="s">
        <v>47</v>
      </c>
      <c r="R794" t="s">
        <v>48</v>
      </c>
      <c r="S794" t="s">
        <v>63</v>
      </c>
      <c r="T794">
        <v>295</v>
      </c>
      <c r="U794" t="s">
        <v>50</v>
      </c>
      <c r="V794" t="s">
        <v>64</v>
      </c>
      <c r="W794" t="s">
        <v>228</v>
      </c>
      <c r="X794" t="s">
        <v>141</v>
      </c>
      <c r="Y794" t="s">
        <v>67</v>
      </c>
      <c r="Z794">
        <v>37285</v>
      </c>
      <c r="AA794">
        <v>0</v>
      </c>
      <c r="AB794" t="s">
        <v>54</v>
      </c>
      <c r="AC794" t="s">
        <v>68</v>
      </c>
      <c r="AD794">
        <v>34</v>
      </c>
      <c r="AE794">
        <v>8</v>
      </c>
      <c r="AF794">
        <v>3</v>
      </c>
      <c r="AG794">
        <v>2025</v>
      </c>
      <c r="AH794" s="13">
        <v>18000</v>
      </c>
      <c r="AI794" s="13">
        <v>18170.791015625</v>
      </c>
      <c r="AJ794" s="13">
        <f t="shared" si="96"/>
        <v>170.791015625</v>
      </c>
      <c r="AK794" s="14">
        <f t="shared" si="97"/>
        <v>9.4883897569444445E-3</v>
      </c>
      <c r="AL794" s="9">
        <v>18000</v>
      </c>
      <c r="AM794" s="9">
        <v>15986.03353036023</v>
      </c>
      <c r="AN794" s="9">
        <f t="shared" si="98"/>
        <v>2013.9664696397704</v>
      </c>
      <c r="AO794" s="10">
        <f t="shared" si="99"/>
        <v>0.11188702609109835</v>
      </c>
      <c r="AP794" s="16">
        <v>18000</v>
      </c>
      <c r="AQ794" s="16">
        <v>16808.517489692731</v>
      </c>
      <c r="AR794" s="16">
        <f t="shared" si="100"/>
        <v>1191.482510307269</v>
      </c>
      <c r="AS794" s="17">
        <f t="shared" si="101"/>
        <v>6.6193472794848274E-2</v>
      </c>
      <c r="AT794" s="6">
        <v>18000</v>
      </c>
      <c r="AU794" s="6">
        <v>18713.310546875</v>
      </c>
      <c r="AV794" s="6">
        <f t="shared" si="102"/>
        <v>713.310546875</v>
      </c>
      <c r="AW794" s="7">
        <f t="shared" si="103"/>
        <v>3.9628363715277781E-2</v>
      </c>
    </row>
    <row r="795" spans="1:49" x14ac:dyDescent="0.25">
      <c r="A795" t="s">
        <v>69</v>
      </c>
      <c r="B795" t="s">
        <v>70</v>
      </c>
      <c r="C795">
        <v>82001</v>
      </c>
      <c r="D795">
        <v>2021</v>
      </c>
      <c r="E795" t="s">
        <v>173</v>
      </c>
      <c r="F795" t="s">
        <v>631</v>
      </c>
      <c r="G795" t="s">
        <v>236</v>
      </c>
      <c r="H795" t="s">
        <v>236</v>
      </c>
      <c r="I795">
        <v>4</v>
      </c>
      <c r="J795" t="s">
        <v>82</v>
      </c>
      <c r="K795">
        <v>4</v>
      </c>
      <c r="L795" t="s">
        <v>44</v>
      </c>
      <c r="M795">
        <v>2.4</v>
      </c>
      <c r="N795" t="s">
        <v>45</v>
      </c>
      <c r="O795" t="s">
        <v>46</v>
      </c>
      <c r="P795">
        <v>4</v>
      </c>
      <c r="Q795" t="s">
        <v>47</v>
      </c>
      <c r="R795" t="s">
        <v>48</v>
      </c>
      <c r="S795" t="s">
        <v>102</v>
      </c>
      <c r="T795">
        <v>180</v>
      </c>
      <c r="U795" t="s">
        <v>50</v>
      </c>
      <c r="V795" t="s">
        <v>95</v>
      </c>
      <c r="X795" t="s">
        <v>52</v>
      </c>
      <c r="Y795" t="s">
        <v>106</v>
      </c>
      <c r="AA795">
        <v>0</v>
      </c>
      <c r="AB795" t="s">
        <v>54</v>
      </c>
      <c r="AC795" t="s">
        <v>55</v>
      </c>
      <c r="AD795">
        <v>34</v>
      </c>
      <c r="AE795">
        <v>8</v>
      </c>
      <c r="AF795">
        <v>3</v>
      </c>
      <c r="AG795">
        <v>2025</v>
      </c>
      <c r="AH795" s="13">
        <v>11800</v>
      </c>
      <c r="AI795" s="13">
        <v>13660.357421875</v>
      </c>
      <c r="AJ795" s="13">
        <f t="shared" si="96"/>
        <v>1860.357421875</v>
      </c>
      <c r="AK795" s="14">
        <f t="shared" si="97"/>
        <v>0.15765740863347458</v>
      </c>
      <c r="AL795" s="9">
        <v>11800</v>
      </c>
      <c r="AM795" s="9">
        <v>12945.70884389077</v>
      </c>
      <c r="AN795" s="9">
        <f t="shared" si="98"/>
        <v>1145.7088438907704</v>
      </c>
      <c r="AO795" s="10">
        <f t="shared" si="99"/>
        <v>9.7093969821251722E-2</v>
      </c>
      <c r="AP795" s="16">
        <v>11800</v>
      </c>
      <c r="AQ795" s="16">
        <v>12371.18578683932</v>
      </c>
      <c r="AR795" s="16">
        <f t="shared" si="100"/>
        <v>571.18578683931992</v>
      </c>
      <c r="AS795" s="17">
        <f t="shared" si="101"/>
        <v>4.8405575155874569E-2</v>
      </c>
      <c r="AT795" s="6">
        <v>11800</v>
      </c>
      <c r="AU795" s="6">
        <v>12279.5087890625</v>
      </c>
      <c r="AV795" s="6">
        <f t="shared" si="102"/>
        <v>479.5087890625</v>
      </c>
      <c r="AW795" s="7">
        <f t="shared" si="103"/>
        <v>4.063633805614407E-2</v>
      </c>
    </row>
    <row r="796" spans="1:49" x14ac:dyDescent="0.25">
      <c r="A796" t="s">
        <v>38</v>
      </c>
      <c r="B796" t="s">
        <v>204</v>
      </c>
      <c r="C796">
        <v>115431</v>
      </c>
      <c r="D796">
        <v>2016</v>
      </c>
      <c r="E796" t="s">
        <v>79</v>
      </c>
      <c r="F796" t="s">
        <v>585</v>
      </c>
      <c r="G796" t="s">
        <v>434</v>
      </c>
      <c r="I796">
        <v>6</v>
      </c>
      <c r="K796">
        <v>4</v>
      </c>
      <c r="M796">
        <v>3.6</v>
      </c>
      <c r="N796" t="s">
        <v>45</v>
      </c>
      <c r="O796" t="s">
        <v>46</v>
      </c>
      <c r="P796">
        <v>2</v>
      </c>
      <c r="Q796" t="s">
        <v>47</v>
      </c>
      <c r="R796" t="s">
        <v>48</v>
      </c>
      <c r="S796" t="s">
        <v>102</v>
      </c>
      <c r="U796" t="s">
        <v>50</v>
      </c>
      <c r="V796" t="s">
        <v>64</v>
      </c>
      <c r="W796" t="s">
        <v>700</v>
      </c>
      <c r="X796" t="s">
        <v>66</v>
      </c>
      <c r="Y796" t="s">
        <v>67</v>
      </c>
      <c r="AA796">
        <v>0</v>
      </c>
      <c r="AB796" t="s">
        <v>54</v>
      </c>
      <c r="AC796" t="s">
        <v>55</v>
      </c>
      <c r="AD796">
        <v>34</v>
      </c>
      <c r="AE796">
        <v>8</v>
      </c>
      <c r="AF796">
        <v>3</v>
      </c>
      <c r="AG796">
        <v>2025</v>
      </c>
      <c r="AH796" s="13">
        <v>4250</v>
      </c>
      <c r="AI796" s="13">
        <v>3711.75732421875</v>
      </c>
      <c r="AJ796" s="13">
        <f t="shared" si="96"/>
        <v>538.24267578125</v>
      </c>
      <c r="AK796" s="14">
        <f t="shared" si="97"/>
        <v>0.12664533547794118</v>
      </c>
      <c r="AL796" s="9">
        <v>4250</v>
      </c>
      <c r="AM796" s="9">
        <v>3593.7757872492239</v>
      </c>
      <c r="AN796" s="9">
        <f t="shared" si="98"/>
        <v>656.22421275077613</v>
      </c>
      <c r="AO796" s="10">
        <f t="shared" si="99"/>
        <v>0.15440569711782967</v>
      </c>
      <c r="AP796" s="16">
        <v>4250</v>
      </c>
      <c r="AQ796" s="16">
        <v>3586.7113311910498</v>
      </c>
      <c r="AR796" s="16">
        <f t="shared" si="100"/>
        <v>663.28866880895021</v>
      </c>
      <c r="AS796" s="17">
        <f t="shared" si="101"/>
        <v>0.15606792207269415</v>
      </c>
      <c r="AT796" s="6">
        <v>4250</v>
      </c>
      <c r="AU796" s="6">
        <v>3283.703369140625</v>
      </c>
      <c r="AV796" s="6">
        <f t="shared" si="102"/>
        <v>966.296630859375</v>
      </c>
      <c r="AW796" s="7">
        <f t="shared" si="103"/>
        <v>0.22736391314338236</v>
      </c>
    </row>
    <row r="797" spans="1:49" x14ac:dyDescent="0.25">
      <c r="A797" t="s">
        <v>38</v>
      </c>
      <c r="B797" t="s">
        <v>229</v>
      </c>
      <c r="C797">
        <v>148581</v>
      </c>
      <c r="D797">
        <v>2015</v>
      </c>
      <c r="E797" t="s">
        <v>217</v>
      </c>
      <c r="F797" t="s">
        <v>298</v>
      </c>
      <c r="G797" t="s">
        <v>60</v>
      </c>
      <c r="I797">
        <v>6</v>
      </c>
      <c r="J797" t="s">
        <v>74</v>
      </c>
      <c r="K797">
        <v>4</v>
      </c>
      <c r="L797" t="s">
        <v>44</v>
      </c>
      <c r="M797">
        <v>6.7</v>
      </c>
      <c r="N797" t="s">
        <v>62</v>
      </c>
      <c r="O797" t="s">
        <v>46</v>
      </c>
      <c r="P797">
        <v>3</v>
      </c>
      <c r="Q797" t="s">
        <v>75</v>
      </c>
      <c r="R797" t="s">
        <v>76</v>
      </c>
      <c r="S797" t="s">
        <v>63</v>
      </c>
      <c r="U797" t="s">
        <v>300</v>
      </c>
      <c r="X797" t="s">
        <v>301</v>
      </c>
      <c r="Y797" t="s">
        <v>106</v>
      </c>
      <c r="AA797">
        <v>0</v>
      </c>
      <c r="AB797" t="s">
        <v>54</v>
      </c>
      <c r="AC797" t="s">
        <v>302</v>
      </c>
      <c r="AD797">
        <v>34</v>
      </c>
      <c r="AE797">
        <v>8</v>
      </c>
      <c r="AF797">
        <v>3</v>
      </c>
      <c r="AG797">
        <v>2025</v>
      </c>
      <c r="AH797" s="13">
        <v>22750</v>
      </c>
      <c r="AI797" s="13">
        <v>17350.62109375</v>
      </c>
      <c r="AJ797" s="13">
        <f t="shared" si="96"/>
        <v>5399.37890625</v>
      </c>
      <c r="AK797" s="14">
        <f t="shared" si="97"/>
        <v>0.23733533653846153</v>
      </c>
      <c r="AL797" s="9">
        <v>22750</v>
      </c>
      <c r="AM797" s="9">
        <v>14149.03529839942</v>
      </c>
      <c r="AN797" s="9">
        <f t="shared" si="98"/>
        <v>8600.9647016005802</v>
      </c>
      <c r="AO797" s="10">
        <f t="shared" si="99"/>
        <v>0.37806438248793761</v>
      </c>
      <c r="AP797" s="16">
        <v>22750</v>
      </c>
      <c r="AQ797" s="16">
        <v>14872.263475948659</v>
      </c>
      <c r="AR797" s="16">
        <f t="shared" si="100"/>
        <v>7877.7365240513409</v>
      </c>
      <c r="AS797" s="17">
        <f t="shared" si="101"/>
        <v>0.34627413292533366</v>
      </c>
      <c r="AT797" s="6">
        <v>22750</v>
      </c>
      <c r="AU797" s="6">
        <v>16519.345703125</v>
      </c>
      <c r="AV797" s="6">
        <f t="shared" si="102"/>
        <v>6230.654296875</v>
      </c>
      <c r="AW797" s="7">
        <f t="shared" si="103"/>
        <v>0.27387491414835163</v>
      </c>
    </row>
    <row r="798" spans="1:49" x14ac:dyDescent="0.25">
      <c r="A798" t="s">
        <v>56</v>
      </c>
      <c r="B798" t="s">
        <v>303</v>
      </c>
      <c r="C798">
        <v>180673</v>
      </c>
      <c r="D798">
        <v>2011</v>
      </c>
      <c r="E798" t="s">
        <v>71</v>
      </c>
      <c r="F798" t="s">
        <v>199</v>
      </c>
      <c r="I798">
        <v>4</v>
      </c>
      <c r="J798" t="s">
        <v>43</v>
      </c>
      <c r="K798">
        <v>4</v>
      </c>
      <c r="L798" t="s">
        <v>44</v>
      </c>
      <c r="M798">
        <v>2.5</v>
      </c>
      <c r="N798" t="s">
        <v>44</v>
      </c>
      <c r="O798" t="s">
        <v>46</v>
      </c>
      <c r="Q798" t="s">
        <v>47</v>
      </c>
      <c r="R798" t="s">
        <v>207</v>
      </c>
      <c r="S798" t="s">
        <v>63</v>
      </c>
      <c r="U798" t="s">
        <v>50</v>
      </c>
      <c r="X798" t="s">
        <v>52</v>
      </c>
      <c r="Y798" t="s">
        <v>97</v>
      </c>
      <c r="AA798">
        <v>0</v>
      </c>
      <c r="AB798" t="s">
        <v>54</v>
      </c>
      <c r="AC798" t="s">
        <v>55</v>
      </c>
      <c r="AD798">
        <v>34</v>
      </c>
      <c r="AE798">
        <v>8</v>
      </c>
      <c r="AF798">
        <v>3</v>
      </c>
      <c r="AG798">
        <v>2025</v>
      </c>
      <c r="AH798" s="13">
        <v>1000</v>
      </c>
      <c r="AI798" s="13">
        <v>1090.1962890625</v>
      </c>
      <c r="AJ798" s="13">
        <f t="shared" si="96"/>
        <v>90.1962890625</v>
      </c>
      <c r="AK798" s="14">
        <f t="shared" si="97"/>
        <v>9.0196289062500004E-2</v>
      </c>
      <c r="AL798" s="9">
        <v>1000</v>
      </c>
      <c r="AM798" s="9">
        <v>1169.897937910039</v>
      </c>
      <c r="AN798" s="9">
        <f t="shared" si="98"/>
        <v>169.89793791003899</v>
      </c>
      <c r="AO798" s="10">
        <f t="shared" si="99"/>
        <v>0.16989793791003899</v>
      </c>
      <c r="AP798" s="16">
        <v>1000</v>
      </c>
      <c r="AQ798" s="16">
        <v>849.95624717118221</v>
      </c>
      <c r="AR798" s="16">
        <f t="shared" si="100"/>
        <v>150.04375282881779</v>
      </c>
      <c r="AS798" s="17">
        <f t="shared" si="101"/>
        <v>0.15004375282881779</v>
      </c>
      <c r="AT798" s="6">
        <v>1000</v>
      </c>
      <c r="AU798" s="6">
        <v>854.13946533203125</v>
      </c>
      <c r="AV798" s="6">
        <f t="shared" si="102"/>
        <v>145.86053466796875</v>
      </c>
      <c r="AW798" s="7">
        <f t="shared" si="103"/>
        <v>0.14586053466796875</v>
      </c>
    </row>
    <row r="799" spans="1:49" x14ac:dyDescent="0.25">
      <c r="A799" t="s">
        <v>56</v>
      </c>
      <c r="B799" t="s">
        <v>104</v>
      </c>
      <c r="C799">
        <v>106555</v>
      </c>
      <c r="D799">
        <v>2015</v>
      </c>
      <c r="E799" t="s">
        <v>241</v>
      </c>
      <c r="F799" t="s">
        <v>846</v>
      </c>
      <c r="G799" t="s">
        <v>758</v>
      </c>
      <c r="H799" t="s">
        <v>1130</v>
      </c>
      <c r="I799">
        <v>4</v>
      </c>
      <c r="J799" t="s">
        <v>61</v>
      </c>
      <c r="K799">
        <v>4</v>
      </c>
      <c r="L799" t="s">
        <v>44</v>
      </c>
      <c r="M799">
        <v>2.1</v>
      </c>
      <c r="N799" t="s">
        <v>44</v>
      </c>
      <c r="Q799" t="s">
        <v>47</v>
      </c>
      <c r="R799" t="s">
        <v>48</v>
      </c>
      <c r="S799" t="s">
        <v>139</v>
      </c>
      <c r="U799" t="s">
        <v>300</v>
      </c>
      <c r="V799" t="s">
        <v>95</v>
      </c>
      <c r="X799" t="s">
        <v>66</v>
      </c>
      <c r="Y799" t="s">
        <v>67</v>
      </c>
      <c r="AA799">
        <v>0</v>
      </c>
      <c r="AB799" t="s">
        <v>54</v>
      </c>
      <c r="AC799" t="s">
        <v>55</v>
      </c>
      <c r="AD799">
        <v>34</v>
      </c>
      <c r="AE799">
        <v>8</v>
      </c>
      <c r="AF799">
        <v>3</v>
      </c>
      <c r="AG799">
        <v>2025</v>
      </c>
      <c r="AH799" s="13">
        <v>9200</v>
      </c>
      <c r="AI799" s="13">
        <v>7156.49658203125</v>
      </c>
      <c r="AJ799" s="13">
        <f t="shared" si="96"/>
        <v>2043.50341796875</v>
      </c>
      <c r="AK799" s="14">
        <f t="shared" si="97"/>
        <v>0.22211993673573369</v>
      </c>
      <c r="AL799" s="9">
        <v>9200</v>
      </c>
      <c r="AM799" s="9">
        <v>8214.9730649548619</v>
      </c>
      <c r="AN799" s="9">
        <f t="shared" si="98"/>
        <v>985.02693504513809</v>
      </c>
      <c r="AO799" s="10">
        <f t="shared" si="99"/>
        <v>0.10706814511360196</v>
      </c>
      <c r="AP799" s="16">
        <v>9200</v>
      </c>
      <c r="AQ799" s="16">
        <v>7823.6209861081052</v>
      </c>
      <c r="AR799" s="16">
        <f t="shared" si="100"/>
        <v>1376.3790138918948</v>
      </c>
      <c r="AS799" s="17">
        <f t="shared" si="101"/>
        <v>0.14960641455346682</v>
      </c>
      <c r="AT799" s="6">
        <v>9200</v>
      </c>
      <c r="AU799" s="6">
        <v>7230.5078125</v>
      </c>
      <c r="AV799" s="6">
        <f t="shared" si="102"/>
        <v>1969.4921875</v>
      </c>
      <c r="AW799" s="7">
        <f t="shared" si="103"/>
        <v>0.21407523777173912</v>
      </c>
    </row>
    <row r="800" spans="1:49" x14ac:dyDescent="0.25">
      <c r="A800" t="s">
        <v>69</v>
      </c>
      <c r="B800" t="s">
        <v>70</v>
      </c>
      <c r="C800">
        <v>191795</v>
      </c>
      <c r="D800">
        <v>2017</v>
      </c>
      <c r="E800" t="s">
        <v>71</v>
      </c>
      <c r="F800" t="s">
        <v>199</v>
      </c>
      <c r="I800">
        <v>4</v>
      </c>
      <c r="J800" t="s">
        <v>82</v>
      </c>
      <c r="K800">
        <v>4</v>
      </c>
      <c r="L800" t="s">
        <v>44</v>
      </c>
      <c r="M800">
        <v>2.5</v>
      </c>
      <c r="N800" t="s">
        <v>45</v>
      </c>
      <c r="O800" t="s">
        <v>46</v>
      </c>
      <c r="P800">
        <v>3</v>
      </c>
      <c r="Q800" t="s">
        <v>47</v>
      </c>
      <c r="R800" t="s">
        <v>207</v>
      </c>
      <c r="S800" t="s">
        <v>49</v>
      </c>
      <c r="T800">
        <v>170</v>
      </c>
      <c r="U800" t="s">
        <v>50</v>
      </c>
      <c r="X800" t="s">
        <v>52</v>
      </c>
      <c r="Y800" t="s">
        <v>97</v>
      </c>
      <c r="AA800">
        <v>0</v>
      </c>
      <c r="AB800" t="s">
        <v>54</v>
      </c>
      <c r="AC800" t="s">
        <v>55</v>
      </c>
      <c r="AD800">
        <v>34</v>
      </c>
      <c r="AE800">
        <v>8</v>
      </c>
      <c r="AF800">
        <v>3</v>
      </c>
      <c r="AG800">
        <v>2025</v>
      </c>
      <c r="AH800" s="13">
        <v>3000</v>
      </c>
      <c r="AI800" s="13">
        <v>1867.720092773438</v>
      </c>
      <c r="AJ800" s="13">
        <f t="shared" si="96"/>
        <v>1132.279907226562</v>
      </c>
      <c r="AK800" s="14">
        <f t="shared" si="97"/>
        <v>0.37742663574218732</v>
      </c>
      <c r="AL800" s="9">
        <v>3000</v>
      </c>
      <c r="AM800" s="9">
        <v>2011.5288790092609</v>
      </c>
      <c r="AN800" s="9">
        <f t="shared" si="98"/>
        <v>988.47112099073911</v>
      </c>
      <c r="AO800" s="10">
        <f t="shared" si="99"/>
        <v>0.32949037366357969</v>
      </c>
      <c r="AP800" s="16">
        <v>3000</v>
      </c>
      <c r="AQ800" s="16">
        <v>1715.733351879572</v>
      </c>
      <c r="AR800" s="16">
        <f t="shared" si="100"/>
        <v>1284.266648120428</v>
      </c>
      <c r="AS800" s="17">
        <f t="shared" si="101"/>
        <v>0.42808888270680934</v>
      </c>
      <c r="AT800" s="6">
        <v>3000</v>
      </c>
      <c r="AU800" s="6">
        <v>1901.111206054688</v>
      </c>
      <c r="AV800" s="6">
        <f t="shared" si="102"/>
        <v>1098.888793945312</v>
      </c>
      <c r="AW800" s="7">
        <f t="shared" si="103"/>
        <v>0.36629626464843734</v>
      </c>
    </row>
    <row r="801" spans="1:49" x14ac:dyDescent="0.25">
      <c r="A801" t="s">
        <v>38</v>
      </c>
      <c r="B801" t="s">
        <v>229</v>
      </c>
      <c r="C801">
        <v>141790</v>
      </c>
      <c r="D801">
        <v>2018</v>
      </c>
      <c r="E801" t="s">
        <v>71</v>
      </c>
      <c r="F801" t="s">
        <v>238</v>
      </c>
      <c r="I801">
        <v>4</v>
      </c>
      <c r="J801" t="s">
        <v>74</v>
      </c>
      <c r="K801">
        <v>4</v>
      </c>
      <c r="L801" t="s">
        <v>44</v>
      </c>
      <c r="M801">
        <v>1.8</v>
      </c>
      <c r="N801" t="s">
        <v>45</v>
      </c>
      <c r="Q801" t="s">
        <v>84</v>
      </c>
      <c r="R801" t="s">
        <v>85</v>
      </c>
      <c r="S801" t="s">
        <v>49</v>
      </c>
      <c r="T801">
        <v>130</v>
      </c>
      <c r="U801" t="s">
        <v>50</v>
      </c>
      <c r="V801" t="s">
        <v>95</v>
      </c>
      <c r="X801" t="s">
        <v>87</v>
      </c>
      <c r="Y801" t="s">
        <v>106</v>
      </c>
      <c r="Z801">
        <v>16685</v>
      </c>
      <c r="AA801">
        <v>0</v>
      </c>
      <c r="AB801" t="s">
        <v>54</v>
      </c>
      <c r="AC801" t="s">
        <v>89</v>
      </c>
      <c r="AD801">
        <v>34</v>
      </c>
      <c r="AE801">
        <v>8</v>
      </c>
      <c r="AF801">
        <v>3</v>
      </c>
      <c r="AG801">
        <v>2025</v>
      </c>
      <c r="AH801" s="13">
        <v>3100</v>
      </c>
      <c r="AI801" s="13">
        <v>1934.193603515625</v>
      </c>
      <c r="AJ801" s="13">
        <f t="shared" si="96"/>
        <v>1165.806396484375</v>
      </c>
      <c r="AK801" s="14">
        <f t="shared" si="97"/>
        <v>0.37606657951108868</v>
      </c>
      <c r="AL801" s="9">
        <v>3100</v>
      </c>
      <c r="AM801" s="9">
        <v>2123.7419430187069</v>
      </c>
      <c r="AN801" s="9">
        <f t="shared" si="98"/>
        <v>976.25805698129307</v>
      </c>
      <c r="AO801" s="10">
        <f t="shared" si="99"/>
        <v>0.31492195386493327</v>
      </c>
      <c r="AP801" s="16">
        <v>3100</v>
      </c>
      <c r="AQ801" s="16">
        <v>2444.7636387273701</v>
      </c>
      <c r="AR801" s="16">
        <f t="shared" si="100"/>
        <v>655.23636127262989</v>
      </c>
      <c r="AS801" s="17">
        <f t="shared" si="101"/>
        <v>0.21136656815246124</v>
      </c>
      <c r="AT801" s="6">
        <v>3100</v>
      </c>
      <c r="AU801" s="6">
        <v>1918.941528320312</v>
      </c>
      <c r="AV801" s="6">
        <f t="shared" si="102"/>
        <v>1181.058471679688</v>
      </c>
      <c r="AW801" s="7">
        <f t="shared" si="103"/>
        <v>0.38098660376764126</v>
      </c>
    </row>
    <row r="802" spans="1:49" x14ac:dyDescent="0.25">
      <c r="A802" t="s">
        <v>56</v>
      </c>
      <c r="B802" t="s">
        <v>303</v>
      </c>
      <c r="C802">
        <v>141226</v>
      </c>
      <c r="D802">
        <v>2013</v>
      </c>
      <c r="E802" t="s">
        <v>124</v>
      </c>
      <c r="F802" t="s">
        <v>321</v>
      </c>
      <c r="G802" t="s">
        <v>1131</v>
      </c>
      <c r="I802">
        <v>4</v>
      </c>
      <c r="J802" t="s">
        <v>82</v>
      </c>
      <c r="K802">
        <v>4</v>
      </c>
      <c r="L802" t="s">
        <v>44</v>
      </c>
      <c r="M802">
        <v>2.4</v>
      </c>
      <c r="N802" t="s">
        <v>45</v>
      </c>
      <c r="O802" t="s">
        <v>42</v>
      </c>
      <c r="Q802" t="s">
        <v>84</v>
      </c>
      <c r="R802" t="s">
        <v>85</v>
      </c>
      <c r="U802" t="s">
        <v>50</v>
      </c>
      <c r="W802" t="s">
        <v>927</v>
      </c>
      <c r="X802" t="s">
        <v>87</v>
      </c>
      <c r="Y802" t="s">
        <v>67</v>
      </c>
      <c r="AA802">
        <v>0</v>
      </c>
      <c r="AB802" t="s">
        <v>54</v>
      </c>
      <c r="AC802" t="s">
        <v>89</v>
      </c>
      <c r="AD802">
        <v>34</v>
      </c>
      <c r="AE802">
        <v>8</v>
      </c>
      <c r="AF802">
        <v>3</v>
      </c>
      <c r="AG802">
        <v>2025</v>
      </c>
      <c r="AH802" s="13">
        <v>700</v>
      </c>
      <c r="AI802" s="13">
        <v>737.36712646484375</v>
      </c>
      <c r="AJ802" s="13">
        <f t="shared" si="96"/>
        <v>37.36712646484375</v>
      </c>
      <c r="AK802" s="14">
        <f t="shared" si="97"/>
        <v>5.3381609235491075E-2</v>
      </c>
      <c r="AL802" s="9">
        <v>700</v>
      </c>
      <c r="AM802" s="9">
        <v>737.610300616686</v>
      </c>
      <c r="AN802" s="9">
        <f t="shared" si="98"/>
        <v>37.610300616686004</v>
      </c>
      <c r="AO802" s="10">
        <f t="shared" si="99"/>
        <v>5.3729000880980003E-2</v>
      </c>
      <c r="AP802" s="16">
        <v>700</v>
      </c>
      <c r="AQ802" s="16">
        <v>772.52922209852898</v>
      </c>
      <c r="AR802" s="16">
        <f t="shared" si="100"/>
        <v>72.529222098528976</v>
      </c>
      <c r="AS802" s="17">
        <f t="shared" si="101"/>
        <v>0.10361317442646996</v>
      </c>
      <c r="AT802" s="6">
        <v>700</v>
      </c>
      <c r="AU802" s="6">
        <v>816.91741943359375</v>
      </c>
      <c r="AV802" s="6">
        <f t="shared" si="102"/>
        <v>116.91741943359375</v>
      </c>
      <c r="AW802" s="7">
        <f t="shared" si="103"/>
        <v>0.16702488490513392</v>
      </c>
    </row>
    <row r="803" spans="1:49" x14ac:dyDescent="0.25">
      <c r="A803" t="s">
        <v>69</v>
      </c>
      <c r="B803" t="s">
        <v>112</v>
      </c>
      <c r="C803">
        <v>9125</v>
      </c>
      <c r="D803">
        <v>2024</v>
      </c>
      <c r="E803" t="s">
        <v>58</v>
      </c>
      <c r="F803" t="s">
        <v>986</v>
      </c>
      <c r="H803" t="s">
        <v>1132</v>
      </c>
      <c r="I803">
        <v>4</v>
      </c>
      <c r="J803" t="s">
        <v>43</v>
      </c>
      <c r="K803">
        <v>4</v>
      </c>
      <c r="L803" t="s">
        <v>44</v>
      </c>
      <c r="M803">
        <v>2</v>
      </c>
      <c r="N803" t="s">
        <v>62</v>
      </c>
      <c r="O803" t="s">
        <v>46</v>
      </c>
      <c r="Q803" t="s">
        <v>47</v>
      </c>
      <c r="R803" t="s">
        <v>48</v>
      </c>
      <c r="S803" t="s">
        <v>63</v>
      </c>
      <c r="U803" t="s">
        <v>50</v>
      </c>
      <c r="V803" t="s">
        <v>95</v>
      </c>
      <c r="W803" t="s">
        <v>65</v>
      </c>
      <c r="X803" t="s">
        <v>52</v>
      </c>
      <c r="Y803" t="s">
        <v>106</v>
      </c>
      <c r="AA803">
        <v>0</v>
      </c>
      <c r="AB803" t="s">
        <v>54</v>
      </c>
      <c r="AC803" t="s">
        <v>55</v>
      </c>
      <c r="AD803">
        <v>34</v>
      </c>
      <c r="AE803">
        <v>8</v>
      </c>
      <c r="AF803">
        <v>3</v>
      </c>
      <c r="AG803">
        <v>2025</v>
      </c>
      <c r="AH803" s="13">
        <v>31500</v>
      </c>
      <c r="AI803" s="13">
        <v>27695.705078125</v>
      </c>
      <c r="AJ803" s="13">
        <f t="shared" si="96"/>
        <v>3804.294921875</v>
      </c>
      <c r="AK803" s="14">
        <f t="shared" si="97"/>
        <v>0.12077126736111111</v>
      </c>
      <c r="AL803" s="9">
        <v>31500</v>
      </c>
      <c r="AM803" s="9">
        <v>32660.660379774668</v>
      </c>
      <c r="AN803" s="9">
        <f t="shared" si="98"/>
        <v>1160.6603797746684</v>
      </c>
      <c r="AO803" s="10">
        <f t="shared" si="99"/>
        <v>3.6846361262687886E-2</v>
      </c>
      <c r="AP803" s="16">
        <v>31500</v>
      </c>
      <c r="AQ803" s="16">
        <v>30695.779765479481</v>
      </c>
      <c r="AR803" s="16">
        <f t="shared" si="100"/>
        <v>804.22023452051872</v>
      </c>
      <c r="AS803" s="17">
        <f t="shared" si="101"/>
        <v>2.5530801095889483E-2</v>
      </c>
      <c r="AT803" s="6">
        <v>31500</v>
      </c>
      <c r="AU803" s="6">
        <v>31073.888671875</v>
      </c>
      <c r="AV803" s="6">
        <f t="shared" si="102"/>
        <v>426.111328125</v>
      </c>
      <c r="AW803" s="7">
        <f t="shared" si="103"/>
        <v>1.352734375E-2</v>
      </c>
    </row>
    <row r="804" spans="1:49" x14ac:dyDescent="0.25">
      <c r="A804" t="s">
        <v>56</v>
      </c>
      <c r="B804" t="s">
        <v>196</v>
      </c>
      <c r="C804">
        <v>157293</v>
      </c>
      <c r="D804">
        <v>2011</v>
      </c>
      <c r="E804" t="s">
        <v>145</v>
      </c>
      <c r="F804" t="s">
        <v>307</v>
      </c>
      <c r="G804" t="s">
        <v>1133</v>
      </c>
      <c r="I804">
        <v>4</v>
      </c>
      <c r="J804" t="s">
        <v>210</v>
      </c>
      <c r="K804">
        <v>4</v>
      </c>
      <c r="L804" t="s">
        <v>44</v>
      </c>
      <c r="M804">
        <v>2.4</v>
      </c>
      <c r="N804" t="s">
        <v>45</v>
      </c>
      <c r="O804" t="s">
        <v>46</v>
      </c>
      <c r="Q804" t="s">
        <v>84</v>
      </c>
      <c r="R804" t="s">
        <v>85</v>
      </c>
      <c r="T804">
        <v>177</v>
      </c>
      <c r="U804" t="s">
        <v>50</v>
      </c>
      <c r="V804" t="s">
        <v>95</v>
      </c>
      <c r="W804" t="s">
        <v>741</v>
      </c>
      <c r="X804" t="s">
        <v>52</v>
      </c>
      <c r="Y804" t="s">
        <v>67</v>
      </c>
      <c r="AA804">
        <v>0</v>
      </c>
      <c r="AB804" t="s">
        <v>54</v>
      </c>
      <c r="AC804" t="s">
        <v>89</v>
      </c>
      <c r="AD804">
        <v>34</v>
      </c>
      <c r="AE804">
        <v>8</v>
      </c>
      <c r="AF804">
        <v>3</v>
      </c>
      <c r="AG804">
        <v>2025</v>
      </c>
      <c r="AH804" s="13">
        <v>3200</v>
      </c>
      <c r="AI804" s="13">
        <v>3100.287841796875</v>
      </c>
      <c r="AJ804" s="13">
        <f t="shared" si="96"/>
        <v>99.712158203125</v>
      </c>
      <c r="AK804" s="14">
        <f t="shared" si="97"/>
        <v>3.1160049438476563E-2</v>
      </c>
      <c r="AL804" s="9">
        <v>3200</v>
      </c>
      <c r="AM804" s="9">
        <v>3827.4275003344151</v>
      </c>
      <c r="AN804" s="9">
        <f t="shared" si="98"/>
        <v>627.42750033441507</v>
      </c>
      <c r="AO804" s="10">
        <f t="shared" si="99"/>
        <v>0.19607109385450472</v>
      </c>
      <c r="AP804" s="16">
        <v>3200</v>
      </c>
      <c r="AQ804" s="16">
        <v>2948.1617110495558</v>
      </c>
      <c r="AR804" s="16">
        <f t="shared" si="100"/>
        <v>251.83828895044417</v>
      </c>
      <c r="AS804" s="17">
        <f t="shared" si="101"/>
        <v>7.8699465297013799E-2</v>
      </c>
      <c r="AT804" s="6">
        <v>3200</v>
      </c>
      <c r="AU804" s="6">
        <v>3388.572021484375</v>
      </c>
      <c r="AV804" s="6">
        <f t="shared" si="102"/>
        <v>188.572021484375</v>
      </c>
      <c r="AW804" s="7">
        <f t="shared" si="103"/>
        <v>5.8928756713867186E-2</v>
      </c>
    </row>
    <row r="805" spans="1:49" x14ac:dyDescent="0.25">
      <c r="A805" t="s">
        <v>56</v>
      </c>
      <c r="B805" t="s">
        <v>104</v>
      </c>
      <c r="C805">
        <v>148697</v>
      </c>
      <c r="D805">
        <v>2011</v>
      </c>
      <c r="E805" t="s">
        <v>58</v>
      </c>
      <c r="F805" t="s">
        <v>880</v>
      </c>
      <c r="H805" t="s">
        <v>584</v>
      </c>
      <c r="I805">
        <v>8</v>
      </c>
      <c r="J805" t="s">
        <v>101</v>
      </c>
      <c r="K805">
        <v>4</v>
      </c>
      <c r="L805" t="s">
        <v>44</v>
      </c>
      <c r="M805">
        <v>6.7</v>
      </c>
      <c r="N805" t="s">
        <v>62</v>
      </c>
      <c r="O805" t="s">
        <v>83</v>
      </c>
      <c r="P805">
        <v>1</v>
      </c>
      <c r="Q805" t="s">
        <v>75</v>
      </c>
      <c r="R805" t="s">
        <v>76</v>
      </c>
      <c r="S805" t="s">
        <v>63</v>
      </c>
      <c r="T805">
        <v>400</v>
      </c>
      <c r="U805" t="s">
        <v>300</v>
      </c>
      <c r="V805" t="s">
        <v>64</v>
      </c>
      <c r="X805" t="s">
        <v>301</v>
      </c>
      <c r="Y805" t="s">
        <v>67</v>
      </c>
      <c r="AA805">
        <v>0</v>
      </c>
      <c r="AB805" t="s">
        <v>54</v>
      </c>
      <c r="AC805" t="s">
        <v>302</v>
      </c>
      <c r="AD805">
        <v>34</v>
      </c>
      <c r="AE805">
        <v>8</v>
      </c>
      <c r="AF805">
        <v>3</v>
      </c>
      <c r="AG805">
        <v>2025</v>
      </c>
      <c r="AH805" s="13">
        <v>3000</v>
      </c>
      <c r="AI805" s="13">
        <v>2340.767578125</v>
      </c>
      <c r="AJ805" s="13">
        <f t="shared" si="96"/>
        <v>659.232421875</v>
      </c>
      <c r="AK805" s="14">
        <f t="shared" si="97"/>
        <v>0.219744140625</v>
      </c>
      <c r="AL805" s="9">
        <v>3000</v>
      </c>
      <c r="AM805" s="9">
        <v>2543.0898400288761</v>
      </c>
      <c r="AN805" s="9">
        <f t="shared" si="98"/>
        <v>456.9101599711239</v>
      </c>
      <c r="AO805" s="10">
        <f t="shared" si="99"/>
        <v>0.1523033866570413</v>
      </c>
      <c r="AP805" s="16">
        <v>3000</v>
      </c>
      <c r="AQ805" s="16">
        <v>3725.920212528531</v>
      </c>
      <c r="AR805" s="16">
        <f t="shared" si="100"/>
        <v>725.92021252853101</v>
      </c>
      <c r="AS805" s="17">
        <f t="shared" si="101"/>
        <v>0.24197340417617699</v>
      </c>
      <c r="AT805" s="6">
        <v>3000</v>
      </c>
      <c r="AU805" s="6">
        <v>3256.94189453125</v>
      </c>
      <c r="AV805" s="6">
        <f t="shared" si="102"/>
        <v>256.94189453125</v>
      </c>
      <c r="AW805" s="7">
        <f t="shared" si="103"/>
        <v>8.5647298177083331E-2</v>
      </c>
    </row>
    <row r="806" spans="1:49" x14ac:dyDescent="0.25">
      <c r="A806" t="s">
        <v>38</v>
      </c>
      <c r="B806" t="s">
        <v>204</v>
      </c>
      <c r="C806">
        <v>58897</v>
      </c>
      <c r="D806">
        <v>2019</v>
      </c>
      <c r="E806" t="s">
        <v>1134</v>
      </c>
      <c r="F806" t="s">
        <v>1135</v>
      </c>
      <c r="H806" t="s">
        <v>1136</v>
      </c>
      <c r="I806">
        <v>4</v>
      </c>
      <c r="K806">
        <v>4</v>
      </c>
      <c r="M806">
        <v>2</v>
      </c>
      <c r="N806" t="s">
        <v>44</v>
      </c>
      <c r="O806" t="s">
        <v>46</v>
      </c>
      <c r="P806">
        <v>2</v>
      </c>
      <c r="Q806" t="s">
        <v>84</v>
      </c>
      <c r="R806" t="s">
        <v>85</v>
      </c>
      <c r="S806" t="s">
        <v>139</v>
      </c>
      <c r="T806">
        <v>280</v>
      </c>
      <c r="U806" t="s">
        <v>50</v>
      </c>
      <c r="V806" t="s">
        <v>95</v>
      </c>
      <c r="X806" t="s">
        <v>87</v>
      </c>
      <c r="Y806" t="s">
        <v>331</v>
      </c>
      <c r="AA806">
        <v>0</v>
      </c>
      <c r="AB806" t="s">
        <v>54</v>
      </c>
      <c r="AC806" t="s">
        <v>89</v>
      </c>
      <c r="AD806">
        <v>34</v>
      </c>
      <c r="AE806">
        <v>8</v>
      </c>
      <c r="AF806">
        <v>3</v>
      </c>
      <c r="AG806">
        <v>2025</v>
      </c>
      <c r="AH806" s="13">
        <v>8700</v>
      </c>
      <c r="AI806" s="13">
        <v>9469.240234375</v>
      </c>
      <c r="AJ806" s="13">
        <f t="shared" si="96"/>
        <v>769.240234375</v>
      </c>
      <c r="AK806" s="14">
        <f t="shared" si="97"/>
        <v>8.8418417744252867E-2</v>
      </c>
      <c r="AL806" s="9">
        <v>8700</v>
      </c>
      <c r="AM806" s="9">
        <v>9826.6648830320937</v>
      </c>
      <c r="AN806" s="9">
        <f t="shared" si="98"/>
        <v>1126.6648830320937</v>
      </c>
      <c r="AO806" s="10">
        <f t="shared" si="99"/>
        <v>0.1295017106933441</v>
      </c>
      <c r="AP806" s="16">
        <v>8700</v>
      </c>
      <c r="AQ806" s="16">
        <v>9369.0600864052922</v>
      </c>
      <c r="AR806" s="16">
        <f t="shared" si="100"/>
        <v>669.06008640529217</v>
      </c>
      <c r="AS806" s="17">
        <f t="shared" si="101"/>
        <v>7.6903458207504841E-2</v>
      </c>
      <c r="AT806" s="6">
        <v>8700</v>
      </c>
      <c r="AU806" s="6">
        <v>9255.7578125</v>
      </c>
      <c r="AV806" s="6">
        <f t="shared" si="102"/>
        <v>555.7578125</v>
      </c>
      <c r="AW806" s="7">
        <f t="shared" si="103"/>
        <v>6.3880208333333327E-2</v>
      </c>
    </row>
    <row r="807" spans="1:49" x14ac:dyDescent="0.25">
      <c r="A807" t="s">
        <v>38</v>
      </c>
      <c r="B807" t="s">
        <v>132</v>
      </c>
      <c r="C807">
        <v>24865</v>
      </c>
      <c r="D807">
        <v>2021</v>
      </c>
      <c r="E807" t="s">
        <v>79</v>
      </c>
      <c r="F807" t="s">
        <v>272</v>
      </c>
      <c r="G807" t="s">
        <v>273</v>
      </c>
      <c r="H807" t="s">
        <v>162</v>
      </c>
      <c r="I807">
        <v>6</v>
      </c>
      <c r="J807" t="s">
        <v>43</v>
      </c>
      <c r="K807">
        <v>4</v>
      </c>
      <c r="L807" t="s">
        <v>44</v>
      </c>
      <c r="M807">
        <v>3</v>
      </c>
      <c r="N807" t="s">
        <v>116</v>
      </c>
      <c r="O807" t="s">
        <v>46</v>
      </c>
      <c r="P807">
        <v>4</v>
      </c>
      <c r="Q807" t="s">
        <v>75</v>
      </c>
      <c r="R807" t="s">
        <v>76</v>
      </c>
      <c r="S807" t="s">
        <v>49</v>
      </c>
      <c r="U807" t="s">
        <v>300</v>
      </c>
      <c r="V807" t="s">
        <v>95</v>
      </c>
      <c r="W807" t="s">
        <v>1137</v>
      </c>
      <c r="X807" t="s">
        <v>66</v>
      </c>
      <c r="Y807" t="s">
        <v>106</v>
      </c>
      <c r="AA807">
        <v>0</v>
      </c>
      <c r="AB807" t="s">
        <v>54</v>
      </c>
      <c r="AC807" t="s">
        <v>78</v>
      </c>
      <c r="AD807">
        <v>34</v>
      </c>
      <c r="AE807">
        <v>8</v>
      </c>
      <c r="AF807">
        <v>3</v>
      </c>
      <c r="AG807">
        <v>2025</v>
      </c>
      <c r="AH807" s="13">
        <v>31200</v>
      </c>
      <c r="AI807" s="13">
        <v>44083.515625</v>
      </c>
      <c r="AJ807" s="13">
        <f t="shared" si="96"/>
        <v>12883.515625</v>
      </c>
      <c r="AK807" s="14">
        <f t="shared" si="97"/>
        <v>0.41293319310897436</v>
      </c>
      <c r="AL807" s="9">
        <v>31200</v>
      </c>
      <c r="AM807" s="9">
        <v>37262.606555905761</v>
      </c>
      <c r="AN807" s="9">
        <f t="shared" si="98"/>
        <v>6062.6065559057606</v>
      </c>
      <c r="AO807" s="10">
        <f t="shared" si="99"/>
        <v>0.1943143126892872</v>
      </c>
      <c r="AP807" s="16">
        <v>31200</v>
      </c>
      <c r="AQ807" s="16">
        <v>28646.201043246339</v>
      </c>
      <c r="AR807" s="16">
        <f t="shared" si="100"/>
        <v>2553.7989567536606</v>
      </c>
      <c r="AS807" s="17">
        <f t="shared" si="101"/>
        <v>8.1852530665181431E-2</v>
      </c>
      <c r="AT807" s="6">
        <v>31200</v>
      </c>
      <c r="AU807" s="6">
        <v>26975.814453125</v>
      </c>
      <c r="AV807" s="6">
        <f t="shared" si="102"/>
        <v>4224.185546875</v>
      </c>
      <c r="AW807" s="7">
        <f t="shared" si="103"/>
        <v>0.13539056239983974</v>
      </c>
    </row>
    <row r="808" spans="1:49" x14ac:dyDescent="0.25">
      <c r="A808" t="s">
        <v>69</v>
      </c>
      <c r="B808" t="s">
        <v>707</v>
      </c>
      <c r="C808">
        <v>204775</v>
      </c>
      <c r="D808">
        <v>2012</v>
      </c>
      <c r="E808" t="s">
        <v>58</v>
      </c>
      <c r="F808" t="s">
        <v>425</v>
      </c>
      <c r="H808" t="s">
        <v>1138</v>
      </c>
      <c r="I808">
        <v>4</v>
      </c>
      <c r="J808" t="s">
        <v>74</v>
      </c>
      <c r="K808">
        <v>4</v>
      </c>
      <c r="L808" t="s">
        <v>44</v>
      </c>
      <c r="M808">
        <v>2.5</v>
      </c>
      <c r="N808" t="s">
        <v>45</v>
      </c>
      <c r="O808" t="s">
        <v>46</v>
      </c>
      <c r="Q808" t="s">
        <v>84</v>
      </c>
      <c r="R808" t="s">
        <v>85</v>
      </c>
      <c r="S808" t="s">
        <v>102</v>
      </c>
      <c r="T808">
        <v>175</v>
      </c>
      <c r="U808" t="s">
        <v>50</v>
      </c>
      <c r="V808" t="s">
        <v>95</v>
      </c>
      <c r="X808" t="s">
        <v>87</v>
      </c>
      <c r="Y808" t="s">
        <v>106</v>
      </c>
      <c r="AA808">
        <v>0</v>
      </c>
      <c r="AB808" t="s">
        <v>54</v>
      </c>
      <c r="AC808" t="s">
        <v>89</v>
      </c>
      <c r="AD808">
        <v>34</v>
      </c>
      <c r="AE808">
        <v>8</v>
      </c>
      <c r="AF808">
        <v>3</v>
      </c>
      <c r="AG808">
        <v>2025</v>
      </c>
      <c r="AH808" s="13">
        <v>1150</v>
      </c>
      <c r="AI808" s="13">
        <v>1207.774780273438</v>
      </c>
      <c r="AJ808" s="13">
        <f t="shared" si="96"/>
        <v>57.774780273437955</v>
      </c>
      <c r="AK808" s="14">
        <f t="shared" si="97"/>
        <v>5.023893936820692E-2</v>
      </c>
      <c r="AL808" s="9">
        <v>1150</v>
      </c>
      <c r="AM808" s="9">
        <v>1195.7472865407401</v>
      </c>
      <c r="AN808" s="9">
        <f t="shared" si="98"/>
        <v>45.747286540740106</v>
      </c>
      <c r="AO808" s="10">
        <f t="shared" si="99"/>
        <v>3.9780249165860961E-2</v>
      </c>
      <c r="AP808" s="16">
        <v>1150</v>
      </c>
      <c r="AQ808" s="16">
        <v>1331.216623036594</v>
      </c>
      <c r="AR808" s="16">
        <f t="shared" si="100"/>
        <v>181.216623036594</v>
      </c>
      <c r="AS808" s="17">
        <f t="shared" si="101"/>
        <v>0.15757967220573391</v>
      </c>
      <c r="AT808" s="6">
        <v>1150</v>
      </c>
      <c r="AU808" s="6">
        <v>1196.468505859375</v>
      </c>
      <c r="AV808" s="6">
        <f t="shared" si="102"/>
        <v>46.468505859375</v>
      </c>
      <c r="AW808" s="7">
        <f t="shared" si="103"/>
        <v>4.0407396399456522E-2</v>
      </c>
    </row>
    <row r="809" spans="1:49" x14ac:dyDescent="0.25">
      <c r="A809" t="s">
        <v>56</v>
      </c>
      <c r="B809" t="s">
        <v>57</v>
      </c>
      <c r="C809">
        <v>93368</v>
      </c>
      <c r="D809">
        <v>2015</v>
      </c>
      <c r="E809" t="s">
        <v>79</v>
      </c>
      <c r="F809" t="s">
        <v>164</v>
      </c>
      <c r="G809" t="s">
        <v>698</v>
      </c>
      <c r="I809">
        <v>4</v>
      </c>
      <c r="J809" t="s">
        <v>101</v>
      </c>
      <c r="K809">
        <v>4</v>
      </c>
      <c r="L809" t="s">
        <v>44</v>
      </c>
      <c r="M809">
        <v>2.4</v>
      </c>
      <c r="N809" t="s">
        <v>45</v>
      </c>
      <c r="O809" t="s">
        <v>46</v>
      </c>
      <c r="Q809" t="s">
        <v>47</v>
      </c>
      <c r="R809" t="s">
        <v>48</v>
      </c>
      <c r="S809" t="s">
        <v>102</v>
      </c>
      <c r="U809" t="s">
        <v>50</v>
      </c>
      <c r="W809" t="s">
        <v>970</v>
      </c>
      <c r="X809" t="s">
        <v>52</v>
      </c>
      <c r="Y809" t="s">
        <v>88</v>
      </c>
      <c r="AA809">
        <v>0</v>
      </c>
      <c r="AB809" t="s">
        <v>54</v>
      </c>
      <c r="AC809" t="s">
        <v>55</v>
      </c>
      <c r="AD809">
        <v>34</v>
      </c>
      <c r="AE809">
        <v>8</v>
      </c>
      <c r="AF809">
        <v>3</v>
      </c>
      <c r="AG809">
        <v>2025</v>
      </c>
      <c r="AH809" s="13">
        <v>5600</v>
      </c>
      <c r="AI809" s="13">
        <v>6453.060546875</v>
      </c>
      <c r="AJ809" s="13">
        <f t="shared" si="96"/>
        <v>853.060546875</v>
      </c>
      <c r="AK809" s="14">
        <f t="shared" si="97"/>
        <v>0.15233224051339286</v>
      </c>
      <c r="AL809" s="9">
        <v>5600</v>
      </c>
      <c r="AM809" s="9">
        <v>6505.6793727535824</v>
      </c>
      <c r="AN809" s="9">
        <f t="shared" si="98"/>
        <v>905.67937275358236</v>
      </c>
      <c r="AO809" s="10">
        <f t="shared" si="99"/>
        <v>0.16172845942028255</v>
      </c>
      <c r="AP809" s="16">
        <v>5600</v>
      </c>
      <c r="AQ809" s="16">
        <v>5370.3884871723521</v>
      </c>
      <c r="AR809" s="16">
        <f t="shared" si="100"/>
        <v>229.61151282764786</v>
      </c>
      <c r="AS809" s="17">
        <f t="shared" si="101"/>
        <v>4.1002055862079972E-2</v>
      </c>
      <c r="AT809" s="6">
        <v>5600</v>
      </c>
      <c r="AU809" s="6">
        <v>6455.251953125</v>
      </c>
      <c r="AV809" s="6">
        <f t="shared" si="102"/>
        <v>855.251953125</v>
      </c>
      <c r="AW809" s="7">
        <f t="shared" si="103"/>
        <v>0.15272356305803572</v>
      </c>
    </row>
    <row r="810" spans="1:49" x14ac:dyDescent="0.25">
      <c r="A810" t="s">
        <v>38</v>
      </c>
      <c r="B810" t="s">
        <v>167</v>
      </c>
      <c r="C810">
        <v>156609</v>
      </c>
      <c r="D810">
        <v>2008</v>
      </c>
      <c r="E810" t="s">
        <v>58</v>
      </c>
      <c r="F810" t="s">
        <v>168</v>
      </c>
      <c r="G810" t="s">
        <v>763</v>
      </c>
      <c r="H810" t="s">
        <v>521</v>
      </c>
      <c r="I810">
        <v>8</v>
      </c>
      <c r="J810" t="s">
        <v>74</v>
      </c>
      <c r="K810">
        <v>2</v>
      </c>
      <c r="L810" t="s">
        <v>44</v>
      </c>
      <c r="M810">
        <v>5.4</v>
      </c>
      <c r="N810" t="s">
        <v>116</v>
      </c>
      <c r="O810" t="s">
        <v>46</v>
      </c>
      <c r="P810">
        <v>4</v>
      </c>
      <c r="Q810" t="s">
        <v>75</v>
      </c>
      <c r="R810" t="s">
        <v>76</v>
      </c>
      <c r="S810" t="s">
        <v>49</v>
      </c>
      <c r="U810" t="s">
        <v>134</v>
      </c>
      <c r="V810" t="s">
        <v>64</v>
      </c>
      <c r="X810" t="s">
        <v>77</v>
      </c>
      <c r="Y810" t="s">
        <v>67</v>
      </c>
      <c r="AA810">
        <v>0</v>
      </c>
      <c r="AB810" t="s">
        <v>54</v>
      </c>
      <c r="AC810" t="s">
        <v>78</v>
      </c>
      <c r="AD810">
        <v>34</v>
      </c>
      <c r="AE810">
        <v>8</v>
      </c>
      <c r="AF810">
        <v>3</v>
      </c>
      <c r="AG810">
        <v>2025</v>
      </c>
      <c r="AH810" s="13">
        <v>3400</v>
      </c>
      <c r="AI810" s="13">
        <v>3814.056640625</v>
      </c>
      <c r="AJ810" s="13">
        <f t="shared" si="96"/>
        <v>414.056640625</v>
      </c>
      <c r="AK810" s="14">
        <f t="shared" si="97"/>
        <v>0.12178136488970588</v>
      </c>
      <c r="AL810" s="9">
        <v>3400</v>
      </c>
      <c r="AM810" s="9">
        <v>4550.8528175645706</v>
      </c>
      <c r="AN810" s="9">
        <f t="shared" si="98"/>
        <v>1150.8528175645706</v>
      </c>
      <c r="AO810" s="10">
        <f t="shared" si="99"/>
        <v>0.33848612281310902</v>
      </c>
      <c r="AP810" s="16">
        <v>3400</v>
      </c>
      <c r="AQ810" s="16">
        <v>4105.028711345818</v>
      </c>
      <c r="AR810" s="16">
        <f t="shared" si="100"/>
        <v>705.02871134581801</v>
      </c>
      <c r="AS810" s="17">
        <f t="shared" si="101"/>
        <v>0.20736138568994647</v>
      </c>
      <c r="AT810" s="6">
        <v>3400</v>
      </c>
      <c r="AU810" s="6">
        <v>4293.2705078125</v>
      </c>
      <c r="AV810" s="6">
        <f t="shared" si="102"/>
        <v>893.2705078125</v>
      </c>
      <c r="AW810" s="7">
        <f t="shared" si="103"/>
        <v>0.26272661994485297</v>
      </c>
    </row>
    <row r="811" spans="1:49" x14ac:dyDescent="0.25">
      <c r="A811" t="s">
        <v>38</v>
      </c>
      <c r="B811" t="s">
        <v>229</v>
      </c>
      <c r="C811">
        <v>209736</v>
      </c>
      <c r="D811">
        <v>2017</v>
      </c>
      <c r="E811" t="s">
        <v>79</v>
      </c>
      <c r="F811" t="s">
        <v>570</v>
      </c>
      <c r="G811" t="s">
        <v>1139</v>
      </c>
      <c r="H811" t="s">
        <v>298</v>
      </c>
      <c r="I811">
        <v>8</v>
      </c>
      <c r="J811" t="s">
        <v>43</v>
      </c>
      <c r="K811">
        <v>3</v>
      </c>
      <c r="L811" t="s">
        <v>44</v>
      </c>
      <c r="M811">
        <v>6</v>
      </c>
      <c r="N811" t="s">
        <v>116</v>
      </c>
      <c r="Q811" t="s">
        <v>568</v>
      </c>
      <c r="R811" t="s">
        <v>424</v>
      </c>
      <c r="U811" t="s">
        <v>50</v>
      </c>
      <c r="W811" t="s">
        <v>1140</v>
      </c>
      <c r="X811" t="s">
        <v>390</v>
      </c>
      <c r="Y811" t="s">
        <v>67</v>
      </c>
      <c r="AA811">
        <v>0</v>
      </c>
      <c r="AB811" t="s">
        <v>54</v>
      </c>
      <c r="AC811" t="s">
        <v>424</v>
      </c>
      <c r="AD811">
        <v>34</v>
      </c>
      <c r="AE811">
        <v>8</v>
      </c>
      <c r="AF811">
        <v>3</v>
      </c>
      <c r="AG811">
        <v>2025</v>
      </c>
      <c r="AH811" s="13">
        <v>5000</v>
      </c>
      <c r="AI811" s="13">
        <v>7505.59521484375</v>
      </c>
      <c r="AJ811" s="13">
        <f t="shared" si="96"/>
        <v>2505.59521484375</v>
      </c>
      <c r="AK811" s="14">
        <f t="shared" si="97"/>
        <v>0.50111904296874998</v>
      </c>
      <c r="AL811" s="9">
        <v>5000</v>
      </c>
      <c r="AM811" s="9">
        <v>6916.8000870657379</v>
      </c>
      <c r="AN811" s="9">
        <f t="shared" si="98"/>
        <v>1916.8000870657379</v>
      </c>
      <c r="AO811" s="10">
        <f t="shared" si="99"/>
        <v>0.38336001741314757</v>
      </c>
      <c r="AP811" s="16">
        <v>5000</v>
      </c>
      <c r="AQ811" s="16">
        <v>5671.5365674616041</v>
      </c>
      <c r="AR811" s="16">
        <f t="shared" si="100"/>
        <v>671.53656746160414</v>
      </c>
      <c r="AS811" s="17">
        <f t="shared" si="101"/>
        <v>0.13430731349232083</v>
      </c>
      <c r="AT811" s="6">
        <v>5000</v>
      </c>
      <c r="AU811" s="6">
        <v>6730.2236328125</v>
      </c>
      <c r="AV811" s="6">
        <f t="shared" si="102"/>
        <v>1730.2236328125</v>
      </c>
      <c r="AW811" s="7">
        <f t="shared" si="103"/>
        <v>0.34604472656250002</v>
      </c>
    </row>
    <row r="812" spans="1:49" x14ac:dyDescent="0.25">
      <c r="A812" t="s">
        <v>56</v>
      </c>
      <c r="B812" t="s">
        <v>303</v>
      </c>
      <c r="C812">
        <v>356235</v>
      </c>
      <c r="D812">
        <v>2014</v>
      </c>
      <c r="E812" t="s">
        <v>98</v>
      </c>
      <c r="F812" t="s">
        <v>161</v>
      </c>
      <c r="G812" t="s">
        <v>1141</v>
      </c>
      <c r="H812" t="s">
        <v>162</v>
      </c>
      <c r="I812">
        <v>6</v>
      </c>
      <c r="J812" t="s">
        <v>43</v>
      </c>
      <c r="K812">
        <v>4</v>
      </c>
      <c r="L812" t="s">
        <v>44</v>
      </c>
      <c r="M812">
        <v>4.3</v>
      </c>
      <c r="N812" t="s">
        <v>116</v>
      </c>
      <c r="Q812" t="s">
        <v>75</v>
      </c>
      <c r="R812" t="s">
        <v>76</v>
      </c>
      <c r="S812" t="s">
        <v>117</v>
      </c>
      <c r="U812" t="s">
        <v>50</v>
      </c>
      <c r="V812" t="s">
        <v>64</v>
      </c>
      <c r="W812" t="s">
        <v>1142</v>
      </c>
      <c r="X812" t="s">
        <v>66</v>
      </c>
      <c r="Y812" t="s">
        <v>67</v>
      </c>
      <c r="AA812">
        <v>0</v>
      </c>
      <c r="AB812" t="s">
        <v>54</v>
      </c>
      <c r="AC812" t="s">
        <v>78</v>
      </c>
      <c r="AD812">
        <v>34</v>
      </c>
      <c r="AE812">
        <v>8</v>
      </c>
      <c r="AF812">
        <v>3</v>
      </c>
      <c r="AG812">
        <v>2025</v>
      </c>
      <c r="AH812" s="13">
        <v>2400</v>
      </c>
      <c r="AI812" s="13">
        <v>2062.020751953125</v>
      </c>
      <c r="AJ812" s="13">
        <f t="shared" si="96"/>
        <v>337.979248046875</v>
      </c>
      <c r="AK812" s="14">
        <f t="shared" si="97"/>
        <v>0.14082468668619791</v>
      </c>
      <c r="AL812" s="9">
        <v>2400</v>
      </c>
      <c r="AM812" s="9">
        <v>3142.421273361093</v>
      </c>
      <c r="AN812" s="9">
        <f t="shared" si="98"/>
        <v>742.42127336109297</v>
      </c>
      <c r="AO812" s="10">
        <f t="shared" si="99"/>
        <v>0.30934219723378875</v>
      </c>
      <c r="AP812" s="16">
        <v>2400</v>
      </c>
      <c r="AQ812" s="16">
        <v>2351.1835204049012</v>
      </c>
      <c r="AR812" s="16">
        <f t="shared" si="100"/>
        <v>48.816479595098826</v>
      </c>
      <c r="AS812" s="17">
        <f t="shared" si="101"/>
        <v>2.0340199831291178E-2</v>
      </c>
      <c r="AT812" s="6">
        <v>2400</v>
      </c>
      <c r="AU812" s="6">
        <v>2510.908935546875</v>
      </c>
      <c r="AV812" s="6">
        <f t="shared" si="102"/>
        <v>110.908935546875</v>
      </c>
      <c r="AW812" s="7">
        <f t="shared" si="103"/>
        <v>4.6212056477864583E-2</v>
      </c>
    </row>
    <row r="813" spans="1:49" x14ac:dyDescent="0.25">
      <c r="A813" t="s">
        <v>38</v>
      </c>
      <c r="B813" t="s">
        <v>132</v>
      </c>
      <c r="C813">
        <v>56931</v>
      </c>
      <c r="D813">
        <v>2023</v>
      </c>
      <c r="E813" t="s">
        <v>173</v>
      </c>
      <c r="F813" t="s">
        <v>370</v>
      </c>
      <c r="G813" t="s">
        <v>1143</v>
      </c>
      <c r="I813">
        <v>4</v>
      </c>
      <c r="J813" t="s">
        <v>74</v>
      </c>
      <c r="K813">
        <v>4</v>
      </c>
      <c r="L813" t="s">
        <v>44</v>
      </c>
      <c r="M813">
        <v>2</v>
      </c>
      <c r="N813" t="s">
        <v>62</v>
      </c>
      <c r="O813" t="s">
        <v>46</v>
      </c>
      <c r="P813">
        <v>4</v>
      </c>
      <c r="Q813" t="s">
        <v>47</v>
      </c>
      <c r="R813" t="s">
        <v>48</v>
      </c>
      <c r="S813" t="s">
        <v>63</v>
      </c>
      <c r="T813">
        <v>375</v>
      </c>
      <c r="U813" t="s">
        <v>483</v>
      </c>
      <c r="V813" t="s">
        <v>95</v>
      </c>
      <c r="X813" t="s">
        <v>66</v>
      </c>
      <c r="Y813" t="s">
        <v>67</v>
      </c>
      <c r="AA813">
        <v>1</v>
      </c>
      <c r="AB813" t="s">
        <v>484</v>
      </c>
      <c r="AC813" t="s">
        <v>149</v>
      </c>
      <c r="AD813">
        <v>34</v>
      </c>
      <c r="AE813">
        <v>8</v>
      </c>
      <c r="AF813">
        <v>3</v>
      </c>
      <c r="AG813">
        <v>2025</v>
      </c>
      <c r="AH813" s="13">
        <v>23400</v>
      </c>
      <c r="AI813" s="13">
        <v>26835.96484375</v>
      </c>
      <c r="AJ813" s="13">
        <f t="shared" si="96"/>
        <v>3435.96484375</v>
      </c>
      <c r="AK813" s="14">
        <f t="shared" si="97"/>
        <v>0.14683610443376069</v>
      </c>
      <c r="AL813" s="9">
        <v>23400</v>
      </c>
      <c r="AM813" s="9">
        <v>33252.238846203458</v>
      </c>
      <c r="AN813" s="9">
        <f t="shared" si="98"/>
        <v>9852.2388462034578</v>
      </c>
      <c r="AO813" s="10">
        <f t="shared" si="99"/>
        <v>0.42103584812835287</v>
      </c>
      <c r="AP813" s="16">
        <v>23400</v>
      </c>
      <c r="AQ813" s="16">
        <v>25361.681003217589</v>
      </c>
      <c r="AR813" s="16">
        <f t="shared" si="100"/>
        <v>1961.681003217589</v>
      </c>
      <c r="AS813" s="17">
        <f t="shared" si="101"/>
        <v>8.3832521505025168E-2</v>
      </c>
      <c r="AT813" s="6">
        <v>23400</v>
      </c>
      <c r="AU813" s="6">
        <v>24713.435546875</v>
      </c>
      <c r="AV813" s="6">
        <f t="shared" si="102"/>
        <v>1313.435546875</v>
      </c>
      <c r="AW813" s="7">
        <f t="shared" si="103"/>
        <v>5.6129724225427349E-2</v>
      </c>
    </row>
    <row r="814" spans="1:49" x14ac:dyDescent="0.25">
      <c r="A814" t="s">
        <v>56</v>
      </c>
      <c r="B814" t="s">
        <v>123</v>
      </c>
      <c r="C814">
        <v>93426</v>
      </c>
      <c r="D814">
        <v>2016</v>
      </c>
      <c r="E814" t="s">
        <v>79</v>
      </c>
      <c r="F814" t="s">
        <v>164</v>
      </c>
      <c r="G814" t="s">
        <v>273</v>
      </c>
      <c r="I814">
        <v>4</v>
      </c>
      <c r="J814" t="s">
        <v>74</v>
      </c>
      <c r="K814">
        <v>4</v>
      </c>
      <c r="L814" t="s">
        <v>44</v>
      </c>
      <c r="M814">
        <v>2.4</v>
      </c>
      <c r="N814" t="s">
        <v>44</v>
      </c>
      <c r="O814" t="s">
        <v>46</v>
      </c>
      <c r="P814">
        <v>4</v>
      </c>
      <c r="Q814" t="s">
        <v>47</v>
      </c>
      <c r="R814" t="s">
        <v>48</v>
      </c>
      <c r="S814" t="s">
        <v>139</v>
      </c>
      <c r="U814" t="s">
        <v>50</v>
      </c>
      <c r="W814" t="s">
        <v>692</v>
      </c>
      <c r="X814" t="s">
        <v>141</v>
      </c>
      <c r="Y814" t="s">
        <v>88</v>
      </c>
      <c r="AA814">
        <v>0</v>
      </c>
      <c r="AB814" t="s">
        <v>54</v>
      </c>
      <c r="AC814" t="s">
        <v>55</v>
      </c>
      <c r="AD814">
        <v>34</v>
      </c>
      <c r="AE814">
        <v>8</v>
      </c>
      <c r="AF814">
        <v>3</v>
      </c>
      <c r="AG814">
        <v>2025</v>
      </c>
      <c r="AH814" s="13">
        <v>5400</v>
      </c>
      <c r="AI814" s="13">
        <v>8094.3291015625</v>
      </c>
      <c r="AJ814" s="13">
        <f t="shared" si="96"/>
        <v>2694.3291015625</v>
      </c>
      <c r="AK814" s="14">
        <f t="shared" si="97"/>
        <v>0.49894983362268519</v>
      </c>
      <c r="AL814" s="9">
        <v>5400</v>
      </c>
      <c r="AM814" s="9">
        <v>6432.0474682094627</v>
      </c>
      <c r="AN814" s="9">
        <f t="shared" si="98"/>
        <v>1032.0474682094627</v>
      </c>
      <c r="AO814" s="10">
        <f t="shared" si="99"/>
        <v>0.19111990152027089</v>
      </c>
      <c r="AP814" s="16">
        <v>5400</v>
      </c>
      <c r="AQ814" s="16">
        <v>4929.2519740494054</v>
      </c>
      <c r="AR814" s="16">
        <f t="shared" si="100"/>
        <v>470.74802595059464</v>
      </c>
      <c r="AS814" s="17">
        <f t="shared" si="101"/>
        <v>8.7175560361221233E-2</v>
      </c>
      <c r="AT814" s="6">
        <v>5400</v>
      </c>
      <c r="AU814" s="6">
        <v>6632.2392578125</v>
      </c>
      <c r="AV814" s="6">
        <f t="shared" si="102"/>
        <v>1232.2392578125</v>
      </c>
      <c r="AW814" s="7">
        <f t="shared" si="103"/>
        <v>0.22819245515046296</v>
      </c>
    </row>
    <row r="815" spans="1:49" x14ac:dyDescent="0.25">
      <c r="A815" t="s">
        <v>56</v>
      </c>
      <c r="B815" t="s">
        <v>144</v>
      </c>
      <c r="C815">
        <v>19374</v>
      </c>
      <c r="D815">
        <v>2024</v>
      </c>
      <c r="E815" t="s">
        <v>79</v>
      </c>
      <c r="F815" t="s">
        <v>272</v>
      </c>
      <c r="G815" t="s">
        <v>761</v>
      </c>
      <c r="H815" t="s">
        <v>162</v>
      </c>
      <c r="I815">
        <v>8</v>
      </c>
      <c r="J815" t="s">
        <v>43</v>
      </c>
      <c r="K815">
        <v>2</v>
      </c>
      <c r="L815" t="s">
        <v>44</v>
      </c>
      <c r="M815">
        <v>5.3</v>
      </c>
      <c r="N815" t="s">
        <v>116</v>
      </c>
      <c r="O815" t="s">
        <v>46</v>
      </c>
      <c r="P815">
        <v>4</v>
      </c>
      <c r="Q815" t="s">
        <v>75</v>
      </c>
      <c r="R815" t="s">
        <v>76</v>
      </c>
      <c r="S815" t="s">
        <v>49</v>
      </c>
      <c r="U815" t="s">
        <v>50</v>
      </c>
      <c r="W815" t="s">
        <v>526</v>
      </c>
      <c r="X815" t="s">
        <v>66</v>
      </c>
      <c r="Y815" t="s">
        <v>106</v>
      </c>
      <c r="AA815">
        <v>0</v>
      </c>
      <c r="AB815" t="s">
        <v>54</v>
      </c>
      <c r="AC815" t="s">
        <v>78</v>
      </c>
      <c r="AD815">
        <v>34</v>
      </c>
      <c r="AE815">
        <v>8</v>
      </c>
      <c r="AF815">
        <v>3</v>
      </c>
      <c r="AG815">
        <v>2025</v>
      </c>
      <c r="AH815" s="13">
        <v>23500</v>
      </c>
      <c r="AI815" s="13">
        <v>33787.71484375</v>
      </c>
      <c r="AJ815" s="13">
        <f t="shared" si="96"/>
        <v>10287.71484375</v>
      </c>
      <c r="AK815" s="14">
        <f t="shared" si="97"/>
        <v>0.43777509973404255</v>
      </c>
      <c r="AL815" s="9">
        <v>23500</v>
      </c>
      <c r="AM815" s="9">
        <v>34427.064779434753</v>
      </c>
      <c r="AN815" s="9">
        <f t="shared" si="98"/>
        <v>10927.064779434753</v>
      </c>
      <c r="AO815" s="10">
        <f t="shared" si="99"/>
        <v>0.46498147997594697</v>
      </c>
      <c r="AP815" s="16">
        <v>23500</v>
      </c>
      <c r="AQ815" s="16">
        <v>34378.366641276873</v>
      </c>
      <c r="AR815" s="16">
        <f t="shared" si="100"/>
        <v>10878.366641276873</v>
      </c>
      <c r="AS815" s="17">
        <f t="shared" si="101"/>
        <v>0.46290921877773927</v>
      </c>
      <c r="AT815" s="6">
        <v>23500</v>
      </c>
      <c r="AU815" s="6">
        <v>33175.890625</v>
      </c>
      <c r="AV815" s="6">
        <f t="shared" si="102"/>
        <v>9675.890625</v>
      </c>
      <c r="AW815" s="7">
        <f t="shared" si="103"/>
        <v>0.41174002659574466</v>
      </c>
    </row>
    <row r="816" spans="1:49" x14ac:dyDescent="0.25">
      <c r="A816" t="s">
        <v>56</v>
      </c>
      <c r="B816" t="s">
        <v>123</v>
      </c>
      <c r="C816">
        <v>64612</v>
      </c>
      <c r="D816">
        <v>2020</v>
      </c>
      <c r="E816" t="s">
        <v>58</v>
      </c>
      <c r="F816" t="s">
        <v>59</v>
      </c>
      <c r="G816" t="s">
        <v>171</v>
      </c>
      <c r="I816">
        <v>4</v>
      </c>
      <c r="J816" t="s">
        <v>43</v>
      </c>
      <c r="K816">
        <v>4</v>
      </c>
      <c r="L816" t="s">
        <v>44</v>
      </c>
      <c r="M816">
        <v>2.2999999999999998</v>
      </c>
      <c r="N816" t="s">
        <v>62</v>
      </c>
      <c r="O816" t="s">
        <v>46</v>
      </c>
      <c r="P816">
        <v>4</v>
      </c>
      <c r="Q816" t="s">
        <v>47</v>
      </c>
      <c r="R816" t="s">
        <v>48</v>
      </c>
      <c r="S816" t="s">
        <v>63</v>
      </c>
      <c r="T816">
        <v>270</v>
      </c>
      <c r="U816" t="s">
        <v>50</v>
      </c>
      <c r="V816" t="s">
        <v>95</v>
      </c>
      <c r="X816" t="s">
        <v>141</v>
      </c>
      <c r="Y816" t="s">
        <v>67</v>
      </c>
      <c r="AA816">
        <v>0</v>
      </c>
      <c r="AB816" t="s">
        <v>54</v>
      </c>
      <c r="AC816" t="s">
        <v>68</v>
      </c>
      <c r="AD816">
        <v>34</v>
      </c>
      <c r="AE816">
        <v>8</v>
      </c>
      <c r="AF816">
        <v>3</v>
      </c>
      <c r="AG816">
        <v>2025</v>
      </c>
      <c r="AH816" s="13">
        <v>21500</v>
      </c>
      <c r="AI816" s="13">
        <v>22664.14453125</v>
      </c>
      <c r="AJ816" s="13">
        <f t="shared" si="96"/>
        <v>1164.14453125</v>
      </c>
      <c r="AK816" s="14">
        <f t="shared" si="97"/>
        <v>5.4146257267441864E-2</v>
      </c>
      <c r="AL816" s="9">
        <v>21500</v>
      </c>
      <c r="AM816" s="9">
        <v>22544.597639434</v>
      </c>
      <c r="AN816" s="9">
        <f t="shared" si="98"/>
        <v>1044.5976394339996</v>
      </c>
      <c r="AO816" s="10">
        <f t="shared" si="99"/>
        <v>4.8585936717860448E-2</v>
      </c>
      <c r="AP816" s="16">
        <v>21500</v>
      </c>
      <c r="AQ816" s="16">
        <v>19354.049861845979</v>
      </c>
      <c r="AR816" s="16">
        <f t="shared" si="100"/>
        <v>2145.9501381540213</v>
      </c>
      <c r="AS816" s="17">
        <f t="shared" si="101"/>
        <v>9.9811634332745175E-2</v>
      </c>
      <c r="AT816" s="6">
        <v>21500</v>
      </c>
      <c r="AU816" s="6">
        <v>21086.509765625</v>
      </c>
      <c r="AV816" s="6">
        <f t="shared" si="102"/>
        <v>413.490234375</v>
      </c>
      <c r="AW816" s="7">
        <f t="shared" si="103"/>
        <v>1.9232103924418605E-2</v>
      </c>
    </row>
    <row r="817" spans="1:49" x14ac:dyDescent="0.25">
      <c r="A817" t="s">
        <v>38</v>
      </c>
      <c r="B817" t="s">
        <v>90</v>
      </c>
      <c r="C817">
        <v>169902</v>
      </c>
      <c r="D817">
        <v>2012</v>
      </c>
      <c r="E817" t="s">
        <v>91</v>
      </c>
      <c r="F817" t="s">
        <v>517</v>
      </c>
      <c r="G817" t="s">
        <v>1032</v>
      </c>
      <c r="H817" t="s">
        <v>1033</v>
      </c>
      <c r="I817">
        <v>4</v>
      </c>
      <c r="J817" t="s">
        <v>94</v>
      </c>
      <c r="K817">
        <v>4</v>
      </c>
      <c r="L817" t="s">
        <v>44</v>
      </c>
      <c r="M817">
        <v>2.5</v>
      </c>
      <c r="N817" t="s">
        <v>45</v>
      </c>
      <c r="O817" t="s">
        <v>46</v>
      </c>
      <c r="P817">
        <v>3</v>
      </c>
      <c r="Q817" t="s">
        <v>47</v>
      </c>
      <c r="R817" t="s">
        <v>48</v>
      </c>
      <c r="S817" t="s">
        <v>49</v>
      </c>
      <c r="T817">
        <v>179</v>
      </c>
      <c r="U817" t="s">
        <v>50</v>
      </c>
      <c r="V817" t="s">
        <v>95</v>
      </c>
      <c r="W817" t="s">
        <v>537</v>
      </c>
      <c r="X817" t="s">
        <v>52</v>
      </c>
      <c r="Y817" t="s">
        <v>88</v>
      </c>
      <c r="AA817">
        <v>0</v>
      </c>
      <c r="AB817" t="s">
        <v>54</v>
      </c>
      <c r="AC817" t="s">
        <v>55</v>
      </c>
      <c r="AD817">
        <v>34</v>
      </c>
      <c r="AE817">
        <v>8</v>
      </c>
      <c r="AF817">
        <v>3</v>
      </c>
      <c r="AG817">
        <v>2025</v>
      </c>
      <c r="AH817" s="13">
        <v>5000</v>
      </c>
      <c r="AI817" s="13">
        <v>3254.04443359375</v>
      </c>
      <c r="AJ817" s="13">
        <f t="shared" si="96"/>
        <v>1745.95556640625</v>
      </c>
      <c r="AK817" s="14">
        <f t="shared" si="97"/>
        <v>0.34919111328125002</v>
      </c>
      <c r="AL817" s="9">
        <v>5000</v>
      </c>
      <c r="AM817" s="9">
        <v>3271.7254896559748</v>
      </c>
      <c r="AN817" s="9">
        <f t="shared" si="98"/>
        <v>1728.2745103440252</v>
      </c>
      <c r="AO817" s="10">
        <f t="shared" si="99"/>
        <v>0.34565490206880506</v>
      </c>
      <c r="AP817" s="16">
        <v>5000</v>
      </c>
      <c r="AQ817" s="16">
        <v>2874.222282363809</v>
      </c>
      <c r="AR817" s="16">
        <f t="shared" si="100"/>
        <v>2125.777717636191</v>
      </c>
      <c r="AS817" s="17">
        <f t="shared" si="101"/>
        <v>0.42515554352723822</v>
      </c>
      <c r="AT817" s="6">
        <v>5000</v>
      </c>
      <c r="AU817" s="6">
        <v>2948.4560546875</v>
      </c>
      <c r="AV817" s="6">
        <f t="shared" si="102"/>
        <v>2051.5439453125</v>
      </c>
      <c r="AW817" s="7">
        <f t="shared" si="103"/>
        <v>0.41030878906250001</v>
      </c>
    </row>
    <row r="818" spans="1:49" x14ac:dyDescent="0.25">
      <c r="A818" t="s">
        <v>56</v>
      </c>
      <c r="B818" t="s">
        <v>144</v>
      </c>
      <c r="C818">
        <v>117743</v>
      </c>
      <c r="D818">
        <v>2004</v>
      </c>
      <c r="E818" t="s">
        <v>382</v>
      </c>
      <c r="F818" t="s">
        <v>471</v>
      </c>
      <c r="G818" t="s">
        <v>194</v>
      </c>
      <c r="H818" t="s">
        <v>1144</v>
      </c>
      <c r="I818">
        <v>6</v>
      </c>
      <c r="J818" t="s">
        <v>694</v>
      </c>
      <c r="K818">
        <v>4</v>
      </c>
      <c r="L818" t="s">
        <v>44</v>
      </c>
      <c r="M818">
        <v>3.5</v>
      </c>
      <c r="N818" t="s">
        <v>44</v>
      </c>
      <c r="O818" t="s">
        <v>46</v>
      </c>
      <c r="Q818" t="s">
        <v>47</v>
      </c>
      <c r="R818" t="s">
        <v>48</v>
      </c>
      <c r="S818" t="s">
        <v>139</v>
      </c>
      <c r="U818" t="s">
        <v>50</v>
      </c>
      <c r="V818" t="s">
        <v>64</v>
      </c>
      <c r="X818" t="s">
        <v>141</v>
      </c>
      <c r="Y818" t="s">
        <v>88</v>
      </c>
      <c r="AA818">
        <v>0</v>
      </c>
      <c r="AB818" t="s">
        <v>54</v>
      </c>
      <c r="AC818" t="s">
        <v>55</v>
      </c>
      <c r="AD818">
        <v>34</v>
      </c>
      <c r="AE818">
        <v>8</v>
      </c>
      <c r="AF818">
        <v>3</v>
      </c>
      <c r="AG818">
        <v>2025</v>
      </c>
      <c r="AH818" s="13">
        <v>800</v>
      </c>
      <c r="AI818" s="13">
        <v>1457.786743164062</v>
      </c>
      <c r="AJ818" s="13">
        <f t="shared" si="96"/>
        <v>657.78674316406205</v>
      </c>
      <c r="AK818" s="14">
        <f t="shared" si="97"/>
        <v>0.82223342895507756</v>
      </c>
      <c r="AL818" s="9">
        <v>800</v>
      </c>
      <c r="AM818" s="9">
        <v>1055.4717097925211</v>
      </c>
      <c r="AN818" s="9">
        <f t="shared" si="98"/>
        <v>255.4717097925211</v>
      </c>
      <c r="AO818" s="10">
        <f t="shared" si="99"/>
        <v>0.3193396372406514</v>
      </c>
      <c r="AP818" s="16">
        <v>800</v>
      </c>
      <c r="AQ818" s="16">
        <v>885.56082687762068</v>
      </c>
      <c r="AR818" s="16">
        <f t="shared" si="100"/>
        <v>85.560826877620684</v>
      </c>
      <c r="AS818" s="17">
        <f t="shared" si="101"/>
        <v>0.10695103359702586</v>
      </c>
      <c r="AT818" s="6">
        <v>800</v>
      </c>
      <c r="AU818" s="6">
        <v>1063.236206054688</v>
      </c>
      <c r="AV818" s="6">
        <f t="shared" si="102"/>
        <v>263.23620605468795</v>
      </c>
      <c r="AW818" s="7">
        <f t="shared" si="103"/>
        <v>0.32904525756835995</v>
      </c>
    </row>
    <row r="819" spans="1:49" x14ac:dyDescent="0.25">
      <c r="A819" t="s">
        <v>38</v>
      </c>
      <c r="B819" t="s">
        <v>118</v>
      </c>
      <c r="C819">
        <v>48210</v>
      </c>
      <c r="D819">
        <v>2023</v>
      </c>
      <c r="E819" t="s">
        <v>113</v>
      </c>
      <c r="F819" t="s">
        <v>835</v>
      </c>
      <c r="H819" t="s">
        <v>115</v>
      </c>
      <c r="I819">
        <v>6</v>
      </c>
      <c r="J819" t="s">
        <v>82</v>
      </c>
      <c r="K819">
        <v>2</v>
      </c>
      <c r="L819" t="s">
        <v>44</v>
      </c>
      <c r="M819">
        <v>3.6</v>
      </c>
      <c r="N819" t="s">
        <v>116</v>
      </c>
      <c r="O819" t="s">
        <v>46</v>
      </c>
      <c r="P819">
        <v>3</v>
      </c>
      <c r="Q819" t="s">
        <v>84</v>
      </c>
      <c r="R819" t="s">
        <v>85</v>
      </c>
      <c r="S819" t="s">
        <v>117</v>
      </c>
      <c r="T819">
        <v>303</v>
      </c>
      <c r="U819" t="s">
        <v>50</v>
      </c>
      <c r="V819" t="s">
        <v>64</v>
      </c>
      <c r="X819" t="s">
        <v>87</v>
      </c>
      <c r="Y819" t="s">
        <v>88</v>
      </c>
      <c r="AA819">
        <v>0</v>
      </c>
      <c r="AB819" t="s">
        <v>54</v>
      </c>
      <c r="AC819" t="s">
        <v>89</v>
      </c>
      <c r="AD819">
        <v>34</v>
      </c>
      <c r="AE819">
        <v>8</v>
      </c>
      <c r="AF819">
        <v>3</v>
      </c>
      <c r="AG819">
        <v>2025</v>
      </c>
      <c r="AH819" s="13">
        <v>19800</v>
      </c>
      <c r="AI819" s="13">
        <v>20651.81640625</v>
      </c>
      <c r="AJ819" s="13">
        <f t="shared" si="96"/>
        <v>851.81640625</v>
      </c>
      <c r="AK819" s="14">
        <f t="shared" si="97"/>
        <v>4.3021030618686867E-2</v>
      </c>
      <c r="AL819" s="9">
        <v>19800</v>
      </c>
      <c r="AM819" s="9">
        <v>23956.49981862709</v>
      </c>
      <c r="AN819" s="9">
        <f t="shared" si="98"/>
        <v>4156.4998186270896</v>
      </c>
      <c r="AO819" s="10">
        <f t="shared" si="99"/>
        <v>0.20992423326399443</v>
      </c>
      <c r="AP819" s="16">
        <v>19800</v>
      </c>
      <c r="AQ819" s="16">
        <v>18894.0355850101</v>
      </c>
      <c r="AR819" s="16">
        <f t="shared" si="100"/>
        <v>905.96441498989952</v>
      </c>
      <c r="AS819" s="17">
        <f t="shared" si="101"/>
        <v>4.575577853484341E-2</v>
      </c>
      <c r="AT819" s="6">
        <v>19800</v>
      </c>
      <c r="AU819" s="6">
        <v>23303.220703125</v>
      </c>
      <c r="AV819" s="6">
        <f t="shared" si="102"/>
        <v>3503.220703125</v>
      </c>
      <c r="AW819" s="7">
        <f t="shared" si="103"/>
        <v>0.17693033854166668</v>
      </c>
    </row>
    <row r="820" spans="1:49" x14ac:dyDescent="0.25">
      <c r="A820" t="s">
        <v>56</v>
      </c>
      <c r="B820" t="s">
        <v>123</v>
      </c>
      <c r="C820">
        <v>184784</v>
      </c>
      <c r="D820">
        <v>2015</v>
      </c>
      <c r="E820" t="s">
        <v>113</v>
      </c>
      <c r="F820" t="s">
        <v>859</v>
      </c>
      <c r="G820" t="s">
        <v>476</v>
      </c>
      <c r="I820">
        <v>6</v>
      </c>
      <c r="J820" t="s">
        <v>101</v>
      </c>
      <c r="K820">
        <v>4</v>
      </c>
      <c r="L820" t="s">
        <v>44</v>
      </c>
      <c r="M820">
        <v>3.6</v>
      </c>
      <c r="N820" t="s">
        <v>45</v>
      </c>
      <c r="O820" t="s">
        <v>46</v>
      </c>
      <c r="P820">
        <v>4</v>
      </c>
      <c r="Q820" t="s">
        <v>47</v>
      </c>
      <c r="R820" t="s">
        <v>365</v>
      </c>
      <c r="S820" t="s">
        <v>102</v>
      </c>
      <c r="U820" t="s">
        <v>50</v>
      </c>
      <c r="X820" t="s">
        <v>66</v>
      </c>
      <c r="Y820" t="s">
        <v>88</v>
      </c>
      <c r="AA820">
        <v>0</v>
      </c>
      <c r="AB820" t="s">
        <v>54</v>
      </c>
      <c r="AC820" t="s">
        <v>365</v>
      </c>
      <c r="AD820">
        <v>34</v>
      </c>
      <c r="AE820">
        <v>8</v>
      </c>
      <c r="AF820">
        <v>3</v>
      </c>
      <c r="AG820">
        <v>2025</v>
      </c>
      <c r="AH820" s="13">
        <v>1000</v>
      </c>
      <c r="AI820" s="13">
        <v>1930.877197265625</v>
      </c>
      <c r="AJ820" s="13">
        <f t="shared" si="96"/>
        <v>930.877197265625</v>
      </c>
      <c r="AK820" s="14">
        <f t="shared" si="97"/>
        <v>0.93087719726562501</v>
      </c>
      <c r="AL820" s="9">
        <v>1000</v>
      </c>
      <c r="AM820" s="9">
        <v>1978.703558610034</v>
      </c>
      <c r="AN820" s="9">
        <f t="shared" si="98"/>
        <v>978.70355861003395</v>
      </c>
      <c r="AO820" s="10">
        <f t="shared" si="99"/>
        <v>0.978703558610034</v>
      </c>
      <c r="AP820" s="16">
        <v>1000</v>
      </c>
      <c r="AQ820" s="16">
        <v>1698.055204124777</v>
      </c>
      <c r="AR820" s="16">
        <f t="shared" si="100"/>
        <v>698.05520412477699</v>
      </c>
      <c r="AS820" s="17">
        <f t="shared" si="101"/>
        <v>0.69805520412477695</v>
      </c>
      <c r="AT820" s="6">
        <v>1000</v>
      </c>
      <c r="AU820" s="6">
        <v>1863.218505859375</v>
      </c>
      <c r="AV820" s="6">
        <f t="shared" si="102"/>
        <v>863.218505859375</v>
      </c>
      <c r="AW820" s="7">
        <f t="shared" si="103"/>
        <v>0.86321850585937498</v>
      </c>
    </row>
    <row r="821" spans="1:49" x14ac:dyDescent="0.25">
      <c r="A821" t="s">
        <v>38</v>
      </c>
      <c r="B821" t="s">
        <v>289</v>
      </c>
      <c r="C821">
        <v>142410</v>
      </c>
      <c r="D821">
        <v>2018</v>
      </c>
      <c r="E821" t="s">
        <v>40</v>
      </c>
      <c r="F821" t="s">
        <v>295</v>
      </c>
      <c r="G821" t="s">
        <v>284</v>
      </c>
      <c r="I821">
        <v>4</v>
      </c>
      <c r="J821" t="s">
        <v>43</v>
      </c>
      <c r="K821">
        <v>4</v>
      </c>
      <c r="L821" t="s">
        <v>44</v>
      </c>
      <c r="M821">
        <v>2.4</v>
      </c>
      <c r="N821" t="s">
        <v>45</v>
      </c>
      <c r="O821" t="s">
        <v>46</v>
      </c>
      <c r="P821">
        <v>3</v>
      </c>
      <c r="Q821" t="s">
        <v>84</v>
      </c>
      <c r="R821" t="s">
        <v>85</v>
      </c>
      <c r="S821" t="s">
        <v>102</v>
      </c>
      <c r="T821">
        <v>185</v>
      </c>
      <c r="U821" t="s">
        <v>50</v>
      </c>
      <c r="W821" t="s">
        <v>632</v>
      </c>
      <c r="X821" t="s">
        <v>87</v>
      </c>
      <c r="Y821" t="s">
        <v>67</v>
      </c>
      <c r="Z821">
        <v>22600</v>
      </c>
      <c r="AA821">
        <v>0</v>
      </c>
      <c r="AB821" t="s">
        <v>54</v>
      </c>
      <c r="AC821" t="s">
        <v>89</v>
      </c>
      <c r="AD821">
        <v>34</v>
      </c>
      <c r="AE821">
        <v>8</v>
      </c>
      <c r="AF821">
        <v>3</v>
      </c>
      <c r="AG821">
        <v>2025</v>
      </c>
      <c r="AH821" s="13">
        <v>2000</v>
      </c>
      <c r="AI821" s="13">
        <v>2922.80419921875</v>
      </c>
      <c r="AJ821" s="13">
        <f t="shared" si="96"/>
        <v>922.80419921875</v>
      </c>
      <c r="AK821" s="14">
        <f t="shared" si="97"/>
        <v>0.461402099609375</v>
      </c>
      <c r="AL821" s="9">
        <v>2000</v>
      </c>
      <c r="AM821" s="9">
        <v>2713.7489530597618</v>
      </c>
      <c r="AN821" s="9">
        <f t="shared" si="98"/>
        <v>713.74895305976179</v>
      </c>
      <c r="AO821" s="10">
        <f t="shared" si="99"/>
        <v>0.35687447652988091</v>
      </c>
      <c r="AP821" s="16">
        <v>2000</v>
      </c>
      <c r="AQ821" s="16">
        <v>2707.9186780737482</v>
      </c>
      <c r="AR821" s="16">
        <f t="shared" si="100"/>
        <v>707.9186780737482</v>
      </c>
      <c r="AS821" s="17">
        <f t="shared" si="101"/>
        <v>0.3539593390368741</v>
      </c>
      <c r="AT821" s="6">
        <v>2000</v>
      </c>
      <c r="AU821" s="6">
        <v>3125.48193359375</v>
      </c>
      <c r="AV821" s="6">
        <f t="shared" si="102"/>
        <v>1125.48193359375</v>
      </c>
      <c r="AW821" s="7">
        <f t="shared" si="103"/>
        <v>0.56274096679687502</v>
      </c>
    </row>
    <row r="822" spans="1:49" x14ac:dyDescent="0.25">
      <c r="A822" t="s">
        <v>56</v>
      </c>
      <c r="B822" t="s">
        <v>57</v>
      </c>
      <c r="C822">
        <v>88504</v>
      </c>
      <c r="D822">
        <v>2013</v>
      </c>
      <c r="E822" t="s">
        <v>281</v>
      </c>
      <c r="F822" t="s">
        <v>770</v>
      </c>
      <c r="I822">
        <v>6</v>
      </c>
      <c r="J822" t="s">
        <v>94</v>
      </c>
      <c r="K822">
        <v>4</v>
      </c>
      <c r="L822" t="s">
        <v>44</v>
      </c>
      <c r="M822">
        <v>3.7</v>
      </c>
      <c r="N822" t="s">
        <v>44</v>
      </c>
      <c r="O822" t="s">
        <v>46</v>
      </c>
      <c r="Q822" t="s">
        <v>47</v>
      </c>
      <c r="R822" t="s">
        <v>48</v>
      </c>
      <c r="S822" t="s">
        <v>139</v>
      </c>
      <c r="T822">
        <v>305</v>
      </c>
      <c r="U822" t="s">
        <v>50</v>
      </c>
      <c r="X822" t="s">
        <v>141</v>
      </c>
      <c r="Y822" t="s">
        <v>88</v>
      </c>
      <c r="AA822">
        <v>0</v>
      </c>
      <c r="AB822" t="s">
        <v>54</v>
      </c>
      <c r="AC822" t="s">
        <v>55</v>
      </c>
      <c r="AD822">
        <v>34</v>
      </c>
      <c r="AE822">
        <v>8</v>
      </c>
      <c r="AF822">
        <v>3</v>
      </c>
      <c r="AG822">
        <v>2025</v>
      </c>
      <c r="AH822" s="13">
        <v>6100</v>
      </c>
      <c r="AI822" s="13">
        <v>6988.419921875</v>
      </c>
      <c r="AJ822" s="13">
        <f t="shared" si="96"/>
        <v>888.419921875</v>
      </c>
      <c r="AK822" s="14">
        <f t="shared" si="97"/>
        <v>0.14564261014344262</v>
      </c>
      <c r="AL822" s="9">
        <v>6100</v>
      </c>
      <c r="AM822" s="9">
        <v>5525.6620249037132</v>
      </c>
      <c r="AN822" s="9">
        <f t="shared" si="98"/>
        <v>574.33797509628675</v>
      </c>
      <c r="AO822" s="10">
        <f t="shared" si="99"/>
        <v>9.4153766409227332E-2</v>
      </c>
      <c r="AP822" s="16">
        <v>6100</v>
      </c>
      <c r="AQ822" s="16">
        <v>6098.0007127120562</v>
      </c>
      <c r="AR822" s="16">
        <f t="shared" si="100"/>
        <v>1.9992872879438437</v>
      </c>
      <c r="AS822" s="17">
        <f t="shared" si="101"/>
        <v>3.2775201441702357E-4</v>
      </c>
      <c r="AT822" s="6">
        <v>6100</v>
      </c>
      <c r="AU822" s="6">
        <v>5558.53125</v>
      </c>
      <c r="AV822" s="6">
        <f t="shared" si="102"/>
        <v>541.46875</v>
      </c>
      <c r="AW822" s="7">
        <f t="shared" si="103"/>
        <v>8.8765368852459017E-2</v>
      </c>
    </row>
    <row r="823" spans="1:49" x14ac:dyDescent="0.25">
      <c r="A823" t="s">
        <v>56</v>
      </c>
      <c r="B823" t="s">
        <v>144</v>
      </c>
      <c r="C823">
        <v>60856</v>
      </c>
      <c r="D823">
        <v>2023</v>
      </c>
      <c r="E823" t="s">
        <v>217</v>
      </c>
      <c r="F823" t="s">
        <v>162</v>
      </c>
      <c r="G823" t="s">
        <v>73</v>
      </c>
      <c r="H823" t="s">
        <v>867</v>
      </c>
      <c r="I823">
        <v>8</v>
      </c>
      <c r="J823" t="s">
        <v>82</v>
      </c>
      <c r="K823">
        <v>4</v>
      </c>
      <c r="L823" t="s">
        <v>44</v>
      </c>
      <c r="M823">
        <v>5.7</v>
      </c>
      <c r="N823" t="s">
        <v>116</v>
      </c>
      <c r="O823" t="s">
        <v>46</v>
      </c>
      <c r="P823">
        <v>3</v>
      </c>
      <c r="Q823" t="s">
        <v>75</v>
      </c>
      <c r="R823" t="s">
        <v>76</v>
      </c>
      <c r="S823" t="s">
        <v>49</v>
      </c>
      <c r="T823">
        <v>395</v>
      </c>
      <c r="U823" t="s">
        <v>50</v>
      </c>
      <c r="V823" t="s">
        <v>64</v>
      </c>
      <c r="X823" t="s">
        <v>66</v>
      </c>
      <c r="Y823" t="s">
        <v>67</v>
      </c>
      <c r="AA823">
        <v>0</v>
      </c>
      <c r="AB823" t="s">
        <v>54</v>
      </c>
      <c r="AC823" t="s">
        <v>78</v>
      </c>
      <c r="AD823">
        <v>34</v>
      </c>
      <c r="AE823">
        <v>8</v>
      </c>
      <c r="AF823">
        <v>3</v>
      </c>
      <c r="AG823">
        <v>2025</v>
      </c>
      <c r="AH823" s="13">
        <v>22800</v>
      </c>
      <c r="AI823" s="13">
        <v>23988.921875</v>
      </c>
      <c r="AJ823" s="13">
        <f t="shared" si="96"/>
        <v>1188.921875</v>
      </c>
      <c r="AK823" s="14">
        <f t="shared" si="97"/>
        <v>5.2145696271929824E-2</v>
      </c>
      <c r="AL823" s="9">
        <v>22800</v>
      </c>
      <c r="AM823" s="9">
        <v>27200.65657340992</v>
      </c>
      <c r="AN823" s="9">
        <f t="shared" si="98"/>
        <v>4400.6565734099204</v>
      </c>
      <c r="AO823" s="10">
        <f t="shared" si="99"/>
        <v>0.19301125321973334</v>
      </c>
      <c r="AP823" s="16">
        <v>22800</v>
      </c>
      <c r="AQ823" s="16">
        <v>23569.81336316673</v>
      </c>
      <c r="AR823" s="16">
        <f t="shared" si="100"/>
        <v>769.81336316672969</v>
      </c>
      <c r="AS823" s="17">
        <f t="shared" si="101"/>
        <v>3.3763743998540777E-2</v>
      </c>
      <c r="AT823" s="6">
        <v>22800</v>
      </c>
      <c r="AU823" s="6">
        <v>25242.041015625</v>
      </c>
      <c r="AV823" s="6">
        <f t="shared" si="102"/>
        <v>2442.041015625</v>
      </c>
      <c r="AW823" s="7">
        <f t="shared" si="103"/>
        <v>0.10710706208881579</v>
      </c>
    </row>
    <row r="824" spans="1:49" x14ac:dyDescent="0.25">
      <c r="A824" t="s">
        <v>107</v>
      </c>
      <c r="B824" t="s">
        <v>154</v>
      </c>
      <c r="C824">
        <v>95835</v>
      </c>
      <c r="D824">
        <v>2019</v>
      </c>
      <c r="E824" t="s">
        <v>79</v>
      </c>
      <c r="F824" t="s">
        <v>164</v>
      </c>
      <c r="G824" t="s">
        <v>287</v>
      </c>
      <c r="I824">
        <v>4</v>
      </c>
      <c r="J824" t="s">
        <v>101</v>
      </c>
      <c r="K824">
        <v>4</v>
      </c>
      <c r="L824" t="s">
        <v>44</v>
      </c>
      <c r="M824">
        <v>1.5</v>
      </c>
      <c r="N824" t="s">
        <v>44</v>
      </c>
      <c r="O824" t="s">
        <v>46</v>
      </c>
      <c r="P824">
        <v>3</v>
      </c>
      <c r="Q824" t="s">
        <v>47</v>
      </c>
      <c r="R824" t="s">
        <v>48</v>
      </c>
      <c r="S824" t="s">
        <v>139</v>
      </c>
      <c r="U824" t="s">
        <v>50</v>
      </c>
      <c r="V824" t="s">
        <v>95</v>
      </c>
      <c r="W824" t="s">
        <v>198</v>
      </c>
      <c r="X824" t="s">
        <v>52</v>
      </c>
      <c r="Y824" t="s">
        <v>88</v>
      </c>
      <c r="Z824">
        <v>30095</v>
      </c>
      <c r="AA824">
        <v>0</v>
      </c>
      <c r="AB824" t="s">
        <v>54</v>
      </c>
      <c r="AC824" t="s">
        <v>55</v>
      </c>
      <c r="AD824">
        <v>34</v>
      </c>
      <c r="AE824">
        <v>8</v>
      </c>
      <c r="AF824">
        <v>3</v>
      </c>
      <c r="AG824">
        <v>2025</v>
      </c>
      <c r="AH824" s="13">
        <v>10200</v>
      </c>
      <c r="AI824" s="13">
        <v>11434.0185546875</v>
      </c>
      <c r="AJ824" s="13">
        <f t="shared" si="96"/>
        <v>1234.0185546875</v>
      </c>
      <c r="AK824" s="14">
        <f t="shared" si="97"/>
        <v>0.12098221124387255</v>
      </c>
      <c r="AL824" s="9">
        <v>10200</v>
      </c>
      <c r="AM824" s="9">
        <v>10651.702096083811</v>
      </c>
      <c r="AN824" s="9">
        <f t="shared" si="98"/>
        <v>451.70209608381083</v>
      </c>
      <c r="AO824" s="10">
        <f t="shared" si="99"/>
        <v>4.4284519223903022E-2</v>
      </c>
      <c r="AP824" s="16">
        <v>10200</v>
      </c>
      <c r="AQ824" s="16">
        <v>10036.053877536229</v>
      </c>
      <c r="AR824" s="16">
        <f t="shared" si="100"/>
        <v>163.94612246377073</v>
      </c>
      <c r="AS824" s="17">
        <f t="shared" si="101"/>
        <v>1.6073149261153993E-2</v>
      </c>
      <c r="AT824" s="6">
        <v>10200</v>
      </c>
      <c r="AU824" s="6">
        <v>11161.1923828125</v>
      </c>
      <c r="AV824" s="6">
        <f t="shared" si="102"/>
        <v>961.1923828125</v>
      </c>
      <c r="AW824" s="7">
        <f t="shared" si="103"/>
        <v>9.4234547334558827E-2</v>
      </c>
    </row>
    <row r="825" spans="1:49" x14ac:dyDescent="0.25">
      <c r="A825" t="s">
        <v>56</v>
      </c>
      <c r="B825" t="s">
        <v>303</v>
      </c>
      <c r="C825">
        <v>132392</v>
      </c>
      <c r="D825">
        <v>2009</v>
      </c>
      <c r="E825" t="s">
        <v>58</v>
      </c>
      <c r="F825" t="s">
        <v>258</v>
      </c>
      <c r="H825" t="s">
        <v>171</v>
      </c>
      <c r="I825">
        <v>6</v>
      </c>
      <c r="J825" t="s">
        <v>82</v>
      </c>
      <c r="K825">
        <v>4</v>
      </c>
      <c r="L825" t="s">
        <v>44</v>
      </c>
      <c r="M825">
        <v>3</v>
      </c>
      <c r="N825" t="s">
        <v>45</v>
      </c>
      <c r="O825" t="s">
        <v>46</v>
      </c>
      <c r="Q825" t="s">
        <v>47</v>
      </c>
      <c r="R825" t="s">
        <v>48</v>
      </c>
      <c r="S825" t="s">
        <v>49</v>
      </c>
      <c r="T825">
        <v>240</v>
      </c>
      <c r="U825" t="s">
        <v>50</v>
      </c>
      <c r="V825" t="s">
        <v>64</v>
      </c>
      <c r="X825" t="s">
        <v>52</v>
      </c>
      <c r="Y825" t="s">
        <v>67</v>
      </c>
      <c r="AA825">
        <v>0</v>
      </c>
      <c r="AB825" t="s">
        <v>54</v>
      </c>
      <c r="AC825" t="s">
        <v>55</v>
      </c>
      <c r="AD825">
        <v>34</v>
      </c>
      <c r="AE825">
        <v>8</v>
      </c>
      <c r="AF825">
        <v>3</v>
      </c>
      <c r="AG825">
        <v>2025</v>
      </c>
      <c r="AH825" s="13">
        <v>3000</v>
      </c>
      <c r="AI825" s="13">
        <v>1473.934814453125</v>
      </c>
      <c r="AJ825" s="13">
        <f t="shared" si="96"/>
        <v>1526.065185546875</v>
      </c>
      <c r="AK825" s="14">
        <f t="shared" si="97"/>
        <v>0.5086883951822917</v>
      </c>
      <c r="AL825" s="9">
        <v>3000</v>
      </c>
      <c r="AM825" s="9">
        <v>1753.303374394224</v>
      </c>
      <c r="AN825" s="9">
        <f t="shared" si="98"/>
        <v>1246.696625605776</v>
      </c>
      <c r="AO825" s="10">
        <f t="shared" si="99"/>
        <v>0.41556554186859201</v>
      </c>
      <c r="AP825" s="16">
        <v>3000</v>
      </c>
      <c r="AQ825" s="16">
        <v>1544.671788823206</v>
      </c>
      <c r="AR825" s="16">
        <f t="shared" si="100"/>
        <v>1455.328211176794</v>
      </c>
      <c r="AS825" s="17">
        <f t="shared" si="101"/>
        <v>0.48510940372559797</v>
      </c>
      <c r="AT825" s="6">
        <v>3000</v>
      </c>
      <c r="AU825" s="6">
        <v>1572.993896484375</v>
      </c>
      <c r="AV825" s="6">
        <f t="shared" si="102"/>
        <v>1427.006103515625</v>
      </c>
      <c r="AW825" s="7">
        <f t="shared" si="103"/>
        <v>0.47566870117187499</v>
      </c>
    </row>
    <row r="826" spans="1:49" x14ac:dyDescent="0.25">
      <c r="A826" t="s">
        <v>38</v>
      </c>
      <c r="B826" t="s">
        <v>229</v>
      </c>
      <c r="C826">
        <v>75214</v>
      </c>
      <c r="D826">
        <v>2018</v>
      </c>
      <c r="E826" t="s">
        <v>173</v>
      </c>
      <c r="F826" t="s">
        <v>370</v>
      </c>
      <c r="G826" t="s">
        <v>559</v>
      </c>
      <c r="I826">
        <v>6</v>
      </c>
      <c r="J826" t="s">
        <v>82</v>
      </c>
      <c r="K826">
        <v>4</v>
      </c>
      <c r="L826" t="s">
        <v>44</v>
      </c>
      <c r="M826">
        <v>3.6</v>
      </c>
      <c r="N826" t="s">
        <v>62</v>
      </c>
      <c r="O826" t="s">
        <v>46</v>
      </c>
      <c r="P826">
        <v>4</v>
      </c>
      <c r="Q826" t="s">
        <v>47</v>
      </c>
      <c r="R826" t="s">
        <v>48</v>
      </c>
      <c r="S826" t="s">
        <v>63</v>
      </c>
      <c r="T826">
        <v>285</v>
      </c>
      <c r="U826" t="s">
        <v>50</v>
      </c>
      <c r="V826" t="s">
        <v>64</v>
      </c>
      <c r="X826" t="s">
        <v>141</v>
      </c>
      <c r="Y826" t="s">
        <v>67</v>
      </c>
      <c r="AA826">
        <v>0</v>
      </c>
      <c r="AB826" t="s">
        <v>54</v>
      </c>
      <c r="AC826" t="s">
        <v>55</v>
      </c>
      <c r="AD826">
        <v>34</v>
      </c>
      <c r="AE826">
        <v>8</v>
      </c>
      <c r="AF826">
        <v>3</v>
      </c>
      <c r="AG826">
        <v>2025</v>
      </c>
      <c r="AH826" s="13">
        <v>17000</v>
      </c>
      <c r="AI826" s="13">
        <v>17515.62109375</v>
      </c>
      <c r="AJ826" s="13">
        <f t="shared" si="96"/>
        <v>515.62109375</v>
      </c>
      <c r="AK826" s="14">
        <f t="shared" si="97"/>
        <v>3.0330652573529411E-2</v>
      </c>
      <c r="AL826" s="9">
        <v>17000</v>
      </c>
      <c r="AM826" s="9">
        <v>20733.023694859508</v>
      </c>
      <c r="AN826" s="9">
        <f t="shared" si="98"/>
        <v>3733.0236948595084</v>
      </c>
      <c r="AO826" s="10">
        <f t="shared" si="99"/>
        <v>0.21958962910938284</v>
      </c>
      <c r="AP826" s="16">
        <v>17000</v>
      </c>
      <c r="AQ826" s="16">
        <v>18479.926251630801</v>
      </c>
      <c r="AR826" s="16">
        <f t="shared" si="100"/>
        <v>1479.9262516308008</v>
      </c>
      <c r="AS826" s="17">
        <f t="shared" si="101"/>
        <v>8.7054485390047107E-2</v>
      </c>
      <c r="AT826" s="6">
        <v>17000</v>
      </c>
      <c r="AU826" s="6">
        <v>17071.70703125</v>
      </c>
      <c r="AV826" s="6">
        <f t="shared" si="102"/>
        <v>71.70703125</v>
      </c>
      <c r="AW826" s="7">
        <f t="shared" si="103"/>
        <v>4.2180606617647056E-3</v>
      </c>
    </row>
    <row r="827" spans="1:49" x14ac:dyDescent="0.25">
      <c r="A827" t="s">
        <v>56</v>
      </c>
      <c r="B827" t="s">
        <v>57</v>
      </c>
      <c r="C827">
        <v>149200</v>
      </c>
      <c r="D827">
        <v>2014</v>
      </c>
      <c r="E827" t="s">
        <v>58</v>
      </c>
      <c r="F827" t="s">
        <v>425</v>
      </c>
      <c r="H827" t="s">
        <v>268</v>
      </c>
      <c r="I827">
        <v>4</v>
      </c>
      <c r="J827" t="s">
        <v>82</v>
      </c>
      <c r="K827">
        <v>4</v>
      </c>
      <c r="L827" t="s">
        <v>44</v>
      </c>
      <c r="M827">
        <v>2.5</v>
      </c>
      <c r="N827" t="s">
        <v>45</v>
      </c>
      <c r="O827" t="s">
        <v>46</v>
      </c>
      <c r="Q827" t="s">
        <v>84</v>
      </c>
      <c r="R827" t="s">
        <v>85</v>
      </c>
      <c r="S827" t="s">
        <v>102</v>
      </c>
      <c r="T827">
        <v>175</v>
      </c>
      <c r="U827" t="s">
        <v>50</v>
      </c>
      <c r="V827" t="s">
        <v>95</v>
      </c>
      <c r="X827" t="s">
        <v>87</v>
      </c>
      <c r="Y827" t="s">
        <v>106</v>
      </c>
      <c r="AA827">
        <v>0</v>
      </c>
      <c r="AB827" t="s">
        <v>54</v>
      </c>
      <c r="AC827" t="s">
        <v>89</v>
      </c>
      <c r="AD827">
        <v>34</v>
      </c>
      <c r="AE827">
        <v>8</v>
      </c>
      <c r="AF827">
        <v>3</v>
      </c>
      <c r="AG827">
        <v>2025</v>
      </c>
      <c r="AH827" s="13">
        <v>2200</v>
      </c>
      <c r="AI827" s="13">
        <v>2432.570556640625</v>
      </c>
      <c r="AJ827" s="13">
        <f t="shared" si="96"/>
        <v>232.570556640625</v>
      </c>
      <c r="AK827" s="14">
        <f t="shared" si="97"/>
        <v>0.10571388938210227</v>
      </c>
      <c r="AL827" s="9">
        <v>2200</v>
      </c>
      <c r="AM827" s="9">
        <v>2368.8699711809782</v>
      </c>
      <c r="AN827" s="9">
        <f t="shared" si="98"/>
        <v>168.86997118097815</v>
      </c>
      <c r="AO827" s="10">
        <f t="shared" si="99"/>
        <v>7.6759077809535531E-2</v>
      </c>
      <c r="AP827" s="16">
        <v>2200</v>
      </c>
      <c r="AQ827" s="16">
        <v>2603.970340885267</v>
      </c>
      <c r="AR827" s="16">
        <f t="shared" si="100"/>
        <v>403.97034088526698</v>
      </c>
      <c r="AS827" s="17">
        <f t="shared" si="101"/>
        <v>0.18362288222057591</v>
      </c>
      <c r="AT827" s="6">
        <v>2200</v>
      </c>
      <c r="AU827" s="6">
        <v>2452.35205078125</v>
      </c>
      <c r="AV827" s="6">
        <f t="shared" si="102"/>
        <v>252.35205078125</v>
      </c>
      <c r="AW827" s="7">
        <f t="shared" si="103"/>
        <v>0.1147054776278409</v>
      </c>
    </row>
    <row r="828" spans="1:49" x14ac:dyDescent="0.25">
      <c r="A828" t="s">
        <v>69</v>
      </c>
      <c r="B828" t="s">
        <v>160</v>
      </c>
      <c r="C828">
        <v>73094</v>
      </c>
      <c r="D828">
        <v>2023</v>
      </c>
      <c r="E828" t="s">
        <v>113</v>
      </c>
      <c r="F828" t="s">
        <v>142</v>
      </c>
      <c r="G828" t="s">
        <v>115</v>
      </c>
      <c r="I828">
        <v>6</v>
      </c>
      <c r="J828" t="s">
        <v>43</v>
      </c>
      <c r="K828">
        <v>4</v>
      </c>
      <c r="L828" t="s">
        <v>44</v>
      </c>
      <c r="M828">
        <v>3.6</v>
      </c>
      <c r="N828" t="s">
        <v>116</v>
      </c>
      <c r="O828" t="s">
        <v>46</v>
      </c>
      <c r="P828">
        <v>3</v>
      </c>
      <c r="Q828" t="s">
        <v>47</v>
      </c>
      <c r="R828" t="s">
        <v>48</v>
      </c>
      <c r="S828" t="s">
        <v>49</v>
      </c>
      <c r="T828">
        <v>295</v>
      </c>
      <c r="U828" t="s">
        <v>50</v>
      </c>
      <c r="V828" t="s">
        <v>64</v>
      </c>
      <c r="X828" t="s">
        <v>66</v>
      </c>
      <c r="Y828" t="s">
        <v>67</v>
      </c>
      <c r="AA828">
        <v>0</v>
      </c>
      <c r="AB828" t="s">
        <v>54</v>
      </c>
      <c r="AC828" t="s">
        <v>55</v>
      </c>
      <c r="AD828">
        <v>34</v>
      </c>
      <c r="AE828">
        <v>8</v>
      </c>
      <c r="AF828">
        <v>3</v>
      </c>
      <c r="AG828">
        <v>2025</v>
      </c>
      <c r="AH828" s="13">
        <v>22100</v>
      </c>
      <c r="AI828" s="13">
        <v>26228.4921875</v>
      </c>
      <c r="AJ828" s="13">
        <f t="shared" si="96"/>
        <v>4128.4921875</v>
      </c>
      <c r="AK828" s="14">
        <f t="shared" si="97"/>
        <v>0.1868096012443439</v>
      </c>
      <c r="AL828" s="9">
        <v>22100</v>
      </c>
      <c r="AM828" s="9">
        <v>29626.541491055988</v>
      </c>
      <c r="AN828" s="9">
        <f t="shared" si="98"/>
        <v>7526.5414910559884</v>
      </c>
      <c r="AO828" s="10">
        <f t="shared" si="99"/>
        <v>0.34056748828307642</v>
      </c>
      <c r="AP828" s="16">
        <v>22100</v>
      </c>
      <c r="AQ828" s="16">
        <v>23976.856572973491</v>
      </c>
      <c r="AR828" s="16">
        <f t="shared" si="100"/>
        <v>1876.856572973491</v>
      </c>
      <c r="AS828" s="17">
        <f t="shared" si="101"/>
        <v>8.4925636786130812E-2</v>
      </c>
      <c r="AT828" s="6">
        <v>22100</v>
      </c>
      <c r="AU828" s="6">
        <v>24737.701171875</v>
      </c>
      <c r="AV828" s="6">
        <f t="shared" si="102"/>
        <v>2637.701171875</v>
      </c>
      <c r="AW828" s="7">
        <f t="shared" si="103"/>
        <v>0.11935299420248868</v>
      </c>
    </row>
    <row r="829" spans="1:49" x14ac:dyDescent="0.25">
      <c r="A829" t="s">
        <v>38</v>
      </c>
      <c r="B829" t="s">
        <v>289</v>
      </c>
      <c r="C829">
        <v>135943</v>
      </c>
      <c r="D829">
        <v>2013</v>
      </c>
      <c r="E829" t="s">
        <v>281</v>
      </c>
      <c r="F829" t="s">
        <v>1145</v>
      </c>
      <c r="H829" t="s">
        <v>1146</v>
      </c>
      <c r="I829">
        <v>6</v>
      </c>
      <c r="J829" t="s">
        <v>127</v>
      </c>
      <c r="K829">
        <v>4</v>
      </c>
      <c r="L829" t="s">
        <v>44</v>
      </c>
      <c r="M829">
        <v>3.5</v>
      </c>
      <c r="N829" t="s">
        <v>44</v>
      </c>
      <c r="Q829" t="s">
        <v>84</v>
      </c>
      <c r="R829" t="s">
        <v>85</v>
      </c>
      <c r="S829" t="s">
        <v>139</v>
      </c>
      <c r="T829">
        <v>365</v>
      </c>
      <c r="U829" t="s">
        <v>50</v>
      </c>
      <c r="V829" t="s">
        <v>64</v>
      </c>
      <c r="W829" t="s">
        <v>65</v>
      </c>
      <c r="X829" t="s">
        <v>87</v>
      </c>
      <c r="Y829" t="s">
        <v>67</v>
      </c>
      <c r="AA829">
        <v>0</v>
      </c>
      <c r="AB829" t="s">
        <v>54</v>
      </c>
      <c r="AC829" t="s">
        <v>89</v>
      </c>
      <c r="AD829">
        <v>34</v>
      </c>
      <c r="AE829">
        <v>8</v>
      </c>
      <c r="AF829">
        <v>3</v>
      </c>
      <c r="AG829">
        <v>2025</v>
      </c>
      <c r="AH829" s="13">
        <v>800</v>
      </c>
      <c r="AI829" s="13">
        <v>2279.653564453125</v>
      </c>
      <c r="AJ829" s="13">
        <f t="shared" si="96"/>
        <v>1479.653564453125</v>
      </c>
      <c r="AK829" s="14">
        <f t="shared" si="97"/>
        <v>1.8495669555664063</v>
      </c>
      <c r="AL829" s="9">
        <v>800</v>
      </c>
      <c r="AM829" s="9">
        <v>3202.7965136669841</v>
      </c>
      <c r="AN829" s="9">
        <f t="shared" si="98"/>
        <v>2402.7965136669841</v>
      </c>
      <c r="AO829" s="10">
        <f t="shared" si="99"/>
        <v>3.0034956420837302</v>
      </c>
      <c r="AP829" s="16">
        <v>800</v>
      </c>
      <c r="AQ829" s="16">
        <v>1742.2575337966971</v>
      </c>
      <c r="AR829" s="16">
        <f t="shared" si="100"/>
        <v>942.25753379669709</v>
      </c>
      <c r="AS829" s="17">
        <f t="shared" si="101"/>
        <v>1.1778219172458713</v>
      </c>
      <c r="AT829" s="6">
        <v>800</v>
      </c>
      <c r="AU829" s="6">
        <v>3214.4013671875</v>
      </c>
      <c r="AV829" s="6">
        <f t="shared" si="102"/>
        <v>2414.4013671875</v>
      </c>
      <c r="AW829" s="7">
        <f t="shared" si="103"/>
        <v>3.0180017089843751</v>
      </c>
    </row>
    <row r="830" spans="1:49" x14ac:dyDescent="0.25">
      <c r="A830" t="s">
        <v>38</v>
      </c>
      <c r="B830" t="s">
        <v>204</v>
      </c>
      <c r="C830">
        <v>144132</v>
      </c>
      <c r="D830">
        <v>2018</v>
      </c>
      <c r="E830" t="s">
        <v>145</v>
      </c>
      <c r="F830" t="s">
        <v>146</v>
      </c>
      <c r="G830" t="s">
        <v>284</v>
      </c>
      <c r="I830">
        <v>4</v>
      </c>
      <c r="K830">
        <v>5</v>
      </c>
      <c r="L830" t="s">
        <v>240</v>
      </c>
      <c r="M830">
        <v>2.4</v>
      </c>
      <c r="N830" t="s">
        <v>45</v>
      </c>
      <c r="O830" t="s">
        <v>46</v>
      </c>
      <c r="P830">
        <v>2</v>
      </c>
      <c r="Q830" t="s">
        <v>47</v>
      </c>
      <c r="R830" t="s">
        <v>48</v>
      </c>
      <c r="S830" t="s">
        <v>49</v>
      </c>
      <c r="T830">
        <v>184</v>
      </c>
      <c r="U830" t="s">
        <v>50</v>
      </c>
      <c r="V830" t="s">
        <v>95</v>
      </c>
      <c r="W830" t="s">
        <v>680</v>
      </c>
      <c r="X830" t="s">
        <v>52</v>
      </c>
      <c r="Y830" t="s">
        <v>88</v>
      </c>
      <c r="Z830">
        <v>24250</v>
      </c>
      <c r="AA830">
        <v>0</v>
      </c>
      <c r="AB830" t="s">
        <v>54</v>
      </c>
      <c r="AC830" t="s">
        <v>55</v>
      </c>
      <c r="AD830">
        <v>34</v>
      </c>
      <c r="AE830">
        <v>8</v>
      </c>
      <c r="AF830">
        <v>3</v>
      </c>
      <c r="AG830">
        <v>2025</v>
      </c>
      <c r="AH830" s="13">
        <v>7600</v>
      </c>
      <c r="AI830" s="13">
        <v>9161.7353515625</v>
      </c>
      <c r="AJ830" s="13">
        <f t="shared" si="96"/>
        <v>1561.7353515625</v>
      </c>
      <c r="AK830" s="14">
        <f t="shared" si="97"/>
        <v>0.20549149362664473</v>
      </c>
      <c r="AL830" s="9">
        <v>7600</v>
      </c>
      <c r="AM830" s="9">
        <v>6455.2407193079889</v>
      </c>
      <c r="AN830" s="9">
        <f t="shared" si="98"/>
        <v>1144.7592806920111</v>
      </c>
      <c r="AO830" s="10">
        <f t="shared" si="99"/>
        <v>0.15062622114368568</v>
      </c>
      <c r="AP830" s="16">
        <v>7600</v>
      </c>
      <c r="AQ830" s="16">
        <v>5421.8841755339199</v>
      </c>
      <c r="AR830" s="16">
        <f t="shared" si="100"/>
        <v>2178.1158244660801</v>
      </c>
      <c r="AS830" s="17">
        <f t="shared" si="101"/>
        <v>0.2865941874297474</v>
      </c>
      <c r="AT830" s="6">
        <v>7600</v>
      </c>
      <c r="AU830" s="6">
        <v>7092.822265625</v>
      </c>
      <c r="AV830" s="6">
        <f t="shared" si="102"/>
        <v>507.177734375</v>
      </c>
      <c r="AW830" s="7">
        <f t="shared" si="103"/>
        <v>6.6733912417763164E-2</v>
      </c>
    </row>
    <row r="831" spans="1:49" x14ac:dyDescent="0.25">
      <c r="A831" t="s">
        <v>38</v>
      </c>
      <c r="B831" t="s">
        <v>167</v>
      </c>
      <c r="C831">
        <v>166768</v>
      </c>
      <c r="D831">
        <v>2011</v>
      </c>
      <c r="E831" t="s">
        <v>71</v>
      </c>
      <c r="F831" t="s">
        <v>129</v>
      </c>
      <c r="I831">
        <v>4</v>
      </c>
      <c r="J831" t="s">
        <v>82</v>
      </c>
      <c r="K831">
        <v>4</v>
      </c>
      <c r="L831" t="s">
        <v>44</v>
      </c>
      <c r="M831">
        <v>2.5</v>
      </c>
      <c r="N831" t="s">
        <v>45</v>
      </c>
      <c r="O831" t="s">
        <v>46</v>
      </c>
      <c r="Q831" t="s">
        <v>84</v>
      </c>
      <c r="R831" t="s">
        <v>85</v>
      </c>
      <c r="S831" t="s">
        <v>49</v>
      </c>
      <c r="T831">
        <v>170</v>
      </c>
      <c r="U831" t="s">
        <v>50</v>
      </c>
      <c r="X831" t="s">
        <v>87</v>
      </c>
      <c r="Y831" t="s">
        <v>67</v>
      </c>
      <c r="AA831">
        <v>0</v>
      </c>
      <c r="AB831" t="s">
        <v>54</v>
      </c>
      <c r="AC831" t="s">
        <v>89</v>
      </c>
      <c r="AD831">
        <v>34</v>
      </c>
      <c r="AE831">
        <v>8</v>
      </c>
      <c r="AF831">
        <v>3</v>
      </c>
      <c r="AG831">
        <v>2025</v>
      </c>
      <c r="AH831" s="13">
        <v>800</v>
      </c>
      <c r="AI831" s="13">
        <v>1205.1923828125</v>
      </c>
      <c r="AJ831" s="13">
        <f t="shared" si="96"/>
        <v>405.1923828125</v>
      </c>
      <c r="AK831" s="14">
        <f t="shared" si="97"/>
        <v>0.50649047851562501</v>
      </c>
      <c r="AL831" s="9">
        <v>800</v>
      </c>
      <c r="AM831" s="9">
        <v>1288.9696203938461</v>
      </c>
      <c r="AN831" s="9">
        <f t="shared" si="98"/>
        <v>488.96962039384607</v>
      </c>
      <c r="AO831" s="10">
        <f t="shared" si="99"/>
        <v>0.61121202549230758</v>
      </c>
      <c r="AP831" s="16">
        <v>800</v>
      </c>
      <c r="AQ831" s="16">
        <v>1184.1774748594171</v>
      </c>
      <c r="AR831" s="16">
        <f t="shared" si="100"/>
        <v>384.17747485941709</v>
      </c>
      <c r="AS831" s="17">
        <f t="shared" si="101"/>
        <v>0.48022184357427133</v>
      </c>
      <c r="AT831" s="6">
        <v>800</v>
      </c>
      <c r="AU831" s="6">
        <v>1146.724975585938</v>
      </c>
      <c r="AV831" s="6">
        <f t="shared" si="102"/>
        <v>346.72497558593795</v>
      </c>
      <c r="AW831" s="7">
        <f t="shared" si="103"/>
        <v>0.43340621948242242</v>
      </c>
    </row>
    <row r="832" spans="1:49" x14ac:dyDescent="0.25">
      <c r="A832" t="s">
        <v>56</v>
      </c>
      <c r="B832" t="s">
        <v>303</v>
      </c>
      <c r="C832">
        <v>158805</v>
      </c>
      <c r="D832">
        <v>2014</v>
      </c>
      <c r="E832" t="s">
        <v>217</v>
      </c>
      <c r="F832" t="s">
        <v>162</v>
      </c>
      <c r="G832" t="s">
        <v>218</v>
      </c>
      <c r="I832">
        <v>8</v>
      </c>
      <c r="J832" t="s">
        <v>94</v>
      </c>
      <c r="K832">
        <v>4</v>
      </c>
      <c r="L832" t="s">
        <v>44</v>
      </c>
      <c r="M832">
        <v>5.7</v>
      </c>
      <c r="N832" t="s">
        <v>116</v>
      </c>
      <c r="O832" t="s">
        <v>46</v>
      </c>
      <c r="Q832" t="s">
        <v>75</v>
      </c>
      <c r="R832" t="s">
        <v>76</v>
      </c>
      <c r="S832" t="s">
        <v>49</v>
      </c>
      <c r="U832" t="s">
        <v>50</v>
      </c>
      <c r="X832" t="s">
        <v>66</v>
      </c>
      <c r="Y832" t="s">
        <v>67</v>
      </c>
      <c r="AA832">
        <v>0</v>
      </c>
      <c r="AB832" t="s">
        <v>54</v>
      </c>
      <c r="AC832" t="s">
        <v>78</v>
      </c>
      <c r="AD832">
        <v>34</v>
      </c>
      <c r="AE832">
        <v>8</v>
      </c>
      <c r="AF832">
        <v>3</v>
      </c>
      <c r="AG832">
        <v>2025</v>
      </c>
      <c r="AH832" s="13">
        <v>4800</v>
      </c>
      <c r="AI832" s="13">
        <v>5581.201171875</v>
      </c>
      <c r="AJ832" s="13">
        <f t="shared" si="96"/>
        <v>781.201171875</v>
      </c>
      <c r="AK832" s="14">
        <f t="shared" si="97"/>
        <v>0.162750244140625</v>
      </c>
      <c r="AL832" s="9">
        <v>4800</v>
      </c>
      <c r="AM832" s="9">
        <v>6012.1725818938758</v>
      </c>
      <c r="AN832" s="9">
        <f t="shared" si="98"/>
        <v>1212.1725818938758</v>
      </c>
      <c r="AO832" s="10">
        <f t="shared" si="99"/>
        <v>0.25253595456122413</v>
      </c>
      <c r="AP832" s="16">
        <v>4800</v>
      </c>
      <c r="AQ832" s="16">
        <v>5002.9604886044845</v>
      </c>
      <c r="AR832" s="16">
        <f t="shared" si="100"/>
        <v>202.96048860448445</v>
      </c>
      <c r="AS832" s="17">
        <f t="shared" si="101"/>
        <v>4.2283435125934264E-2</v>
      </c>
      <c r="AT832" s="6">
        <v>4800</v>
      </c>
      <c r="AU832" s="6">
        <v>5768.95458984375</v>
      </c>
      <c r="AV832" s="6">
        <f t="shared" si="102"/>
        <v>968.95458984375</v>
      </c>
      <c r="AW832" s="7">
        <f t="shared" si="103"/>
        <v>0.20186553955078124</v>
      </c>
    </row>
    <row r="833" spans="1:49" x14ac:dyDescent="0.25">
      <c r="A833" t="s">
        <v>56</v>
      </c>
      <c r="B833" t="s">
        <v>196</v>
      </c>
      <c r="C833">
        <v>154724</v>
      </c>
      <c r="D833">
        <v>2012</v>
      </c>
      <c r="E833" t="s">
        <v>213</v>
      </c>
      <c r="F833" t="s">
        <v>654</v>
      </c>
      <c r="G833" t="s">
        <v>232</v>
      </c>
      <c r="I833">
        <v>6</v>
      </c>
      <c r="J833" t="s">
        <v>101</v>
      </c>
      <c r="K833">
        <v>4</v>
      </c>
      <c r="L833" t="s">
        <v>44</v>
      </c>
      <c r="M833">
        <v>3.6</v>
      </c>
      <c r="N833" t="s">
        <v>44</v>
      </c>
      <c r="O833" t="s">
        <v>46</v>
      </c>
      <c r="Q833" t="s">
        <v>47</v>
      </c>
      <c r="R833" t="s">
        <v>48</v>
      </c>
      <c r="S833" t="s">
        <v>139</v>
      </c>
      <c r="U833" t="s">
        <v>50</v>
      </c>
      <c r="W833" t="s">
        <v>655</v>
      </c>
      <c r="X833" t="s">
        <v>141</v>
      </c>
      <c r="Y833" t="s">
        <v>106</v>
      </c>
      <c r="AA833">
        <v>0</v>
      </c>
      <c r="AB833" t="s">
        <v>54</v>
      </c>
      <c r="AC833" t="s">
        <v>55</v>
      </c>
      <c r="AD833">
        <v>34</v>
      </c>
      <c r="AE833">
        <v>8</v>
      </c>
      <c r="AF833">
        <v>3</v>
      </c>
      <c r="AG833">
        <v>2025</v>
      </c>
      <c r="AH833" s="13">
        <v>4200</v>
      </c>
      <c r="AI833" s="13">
        <v>2687.586669921875</v>
      </c>
      <c r="AJ833" s="13">
        <f t="shared" si="96"/>
        <v>1512.413330078125</v>
      </c>
      <c r="AK833" s="14">
        <f t="shared" si="97"/>
        <v>0.36009841192336312</v>
      </c>
      <c r="AL833" s="9">
        <v>4200</v>
      </c>
      <c r="AM833" s="9">
        <v>2518.0704890676211</v>
      </c>
      <c r="AN833" s="9">
        <f t="shared" si="98"/>
        <v>1681.9295109323789</v>
      </c>
      <c r="AO833" s="10">
        <f t="shared" si="99"/>
        <v>0.40045940736485214</v>
      </c>
      <c r="AP833" s="16">
        <v>4200</v>
      </c>
      <c r="AQ833" s="16">
        <v>1879.903374598684</v>
      </c>
      <c r="AR833" s="16">
        <f t="shared" si="100"/>
        <v>2320.096625401316</v>
      </c>
      <c r="AS833" s="17">
        <f t="shared" si="101"/>
        <v>0.55240395842888479</v>
      </c>
      <c r="AT833" s="6">
        <v>4200</v>
      </c>
      <c r="AU833" s="6">
        <v>2430.1640625</v>
      </c>
      <c r="AV833" s="6">
        <f t="shared" si="102"/>
        <v>1769.8359375</v>
      </c>
      <c r="AW833" s="7">
        <f t="shared" si="103"/>
        <v>0.42138950892857141</v>
      </c>
    </row>
    <row r="834" spans="1:49" x14ac:dyDescent="0.25">
      <c r="A834" t="s">
        <v>38</v>
      </c>
      <c r="B834" t="s">
        <v>132</v>
      </c>
      <c r="C834">
        <v>133084</v>
      </c>
      <c r="D834">
        <v>2014</v>
      </c>
      <c r="E834" t="s">
        <v>40</v>
      </c>
      <c r="F834" t="s">
        <v>312</v>
      </c>
      <c r="G834" t="s">
        <v>1147</v>
      </c>
      <c r="I834">
        <v>4</v>
      </c>
      <c r="J834" t="s">
        <v>43</v>
      </c>
      <c r="K834">
        <v>4</v>
      </c>
      <c r="L834" t="s">
        <v>44</v>
      </c>
      <c r="M834">
        <v>2</v>
      </c>
      <c r="N834" t="s">
        <v>45</v>
      </c>
      <c r="O834" t="s">
        <v>46</v>
      </c>
      <c r="P834">
        <v>3</v>
      </c>
      <c r="Q834" t="s">
        <v>84</v>
      </c>
      <c r="R834" t="s">
        <v>85</v>
      </c>
      <c r="U834" t="s">
        <v>50</v>
      </c>
      <c r="X834" t="s">
        <v>87</v>
      </c>
      <c r="Y834" t="s">
        <v>53</v>
      </c>
      <c r="AA834">
        <v>0</v>
      </c>
      <c r="AB834" t="s">
        <v>54</v>
      </c>
      <c r="AC834" t="s">
        <v>89</v>
      </c>
      <c r="AD834">
        <v>34</v>
      </c>
      <c r="AE834">
        <v>8</v>
      </c>
      <c r="AF834">
        <v>3</v>
      </c>
      <c r="AG834">
        <v>2025</v>
      </c>
      <c r="AH834" s="13">
        <v>2600</v>
      </c>
      <c r="AI834" s="13">
        <v>2228.295166015625</v>
      </c>
      <c r="AJ834" s="13">
        <f t="shared" si="96"/>
        <v>371.704833984375</v>
      </c>
      <c r="AK834" s="14">
        <f t="shared" si="97"/>
        <v>0.14296339768629807</v>
      </c>
      <c r="AL834" s="9">
        <v>2600</v>
      </c>
      <c r="AM834" s="9">
        <v>2094.7754191062049</v>
      </c>
      <c r="AN834" s="9">
        <f t="shared" si="98"/>
        <v>505.22458089379506</v>
      </c>
      <c r="AO834" s="10">
        <f t="shared" si="99"/>
        <v>0.19431714649761347</v>
      </c>
      <c r="AP834" s="16">
        <v>2600</v>
      </c>
      <c r="AQ834" s="16">
        <v>1934.1079775870739</v>
      </c>
      <c r="AR834" s="16">
        <f t="shared" si="100"/>
        <v>665.89202241292605</v>
      </c>
      <c r="AS834" s="17">
        <f t="shared" si="101"/>
        <v>0.25611231631266385</v>
      </c>
      <c r="AT834" s="6">
        <v>2600</v>
      </c>
      <c r="AU834" s="6">
        <v>1973.6806640625</v>
      </c>
      <c r="AV834" s="6">
        <f t="shared" si="102"/>
        <v>626.3193359375</v>
      </c>
      <c r="AW834" s="7">
        <f t="shared" si="103"/>
        <v>0.24089205228365385</v>
      </c>
    </row>
    <row r="835" spans="1:49" x14ac:dyDescent="0.25">
      <c r="A835" t="s">
        <v>56</v>
      </c>
      <c r="B835" t="s">
        <v>178</v>
      </c>
      <c r="C835">
        <v>129408</v>
      </c>
      <c r="D835">
        <v>2015</v>
      </c>
      <c r="E835" t="s">
        <v>113</v>
      </c>
      <c r="F835" t="s">
        <v>142</v>
      </c>
      <c r="G835" t="s">
        <v>482</v>
      </c>
      <c r="I835">
        <v>8</v>
      </c>
      <c r="J835" t="s">
        <v>43</v>
      </c>
      <c r="K835">
        <v>4</v>
      </c>
      <c r="L835" t="s">
        <v>44</v>
      </c>
      <c r="M835">
        <v>5.7</v>
      </c>
      <c r="N835" t="s">
        <v>44</v>
      </c>
      <c r="O835" t="s">
        <v>46</v>
      </c>
      <c r="P835">
        <v>4</v>
      </c>
      <c r="Q835" t="s">
        <v>47</v>
      </c>
      <c r="R835" t="s">
        <v>48</v>
      </c>
      <c r="S835" t="s">
        <v>139</v>
      </c>
      <c r="T835">
        <v>360</v>
      </c>
      <c r="U835" t="s">
        <v>50</v>
      </c>
      <c r="V835" t="s">
        <v>64</v>
      </c>
      <c r="X835" t="s">
        <v>77</v>
      </c>
      <c r="Y835" t="s">
        <v>67</v>
      </c>
      <c r="AA835">
        <v>0</v>
      </c>
      <c r="AB835" t="s">
        <v>54</v>
      </c>
      <c r="AC835" t="s">
        <v>55</v>
      </c>
      <c r="AD835">
        <v>34</v>
      </c>
      <c r="AE835">
        <v>8</v>
      </c>
      <c r="AF835">
        <v>3</v>
      </c>
      <c r="AG835">
        <v>2025</v>
      </c>
      <c r="AH835" s="13">
        <v>11600</v>
      </c>
      <c r="AI835" s="13">
        <v>9689.845703125</v>
      </c>
      <c r="AJ835" s="13">
        <f t="shared" ref="AJ835:AJ898" si="104">ABS(AH835-AI835)</f>
        <v>1910.154296875</v>
      </c>
      <c r="AK835" s="14">
        <f t="shared" ref="AK835:AK898" si="105">ABS($AH835-AI835)/$AH835</f>
        <v>0.16466847386853448</v>
      </c>
      <c r="AL835" s="9">
        <v>11600</v>
      </c>
      <c r="AM835" s="9">
        <v>10260.23078884841</v>
      </c>
      <c r="AN835" s="9">
        <f t="shared" ref="AN835:AN898" si="106">ABS(AL835-AM835)</f>
        <v>1339.7692111515898</v>
      </c>
      <c r="AO835" s="10">
        <f t="shared" ref="AO835:AO898" si="107">ABS($AL835-AM835)/$AL835</f>
        <v>0.11549734578893016</v>
      </c>
      <c r="AP835" s="16">
        <v>11600</v>
      </c>
      <c r="AQ835" s="16">
        <v>9683.335453556625</v>
      </c>
      <c r="AR835" s="16">
        <f t="shared" ref="AR835:AR898" si="108">ABS(AP835-AQ835)</f>
        <v>1916.664546443375</v>
      </c>
      <c r="AS835" s="17">
        <f t="shared" ref="AS835:AS898" si="109">ABS($AP835-AQ835)/$AP835</f>
        <v>0.16522970227960129</v>
      </c>
      <c r="AT835" s="6">
        <v>11600</v>
      </c>
      <c r="AU835" s="6">
        <v>9366.712890625</v>
      </c>
      <c r="AV835" s="6">
        <f t="shared" ref="AV835:AV898" si="110">ABS(AT835-AU835)</f>
        <v>2233.287109375</v>
      </c>
      <c r="AW835" s="7">
        <f t="shared" ref="AW835:AW898" si="111">ABS($AT835-AU835)/$AT835</f>
        <v>0.19252475080818965</v>
      </c>
    </row>
    <row r="836" spans="1:49" x14ac:dyDescent="0.25">
      <c r="A836" t="s">
        <v>56</v>
      </c>
      <c r="B836" t="s">
        <v>144</v>
      </c>
      <c r="C836">
        <v>36263</v>
      </c>
      <c r="D836">
        <v>2022</v>
      </c>
      <c r="E836" t="s">
        <v>281</v>
      </c>
      <c r="F836" t="s">
        <v>1148</v>
      </c>
      <c r="H836" t="s">
        <v>283</v>
      </c>
      <c r="I836">
        <v>4</v>
      </c>
      <c r="J836" t="s">
        <v>127</v>
      </c>
      <c r="K836">
        <v>4</v>
      </c>
      <c r="L836" t="s">
        <v>44</v>
      </c>
      <c r="M836">
        <v>2</v>
      </c>
      <c r="N836" t="s">
        <v>44</v>
      </c>
      <c r="O836" t="s">
        <v>46</v>
      </c>
      <c r="P836">
        <v>5</v>
      </c>
      <c r="Q836" t="s">
        <v>47</v>
      </c>
      <c r="R836" t="s">
        <v>207</v>
      </c>
      <c r="S836" t="s">
        <v>63</v>
      </c>
      <c r="T836">
        <v>250</v>
      </c>
      <c r="U836" t="s">
        <v>50</v>
      </c>
      <c r="W836" t="s">
        <v>65</v>
      </c>
      <c r="X836" t="s">
        <v>52</v>
      </c>
      <c r="Y836" t="s">
        <v>67</v>
      </c>
      <c r="AA836">
        <v>0</v>
      </c>
      <c r="AB836" t="s">
        <v>54</v>
      </c>
      <c r="AC836" t="s">
        <v>55</v>
      </c>
      <c r="AD836">
        <v>34</v>
      </c>
      <c r="AE836">
        <v>8</v>
      </c>
      <c r="AF836">
        <v>3</v>
      </c>
      <c r="AG836">
        <v>2025</v>
      </c>
      <c r="AH836" s="13">
        <v>29200</v>
      </c>
      <c r="AI836" s="13">
        <v>28042.69140625</v>
      </c>
      <c r="AJ836" s="13">
        <f t="shared" si="104"/>
        <v>1157.30859375</v>
      </c>
      <c r="AK836" s="14">
        <f t="shared" si="105"/>
        <v>3.9633855950342467E-2</v>
      </c>
      <c r="AL836" s="9">
        <v>29200</v>
      </c>
      <c r="AM836" s="9">
        <v>27820.515941729649</v>
      </c>
      <c r="AN836" s="9">
        <f t="shared" si="106"/>
        <v>1379.4840582703509</v>
      </c>
      <c r="AO836" s="10">
        <f t="shared" si="107"/>
        <v>4.7242604735285992E-2</v>
      </c>
      <c r="AP836" s="16">
        <v>29200</v>
      </c>
      <c r="AQ836" s="16">
        <v>26139.111029358559</v>
      </c>
      <c r="AR836" s="16">
        <f t="shared" si="108"/>
        <v>3060.8889706414411</v>
      </c>
      <c r="AS836" s="17">
        <f t="shared" si="109"/>
        <v>0.10482496474799456</v>
      </c>
      <c r="AT836" s="6">
        <v>29200</v>
      </c>
      <c r="AU836" s="6">
        <v>26385.44921875</v>
      </c>
      <c r="AV836" s="6">
        <f t="shared" si="110"/>
        <v>2814.55078125</v>
      </c>
      <c r="AW836" s="7">
        <f t="shared" si="111"/>
        <v>9.6388725385273974E-2</v>
      </c>
    </row>
    <row r="837" spans="1:49" x14ac:dyDescent="0.25">
      <c r="A837" t="s">
        <v>38</v>
      </c>
      <c r="B837" t="s">
        <v>118</v>
      </c>
      <c r="C837">
        <v>167659</v>
      </c>
      <c r="D837">
        <v>2019</v>
      </c>
      <c r="E837" t="s">
        <v>79</v>
      </c>
      <c r="F837" t="s">
        <v>286</v>
      </c>
      <c r="G837" t="s">
        <v>287</v>
      </c>
      <c r="I837">
        <v>4</v>
      </c>
      <c r="J837" t="s">
        <v>43</v>
      </c>
      <c r="K837">
        <v>4</v>
      </c>
      <c r="L837" t="s">
        <v>44</v>
      </c>
      <c r="M837">
        <v>1.5</v>
      </c>
      <c r="N837" t="s">
        <v>45</v>
      </c>
      <c r="O837" t="s">
        <v>46</v>
      </c>
      <c r="Q837" t="s">
        <v>84</v>
      </c>
      <c r="R837" t="s">
        <v>85</v>
      </c>
      <c r="U837" t="s">
        <v>50</v>
      </c>
      <c r="V837" t="s">
        <v>95</v>
      </c>
      <c r="W837" t="s">
        <v>288</v>
      </c>
      <c r="X837" t="s">
        <v>87</v>
      </c>
      <c r="Y837" t="s">
        <v>67</v>
      </c>
      <c r="Z837">
        <v>27495</v>
      </c>
      <c r="AA837">
        <v>0</v>
      </c>
      <c r="AB837" t="s">
        <v>54</v>
      </c>
      <c r="AC837" t="s">
        <v>89</v>
      </c>
      <c r="AD837">
        <v>34</v>
      </c>
      <c r="AE837">
        <v>8</v>
      </c>
      <c r="AF837">
        <v>3</v>
      </c>
      <c r="AG837">
        <v>2025</v>
      </c>
      <c r="AH837" s="13">
        <v>4500</v>
      </c>
      <c r="AI837" s="13">
        <v>4264.767578125</v>
      </c>
      <c r="AJ837" s="13">
        <f t="shared" si="104"/>
        <v>235.232421875</v>
      </c>
      <c r="AK837" s="14">
        <f t="shared" si="105"/>
        <v>5.2273871527777779E-2</v>
      </c>
      <c r="AL837" s="9">
        <v>4500</v>
      </c>
      <c r="AM837" s="9">
        <v>4269.6249373918017</v>
      </c>
      <c r="AN837" s="9">
        <f t="shared" si="106"/>
        <v>230.37506260819828</v>
      </c>
      <c r="AO837" s="10">
        <f t="shared" si="107"/>
        <v>5.1194458357377397E-2</v>
      </c>
      <c r="AP837" s="16">
        <v>4500</v>
      </c>
      <c r="AQ837" s="16">
        <v>4291.4567058002558</v>
      </c>
      <c r="AR837" s="16">
        <f t="shared" si="108"/>
        <v>208.5432941997442</v>
      </c>
      <c r="AS837" s="17">
        <f t="shared" si="109"/>
        <v>4.6342954266609823E-2</v>
      </c>
      <c r="AT837" s="6">
        <v>4500</v>
      </c>
      <c r="AU837" s="6">
        <v>4573.8076171875</v>
      </c>
      <c r="AV837" s="6">
        <f t="shared" si="110"/>
        <v>73.8076171875</v>
      </c>
      <c r="AW837" s="7">
        <f t="shared" si="111"/>
        <v>1.6401692708333332E-2</v>
      </c>
    </row>
    <row r="838" spans="1:49" x14ac:dyDescent="0.25">
      <c r="A838" t="s">
        <v>69</v>
      </c>
      <c r="B838" t="s">
        <v>112</v>
      </c>
      <c r="C838">
        <v>104343</v>
      </c>
      <c r="D838">
        <v>2020</v>
      </c>
      <c r="E838" t="s">
        <v>205</v>
      </c>
      <c r="F838" t="s">
        <v>1149</v>
      </c>
      <c r="I838">
        <v>6</v>
      </c>
      <c r="J838" t="s">
        <v>82</v>
      </c>
      <c r="K838">
        <v>4</v>
      </c>
      <c r="L838" t="s">
        <v>44</v>
      </c>
      <c r="M838">
        <v>3</v>
      </c>
      <c r="N838" t="s">
        <v>116</v>
      </c>
      <c r="O838" t="s">
        <v>46</v>
      </c>
      <c r="P838">
        <v>4</v>
      </c>
      <c r="Q838" t="s">
        <v>84</v>
      </c>
      <c r="R838" t="s">
        <v>85</v>
      </c>
      <c r="S838" t="s">
        <v>49</v>
      </c>
      <c r="U838" t="s">
        <v>50</v>
      </c>
      <c r="X838" t="s">
        <v>87</v>
      </c>
      <c r="Y838" t="s">
        <v>97</v>
      </c>
      <c r="Z838">
        <v>36400</v>
      </c>
      <c r="AA838">
        <v>0</v>
      </c>
      <c r="AB838" t="s">
        <v>54</v>
      </c>
      <c r="AC838" t="s">
        <v>89</v>
      </c>
      <c r="AD838">
        <v>34</v>
      </c>
      <c r="AE838">
        <v>8</v>
      </c>
      <c r="AF838">
        <v>3</v>
      </c>
      <c r="AG838">
        <v>2025</v>
      </c>
      <c r="AH838" s="13">
        <v>8600</v>
      </c>
      <c r="AI838" s="13">
        <v>13068.3173828125</v>
      </c>
      <c r="AJ838" s="13">
        <f t="shared" si="104"/>
        <v>4468.3173828125</v>
      </c>
      <c r="AK838" s="14">
        <f t="shared" si="105"/>
        <v>0.5195717886991279</v>
      </c>
      <c r="AL838" s="9">
        <v>8600</v>
      </c>
      <c r="AM838" s="9">
        <v>14359.54113901171</v>
      </c>
      <c r="AN838" s="9">
        <f t="shared" si="106"/>
        <v>5759.5411390117097</v>
      </c>
      <c r="AO838" s="10">
        <f t="shared" si="107"/>
        <v>0.66971408593159409</v>
      </c>
      <c r="AP838" s="16">
        <v>8600</v>
      </c>
      <c r="AQ838" s="16">
        <v>10770.972736949599</v>
      </c>
      <c r="AR838" s="16">
        <f t="shared" si="108"/>
        <v>2170.9727369495995</v>
      </c>
      <c r="AS838" s="17">
        <f t="shared" si="109"/>
        <v>0.25243869034297667</v>
      </c>
      <c r="AT838" s="6">
        <v>8600</v>
      </c>
      <c r="AU838" s="6">
        <v>13006.9775390625</v>
      </c>
      <c r="AV838" s="6">
        <f t="shared" si="110"/>
        <v>4406.9775390625</v>
      </c>
      <c r="AW838" s="7">
        <f t="shared" si="111"/>
        <v>0.51243924872819768</v>
      </c>
    </row>
    <row r="839" spans="1:49" x14ac:dyDescent="0.25">
      <c r="A839" t="s">
        <v>56</v>
      </c>
      <c r="B839" t="s">
        <v>57</v>
      </c>
      <c r="C839">
        <v>148493</v>
      </c>
      <c r="D839">
        <v>2010</v>
      </c>
      <c r="E839" t="s">
        <v>145</v>
      </c>
      <c r="F839" t="s">
        <v>307</v>
      </c>
      <c r="G839" t="s">
        <v>432</v>
      </c>
      <c r="I839">
        <v>4</v>
      </c>
      <c r="J839" t="s">
        <v>43</v>
      </c>
      <c r="K839">
        <v>4</v>
      </c>
      <c r="L839" t="s">
        <v>44</v>
      </c>
      <c r="M839">
        <v>2.4</v>
      </c>
      <c r="N839" t="s">
        <v>45</v>
      </c>
      <c r="O839" t="s">
        <v>46</v>
      </c>
      <c r="Q839" t="s">
        <v>84</v>
      </c>
      <c r="R839" t="s">
        <v>85</v>
      </c>
      <c r="T839">
        <v>190</v>
      </c>
      <c r="U839" t="s">
        <v>50</v>
      </c>
      <c r="V839" t="s">
        <v>95</v>
      </c>
      <c r="W839" t="s">
        <v>1150</v>
      </c>
      <c r="X839" t="s">
        <v>52</v>
      </c>
      <c r="Y839" t="s">
        <v>67</v>
      </c>
      <c r="AA839">
        <v>0</v>
      </c>
      <c r="AB839" t="s">
        <v>54</v>
      </c>
      <c r="AC839" t="s">
        <v>89</v>
      </c>
      <c r="AD839">
        <v>34</v>
      </c>
      <c r="AE839">
        <v>8</v>
      </c>
      <c r="AF839">
        <v>3</v>
      </c>
      <c r="AG839">
        <v>2025</v>
      </c>
      <c r="AH839" s="13">
        <v>4800</v>
      </c>
      <c r="AI839" s="13">
        <v>3338.0048828125</v>
      </c>
      <c r="AJ839" s="13">
        <f t="shared" si="104"/>
        <v>1461.9951171875</v>
      </c>
      <c r="AK839" s="14">
        <f t="shared" si="105"/>
        <v>0.30458231608072917</v>
      </c>
      <c r="AL839" s="9">
        <v>4800</v>
      </c>
      <c r="AM839" s="9">
        <v>3579.2356925165759</v>
      </c>
      <c r="AN839" s="9">
        <f t="shared" si="106"/>
        <v>1220.7643074834241</v>
      </c>
      <c r="AO839" s="10">
        <f t="shared" si="107"/>
        <v>0.25432589739238004</v>
      </c>
      <c r="AP839" s="16">
        <v>4800</v>
      </c>
      <c r="AQ839" s="16">
        <v>2860.5609146218421</v>
      </c>
      <c r="AR839" s="16">
        <f t="shared" si="108"/>
        <v>1939.4390853781579</v>
      </c>
      <c r="AS839" s="17">
        <f t="shared" si="109"/>
        <v>0.40404980945378288</v>
      </c>
      <c r="AT839" s="6">
        <v>4800</v>
      </c>
      <c r="AU839" s="6">
        <v>3492.721923828125</v>
      </c>
      <c r="AV839" s="6">
        <f t="shared" si="110"/>
        <v>1307.278076171875</v>
      </c>
      <c r="AW839" s="7">
        <f t="shared" si="111"/>
        <v>0.27234959920247398</v>
      </c>
    </row>
    <row r="840" spans="1:49" x14ac:dyDescent="0.25">
      <c r="A840" t="s">
        <v>38</v>
      </c>
      <c r="B840" t="s">
        <v>167</v>
      </c>
      <c r="C840">
        <v>131103</v>
      </c>
      <c r="D840">
        <v>2015</v>
      </c>
      <c r="E840" t="s">
        <v>79</v>
      </c>
      <c r="F840" t="s">
        <v>164</v>
      </c>
      <c r="G840" t="s">
        <v>264</v>
      </c>
      <c r="I840">
        <v>4</v>
      </c>
      <c r="J840" t="s">
        <v>74</v>
      </c>
      <c r="K840">
        <v>4</v>
      </c>
      <c r="L840" t="s">
        <v>44</v>
      </c>
      <c r="M840">
        <v>2.4</v>
      </c>
      <c r="N840" t="s">
        <v>45</v>
      </c>
      <c r="O840" t="s">
        <v>46</v>
      </c>
      <c r="P840">
        <v>4</v>
      </c>
      <c r="Q840" t="s">
        <v>47</v>
      </c>
      <c r="R840" t="s">
        <v>48</v>
      </c>
      <c r="S840" t="s">
        <v>102</v>
      </c>
      <c r="U840" t="s">
        <v>50</v>
      </c>
      <c r="W840" t="s">
        <v>970</v>
      </c>
      <c r="X840" t="s">
        <v>52</v>
      </c>
      <c r="Y840" t="s">
        <v>67</v>
      </c>
      <c r="AA840">
        <v>0</v>
      </c>
      <c r="AB840" t="s">
        <v>54</v>
      </c>
      <c r="AC840" t="s">
        <v>55</v>
      </c>
      <c r="AD840">
        <v>34</v>
      </c>
      <c r="AE840">
        <v>8</v>
      </c>
      <c r="AF840">
        <v>3</v>
      </c>
      <c r="AG840">
        <v>2025</v>
      </c>
      <c r="AH840" s="13">
        <v>4000</v>
      </c>
      <c r="AI840" s="13">
        <v>4293.9091796875</v>
      </c>
      <c r="AJ840" s="13">
        <f t="shared" si="104"/>
        <v>293.9091796875</v>
      </c>
      <c r="AK840" s="14">
        <f t="shared" si="105"/>
        <v>7.3477294921875005E-2</v>
      </c>
      <c r="AL840" s="9">
        <v>4000</v>
      </c>
      <c r="AM840" s="9">
        <v>4355.9583954395384</v>
      </c>
      <c r="AN840" s="9">
        <f t="shared" si="106"/>
        <v>355.95839543953844</v>
      </c>
      <c r="AO840" s="10">
        <f t="shared" si="107"/>
        <v>8.8989598859884611E-2</v>
      </c>
      <c r="AP840" s="16">
        <v>4000</v>
      </c>
      <c r="AQ840" s="16">
        <v>3744.7878727859961</v>
      </c>
      <c r="AR840" s="16">
        <f t="shared" si="108"/>
        <v>255.21212721400389</v>
      </c>
      <c r="AS840" s="17">
        <f t="shared" si="109"/>
        <v>6.380303180350097E-2</v>
      </c>
      <c r="AT840" s="6">
        <v>4000</v>
      </c>
      <c r="AU840" s="6">
        <v>4161.2568359375</v>
      </c>
      <c r="AV840" s="6">
        <f t="shared" si="110"/>
        <v>161.2568359375</v>
      </c>
      <c r="AW840" s="7">
        <f t="shared" si="111"/>
        <v>4.0314208984375002E-2</v>
      </c>
    </row>
    <row r="841" spans="1:49" x14ac:dyDescent="0.25">
      <c r="A841" t="s">
        <v>38</v>
      </c>
      <c r="B841" t="s">
        <v>90</v>
      </c>
      <c r="C841">
        <v>41667</v>
      </c>
      <c r="D841">
        <v>2021</v>
      </c>
      <c r="E841" t="s">
        <v>269</v>
      </c>
      <c r="F841" t="s">
        <v>1151</v>
      </c>
      <c r="G841" t="s">
        <v>1152</v>
      </c>
      <c r="I841">
        <v>6</v>
      </c>
      <c r="J841" t="s">
        <v>82</v>
      </c>
      <c r="K841">
        <v>4</v>
      </c>
      <c r="L841" t="s">
        <v>44</v>
      </c>
      <c r="M841">
        <v>3</v>
      </c>
      <c r="N841" t="s">
        <v>44</v>
      </c>
      <c r="O841" t="s">
        <v>46</v>
      </c>
      <c r="P841">
        <v>4</v>
      </c>
      <c r="Q841" t="s">
        <v>47</v>
      </c>
      <c r="R841" t="s">
        <v>48</v>
      </c>
      <c r="S841" t="s">
        <v>139</v>
      </c>
      <c r="T841">
        <v>335</v>
      </c>
      <c r="U841" t="s">
        <v>50</v>
      </c>
      <c r="X841" t="s">
        <v>66</v>
      </c>
      <c r="Y841" t="s">
        <v>67</v>
      </c>
      <c r="Z841">
        <v>74900</v>
      </c>
      <c r="AA841">
        <v>0</v>
      </c>
      <c r="AB841" t="s">
        <v>54</v>
      </c>
      <c r="AC841" t="s">
        <v>68</v>
      </c>
      <c r="AD841">
        <v>34</v>
      </c>
      <c r="AE841">
        <v>8</v>
      </c>
      <c r="AF841">
        <v>3</v>
      </c>
      <c r="AG841">
        <v>2025</v>
      </c>
      <c r="AH841" s="13">
        <v>40000</v>
      </c>
      <c r="AI841" s="13">
        <v>47690.37109375</v>
      </c>
      <c r="AJ841" s="13">
        <f t="shared" si="104"/>
        <v>7690.37109375</v>
      </c>
      <c r="AK841" s="14">
        <f t="shared" si="105"/>
        <v>0.19225927734375001</v>
      </c>
      <c r="AL841" s="9">
        <v>40000</v>
      </c>
      <c r="AM841" s="9">
        <v>37997.649527628317</v>
      </c>
      <c r="AN841" s="9">
        <f t="shared" si="106"/>
        <v>2002.3504723716833</v>
      </c>
      <c r="AO841" s="10">
        <f t="shared" si="107"/>
        <v>5.0058761809292085E-2</v>
      </c>
      <c r="AP841" s="16">
        <v>40000</v>
      </c>
      <c r="AQ841" s="16">
        <v>42359.708965000107</v>
      </c>
      <c r="AR841" s="16">
        <f t="shared" si="108"/>
        <v>2359.7089650001071</v>
      </c>
      <c r="AS841" s="17">
        <f t="shared" si="109"/>
        <v>5.8992724125002678E-2</v>
      </c>
      <c r="AT841" s="6">
        <v>40000</v>
      </c>
      <c r="AU841" s="6">
        <v>38624.515625</v>
      </c>
      <c r="AV841" s="6">
        <f t="shared" si="110"/>
        <v>1375.484375</v>
      </c>
      <c r="AW841" s="7">
        <f t="shared" si="111"/>
        <v>3.4387109375000002E-2</v>
      </c>
    </row>
    <row r="842" spans="1:49" x14ac:dyDescent="0.25">
      <c r="A842" t="s">
        <v>107</v>
      </c>
      <c r="B842" t="s">
        <v>154</v>
      </c>
      <c r="C842">
        <v>117795</v>
      </c>
      <c r="D842">
        <v>2008</v>
      </c>
      <c r="E842" t="s">
        <v>113</v>
      </c>
      <c r="F842" t="s">
        <v>708</v>
      </c>
      <c r="G842" t="s">
        <v>162</v>
      </c>
      <c r="H842" t="s">
        <v>961</v>
      </c>
      <c r="I842">
        <v>6</v>
      </c>
      <c r="J842" t="s">
        <v>43</v>
      </c>
      <c r="K842">
        <v>2</v>
      </c>
      <c r="L842" t="s">
        <v>44</v>
      </c>
      <c r="M842">
        <v>3.7</v>
      </c>
      <c r="N842" t="s">
        <v>116</v>
      </c>
      <c r="O842" t="s">
        <v>46</v>
      </c>
      <c r="P842">
        <v>1</v>
      </c>
      <c r="Q842" t="s">
        <v>75</v>
      </c>
      <c r="R842" t="s">
        <v>76</v>
      </c>
      <c r="S842" t="s">
        <v>49</v>
      </c>
      <c r="U842" t="s">
        <v>50</v>
      </c>
      <c r="V842" t="s">
        <v>64</v>
      </c>
      <c r="X842" t="s">
        <v>66</v>
      </c>
      <c r="Y842" t="s">
        <v>67</v>
      </c>
      <c r="AA842">
        <v>0</v>
      </c>
      <c r="AB842" t="s">
        <v>54</v>
      </c>
      <c r="AC842" t="s">
        <v>78</v>
      </c>
      <c r="AD842">
        <v>34</v>
      </c>
      <c r="AE842">
        <v>8</v>
      </c>
      <c r="AF842">
        <v>3</v>
      </c>
      <c r="AG842">
        <v>2025</v>
      </c>
      <c r="AH842" s="13">
        <v>1850</v>
      </c>
      <c r="AI842" s="13">
        <v>1065.841674804688</v>
      </c>
      <c r="AJ842" s="13">
        <f t="shared" si="104"/>
        <v>784.15832519531205</v>
      </c>
      <c r="AK842" s="14">
        <f t="shared" si="105"/>
        <v>0.42386936497043892</v>
      </c>
      <c r="AL842" s="9">
        <v>1850</v>
      </c>
      <c r="AM842" s="9">
        <v>1320.3825359879911</v>
      </c>
      <c r="AN842" s="9">
        <f t="shared" si="106"/>
        <v>529.6174640120089</v>
      </c>
      <c r="AO842" s="10">
        <f t="shared" si="107"/>
        <v>0.28627971027676158</v>
      </c>
      <c r="AP842" s="16">
        <v>1850</v>
      </c>
      <c r="AQ842" s="16">
        <v>1127.121301621303</v>
      </c>
      <c r="AR842" s="16">
        <f t="shared" si="108"/>
        <v>722.87869837869698</v>
      </c>
      <c r="AS842" s="17">
        <f t="shared" si="109"/>
        <v>0.39074524236686325</v>
      </c>
      <c r="AT842" s="6">
        <v>1850</v>
      </c>
      <c r="AU842" s="6">
        <v>1373.665161132812</v>
      </c>
      <c r="AV842" s="6">
        <f t="shared" si="110"/>
        <v>476.33483886718795</v>
      </c>
      <c r="AW842" s="7">
        <f t="shared" si="111"/>
        <v>0.25747829127956107</v>
      </c>
    </row>
    <row r="843" spans="1:49" x14ac:dyDescent="0.25">
      <c r="A843" t="s">
        <v>56</v>
      </c>
      <c r="B843" t="s">
        <v>303</v>
      </c>
      <c r="C843">
        <v>150577</v>
      </c>
      <c r="D843">
        <v>2019</v>
      </c>
      <c r="E843" t="s">
        <v>136</v>
      </c>
      <c r="F843" t="s">
        <v>211</v>
      </c>
      <c r="H843" t="s">
        <v>1153</v>
      </c>
      <c r="I843">
        <v>4</v>
      </c>
      <c r="J843" t="s">
        <v>61</v>
      </c>
      <c r="K843">
        <v>4</v>
      </c>
      <c r="L843" t="s">
        <v>44</v>
      </c>
      <c r="M843">
        <v>1.4</v>
      </c>
      <c r="N843" t="s">
        <v>45</v>
      </c>
      <c r="O843" t="s">
        <v>46</v>
      </c>
      <c r="P843">
        <v>3</v>
      </c>
      <c r="Q843" t="s">
        <v>84</v>
      </c>
      <c r="R843" t="s">
        <v>85</v>
      </c>
      <c r="T843">
        <v>147</v>
      </c>
      <c r="U843" t="s">
        <v>50</v>
      </c>
      <c r="W843" t="s">
        <v>736</v>
      </c>
      <c r="X843" t="s">
        <v>87</v>
      </c>
      <c r="Y843" t="s">
        <v>106</v>
      </c>
      <c r="AA843">
        <v>0</v>
      </c>
      <c r="AB843" t="s">
        <v>54</v>
      </c>
      <c r="AC843" t="s">
        <v>89</v>
      </c>
      <c r="AD843">
        <v>34</v>
      </c>
      <c r="AE843">
        <v>8</v>
      </c>
      <c r="AF843">
        <v>3</v>
      </c>
      <c r="AG843">
        <v>2025</v>
      </c>
      <c r="AH843" s="13">
        <v>3600</v>
      </c>
      <c r="AI843" s="13">
        <v>2634.8154296875</v>
      </c>
      <c r="AJ843" s="13">
        <f t="shared" si="104"/>
        <v>965.1845703125</v>
      </c>
      <c r="AK843" s="14">
        <f t="shared" si="105"/>
        <v>0.26810682508680556</v>
      </c>
      <c r="AL843" s="9">
        <v>3600</v>
      </c>
      <c r="AM843" s="9">
        <v>2760.2616194233569</v>
      </c>
      <c r="AN843" s="9">
        <f t="shared" si="106"/>
        <v>839.73838057664307</v>
      </c>
      <c r="AO843" s="10">
        <f t="shared" si="107"/>
        <v>0.23326066127128975</v>
      </c>
      <c r="AP843" s="16">
        <v>3600</v>
      </c>
      <c r="AQ843" s="16">
        <v>3073.2557479291831</v>
      </c>
      <c r="AR843" s="16">
        <f t="shared" si="108"/>
        <v>526.74425207081686</v>
      </c>
      <c r="AS843" s="17">
        <f t="shared" si="109"/>
        <v>0.14631784779744914</v>
      </c>
      <c r="AT843" s="6">
        <v>3600</v>
      </c>
      <c r="AU843" s="6">
        <v>2992.8525390625</v>
      </c>
      <c r="AV843" s="6">
        <f t="shared" si="110"/>
        <v>607.1474609375</v>
      </c>
      <c r="AW843" s="7">
        <f t="shared" si="111"/>
        <v>0.16865207248263889</v>
      </c>
    </row>
    <row r="844" spans="1:49" x14ac:dyDescent="0.25">
      <c r="A844" t="s">
        <v>38</v>
      </c>
      <c r="B844" t="s">
        <v>167</v>
      </c>
      <c r="C844">
        <v>148001</v>
      </c>
      <c r="D844">
        <v>2013</v>
      </c>
      <c r="E844" t="s">
        <v>79</v>
      </c>
      <c r="F844" t="s">
        <v>1154</v>
      </c>
      <c r="G844" t="s">
        <v>731</v>
      </c>
      <c r="I844">
        <v>4</v>
      </c>
      <c r="J844" t="s">
        <v>43</v>
      </c>
      <c r="K844">
        <v>4</v>
      </c>
      <c r="L844" t="s">
        <v>44</v>
      </c>
      <c r="M844">
        <v>2.4</v>
      </c>
      <c r="N844" t="s">
        <v>45</v>
      </c>
      <c r="O844" t="s">
        <v>46</v>
      </c>
      <c r="P844">
        <v>3</v>
      </c>
      <c r="Q844" t="s">
        <v>47</v>
      </c>
      <c r="R844" t="s">
        <v>48</v>
      </c>
      <c r="S844" t="s">
        <v>102</v>
      </c>
      <c r="U844" t="s">
        <v>50</v>
      </c>
      <c r="W844" t="s">
        <v>111</v>
      </c>
      <c r="X844" t="s">
        <v>52</v>
      </c>
      <c r="Y844" t="s">
        <v>106</v>
      </c>
      <c r="AA844">
        <v>0</v>
      </c>
      <c r="AB844" t="s">
        <v>54</v>
      </c>
      <c r="AC844" t="s">
        <v>55</v>
      </c>
      <c r="AD844">
        <v>34</v>
      </c>
      <c r="AE844">
        <v>8</v>
      </c>
      <c r="AF844">
        <v>3</v>
      </c>
      <c r="AG844">
        <v>2025</v>
      </c>
      <c r="AH844" s="13">
        <v>2600</v>
      </c>
      <c r="AI844" s="13">
        <v>1966.303833007812</v>
      </c>
      <c r="AJ844" s="13">
        <f t="shared" si="104"/>
        <v>633.69616699218795</v>
      </c>
      <c r="AK844" s="14">
        <f t="shared" si="105"/>
        <v>0.24372929499699536</v>
      </c>
      <c r="AL844" s="9">
        <v>2600</v>
      </c>
      <c r="AM844" s="9">
        <v>2122.1011107918821</v>
      </c>
      <c r="AN844" s="9">
        <f t="shared" si="106"/>
        <v>477.89888920811791</v>
      </c>
      <c r="AO844" s="10">
        <f t="shared" si="107"/>
        <v>0.18380726508004536</v>
      </c>
      <c r="AP844" s="16">
        <v>2600</v>
      </c>
      <c r="AQ844" s="16">
        <v>1452.3304401495029</v>
      </c>
      <c r="AR844" s="16">
        <f t="shared" si="108"/>
        <v>1147.6695598504971</v>
      </c>
      <c r="AS844" s="17">
        <f t="shared" si="109"/>
        <v>0.44141136917326812</v>
      </c>
      <c r="AT844" s="6">
        <v>2600</v>
      </c>
      <c r="AU844" s="6">
        <v>1852.076293945312</v>
      </c>
      <c r="AV844" s="6">
        <f t="shared" si="110"/>
        <v>747.92370605468795</v>
      </c>
      <c r="AW844" s="7">
        <f t="shared" si="111"/>
        <v>0.28766296386718765</v>
      </c>
    </row>
    <row r="845" spans="1:49" x14ac:dyDescent="0.25">
      <c r="A845" t="s">
        <v>69</v>
      </c>
      <c r="B845" t="s">
        <v>70</v>
      </c>
      <c r="C845">
        <v>59881</v>
      </c>
      <c r="D845">
        <v>2017</v>
      </c>
      <c r="E845" t="s">
        <v>79</v>
      </c>
      <c r="F845" t="s">
        <v>179</v>
      </c>
      <c r="G845" t="s">
        <v>434</v>
      </c>
      <c r="I845">
        <v>4</v>
      </c>
      <c r="J845" t="s">
        <v>43</v>
      </c>
      <c r="K845">
        <v>4</v>
      </c>
      <c r="L845" t="s">
        <v>44</v>
      </c>
      <c r="M845">
        <v>1.4</v>
      </c>
      <c r="N845" t="s">
        <v>45</v>
      </c>
      <c r="O845" t="s">
        <v>46</v>
      </c>
      <c r="P845">
        <v>3</v>
      </c>
      <c r="Q845" t="s">
        <v>47</v>
      </c>
      <c r="R845" t="s">
        <v>48</v>
      </c>
      <c r="S845" t="s">
        <v>102</v>
      </c>
      <c r="U845" t="s">
        <v>50</v>
      </c>
      <c r="W845" t="s">
        <v>858</v>
      </c>
      <c r="X845" t="s">
        <v>52</v>
      </c>
      <c r="Y845" t="s">
        <v>53</v>
      </c>
      <c r="Z845">
        <v>21000</v>
      </c>
      <c r="AA845">
        <v>0</v>
      </c>
      <c r="AB845" t="s">
        <v>54</v>
      </c>
      <c r="AC845" t="s">
        <v>55</v>
      </c>
      <c r="AD845">
        <v>34</v>
      </c>
      <c r="AE845">
        <v>8</v>
      </c>
      <c r="AF845">
        <v>3</v>
      </c>
      <c r="AG845">
        <v>2025</v>
      </c>
      <c r="AH845" s="13">
        <v>5000</v>
      </c>
      <c r="AI845" s="13">
        <v>7785.3525390625</v>
      </c>
      <c r="AJ845" s="13">
        <f t="shared" si="104"/>
        <v>2785.3525390625</v>
      </c>
      <c r="AK845" s="14">
        <f t="shared" si="105"/>
        <v>0.5570705078125</v>
      </c>
      <c r="AL845" s="9">
        <v>5000</v>
      </c>
      <c r="AM845" s="9">
        <v>7452.7734177670118</v>
      </c>
      <c r="AN845" s="9">
        <f t="shared" si="106"/>
        <v>2452.7734177670118</v>
      </c>
      <c r="AO845" s="10">
        <f t="shared" si="107"/>
        <v>0.49055468355340237</v>
      </c>
      <c r="AP845" s="16">
        <v>5000</v>
      </c>
      <c r="AQ845" s="16">
        <v>5699.7540450348497</v>
      </c>
      <c r="AR845" s="16">
        <f t="shared" si="108"/>
        <v>699.7540450348497</v>
      </c>
      <c r="AS845" s="17">
        <f t="shared" si="109"/>
        <v>0.13995080900696993</v>
      </c>
      <c r="AT845" s="6">
        <v>5000</v>
      </c>
      <c r="AU845" s="6">
        <v>6204.548828125</v>
      </c>
      <c r="AV845" s="6">
        <f t="shared" si="110"/>
        <v>1204.548828125</v>
      </c>
      <c r="AW845" s="7">
        <f t="shared" si="111"/>
        <v>0.24090976562499999</v>
      </c>
    </row>
    <row r="846" spans="1:49" x14ac:dyDescent="0.25">
      <c r="A846" t="s">
        <v>107</v>
      </c>
      <c r="B846" t="s">
        <v>614</v>
      </c>
      <c r="C846">
        <v>76506</v>
      </c>
      <c r="D846">
        <v>2022</v>
      </c>
      <c r="E846" t="s">
        <v>79</v>
      </c>
      <c r="F846" t="s">
        <v>585</v>
      </c>
      <c r="G846" t="s">
        <v>273</v>
      </c>
      <c r="I846">
        <v>6</v>
      </c>
      <c r="J846" t="s">
        <v>43</v>
      </c>
      <c r="K846">
        <v>4</v>
      </c>
      <c r="L846" t="s">
        <v>44</v>
      </c>
      <c r="M846">
        <v>3.6</v>
      </c>
      <c r="N846" t="s">
        <v>44</v>
      </c>
      <c r="O846" t="s">
        <v>46</v>
      </c>
      <c r="P846">
        <v>4</v>
      </c>
      <c r="Q846" t="s">
        <v>47</v>
      </c>
      <c r="R846" t="s">
        <v>48</v>
      </c>
      <c r="S846" t="s">
        <v>139</v>
      </c>
      <c r="U846" t="s">
        <v>50</v>
      </c>
      <c r="V846" t="s">
        <v>64</v>
      </c>
      <c r="W846" t="s">
        <v>754</v>
      </c>
      <c r="X846" t="s">
        <v>66</v>
      </c>
      <c r="Y846" t="s">
        <v>67</v>
      </c>
      <c r="AA846">
        <v>0</v>
      </c>
      <c r="AB846" t="s">
        <v>54</v>
      </c>
      <c r="AC846" t="s">
        <v>68</v>
      </c>
      <c r="AD846">
        <v>34</v>
      </c>
      <c r="AE846">
        <v>8</v>
      </c>
      <c r="AF846">
        <v>3</v>
      </c>
      <c r="AG846">
        <v>2025</v>
      </c>
      <c r="AH846" s="13">
        <v>24200</v>
      </c>
      <c r="AI846" s="13">
        <v>28671.365234375</v>
      </c>
      <c r="AJ846" s="13">
        <f t="shared" si="104"/>
        <v>4471.365234375</v>
      </c>
      <c r="AK846" s="14">
        <f t="shared" si="105"/>
        <v>0.18476715844524794</v>
      </c>
      <c r="AL846" s="9">
        <v>24200</v>
      </c>
      <c r="AM846" s="9">
        <v>26257.750090920748</v>
      </c>
      <c r="AN846" s="9">
        <f t="shared" si="106"/>
        <v>2057.7500909207483</v>
      </c>
      <c r="AO846" s="10">
        <f t="shared" si="107"/>
        <v>8.5030995492592909E-2</v>
      </c>
      <c r="AP846" s="16">
        <v>24200</v>
      </c>
      <c r="AQ846" s="16">
        <v>21731.503149258249</v>
      </c>
      <c r="AR846" s="16">
        <f t="shared" si="108"/>
        <v>2468.4968507417507</v>
      </c>
      <c r="AS846" s="17">
        <f t="shared" si="109"/>
        <v>0.10200400209676656</v>
      </c>
      <c r="AT846" s="6">
        <v>24200</v>
      </c>
      <c r="AU846" s="6">
        <v>24690.18359375</v>
      </c>
      <c r="AV846" s="6">
        <f t="shared" si="110"/>
        <v>490.18359375</v>
      </c>
      <c r="AW846" s="7">
        <f t="shared" si="111"/>
        <v>2.0255520402892562E-2</v>
      </c>
    </row>
    <row r="847" spans="1:49" x14ac:dyDescent="0.25">
      <c r="A847" t="s">
        <v>38</v>
      </c>
      <c r="B847" t="s">
        <v>229</v>
      </c>
      <c r="C847">
        <v>61355</v>
      </c>
      <c r="D847">
        <v>2024</v>
      </c>
      <c r="E847" t="s">
        <v>173</v>
      </c>
      <c r="F847" t="s">
        <v>943</v>
      </c>
      <c r="H847" t="s">
        <v>462</v>
      </c>
      <c r="I847">
        <v>6</v>
      </c>
      <c r="J847" t="s">
        <v>43</v>
      </c>
      <c r="K847">
        <v>4</v>
      </c>
      <c r="L847" t="s">
        <v>44</v>
      </c>
      <c r="M847">
        <v>3.6</v>
      </c>
      <c r="N847" t="s">
        <v>62</v>
      </c>
      <c r="O847" t="s">
        <v>46</v>
      </c>
      <c r="P847">
        <v>3</v>
      </c>
      <c r="Q847" t="s">
        <v>47</v>
      </c>
      <c r="R847" t="s">
        <v>48</v>
      </c>
      <c r="S847" t="s">
        <v>63</v>
      </c>
      <c r="T847">
        <v>293</v>
      </c>
      <c r="U847" t="s">
        <v>50</v>
      </c>
      <c r="V847" t="s">
        <v>64</v>
      </c>
      <c r="X847" t="s">
        <v>66</v>
      </c>
      <c r="Y847" t="s">
        <v>67</v>
      </c>
      <c r="AA847">
        <v>0</v>
      </c>
      <c r="AB847" t="s">
        <v>54</v>
      </c>
      <c r="AC847" t="s">
        <v>68</v>
      </c>
      <c r="AD847">
        <v>34</v>
      </c>
      <c r="AE847">
        <v>8</v>
      </c>
      <c r="AF847">
        <v>3</v>
      </c>
      <c r="AG847">
        <v>2025</v>
      </c>
      <c r="AH847" s="13">
        <v>23000</v>
      </c>
      <c r="AI847" s="13">
        <v>33424.65234375</v>
      </c>
      <c r="AJ847" s="13">
        <f t="shared" si="104"/>
        <v>10424.65234375</v>
      </c>
      <c r="AK847" s="14">
        <f t="shared" si="105"/>
        <v>0.45324575407608697</v>
      </c>
      <c r="AL847" s="9">
        <v>23000</v>
      </c>
      <c r="AM847" s="9">
        <v>34419.756813719338</v>
      </c>
      <c r="AN847" s="9">
        <f t="shared" si="106"/>
        <v>11419.756813719338</v>
      </c>
      <c r="AO847" s="10">
        <f t="shared" si="107"/>
        <v>0.49651116581388421</v>
      </c>
      <c r="AP847" s="16">
        <v>23000</v>
      </c>
      <c r="AQ847" s="16">
        <v>28249.977199096091</v>
      </c>
      <c r="AR847" s="16">
        <f t="shared" si="108"/>
        <v>5249.9771990960908</v>
      </c>
      <c r="AS847" s="17">
        <f t="shared" si="109"/>
        <v>0.22825987822156915</v>
      </c>
      <c r="AT847" s="6">
        <v>23000</v>
      </c>
      <c r="AU847" s="6">
        <v>30378.5390625</v>
      </c>
      <c r="AV847" s="6">
        <f t="shared" si="110"/>
        <v>7378.5390625</v>
      </c>
      <c r="AW847" s="7">
        <f t="shared" si="111"/>
        <v>0.32080604619565217</v>
      </c>
    </row>
    <row r="848" spans="1:49" x14ac:dyDescent="0.25">
      <c r="A848" t="s">
        <v>107</v>
      </c>
      <c r="B848" t="s">
        <v>614</v>
      </c>
      <c r="C848">
        <v>197271</v>
      </c>
      <c r="D848">
        <v>2012</v>
      </c>
      <c r="E848" t="s">
        <v>79</v>
      </c>
      <c r="F848" t="s">
        <v>433</v>
      </c>
      <c r="G848" t="s">
        <v>698</v>
      </c>
      <c r="H848" t="s">
        <v>1067</v>
      </c>
      <c r="I848">
        <v>8</v>
      </c>
      <c r="J848" t="s">
        <v>43</v>
      </c>
      <c r="K848">
        <v>4</v>
      </c>
      <c r="L848" t="s">
        <v>44</v>
      </c>
      <c r="M848">
        <v>5.3</v>
      </c>
      <c r="N848" t="s">
        <v>62</v>
      </c>
      <c r="O848" t="s">
        <v>46</v>
      </c>
      <c r="Q848" t="s">
        <v>47</v>
      </c>
      <c r="R848" t="s">
        <v>436</v>
      </c>
      <c r="S848" t="s">
        <v>63</v>
      </c>
      <c r="U848" t="s">
        <v>50</v>
      </c>
      <c r="W848" t="s">
        <v>1155</v>
      </c>
      <c r="X848" t="s">
        <v>77</v>
      </c>
      <c r="Y848" t="s">
        <v>106</v>
      </c>
      <c r="AA848">
        <v>0</v>
      </c>
      <c r="AB848" t="s">
        <v>54</v>
      </c>
      <c r="AC848" t="s">
        <v>55</v>
      </c>
      <c r="AD848">
        <v>34</v>
      </c>
      <c r="AE848">
        <v>8</v>
      </c>
      <c r="AF848">
        <v>3</v>
      </c>
      <c r="AG848">
        <v>2025</v>
      </c>
      <c r="AH848" s="13">
        <v>1500</v>
      </c>
      <c r="AI848" s="13">
        <v>3631.109619140625</v>
      </c>
      <c r="AJ848" s="13">
        <f t="shared" si="104"/>
        <v>2131.109619140625</v>
      </c>
      <c r="AK848" s="14">
        <f t="shared" si="105"/>
        <v>1.4207397460937501</v>
      </c>
      <c r="AL848" s="9">
        <v>1500</v>
      </c>
      <c r="AM848" s="9">
        <v>3892.9487130685461</v>
      </c>
      <c r="AN848" s="9">
        <f t="shared" si="106"/>
        <v>2392.9487130685461</v>
      </c>
      <c r="AO848" s="10">
        <f t="shared" si="107"/>
        <v>1.5952991420456974</v>
      </c>
      <c r="AP848" s="16">
        <v>1500</v>
      </c>
      <c r="AQ848" s="16">
        <v>2810.731004111251</v>
      </c>
      <c r="AR848" s="16">
        <f t="shared" si="108"/>
        <v>1310.731004111251</v>
      </c>
      <c r="AS848" s="17">
        <f t="shared" si="109"/>
        <v>0.87382066940750069</v>
      </c>
      <c r="AT848" s="6">
        <v>1500</v>
      </c>
      <c r="AU848" s="6">
        <v>3704.96875</v>
      </c>
      <c r="AV848" s="6">
        <f t="shared" si="110"/>
        <v>2204.96875</v>
      </c>
      <c r="AW848" s="7">
        <f t="shared" si="111"/>
        <v>1.4699791666666666</v>
      </c>
    </row>
    <row r="849" spans="1:49" x14ac:dyDescent="0.25">
      <c r="A849" t="s">
        <v>38</v>
      </c>
      <c r="B849" t="s">
        <v>734</v>
      </c>
      <c r="C849">
        <v>113795</v>
      </c>
      <c r="D849">
        <v>2021</v>
      </c>
      <c r="E849" t="s">
        <v>136</v>
      </c>
      <c r="F849" t="s">
        <v>1156</v>
      </c>
      <c r="G849" t="s">
        <v>1157</v>
      </c>
      <c r="I849">
        <v>4</v>
      </c>
      <c r="J849" t="s">
        <v>82</v>
      </c>
      <c r="K849">
        <v>4</v>
      </c>
      <c r="L849" t="s">
        <v>44</v>
      </c>
      <c r="M849">
        <v>2</v>
      </c>
      <c r="N849" t="s">
        <v>44</v>
      </c>
      <c r="O849" t="s">
        <v>46</v>
      </c>
      <c r="P849">
        <v>4</v>
      </c>
      <c r="Q849" t="s">
        <v>84</v>
      </c>
      <c r="R849" t="s">
        <v>157</v>
      </c>
      <c r="S849" t="s">
        <v>139</v>
      </c>
      <c r="T849">
        <v>268</v>
      </c>
      <c r="U849" t="s">
        <v>50</v>
      </c>
      <c r="X849" t="s">
        <v>87</v>
      </c>
      <c r="Y849" t="s">
        <v>244</v>
      </c>
      <c r="AA849">
        <v>0</v>
      </c>
      <c r="AB849" t="s">
        <v>54</v>
      </c>
      <c r="AC849" t="s">
        <v>159</v>
      </c>
      <c r="AD849">
        <v>34</v>
      </c>
      <c r="AE849">
        <v>8</v>
      </c>
      <c r="AF849">
        <v>3</v>
      </c>
      <c r="AG849">
        <v>2025</v>
      </c>
      <c r="AH849" s="13">
        <v>12700</v>
      </c>
      <c r="AI849" s="13">
        <v>14036.3857421875</v>
      </c>
      <c r="AJ849" s="13">
        <f t="shared" si="104"/>
        <v>1336.3857421875</v>
      </c>
      <c r="AK849" s="14">
        <f t="shared" si="105"/>
        <v>0.10522722379429134</v>
      </c>
      <c r="AL849" s="9">
        <v>12700</v>
      </c>
      <c r="AM849" s="9">
        <v>12018.128725875489</v>
      </c>
      <c r="AN849" s="9">
        <f t="shared" si="106"/>
        <v>681.87127412451082</v>
      </c>
      <c r="AO849" s="10">
        <f t="shared" si="107"/>
        <v>5.3690651505866993E-2</v>
      </c>
      <c r="AP849" s="16">
        <v>12700</v>
      </c>
      <c r="AQ849" s="16">
        <v>10668.94496666337</v>
      </c>
      <c r="AR849" s="16">
        <f t="shared" si="108"/>
        <v>2031.05503333663</v>
      </c>
      <c r="AS849" s="17">
        <f t="shared" si="109"/>
        <v>0.1599255931761126</v>
      </c>
      <c r="AT849" s="6">
        <v>12700</v>
      </c>
      <c r="AU849" s="6">
        <v>12406.0439453125</v>
      </c>
      <c r="AV849" s="6">
        <f t="shared" si="110"/>
        <v>293.9560546875</v>
      </c>
      <c r="AW849" s="7">
        <f t="shared" si="111"/>
        <v>2.3146146038385825E-2</v>
      </c>
    </row>
    <row r="850" spans="1:49" x14ac:dyDescent="0.25">
      <c r="A850" t="s">
        <v>38</v>
      </c>
      <c r="B850" t="s">
        <v>39</v>
      </c>
      <c r="C850">
        <v>259900</v>
      </c>
      <c r="D850">
        <v>2008</v>
      </c>
      <c r="E850" t="s">
        <v>79</v>
      </c>
      <c r="F850" t="s">
        <v>272</v>
      </c>
      <c r="G850" t="s">
        <v>434</v>
      </c>
      <c r="H850" t="s">
        <v>435</v>
      </c>
      <c r="I850">
        <v>8</v>
      </c>
      <c r="J850" t="s">
        <v>74</v>
      </c>
      <c r="K850">
        <v>4</v>
      </c>
      <c r="L850" t="s">
        <v>44</v>
      </c>
      <c r="M850">
        <v>4.8</v>
      </c>
      <c r="N850" t="s">
        <v>62</v>
      </c>
      <c r="O850" t="s">
        <v>83</v>
      </c>
      <c r="P850">
        <v>2</v>
      </c>
      <c r="Q850" t="s">
        <v>75</v>
      </c>
      <c r="R850" t="s">
        <v>76</v>
      </c>
      <c r="S850" t="s">
        <v>63</v>
      </c>
      <c r="U850" t="s">
        <v>50</v>
      </c>
      <c r="V850" t="s">
        <v>64</v>
      </c>
      <c r="W850" t="s">
        <v>1158</v>
      </c>
      <c r="X850" t="s">
        <v>66</v>
      </c>
      <c r="Y850" t="s">
        <v>106</v>
      </c>
      <c r="AA850">
        <v>0</v>
      </c>
      <c r="AB850" t="s">
        <v>54</v>
      </c>
      <c r="AC850" t="s">
        <v>78</v>
      </c>
      <c r="AD850">
        <v>34</v>
      </c>
      <c r="AE850">
        <v>8</v>
      </c>
      <c r="AF850">
        <v>3</v>
      </c>
      <c r="AG850">
        <v>2025</v>
      </c>
      <c r="AH850" s="13">
        <v>1400</v>
      </c>
      <c r="AI850" s="13">
        <v>1771.568725585938</v>
      </c>
      <c r="AJ850" s="13">
        <f t="shared" si="104"/>
        <v>371.56872558593795</v>
      </c>
      <c r="AK850" s="14">
        <f t="shared" si="105"/>
        <v>0.26540623256138424</v>
      </c>
      <c r="AL850" s="9">
        <v>1400</v>
      </c>
      <c r="AM850" s="9">
        <v>1099.9913705726831</v>
      </c>
      <c r="AN850" s="9">
        <f t="shared" si="106"/>
        <v>300.00862942731692</v>
      </c>
      <c r="AO850" s="10">
        <f t="shared" si="107"/>
        <v>0.21429187816236922</v>
      </c>
      <c r="AP850" s="16">
        <v>1400</v>
      </c>
      <c r="AQ850" s="16">
        <v>1001.999838900653</v>
      </c>
      <c r="AR850" s="16">
        <f t="shared" si="108"/>
        <v>398.000161099347</v>
      </c>
      <c r="AS850" s="17">
        <f t="shared" si="109"/>
        <v>0.2842858293566764</v>
      </c>
      <c r="AT850" s="6">
        <v>1400</v>
      </c>
      <c r="AU850" s="6">
        <v>1234.68994140625</v>
      </c>
      <c r="AV850" s="6">
        <f t="shared" si="110"/>
        <v>165.31005859375</v>
      </c>
      <c r="AW850" s="7">
        <f t="shared" si="111"/>
        <v>0.11807861328124999</v>
      </c>
    </row>
    <row r="851" spans="1:49" x14ac:dyDescent="0.25">
      <c r="A851" t="s">
        <v>69</v>
      </c>
      <c r="B851" t="s">
        <v>112</v>
      </c>
      <c r="C851">
        <v>27896</v>
      </c>
      <c r="D851">
        <v>2023</v>
      </c>
      <c r="E851" t="s">
        <v>169</v>
      </c>
      <c r="F851" t="s">
        <v>201</v>
      </c>
      <c r="G851" t="s">
        <v>194</v>
      </c>
      <c r="I851">
        <v>4</v>
      </c>
      <c r="J851" t="s">
        <v>177</v>
      </c>
      <c r="K851">
        <v>4</v>
      </c>
      <c r="L851" t="s">
        <v>44</v>
      </c>
      <c r="M851">
        <v>2.5</v>
      </c>
      <c r="N851" t="s">
        <v>44</v>
      </c>
      <c r="O851" t="s">
        <v>46</v>
      </c>
      <c r="Q851" t="s">
        <v>47</v>
      </c>
      <c r="R851" t="s">
        <v>48</v>
      </c>
      <c r="S851" t="s">
        <v>139</v>
      </c>
      <c r="T851">
        <v>182</v>
      </c>
      <c r="U851" t="s">
        <v>50</v>
      </c>
      <c r="W851" t="s">
        <v>1159</v>
      </c>
      <c r="X851" t="s">
        <v>52</v>
      </c>
      <c r="Y851" t="s">
        <v>67</v>
      </c>
      <c r="AA851">
        <v>0</v>
      </c>
      <c r="AB851" t="s">
        <v>54</v>
      </c>
      <c r="AC851" t="s">
        <v>55</v>
      </c>
      <c r="AD851">
        <v>34</v>
      </c>
      <c r="AE851">
        <v>8</v>
      </c>
      <c r="AF851">
        <v>3</v>
      </c>
      <c r="AG851">
        <v>2025</v>
      </c>
      <c r="AH851" s="13">
        <v>30000</v>
      </c>
      <c r="AI851" s="13">
        <v>23382.564453125</v>
      </c>
      <c r="AJ851" s="13">
        <f t="shared" si="104"/>
        <v>6617.435546875</v>
      </c>
      <c r="AK851" s="14">
        <f t="shared" si="105"/>
        <v>0.22058118489583334</v>
      </c>
      <c r="AL851" s="9">
        <v>30000</v>
      </c>
      <c r="AM851" s="9">
        <v>23002.500904091568</v>
      </c>
      <c r="AN851" s="9">
        <f t="shared" si="106"/>
        <v>6997.4990959084316</v>
      </c>
      <c r="AO851" s="10">
        <f t="shared" si="107"/>
        <v>0.23324996986361438</v>
      </c>
      <c r="AP851" s="16">
        <v>30000</v>
      </c>
      <c r="AQ851" s="16">
        <v>26407.184068980689</v>
      </c>
      <c r="AR851" s="16">
        <f t="shared" si="108"/>
        <v>3592.8159310193114</v>
      </c>
      <c r="AS851" s="17">
        <f t="shared" si="109"/>
        <v>0.11976053103397705</v>
      </c>
      <c r="AT851" s="6">
        <v>30000</v>
      </c>
      <c r="AU851" s="6">
        <v>22581.099609375</v>
      </c>
      <c r="AV851" s="6">
        <f t="shared" si="110"/>
        <v>7418.900390625</v>
      </c>
      <c r="AW851" s="7">
        <f t="shared" si="111"/>
        <v>0.24729667968749999</v>
      </c>
    </row>
    <row r="852" spans="1:49" x14ac:dyDescent="0.25">
      <c r="A852" t="s">
        <v>69</v>
      </c>
      <c r="B852" t="s">
        <v>70</v>
      </c>
      <c r="C852">
        <v>141163</v>
      </c>
      <c r="D852">
        <v>2015</v>
      </c>
      <c r="E852" t="s">
        <v>136</v>
      </c>
      <c r="F852" t="s">
        <v>657</v>
      </c>
      <c r="I852">
        <v>4</v>
      </c>
      <c r="J852" t="s">
        <v>94</v>
      </c>
      <c r="K852">
        <v>4</v>
      </c>
      <c r="L852" t="s">
        <v>44</v>
      </c>
      <c r="M852">
        <v>2</v>
      </c>
      <c r="N852" t="s">
        <v>45</v>
      </c>
      <c r="O852" t="s">
        <v>46</v>
      </c>
      <c r="P852">
        <v>2</v>
      </c>
      <c r="Q852" t="s">
        <v>47</v>
      </c>
      <c r="R852" t="s">
        <v>48</v>
      </c>
      <c r="T852">
        <v>200</v>
      </c>
      <c r="U852" t="s">
        <v>50</v>
      </c>
      <c r="X852" t="s">
        <v>52</v>
      </c>
      <c r="Y852" t="s">
        <v>244</v>
      </c>
      <c r="AA852">
        <v>0</v>
      </c>
      <c r="AB852" t="s">
        <v>54</v>
      </c>
      <c r="AC852" t="s">
        <v>55</v>
      </c>
      <c r="AD852">
        <v>34</v>
      </c>
      <c r="AE852">
        <v>8</v>
      </c>
      <c r="AF852">
        <v>3</v>
      </c>
      <c r="AG852">
        <v>2025</v>
      </c>
      <c r="AH852" s="13">
        <v>2000</v>
      </c>
      <c r="AI852" s="13">
        <v>1594.130859375</v>
      </c>
      <c r="AJ852" s="13">
        <f t="shared" si="104"/>
        <v>405.869140625</v>
      </c>
      <c r="AK852" s="14">
        <f t="shared" si="105"/>
        <v>0.20293457031250001</v>
      </c>
      <c r="AL852" s="9">
        <v>2000</v>
      </c>
      <c r="AM852" s="9">
        <v>1628.7844820562609</v>
      </c>
      <c r="AN852" s="9">
        <f t="shared" si="106"/>
        <v>371.21551794373909</v>
      </c>
      <c r="AO852" s="10">
        <f t="shared" si="107"/>
        <v>0.18560775897186954</v>
      </c>
      <c r="AP852" s="16">
        <v>2000</v>
      </c>
      <c r="AQ852" s="16">
        <v>1541.61730741632</v>
      </c>
      <c r="AR852" s="16">
        <f t="shared" si="108"/>
        <v>458.38269258367995</v>
      </c>
      <c r="AS852" s="17">
        <f t="shared" si="109"/>
        <v>0.22919134629183999</v>
      </c>
      <c r="AT852" s="6">
        <v>2000</v>
      </c>
      <c r="AU852" s="6">
        <v>1596.9521484375</v>
      </c>
      <c r="AV852" s="6">
        <f t="shared" si="110"/>
        <v>403.0478515625</v>
      </c>
      <c r="AW852" s="7">
        <f t="shared" si="111"/>
        <v>0.20152392578125</v>
      </c>
    </row>
    <row r="853" spans="1:49" x14ac:dyDescent="0.25">
      <c r="A853" t="s">
        <v>56</v>
      </c>
      <c r="B853" t="s">
        <v>57</v>
      </c>
      <c r="C853">
        <v>99829</v>
      </c>
      <c r="D853">
        <v>2015</v>
      </c>
      <c r="E853" t="s">
        <v>71</v>
      </c>
      <c r="F853" t="s">
        <v>129</v>
      </c>
      <c r="I853">
        <v>4</v>
      </c>
      <c r="J853" t="s">
        <v>74</v>
      </c>
      <c r="K853">
        <v>4</v>
      </c>
      <c r="L853" t="s">
        <v>44</v>
      </c>
      <c r="M853">
        <v>2.5</v>
      </c>
      <c r="N853" t="s">
        <v>45</v>
      </c>
      <c r="O853" t="s">
        <v>46</v>
      </c>
      <c r="P853">
        <v>2</v>
      </c>
      <c r="Q853" t="s">
        <v>84</v>
      </c>
      <c r="R853" t="s">
        <v>85</v>
      </c>
      <c r="S853" t="s">
        <v>102</v>
      </c>
      <c r="U853" t="s">
        <v>50</v>
      </c>
      <c r="X853" t="s">
        <v>87</v>
      </c>
      <c r="Y853" t="s">
        <v>67</v>
      </c>
      <c r="AA853">
        <v>0</v>
      </c>
      <c r="AB853" t="s">
        <v>54</v>
      </c>
      <c r="AC853" t="s">
        <v>89</v>
      </c>
      <c r="AD853">
        <v>34</v>
      </c>
      <c r="AE853">
        <v>8</v>
      </c>
      <c r="AF853">
        <v>3</v>
      </c>
      <c r="AG853">
        <v>2025</v>
      </c>
      <c r="AH853" s="13">
        <v>4600</v>
      </c>
      <c r="AI853" s="13">
        <v>2625.43212890625</v>
      </c>
      <c r="AJ853" s="13">
        <f t="shared" si="104"/>
        <v>1974.56787109375</v>
      </c>
      <c r="AK853" s="14">
        <f t="shared" si="105"/>
        <v>0.42925388502038042</v>
      </c>
      <c r="AL853" s="9">
        <v>4600</v>
      </c>
      <c r="AM853" s="9">
        <v>2372.1609101767672</v>
      </c>
      <c r="AN853" s="9">
        <f t="shared" si="106"/>
        <v>2227.8390898232328</v>
      </c>
      <c r="AO853" s="10">
        <f t="shared" si="107"/>
        <v>0.48431284561374627</v>
      </c>
      <c r="AP853" s="16">
        <v>4600</v>
      </c>
      <c r="AQ853" s="16">
        <v>2817.2779182911358</v>
      </c>
      <c r="AR853" s="16">
        <f t="shared" si="108"/>
        <v>1782.7220817088642</v>
      </c>
      <c r="AS853" s="17">
        <f t="shared" si="109"/>
        <v>0.3875482786323618</v>
      </c>
      <c r="AT853" s="6">
        <v>4600</v>
      </c>
      <c r="AU853" s="6">
        <v>2454.737548828125</v>
      </c>
      <c r="AV853" s="6">
        <f t="shared" si="110"/>
        <v>2145.262451171875</v>
      </c>
      <c r="AW853" s="7">
        <f t="shared" si="111"/>
        <v>0.46636140242866847</v>
      </c>
    </row>
    <row r="854" spans="1:49" x14ac:dyDescent="0.25">
      <c r="A854" t="s">
        <v>38</v>
      </c>
      <c r="B854" t="s">
        <v>132</v>
      </c>
      <c r="C854">
        <v>90723</v>
      </c>
      <c r="D854">
        <v>2015</v>
      </c>
      <c r="E854" t="s">
        <v>79</v>
      </c>
      <c r="F854" t="s">
        <v>164</v>
      </c>
      <c r="G854" t="s">
        <v>586</v>
      </c>
      <c r="I854">
        <v>4</v>
      </c>
      <c r="J854" t="s">
        <v>82</v>
      </c>
      <c r="K854">
        <v>4</v>
      </c>
      <c r="L854" t="s">
        <v>44</v>
      </c>
      <c r="M854">
        <v>2.4</v>
      </c>
      <c r="N854" t="s">
        <v>45</v>
      </c>
      <c r="O854" t="s">
        <v>46</v>
      </c>
      <c r="P854">
        <v>4</v>
      </c>
      <c r="Q854" t="s">
        <v>47</v>
      </c>
      <c r="R854" t="s">
        <v>48</v>
      </c>
      <c r="S854" t="s">
        <v>102</v>
      </c>
      <c r="U854" t="s">
        <v>50</v>
      </c>
      <c r="W854" t="s">
        <v>970</v>
      </c>
      <c r="X854" t="s">
        <v>52</v>
      </c>
      <c r="Y854" t="s">
        <v>88</v>
      </c>
      <c r="AA854">
        <v>0</v>
      </c>
      <c r="AB854" t="s">
        <v>54</v>
      </c>
      <c r="AC854" t="s">
        <v>55</v>
      </c>
      <c r="AD854">
        <v>34</v>
      </c>
      <c r="AE854">
        <v>8</v>
      </c>
      <c r="AF854">
        <v>3</v>
      </c>
      <c r="AG854">
        <v>2025</v>
      </c>
      <c r="AH854" s="13">
        <v>8100</v>
      </c>
      <c r="AI854" s="13">
        <v>7671.0576171875</v>
      </c>
      <c r="AJ854" s="13">
        <f t="shared" si="104"/>
        <v>428.9423828125</v>
      </c>
      <c r="AK854" s="14">
        <f t="shared" si="105"/>
        <v>5.2955849729938269E-2</v>
      </c>
      <c r="AL854" s="9">
        <v>8100</v>
      </c>
      <c r="AM854" s="9">
        <v>7125.4356075038286</v>
      </c>
      <c r="AN854" s="9">
        <f t="shared" si="106"/>
        <v>974.56439249617142</v>
      </c>
      <c r="AO854" s="10">
        <f t="shared" si="107"/>
        <v>0.120316591666194</v>
      </c>
      <c r="AP854" s="16">
        <v>8100</v>
      </c>
      <c r="AQ854" s="16">
        <v>7155.6562605725403</v>
      </c>
      <c r="AR854" s="16">
        <f t="shared" si="108"/>
        <v>944.3437394274597</v>
      </c>
      <c r="AS854" s="17">
        <f t="shared" si="109"/>
        <v>0.11658564684289625</v>
      </c>
      <c r="AT854" s="6">
        <v>8100</v>
      </c>
      <c r="AU854" s="6">
        <v>7089.1904296875</v>
      </c>
      <c r="AV854" s="6">
        <f t="shared" si="110"/>
        <v>1010.8095703125</v>
      </c>
      <c r="AW854" s="7">
        <f t="shared" si="111"/>
        <v>0.12479130497685186</v>
      </c>
    </row>
    <row r="855" spans="1:49" x14ac:dyDescent="0.25">
      <c r="A855" t="s">
        <v>56</v>
      </c>
      <c r="B855" t="s">
        <v>104</v>
      </c>
      <c r="C855">
        <v>124800</v>
      </c>
      <c r="D855">
        <v>2014</v>
      </c>
      <c r="E855" t="s">
        <v>91</v>
      </c>
      <c r="F855" t="s">
        <v>92</v>
      </c>
      <c r="H855" t="s">
        <v>755</v>
      </c>
      <c r="I855">
        <v>4</v>
      </c>
      <c r="J855" t="s">
        <v>177</v>
      </c>
      <c r="K855">
        <v>4</v>
      </c>
      <c r="L855" t="s">
        <v>44</v>
      </c>
      <c r="M855">
        <v>2.5</v>
      </c>
      <c r="N855" t="s">
        <v>45</v>
      </c>
      <c r="O855" t="s">
        <v>46</v>
      </c>
      <c r="Q855" t="s">
        <v>84</v>
      </c>
      <c r="R855" t="s">
        <v>85</v>
      </c>
      <c r="S855" t="s">
        <v>49</v>
      </c>
      <c r="T855">
        <v>268</v>
      </c>
      <c r="U855" t="s">
        <v>50</v>
      </c>
      <c r="V855" t="s">
        <v>95</v>
      </c>
      <c r="W855" t="s">
        <v>537</v>
      </c>
      <c r="X855" t="s">
        <v>87</v>
      </c>
      <c r="Y855" t="s">
        <v>67</v>
      </c>
      <c r="AA855">
        <v>0</v>
      </c>
      <c r="AB855" t="s">
        <v>54</v>
      </c>
      <c r="AC855" t="s">
        <v>89</v>
      </c>
      <c r="AD855">
        <v>34</v>
      </c>
      <c r="AE855">
        <v>8</v>
      </c>
      <c r="AF855">
        <v>3</v>
      </c>
      <c r="AG855">
        <v>2025</v>
      </c>
      <c r="AH855" s="13">
        <v>5000</v>
      </c>
      <c r="AI855" s="13">
        <v>4375.107421875</v>
      </c>
      <c r="AJ855" s="13">
        <f t="shared" si="104"/>
        <v>624.892578125</v>
      </c>
      <c r="AK855" s="14">
        <f t="shared" si="105"/>
        <v>0.12497851562499999</v>
      </c>
      <c r="AL855" s="9">
        <v>5000</v>
      </c>
      <c r="AM855" s="9">
        <v>4930.6047654844997</v>
      </c>
      <c r="AN855" s="9">
        <f t="shared" si="106"/>
        <v>69.395234515500306</v>
      </c>
      <c r="AO855" s="10">
        <f t="shared" si="107"/>
        <v>1.3879046903100061E-2</v>
      </c>
      <c r="AP855" s="16">
        <v>5000</v>
      </c>
      <c r="AQ855" s="16">
        <v>4122.1076449959182</v>
      </c>
      <c r="AR855" s="16">
        <f t="shared" si="108"/>
        <v>877.89235500408176</v>
      </c>
      <c r="AS855" s="17">
        <f t="shared" si="109"/>
        <v>0.17557847100081636</v>
      </c>
      <c r="AT855" s="6">
        <v>5000</v>
      </c>
      <c r="AU855" s="6">
        <v>4682.1171875</v>
      </c>
      <c r="AV855" s="6">
        <f t="shared" si="110"/>
        <v>317.8828125</v>
      </c>
      <c r="AW855" s="7">
        <f t="shared" si="111"/>
        <v>6.3576562500000003E-2</v>
      </c>
    </row>
    <row r="856" spans="1:49" x14ac:dyDescent="0.25">
      <c r="A856" t="s">
        <v>38</v>
      </c>
      <c r="B856" t="s">
        <v>167</v>
      </c>
      <c r="C856">
        <v>164637</v>
      </c>
      <c r="D856">
        <v>2020</v>
      </c>
      <c r="E856" t="s">
        <v>173</v>
      </c>
      <c r="F856" t="s">
        <v>461</v>
      </c>
      <c r="H856" t="s">
        <v>171</v>
      </c>
      <c r="I856">
        <v>6</v>
      </c>
      <c r="J856" t="s">
        <v>74</v>
      </c>
      <c r="K856">
        <v>4</v>
      </c>
      <c r="L856" t="s">
        <v>44</v>
      </c>
      <c r="M856">
        <v>3.6</v>
      </c>
      <c r="N856" t="s">
        <v>62</v>
      </c>
      <c r="O856" t="s">
        <v>46</v>
      </c>
      <c r="Q856" t="s">
        <v>47</v>
      </c>
      <c r="R856" t="s">
        <v>48</v>
      </c>
      <c r="S856" t="s">
        <v>63</v>
      </c>
      <c r="T856">
        <v>295</v>
      </c>
      <c r="U856" t="s">
        <v>50</v>
      </c>
      <c r="V856" t="s">
        <v>64</v>
      </c>
      <c r="X856" t="s">
        <v>66</v>
      </c>
      <c r="Y856" t="s">
        <v>67</v>
      </c>
      <c r="AA856">
        <v>0</v>
      </c>
      <c r="AB856" t="s">
        <v>54</v>
      </c>
      <c r="AC856" t="s">
        <v>55</v>
      </c>
      <c r="AD856">
        <v>34</v>
      </c>
      <c r="AE856">
        <v>8</v>
      </c>
      <c r="AF856">
        <v>3</v>
      </c>
      <c r="AG856">
        <v>2025</v>
      </c>
      <c r="AH856" s="13">
        <v>7900</v>
      </c>
      <c r="AI856" s="13">
        <v>11246.25</v>
      </c>
      <c r="AJ856" s="13">
        <f t="shared" si="104"/>
        <v>3346.25</v>
      </c>
      <c r="AK856" s="14">
        <f t="shared" si="105"/>
        <v>0.42357594936708859</v>
      </c>
      <c r="AL856" s="9">
        <v>7900</v>
      </c>
      <c r="AM856" s="9">
        <v>9289.1399322157795</v>
      </c>
      <c r="AN856" s="9">
        <f t="shared" si="106"/>
        <v>1389.1399322157795</v>
      </c>
      <c r="AO856" s="10">
        <f t="shared" si="107"/>
        <v>0.17584049774883284</v>
      </c>
      <c r="AP856" s="16">
        <v>7900</v>
      </c>
      <c r="AQ856" s="16">
        <v>8748.1707522010929</v>
      </c>
      <c r="AR856" s="16">
        <f t="shared" si="108"/>
        <v>848.17075220109291</v>
      </c>
      <c r="AS856" s="17">
        <f t="shared" si="109"/>
        <v>0.10736338635456873</v>
      </c>
      <c r="AT856" s="6">
        <v>7900</v>
      </c>
      <c r="AU856" s="6">
        <v>9939.3369140625</v>
      </c>
      <c r="AV856" s="6">
        <f t="shared" si="110"/>
        <v>2039.3369140625</v>
      </c>
      <c r="AW856" s="7">
        <f t="shared" si="111"/>
        <v>0.25814391317246838</v>
      </c>
    </row>
    <row r="857" spans="1:49" x14ac:dyDescent="0.25">
      <c r="A857" t="s">
        <v>56</v>
      </c>
      <c r="B857" t="s">
        <v>178</v>
      </c>
      <c r="C857">
        <v>116976</v>
      </c>
      <c r="D857">
        <v>2015</v>
      </c>
      <c r="E857" t="s">
        <v>173</v>
      </c>
      <c r="F857" t="s">
        <v>733</v>
      </c>
      <c r="G857" t="s">
        <v>236</v>
      </c>
      <c r="I857">
        <v>4</v>
      </c>
      <c r="J857" t="s">
        <v>82</v>
      </c>
      <c r="K857">
        <v>4</v>
      </c>
      <c r="L857" t="s">
        <v>44</v>
      </c>
      <c r="M857">
        <v>2.4</v>
      </c>
      <c r="N857" t="s">
        <v>62</v>
      </c>
      <c r="Q857" t="s">
        <v>47</v>
      </c>
      <c r="R857" t="s">
        <v>48</v>
      </c>
      <c r="S857" t="s">
        <v>63</v>
      </c>
      <c r="U857" t="s">
        <v>50</v>
      </c>
      <c r="X857" t="s">
        <v>52</v>
      </c>
      <c r="Y857" t="s">
        <v>67</v>
      </c>
      <c r="AA857">
        <v>0</v>
      </c>
      <c r="AB857" t="s">
        <v>54</v>
      </c>
      <c r="AC857" t="s">
        <v>55</v>
      </c>
      <c r="AD857">
        <v>34</v>
      </c>
      <c r="AE857">
        <v>8</v>
      </c>
      <c r="AF857">
        <v>3</v>
      </c>
      <c r="AG857">
        <v>2025</v>
      </c>
      <c r="AH857" s="13">
        <v>3800</v>
      </c>
      <c r="AI857" s="13">
        <v>3770.4296875</v>
      </c>
      <c r="AJ857" s="13">
        <f t="shared" si="104"/>
        <v>29.5703125</v>
      </c>
      <c r="AK857" s="14">
        <f t="shared" si="105"/>
        <v>7.7816611842105267E-3</v>
      </c>
      <c r="AL857" s="9">
        <v>3800</v>
      </c>
      <c r="AM857" s="9">
        <v>3569.1219305572381</v>
      </c>
      <c r="AN857" s="9">
        <f t="shared" si="106"/>
        <v>230.8780694427619</v>
      </c>
      <c r="AO857" s="10">
        <f t="shared" si="107"/>
        <v>6.0757386695463655E-2</v>
      </c>
      <c r="AP857" s="16">
        <v>3800</v>
      </c>
      <c r="AQ857" s="16">
        <v>2722.6679145294779</v>
      </c>
      <c r="AR857" s="16">
        <f t="shared" si="108"/>
        <v>1077.3320854705221</v>
      </c>
      <c r="AS857" s="17">
        <f t="shared" si="109"/>
        <v>0.28350844354487426</v>
      </c>
      <c r="AT857" s="6">
        <v>3800</v>
      </c>
      <c r="AU857" s="6">
        <v>3161.512451171875</v>
      </c>
      <c r="AV857" s="6">
        <f t="shared" si="110"/>
        <v>638.487548828125</v>
      </c>
      <c r="AW857" s="7">
        <f t="shared" si="111"/>
        <v>0.16802303916529604</v>
      </c>
    </row>
    <row r="858" spans="1:49" x14ac:dyDescent="0.25">
      <c r="A858" t="s">
        <v>69</v>
      </c>
      <c r="B858" t="s">
        <v>160</v>
      </c>
      <c r="C858">
        <v>132268</v>
      </c>
      <c r="D858">
        <v>2019</v>
      </c>
      <c r="E858" t="s">
        <v>79</v>
      </c>
      <c r="F858" t="s">
        <v>585</v>
      </c>
      <c r="G858" t="s">
        <v>1160</v>
      </c>
      <c r="I858">
        <v>6</v>
      </c>
      <c r="J858" t="s">
        <v>94</v>
      </c>
      <c r="K858">
        <v>4</v>
      </c>
      <c r="L858" t="s">
        <v>44</v>
      </c>
      <c r="M858">
        <v>3.6</v>
      </c>
      <c r="N858" t="s">
        <v>45</v>
      </c>
      <c r="O858" t="s">
        <v>46</v>
      </c>
      <c r="P858">
        <v>3</v>
      </c>
      <c r="Q858" t="s">
        <v>47</v>
      </c>
      <c r="R858" t="s">
        <v>48</v>
      </c>
      <c r="S858" t="s">
        <v>102</v>
      </c>
      <c r="U858" t="s">
        <v>50</v>
      </c>
      <c r="V858" t="s">
        <v>64</v>
      </c>
      <c r="W858" t="s">
        <v>726</v>
      </c>
      <c r="X858" t="s">
        <v>66</v>
      </c>
      <c r="Y858" t="s">
        <v>67</v>
      </c>
      <c r="Z858">
        <v>34095</v>
      </c>
      <c r="AA858">
        <v>0</v>
      </c>
      <c r="AB858" t="s">
        <v>54</v>
      </c>
      <c r="AC858" t="s">
        <v>68</v>
      </c>
      <c r="AD858">
        <v>34</v>
      </c>
      <c r="AE858">
        <v>8</v>
      </c>
      <c r="AF858">
        <v>3</v>
      </c>
      <c r="AG858">
        <v>2025</v>
      </c>
      <c r="AH858" s="13">
        <v>7000</v>
      </c>
      <c r="AI858" s="13">
        <v>10517.6513671875</v>
      </c>
      <c r="AJ858" s="13">
        <f t="shared" si="104"/>
        <v>3517.6513671875</v>
      </c>
      <c r="AK858" s="14">
        <f t="shared" si="105"/>
        <v>0.50252162388392863</v>
      </c>
      <c r="AL858" s="9">
        <v>7000</v>
      </c>
      <c r="AM858" s="9">
        <v>7955.0869198435776</v>
      </c>
      <c r="AN858" s="9">
        <f t="shared" si="106"/>
        <v>955.08691984357756</v>
      </c>
      <c r="AO858" s="10">
        <f t="shared" si="107"/>
        <v>0.13644098854908251</v>
      </c>
      <c r="AP858" s="16">
        <v>7000</v>
      </c>
      <c r="AQ858" s="16">
        <v>9898.1856525058247</v>
      </c>
      <c r="AR858" s="16">
        <f t="shared" si="108"/>
        <v>2898.1856525058247</v>
      </c>
      <c r="AS858" s="17">
        <f t="shared" si="109"/>
        <v>0.41402652178654636</v>
      </c>
      <c r="AT858" s="6">
        <v>7000</v>
      </c>
      <c r="AU858" s="6">
        <v>8718.3369140625</v>
      </c>
      <c r="AV858" s="6">
        <f t="shared" si="110"/>
        <v>1718.3369140625</v>
      </c>
      <c r="AW858" s="7">
        <f t="shared" si="111"/>
        <v>0.24547670200892857</v>
      </c>
    </row>
    <row r="859" spans="1:49" x14ac:dyDescent="0.25">
      <c r="A859" t="s">
        <v>38</v>
      </c>
      <c r="B859" t="s">
        <v>167</v>
      </c>
      <c r="C859">
        <v>178287</v>
      </c>
      <c r="D859">
        <v>2017</v>
      </c>
      <c r="E859" t="s">
        <v>79</v>
      </c>
      <c r="F859" t="s">
        <v>164</v>
      </c>
      <c r="G859" t="s">
        <v>165</v>
      </c>
      <c r="I859">
        <v>4</v>
      </c>
      <c r="J859" t="s">
        <v>74</v>
      </c>
      <c r="K859">
        <v>4</v>
      </c>
      <c r="L859" t="s">
        <v>44</v>
      </c>
      <c r="M859">
        <v>2.4</v>
      </c>
      <c r="N859" t="s">
        <v>45</v>
      </c>
      <c r="O859" t="s">
        <v>42</v>
      </c>
      <c r="Q859" t="s">
        <v>47</v>
      </c>
      <c r="R859" t="s">
        <v>48</v>
      </c>
      <c r="S859" t="s">
        <v>102</v>
      </c>
      <c r="U859" t="s">
        <v>50</v>
      </c>
      <c r="W859" t="s">
        <v>166</v>
      </c>
      <c r="X859" t="s">
        <v>52</v>
      </c>
      <c r="Y859" t="s">
        <v>88</v>
      </c>
      <c r="Z859">
        <v>26750</v>
      </c>
      <c r="AA859">
        <v>0</v>
      </c>
      <c r="AB859" t="s">
        <v>54</v>
      </c>
      <c r="AC859" t="s">
        <v>55</v>
      </c>
      <c r="AD859">
        <v>34</v>
      </c>
      <c r="AE859">
        <v>8</v>
      </c>
      <c r="AF859">
        <v>3</v>
      </c>
      <c r="AG859">
        <v>2025</v>
      </c>
      <c r="AH859" s="13">
        <v>1200</v>
      </c>
      <c r="AI859" s="13">
        <v>1447.130249023438</v>
      </c>
      <c r="AJ859" s="13">
        <f t="shared" si="104"/>
        <v>247.13024902343795</v>
      </c>
      <c r="AK859" s="14">
        <f t="shared" si="105"/>
        <v>0.2059418741861983</v>
      </c>
      <c r="AL859" s="9">
        <v>1200</v>
      </c>
      <c r="AM859" s="9">
        <v>1496.288846882074</v>
      </c>
      <c r="AN859" s="9">
        <f t="shared" si="106"/>
        <v>296.28884688207404</v>
      </c>
      <c r="AO859" s="10">
        <f t="shared" si="107"/>
        <v>0.24690737240172836</v>
      </c>
      <c r="AP859" s="16">
        <v>1200</v>
      </c>
      <c r="AQ859" s="16">
        <v>1501.5987743454041</v>
      </c>
      <c r="AR859" s="16">
        <f t="shared" si="108"/>
        <v>301.59877434540408</v>
      </c>
      <c r="AS859" s="17">
        <f t="shared" si="109"/>
        <v>0.2513323119545034</v>
      </c>
      <c r="AT859" s="6">
        <v>1200</v>
      </c>
      <c r="AU859" s="6">
        <v>1403.22119140625</v>
      </c>
      <c r="AV859" s="6">
        <f t="shared" si="110"/>
        <v>203.22119140625</v>
      </c>
      <c r="AW859" s="7">
        <f t="shared" si="111"/>
        <v>0.16935099283854166</v>
      </c>
    </row>
    <row r="860" spans="1:49" x14ac:dyDescent="0.25">
      <c r="A860" t="s">
        <v>69</v>
      </c>
      <c r="B860" t="s">
        <v>70</v>
      </c>
      <c r="C860">
        <v>235235</v>
      </c>
      <c r="D860">
        <v>2016</v>
      </c>
      <c r="E860" t="s">
        <v>79</v>
      </c>
      <c r="F860" t="s">
        <v>164</v>
      </c>
      <c r="G860" t="s">
        <v>434</v>
      </c>
      <c r="I860">
        <v>4</v>
      </c>
      <c r="J860" t="s">
        <v>74</v>
      </c>
      <c r="K860">
        <v>4</v>
      </c>
      <c r="L860" t="s">
        <v>44</v>
      </c>
      <c r="M860">
        <v>2.4</v>
      </c>
      <c r="N860" t="s">
        <v>45</v>
      </c>
      <c r="O860" t="s">
        <v>42</v>
      </c>
      <c r="P860">
        <v>2</v>
      </c>
      <c r="Q860" t="s">
        <v>47</v>
      </c>
      <c r="R860" t="s">
        <v>48</v>
      </c>
      <c r="S860" t="s">
        <v>102</v>
      </c>
      <c r="U860" t="s">
        <v>50</v>
      </c>
      <c r="W860" t="s">
        <v>692</v>
      </c>
      <c r="X860" t="s">
        <v>52</v>
      </c>
      <c r="Y860" t="s">
        <v>88</v>
      </c>
      <c r="AA860">
        <v>0</v>
      </c>
      <c r="AB860" t="s">
        <v>54</v>
      </c>
      <c r="AC860" t="s">
        <v>55</v>
      </c>
      <c r="AD860">
        <v>34</v>
      </c>
      <c r="AE860">
        <v>8</v>
      </c>
      <c r="AF860">
        <v>3</v>
      </c>
      <c r="AG860">
        <v>2025</v>
      </c>
      <c r="AH860" s="13">
        <v>400</v>
      </c>
      <c r="AI860" s="13">
        <v>816.2137451171875</v>
      </c>
      <c r="AJ860" s="13">
        <f t="shared" si="104"/>
        <v>416.2137451171875</v>
      </c>
      <c r="AK860" s="14">
        <f t="shared" si="105"/>
        <v>1.0405343627929688</v>
      </c>
      <c r="AL860" s="9">
        <v>400</v>
      </c>
      <c r="AM860" s="9">
        <v>936.41957367241605</v>
      </c>
      <c r="AN860" s="9">
        <f t="shared" si="106"/>
        <v>536.41957367241605</v>
      </c>
      <c r="AO860" s="10">
        <f t="shared" si="107"/>
        <v>1.3410489341810401</v>
      </c>
      <c r="AP860" s="16">
        <v>400</v>
      </c>
      <c r="AQ860" s="16">
        <v>461.5912499847841</v>
      </c>
      <c r="AR860" s="16">
        <f t="shared" si="108"/>
        <v>61.591249984784099</v>
      </c>
      <c r="AS860" s="17">
        <f t="shared" si="109"/>
        <v>0.15397812496196026</v>
      </c>
      <c r="AT860" s="6">
        <v>400</v>
      </c>
      <c r="AU860" s="6">
        <v>722.2197265625</v>
      </c>
      <c r="AV860" s="6">
        <f t="shared" si="110"/>
        <v>322.2197265625</v>
      </c>
      <c r="AW860" s="7">
        <f t="shared" si="111"/>
        <v>0.80554931640625005</v>
      </c>
    </row>
    <row r="861" spans="1:49" x14ac:dyDescent="0.25">
      <c r="A861" t="s">
        <v>38</v>
      </c>
      <c r="B861" t="s">
        <v>229</v>
      </c>
      <c r="C861">
        <v>111996</v>
      </c>
      <c r="D861">
        <v>2016</v>
      </c>
      <c r="E861" t="s">
        <v>58</v>
      </c>
      <c r="F861" t="s">
        <v>258</v>
      </c>
      <c r="H861" t="s">
        <v>268</v>
      </c>
      <c r="I861">
        <v>4</v>
      </c>
      <c r="J861" t="s">
        <v>101</v>
      </c>
      <c r="K861">
        <v>4</v>
      </c>
      <c r="L861" t="s">
        <v>44</v>
      </c>
      <c r="M861">
        <v>1.6</v>
      </c>
      <c r="N861" t="s">
        <v>45</v>
      </c>
      <c r="O861" t="s">
        <v>46</v>
      </c>
      <c r="P861">
        <v>3</v>
      </c>
      <c r="Q861" t="s">
        <v>47</v>
      </c>
      <c r="R861" t="s">
        <v>48</v>
      </c>
      <c r="S861" t="s">
        <v>49</v>
      </c>
      <c r="T861">
        <v>178</v>
      </c>
      <c r="U861" t="s">
        <v>50</v>
      </c>
      <c r="V861" t="s">
        <v>95</v>
      </c>
      <c r="X861" t="s">
        <v>52</v>
      </c>
      <c r="Y861" t="s">
        <v>67</v>
      </c>
      <c r="AA861">
        <v>0</v>
      </c>
      <c r="AB861" t="s">
        <v>54</v>
      </c>
      <c r="AC861" t="s">
        <v>55</v>
      </c>
      <c r="AD861">
        <v>34</v>
      </c>
      <c r="AE861">
        <v>8</v>
      </c>
      <c r="AF861">
        <v>3</v>
      </c>
      <c r="AG861">
        <v>2025</v>
      </c>
      <c r="AH861" s="13">
        <v>2000</v>
      </c>
      <c r="AI861" s="13">
        <v>3350.181640625</v>
      </c>
      <c r="AJ861" s="13">
        <f t="shared" si="104"/>
        <v>1350.181640625</v>
      </c>
      <c r="AK861" s="14">
        <f t="shared" si="105"/>
        <v>0.67509082031250001</v>
      </c>
      <c r="AL861" s="9">
        <v>2000</v>
      </c>
      <c r="AM861" s="9">
        <v>3555.1665073135341</v>
      </c>
      <c r="AN861" s="9">
        <f t="shared" si="106"/>
        <v>1555.1665073135341</v>
      </c>
      <c r="AO861" s="10">
        <f t="shared" si="107"/>
        <v>0.77758325365676706</v>
      </c>
      <c r="AP861" s="16">
        <v>2000</v>
      </c>
      <c r="AQ861" s="16">
        <v>3377.7418970086119</v>
      </c>
      <c r="AR861" s="16">
        <f t="shared" si="108"/>
        <v>1377.7418970086119</v>
      </c>
      <c r="AS861" s="17">
        <f t="shared" si="109"/>
        <v>0.68887094850430597</v>
      </c>
      <c r="AT861" s="6">
        <v>2000</v>
      </c>
      <c r="AU861" s="6">
        <v>3482.946533203125</v>
      </c>
      <c r="AV861" s="6">
        <f t="shared" si="110"/>
        <v>1482.946533203125</v>
      </c>
      <c r="AW861" s="7">
        <f t="shared" si="111"/>
        <v>0.74147326660156254</v>
      </c>
    </row>
    <row r="862" spans="1:49" x14ac:dyDescent="0.25">
      <c r="A862" t="s">
        <v>38</v>
      </c>
      <c r="B862" t="s">
        <v>90</v>
      </c>
      <c r="C862">
        <v>49861</v>
      </c>
      <c r="D862">
        <v>2021</v>
      </c>
      <c r="E862" t="s">
        <v>79</v>
      </c>
      <c r="F862" t="s">
        <v>570</v>
      </c>
      <c r="H862" t="s">
        <v>571</v>
      </c>
      <c r="I862">
        <v>8</v>
      </c>
      <c r="J862" t="s">
        <v>43</v>
      </c>
      <c r="K862">
        <v>3</v>
      </c>
      <c r="L862" t="s">
        <v>44</v>
      </c>
      <c r="M862">
        <v>6.6</v>
      </c>
      <c r="N862" t="s">
        <v>116</v>
      </c>
      <c r="O862" t="s">
        <v>46</v>
      </c>
      <c r="P862">
        <v>5</v>
      </c>
      <c r="Q862" t="s">
        <v>75</v>
      </c>
      <c r="R862" t="s">
        <v>422</v>
      </c>
      <c r="U862" t="s">
        <v>50</v>
      </c>
      <c r="W862" t="s">
        <v>1161</v>
      </c>
      <c r="X862" t="s">
        <v>423</v>
      </c>
      <c r="Y862" t="s">
        <v>67</v>
      </c>
      <c r="AA862">
        <v>0</v>
      </c>
      <c r="AB862" t="s">
        <v>54</v>
      </c>
      <c r="AC862" t="s">
        <v>424</v>
      </c>
      <c r="AD862">
        <v>34</v>
      </c>
      <c r="AE862">
        <v>8</v>
      </c>
      <c r="AF862">
        <v>3</v>
      </c>
      <c r="AG862">
        <v>2025</v>
      </c>
      <c r="AH862" s="13">
        <v>19000</v>
      </c>
      <c r="AI862" s="13">
        <v>14129.3037109375</v>
      </c>
      <c r="AJ862" s="13">
        <f t="shared" si="104"/>
        <v>4870.6962890625</v>
      </c>
      <c r="AK862" s="14">
        <f t="shared" si="105"/>
        <v>0.25635243626644738</v>
      </c>
      <c r="AL862" s="9">
        <v>19000</v>
      </c>
      <c r="AM862" s="9">
        <v>30860.681293213918</v>
      </c>
      <c r="AN862" s="9">
        <f t="shared" si="106"/>
        <v>11860.681293213918</v>
      </c>
      <c r="AO862" s="10">
        <f t="shared" si="107"/>
        <v>0.62424638385336417</v>
      </c>
      <c r="AP862" s="16">
        <v>19000</v>
      </c>
      <c r="AQ862" s="16">
        <v>24148.2245881464</v>
      </c>
      <c r="AR862" s="16">
        <f t="shared" si="108"/>
        <v>5148.2245881464005</v>
      </c>
      <c r="AS862" s="17">
        <f t="shared" si="109"/>
        <v>0.27095918884981057</v>
      </c>
      <c r="AT862" s="6">
        <v>19000</v>
      </c>
      <c r="AU862" s="6">
        <v>26056.13671875</v>
      </c>
      <c r="AV862" s="6">
        <f t="shared" si="110"/>
        <v>7056.13671875</v>
      </c>
      <c r="AW862" s="7">
        <f t="shared" si="111"/>
        <v>0.37137561677631581</v>
      </c>
    </row>
    <row r="863" spans="1:49" x14ac:dyDescent="0.25">
      <c r="A863" t="s">
        <v>56</v>
      </c>
      <c r="B863" t="s">
        <v>104</v>
      </c>
      <c r="C863">
        <v>155877</v>
      </c>
      <c r="D863">
        <v>2013</v>
      </c>
      <c r="E863" t="s">
        <v>224</v>
      </c>
      <c r="F863" t="s">
        <v>1162</v>
      </c>
      <c r="G863" t="s">
        <v>1109</v>
      </c>
      <c r="H863" t="s">
        <v>1163</v>
      </c>
      <c r="I863">
        <v>6</v>
      </c>
      <c r="J863" t="s">
        <v>61</v>
      </c>
      <c r="K863">
        <v>4</v>
      </c>
      <c r="L863" t="s">
        <v>44</v>
      </c>
      <c r="M863">
        <v>3.5</v>
      </c>
      <c r="N863" t="s">
        <v>45</v>
      </c>
      <c r="Q863" t="s">
        <v>84</v>
      </c>
      <c r="R863" t="s">
        <v>85</v>
      </c>
      <c r="S863" t="s">
        <v>49</v>
      </c>
      <c r="U863" t="s">
        <v>50</v>
      </c>
      <c r="V863" t="s">
        <v>64</v>
      </c>
      <c r="W863" t="s">
        <v>318</v>
      </c>
      <c r="X863" t="s">
        <v>87</v>
      </c>
      <c r="Y863" t="s">
        <v>97</v>
      </c>
      <c r="AA863">
        <v>0</v>
      </c>
      <c r="AB863" t="s">
        <v>54</v>
      </c>
      <c r="AC863" t="s">
        <v>89</v>
      </c>
      <c r="AD863">
        <v>34</v>
      </c>
      <c r="AE863">
        <v>8</v>
      </c>
      <c r="AF863">
        <v>3</v>
      </c>
      <c r="AG863">
        <v>2025</v>
      </c>
      <c r="AH863" s="13">
        <v>7300</v>
      </c>
      <c r="AI863" s="13">
        <v>4642.4833984375</v>
      </c>
      <c r="AJ863" s="13">
        <f t="shared" si="104"/>
        <v>2657.5166015625</v>
      </c>
      <c r="AK863" s="14">
        <f t="shared" si="105"/>
        <v>0.36404337007705478</v>
      </c>
      <c r="AL863" s="9">
        <v>7300</v>
      </c>
      <c r="AM863" s="9">
        <v>4927.1162565995037</v>
      </c>
      <c r="AN863" s="9">
        <f t="shared" si="106"/>
        <v>2372.8837434004963</v>
      </c>
      <c r="AO863" s="10">
        <f t="shared" si="107"/>
        <v>0.32505256758910911</v>
      </c>
      <c r="AP863" s="16">
        <v>7300</v>
      </c>
      <c r="AQ863" s="16">
        <v>3711.4391427124301</v>
      </c>
      <c r="AR863" s="16">
        <f t="shared" si="108"/>
        <v>3588.5608572875699</v>
      </c>
      <c r="AS863" s="17">
        <f t="shared" si="109"/>
        <v>0.491583679080489</v>
      </c>
      <c r="AT863" s="6">
        <v>7300</v>
      </c>
      <c r="AU863" s="6">
        <v>4101.857421875</v>
      </c>
      <c r="AV863" s="6">
        <f t="shared" si="110"/>
        <v>3198.142578125</v>
      </c>
      <c r="AW863" s="7">
        <f t="shared" si="111"/>
        <v>0.4381017230308219</v>
      </c>
    </row>
    <row r="864" spans="1:49" x14ac:dyDescent="0.25">
      <c r="A864" t="s">
        <v>69</v>
      </c>
      <c r="B864" t="s">
        <v>128</v>
      </c>
      <c r="C864">
        <v>174410</v>
      </c>
      <c r="D864">
        <v>2019</v>
      </c>
      <c r="E864" t="s">
        <v>58</v>
      </c>
      <c r="F864" t="s">
        <v>168</v>
      </c>
      <c r="I864">
        <v>6</v>
      </c>
      <c r="J864" t="s">
        <v>43</v>
      </c>
      <c r="K864">
        <v>4</v>
      </c>
      <c r="L864" t="s">
        <v>44</v>
      </c>
      <c r="M864">
        <v>2.7</v>
      </c>
      <c r="N864" t="s">
        <v>62</v>
      </c>
      <c r="O864" t="s">
        <v>46</v>
      </c>
      <c r="Q864" t="s">
        <v>75</v>
      </c>
      <c r="R864" t="s">
        <v>76</v>
      </c>
      <c r="S864" t="s">
        <v>63</v>
      </c>
      <c r="T864">
        <v>325</v>
      </c>
      <c r="U864" t="s">
        <v>50</v>
      </c>
      <c r="V864" t="s">
        <v>64</v>
      </c>
      <c r="W864" t="s">
        <v>1048</v>
      </c>
      <c r="X864" t="s">
        <v>66</v>
      </c>
      <c r="Y864" t="s">
        <v>67</v>
      </c>
      <c r="AA864">
        <v>0</v>
      </c>
      <c r="AB864" t="s">
        <v>54</v>
      </c>
      <c r="AC864" t="s">
        <v>78</v>
      </c>
      <c r="AD864">
        <v>34</v>
      </c>
      <c r="AE864">
        <v>8</v>
      </c>
      <c r="AF864">
        <v>3</v>
      </c>
      <c r="AG864">
        <v>2025</v>
      </c>
      <c r="AH864" s="13">
        <v>12500</v>
      </c>
      <c r="AI864" s="13">
        <v>12784.6962890625</v>
      </c>
      <c r="AJ864" s="13">
        <f t="shared" si="104"/>
        <v>284.6962890625</v>
      </c>
      <c r="AK864" s="14">
        <f t="shared" si="105"/>
        <v>2.2775703125000001E-2</v>
      </c>
      <c r="AL864" s="9">
        <v>12500</v>
      </c>
      <c r="AM864" s="9">
        <v>12770.318890939991</v>
      </c>
      <c r="AN864" s="9">
        <f t="shared" si="106"/>
        <v>270.31889093999052</v>
      </c>
      <c r="AO864" s="10">
        <f t="shared" si="107"/>
        <v>2.1625511275199242E-2</v>
      </c>
      <c r="AP864" s="16">
        <v>12500</v>
      </c>
      <c r="AQ864" s="16">
        <v>12454.363873036909</v>
      </c>
      <c r="AR864" s="16">
        <f t="shared" si="108"/>
        <v>45.636126963090646</v>
      </c>
      <c r="AS864" s="17">
        <f t="shared" si="109"/>
        <v>3.6508901570472519E-3</v>
      </c>
      <c r="AT864" s="6">
        <v>12500</v>
      </c>
      <c r="AU864" s="6">
        <v>12723.388671875</v>
      </c>
      <c r="AV864" s="6">
        <f t="shared" si="110"/>
        <v>223.388671875</v>
      </c>
      <c r="AW864" s="7">
        <f t="shared" si="111"/>
        <v>1.7871093750000001E-2</v>
      </c>
    </row>
    <row r="865" spans="1:49" x14ac:dyDescent="0.25">
      <c r="A865" t="s">
        <v>56</v>
      </c>
      <c r="B865" t="s">
        <v>57</v>
      </c>
      <c r="C865">
        <v>133905</v>
      </c>
      <c r="D865">
        <v>2016</v>
      </c>
      <c r="E865" t="s">
        <v>113</v>
      </c>
      <c r="F865" t="s">
        <v>788</v>
      </c>
      <c r="G865" t="s">
        <v>268</v>
      </c>
      <c r="H865" t="s">
        <v>1164</v>
      </c>
      <c r="I865">
        <v>4</v>
      </c>
      <c r="J865" t="s">
        <v>61</v>
      </c>
      <c r="K865">
        <v>4</v>
      </c>
      <c r="L865" t="s">
        <v>44</v>
      </c>
      <c r="M865">
        <v>2</v>
      </c>
      <c r="N865" t="s">
        <v>45</v>
      </c>
      <c r="O865" t="s">
        <v>46</v>
      </c>
      <c r="P865">
        <v>3</v>
      </c>
      <c r="Q865" t="s">
        <v>84</v>
      </c>
      <c r="R865" t="s">
        <v>85</v>
      </c>
      <c r="S865" t="s">
        <v>102</v>
      </c>
      <c r="U865" t="s">
        <v>50</v>
      </c>
      <c r="V865" t="s">
        <v>95</v>
      </c>
      <c r="X865" t="s">
        <v>87</v>
      </c>
      <c r="Y865" t="s">
        <v>67</v>
      </c>
      <c r="AA865">
        <v>0</v>
      </c>
      <c r="AB865" t="s">
        <v>54</v>
      </c>
      <c r="AC865" t="s">
        <v>89</v>
      </c>
      <c r="AD865">
        <v>34</v>
      </c>
      <c r="AE865">
        <v>8</v>
      </c>
      <c r="AF865">
        <v>3</v>
      </c>
      <c r="AG865">
        <v>2025</v>
      </c>
      <c r="AH865" s="13">
        <v>1500</v>
      </c>
      <c r="AI865" s="13">
        <v>2044.59521484375</v>
      </c>
      <c r="AJ865" s="13">
        <f t="shared" si="104"/>
        <v>544.59521484375</v>
      </c>
      <c r="AK865" s="14">
        <f t="shared" si="105"/>
        <v>0.36306347656249999</v>
      </c>
      <c r="AL865" s="9">
        <v>1500</v>
      </c>
      <c r="AM865" s="9">
        <v>2028.203712712409</v>
      </c>
      <c r="AN865" s="9">
        <f t="shared" si="106"/>
        <v>528.20371271240901</v>
      </c>
      <c r="AO865" s="10">
        <f t="shared" si="107"/>
        <v>0.35213580847493936</v>
      </c>
      <c r="AP865" s="16">
        <v>1500</v>
      </c>
      <c r="AQ865" s="16">
        <v>1998.4831109117181</v>
      </c>
      <c r="AR865" s="16">
        <f t="shared" si="108"/>
        <v>498.48311091171809</v>
      </c>
      <c r="AS865" s="17">
        <f t="shared" si="109"/>
        <v>0.33232207394114538</v>
      </c>
      <c r="AT865" s="6">
        <v>1500</v>
      </c>
      <c r="AU865" s="6">
        <v>2274.32568359375</v>
      </c>
      <c r="AV865" s="6">
        <f t="shared" si="110"/>
        <v>774.32568359375</v>
      </c>
      <c r="AW865" s="7">
        <f t="shared" si="111"/>
        <v>0.51621712239583328</v>
      </c>
    </row>
    <row r="866" spans="1:49" x14ac:dyDescent="0.25">
      <c r="A866" t="s">
        <v>56</v>
      </c>
      <c r="B866" t="s">
        <v>303</v>
      </c>
      <c r="C866">
        <v>173347</v>
      </c>
      <c r="D866">
        <v>2010</v>
      </c>
      <c r="E866" t="s">
        <v>113</v>
      </c>
      <c r="F866" t="s">
        <v>708</v>
      </c>
      <c r="G866" t="s">
        <v>162</v>
      </c>
      <c r="H866" t="s">
        <v>1165</v>
      </c>
      <c r="I866">
        <v>8</v>
      </c>
      <c r="J866" t="s">
        <v>257</v>
      </c>
      <c r="K866">
        <v>4</v>
      </c>
      <c r="L866" t="s">
        <v>44</v>
      </c>
      <c r="M866">
        <v>4.7</v>
      </c>
      <c r="N866" t="s">
        <v>116</v>
      </c>
      <c r="Q866" t="s">
        <v>75</v>
      </c>
      <c r="R866" t="s">
        <v>76</v>
      </c>
      <c r="S866" t="s">
        <v>49</v>
      </c>
      <c r="U866" t="s">
        <v>50</v>
      </c>
      <c r="X866" t="s">
        <v>66</v>
      </c>
      <c r="Y866" t="s">
        <v>67</v>
      </c>
      <c r="AA866">
        <v>0</v>
      </c>
      <c r="AB866" t="s">
        <v>54</v>
      </c>
      <c r="AC866" t="s">
        <v>78</v>
      </c>
      <c r="AD866">
        <v>34</v>
      </c>
      <c r="AE866">
        <v>8</v>
      </c>
      <c r="AF866">
        <v>3</v>
      </c>
      <c r="AG866">
        <v>2025</v>
      </c>
      <c r="AH866" s="13">
        <v>4200</v>
      </c>
      <c r="AI866" s="13">
        <v>3039.877197265625</v>
      </c>
      <c r="AJ866" s="13">
        <f t="shared" si="104"/>
        <v>1160.122802734375</v>
      </c>
      <c r="AK866" s="14">
        <f t="shared" si="105"/>
        <v>0.27621971493675596</v>
      </c>
      <c r="AL866" s="9">
        <v>4200</v>
      </c>
      <c r="AM866" s="9">
        <v>3954.146694976514</v>
      </c>
      <c r="AN866" s="9">
        <f t="shared" si="106"/>
        <v>245.85330502348597</v>
      </c>
      <c r="AO866" s="10">
        <f t="shared" si="107"/>
        <v>5.853650119606809E-2</v>
      </c>
      <c r="AP866" s="16">
        <v>4200</v>
      </c>
      <c r="AQ866" s="16">
        <v>3107.4584179180861</v>
      </c>
      <c r="AR866" s="16">
        <f t="shared" si="108"/>
        <v>1092.5415820819139</v>
      </c>
      <c r="AS866" s="17">
        <f t="shared" si="109"/>
        <v>0.26012894811474141</v>
      </c>
      <c r="AT866" s="6">
        <v>4200</v>
      </c>
      <c r="AU866" s="6">
        <v>3307.80517578125</v>
      </c>
      <c r="AV866" s="6">
        <f t="shared" si="110"/>
        <v>892.19482421875</v>
      </c>
      <c r="AW866" s="7">
        <f t="shared" si="111"/>
        <v>0.21242733909970238</v>
      </c>
    </row>
    <row r="867" spans="1:49" x14ac:dyDescent="0.25">
      <c r="A867" t="s">
        <v>38</v>
      </c>
      <c r="B867" t="s">
        <v>90</v>
      </c>
      <c r="C867">
        <v>127361</v>
      </c>
      <c r="D867">
        <v>2014</v>
      </c>
      <c r="E867" t="s">
        <v>269</v>
      </c>
      <c r="F867" t="s">
        <v>270</v>
      </c>
      <c r="G867" t="s">
        <v>952</v>
      </c>
      <c r="I867">
        <v>4</v>
      </c>
      <c r="J867" t="s">
        <v>43</v>
      </c>
      <c r="K867">
        <v>4</v>
      </c>
      <c r="L867" t="s">
        <v>44</v>
      </c>
      <c r="M867">
        <v>2</v>
      </c>
      <c r="N867" t="s">
        <v>44</v>
      </c>
      <c r="O867" t="s">
        <v>46</v>
      </c>
      <c r="P867">
        <v>4</v>
      </c>
      <c r="Q867" t="s">
        <v>47</v>
      </c>
      <c r="R867" t="s">
        <v>48</v>
      </c>
      <c r="S867" t="s">
        <v>139</v>
      </c>
      <c r="T867">
        <v>241</v>
      </c>
      <c r="U867" t="s">
        <v>50</v>
      </c>
      <c r="X867" t="s">
        <v>141</v>
      </c>
      <c r="Y867" t="s">
        <v>67</v>
      </c>
      <c r="AA867">
        <v>0</v>
      </c>
      <c r="AB867" t="s">
        <v>54</v>
      </c>
      <c r="AC867" t="s">
        <v>55</v>
      </c>
      <c r="AD867">
        <v>34</v>
      </c>
      <c r="AE867">
        <v>8</v>
      </c>
      <c r="AF867">
        <v>3</v>
      </c>
      <c r="AG867">
        <v>2025</v>
      </c>
      <c r="AH867" s="13">
        <v>5200</v>
      </c>
      <c r="AI867" s="13">
        <v>5098.640625</v>
      </c>
      <c r="AJ867" s="13">
        <f t="shared" si="104"/>
        <v>101.359375</v>
      </c>
      <c r="AK867" s="14">
        <f t="shared" si="105"/>
        <v>1.9492187500000001E-2</v>
      </c>
      <c r="AL867" s="9">
        <v>5200</v>
      </c>
      <c r="AM867" s="9">
        <v>4399.9540489167948</v>
      </c>
      <c r="AN867" s="9">
        <f t="shared" si="106"/>
        <v>800.04595108320518</v>
      </c>
      <c r="AO867" s="10">
        <f t="shared" si="107"/>
        <v>0.15385499059292407</v>
      </c>
      <c r="AP867" s="16">
        <v>5200</v>
      </c>
      <c r="AQ867" s="16">
        <v>3959.8550653799339</v>
      </c>
      <c r="AR867" s="16">
        <f t="shared" si="108"/>
        <v>1240.1449346200661</v>
      </c>
      <c r="AS867" s="17">
        <f t="shared" si="109"/>
        <v>0.23848941050385886</v>
      </c>
      <c r="AT867" s="6">
        <v>5200</v>
      </c>
      <c r="AU867" s="6">
        <v>4324.19482421875</v>
      </c>
      <c r="AV867" s="6">
        <f t="shared" si="110"/>
        <v>875.80517578125</v>
      </c>
      <c r="AW867" s="7">
        <f t="shared" si="111"/>
        <v>0.168424072265625</v>
      </c>
    </row>
    <row r="868" spans="1:49" x14ac:dyDescent="0.25">
      <c r="A868" t="s">
        <v>56</v>
      </c>
      <c r="B868" t="s">
        <v>57</v>
      </c>
      <c r="C868">
        <v>94891</v>
      </c>
      <c r="D868">
        <v>2016</v>
      </c>
      <c r="E868" t="s">
        <v>71</v>
      </c>
      <c r="F868" t="s">
        <v>238</v>
      </c>
      <c r="I868">
        <v>4</v>
      </c>
      <c r="J868" t="s">
        <v>61</v>
      </c>
      <c r="K868">
        <v>4</v>
      </c>
      <c r="L868" t="s">
        <v>44</v>
      </c>
      <c r="M868">
        <v>1.8</v>
      </c>
      <c r="N868" t="s">
        <v>45</v>
      </c>
      <c r="O868" t="s">
        <v>46</v>
      </c>
      <c r="Q868" t="s">
        <v>84</v>
      </c>
      <c r="R868" t="s">
        <v>85</v>
      </c>
      <c r="S868" t="s">
        <v>49</v>
      </c>
      <c r="U868" t="s">
        <v>50</v>
      </c>
      <c r="X868" t="s">
        <v>87</v>
      </c>
      <c r="Y868" t="s">
        <v>106</v>
      </c>
      <c r="AA868">
        <v>0</v>
      </c>
      <c r="AB868" t="s">
        <v>54</v>
      </c>
      <c r="AC868" t="s">
        <v>89</v>
      </c>
      <c r="AD868">
        <v>34</v>
      </c>
      <c r="AE868">
        <v>8</v>
      </c>
      <c r="AF868">
        <v>3</v>
      </c>
      <c r="AG868">
        <v>2025</v>
      </c>
      <c r="AH868" s="13">
        <v>2700</v>
      </c>
      <c r="AI868" s="13">
        <v>2906.5087890625</v>
      </c>
      <c r="AJ868" s="13">
        <f t="shared" si="104"/>
        <v>206.5087890625</v>
      </c>
      <c r="AK868" s="14">
        <f t="shared" si="105"/>
        <v>7.6484736689814814E-2</v>
      </c>
      <c r="AL868" s="9">
        <v>2700</v>
      </c>
      <c r="AM868" s="9">
        <v>3220.6357343786581</v>
      </c>
      <c r="AN868" s="9">
        <f t="shared" si="106"/>
        <v>520.63573437865807</v>
      </c>
      <c r="AO868" s="10">
        <f t="shared" si="107"/>
        <v>0.19282804976987336</v>
      </c>
      <c r="AP868" s="16">
        <v>2700</v>
      </c>
      <c r="AQ868" s="16">
        <v>3258.3992362611789</v>
      </c>
      <c r="AR868" s="16">
        <f t="shared" si="108"/>
        <v>558.39923626117888</v>
      </c>
      <c r="AS868" s="17">
        <f t="shared" si="109"/>
        <v>0.20681453194858476</v>
      </c>
      <c r="AT868" s="6">
        <v>2700</v>
      </c>
      <c r="AU868" s="6">
        <v>2709.2021484375</v>
      </c>
      <c r="AV868" s="6">
        <f t="shared" si="110"/>
        <v>9.2021484375</v>
      </c>
      <c r="AW868" s="7">
        <f t="shared" si="111"/>
        <v>3.4082031250000002E-3</v>
      </c>
    </row>
    <row r="869" spans="1:49" x14ac:dyDescent="0.25">
      <c r="A869" t="s">
        <v>38</v>
      </c>
      <c r="B869" t="s">
        <v>132</v>
      </c>
      <c r="C869">
        <v>45764</v>
      </c>
      <c r="D869">
        <v>2024</v>
      </c>
      <c r="E869" t="s">
        <v>150</v>
      </c>
      <c r="F869" t="s">
        <v>1166</v>
      </c>
      <c r="G869" t="s">
        <v>1167</v>
      </c>
      <c r="I869">
        <v>3</v>
      </c>
      <c r="J869" t="s">
        <v>74</v>
      </c>
      <c r="K869">
        <v>4</v>
      </c>
      <c r="L869" t="s">
        <v>44</v>
      </c>
      <c r="M869">
        <v>1.3</v>
      </c>
      <c r="N869" t="s">
        <v>45</v>
      </c>
      <c r="O869" t="s">
        <v>46</v>
      </c>
      <c r="P869">
        <v>4</v>
      </c>
      <c r="Q869" t="s">
        <v>47</v>
      </c>
      <c r="R869" t="s">
        <v>48</v>
      </c>
      <c r="S869" t="s">
        <v>102</v>
      </c>
      <c r="U869" t="s">
        <v>50</v>
      </c>
      <c r="V869" t="s">
        <v>95</v>
      </c>
      <c r="W869" t="s">
        <v>1168</v>
      </c>
      <c r="X869" t="s">
        <v>52</v>
      </c>
      <c r="Y869" t="s">
        <v>53</v>
      </c>
      <c r="AA869">
        <v>0</v>
      </c>
      <c r="AB869" t="s">
        <v>54</v>
      </c>
      <c r="AC869" t="s">
        <v>55</v>
      </c>
      <c r="AD869">
        <v>34</v>
      </c>
      <c r="AE869">
        <v>8</v>
      </c>
      <c r="AF869">
        <v>3</v>
      </c>
      <c r="AG869">
        <v>2025</v>
      </c>
      <c r="AH869" s="13">
        <v>17600</v>
      </c>
      <c r="AI869" s="13">
        <v>23381.00390625</v>
      </c>
      <c r="AJ869" s="13">
        <f t="shared" si="104"/>
        <v>5781.00390625</v>
      </c>
      <c r="AK869" s="14">
        <f t="shared" si="105"/>
        <v>0.32846613103693184</v>
      </c>
      <c r="AL869" s="9">
        <v>17600</v>
      </c>
      <c r="AM869" s="9">
        <v>21029.963029660699</v>
      </c>
      <c r="AN869" s="9">
        <f t="shared" si="106"/>
        <v>3429.9630296606992</v>
      </c>
      <c r="AO869" s="10">
        <f t="shared" si="107"/>
        <v>0.19488426304890336</v>
      </c>
      <c r="AP869" s="16">
        <v>17600</v>
      </c>
      <c r="AQ869" s="16">
        <v>19235.045928324729</v>
      </c>
      <c r="AR869" s="16">
        <f t="shared" si="108"/>
        <v>1635.0459283247292</v>
      </c>
      <c r="AS869" s="17">
        <f t="shared" si="109"/>
        <v>9.2900336836632333E-2</v>
      </c>
      <c r="AT869" s="6">
        <v>17600</v>
      </c>
      <c r="AU869" s="6">
        <v>19697.205078125</v>
      </c>
      <c r="AV869" s="6">
        <f t="shared" si="110"/>
        <v>2097.205078125</v>
      </c>
      <c r="AW869" s="7">
        <f t="shared" si="111"/>
        <v>0.11915937943892045</v>
      </c>
    </row>
    <row r="870" spans="1:49" x14ac:dyDescent="0.25">
      <c r="A870" t="s">
        <v>69</v>
      </c>
      <c r="B870" t="s">
        <v>160</v>
      </c>
      <c r="C870">
        <v>79337</v>
      </c>
      <c r="D870">
        <v>2019</v>
      </c>
      <c r="E870" t="s">
        <v>136</v>
      </c>
      <c r="F870" t="s">
        <v>657</v>
      </c>
      <c r="H870" t="s">
        <v>1169</v>
      </c>
      <c r="I870">
        <v>4</v>
      </c>
      <c r="J870" t="s">
        <v>74</v>
      </c>
      <c r="K870">
        <v>4</v>
      </c>
      <c r="L870" t="s">
        <v>44</v>
      </c>
      <c r="M870">
        <v>2</v>
      </c>
      <c r="N870" t="s">
        <v>45</v>
      </c>
      <c r="O870" t="s">
        <v>46</v>
      </c>
      <c r="P870">
        <v>2</v>
      </c>
      <c r="Q870" t="s">
        <v>47</v>
      </c>
      <c r="R870" t="s">
        <v>48</v>
      </c>
      <c r="T870">
        <v>184</v>
      </c>
      <c r="U870" t="s">
        <v>50</v>
      </c>
      <c r="X870" t="s">
        <v>141</v>
      </c>
      <c r="Y870" t="s">
        <v>106</v>
      </c>
      <c r="Z870">
        <v>26695</v>
      </c>
      <c r="AA870">
        <v>0</v>
      </c>
      <c r="AB870" t="s">
        <v>54</v>
      </c>
      <c r="AC870" t="s">
        <v>55</v>
      </c>
      <c r="AD870">
        <v>34</v>
      </c>
      <c r="AE870">
        <v>8</v>
      </c>
      <c r="AF870">
        <v>3</v>
      </c>
      <c r="AG870">
        <v>2025</v>
      </c>
      <c r="AH870" s="13">
        <v>11200</v>
      </c>
      <c r="AI870" s="13">
        <v>7424.751953125</v>
      </c>
      <c r="AJ870" s="13">
        <f t="shared" si="104"/>
        <v>3775.248046875</v>
      </c>
      <c r="AK870" s="14">
        <f t="shared" si="105"/>
        <v>0.33707571847098217</v>
      </c>
      <c r="AL870" s="9">
        <v>11200</v>
      </c>
      <c r="AM870" s="9">
        <v>6879.1465115060928</v>
      </c>
      <c r="AN870" s="9">
        <f t="shared" si="106"/>
        <v>4320.8534884939072</v>
      </c>
      <c r="AO870" s="10">
        <f t="shared" si="107"/>
        <v>0.38579049004409888</v>
      </c>
      <c r="AP870" s="16">
        <v>11200</v>
      </c>
      <c r="AQ870" s="16">
        <v>7437.0107957818946</v>
      </c>
      <c r="AR870" s="16">
        <f t="shared" si="108"/>
        <v>3762.9892042181054</v>
      </c>
      <c r="AS870" s="17">
        <f t="shared" si="109"/>
        <v>0.33598117894804513</v>
      </c>
      <c r="AT870" s="6">
        <v>11200</v>
      </c>
      <c r="AU870" s="6">
        <v>7140.78662109375</v>
      </c>
      <c r="AV870" s="6">
        <f t="shared" si="110"/>
        <v>4059.21337890625</v>
      </c>
      <c r="AW870" s="7">
        <f t="shared" si="111"/>
        <v>0.3624297659737723</v>
      </c>
    </row>
    <row r="871" spans="1:49" x14ac:dyDescent="0.25">
      <c r="A871" t="s">
        <v>38</v>
      </c>
      <c r="B871" t="s">
        <v>229</v>
      </c>
      <c r="C871">
        <v>163000</v>
      </c>
      <c r="D871">
        <v>2019</v>
      </c>
      <c r="E871" t="s">
        <v>79</v>
      </c>
      <c r="F871" t="s">
        <v>80</v>
      </c>
      <c r="G871" t="s">
        <v>1170</v>
      </c>
      <c r="I871">
        <v>6</v>
      </c>
      <c r="J871" t="s">
        <v>82</v>
      </c>
      <c r="K871">
        <v>4</v>
      </c>
      <c r="L871" t="s">
        <v>44</v>
      </c>
      <c r="M871">
        <v>3.6</v>
      </c>
      <c r="N871" t="s">
        <v>45</v>
      </c>
      <c r="O871" t="s">
        <v>46</v>
      </c>
      <c r="P871">
        <v>3</v>
      </c>
      <c r="Q871" t="s">
        <v>84</v>
      </c>
      <c r="R871" t="s">
        <v>85</v>
      </c>
      <c r="U871" t="s">
        <v>50</v>
      </c>
      <c r="W871" t="s">
        <v>1171</v>
      </c>
      <c r="X871" t="s">
        <v>87</v>
      </c>
      <c r="Y871" t="s">
        <v>67</v>
      </c>
      <c r="Z871">
        <v>37595</v>
      </c>
      <c r="AA871">
        <v>0</v>
      </c>
      <c r="AB871" t="s">
        <v>54</v>
      </c>
      <c r="AC871" t="s">
        <v>89</v>
      </c>
      <c r="AD871">
        <v>34</v>
      </c>
      <c r="AE871">
        <v>8</v>
      </c>
      <c r="AF871">
        <v>3</v>
      </c>
      <c r="AG871">
        <v>2025</v>
      </c>
      <c r="AH871" s="13">
        <v>2600</v>
      </c>
      <c r="AI871" s="13">
        <v>5941.318359375</v>
      </c>
      <c r="AJ871" s="13">
        <f t="shared" si="104"/>
        <v>3341.318359375</v>
      </c>
      <c r="AK871" s="14">
        <f t="shared" si="105"/>
        <v>1.2851224459134616</v>
      </c>
      <c r="AL871" s="9">
        <v>2600</v>
      </c>
      <c r="AM871" s="9">
        <v>5042.1898169687383</v>
      </c>
      <c r="AN871" s="9">
        <f t="shared" si="106"/>
        <v>2442.1898169687383</v>
      </c>
      <c r="AO871" s="10">
        <f t="shared" si="107"/>
        <v>0.93930377575720703</v>
      </c>
      <c r="AP871" s="16">
        <v>2600</v>
      </c>
      <c r="AQ871" s="16">
        <v>5302.3651308620883</v>
      </c>
      <c r="AR871" s="16">
        <f t="shared" si="108"/>
        <v>2702.3651308620883</v>
      </c>
      <c r="AS871" s="17">
        <f t="shared" si="109"/>
        <v>1.0393712041777263</v>
      </c>
      <c r="AT871" s="6">
        <v>2600</v>
      </c>
      <c r="AU871" s="6">
        <v>5029.68115234375</v>
      </c>
      <c r="AV871" s="6">
        <f t="shared" si="110"/>
        <v>2429.68115234375</v>
      </c>
      <c r="AW871" s="7">
        <f t="shared" si="111"/>
        <v>0.93449275090144235</v>
      </c>
    </row>
    <row r="872" spans="1:49" x14ac:dyDescent="0.25">
      <c r="A872" t="s">
        <v>38</v>
      </c>
      <c r="B872" t="s">
        <v>267</v>
      </c>
      <c r="C872">
        <v>243044</v>
      </c>
      <c r="D872">
        <v>2004</v>
      </c>
      <c r="E872" t="s">
        <v>91</v>
      </c>
      <c r="F872" t="s">
        <v>723</v>
      </c>
      <c r="G872" t="s">
        <v>1172</v>
      </c>
      <c r="H872" t="s">
        <v>1173</v>
      </c>
      <c r="I872">
        <v>6</v>
      </c>
      <c r="J872" t="s">
        <v>74</v>
      </c>
      <c r="K872">
        <v>4</v>
      </c>
      <c r="L872" t="s">
        <v>44</v>
      </c>
      <c r="M872">
        <v>3.3</v>
      </c>
      <c r="N872" t="s">
        <v>45</v>
      </c>
      <c r="O872" t="s">
        <v>46</v>
      </c>
      <c r="Q872" t="s">
        <v>47</v>
      </c>
      <c r="R872" t="s">
        <v>365</v>
      </c>
      <c r="S872" t="s">
        <v>49</v>
      </c>
      <c r="T872">
        <v>266</v>
      </c>
      <c r="U872" t="s">
        <v>50</v>
      </c>
      <c r="V872" t="s">
        <v>64</v>
      </c>
      <c r="W872" t="s">
        <v>1174</v>
      </c>
      <c r="X872" t="s">
        <v>141</v>
      </c>
      <c r="Y872" t="s">
        <v>67</v>
      </c>
      <c r="AA872">
        <v>0</v>
      </c>
      <c r="AB872" t="s">
        <v>54</v>
      </c>
      <c r="AC872" t="s">
        <v>365</v>
      </c>
      <c r="AD872">
        <v>34</v>
      </c>
      <c r="AE872">
        <v>8</v>
      </c>
      <c r="AF872">
        <v>3</v>
      </c>
      <c r="AG872">
        <v>2025</v>
      </c>
      <c r="AH872" s="13">
        <v>500</v>
      </c>
      <c r="AI872" s="13">
        <v>730.42071533203125</v>
      </c>
      <c r="AJ872" s="13">
        <f t="shared" si="104"/>
        <v>230.42071533203125</v>
      </c>
      <c r="AK872" s="14">
        <f t="shared" si="105"/>
        <v>0.46084143066406252</v>
      </c>
      <c r="AL872" s="9">
        <v>500</v>
      </c>
      <c r="AM872" s="9">
        <v>993.37106661938162</v>
      </c>
      <c r="AN872" s="9">
        <f t="shared" si="106"/>
        <v>493.37106661938162</v>
      </c>
      <c r="AO872" s="10">
        <f t="shared" si="107"/>
        <v>0.98674213323876325</v>
      </c>
      <c r="AP872" s="16">
        <v>500</v>
      </c>
      <c r="AQ872" s="16">
        <v>672.60126182759132</v>
      </c>
      <c r="AR872" s="16">
        <f t="shared" si="108"/>
        <v>172.60126182759132</v>
      </c>
      <c r="AS872" s="17">
        <f t="shared" si="109"/>
        <v>0.34520252365518261</v>
      </c>
      <c r="AT872" s="6">
        <v>500</v>
      </c>
      <c r="AU872" s="6">
        <v>842.15203857421875</v>
      </c>
      <c r="AV872" s="6">
        <f t="shared" si="110"/>
        <v>342.15203857421875</v>
      </c>
      <c r="AW872" s="7">
        <f t="shared" si="111"/>
        <v>0.68430407714843755</v>
      </c>
    </row>
    <row r="873" spans="1:49" x14ac:dyDescent="0.25">
      <c r="A873" t="s">
        <v>107</v>
      </c>
      <c r="B873" t="s">
        <v>256</v>
      </c>
      <c r="C873">
        <v>141788</v>
      </c>
      <c r="D873">
        <v>2012</v>
      </c>
      <c r="E873" t="s">
        <v>79</v>
      </c>
      <c r="F873" t="s">
        <v>263</v>
      </c>
      <c r="G873" t="s">
        <v>264</v>
      </c>
      <c r="I873">
        <v>4</v>
      </c>
      <c r="J873" t="s">
        <v>94</v>
      </c>
      <c r="K873">
        <v>4</v>
      </c>
      <c r="L873" t="s">
        <v>44</v>
      </c>
      <c r="M873">
        <v>1.4</v>
      </c>
      <c r="N873" t="s">
        <v>45</v>
      </c>
      <c r="O873" t="s">
        <v>46</v>
      </c>
      <c r="P873">
        <v>3</v>
      </c>
      <c r="Q873" t="s">
        <v>84</v>
      </c>
      <c r="R873" t="s">
        <v>85</v>
      </c>
      <c r="U873" t="s">
        <v>50</v>
      </c>
      <c r="V873" t="s">
        <v>95</v>
      </c>
      <c r="W873" t="s">
        <v>1175</v>
      </c>
      <c r="X873" t="s">
        <v>87</v>
      </c>
      <c r="Y873" t="s">
        <v>67</v>
      </c>
      <c r="AA873">
        <v>0</v>
      </c>
      <c r="AB873" t="s">
        <v>54</v>
      </c>
      <c r="AC873" t="s">
        <v>89</v>
      </c>
      <c r="AD873">
        <v>34</v>
      </c>
      <c r="AE873">
        <v>8</v>
      </c>
      <c r="AF873">
        <v>3</v>
      </c>
      <c r="AG873">
        <v>2025</v>
      </c>
      <c r="AH873" s="13">
        <v>1200</v>
      </c>
      <c r="AI873" s="13">
        <v>1670.23486328125</v>
      </c>
      <c r="AJ873" s="13">
        <f t="shared" si="104"/>
        <v>470.23486328125</v>
      </c>
      <c r="AK873" s="14">
        <f t="shared" si="105"/>
        <v>0.39186238606770835</v>
      </c>
      <c r="AL873" s="9">
        <v>1200</v>
      </c>
      <c r="AM873" s="9">
        <v>1494.8032013610809</v>
      </c>
      <c r="AN873" s="9">
        <f t="shared" si="106"/>
        <v>294.80320136108094</v>
      </c>
      <c r="AO873" s="10">
        <f t="shared" si="107"/>
        <v>0.24566933446756745</v>
      </c>
      <c r="AP873" s="16">
        <v>1200</v>
      </c>
      <c r="AQ873" s="16">
        <v>1203.408002299986</v>
      </c>
      <c r="AR873" s="16">
        <f t="shared" si="108"/>
        <v>3.4080022999860375</v>
      </c>
      <c r="AS873" s="17">
        <f t="shared" si="109"/>
        <v>2.8400019166550314E-3</v>
      </c>
      <c r="AT873" s="6">
        <v>1200</v>
      </c>
      <c r="AU873" s="6">
        <v>1460.197509765625</v>
      </c>
      <c r="AV873" s="6">
        <f t="shared" si="110"/>
        <v>260.197509765625</v>
      </c>
      <c r="AW873" s="7">
        <f t="shared" si="111"/>
        <v>0.21683125813802084</v>
      </c>
    </row>
    <row r="874" spans="1:49" x14ac:dyDescent="0.25">
      <c r="A874" t="s">
        <v>56</v>
      </c>
      <c r="B874" t="s">
        <v>144</v>
      </c>
      <c r="C874">
        <v>10539</v>
      </c>
      <c r="D874">
        <v>2024</v>
      </c>
      <c r="E874" t="s">
        <v>124</v>
      </c>
      <c r="F874" t="s">
        <v>1176</v>
      </c>
      <c r="G874" t="s">
        <v>1177</v>
      </c>
      <c r="I874">
        <v>4</v>
      </c>
      <c r="J874" t="s">
        <v>74</v>
      </c>
      <c r="K874">
        <v>4</v>
      </c>
      <c r="L874" t="s">
        <v>44</v>
      </c>
      <c r="M874">
        <v>1.6</v>
      </c>
      <c r="N874" t="s">
        <v>45</v>
      </c>
      <c r="O874" t="s">
        <v>46</v>
      </c>
      <c r="P874">
        <v>5</v>
      </c>
      <c r="Q874" t="s">
        <v>84</v>
      </c>
      <c r="R874" t="s">
        <v>222</v>
      </c>
      <c r="U874" t="s">
        <v>50</v>
      </c>
      <c r="W874" t="s">
        <v>1178</v>
      </c>
      <c r="X874" t="s">
        <v>87</v>
      </c>
      <c r="Y874" t="s">
        <v>53</v>
      </c>
      <c r="AA874">
        <v>0</v>
      </c>
      <c r="AB874" t="s">
        <v>54</v>
      </c>
      <c r="AC874" t="s">
        <v>222</v>
      </c>
      <c r="AD874">
        <v>34</v>
      </c>
      <c r="AE874">
        <v>8</v>
      </c>
      <c r="AF874">
        <v>3</v>
      </c>
      <c r="AG874">
        <v>2025</v>
      </c>
      <c r="AH874" s="13">
        <v>20200</v>
      </c>
      <c r="AI874" s="13">
        <v>22876.46484375</v>
      </c>
      <c r="AJ874" s="13">
        <f t="shared" si="104"/>
        <v>2676.46484375</v>
      </c>
      <c r="AK874" s="14">
        <f t="shared" si="105"/>
        <v>0.13249825959158415</v>
      </c>
      <c r="AL874" s="9">
        <v>20200</v>
      </c>
      <c r="AM874" s="9">
        <v>21775.72895033699</v>
      </c>
      <c r="AN874" s="9">
        <f t="shared" si="106"/>
        <v>1575.7289503369902</v>
      </c>
      <c r="AO874" s="10">
        <f t="shared" si="107"/>
        <v>7.8006383680049016E-2</v>
      </c>
      <c r="AP874" s="16">
        <v>20200</v>
      </c>
      <c r="AQ874" s="16">
        <v>17697.69010667791</v>
      </c>
      <c r="AR874" s="16">
        <f t="shared" si="108"/>
        <v>2502.3098933220899</v>
      </c>
      <c r="AS874" s="17">
        <f t="shared" si="109"/>
        <v>0.12387672739218267</v>
      </c>
      <c r="AT874" s="6">
        <v>20200</v>
      </c>
      <c r="AU874" s="6">
        <v>22780.015625</v>
      </c>
      <c r="AV874" s="6">
        <f t="shared" si="110"/>
        <v>2580.015625</v>
      </c>
      <c r="AW874" s="7">
        <f t="shared" si="111"/>
        <v>0.1277235457920792</v>
      </c>
    </row>
    <row r="875" spans="1:49" x14ac:dyDescent="0.25">
      <c r="A875" t="s">
        <v>69</v>
      </c>
      <c r="B875" t="s">
        <v>223</v>
      </c>
      <c r="C875">
        <v>170510</v>
      </c>
      <c r="D875">
        <v>2019</v>
      </c>
      <c r="E875" t="s">
        <v>79</v>
      </c>
      <c r="F875" t="s">
        <v>387</v>
      </c>
      <c r="G875" t="s">
        <v>896</v>
      </c>
      <c r="H875" t="s">
        <v>388</v>
      </c>
      <c r="I875">
        <v>8</v>
      </c>
      <c r="J875" t="s">
        <v>43</v>
      </c>
      <c r="K875">
        <v>4</v>
      </c>
      <c r="L875" t="s">
        <v>44</v>
      </c>
      <c r="M875">
        <v>6</v>
      </c>
      <c r="N875" t="s">
        <v>62</v>
      </c>
      <c r="O875" t="s">
        <v>46</v>
      </c>
      <c r="Q875" t="s">
        <v>75</v>
      </c>
      <c r="R875" t="s">
        <v>76</v>
      </c>
      <c r="U875" t="s">
        <v>50</v>
      </c>
      <c r="W875" t="s">
        <v>1179</v>
      </c>
      <c r="X875" t="s">
        <v>390</v>
      </c>
      <c r="Y875" t="s">
        <v>67</v>
      </c>
      <c r="AA875">
        <v>0</v>
      </c>
      <c r="AB875" t="s">
        <v>54</v>
      </c>
      <c r="AC875" t="s">
        <v>78</v>
      </c>
      <c r="AD875">
        <v>34</v>
      </c>
      <c r="AE875">
        <v>8</v>
      </c>
      <c r="AF875">
        <v>3</v>
      </c>
      <c r="AG875">
        <v>2025</v>
      </c>
      <c r="AH875" s="13">
        <v>11000</v>
      </c>
      <c r="AI875" s="13">
        <v>14629.6748046875</v>
      </c>
      <c r="AJ875" s="13">
        <f t="shared" si="104"/>
        <v>3629.6748046875</v>
      </c>
      <c r="AK875" s="14">
        <f t="shared" si="105"/>
        <v>0.32997043678977273</v>
      </c>
      <c r="AL875" s="9">
        <v>11000</v>
      </c>
      <c r="AM875" s="9">
        <v>12582.74297207678</v>
      </c>
      <c r="AN875" s="9">
        <f t="shared" si="106"/>
        <v>1582.7429720767796</v>
      </c>
      <c r="AO875" s="10">
        <f t="shared" si="107"/>
        <v>0.14388572473425268</v>
      </c>
      <c r="AP875" s="16">
        <v>11000</v>
      </c>
      <c r="AQ875" s="16">
        <v>13456.039990782359</v>
      </c>
      <c r="AR875" s="16">
        <f t="shared" si="108"/>
        <v>2456.0399907823594</v>
      </c>
      <c r="AS875" s="17">
        <f t="shared" si="109"/>
        <v>0.2232763627983963</v>
      </c>
      <c r="AT875" s="6">
        <v>11000</v>
      </c>
      <c r="AU875" s="6">
        <v>12731.291015625</v>
      </c>
      <c r="AV875" s="6">
        <f t="shared" si="110"/>
        <v>1731.291015625</v>
      </c>
      <c r="AW875" s="7">
        <f t="shared" si="111"/>
        <v>0.15739009232954546</v>
      </c>
    </row>
    <row r="876" spans="1:49" x14ac:dyDescent="0.25">
      <c r="A876" t="s">
        <v>38</v>
      </c>
      <c r="B876" t="s">
        <v>90</v>
      </c>
      <c r="C876">
        <v>215161</v>
      </c>
      <c r="D876">
        <v>1998</v>
      </c>
      <c r="E876" t="s">
        <v>607</v>
      </c>
      <c r="F876" t="s">
        <v>1180</v>
      </c>
      <c r="H876" t="s">
        <v>1181</v>
      </c>
      <c r="I876">
        <v>6</v>
      </c>
      <c r="J876" t="s">
        <v>43</v>
      </c>
      <c r="K876">
        <v>2</v>
      </c>
      <c r="L876" t="s">
        <v>221</v>
      </c>
      <c r="M876">
        <v>3</v>
      </c>
      <c r="N876" t="s">
        <v>45</v>
      </c>
      <c r="O876" t="s">
        <v>46</v>
      </c>
      <c r="P876">
        <v>2</v>
      </c>
      <c r="Q876" t="s">
        <v>84</v>
      </c>
      <c r="R876" t="s">
        <v>157</v>
      </c>
      <c r="S876" t="s">
        <v>49</v>
      </c>
      <c r="U876" t="s">
        <v>50</v>
      </c>
      <c r="V876" t="s">
        <v>64</v>
      </c>
      <c r="X876" t="s">
        <v>87</v>
      </c>
      <c r="Y876" t="s">
        <v>97</v>
      </c>
      <c r="AA876">
        <v>0</v>
      </c>
      <c r="AB876" t="s">
        <v>54</v>
      </c>
      <c r="AC876" t="s">
        <v>159</v>
      </c>
      <c r="AD876">
        <v>34</v>
      </c>
      <c r="AE876">
        <v>8</v>
      </c>
      <c r="AF876">
        <v>3</v>
      </c>
      <c r="AG876">
        <v>2025</v>
      </c>
      <c r="AH876" s="13">
        <v>2100</v>
      </c>
      <c r="AI876" s="13">
        <v>964.42474365234375</v>
      </c>
      <c r="AJ876" s="13">
        <f t="shared" si="104"/>
        <v>1135.5752563476563</v>
      </c>
      <c r="AK876" s="14">
        <f t="shared" si="105"/>
        <v>0.54075012207031248</v>
      </c>
      <c r="AL876" s="9">
        <v>2100</v>
      </c>
      <c r="AM876" s="9">
        <v>1136.564130488913</v>
      </c>
      <c r="AN876" s="9">
        <f t="shared" si="106"/>
        <v>963.43586951108705</v>
      </c>
      <c r="AO876" s="10">
        <f t="shared" si="107"/>
        <v>0.45877898548147</v>
      </c>
      <c r="AP876" s="16">
        <v>2100</v>
      </c>
      <c r="AQ876" s="16">
        <v>585.176052825792</v>
      </c>
      <c r="AR876" s="16">
        <f t="shared" si="108"/>
        <v>1514.8239471742081</v>
      </c>
      <c r="AS876" s="17">
        <f t="shared" si="109"/>
        <v>0.72134473674962296</v>
      </c>
      <c r="AT876" s="6">
        <v>2100</v>
      </c>
      <c r="AU876" s="6">
        <v>993.1412353515625</v>
      </c>
      <c r="AV876" s="6">
        <f t="shared" si="110"/>
        <v>1106.8587646484375</v>
      </c>
      <c r="AW876" s="7">
        <f t="shared" si="111"/>
        <v>0.52707560221354166</v>
      </c>
    </row>
    <row r="877" spans="1:49" x14ac:dyDescent="0.25">
      <c r="A877" t="s">
        <v>107</v>
      </c>
      <c r="B877" t="s">
        <v>108</v>
      </c>
      <c r="C877">
        <v>33250</v>
      </c>
      <c r="D877">
        <v>2024</v>
      </c>
      <c r="E877" t="s">
        <v>98</v>
      </c>
      <c r="F877" t="s">
        <v>1182</v>
      </c>
      <c r="H877" t="s">
        <v>571</v>
      </c>
      <c r="I877">
        <v>6</v>
      </c>
      <c r="J877" t="s">
        <v>43</v>
      </c>
      <c r="K877">
        <v>3</v>
      </c>
      <c r="L877" t="s">
        <v>44</v>
      </c>
      <c r="M877">
        <v>4.3</v>
      </c>
      <c r="N877" t="s">
        <v>116</v>
      </c>
      <c r="O877" t="s">
        <v>46</v>
      </c>
      <c r="P877">
        <v>4</v>
      </c>
      <c r="Q877" t="s">
        <v>75</v>
      </c>
      <c r="R877" t="s">
        <v>422</v>
      </c>
      <c r="U877" t="s">
        <v>50</v>
      </c>
      <c r="V877" t="s">
        <v>64</v>
      </c>
      <c r="W877" t="s">
        <v>572</v>
      </c>
      <c r="X877" t="s">
        <v>423</v>
      </c>
      <c r="Y877" t="s">
        <v>67</v>
      </c>
      <c r="AA877">
        <v>0</v>
      </c>
      <c r="AB877" t="s">
        <v>54</v>
      </c>
      <c r="AC877" t="s">
        <v>424</v>
      </c>
      <c r="AD877">
        <v>34</v>
      </c>
      <c r="AE877">
        <v>8</v>
      </c>
      <c r="AF877">
        <v>3</v>
      </c>
      <c r="AG877">
        <v>2025</v>
      </c>
      <c r="AH877" s="13">
        <v>29500</v>
      </c>
      <c r="AI877" s="13">
        <v>31815.025390625</v>
      </c>
      <c r="AJ877" s="13">
        <f t="shared" si="104"/>
        <v>2315.025390625</v>
      </c>
      <c r="AK877" s="14">
        <f t="shared" si="105"/>
        <v>7.8475436970338985E-2</v>
      </c>
      <c r="AL877" s="9">
        <v>29500</v>
      </c>
      <c r="AM877" s="9">
        <v>29541.334732361571</v>
      </c>
      <c r="AN877" s="9">
        <f t="shared" si="106"/>
        <v>41.334732361570786</v>
      </c>
      <c r="AO877" s="10">
        <f t="shared" si="107"/>
        <v>1.4011773681888403E-3</v>
      </c>
      <c r="AP877" s="16">
        <v>29500</v>
      </c>
      <c r="AQ877" s="16">
        <v>32079.717038033439</v>
      </c>
      <c r="AR877" s="16">
        <f t="shared" si="108"/>
        <v>2579.7170380334392</v>
      </c>
      <c r="AS877" s="17">
        <f t="shared" si="109"/>
        <v>8.7448035187574213E-2</v>
      </c>
      <c r="AT877" s="6">
        <v>29500</v>
      </c>
      <c r="AU877" s="6">
        <v>28887.400390625</v>
      </c>
      <c r="AV877" s="6">
        <f t="shared" si="110"/>
        <v>612.599609375</v>
      </c>
      <c r="AW877" s="7">
        <f t="shared" si="111"/>
        <v>2.0766088453389831E-2</v>
      </c>
    </row>
    <row r="878" spans="1:49" x14ac:dyDescent="0.25">
      <c r="A878" t="s">
        <v>56</v>
      </c>
      <c r="B878" t="s">
        <v>303</v>
      </c>
      <c r="C878">
        <v>184996</v>
      </c>
      <c r="D878">
        <v>2018</v>
      </c>
      <c r="E878" t="s">
        <v>58</v>
      </c>
      <c r="F878" t="s">
        <v>168</v>
      </c>
      <c r="I878">
        <v>6</v>
      </c>
      <c r="J878" t="s">
        <v>43</v>
      </c>
      <c r="K878">
        <v>4</v>
      </c>
      <c r="L878" t="s">
        <v>44</v>
      </c>
      <c r="M878">
        <v>2.7</v>
      </c>
      <c r="N878" t="s">
        <v>62</v>
      </c>
      <c r="Q878" t="s">
        <v>75</v>
      </c>
      <c r="R878" t="s">
        <v>76</v>
      </c>
      <c r="S878" t="s">
        <v>63</v>
      </c>
      <c r="T878">
        <v>325</v>
      </c>
      <c r="U878" t="s">
        <v>50</v>
      </c>
      <c r="V878" t="s">
        <v>64</v>
      </c>
      <c r="W878" t="s">
        <v>1048</v>
      </c>
      <c r="X878" t="s">
        <v>66</v>
      </c>
      <c r="Y878" t="s">
        <v>67</v>
      </c>
      <c r="AA878">
        <v>0</v>
      </c>
      <c r="AB878" t="s">
        <v>54</v>
      </c>
      <c r="AC878" t="s">
        <v>78</v>
      </c>
      <c r="AD878">
        <v>34</v>
      </c>
      <c r="AE878">
        <v>8</v>
      </c>
      <c r="AF878">
        <v>3</v>
      </c>
      <c r="AG878">
        <v>2025</v>
      </c>
      <c r="AH878" s="13">
        <v>9400</v>
      </c>
      <c r="AI878" s="13">
        <v>9939.7822265625</v>
      </c>
      <c r="AJ878" s="13">
        <f t="shared" si="104"/>
        <v>539.7822265625</v>
      </c>
      <c r="AK878" s="14">
        <f t="shared" si="105"/>
        <v>5.742364112367021E-2</v>
      </c>
      <c r="AL878" s="9">
        <v>9400</v>
      </c>
      <c r="AM878" s="9">
        <v>9698.1261651513578</v>
      </c>
      <c r="AN878" s="9">
        <f t="shared" si="106"/>
        <v>298.12616515135778</v>
      </c>
      <c r="AO878" s="10">
        <f t="shared" si="107"/>
        <v>3.1715549484186999E-2</v>
      </c>
      <c r="AP878" s="16">
        <v>9400</v>
      </c>
      <c r="AQ878" s="16">
        <v>9197.8098056713734</v>
      </c>
      <c r="AR878" s="16">
        <f t="shared" si="108"/>
        <v>202.1901943286266</v>
      </c>
      <c r="AS878" s="17">
        <f t="shared" si="109"/>
        <v>2.1509595141343256E-2</v>
      </c>
      <c r="AT878" s="6">
        <v>9400</v>
      </c>
      <c r="AU878" s="6">
        <v>9650.0390625</v>
      </c>
      <c r="AV878" s="6">
        <f t="shared" si="110"/>
        <v>250.0390625</v>
      </c>
      <c r="AW878" s="7">
        <f t="shared" si="111"/>
        <v>2.6599900265957446E-2</v>
      </c>
    </row>
    <row r="879" spans="1:49" x14ac:dyDescent="0.25">
      <c r="A879" t="s">
        <v>38</v>
      </c>
      <c r="B879" t="s">
        <v>267</v>
      </c>
      <c r="C879">
        <v>160579</v>
      </c>
      <c r="D879">
        <v>2012</v>
      </c>
      <c r="E879" t="s">
        <v>136</v>
      </c>
      <c r="F879" t="s">
        <v>211</v>
      </c>
      <c r="G879" t="s">
        <v>268</v>
      </c>
      <c r="I879">
        <v>5</v>
      </c>
      <c r="J879" t="s">
        <v>43</v>
      </c>
      <c r="K879">
        <v>4</v>
      </c>
      <c r="L879" t="s">
        <v>44</v>
      </c>
      <c r="M879">
        <v>2.5</v>
      </c>
      <c r="N879" t="s">
        <v>45</v>
      </c>
      <c r="O879" t="s">
        <v>46</v>
      </c>
      <c r="Q879" t="s">
        <v>84</v>
      </c>
      <c r="R879" t="s">
        <v>85</v>
      </c>
      <c r="T879">
        <v>170</v>
      </c>
      <c r="U879" t="s">
        <v>50</v>
      </c>
      <c r="X879" t="s">
        <v>87</v>
      </c>
      <c r="Y879" t="s">
        <v>106</v>
      </c>
      <c r="AA879">
        <v>0</v>
      </c>
      <c r="AB879" t="s">
        <v>54</v>
      </c>
      <c r="AC879" t="s">
        <v>89</v>
      </c>
      <c r="AD879">
        <v>34</v>
      </c>
      <c r="AE879">
        <v>8</v>
      </c>
      <c r="AF879">
        <v>3</v>
      </c>
      <c r="AG879">
        <v>2025</v>
      </c>
      <c r="AH879" s="13">
        <v>1500</v>
      </c>
      <c r="AI879" s="13">
        <v>1259.14892578125</v>
      </c>
      <c r="AJ879" s="13">
        <f t="shared" si="104"/>
        <v>240.85107421875</v>
      </c>
      <c r="AK879" s="14">
        <f t="shared" si="105"/>
        <v>0.16056738281249999</v>
      </c>
      <c r="AL879" s="9">
        <v>1500</v>
      </c>
      <c r="AM879" s="9">
        <v>1063.179349920508</v>
      </c>
      <c r="AN879" s="9">
        <f t="shared" si="106"/>
        <v>436.820650079492</v>
      </c>
      <c r="AO879" s="10">
        <f t="shared" si="107"/>
        <v>0.29121376671966132</v>
      </c>
      <c r="AP879" s="16">
        <v>1500</v>
      </c>
      <c r="AQ879" s="16">
        <v>1114.40480665727</v>
      </c>
      <c r="AR879" s="16">
        <f t="shared" si="108"/>
        <v>385.59519334273</v>
      </c>
      <c r="AS879" s="17">
        <f t="shared" si="109"/>
        <v>0.25706346222848664</v>
      </c>
      <c r="AT879" s="6">
        <v>1500</v>
      </c>
      <c r="AU879" s="6">
        <v>1095.781127929688</v>
      </c>
      <c r="AV879" s="6">
        <f t="shared" si="110"/>
        <v>404.21887207031205</v>
      </c>
      <c r="AW879" s="7">
        <f t="shared" si="111"/>
        <v>0.26947924804687468</v>
      </c>
    </row>
    <row r="880" spans="1:49" x14ac:dyDescent="0.25">
      <c r="A880" t="s">
        <v>69</v>
      </c>
      <c r="B880" t="s">
        <v>128</v>
      </c>
      <c r="C880">
        <v>142991</v>
      </c>
      <c r="D880">
        <v>2013</v>
      </c>
      <c r="E880" t="s">
        <v>71</v>
      </c>
      <c r="F880" t="s">
        <v>199</v>
      </c>
      <c r="I880">
        <v>4</v>
      </c>
      <c r="J880" t="s">
        <v>94</v>
      </c>
      <c r="K880">
        <v>4</v>
      </c>
      <c r="L880" t="s">
        <v>44</v>
      </c>
      <c r="M880">
        <v>2.5</v>
      </c>
      <c r="N880" t="s">
        <v>45</v>
      </c>
      <c r="Q880" t="s">
        <v>47</v>
      </c>
      <c r="R880" t="s">
        <v>207</v>
      </c>
      <c r="S880" t="s">
        <v>49</v>
      </c>
      <c r="U880" t="s">
        <v>50</v>
      </c>
      <c r="X880" t="s">
        <v>52</v>
      </c>
      <c r="Y880" t="s">
        <v>97</v>
      </c>
      <c r="AA880">
        <v>0</v>
      </c>
      <c r="AB880" t="s">
        <v>54</v>
      </c>
      <c r="AC880" t="s">
        <v>55</v>
      </c>
      <c r="AD880">
        <v>34</v>
      </c>
      <c r="AE880">
        <v>8</v>
      </c>
      <c r="AF880">
        <v>3</v>
      </c>
      <c r="AG880">
        <v>2025</v>
      </c>
      <c r="AH880" s="13">
        <v>2400</v>
      </c>
      <c r="AI880" s="13">
        <v>1836.534545898438</v>
      </c>
      <c r="AJ880" s="13">
        <f t="shared" si="104"/>
        <v>563.46545410156205</v>
      </c>
      <c r="AK880" s="14">
        <f t="shared" si="105"/>
        <v>0.23477727254231751</v>
      </c>
      <c r="AL880" s="9">
        <v>2400</v>
      </c>
      <c r="AM880" s="9">
        <v>2052.8246909680311</v>
      </c>
      <c r="AN880" s="9">
        <f t="shared" si="106"/>
        <v>347.17530903196894</v>
      </c>
      <c r="AO880" s="10">
        <f t="shared" si="107"/>
        <v>0.14465637876332038</v>
      </c>
      <c r="AP880" s="16">
        <v>2400</v>
      </c>
      <c r="AQ880" s="16">
        <v>1700.174035074913</v>
      </c>
      <c r="AR880" s="16">
        <f t="shared" si="108"/>
        <v>699.82596492508696</v>
      </c>
      <c r="AS880" s="17">
        <f t="shared" si="109"/>
        <v>0.29159415205211958</v>
      </c>
      <c r="AT880" s="6">
        <v>2400</v>
      </c>
      <c r="AU880" s="6">
        <v>1596.989501953125</v>
      </c>
      <c r="AV880" s="6">
        <f t="shared" si="110"/>
        <v>803.010498046875</v>
      </c>
      <c r="AW880" s="7">
        <f t="shared" si="111"/>
        <v>0.33458770751953126</v>
      </c>
    </row>
    <row r="881" spans="1:49" x14ac:dyDescent="0.25">
      <c r="A881" t="s">
        <v>56</v>
      </c>
      <c r="B881" t="s">
        <v>431</v>
      </c>
      <c r="C881">
        <v>23670</v>
      </c>
      <c r="D881">
        <v>2020</v>
      </c>
      <c r="E881" t="s">
        <v>217</v>
      </c>
      <c r="F881" t="s">
        <v>162</v>
      </c>
      <c r="G881" t="s">
        <v>1183</v>
      </c>
      <c r="H881" t="s">
        <v>460</v>
      </c>
      <c r="I881">
        <v>8</v>
      </c>
      <c r="J881" t="s">
        <v>101</v>
      </c>
      <c r="K881">
        <v>4</v>
      </c>
      <c r="L881" t="s">
        <v>44</v>
      </c>
      <c r="M881">
        <v>5.7</v>
      </c>
      <c r="N881" t="s">
        <v>62</v>
      </c>
      <c r="Q881" t="s">
        <v>75</v>
      </c>
      <c r="R881" t="s">
        <v>76</v>
      </c>
      <c r="S881" t="s">
        <v>63</v>
      </c>
      <c r="T881">
        <v>395</v>
      </c>
      <c r="U881" t="s">
        <v>50</v>
      </c>
      <c r="V881" t="s">
        <v>64</v>
      </c>
      <c r="X881" t="s">
        <v>77</v>
      </c>
      <c r="Y881" t="s">
        <v>67</v>
      </c>
      <c r="AA881">
        <v>0</v>
      </c>
      <c r="AB881" t="s">
        <v>54</v>
      </c>
      <c r="AC881" t="s">
        <v>78</v>
      </c>
      <c r="AD881">
        <v>34</v>
      </c>
      <c r="AE881">
        <v>8</v>
      </c>
      <c r="AF881">
        <v>3</v>
      </c>
      <c r="AG881">
        <v>2025</v>
      </c>
      <c r="AH881" s="13">
        <v>26500</v>
      </c>
      <c r="AI881" s="13">
        <v>30316.341796875</v>
      </c>
      <c r="AJ881" s="13">
        <f t="shared" si="104"/>
        <v>3816.341796875</v>
      </c>
      <c r="AK881" s="14">
        <f t="shared" si="105"/>
        <v>0.14401289799528302</v>
      </c>
      <c r="AL881" s="9">
        <v>26500</v>
      </c>
      <c r="AM881" s="9">
        <v>33908.406651564786</v>
      </c>
      <c r="AN881" s="9">
        <f t="shared" si="106"/>
        <v>7408.4066515647864</v>
      </c>
      <c r="AO881" s="10">
        <f t="shared" si="107"/>
        <v>0.27956251515338815</v>
      </c>
      <c r="AP881" s="16">
        <v>26500</v>
      </c>
      <c r="AQ881" s="16">
        <v>31626.30312752743</v>
      </c>
      <c r="AR881" s="16">
        <f t="shared" si="108"/>
        <v>5126.3031275274298</v>
      </c>
      <c r="AS881" s="17">
        <f t="shared" si="109"/>
        <v>0.19344540103877095</v>
      </c>
      <c r="AT881" s="6">
        <v>26500</v>
      </c>
      <c r="AU881" s="6">
        <v>32471.791015625</v>
      </c>
      <c r="AV881" s="6">
        <f t="shared" si="110"/>
        <v>5971.791015625</v>
      </c>
      <c r="AW881" s="7">
        <f t="shared" si="111"/>
        <v>0.22535060436320756</v>
      </c>
    </row>
    <row r="882" spans="1:49" x14ac:dyDescent="0.25">
      <c r="A882" t="s">
        <v>38</v>
      </c>
      <c r="B882" t="s">
        <v>132</v>
      </c>
      <c r="C882">
        <v>46170</v>
      </c>
      <c r="D882">
        <v>2024</v>
      </c>
      <c r="E882" t="s">
        <v>98</v>
      </c>
      <c r="F882" t="s">
        <v>109</v>
      </c>
      <c r="G882" t="s">
        <v>218</v>
      </c>
      <c r="I882">
        <v>4</v>
      </c>
      <c r="J882" t="s">
        <v>43</v>
      </c>
      <c r="K882">
        <v>4</v>
      </c>
      <c r="L882" t="s">
        <v>44</v>
      </c>
      <c r="M882">
        <v>1.5</v>
      </c>
      <c r="N882" t="s">
        <v>44</v>
      </c>
      <c r="O882" t="s">
        <v>46</v>
      </c>
      <c r="P882">
        <v>4</v>
      </c>
      <c r="Q882" t="s">
        <v>47</v>
      </c>
      <c r="R882" t="s">
        <v>48</v>
      </c>
      <c r="S882" t="s">
        <v>139</v>
      </c>
      <c r="U882" t="s">
        <v>50</v>
      </c>
      <c r="V882" t="s">
        <v>95</v>
      </c>
      <c r="W882" t="s">
        <v>561</v>
      </c>
      <c r="X882" t="s">
        <v>52</v>
      </c>
      <c r="Y882" t="s">
        <v>106</v>
      </c>
      <c r="AA882">
        <v>0</v>
      </c>
      <c r="AB882" t="s">
        <v>54</v>
      </c>
      <c r="AC882" t="s">
        <v>55</v>
      </c>
      <c r="AD882">
        <v>34</v>
      </c>
      <c r="AE882">
        <v>8</v>
      </c>
      <c r="AF882">
        <v>3</v>
      </c>
      <c r="AG882">
        <v>2025</v>
      </c>
      <c r="AH882" s="13">
        <v>21600</v>
      </c>
      <c r="AI882" s="13">
        <v>22511.1953125</v>
      </c>
      <c r="AJ882" s="13">
        <f t="shared" si="104"/>
        <v>911.1953125</v>
      </c>
      <c r="AK882" s="14">
        <f t="shared" si="105"/>
        <v>4.2184968171296293E-2</v>
      </c>
      <c r="AL882" s="9">
        <v>21600</v>
      </c>
      <c r="AM882" s="9">
        <v>24670.023210919619</v>
      </c>
      <c r="AN882" s="9">
        <f t="shared" si="106"/>
        <v>3070.0232109196186</v>
      </c>
      <c r="AO882" s="10">
        <f t="shared" si="107"/>
        <v>0.14213070420924159</v>
      </c>
      <c r="AP882" s="16">
        <v>21600</v>
      </c>
      <c r="AQ882" s="16">
        <v>24009.70204315531</v>
      </c>
      <c r="AR882" s="16">
        <f t="shared" si="108"/>
        <v>2409.7020431553101</v>
      </c>
      <c r="AS882" s="17">
        <f t="shared" si="109"/>
        <v>0.1115602797757088</v>
      </c>
      <c r="AT882" s="6">
        <v>21600</v>
      </c>
      <c r="AU882" s="6">
        <v>23371.060546875</v>
      </c>
      <c r="AV882" s="6">
        <f t="shared" si="110"/>
        <v>1771.060546875</v>
      </c>
      <c r="AW882" s="7">
        <f t="shared" si="111"/>
        <v>8.1993543836805557E-2</v>
      </c>
    </row>
    <row r="883" spans="1:49" x14ac:dyDescent="0.25">
      <c r="A883" t="s">
        <v>107</v>
      </c>
      <c r="B883" t="s">
        <v>614</v>
      </c>
      <c r="C883">
        <v>61337</v>
      </c>
      <c r="D883">
        <v>2023</v>
      </c>
      <c r="E883" t="s">
        <v>173</v>
      </c>
      <c r="F883" t="s">
        <v>1184</v>
      </c>
      <c r="H883" t="s">
        <v>1185</v>
      </c>
      <c r="I883">
        <v>6</v>
      </c>
      <c r="J883" t="s">
        <v>82</v>
      </c>
      <c r="K883">
        <v>4</v>
      </c>
      <c r="L883" t="s">
        <v>44</v>
      </c>
      <c r="M883">
        <v>3</v>
      </c>
      <c r="N883" t="s">
        <v>62</v>
      </c>
      <c r="O883" t="s">
        <v>46</v>
      </c>
      <c r="P883">
        <v>5</v>
      </c>
      <c r="Q883" t="s">
        <v>47</v>
      </c>
      <c r="R883" t="s">
        <v>48</v>
      </c>
      <c r="S883" t="s">
        <v>63</v>
      </c>
      <c r="T883">
        <v>420</v>
      </c>
      <c r="U883" t="s">
        <v>50</v>
      </c>
      <c r="V883" t="s">
        <v>95</v>
      </c>
      <c r="X883" t="s">
        <v>77</v>
      </c>
      <c r="Y883" t="s">
        <v>67</v>
      </c>
      <c r="AA883">
        <v>0</v>
      </c>
      <c r="AB883" t="s">
        <v>54</v>
      </c>
      <c r="AC883" t="s">
        <v>55</v>
      </c>
      <c r="AD883">
        <v>34</v>
      </c>
      <c r="AE883">
        <v>8</v>
      </c>
      <c r="AF883">
        <v>3</v>
      </c>
      <c r="AG883">
        <v>2025</v>
      </c>
      <c r="AH883" s="13">
        <v>41800</v>
      </c>
      <c r="AI883" s="13">
        <v>38148.9296875</v>
      </c>
      <c r="AJ883" s="13">
        <f t="shared" si="104"/>
        <v>3651.0703125</v>
      </c>
      <c r="AK883" s="14">
        <f t="shared" si="105"/>
        <v>8.7346179724880388E-2</v>
      </c>
      <c r="AL883" s="9">
        <v>41800</v>
      </c>
      <c r="AM883" s="9">
        <v>48999.274301350968</v>
      </c>
      <c r="AN883" s="9">
        <f t="shared" si="106"/>
        <v>7199.274301350968</v>
      </c>
      <c r="AO883" s="10">
        <f t="shared" si="107"/>
        <v>0.17223144261605186</v>
      </c>
      <c r="AP883" s="16">
        <v>41800</v>
      </c>
      <c r="AQ883" s="16">
        <v>44638.733165973987</v>
      </c>
      <c r="AR883" s="16">
        <f t="shared" si="108"/>
        <v>2838.7331659739866</v>
      </c>
      <c r="AS883" s="17">
        <f t="shared" si="109"/>
        <v>6.7912276697942267E-2</v>
      </c>
      <c r="AT883" s="6">
        <v>41800</v>
      </c>
      <c r="AU883" s="6">
        <v>44701.796875</v>
      </c>
      <c r="AV883" s="6">
        <f t="shared" si="110"/>
        <v>2901.796875</v>
      </c>
      <c r="AW883" s="7">
        <f t="shared" si="111"/>
        <v>6.9420977870813402E-2</v>
      </c>
    </row>
    <row r="884" spans="1:49" x14ac:dyDescent="0.25">
      <c r="A884" t="s">
        <v>56</v>
      </c>
      <c r="B884" t="s">
        <v>196</v>
      </c>
      <c r="C884">
        <v>118576</v>
      </c>
      <c r="D884">
        <v>2018</v>
      </c>
      <c r="E884" t="s">
        <v>58</v>
      </c>
      <c r="F884" t="s">
        <v>258</v>
      </c>
      <c r="H884" t="s">
        <v>268</v>
      </c>
      <c r="I884">
        <v>4</v>
      </c>
      <c r="J884" t="s">
        <v>94</v>
      </c>
      <c r="K884">
        <v>4</v>
      </c>
      <c r="L884" t="s">
        <v>44</v>
      </c>
      <c r="M884">
        <v>1.5</v>
      </c>
      <c r="N884" t="s">
        <v>45</v>
      </c>
      <c r="O884" t="s">
        <v>46</v>
      </c>
      <c r="Q884" t="s">
        <v>47</v>
      </c>
      <c r="R884" t="s">
        <v>48</v>
      </c>
      <c r="S884" t="s">
        <v>49</v>
      </c>
      <c r="T884">
        <v>170</v>
      </c>
      <c r="U884" t="s">
        <v>50</v>
      </c>
      <c r="V884" t="s">
        <v>95</v>
      </c>
      <c r="W884" t="s">
        <v>688</v>
      </c>
      <c r="X884" t="s">
        <v>52</v>
      </c>
      <c r="Y884" t="s">
        <v>67</v>
      </c>
      <c r="Z884">
        <v>25700</v>
      </c>
      <c r="AA884">
        <v>0</v>
      </c>
      <c r="AB884" t="s">
        <v>54</v>
      </c>
      <c r="AC884" t="s">
        <v>55</v>
      </c>
      <c r="AD884">
        <v>34</v>
      </c>
      <c r="AE884">
        <v>8</v>
      </c>
      <c r="AF884">
        <v>3</v>
      </c>
      <c r="AG884">
        <v>2025</v>
      </c>
      <c r="AH884" s="13">
        <v>3800</v>
      </c>
      <c r="AI884" s="13">
        <v>4408.87890625</v>
      </c>
      <c r="AJ884" s="13">
        <f t="shared" si="104"/>
        <v>608.87890625</v>
      </c>
      <c r="AK884" s="14">
        <f t="shared" si="105"/>
        <v>0.16023129111842105</v>
      </c>
      <c r="AL884" s="9">
        <v>3800</v>
      </c>
      <c r="AM884" s="9">
        <v>4848.6784988381587</v>
      </c>
      <c r="AN884" s="9">
        <f t="shared" si="106"/>
        <v>1048.6784988381587</v>
      </c>
      <c r="AO884" s="10">
        <f t="shared" si="107"/>
        <v>0.27596802601004178</v>
      </c>
      <c r="AP884" s="16">
        <v>3800</v>
      </c>
      <c r="AQ884" s="16">
        <v>4091.40782168536</v>
      </c>
      <c r="AR884" s="16">
        <f t="shared" si="108"/>
        <v>291.40782168535998</v>
      </c>
      <c r="AS884" s="17">
        <f t="shared" si="109"/>
        <v>7.6686268864568419E-2</v>
      </c>
      <c r="AT884" s="6">
        <v>3800</v>
      </c>
      <c r="AU884" s="6">
        <v>4601.38525390625</v>
      </c>
      <c r="AV884" s="6">
        <f t="shared" si="110"/>
        <v>801.38525390625</v>
      </c>
      <c r="AW884" s="7">
        <f t="shared" si="111"/>
        <v>0.21089085629111842</v>
      </c>
    </row>
    <row r="885" spans="1:49" x14ac:dyDescent="0.25">
      <c r="A885" t="s">
        <v>56</v>
      </c>
      <c r="B885" t="s">
        <v>303</v>
      </c>
      <c r="C885">
        <v>140681</v>
      </c>
      <c r="D885">
        <v>2016</v>
      </c>
      <c r="E885" t="s">
        <v>71</v>
      </c>
      <c r="F885" t="s">
        <v>199</v>
      </c>
      <c r="I885">
        <v>4</v>
      </c>
      <c r="J885" t="s">
        <v>94</v>
      </c>
      <c r="K885">
        <v>4</v>
      </c>
      <c r="L885" t="s">
        <v>44</v>
      </c>
      <c r="M885">
        <v>2.5</v>
      </c>
      <c r="N885" t="s">
        <v>44</v>
      </c>
      <c r="Q885" t="s">
        <v>47</v>
      </c>
      <c r="R885" t="s">
        <v>207</v>
      </c>
      <c r="S885" t="s">
        <v>63</v>
      </c>
      <c r="U885" t="s">
        <v>50</v>
      </c>
      <c r="X885" t="s">
        <v>52</v>
      </c>
      <c r="Y885" t="s">
        <v>67</v>
      </c>
      <c r="AA885">
        <v>0</v>
      </c>
      <c r="AB885" t="s">
        <v>54</v>
      </c>
      <c r="AC885" t="s">
        <v>55</v>
      </c>
      <c r="AD885">
        <v>34</v>
      </c>
      <c r="AE885">
        <v>8</v>
      </c>
      <c r="AF885">
        <v>3</v>
      </c>
      <c r="AG885">
        <v>2025</v>
      </c>
      <c r="AH885" s="13">
        <v>3300</v>
      </c>
      <c r="AI885" s="13">
        <v>3261.447021484375</v>
      </c>
      <c r="AJ885" s="13">
        <f t="shared" si="104"/>
        <v>38.552978515625</v>
      </c>
      <c r="AK885" s="14">
        <f t="shared" si="105"/>
        <v>1.1682720762310606E-2</v>
      </c>
      <c r="AL885" s="9">
        <v>3300</v>
      </c>
      <c r="AM885" s="9">
        <v>3076.6355385601032</v>
      </c>
      <c r="AN885" s="9">
        <f t="shared" si="106"/>
        <v>223.36446143989679</v>
      </c>
      <c r="AO885" s="10">
        <f t="shared" si="107"/>
        <v>6.7686200436332361E-2</v>
      </c>
      <c r="AP885" s="16">
        <v>3300</v>
      </c>
      <c r="AQ885" s="16">
        <v>3169.9775256172229</v>
      </c>
      <c r="AR885" s="16">
        <f t="shared" si="108"/>
        <v>130.02247438277709</v>
      </c>
      <c r="AS885" s="17">
        <f t="shared" si="109"/>
        <v>3.9400749812962751E-2</v>
      </c>
      <c r="AT885" s="6">
        <v>3300</v>
      </c>
      <c r="AU885" s="6">
        <v>2995.208984375</v>
      </c>
      <c r="AV885" s="6">
        <f t="shared" si="110"/>
        <v>304.791015625</v>
      </c>
      <c r="AW885" s="7">
        <f t="shared" si="111"/>
        <v>9.2360913825757576E-2</v>
      </c>
    </row>
    <row r="886" spans="1:49" x14ac:dyDescent="0.25">
      <c r="A886" t="s">
        <v>56</v>
      </c>
      <c r="B886" t="s">
        <v>57</v>
      </c>
      <c r="C886">
        <v>134768</v>
      </c>
      <c r="D886">
        <v>2015</v>
      </c>
      <c r="E886" t="s">
        <v>173</v>
      </c>
      <c r="F886" t="s">
        <v>631</v>
      </c>
      <c r="G886" t="s">
        <v>915</v>
      </c>
      <c r="I886">
        <v>4</v>
      </c>
      <c r="J886" t="s">
        <v>101</v>
      </c>
      <c r="K886">
        <v>4</v>
      </c>
      <c r="L886" t="s">
        <v>44</v>
      </c>
      <c r="M886">
        <v>2.4</v>
      </c>
      <c r="N886" t="s">
        <v>62</v>
      </c>
      <c r="O886" t="s">
        <v>46</v>
      </c>
      <c r="P886">
        <v>3</v>
      </c>
      <c r="Q886" t="s">
        <v>47</v>
      </c>
      <c r="R886" t="s">
        <v>48</v>
      </c>
      <c r="S886" t="s">
        <v>63</v>
      </c>
      <c r="U886" t="s">
        <v>50</v>
      </c>
      <c r="X886" t="s">
        <v>52</v>
      </c>
      <c r="Y886" t="s">
        <v>67</v>
      </c>
      <c r="AA886">
        <v>0</v>
      </c>
      <c r="AB886" t="s">
        <v>54</v>
      </c>
      <c r="AC886" t="s">
        <v>55</v>
      </c>
      <c r="AD886">
        <v>34</v>
      </c>
      <c r="AE886">
        <v>8</v>
      </c>
      <c r="AF886">
        <v>3</v>
      </c>
      <c r="AG886">
        <v>2025</v>
      </c>
      <c r="AH886" s="13">
        <v>2000</v>
      </c>
      <c r="AI886" s="13">
        <v>2291.88134765625</v>
      </c>
      <c r="AJ886" s="13">
        <f t="shared" si="104"/>
        <v>291.88134765625</v>
      </c>
      <c r="AK886" s="14">
        <f t="shared" si="105"/>
        <v>0.14594067382812501</v>
      </c>
      <c r="AL886" s="9">
        <v>2000</v>
      </c>
      <c r="AM886" s="9">
        <v>2806.7815969271951</v>
      </c>
      <c r="AN886" s="9">
        <f t="shared" si="106"/>
        <v>806.7815969271951</v>
      </c>
      <c r="AO886" s="10">
        <f t="shared" si="107"/>
        <v>0.40339079846359754</v>
      </c>
      <c r="AP886" s="16">
        <v>2000</v>
      </c>
      <c r="AQ886" s="16">
        <v>2240.450725146663</v>
      </c>
      <c r="AR886" s="16">
        <f t="shared" si="108"/>
        <v>240.45072514666299</v>
      </c>
      <c r="AS886" s="17">
        <f t="shared" si="109"/>
        <v>0.1202253625733315</v>
      </c>
      <c r="AT886" s="6">
        <v>2000</v>
      </c>
      <c r="AU886" s="6">
        <v>2445.141357421875</v>
      </c>
      <c r="AV886" s="6">
        <f t="shared" si="110"/>
        <v>445.141357421875</v>
      </c>
      <c r="AW886" s="7">
        <f t="shared" si="111"/>
        <v>0.2225706787109375</v>
      </c>
    </row>
    <row r="887" spans="1:49" x14ac:dyDescent="0.25">
      <c r="A887" t="s">
        <v>69</v>
      </c>
      <c r="B887" t="s">
        <v>160</v>
      </c>
      <c r="C887">
        <v>150669</v>
      </c>
      <c r="D887">
        <v>2013</v>
      </c>
      <c r="E887" t="s">
        <v>79</v>
      </c>
      <c r="F887" t="s">
        <v>272</v>
      </c>
      <c r="G887" t="s">
        <v>698</v>
      </c>
      <c r="H887" t="s">
        <v>162</v>
      </c>
      <c r="I887">
        <v>8</v>
      </c>
      <c r="J887" t="s">
        <v>177</v>
      </c>
      <c r="K887">
        <v>4</v>
      </c>
      <c r="L887" t="s">
        <v>44</v>
      </c>
      <c r="M887">
        <v>5.3</v>
      </c>
      <c r="N887" t="s">
        <v>116</v>
      </c>
      <c r="O887" t="s">
        <v>323</v>
      </c>
      <c r="P887">
        <v>2</v>
      </c>
      <c r="Q887" t="s">
        <v>75</v>
      </c>
      <c r="R887" t="s">
        <v>76</v>
      </c>
      <c r="S887" t="s">
        <v>49</v>
      </c>
      <c r="U887" t="s">
        <v>134</v>
      </c>
      <c r="V887" t="s">
        <v>64</v>
      </c>
      <c r="W887" t="s">
        <v>1186</v>
      </c>
      <c r="X887" t="s">
        <v>66</v>
      </c>
      <c r="Y887" t="s">
        <v>106</v>
      </c>
      <c r="AA887">
        <v>0</v>
      </c>
      <c r="AB887" t="s">
        <v>54</v>
      </c>
      <c r="AC887" t="s">
        <v>78</v>
      </c>
      <c r="AD887">
        <v>34</v>
      </c>
      <c r="AE887">
        <v>8</v>
      </c>
      <c r="AF887">
        <v>3</v>
      </c>
      <c r="AG887">
        <v>2025</v>
      </c>
      <c r="AH887" s="13">
        <v>5200</v>
      </c>
      <c r="AI887" s="13">
        <v>2972.12060546875</v>
      </c>
      <c r="AJ887" s="13">
        <f t="shared" si="104"/>
        <v>2227.87939453125</v>
      </c>
      <c r="AK887" s="14">
        <f t="shared" si="105"/>
        <v>0.42843834510216344</v>
      </c>
      <c r="AL887" s="9">
        <v>5200</v>
      </c>
      <c r="AM887" s="9">
        <v>3650.1323497758108</v>
      </c>
      <c r="AN887" s="9">
        <f t="shared" si="106"/>
        <v>1549.8676502241892</v>
      </c>
      <c r="AO887" s="10">
        <f t="shared" si="107"/>
        <v>0.29805147119695946</v>
      </c>
      <c r="AP887" s="16">
        <v>5200</v>
      </c>
      <c r="AQ887" s="16">
        <v>2889.5668466280049</v>
      </c>
      <c r="AR887" s="16">
        <f t="shared" si="108"/>
        <v>2310.4331533719951</v>
      </c>
      <c r="AS887" s="17">
        <f t="shared" si="109"/>
        <v>0.44431406795615291</v>
      </c>
      <c r="AT887" s="6">
        <v>5200</v>
      </c>
      <c r="AU887" s="6">
        <v>3246.21240234375</v>
      </c>
      <c r="AV887" s="6">
        <f t="shared" si="110"/>
        <v>1953.78759765625</v>
      </c>
      <c r="AW887" s="7">
        <f t="shared" si="111"/>
        <v>0.37572838416466348</v>
      </c>
    </row>
    <row r="888" spans="1:49" x14ac:dyDescent="0.25">
      <c r="A888" t="s">
        <v>56</v>
      </c>
      <c r="B888" t="s">
        <v>104</v>
      </c>
      <c r="C888">
        <v>157699</v>
      </c>
      <c r="D888">
        <v>2015</v>
      </c>
      <c r="E888" t="s">
        <v>58</v>
      </c>
      <c r="F888" t="s">
        <v>325</v>
      </c>
      <c r="G888" t="s">
        <v>236</v>
      </c>
      <c r="I888">
        <v>6</v>
      </c>
      <c r="J888" t="s">
        <v>82</v>
      </c>
      <c r="K888">
        <v>4</v>
      </c>
      <c r="L888" t="s">
        <v>44</v>
      </c>
      <c r="M888">
        <v>2.7</v>
      </c>
      <c r="N888" t="s">
        <v>44</v>
      </c>
      <c r="O888" t="s">
        <v>46</v>
      </c>
      <c r="P888">
        <v>4</v>
      </c>
      <c r="Q888" t="s">
        <v>47</v>
      </c>
      <c r="R888" t="s">
        <v>48</v>
      </c>
      <c r="S888" t="s">
        <v>139</v>
      </c>
      <c r="U888" t="s">
        <v>50</v>
      </c>
      <c r="V888" t="s">
        <v>64</v>
      </c>
      <c r="X888" t="s">
        <v>141</v>
      </c>
      <c r="Y888" t="s">
        <v>88</v>
      </c>
      <c r="AA888">
        <v>0</v>
      </c>
      <c r="AB888" t="s">
        <v>54</v>
      </c>
      <c r="AC888" t="s">
        <v>55</v>
      </c>
      <c r="AD888">
        <v>34</v>
      </c>
      <c r="AE888">
        <v>8</v>
      </c>
      <c r="AF888">
        <v>3</v>
      </c>
      <c r="AG888">
        <v>2025</v>
      </c>
      <c r="AH888" s="13">
        <v>5700</v>
      </c>
      <c r="AI888" s="13">
        <v>4365.23193359375</v>
      </c>
      <c r="AJ888" s="13">
        <f t="shared" si="104"/>
        <v>1334.76806640625</v>
      </c>
      <c r="AK888" s="14">
        <f t="shared" si="105"/>
        <v>0.23416983621162279</v>
      </c>
      <c r="AL888" s="9">
        <v>5700</v>
      </c>
      <c r="AM888" s="9">
        <v>4591.8270487547416</v>
      </c>
      <c r="AN888" s="9">
        <f t="shared" si="106"/>
        <v>1108.1729512452584</v>
      </c>
      <c r="AO888" s="10">
        <f t="shared" si="107"/>
        <v>0.19441630723601025</v>
      </c>
      <c r="AP888" s="16">
        <v>5700</v>
      </c>
      <c r="AQ888" s="16">
        <v>3504.9464602935068</v>
      </c>
      <c r="AR888" s="16">
        <f t="shared" si="108"/>
        <v>2195.0535397064932</v>
      </c>
      <c r="AS888" s="17">
        <f t="shared" si="109"/>
        <v>0.38509711222920934</v>
      </c>
      <c r="AT888" s="6">
        <v>5700</v>
      </c>
      <c r="AU888" s="6">
        <v>5088.50537109375</v>
      </c>
      <c r="AV888" s="6">
        <f t="shared" si="110"/>
        <v>611.49462890625</v>
      </c>
      <c r="AW888" s="7">
        <f t="shared" si="111"/>
        <v>0.10727975945723685</v>
      </c>
    </row>
    <row r="889" spans="1:49" x14ac:dyDescent="0.25">
      <c r="A889" t="s">
        <v>56</v>
      </c>
      <c r="B889" t="s">
        <v>178</v>
      </c>
      <c r="C889">
        <v>145083</v>
      </c>
      <c r="D889">
        <v>2010</v>
      </c>
      <c r="E889" t="s">
        <v>79</v>
      </c>
      <c r="F889" t="s">
        <v>585</v>
      </c>
      <c r="G889" t="s">
        <v>273</v>
      </c>
      <c r="H889" t="s">
        <v>435</v>
      </c>
      <c r="I889">
        <v>6</v>
      </c>
      <c r="J889" t="s">
        <v>74</v>
      </c>
      <c r="K889">
        <v>4</v>
      </c>
      <c r="L889" t="s">
        <v>44</v>
      </c>
      <c r="M889">
        <v>3.6</v>
      </c>
      <c r="N889" t="s">
        <v>44</v>
      </c>
      <c r="O889" t="s">
        <v>46</v>
      </c>
      <c r="P889">
        <v>4</v>
      </c>
      <c r="Q889" t="s">
        <v>47</v>
      </c>
      <c r="R889" t="s">
        <v>48</v>
      </c>
      <c r="S889" t="s">
        <v>139</v>
      </c>
      <c r="U889" t="s">
        <v>50</v>
      </c>
      <c r="V889" t="s">
        <v>64</v>
      </c>
      <c r="W889" t="s">
        <v>153</v>
      </c>
      <c r="X889" t="s">
        <v>66</v>
      </c>
      <c r="Y889" t="s">
        <v>67</v>
      </c>
      <c r="AA889">
        <v>0</v>
      </c>
      <c r="AB889" t="s">
        <v>54</v>
      </c>
      <c r="AC889" t="s">
        <v>55</v>
      </c>
      <c r="AD889">
        <v>34</v>
      </c>
      <c r="AE889">
        <v>8</v>
      </c>
      <c r="AF889">
        <v>3</v>
      </c>
      <c r="AG889">
        <v>2025</v>
      </c>
      <c r="AH889" s="13">
        <v>1000</v>
      </c>
      <c r="AI889" s="13">
        <v>2713.369140625</v>
      </c>
      <c r="AJ889" s="13">
        <f t="shared" si="104"/>
        <v>1713.369140625</v>
      </c>
      <c r="AK889" s="14">
        <f t="shared" si="105"/>
        <v>1.713369140625</v>
      </c>
      <c r="AL889" s="9">
        <v>1000</v>
      </c>
      <c r="AM889" s="9">
        <v>1872.603498802747</v>
      </c>
      <c r="AN889" s="9">
        <f t="shared" si="106"/>
        <v>872.60349880274703</v>
      </c>
      <c r="AO889" s="10">
        <f t="shared" si="107"/>
        <v>0.87260349880274701</v>
      </c>
      <c r="AP889" s="16">
        <v>1000</v>
      </c>
      <c r="AQ889" s="16">
        <v>1462.46379845251</v>
      </c>
      <c r="AR889" s="16">
        <f t="shared" si="108"/>
        <v>462.46379845250999</v>
      </c>
      <c r="AS889" s="17">
        <f t="shared" si="109"/>
        <v>0.46246379845251001</v>
      </c>
      <c r="AT889" s="6">
        <v>1000</v>
      </c>
      <c r="AU889" s="6">
        <v>1968.827880859375</v>
      </c>
      <c r="AV889" s="6">
        <f t="shared" si="110"/>
        <v>968.827880859375</v>
      </c>
      <c r="AW889" s="7">
        <f t="shared" si="111"/>
        <v>0.96882788085937499</v>
      </c>
    </row>
    <row r="890" spans="1:49" x14ac:dyDescent="0.25">
      <c r="A890" t="s">
        <v>69</v>
      </c>
      <c r="B890" t="s">
        <v>70</v>
      </c>
      <c r="C890">
        <v>180864</v>
      </c>
      <c r="D890">
        <v>2019</v>
      </c>
      <c r="E890" t="s">
        <v>79</v>
      </c>
      <c r="F890" t="s">
        <v>387</v>
      </c>
      <c r="G890" t="s">
        <v>896</v>
      </c>
      <c r="H890" t="s">
        <v>388</v>
      </c>
      <c r="I890">
        <v>8</v>
      </c>
      <c r="J890" t="s">
        <v>43</v>
      </c>
      <c r="K890">
        <v>4</v>
      </c>
      <c r="L890" t="s">
        <v>44</v>
      </c>
      <c r="M890">
        <v>6</v>
      </c>
      <c r="N890" t="s">
        <v>116</v>
      </c>
      <c r="O890" t="s">
        <v>46</v>
      </c>
      <c r="P890">
        <v>2</v>
      </c>
      <c r="Q890" t="s">
        <v>75</v>
      </c>
      <c r="R890" t="s">
        <v>76</v>
      </c>
      <c r="U890" t="s">
        <v>50</v>
      </c>
      <c r="W890" t="s">
        <v>1179</v>
      </c>
      <c r="X890" t="s">
        <v>390</v>
      </c>
      <c r="Y890" t="s">
        <v>88</v>
      </c>
      <c r="AA890">
        <v>0</v>
      </c>
      <c r="AB890" t="s">
        <v>54</v>
      </c>
      <c r="AC890" t="s">
        <v>78</v>
      </c>
      <c r="AD890">
        <v>34</v>
      </c>
      <c r="AE890">
        <v>8</v>
      </c>
      <c r="AF890">
        <v>3</v>
      </c>
      <c r="AG890">
        <v>2025</v>
      </c>
      <c r="AH890" s="13">
        <v>10500</v>
      </c>
      <c r="AI890" s="13">
        <v>10353.2021484375</v>
      </c>
      <c r="AJ890" s="13">
        <f t="shared" si="104"/>
        <v>146.7978515625</v>
      </c>
      <c r="AK890" s="14">
        <f t="shared" si="105"/>
        <v>1.3980747767857142E-2</v>
      </c>
      <c r="AL890" s="9">
        <v>10500</v>
      </c>
      <c r="AM890" s="9">
        <v>9149.3447370098347</v>
      </c>
      <c r="AN890" s="9">
        <f t="shared" si="106"/>
        <v>1350.6552629901653</v>
      </c>
      <c r="AO890" s="10">
        <f t="shared" si="107"/>
        <v>0.12863383457049193</v>
      </c>
      <c r="AP890" s="16">
        <v>10500</v>
      </c>
      <c r="AQ890" s="16">
        <v>7435.9112225132894</v>
      </c>
      <c r="AR890" s="16">
        <f t="shared" si="108"/>
        <v>3064.0887774867106</v>
      </c>
      <c r="AS890" s="17">
        <f t="shared" si="109"/>
        <v>0.29181797880825816</v>
      </c>
      <c r="AT890" s="6">
        <v>10500</v>
      </c>
      <c r="AU890" s="6">
        <v>8318.255859375</v>
      </c>
      <c r="AV890" s="6">
        <f t="shared" si="110"/>
        <v>2181.744140625</v>
      </c>
      <c r="AW890" s="7">
        <f t="shared" si="111"/>
        <v>0.20778515624999999</v>
      </c>
    </row>
    <row r="891" spans="1:49" x14ac:dyDescent="0.25">
      <c r="A891" t="s">
        <v>69</v>
      </c>
      <c r="B891" t="s">
        <v>70</v>
      </c>
      <c r="C891">
        <v>50146</v>
      </c>
      <c r="D891">
        <v>2023</v>
      </c>
      <c r="E891" t="s">
        <v>58</v>
      </c>
      <c r="F891" t="s">
        <v>880</v>
      </c>
      <c r="H891" t="s">
        <v>511</v>
      </c>
      <c r="I891">
        <v>8</v>
      </c>
      <c r="J891" t="s">
        <v>43</v>
      </c>
      <c r="K891">
        <v>4</v>
      </c>
      <c r="L891" t="s">
        <v>44</v>
      </c>
      <c r="M891">
        <v>6.7</v>
      </c>
      <c r="N891" t="s">
        <v>62</v>
      </c>
      <c r="O891" t="s">
        <v>46</v>
      </c>
      <c r="P891">
        <v>4</v>
      </c>
      <c r="Q891" t="s">
        <v>75</v>
      </c>
      <c r="R891" t="s">
        <v>76</v>
      </c>
      <c r="S891" t="s">
        <v>63</v>
      </c>
      <c r="U891" t="s">
        <v>300</v>
      </c>
      <c r="V891" t="s">
        <v>64</v>
      </c>
      <c r="X891" t="s">
        <v>301</v>
      </c>
      <c r="Y891" t="s">
        <v>67</v>
      </c>
      <c r="AA891">
        <v>0</v>
      </c>
      <c r="AB891" t="s">
        <v>54</v>
      </c>
      <c r="AC891" t="s">
        <v>302</v>
      </c>
      <c r="AD891">
        <v>34</v>
      </c>
      <c r="AE891">
        <v>8</v>
      </c>
      <c r="AF891">
        <v>3</v>
      </c>
      <c r="AG891">
        <v>2025</v>
      </c>
      <c r="AH891" s="13">
        <v>44000</v>
      </c>
      <c r="AI891" s="13">
        <v>59303.49609375</v>
      </c>
      <c r="AJ891" s="13">
        <f t="shared" si="104"/>
        <v>15303.49609375</v>
      </c>
      <c r="AK891" s="14">
        <f t="shared" si="105"/>
        <v>0.34780672940340907</v>
      </c>
      <c r="AL891" s="9">
        <v>44000</v>
      </c>
      <c r="AM891" s="9">
        <v>61717.429843429141</v>
      </c>
      <c r="AN891" s="9">
        <f t="shared" si="106"/>
        <v>17717.429843429141</v>
      </c>
      <c r="AO891" s="10">
        <f t="shared" si="107"/>
        <v>0.40266886007793501</v>
      </c>
      <c r="AP891" s="16">
        <v>44000</v>
      </c>
      <c r="AQ891" s="16">
        <v>65019.083071766807</v>
      </c>
      <c r="AR891" s="16">
        <f t="shared" si="108"/>
        <v>21019.083071766807</v>
      </c>
      <c r="AS891" s="17">
        <f t="shared" si="109"/>
        <v>0.47770643344924563</v>
      </c>
      <c r="AT891" s="6">
        <v>44000</v>
      </c>
      <c r="AU891" s="6">
        <v>46919.0234375</v>
      </c>
      <c r="AV891" s="6">
        <f t="shared" si="110"/>
        <v>2919.0234375</v>
      </c>
      <c r="AW891" s="7">
        <f t="shared" si="111"/>
        <v>6.634144176136364E-2</v>
      </c>
    </row>
    <row r="892" spans="1:49" x14ac:dyDescent="0.25">
      <c r="A892" t="s">
        <v>38</v>
      </c>
      <c r="B892" t="s">
        <v>229</v>
      </c>
      <c r="C892">
        <v>92929</v>
      </c>
      <c r="D892">
        <v>2021</v>
      </c>
      <c r="E892" t="s">
        <v>91</v>
      </c>
      <c r="F892" t="s">
        <v>92</v>
      </c>
      <c r="G892" t="s">
        <v>687</v>
      </c>
      <c r="H892" t="s">
        <v>1187</v>
      </c>
      <c r="I892">
        <v>4</v>
      </c>
      <c r="J892" t="s">
        <v>82</v>
      </c>
      <c r="K892">
        <v>4</v>
      </c>
      <c r="L892" t="s">
        <v>44</v>
      </c>
      <c r="M892">
        <v>2.5</v>
      </c>
      <c r="N892" t="s">
        <v>45</v>
      </c>
      <c r="O892" t="s">
        <v>46</v>
      </c>
      <c r="P892">
        <v>4</v>
      </c>
      <c r="Q892" t="s">
        <v>84</v>
      </c>
      <c r="R892" t="s">
        <v>85</v>
      </c>
      <c r="S892" t="s">
        <v>49</v>
      </c>
      <c r="T892">
        <v>176</v>
      </c>
      <c r="U892" t="s">
        <v>50</v>
      </c>
      <c r="V892" t="s">
        <v>95</v>
      </c>
      <c r="W892" t="s">
        <v>648</v>
      </c>
      <c r="X892" t="s">
        <v>87</v>
      </c>
      <c r="Y892" t="s">
        <v>67</v>
      </c>
      <c r="Z892">
        <v>29945</v>
      </c>
      <c r="AA892">
        <v>1</v>
      </c>
      <c r="AB892" t="s">
        <v>130</v>
      </c>
      <c r="AC892" t="s">
        <v>131</v>
      </c>
      <c r="AD892">
        <v>34</v>
      </c>
      <c r="AE892">
        <v>8</v>
      </c>
      <c r="AF892">
        <v>3</v>
      </c>
      <c r="AG892">
        <v>2025</v>
      </c>
      <c r="AH892" s="13">
        <v>18000</v>
      </c>
      <c r="AI892" s="13">
        <v>15369.6611328125</v>
      </c>
      <c r="AJ892" s="13">
        <f t="shared" si="104"/>
        <v>2630.3388671875</v>
      </c>
      <c r="AK892" s="14">
        <f t="shared" si="105"/>
        <v>0.14612993706597222</v>
      </c>
      <c r="AL892" s="9">
        <v>18000</v>
      </c>
      <c r="AM892" s="9">
        <v>15426.59678355353</v>
      </c>
      <c r="AN892" s="9">
        <f t="shared" si="106"/>
        <v>2573.4032164464697</v>
      </c>
      <c r="AO892" s="10">
        <f t="shared" si="107"/>
        <v>0.1429668453581372</v>
      </c>
      <c r="AP892" s="16">
        <v>18000</v>
      </c>
      <c r="AQ892" s="16">
        <v>15892.397804241569</v>
      </c>
      <c r="AR892" s="16">
        <f t="shared" si="108"/>
        <v>2107.6021957584308</v>
      </c>
      <c r="AS892" s="17">
        <f t="shared" si="109"/>
        <v>0.11708901087546837</v>
      </c>
      <c r="AT892" s="6">
        <v>18000</v>
      </c>
      <c r="AU892" s="6">
        <v>14311.8017578125</v>
      </c>
      <c r="AV892" s="6">
        <f t="shared" si="110"/>
        <v>3688.1982421875</v>
      </c>
      <c r="AW892" s="7">
        <f t="shared" si="111"/>
        <v>0.20489990234375</v>
      </c>
    </row>
    <row r="893" spans="1:49" x14ac:dyDescent="0.25">
      <c r="A893" t="s">
        <v>56</v>
      </c>
      <c r="B893" t="s">
        <v>123</v>
      </c>
      <c r="C893">
        <v>91627</v>
      </c>
      <c r="D893">
        <v>2020</v>
      </c>
      <c r="E893" t="s">
        <v>79</v>
      </c>
      <c r="F893" t="s">
        <v>179</v>
      </c>
      <c r="G893" t="s">
        <v>586</v>
      </c>
      <c r="I893">
        <v>4</v>
      </c>
      <c r="J893" t="s">
        <v>82</v>
      </c>
      <c r="K893">
        <v>4</v>
      </c>
      <c r="L893" t="s">
        <v>44</v>
      </c>
      <c r="M893">
        <v>1.4</v>
      </c>
      <c r="N893" t="s">
        <v>44</v>
      </c>
      <c r="O893" t="s">
        <v>46</v>
      </c>
      <c r="P893">
        <v>4</v>
      </c>
      <c r="Q893" t="s">
        <v>47</v>
      </c>
      <c r="R893" t="s">
        <v>48</v>
      </c>
      <c r="S893" t="s">
        <v>139</v>
      </c>
      <c r="U893" t="s">
        <v>50</v>
      </c>
      <c r="W893" t="s">
        <v>999</v>
      </c>
      <c r="X893" t="s">
        <v>52</v>
      </c>
      <c r="Y893" t="s">
        <v>53</v>
      </c>
      <c r="Z893">
        <v>23200</v>
      </c>
      <c r="AA893">
        <v>0</v>
      </c>
      <c r="AB893" t="s">
        <v>54</v>
      </c>
      <c r="AC893" t="s">
        <v>55</v>
      </c>
      <c r="AD893">
        <v>34</v>
      </c>
      <c r="AE893">
        <v>8</v>
      </c>
      <c r="AF893">
        <v>3</v>
      </c>
      <c r="AG893">
        <v>2025</v>
      </c>
      <c r="AH893" s="13">
        <v>6200</v>
      </c>
      <c r="AI893" s="13">
        <v>11576.6025390625</v>
      </c>
      <c r="AJ893" s="13">
        <f t="shared" si="104"/>
        <v>5376.6025390625</v>
      </c>
      <c r="AK893" s="14">
        <f t="shared" si="105"/>
        <v>0.86719395791330645</v>
      </c>
      <c r="AL893" s="9">
        <v>6200</v>
      </c>
      <c r="AM893" s="9">
        <v>9118.3335203685474</v>
      </c>
      <c r="AN893" s="9">
        <f t="shared" si="106"/>
        <v>2918.3335203685474</v>
      </c>
      <c r="AO893" s="10">
        <f t="shared" si="107"/>
        <v>0.47069895489815283</v>
      </c>
      <c r="AP893" s="16">
        <v>6200</v>
      </c>
      <c r="AQ893" s="16">
        <v>7580.9754512214768</v>
      </c>
      <c r="AR893" s="16">
        <f t="shared" si="108"/>
        <v>1380.9754512214768</v>
      </c>
      <c r="AS893" s="17">
        <f t="shared" si="109"/>
        <v>0.22273797600346398</v>
      </c>
      <c r="AT893" s="6">
        <v>6200</v>
      </c>
      <c r="AU893" s="6">
        <v>8172.431640625</v>
      </c>
      <c r="AV893" s="6">
        <f t="shared" si="110"/>
        <v>1972.431640625</v>
      </c>
      <c r="AW893" s="7">
        <f t="shared" si="111"/>
        <v>0.3181341355846774</v>
      </c>
    </row>
    <row r="894" spans="1:49" x14ac:dyDescent="0.25">
      <c r="A894" t="s">
        <v>56</v>
      </c>
      <c r="B894" t="s">
        <v>303</v>
      </c>
      <c r="C894">
        <v>16869</v>
      </c>
      <c r="D894">
        <v>2021</v>
      </c>
      <c r="E894" t="s">
        <v>1188</v>
      </c>
      <c r="F894" t="s">
        <v>1189</v>
      </c>
      <c r="H894" t="s">
        <v>1190</v>
      </c>
      <c r="I894">
        <v>2</v>
      </c>
      <c r="J894" t="s">
        <v>177</v>
      </c>
      <c r="L894" t="s">
        <v>372</v>
      </c>
      <c r="M894">
        <v>1.87</v>
      </c>
      <c r="N894" t="s">
        <v>116</v>
      </c>
      <c r="O894" t="s">
        <v>323</v>
      </c>
      <c r="Q894" t="s">
        <v>669</v>
      </c>
      <c r="R894" t="s">
        <v>1191</v>
      </c>
      <c r="T894">
        <v>92</v>
      </c>
      <c r="U894" t="s">
        <v>50</v>
      </c>
      <c r="X894" t="s">
        <v>672</v>
      </c>
      <c r="Y894" t="s">
        <v>67</v>
      </c>
      <c r="AA894">
        <v>0</v>
      </c>
      <c r="AB894" t="s">
        <v>54</v>
      </c>
      <c r="AC894" t="s">
        <v>673</v>
      </c>
      <c r="AD894">
        <v>34</v>
      </c>
      <c r="AE894">
        <v>8</v>
      </c>
      <c r="AF894">
        <v>3</v>
      </c>
      <c r="AG894">
        <v>2025</v>
      </c>
      <c r="AH894" s="13">
        <v>12000</v>
      </c>
      <c r="AI894" s="13">
        <v>9095.7548828125</v>
      </c>
      <c r="AJ894" s="13">
        <f t="shared" si="104"/>
        <v>2904.2451171875</v>
      </c>
      <c r="AK894" s="14">
        <f t="shared" si="105"/>
        <v>0.24202042643229166</v>
      </c>
      <c r="AL894" s="9">
        <v>12000</v>
      </c>
      <c r="AM894" s="9">
        <v>4535.7384860024049</v>
      </c>
      <c r="AN894" s="9">
        <f t="shared" si="106"/>
        <v>7464.2615139975951</v>
      </c>
      <c r="AO894" s="10">
        <f t="shared" si="107"/>
        <v>0.62202179283313297</v>
      </c>
      <c r="AP894" s="16">
        <v>12000</v>
      </c>
      <c r="AQ894" s="16">
        <v>8840.3321835216466</v>
      </c>
      <c r="AR894" s="16">
        <f t="shared" si="108"/>
        <v>3159.6678164783534</v>
      </c>
      <c r="AS894" s="17">
        <f t="shared" si="109"/>
        <v>0.26330565137319611</v>
      </c>
      <c r="AT894" s="6">
        <v>12000</v>
      </c>
      <c r="AU894" s="6">
        <v>6731.07763671875</v>
      </c>
      <c r="AV894" s="6">
        <f t="shared" si="110"/>
        <v>5268.92236328125</v>
      </c>
      <c r="AW894" s="7">
        <f t="shared" si="111"/>
        <v>0.43907686360677084</v>
      </c>
    </row>
    <row r="895" spans="1:49" x14ac:dyDescent="0.25">
      <c r="A895" t="s">
        <v>56</v>
      </c>
      <c r="B895" t="s">
        <v>303</v>
      </c>
      <c r="C895">
        <v>181069</v>
      </c>
      <c r="D895">
        <v>2016</v>
      </c>
      <c r="E895" t="s">
        <v>58</v>
      </c>
      <c r="F895" t="s">
        <v>258</v>
      </c>
      <c r="H895" t="s">
        <v>42</v>
      </c>
      <c r="I895">
        <v>4</v>
      </c>
      <c r="J895" t="s">
        <v>74</v>
      </c>
      <c r="K895">
        <v>4</v>
      </c>
      <c r="L895" t="s">
        <v>44</v>
      </c>
      <c r="M895">
        <v>2.5</v>
      </c>
      <c r="N895" t="s">
        <v>45</v>
      </c>
      <c r="O895" t="s">
        <v>46</v>
      </c>
      <c r="P895">
        <v>3</v>
      </c>
      <c r="Q895" t="s">
        <v>47</v>
      </c>
      <c r="R895" t="s">
        <v>48</v>
      </c>
      <c r="S895" t="s">
        <v>49</v>
      </c>
      <c r="T895">
        <v>168</v>
      </c>
      <c r="U895" t="s">
        <v>50</v>
      </c>
      <c r="V895" t="s">
        <v>95</v>
      </c>
      <c r="X895" t="s">
        <v>52</v>
      </c>
      <c r="Y895" t="s">
        <v>67</v>
      </c>
      <c r="AA895">
        <v>0</v>
      </c>
      <c r="AB895" t="s">
        <v>54</v>
      </c>
      <c r="AC895" t="s">
        <v>55</v>
      </c>
      <c r="AD895">
        <v>34</v>
      </c>
      <c r="AE895">
        <v>8</v>
      </c>
      <c r="AF895">
        <v>3</v>
      </c>
      <c r="AG895">
        <v>2025</v>
      </c>
      <c r="AH895" s="13">
        <v>650</v>
      </c>
      <c r="AI895" s="13">
        <v>1610.3369140625</v>
      </c>
      <c r="AJ895" s="13">
        <f t="shared" si="104"/>
        <v>960.3369140625</v>
      </c>
      <c r="AK895" s="14">
        <f t="shared" si="105"/>
        <v>1.4774414062500001</v>
      </c>
      <c r="AL895" s="9">
        <v>650</v>
      </c>
      <c r="AM895" s="9">
        <v>1814.2756689076321</v>
      </c>
      <c r="AN895" s="9">
        <f t="shared" si="106"/>
        <v>1164.2756689076321</v>
      </c>
      <c r="AO895" s="10">
        <f t="shared" si="107"/>
        <v>1.7911933367809725</v>
      </c>
      <c r="AP895" s="16">
        <v>650</v>
      </c>
      <c r="AQ895" s="16">
        <v>1353.97439621987</v>
      </c>
      <c r="AR895" s="16">
        <f t="shared" si="108"/>
        <v>703.97439621986996</v>
      </c>
      <c r="AS895" s="17">
        <f t="shared" si="109"/>
        <v>1.0830375326459538</v>
      </c>
      <c r="AT895" s="6">
        <v>650</v>
      </c>
      <c r="AU895" s="6">
        <v>1792.66845703125</v>
      </c>
      <c r="AV895" s="6">
        <f t="shared" si="110"/>
        <v>1142.66845703125</v>
      </c>
      <c r="AW895" s="7">
        <f t="shared" si="111"/>
        <v>1.7579514723557692</v>
      </c>
    </row>
    <row r="896" spans="1:49" x14ac:dyDescent="0.25">
      <c r="A896" t="s">
        <v>56</v>
      </c>
      <c r="B896" t="s">
        <v>1192</v>
      </c>
      <c r="C896">
        <v>121258</v>
      </c>
      <c r="D896">
        <v>2017</v>
      </c>
      <c r="E896" t="s">
        <v>382</v>
      </c>
      <c r="F896" t="s">
        <v>471</v>
      </c>
      <c r="G896" t="s">
        <v>1193</v>
      </c>
      <c r="I896">
        <v>6</v>
      </c>
      <c r="J896" t="s">
        <v>82</v>
      </c>
      <c r="K896">
        <v>4</v>
      </c>
      <c r="L896" t="s">
        <v>44</v>
      </c>
      <c r="M896">
        <v>3.6</v>
      </c>
      <c r="N896" t="s">
        <v>45</v>
      </c>
      <c r="O896" t="s">
        <v>46</v>
      </c>
      <c r="Q896" t="s">
        <v>47</v>
      </c>
      <c r="R896" t="s">
        <v>365</v>
      </c>
      <c r="S896" t="s">
        <v>102</v>
      </c>
      <c r="T896">
        <v>287</v>
      </c>
      <c r="U896" t="s">
        <v>50</v>
      </c>
      <c r="V896" t="s">
        <v>64</v>
      </c>
      <c r="X896" t="s">
        <v>66</v>
      </c>
      <c r="Y896" t="s">
        <v>88</v>
      </c>
      <c r="Z896">
        <v>38295</v>
      </c>
      <c r="AA896">
        <v>0</v>
      </c>
      <c r="AB896" t="s">
        <v>54</v>
      </c>
      <c r="AC896" t="s">
        <v>365</v>
      </c>
      <c r="AD896">
        <v>34</v>
      </c>
      <c r="AE896">
        <v>8</v>
      </c>
      <c r="AF896">
        <v>3</v>
      </c>
      <c r="AG896">
        <v>2025</v>
      </c>
      <c r="AH896" s="13">
        <v>8600</v>
      </c>
      <c r="AI896" s="13">
        <v>9759.3154296875</v>
      </c>
      <c r="AJ896" s="13">
        <f t="shared" si="104"/>
        <v>1159.3154296875</v>
      </c>
      <c r="AK896" s="14">
        <f t="shared" si="105"/>
        <v>0.13480411973110465</v>
      </c>
      <c r="AL896" s="9">
        <v>8600</v>
      </c>
      <c r="AM896" s="9">
        <v>7766.9482158283618</v>
      </c>
      <c r="AN896" s="9">
        <f t="shared" si="106"/>
        <v>833.05178417163825</v>
      </c>
      <c r="AO896" s="10">
        <f t="shared" si="107"/>
        <v>9.6866486531585846E-2</v>
      </c>
      <c r="AP896" s="16">
        <v>8600</v>
      </c>
      <c r="AQ896" s="16">
        <v>8124.6925483420437</v>
      </c>
      <c r="AR896" s="16">
        <f t="shared" si="108"/>
        <v>475.30745165795634</v>
      </c>
      <c r="AS896" s="17">
        <f t="shared" si="109"/>
        <v>5.5268308332320507E-2</v>
      </c>
      <c r="AT896" s="6">
        <v>8600</v>
      </c>
      <c r="AU896" s="6">
        <v>7827.3310546875</v>
      </c>
      <c r="AV896" s="6">
        <f t="shared" si="110"/>
        <v>772.6689453125</v>
      </c>
      <c r="AW896" s="7">
        <f t="shared" si="111"/>
        <v>8.9845226199127909E-2</v>
      </c>
    </row>
    <row r="897" spans="1:49" x14ac:dyDescent="0.25">
      <c r="A897" t="s">
        <v>56</v>
      </c>
      <c r="B897" t="s">
        <v>57</v>
      </c>
      <c r="C897">
        <v>158784</v>
      </c>
      <c r="D897">
        <v>2022</v>
      </c>
      <c r="E897" t="s">
        <v>58</v>
      </c>
      <c r="F897" t="s">
        <v>59</v>
      </c>
      <c r="G897" t="s">
        <v>266</v>
      </c>
      <c r="I897">
        <v>4</v>
      </c>
      <c r="J897" t="s">
        <v>43</v>
      </c>
      <c r="K897">
        <v>4</v>
      </c>
      <c r="L897" t="s">
        <v>44</v>
      </c>
      <c r="M897">
        <v>2.2999999999999998</v>
      </c>
      <c r="N897" t="s">
        <v>62</v>
      </c>
      <c r="O897" t="s">
        <v>46</v>
      </c>
      <c r="P897">
        <v>4</v>
      </c>
      <c r="Q897" t="s">
        <v>47</v>
      </c>
      <c r="R897" t="s">
        <v>48</v>
      </c>
      <c r="S897" t="s">
        <v>63</v>
      </c>
      <c r="T897">
        <v>300</v>
      </c>
      <c r="U897" t="s">
        <v>50</v>
      </c>
      <c r="V897" t="s">
        <v>95</v>
      </c>
      <c r="W897" t="s">
        <v>1194</v>
      </c>
      <c r="X897" t="s">
        <v>141</v>
      </c>
      <c r="Y897" t="s">
        <v>67</v>
      </c>
      <c r="AA897">
        <v>0</v>
      </c>
      <c r="AB897" t="s">
        <v>54</v>
      </c>
      <c r="AC897" t="s">
        <v>68</v>
      </c>
      <c r="AD897">
        <v>34</v>
      </c>
      <c r="AE897">
        <v>8</v>
      </c>
      <c r="AF897">
        <v>3</v>
      </c>
      <c r="AG897">
        <v>2025</v>
      </c>
      <c r="AH897" s="13">
        <v>12500</v>
      </c>
      <c r="AI897" s="13">
        <v>14861.29296875</v>
      </c>
      <c r="AJ897" s="13">
        <f t="shared" si="104"/>
        <v>2361.29296875</v>
      </c>
      <c r="AK897" s="14">
        <f t="shared" si="105"/>
        <v>0.18890343749999999</v>
      </c>
      <c r="AL897" s="9">
        <v>12500</v>
      </c>
      <c r="AM897" s="9">
        <v>14657.222772169191</v>
      </c>
      <c r="AN897" s="9">
        <f t="shared" si="106"/>
        <v>2157.2227721691906</v>
      </c>
      <c r="AO897" s="10">
        <f t="shared" si="107"/>
        <v>0.17257782177353526</v>
      </c>
      <c r="AP897" s="16">
        <v>12500</v>
      </c>
      <c r="AQ897" s="16">
        <v>13114.95618280312</v>
      </c>
      <c r="AR897" s="16">
        <f t="shared" si="108"/>
        <v>614.9561828031201</v>
      </c>
      <c r="AS897" s="17">
        <f t="shared" si="109"/>
        <v>4.9196494624249611E-2</v>
      </c>
      <c r="AT897" s="6">
        <v>12500</v>
      </c>
      <c r="AU897" s="6">
        <v>15551.24609375</v>
      </c>
      <c r="AV897" s="6">
        <f t="shared" si="110"/>
        <v>3051.24609375</v>
      </c>
      <c r="AW897" s="7">
        <f t="shared" si="111"/>
        <v>0.2440996875</v>
      </c>
    </row>
    <row r="898" spans="1:49" x14ac:dyDescent="0.25">
      <c r="A898" t="s">
        <v>38</v>
      </c>
      <c r="B898" t="s">
        <v>267</v>
      </c>
      <c r="C898">
        <v>92940</v>
      </c>
      <c r="D898">
        <v>2019</v>
      </c>
      <c r="E898" t="s">
        <v>71</v>
      </c>
      <c r="F898" t="s">
        <v>238</v>
      </c>
      <c r="I898">
        <v>4</v>
      </c>
      <c r="J898" t="s">
        <v>74</v>
      </c>
      <c r="K898">
        <v>4</v>
      </c>
      <c r="L898" t="s">
        <v>44</v>
      </c>
      <c r="M898">
        <v>1.8</v>
      </c>
      <c r="N898" t="s">
        <v>45</v>
      </c>
      <c r="O898" t="s">
        <v>46</v>
      </c>
      <c r="P898">
        <v>3</v>
      </c>
      <c r="Q898" t="s">
        <v>84</v>
      </c>
      <c r="R898" t="s">
        <v>85</v>
      </c>
      <c r="S898" t="s">
        <v>49</v>
      </c>
      <c r="U898" t="s">
        <v>50</v>
      </c>
      <c r="X898" t="s">
        <v>87</v>
      </c>
      <c r="Y898" t="s">
        <v>106</v>
      </c>
      <c r="AA898">
        <v>0</v>
      </c>
      <c r="AB898" t="s">
        <v>54</v>
      </c>
      <c r="AC898" t="s">
        <v>89</v>
      </c>
      <c r="AD898">
        <v>34</v>
      </c>
      <c r="AE898">
        <v>8</v>
      </c>
      <c r="AF898">
        <v>3</v>
      </c>
      <c r="AG898">
        <v>2025</v>
      </c>
      <c r="AH898" s="13">
        <v>4300</v>
      </c>
      <c r="AI898" s="13">
        <v>4598.712890625</v>
      </c>
      <c r="AJ898" s="13">
        <f t="shared" si="104"/>
        <v>298.712890625</v>
      </c>
      <c r="AK898" s="14">
        <f t="shared" si="105"/>
        <v>6.9468114098837214E-2</v>
      </c>
      <c r="AL898" s="9">
        <v>4300</v>
      </c>
      <c r="AM898" s="9">
        <v>4926.6163661411338</v>
      </c>
      <c r="AN898" s="9">
        <f t="shared" si="106"/>
        <v>626.61636614113377</v>
      </c>
      <c r="AO898" s="10">
        <f t="shared" si="107"/>
        <v>0.14572473631189156</v>
      </c>
      <c r="AP898" s="16">
        <v>4300</v>
      </c>
      <c r="AQ898" s="16">
        <v>4126.1819382058638</v>
      </c>
      <c r="AR898" s="16">
        <f t="shared" si="108"/>
        <v>173.81806179413616</v>
      </c>
      <c r="AS898" s="17">
        <f t="shared" si="109"/>
        <v>4.0422805068403754E-2</v>
      </c>
      <c r="AT898" s="6">
        <v>4300</v>
      </c>
      <c r="AU898" s="6">
        <v>5116.4912109375</v>
      </c>
      <c r="AV898" s="6">
        <f t="shared" si="110"/>
        <v>816.4912109375</v>
      </c>
      <c r="AW898" s="7">
        <f t="shared" si="111"/>
        <v>0.18988167696220931</v>
      </c>
    </row>
    <row r="899" spans="1:49" x14ac:dyDescent="0.25">
      <c r="A899" t="s">
        <v>38</v>
      </c>
      <c r="B899" t="s">
        <v>132</v>
      </c>
      <c r="C899">
        <v>92053</v>
      </c>
      <c r="D899">
        <v>2019</v>
      </c>
      <c r="E899" t="s">
        <v>71</v>
      </c>
      <c r="F899" t="s">
        <v>129</v>
      </c>
      <c r="G899" t="s">
        <v>779</v>
      </c>
      <c r="I899">
        <v>4</v>
      </c>
      <c r="J899" t="s">
        <v>82</v>
      </c>
      <c r="K899">
        <v>4</v>
      </c>
      <c r="L899" t="s">
        <v>44</v>
      </c>
      <c r="M899">
        <v>2.5</v>
      </c>
      <c r="N899" t="s">
        <v>45</v>
      </c>
      <c r="O899" t="s">
        <v>83</v>
      </c>
      <c r="Q899" t="s">
        <v>84</v>
      </c>
      <c r="R899" t="s">
        <v>85</v>
      </c>
      <c r="S899" t="s">
        <v>49</v>
      </c>
      <c r="U899" t="s">
        <v>50</v>
      </c>
      <c r="X899" t="s">
        <v>87</v>
      </c>
      <c r="Y899" t="s">
        <v>67</v>
      </c>
      <c r="Z899">
        <v>24000</v>
      </c>
      <c r="AA899">
        <v>0</v>
      </c>
      <c r="AB899" t="s">
        <v>54</v>
      </c>
      <c r="AC899" t="s">
        <v>89</v>
      </c>
      <c r="AD899">
        <v>34</v>
      </c>
      <c r="AE899">
        <v>8</v>
      </c>
      <c r="AF899">
        <v>3</v>
      </c>
      <c r="AG899">
        <v>2025</v>
      </c>
      <c r="AH899" s="13">
        <v>1700</v>
      </c>
      <c r="AI899" s="13">
        <v>2824.40185546875</v>
      </c>
      <c r="AJ899" s="13">
        <f t="shared" ref="AJ899:AJ934" si="112">ABS(AH899-AI899)</f>
        <v>1124.40185546875</v>
      </c>
      <c r="AK899" s="14">
        <f t="shared" ref="AK899:AK962" si="113">ABS($AH899-AI899)/$AH899</f>
        <v>0.6614128561580882</v>
      </c>
      <c r="AL899" s="9">
        <v>1700</v>
      </c>
      <c r="AM899" s="9">
        <v>2314.8305159144752</v>
      </c>
      <c r="AN899" s="9">
        <f t="shared" ref="AN899:AN962" si="114">ABS(AL899-AM899)</f>
        <v>614.8305159144752</v>
      </c>
      <c r="AO899" s="10">
        <f t="shared" ref="AO899:AO962" si="115">ABS($AL899-AM899)/$AL899</f>
        <v>0.36166500936145601</v>
      </c>
      <c r="AP899" s="16">
        <v>1700</v>
      </c>
      <c r="AQ899" s="16">
        <v>2722.5663012557939</v>
      </c>
      <c r="AR899" s="16">
        <f t="shared" ref="AR899:AR962" si="116">ABS(AP899-AQ899)</f>
        <v>1022.5663012557939</v>
      </c>
      <c r="AS899" s="17">
        <f t="shared" ref="AS899:AS962" si="117">ABS($AP899-AQ899)/$AP899</f>
        <v>0.60150958897399642</v>
      </c>
      <c r="AT899" s="6">
        <v>1700</v>
      </c>
      <c r="AU899" s="6">
        <v>2724.76611328125</v>
      </c>
      <c r="AV899" s="6">
        <f t="shared" ref="AV899:AV962" si="118">ABS(AT899-AU899)</f>
        <v>1024.76611328125</v>
      </c>
      <c r="AW899" s="7">
        <f t="shared" ref="AW899:AW962" si="119">ABS($AT899-AU899)/$AT899</f>
        <v>0.6028035960477941</v>
      </c>
    </row>
    <row r="900" spans="1:49" x14ac:dyDescent="0.25">
      <c r="A900" t="s">
        <v>69</v>
      </c>
      <c r="B900" t="s">
        <v>70</v>
      </c>
      <c r="C900">
        <v>106241</v>
      </c>
      <c r="D900">
        <v>2018</v>
      </c>
      <c r="E900" t="s">
        <v>79</v>
      </c>
      <c r="F900" t="s">
        <v>465</v>
      </c>
      <c r="G900" t="s">
        <v>434</v>
      </c>
      <c r="I900">
        <v>8</v>
      </c>
      <c r="J900" t="s">
        <v>74</v>
      </c>
      <c r="K900">
        <v>4</v>
      </c>
      <c r="L900" t="s">
        <v>44</v>
      </c>
      <c r="M900">
        <v>5.3</v>
      </c>
      <c r="N900" t="s">
        <v>62</v>
      </c>
      <c r="O900" t="s">
        <v>46</v>
      </c>
      <c r="P900">
        <v>4</v>
      </c>
      <c r="Q900" t="s">
        <v>47</v>
      </c>
      <c r="R900" t="s">
        <v>48</v>
      </c>
      <c r="S900" t="s">
        <v>63</v>
      </c>
      <c r="U900" t="s">
        <v>50</v>
      </c>
      <c r="W900" t="s">
        <v>933</v>
      </c>
      <c r="X900" t="s">
        <v>77</v>
      </c>
      <c r="Y900" t="s">
        <v>67</v>
      </c>
      <c r="Z900">
        <v>47500</v>
      </c>
      <c r="AA900">
        <v>0</v>
      </c>
      <c r="AB900" t="s">
        <v>54</v>
      </c>
      <c r="AC900" t="s">
        <v>68</v>
      </c>
      <c r="AD900">
        <v>34</v>
      </c>
      <c r="AE900">
        <v>8</v>
      </c>
      <c r="AF900">
        <v>3</v>
      </c>
      <c r="AG900">
        <v>2025</v>
      </c>
      <c r="AH900" s="13">
        <v>19000</v>
      </c>
      <c r="AI900" s="13">
        <v>20796.515625</v>
      </c>
      <c r="AJ900" s="13">
        <f t="shared" si="112"/>
        <v>1796.515625</v>
      </c>
      <c r="AK900" s="14">
        <f t="shared" si="113"/>
        <v>9.4553453947368415E-2</v>
      </c>
      <c r="AL900" s="9">
        <v>19000</v>
      </c>
      <c r="AM900" s="9">
        <v>20226.51144496186</v>
      </c>
      <c r="AN900" s="9">
        <f t="shared" si="114"/>
        <v>1226.5114449618595</v>
      </c>
      <c r="AO900" s="10">
        <f t="shared" si="115"/>
        <v>6.4553233945361027E-2</v>
      </c>
      <c r="AP900" s="16">
        <v>19000</v>
      </c>
      <c r="AQ900" s="16">
        <v>20840.010338686901</v>
      </c>
      <c r="AR900" s="16">
        <f t="shared" si="116"/>
        <v>1840.0103386869014</v>
      </c>
      <c r="AS900" s="17">
        <f t="shared" si="117"/>
        <v>9.6842649404573752E-2</v>
      </c>
      <c r="AT900" s="6">
        <v>19000</v>
      </c>
      <c r="AU900" s="6">
        <v>19506.650390625</v>
      </c>
      <c r="AV900" s="6">
        <f t="shared" si="118"/>
        <v>506.650390625</v>
      </c>
      <c r="AW900" s="7">
        <f t="shared" si="119"/>
        <v>2.6665810032894737E-2</v>
      </c>
    </row>
    <row r="901" spans="1:49" x14ac:dyDescent="0.25">
      <c r="A901" t="s">
        <v>69</v>
      </c>
      <c r="B901" t="s">
        <v>70</v>
      </c>
      <c r="C901">
        <v>197158</v>
      </c>
      <c r="D901">
        <v>2016</v>
      </c>
      <c r="E901" t="s">
        <v>79</v>
      </c>
      <c r="F901" t="s">
        <v>344</v>
      </c>
      <c r="G901" t="s">
        <v>273</v>
      </c>
      <c r="I901">
        <v>8</v>
      </c>
      <c r="J901" t="s">
        <v>43</v>
      </c>
      <c r="K901">
        <v>4</v>
      </c>
      <c r="L901" t="s">
        <v>44</v>
      </c>
      <c r="M901">
        <v>5.3</v>
      </c>
      <c r="N901" t="s">
        <v>116</v>
      </c>
      <c r="O901" t="s">
        <v>46</v>
      </c>
      <c r="P901">
        <v>2</v>
      </c>
      <c r="Q901" t="s">
        <v>47</v>
      </c>
      <c r="R901" t="s">
        <v>48</v>
      </c>
      <c r="S901" t="s">
        <v>49</v>
      </c>
      <c r="U901" t="s">
        <v>50</v>
      </c>
      <c r="W901" t="s">
        <v>480</v>
      </c>
      <c r="X901" t="s">
        <v>77</v>
      </c>
      <c r="Y901" t="s">
        <v>67</v>
      </c>
      <c r="AA901">
        <v>0</v>
      </c>
      <c r="AB901" t="s">
        <v>54</v>
      </c>
      <c r="AC901" t="s">
        <v>55</v>
      </c>
      <c r="AD901">
        <v>34</v>
      </c>
      <c r="AE901">
        <v>8</v>
      </c>
      <c r="AF901">
        <v>3</v>
      </c>
      <c r="AG901">
        <v>2025</v>
      </c>
      <c r="AH901" s="13">
        <v>5800</v>
      </c>
      <c r="AI901" s="13">
        <v>6763.48779296875</v>
      </c>
      <c r="AJ901" s="13">
        <f t="shared" si="112"/>
        <v>963.48779296875</v>
      </c>
      <c r="AK901" s="14">
        <f t="shared" si="113"/>
        <v>0.16611858499461207</v>
      </c>
      <c r="AL901" s="9">
        <v>5800</v>
      </c>
      <c r="AM901" s="9">
        <v>5634.878557173286</v>
      </c>
      <c r="AN901" s="9">
        <f t="shared" si="114"/>
        <v>165.12144282671397</v>
      </c>
      <c r="AO901" s="10">
        <f t="shared" si="115"/>
        <v>2.8469214280467926E-2</v>
      </c>
      <c r="AP901" s="16">
        <v>5800</v>
      </c>
      <c r="AQ901" s="16">
        <v>5203.3247659334129</v>
      </c>
      <c r="AR901" s="16">
        <f t="shared" si="116"/>
        <v>596.67523406658711</v>
      </c>
      <c r="AS901" s="17">
        <f t="shared" si="117"/>
        <v>0.10287504035630812</v>
      </c>
      <c r="AT901" s="6">
        <v>5800</v>
      </c>
      <c r="AU901" s="6">
        <v>6162.99560546875</v>
      </c>
      <c r="AV901" s="6">
        <f t="shared" si="118"/>
        <v>362.99560546875</v>
      </c>
      <c r="AW901" s="7">
        <f t="shared" si="119"/>
        <v>6.2585449218750006E-2</v>
      </c>
    </row>
    <row r="902" spans="1:49" x14ac:dyDescent="0.25">
      <c r="A902" t="s">
        <v>69</v>
      </c>
      <c r="B902" t="s">
        <v>128</v>
      </c>
      <c r="C902">
        <v>92050</v>
      </c>
      <c r="D902">
        <v>2011</v>
      </c>
      <c r="E902" t="s">
        <v>113</v>
      </c>
      <c r="F902" t="s">
        <v>708</v>
      </c>
      <c r="G902" t="s">
        <v>388</v>
      </c>
      <c r="H902" t="s">
        <v>1195</v>
      </c>
      <c r="I902">
        <v>6</v>
      </c>
      <c r="J902" t="s">
        <v>101</v>
      </c>
      <c r="K902">
        <v>4</v>
      </c>
      <c r="L902" t="s">
        <v>44</v>
      </c>
      <c r="M902">
        <v>6.7</v>
      </c>
      <c r="N902" t="s">
        <v>62</v>
      </c>
      <c r="O902" t="s">
        <v>46</v>
      </c>
      <c r="Q902" t="s">
        <v>75</v>
      </c>
      <c r="R902" t="s">
        <v>76</v>
      </c>
      <c r="S902" t="s">
        <v>63</v>
      </c>
      <c r="U902" t="s">
        <v>300</v>
      </c>
      <c r="X902" t="s">
        <v>390</v>
      </c>
      <c r="Y902" t="s">
        <v>106</v>
      </c>
      <c r="AA902">
        <v>0</v>
      </c>
      <c r="AB902" t="s">
        <v>54</v>
      </c>
      <c r="AC902" t="s">
        <v>78</v>
      </c>
      <c r="AD902">
        <v>34</v>
      </c>
      <c r="AE902">
        <v>8</v>
      </c>
      <c r="AF902">
        <v>3</v>
      </c>
      <c r="AG902">
        <v>2025</v>
      </c>
      <c r="AH902" s="13">
        <v>20000</v>
      </c>
      <c r="AI902" s="13">
        <v>22983.09375</v>
      </c>
      <c r="AJ902" s="13">
        <f t="shared" si="112"/>
        <v>2983.09375</v>
      </c>
      <c r="AK902" s="14">
        <f t="shared" si="113"/>
        <v>0.14915468749999999</v>
      </c>
      <c r="AL902" s="9">
        <v>20000</v>
      </c>
      <c r="AM902" s="9">
        <v>19375.162779162529</v>
      </c>
      <c r="AN902" s="9">
        <f t="shared" si="114"/>
        <v>624.83722083747125</v>
      </c>
      <c r="AO902" s="10">
        <f t="shared" si="115"/>
        <v>3.1241861041873563E-2</v>
      </c>
      <c r="AP902" s="16">
        <v>20000</v>
      </c>
      <c r="AQ902" s="16">
        <v>16167.27780244938</v>
      </c>
      <c r="AR902" s="16">
        <f t="shared" si="116"/>
        <v>3832.72219755062</v>
      </c>
      <c r="AS902" s="17">
        <f t="shared" si="117"/>
        <v>0.19163610987753099</v>
      </c>
      <c r="AT902" s="6">
        <v>20000</v>
      </c>
      <c r="AU902" s="6">
        <v>22048.33203125</v>
      </c>
      <c r="AV902" s="6">
        <f t="shared" si="118"/>
        <v>2048.33203125</v>
      </c>
      <c r="AW902" s="7">
        <f t="shared" si="119"/>
        <v>0.1024166015625</v>
      </c>
    </row>
    <row r="903" spans="1:49" x14ac:dyDescent="0.25">
      <c r="A903" t="s">
        <v>56</v>
      </c>
      <c r="B903" t="s">
        <v>303</v>
      </c>
      <c r="C903">
        <v>141731</v>
      </c>
      <c r="D903">
        <v>2016</v>
      </c>
      <c r="E903" t="s">
        <v>71</v>
      </c>
      <c r="F903" t="s">
        <v>105</v>
      </c>
      <c r="I903">
        <v>4</v>
      </c>
      <c r="J903" t="s">
        <v>101</v>
      </c>
      <c r="K903">
        <v>4</v>
      </c>
      <c r="L903" t="s">
        <v>44</v>
      </c>
      <c r="M903">
        <v>1.6</v>
      </c>
      <c r="N903" t="s">
        <v>45</v>
      </c>
      <c r="Q903" t="s">
        <v>84</v>
      </c>
      <c r="R903" t="s">
        <v>85</v>
      </c>
      <c r="S903" t="s">
        <v>49</v>
      </c>
      <c r="U903" t="s">
        <v>50</v>
      </c>
      <c r="V903" t="s">
        <v>95</v>
      </c>
      <c r="X903" t="s">
        <v>87</v>
      </c>
      <c r="Y903" t="s">
        <v>106</v>
      </c>
      <c r="AA903">
        <v>0</v>
      </c>
      <c r="AB903" t="s">
        <v>54</v>
      </c>
      <c r="AC903" t="s">
        <v>89</v>
      </c>
      <c r="AD903">
        <v>34</v>
      </c>
      <c r="AE903">
        <v>8</v>
      </c>
      <c r="AF903">
        <v>3</v>
      </c>
      <c r="AG903">
        <v>2025</v>
      </c>
      <c r="AH903" s="13">
        <v>1800</v>
      </c>
      <c r="AI903" s="13">
        <v>1330.95263671875</v>
      </c>
      <c r="AJ903" s="13">
        <f t="shared" si="112"/>
        <v>469.04736328125</v>
      </c>
      <c r="AK903" s="14">
        <f t="shared" si="113"/>
        <v>0.26058186848958331</v>
      </c>
      <c r="AL903" s="9">
        <v>1800</v>
      </c>
      <c r="AM903" s="9">
        <v>1520.87363351302</v>
      </c>
      <c r="AN903" s="9">
        <f t="shared" si="114"/>
        <v>279.12636648698003</v>
      </c>
      <c r="AO903" s="10">
        <f t="shared" si="115"/>
        <v>0.1550702036038778</v>
      </c>
      <c r="AP903" s="16">
        <v>1800</v>
      </c>
      <c r="AQ903" s="16">
        <v>1370.437835385326</v>
      </c>
      <c r="AR903" s="16">
        <f t="shared" si="116"/>
        <v>429.56216461467397</v>
      </c>
      <c r="AS903" s="17">
        <f t="shared" si="117"/>
        <v>0.23864564700815222</v>
      </c>
      <c r="AT903" s="6">
        <v>1800</v>
      </c>
      <c r="AU903" s="6">
        <v>1392.333374023438</v>
      </c>
      <c r="AV903" s="6">
        <f t="shared" si="118"/>
        <v>407.66662597656205</v>
      </c>
      <c r="AW903" s="7">
        <f t="shared" si="119"/>
        <v>0.22648145887586779</v>
      </c>
    </row>
    <row r="904" spans="1:49" x14ac:dyDescent="0.25">
      <c r="A904" t="s">
        <v>69</v>
      </c>
      <c r="B904" t="s">
        <v>112</v>
      </c>
      <c r="C904">
        <v>117401</v>
      </c>
      <c r="D904">
        <v>2017</v>
      </c>
      <c r="E904" t="s">
        <v>58</v>
      </c>
      <c r="F904" t="s">
        <v>59</v>
      </c>
      <c r="G904" t="s">
        <v>266</v>
      </c>
      <c r="I904">
        <v>6</v>
      </c>
      <c r="J904" t="s">
        <v>74</v>
      </c>
      <c r="K904">
        <v>4</v>
      </c>
      <c r="L904" t="s">
        <v>44</v>
      </c>
      <c r="M904">
        <v>3.5</v>
      </c>
      <c r="N904" t="s">
        <v>45</v>
      </c>
      <c r="O904" t="s">
        <v>46</v>
      </c>
      <c r="P904">
        <v>4</v>
      </c>
      <c r="Q904" t="s">
        <v>47</v>
      </c>
      <c r="R904" t="s">
        <v>48</v>
      </c>
      <c r="S904" t="s">
        <v>102</v>
      </c>
      <c r="T904">
        <v>290</v>
      </c>
      <c r="U904" t="s">
        <v>50</v>
      </c>
      <c r="V904" t="s">
        <v>64</v>
      </c>
      <c r="W904" t="s">
        <v>769</v>
      </c>
      <c r="X904" t="s">
        <v>66</v>
      </c>
      <c r="Y904" t="s">
        <v>67</v>
      </c>
      <c r="Z904">
        <v>33775</v>
      </c>
      <c r="AA904">
        <v>0</v>
      </c>
      <c r="AB904" t="s">
        <v>54</v>
      </c>
      <c r="AC904" t="s">
        <v>68</v>
      </c>
      <c r="AD904">
        <v>34</v>
      </c>
      <c r="AE904">
        <v>8</v>
      </c>
      <c r="AF904">
        <v>3</v>
      </c>
      <c r="AG904">
        <v>2025</v>
      </c>
      <c r="AH904" s="13">
        <v>9000</v>
      </c>
      <c r="AI904" s="13">
        <v>9843.4677734375</v>
      </c>
      <c r="AJ904" s="13">
        <f t="shared" si="112"/>
        <v>843.4677734375</v>
      </c>
      <c r="AK904" s="14">
        <f t="shared" si="113"/>
        <v>9.371864149305556E-2</v>
      </c>
      <c r="AL904" s="9">
        <v>9000</v>
      </c>
      <c r="AM904" s="9">
        <v>9519.7291180908596</v>
      </c>
      <c r="AN904" s="9">
        <f t="shared" si="114"/>
        <v>519.72911809085963</v>
      </c>
      <c r="AO904" s="10">
        <f t="shared" si="115"/>
        <v>5.7747679787873291E-2</v>
      </c>
      <c r="AP904" s="16">
        <v>9000</v>
      </c>
      <c r="AQ904" s="16">
        <v>9342.1162395993597</v>
      </c>
      <c r="AR904" s="16">
        <f t="shared" si="116"/>
        <v>342.11623959935969</v>
      </c>
      <c r="AS904" s="17">
        <f t="shared" si="117"/>
        <v>3.8012915511039969E-2</v>
      </c>
      <c r="AT904" s="6">
        <v>9000</v>
      </c>
      <c r="AU904" s="6">
        <v>9656.2265625</v>
      </c>
      <c r="AV904" s="6">
        <f t="shared" si="118"/>
        <v>656.2265625</v>
      </c>
      <c r="AW904" s="7">
        <f t="shared" si="119"/>
        <v>7.2914062500000001E-2</v>
      </c>
    </row>
    <row r="905" spans="1:49" x14ac:dyDescent="0.25">
      <c r="A905" t="s">
        <v>38</v>
      </c>
      <c r="B905" t="s">
        <v>132</v>
      </c>
      <c r="C905">
        <v>93100</v>
      </c>
      <c r="D905">
        <v>2022</v>
      </c>
      <c r="E905" t="s">
        <v>40</v>
      </c>
      <c r="F905" t="s">
        <v>1196</v>
      </c>
      <c r="G905" t="s">
        <v>284</v>
      </c>
      <c r="I905">
        <v>4</v>
      </c>
      <c r="J905" t="s">
        <v>61</v>
      </c>
      <c r="K905">
        <v>4</v>
      </c>
      <c r="L905" t="s">
        <v>44</v>
      </c>
      <c r="M905">
        <v>2</v>
      </c>
      <c r="N905" t="s">
        <v>44</v>
      </c>
      <c r="O905" t="s">
        <v>46</v>
      </c>
      <c r="P905">
        <v>4</v>
      </c>
      <c r="Q905" t="s">
        <v>47</v>
      </c>
      <c r="R905" t="s">
        <v>48</v>
      </c>
      <c r="S905" t="s">
        <v>63</v>
      </c>
      <c r="T905">
        <v>147</v>
      </c>
      <c r="U905" t="s">
        <v>50</v>
      </c>
      <c r="W905" t="s">
        <v>1197</v>
      </c>
      <c r="X905" t="s">
        <v>52</v>
      </c>
      <c r="Y905" t="s">
        <v>53</v>
      </c>
      <c r="AA905">
        <v>0</v>
      </c>
      <c r="AB905" t="s">
        <v>54</v>
      </c>
      <c r="AC905" t="s">
        <v>55</v>
      </c>
      <c r="AD905">
        <v>34</v>
      </c>
      <c r="AE905">
        <v>8</v>
      </c>
      <c r="AF905">
        <v>3</v>
      </c>
      <c r="AG905">
        <v>2025</v>
      </c>
      <c r="AH905" s="13">
        <v>12300</v>
      </c>
      <c r="AI905" s="13">
        <v>12318.58203125</v>
      </c>
      <c r="AJ905" s="13">
        <f t="shared" si="112"/>
        <v>18.58203125</v>
      </c>
      <c r="AK905" s="14">
        <f t="shared" si="113"/>
        <v>1.5107342479674796E-3</v>
      </c>
      <c r="AL905" s="9">
        <v>12300</v>
      </c>
      <c r="AM905" s="9">
        <v>11065.04323423451</v>
      </c>
      <c r="AN905" s="9">
        <f t="shared" si="114"/>
        <v>1234.9567657654898</v>
      </c>
      <c r="AO905" s="10">
        <f t="shared" si="115"/>
        <v>0.10040298908662518</v>
      </c>
      <c r="AP905" s="16">
        <v>12300</v>
      </c>
      <c r="AQ905" s="16">
        <v>13181.44730412034</v>
      </c>
      <c r="AR905" s="16">
        <f t="shared" si="116"/>
        <v>881.44730412034005</v>
      </c>
      <c r="AS905" s="17">
        <f t="shared" si="117"/>
        <v>7.166238244880814E-2</v>
      </c>
      <c r="AT905" s="6">
        <v>12300</v>
      </c>
      <c r="AU905" s="6">
        <v>12314.541015625</v>
      </c>
      <c r="AV905" s="6">
        <f t="shared" si="118"/>
        <v>14.541015625</v>
      </c>
      <c r="AW905" s="7">
        <f t="shared" si="119"/>
        <v>1.1821963922764227E-3</v>
      </c>
    </row>
    <row r="906" spans="1:49" x14ac:dyDescent="0.25">
      <c r="A906" t="s">
        <v>107</v>
      </c>
      <c r="B906" t="s">
        <v>108</v>
      </c>
      <c r="C906">
        <v>97473</v>
      </c>
      <c r="D906">
        <v>2020</v>
      </c>
      <c r="E906" t="s">
        <v>79</v>
      </c>
      <c r="F906" t="s">
        <v>286</v>
      </c>
      <c r="G906" t="s">
        <v>287</v>
      </c>
      <c r="I906">
        <v>4</v>
      </c>
      <c r="J906" t="s">
        <v>74</v>
      </c>
      <c r="K906">
        <v>4</v>
      </c>
      <c r="L906" t="s">
        <v>44</v>
      </c>
      <c r="M906">
        <v>1.5</v>
      </c>
      <c r="N906" t="s">
        <v>45</v>
      </c>
      <c r="O906" t="s">
        <v>46</v>
      </c>
      <c r="P906">
        <v>1</v>
      </c>
      <c r="Q906" t="s">
        <v>84</v>
      </c>
      <c r="R906" t="s">
        <v>85</v>
      </c>
      <c r="S906" t="s">
        <v>102</v>
      </c>
      <c r="U906" t="s">
        <v>50</v>
      </c>
      <c r="V906" t="s">
        <v>95</v>
      </c>
      <c r="W906" t="s">
        <v>288</v>
      </c>
      <c r="X906" t="s">
        <v>87</v>
      </c>
      <c r="Y906" t="s">
        <v>67</v>
      </c>
      <c r="AA906">
        <v>0</v>
      </c>
      <c r="AB906" t="s">
        <v>54</v>
      </c>
      <c r="AC906" t="s">
        <v>89</v>
      </c>
      <c r="AD906">
        <v>34</v>
      </c>
      <c r="AE906">
        <v>8</v>
      </c>
      <c r="AF906">
        <v>3</v>
      </c>
      <c r="AG906">
        <v>2025</v>
      </c>
      <c r="AH906" s="13">
        <v>4200</v>
      </c>
      <c r="AI906" s="13">
        <v>6393.11962890625</v>
      </c>
      <c r="AJ906" s="13">
        <f t="shared" si="112"/>
        <v>2193.11962890625</v>
      </c>
      <c r="AK906" s="14">
        <f t="shared" si="113"/>
        <v>0.52217134021577383</v>
      </c>
      <c r="AL906" s="9">
        <v>4200</v>
      </c>
      <c r="AM906" s="9">
        <v>5759.3561721013066</v>
      </c>
      <c r="AN906" s="9">
        <f t="shared" si="114"/>
        <v>1559.3561721013066</v>
      </c>
      <c r="AO906" s="10">
        <f t="shared" si="115"/>
        <v>0.37127527907173968</v>
      </c>
      <c r="AP906" s="16">
        <v>4200</v>
      </c>
      <c r="AQ906" s="16">
        <v>5598.7330978243417</v>
      </c>
      <c r="AR906" s="16">
        <f t="shared" si="116"/>
        <v>1398.7330978243417</v>
      </c>
      <c r="AS906" s="17">
        <f t="shared" si="117"/>
        <v>0.33303168995817661</v>
      </c>
      <c r="AT906" s="6">
        <v>4200</v>
      </c>
      <c r="AU906" s="6">
        <v>5729.38916015625</v>
      </c>
      <c r="AV906" s="6">
        <f t="shared" si="118"/>
        <v>1529.38916015625</v>
      </c>
      <c r="AW906" s="7">
        <f t="shared" si="119"/>
        <v>0.36414027622767858</v>
      </c>
    </row>
    <row r="907" spans="1:49" x14ac:dyDescent="0.25">
      <c r="A907" t="s">
        <v>56</v>
      </c>
      <c r="B907" t="s">
        <v>303</v>
      </c>
      <c r="C907">
        <v>97023</v>
      </c>
      <c r="D907">
        <v>2015</v>
      </c>
      <c r="E907" t="s">
        <v>385</v>
      </c>
      <c r="F907" t="s">
        <v>1198</v>
      </c>
      <c r="G907" t="s">
        <v>840</v>
      </c>
      <c r="I907">
        <v>4</v>
      </c>
      <c r="J907" t="s">
        <v>82</v>
      </c>
      <c r="K907">
        <v>4</v>
      </c>
      <c r="L907" t="s">
        <v>44</v>
      </c>
      <c r="M907">
        <v>2</v>
      </c>
      <c r="N907" t="s">
        <v>44</v>
      </c>
      <c r="Q907" t="s">
        <v>84</v>
      </c>
      <c r="R907" t="s">
        <v>85</v>
      </c>
      <c r="S907" t="s">
        <v>139</v>
      </c>
      <c r="T907">
        <v>220</v>
      </c>
      <c r="U907" t="s">
        <v>50</v>
      </c>
      <c r="X907" t="s">
        <v>87</v>
      </c>
      <c r="Y907" t="s">
        <v>613</v>
      </c>
      <c r="AA907">
        <v>0</v>
      </c>
      <c r="AB907" t="s">
        <v>54</v>
      </c>
      <c r="AC907" t="s">
        <v>89</v>
      </c>
      <c r="AD907">
        <v>34</v>
      </c>
      <c r="AE907">
        <v>8</v>
      </c>
      <c r="AF907">
        <v>3</v>
      </c>
      <c r="AG907">
        <v>2025</v>
      </c>
      <c r="AH907" s="13">
        <v>6100</v>
      </c>
      <c r="AI907" s="13">
        <v>6753.80517578125</v>
      </c>
      <c r="AJ907" s="13">
        <f t="shared" si="112"/>
        <v>653.80517578125</v>
      </c>
      <c r="AK907" s="14">
        <f t="shared" si="113"/>
        <v>0.10718117635758197</v>
      </c>
      <c r="AL907" s="9">
        <v>6100</v>
      </c>
      <c r="AM907" s="9">
        <v>5266.4421186727504</v>
      </c>
      <c r="AN907" s="9">
        <f t="shared" si="114"/>
        <v>833.55788132724956</v>
      </c>
      <c r="AO907" s="10">
        <f t="shared" si="115"/>
        <v>0.13664883300446715</v>
      </c>
      <c r="AP907" s="16">
        <v>6100</v>
      </c>
      <c r="AQ907" s="16">
        <v>6306.2133242978416</v>
      </c>
      <c r="AR907" s="16">
        <f t="shared" si="116"/>
        <v>206.21332429784161</v>
      </c>
      <c r="AS907" s="17">
        <f t="shared" si="117"/>
        <v>3.3805462999646166E-2</v>
      </c>
      <c r="AT907" s="6">
        <v>6100</v>
      </c>
      <c r="AU907" s="6">
        <v>5960.39599609375</v>
      </c>
      <c r="AV907" s="6">
        <f t="shared" si="118"/>
        <v>139.60400390625</v>
      </c>
      <c r="AW907" s="7">
        <f t="shared" si="119"/>
        <v>2.2885902279713113E-2</v>
      </c>
    </row>
    <row r="908" spans="1:49" x14ac:dyDescent="0.25">
      <c r="A908" t="s">
        <v>107</v>
      </c>
      <c r="B908" t="s">
        <v>108</v>
      </c>
      <c r="C908">
        <v>70999</v>
      </c>
      <c r="D908">
        <v>2020</v>
      </c>
      <c r="E908" t="s">
        <v>145</v>
      </c>
      <c r="F908" t="s">
        <v>349</v>
      </c>
      <c r="G908" t="s">
        <v>512</v>
      </c>
      <c r="I908">
        <v>4</v>
      </c>
      <c r="J908" t="s">
        <v>61</v>
      </c>
      <c r="K908">
        <v>4</v>
      </c>
      <c r="L908" t="s">
        <v>44</v>
      </c>
      <c r="M908">
        <v>1.5</v>
      </c>
      <c r="N908" t="s">
        <v>45</v>
      </c>
      <c r="O908" t="s">
        <v>46</v>
      </c>
      <c r="P908">
        <v>3</v>
      </c>
      <c r="Q908" t="s">
        <v>84</v>
      </c>
      <c r="R908" t="s">
        <v>157</v>
      </c>
      <c r="S908" t="s">
        <v>49</v>
      </c>
      <c r="T908">
        <v>180</v>
      </c>
      <c r="U908" t="s">
        <v>50</v>
      </c>
      <c r="V908" t="s">
        <v>95</v>
      </c>
      <c r="W908" t="s">
        <v>1199</v>
      </c>
      <c r="X908" t="s">
        <v>122</v>
      </c>
      <c r="Y908" t="s">
        <v>234</v>
      </c>
      <c r="AA908">
        <v>0</v>
      </c>
      <c r="AB908" t="s">
        <v>54</v>
      </c>
      <c r="AC908" t="s">
        <v>159</v>
      </c>
      <c r="AD908">
        <v>34</v>
      </c>
      <c r="AE908">
        <v>8</v>
      </c>
      <c r="AF908">
        <v>3</v>
      </c>
      <c r="AG908">
        <v>2025</v>
      </c>
      <c r="AH908" s="13">
        <v>17500</v>
      </c>
      <c r="AI908" s="13">
        <v>16746.345703125</v>
      </c>
      <c r="AJ908" s="13">
        <f t="shared" si="112"/>
        <v>753.654296875</v>
      </c>
      <c r="AK908" s="14">
        <f t="shared" si="113"/>
        <v>4.3065959821428572E-2</v>
      </c>
      <c r="AL908" s="9">
        <v>17500</v>
      </c>
      <c r="AM908" s="9">
        <v>17435.898586781888</v>
      </c>
      <c r="AN908" s="9">
        <f t="shared" si="114"/>
        <v>64.101413218111702</v>
      </c>
      <c r="AO908" s="10">
        <f t="shared" si="115"/>
        <v>3.6629378981778114E-3</v>
      </c>
      <c r="AP908" s="16">
        <v>17500</v>
      </c>
      <c r="AQ908" s="16">
        <v>17674.544331755671</v>
      </c>
      <c r="AR908" s="16">
        <f t="shared" si="116"/>
        <v>174.54433175567101</v>
      </c>
      <c r="AS908" s="17">
        <f t="shared" si="117"/>
        <v>9.9739618146097719E-3</v>
      </c>
      <c r="AT908" s="6">
        <v>17500</v>
      </c>
      <c r="AU908" s="6">
        <v>15281.14453125</v>
      </c>
      <c r="AV908" s="6">
        <f t="shared" si="118"/>
        <v>2218.85546875</v>
      </c>
      <c r="AW908" s="7">
        <f t="shared" si="119"/>
        <v>0.12679174107142857</v>
      </c>
    </row>
    <row r="909" spans="1:49" x14ac:dyDescent="0.25">
      <c r="A909" t="s">
        <v>38</v>
      </c>
      <c r="B909" t="s">
        <v>229</v>
      </c>
      <c r="C909">
        <v>59117</v>
      </c>
      <c r="D909">
        <v>2023</v>
      </c>
      <c r="E909" t="s">
        <v>58</v>
      </c>
      <c r="F909" t="s">
        <v>880</v>
      </c>
      <c r="H909" t="s">
        <v>1046</v>
      </c>
      <c r="I909">
        <v>8</v>
      </c>
      <c r="J909" t="s">
        <v>43</v>
      </c>
      <c r="K909">
        <v>4</v>
      </c>
      <c r="L909" t="s">
        <v>44</v>
      </c>
      <c r="M909">
        <v>6.7</v>
      </c>
      <c r="N909" t="s">
        <v>62</v>
      </c>
      <c r="O909" t="s">
        <v>46</v>
      </c>
      <c r="P909">
        <v>4</v>
      </c>
      <c r="Q909" t="s">
        <v>75</v>
      </c>
      <c r="R909" t="s">
        <v>76</v>
      </c>
      <c r="S909" t="s">
        <v>63</v>
      </c>
      <c r="U909" t="s">
        <v>300</v>
      </c>
      <c r="V909" t="s">
        <v>64</v>
      </c>
      <c r="X909" t="s">
        <v>301</v>
      </c>
      <c r="Y909" t="s">
        <v>67</v>
      </c>
      <c r="AA909">
        <v>0</v>
      </c>
      <c r="AB909" t="s">
        <v>54</v>
      </c>
      <c r="AC909" t="s">
        <v>302</v>
      </c>
      <c r="AD909">
        <v>34</v>
      </c>
      <c r="AE909">
        <v>8</v>
      </c>
      <c r="AF909">
        <v>3</v>
      </c>
      <c r="AG909">
        <v>2025</v>
      </c>
      <c r="AH909" s="13">
        <v>51000</v>
      </c>
      <c r="AI909" s="13">
        <v>58531.41015625</v>
      </c>
      <c r="AJ909" s="13">
        <f t="shared" si="112"/>
        <v>7531.41015625</v>
      </c>
      <c r="AK909" s="14">
        <f t="shared" si="113"/>
        <v>0.14767470894607843</v>
      </c>
      <c r="AL909" s="9">
        <v>51000</v>
      </c>
      <c r="AM909" s="9">
        <v>56123.55614344366</v>
      </c>
      <c r="AN909" s="9">
        <f t="shared" si="114"/>
        <v>5123.5561434436604</v>
      </c>
      <c r="AO909" s="10">
        <f t="shared" si="115"/>
        <v>0.10046188516556197</v>
      </c>
      <c r="AP909" s="16">
        <v>51000</v>
      </c>
      <c r="AQ909" s="16">
        <v>59760.733203746837</v>
      </c>
      <c r="AR909" s="16">
        <f t="shared" si="116"/>
        <v>8760.7332037468368</v>
      </c>
      <c r="AS909" s="17">
        <f t="shared" si="117"/>
        <v>0.17177908242640857</v>
      </c>
      <c r="AT909" s="6">
        <v>51000</v>
      </c>
      <c r="AU909" s="6">
        <v>46919.0234375</v>
      </c>
      <c r="AV909" s="6">
        <f t="shared" si="118"/>
        <v>4080.9765625</v>
      </c>
      <c r="AW909" s="7">
        <f t="shared" si="119"/>
        <v>8.0019148284313724E-2</v>
      </c>
    </row>
    <row r="910" spans="1:49" x14ac:dyDescent="0.25">
      <c r="A910" t="s">
        <v>107</v>
      </c>
      <c r="B910" t="s">
        <v>108</v>
      </c>
      <c r="C910">
        <v>107483</v>
      </c>
      <c r="D910">
        <v>2015</v>
      </c>
      <c r="E910" t="s">
        <v>173</v>
      </c>
      <c r="F910" t="s">
        <v>174</v>
      </c>
      <c r="G910" t="s">
        <v>915</v>
      </c>
      <c r="I910">
        <v>6</v>
      </c>
      <c r="J910" t="s">
        <v>74</v>
      </c>
      <c r="K910">
        <v>4</v>
      </c>
      <c r="L910" t="s">
        <v>44</v>
      </c>
      <c r="M910">
        <v>3.2</v>
      </c>
      <c r="N910" t="s">
        <v>62</v>
      </c>
      <c r="O910" t="s">
        <v>46</v>
      </c>
      <c r="P910">
        <v>2</v>
      </c>
      <c r="Q910" t="s">
        <v>47</v>
      </c>
      <c r="R910" t="s">
        <v>48</v>
      </c>
      <c r="S910" t="s">
        <v>63</v>
      </c>
      <c r="U910" t="s">
        <v>50</v>
      </c>
      <c r="X910" t="s">
        <v>141</v>
      </c>
      <c r="Y910" t="s">
        <v>67</v>
      </c>
      <c r="AA910">
        <v>0</v>
      </c>
      <c r="AB910" t="s">
        <v>54</v>
      </c>
      <c r="AC910" t="s">
        <v>55</v>
      </c>
      <c r="AD910">
        <v>34</v>
      </c>
      <c r="AE910">
        <v>8</v>
      </c>
      <c r="AF910">
        <v>3</v>
      </c>
      <c r="AG910">
        <v>2025</v>
      </c>
      <c r="AH910" s="13">
        <v>3300</v>
      </c>
      <c r="AI910" s="13">
        <v>3724.61474609375</v>
      </c>
      <c r="AJ910" s="13">
        <f t="shared" si="112"/>
        <v>424.61474609375</v>
      </c>
      <c r="AK910" s="14">
        <f t="shared" si="113"/>
        <v>0.12867113517992423</v>
      </c>
      <c r="AL910" s="9">
        <v>3300</v>
      </c>
      <c r="AM910" s="9">
        <v>5073.8439273508102</v>
      </c>
      <c r="AN910" s="9">
        <f t="shared" si="114"/>
        <v>1773.8439273508102</v>
      </c>
      <c r="AO910" s="10">
        <f t="shared" si="115"/>
        <v>0.5375284628335788</v>
      </c>
      <c r="AP910" s="16">
        <v>3300</v>
      </c>
      <c r="AQ910" s="16">
        <v>4086.395854244678</v>
      </c>
      <c r="AR910" s="16">
        <f t="shared" si="116"/>
        <v>786.39585424467805</v>
      </c>
      <c r="AS910" s="17">
        <f t="shared" si="117"/>
        <v>0.2383017740135388</v>
      </c>
      <c r="AT910" s="6">
        <v>3300</v>
      </c>
      <c r="AU910" s="6">
        <v>4416.92333984375</v>
      </c>
      <c r="AV910" s="6">
        <f t="shared" si="118"/>
        <v>1116.92333984375</v>
      </c>
      <c r="AW910" s="7">
        <f t="shared" si="119"/>
        <v>0.33846161813446968</v>
      </c>
    </row>
    <row r="911" spans="1:49" x14ac:dyDescent="0.25">
      <c r="A911" t="s">
        <v>69</v>
      </c>
      <c r="B911" t="s">
        <v>70</v>
      </c>
      <c r="C911">
        <v>63615</v>
      </c>
      <c r="D911">
        <v>2020</v>
      </c>
      <c r="E911" t="s">
        <v>71</v>
      </c>
      <c r="F911" t="s">
        <v>750</v>
      </c>
      <c r="I911">
        <v>4</v>
      </c>
      <c r="J911" t="s">
        <v>74</v>
      </c>
      <c r="K911">
        <v>4</v>
      </c>
      <c r="L911" t="s">
        <v>44</v>
      </c>
      <c r="M911">
        <v>2</v>
      </c>
      <c r="N911" t="s">
        <v>45</v>
      </c>
      <c r="O911" t="s">
        <v>46</v>
      </c>
      <c r="P911">
        <v>4</v>
      </c>
      <c r="Q911" t="s">
        <v>84</v>
      </c>
      <c r="R911" t="s">
        <v>157</v>
      </c>
      <c r="S911" t="s">
        <v>49</v>
      </c>
      <c r="U911" t="s">
        <v>50</v>
      </c>
      <c r="X911" t="s">
        <v>87</v>
      </c>
      <c r="Y911" t="s">
        <v>97</v>
      </c>
      <c r="AA911">
        <v>0</v>
      </c>
      <c r="AB911" t="s">
        <v>54</v>
      </c>
      <c r="AC911" t="s">
        <v>159</v>
      </c>
      <c r="AD911">
        <v>34</v>
      </c>
      <c r="AE911">
        <v>8</v>
      </c>
      <c r="AF911">
        <v>3</v>
      </c>
      <c r="AG911">
        <v>2025</v>
      </c>
      <c r="AH911" s="13">
        <v>10500</v>
      </c>
      <c r="AI911" s="13">
        <v>12375.259765625</v>
      </c>
      <c r="AJ911" s="13">
        <f t="shared" si="112"/>
        <v>1875.259765625</v>
      </c>
      <c r="AK911" s="14">
        <f t="shared" si="113"/>
        <v>0.1785961681547619</v>
      </c>
      <c r="AL911" s="9">
        <v>10500</v>
      </c>
      <c r="AM911" s="9">
        <v>15084.62456295789</v>
      </c>
      <c r="AN911" s="9">
        <f t="shared" si="114"/>
        <v>4584.6245629578898</v>
      </c>
      <c r="AO911" s="10">
        <f t="shared" si="115"/>
        <v>0.43663091075789429</v>
      </c>
      <c r="AP911" s="16">
        <v>10500</v>
      </c>
      <c r="AQ911" s="16">
        <v>11627.468795358949</v>
      </c>
      <c r="AR911" s="16">
        <f t="shared" si="116"/>
        <v>1127.4687953589491</v>
      </c>
      <c r="AS911" s="17">
        <f t="shared" si="117"/>
        <v>0.10737798051037611</v>
      </c>
      <c r="AT911" s="6">
        <v>10500</v>
      </c>
      <c r="AU911" s="6">
        <v>11789.17578125</v>
      </c>
      <c r="AV911" s="6">
        <f t="shared" si="118"/>
        <v>1289.17578125</v>
      </c>
      <c r="AW911" s="7">
        <f t="shared" si="119"/>
        <v>0.12277864583333334</v>
      </c>
    </row>
    <row r="912" spans="1:49" x14ac:dyDescent="0.25">
      <c r="A912" t="s">
        <v>38</v>
      </c>
      <c r="B912" t="s">
        <v>167</v>
      </c>
      <c r="C912">
        <v>140224</v>
      </c>
      <c r="D912">
        <v>2014</v>
      </c>
      <c r="E912" t="s">
        <v>58</v>
      </c>
      <c r="F912" t="s">
        <v>168</v>
      </c>
      <c r="I912">
        <v>6</v>
      </c>
      <c r="J912" t="s">
        <v>82</v>
      </c>
      <c r="K912">
        <v>4</v>
      </c>
      <c r="L912" t="s">
        <v>44</v>
      </c>
      <c r="M912">
        <v>3.5</v>
      </c>
      <c r="N912" t="s">
        <v>62</v>
      </c>
      <c r="O912" t="s">
        <v>46</v>
      </c>
      <c r="P912">
        <v>1</v>
      </c>
      <c r="Q912" t="s">
        <v>75</v>
      </c>
      <c r="R912" t="s">
        <v>76</v>
      </c>
      <c r="S912" t="s">
        <v>63</v>
      </c>
      <c r="T912">
        <v>365</v>
      </c>
      <c r="U912" t="s">
        <v>50</v>
      </c>
      <c r="V912" t="s">
        <v>64</v>
      </c>
      <c r="X912" t="s">
        <v>77</v>
      </c>
      <c r="Y912" t="s">
        <v>67</v>
      </c>
      <c r="AA912">
        <v>0</v>
      </c>
      <c r="AB912" t="s">
        <v>54</v>
      </c>
      <c r="AC912" t="s">
        <v>78</v>
      </c>
      <c r="AD912">
        <v>34</v>
      </c>
      <c r="AE912">
        <v>8</v>
      </c>
      <c r="AF912">
        <v>3</v>
      </c>
      <c r="AG912">
        <v>2025</v>
      </c>
      <c r="AH912" s="13">
        <v>6200</v>
      </c>
      <c r="AI912" s="13">
        <v>7114.958984375</v>
      </c>
      <c r="AJ912" s="13">
        <f t="shared" si="112"/>
        <v>914.958984375</v>
      </c>
      <c r="AK912" s="14">
        <f t="shared" si="113"/>
        <v>0.14757402973790323</v>
      </c>
      <c r="AL912" s="9">
        <v>6200</v>
      </c>
      <c r="AM912" s="9">
        <v>7590.5802792257718</v>
      </c>
      <c r="AN912" s="9">
        <f t="shared" si="114"/>
        <v>1390.5802792257718</v>
      </c>
      <c r="AO912" s="10">
        <f t="shared" si="115"/>
        <v>0.22428714181060835</v>
      </c>
      <c r="AP912" s="16">
        <v>6200</v>
      </c>
      <c r="AQ912" s="16">
        <v>6145.7595951191088</v>
      </c>
      <c r="AR912" s="16">
        <f t="shared" si="116"/>
        <v>54.240404880891219</v>
      </c>
      <c r="AS912" s="17">
        <f t="shared" si="117"/>
        <v>8.7484524001437448E-3</v>
      </c>
      <c r="AT912" s="6">
        <v>6200</v>
      </c>
      <c r="AU912" s="6">
        <v>6292.34326171875</v>
      </c>
      <c r="AV912" s="6">
        <f t="shared" si="118"/>
        <v>92.34326171875</v>
      </c>
      <c r="AW912" s="7">
        <f t="shared" si="119"/>
        <v>1.4894074470766129E-2</v>
      </c>
    </row>
    <row r="913" spans="1:49" x14ac:dyDescent="0.25">
      <c r="A913" t="s">
        <v>38</v>
      </c>
      <c r="B913" t="s">
        <v>90</v>
      </c>
      <c r="C913">
        <v>84884</v>
      </c>
      <c r="D913">
        <v>2021</v>
      </c>
      <c r="E913" t="s">
        <v>269</v>
      </c>
      <c r="F913" t="s">
        <v>270</v>
      </c>
      <c r="G913" t="s">
        <v>701</v>
      </c>
      <c r="I913">
        <v>4</v>
      </c>
      <c r="J913" t="s">
        <v>82</v>
      </c>
      <c r="K913">
        <v>4</v>
      </c>
      <c r="L913" t="s">
        <v>44</v>
      </c>
      <c r="M913">
        <v>2</v>
      </c>
      <c r="N913" t="s">
        <v>44</v>
      </c>
      <c r="O913" t="s">
        <v>46</v>
      </c>
      <c r="P913">
        <v>4</v>
      </c>
      <c r="Q913" t="s">
        <v>47</v>
      </c>
      <c r="R913" t="s">
        <v>48</v>
      </c>
      <c r="S913" t="s">
        <v>139</v>
      </c>
      <c r="T913">
        <v>248</v>
      </c>
      <c r="U913" t="s">
        <v>50</v>
      </c>
      <c r="X913" t="s">
        <v>141</v>
      </c>
      <c r="Y913" t="s">
        <v>67</v>
      </c>
      <c r="Z913">
        <v>45000</v>
      </c>
      <c r="AA913">
        <v>0</v>
      </c>
      <c r="AB913" t="s">
        <v>54</v>
      </c>
      <c r="AC913" t="s">
        <v>55</v>
      </c>
      <c r="AD913">
        <v>34</v>
      </c>
      <c r="AE913">
        <v>8</v>
      </c>
      <c r="AF913">
        <v>3</v>
      </c>
      <c r="AG913">
        <v>2025</v>
      </c>
      <c r="AH913" s="13">
        <v>16000</v>
      </c>
      <c r="AI913" s="13">
        <v>24460.30859375</v>
      </c>
      <c r="AJ913" s="13">
        <f t="shared" si="112"/>
        <v>8460.30859375</v>
      </c>
      <c r="AK913" s="14">
        <f t="shared" si="113"/>
        <v>0.52876928710937499</v>
      </c>
      <c r="AL913" s="9">
        <v>16000</v>
      </c>
      <c r="AM913" s="9">
        <v>21246.440666403079</v>
      </c>
      <c r="AN913" s="9">
        <f t="shared" si="114"/>
        <v>5246.4406664030794</v>
      </c>
      <c r="AO913" s="10">
        <f t="shared" si="115"/>
        <v>0.32790254165019245</v>
      </c>
      <c r="AP913" s="16">
        <v>16000</v>
      </c>
      <c r="AQ913" s="16">
        <v>18159.825472117031</v>
      </c>
      <c r="AR913" s="16">
        <f t="shared" si="116"/>
        <v>2159.8254721170306</v>
      </c>
      <c r="AS913" s="17">
        <f t="shared" si="117"/>
        <v>0.1349890920073144</v>
      </c>
      <c r="AT913" s="6">
        <v>16000</v>
      </c>
      <c r="AU913" s="6">
        <v>18192.51953125</v>
      </c>
      <c r="AV913" s="6">
        <f t="shared" si="118"/>
        <v>2192.51953125</v>
      </c>
      <c r="AW913" s="7">
        <f t="shared" si="119"/>
        <v>0.13703247070312499</v>
      </c>
    </row>
    <row r="914" spans="1:49" x14ac:dyDescent="0.25">
      <c r="A914" t="s">
        <v>56</v>
      </c>
      <c r="B914" t="s">
        <v>144</v>
      </c>
      <c r="C914">
        <v>57423</v>
      </c>
      <c r="D914">
        <v>2019</v>
      </c>
      <c r="E914" t="s">
        <v>241</v>
      </c>
      <c r="F914" t="s">
        <v>514</v>
      </c>
      <c r="H914" t="s">
        <v>1200</v>
      </c>
      <c r="I914">
        <v>4</v>
      </c>
      <c r="J914" t="s">
        <v>61</v>
      </c>
      <c r="K914">
        <v>4</v>
      </c>
      <c r="L914" t="s">
        <v>44</v>
      </c>
      <c r="M914">
        <v>2</v>
      </c>
      <c r="N914" t="s">
        <v>44</v>
      </c>
      <c r="O914" t="s">
        <v>46</v>
      </c>
      <c r="Q914" t="s">
        <v>84</v>
      </c>
      <c r="R914" t="s">
        <v>85</v>
      </c>
      <c r="S914" t="s">
        <v>139</v>
      </c>
      <c r="T914">
        <v>255</v>
      </c>
      <c r="U914" t="s">
        <v>50</v>
      </c>
      <c r="V914" t="s">
        <v>95</v>
      </c>
      <c r="W914" t="s">
        <v>1058</v>
      </c>
      <c r="X914" t="s">
        <v>87</v>
      </c>
      <c r="Y914" t="s">
        <v>1096</v>
      </c>
      <c r="AA914">
        <v>0</v>
      </c>
      <c r="AB914" t="s">
        <v>54</v>
      </c>
      <c r="AC914" t="s">
        <v>89</v>
      </c>
      <c r="AD914">
        <v>34</v>
      </c>
      <c r="AE914">
        <v>8</v>
      </c>
      <c r="AF914">
        <v>3</v>
      </c>
      <c r="AG914">
        <v>2025</v>
      </c>
      <c r="AH914" s="13">
        <v>17000</v>
      </c>
      <c r="AI914" s="13">
        <v>18535.615234375</v>
      </c>
      <c r="AJ914" s="13">
        <f t="shared" si="112"/>
        <v>1535.615234375</v>
      </c>
      <c r="AK914" s="14">
        <f t="shared" si="113"/>
        <v>9.0330307904411766E-2</v>
      </c>
      <c r="AL914" s="9">
        <v>17000</v>
      </c>
      <c r="AM914" s="9">
        <v>17996.67896902452</v>
      </c>
      <c r="AN914" s="9">
        <f t="shared" si="114"/>
        <v>996.67896902452048</v>
      </c>
      <c r="AO914" s="10">
        <f t="shared" si="115"/>
        <v>5.8628174648501202E-2</v>
      </c>
      <c r="AP914" s="16">
        <v>17000</v>
      </c>
      <c r="AQ914" s="16">
        <v>19631.573367189041</v>
      </c>
      <c r="AR914" s="16">
        <f t="shared" si="116"/>
        <v>2631.5733671890412</v>
      </c>
      <c r="AS914" s="17">
        <f t="shared" si="117"/>
        <v>0.15479843336406124</v>
      </c>
      <c r="AT914" s="6">
        <v>17000</v>
      </c>
      <c r="AU914" s="6">
        <v>17581.83203125</v>
      </c>
      <c r="AV914" s="6">
        <f t="shared" si="118"/>
        <v>581.83203125</v>
      </c>
      <c r="AW914" s="7">
        <f t="shared" si="119"/>
        <v>3.4225413602941179E-2</v>
      </c>
    </row>
    <row r="915" spans="1:49" x14ac:dyDescent="0.25">
      <c r="A915" t="s">
        <v>107</v>
      </c>
      <c r="B915" t="s">
        <v>614</v>
      </c>
      <c r="C915">
        <v>179537</v>
      </c>
      <c r="D915">
        <v>2016</v>
      </c>
      <c r="E915" t="s">
        <v>145</v>
      </c>
      <c r="F915" t="s">
        <v>349</v>
      </c>
      <c r="G915" t="s">
        <v>1201</v>
      </c>
      <c r="I915">
        <v>4</v>
      </c>
      <c r="J915" t="s">
        <v>94</v>
      </c>
      <c r="K915">
        <v>4</v>
      </c>
      <c r="L915" t="s">
        <v>44</v>
      </c>
      <c r="M915">
        <v>1.5</v>
      </c>
      <c r="N915" t="s">
        <v>45</v>
      </c>
      <c r="O915" t="s">
        <v>46</v>
      </c>
      <c r="Q915" t="s">
        <v>84</v>
      </c>
      <c r="R915" t="s">
        <v>85</v>
      </c>
      <c r="S915" t="s">
        <v>49</v>
      </c>
      <c r="T915">
        <v>174</v>
      </c>
      <c r="U915" t="s">
        <v>50</v>
      </c>
      <c r="V915" t="s">
        <v>95</v>
      </c>
      <c r="W915" t="s">
        <v>838</v>
      </c>
      <c r="X915" t="s">
        <v>122</v>
      </c>
      <c r="Y915" t="s">
        <v>67</v>
      </c>
      <c r="AA915">
        <v>0</v>
      </c>
      <c r="AB915" t="s">
        <v>54</v>
      </c>
      <c r="AC915" t="s">
        <v>89</v>
      </c>
      <c r="AD915">
        <v>34</v>
      </c>
      <c r="AE915">
        <v>8</v>
      </c>
      <c r="AF915">
        <v>3</v>
      </c>
      <c r="AG915">
        <v>2025</v>
      </c>
      <c r="AH915" s="13">
        <v>3500</v>
      </c>
      <c r="AI915" s="13">
        <v>5427.9326171875</v>
      </c>
      <c r="AJ915" s="13">
        <f t="shared" si="112"/>
        <v>1927.9326171875</v>
      </c>
      <c r="AK915" s="14">
        <f t="shared" si="113"/>
        <v>0.55083789062499999</v>
      </c>
      <c r="AL915" s="9">
        <v>3500</v>
      </c>
      <c r="AM915" s="9">
        <v>4782.265180392812</v>
      </c>
      <c r="AN915" s="9">
        <f t="shared" si="114"/>
        <v>1282.265180392812</v>
      </c>
      <c r="AO915" s="10">
        <f t="shared" si="115"/>
        <v>0.36636148011223202</v>
      </c>
      <c r="AP915" s="16">
        <v>3500</v>
      </c>
      <c r="AQ915" s="16">
        <v>5030.3986073662336</v>
      </c>
      <c r="AR915" s="16">
        <f t="shared" si="116"/>
        <v>1530.3986073662336</v>
      </c>
      <c r="AS915" s="17">
        <f t="shared" si="117"/>
        <v>0.43725674496178102</v>
      </c>
      <c r="AT915" s="6">
        <v>3500</v>
      </c>
      <c r="AU915" s="6">
        <v>4833.9931640625</v>
      </c>
      <c r="AV915" s="6">
        <f t="shared" si="118"/>
        <v>1333.9931640625</v>
      </c>
      <c r="AW915" s="7">
        <f t="shared" si="119"/>
        <v>0.38114090401785716</v>
      </c>
    </row>
    <row r="916" spans="1:49" x14ac:dyDescent="0.25">
      <c r="A916" t="s">
        <v>56</v>
      </c>
      <c r="B916" t="s">
        <v>104</v>
      </c>
      <c r="C916">
        <v>45601</v>
      </c>
      <c r="D916">
        <v>2014</v>
      </c>
      <c r="E916" t="s">
        <v>79</v>
      </c>
      <c r="F916" t="s">
        <v>272</v>
      </c>
      <c r="G916" t="s">
        <v>896</v>
      </c>
      <c r="H916" t="s">
        <v>162</v>
      </c>
      <c r="I916">
        <v>6</v>
      </c>
      <c r="J916" t="s">
        <v>82</v>
      </c>
      <c r="K916">
        <v>2</v>
      </c>
      <c r="L916" t="s">
        <v>44</v>
      </c>
      <c r="M916">
        <v>4.3</v>
      </c>
      <c r="N916" t="s">
        <v>116</v>
      </c>
      <c r="O916" t="s">
        <v>46</v>
      </c>
      <c r="Q916" t="s">
        <v>75</v>
      </c>
      <c r="R916" t="s">
        <v>76</v>
      </c>
      <c r="S916" t="s">
        <v>49</v>
      </c>
      <c r="U916" t="s">
        <v>50</v>
      </c>
      <c r="V916" t="s">
        <v>64</v>
      </c>
      <c r="W916" t="s">
        <v>1142</v>
      </c>
      <c r="X916" t="s">
        <v>66</v>
      </c>
      <c r="Y916" t="s">
        <v>67</v>
      </c>
      <c r="AA916">
        <v>0</v>
      </c>
      <c r="AB916" t="s">
        <v>54</v>
      </c>
      <c r="AC916" t="s">
        <v>78</v>
      </c>
      <c r="AD916">
        <v>34</v>
      </c>
      <c r="AE916">
        <v>8</v>
      </c>
      <c r="AF916">
        <v>3</v>
      </c>
      <c r="AG916">
        <v>2025</v>
      </c>
      <c r="AH916" s="13">
        <v>10500</v>
      </c>
      <c r="AI916" s="13">
        <v>11029.4765625</v>
      </c>
      <c r="AJ916" s="13">
        <f t="shared" si="112"/>
        <v>529.4765625</v>
      </c>
      <c r="AK916" s="14">
        <f t="shared" si="113"/>
        <v>5.0426339285714286E-2</v>
      </c>
      <c r="AL916" s="9">
        <v>10500</v>
      </c>
      <c r="AM916" s="9">
        <v>9719.2056844868348</v>
      </c>
      <c r="AN916" s="9">
        <f t="shared" si="114"/>
        <v>780.7943155131652</v>
      </c>
      <c r="AO916" s="10">
        <f t="shared" si="115"/>
        <v>7.4361363382206211E-2</v>
      </c>
      <c r="AP916" s="16">
        <v>10500</v>
      </c>
      <c r="AQ916" s="16">
        <v>8250.1876774399225</v>
      </c>
      <c r="AR916" s="16">
        <f t="shared" si="116"/>
        <v>2249.8123225600775</v>
      </c>
      <c r="AS916" s="17">
        <f t="shared" si="117"/>
        <v>0.2142678402438169</v>
      </c>
      <c r="AT916" s="6">
        <v>10500</v>
      </c>
      <c r="AU916" s="6">
        <v>11032.306640625</v>
      </c>
      <c r="AV916" s="6">
        <f t="shared" si="118"/>
        <v>532.306640625</v>
      </c>
      <c r="AW916" s="7">
        <f t="shared" si="119"/>
        <v>5.0695870535714282E-2</v>
      </c>
    </row>
    <row r="917" spans="1:49" x14ac:dyDescent="0.25">
      <c r="A917" t="s">
        <v>38</v>
      </c>
      <c r="B917" t="s">
        <v>289</v>
      </c>
      <c r="C917">
        <v>226907</v>
      </c>
      <c r="D917">
        <v>2008</v>
      </c>
      <c r="E917" t="s">
        <v>71</v>
      </c>
      <c r="F917" t="s">
        <v>590</v>
      </c>
      <c r="I917">
        <v>6</v>
      </c>
      <c r="J917" t="s">
        <v>94</v>
      </c>
      <c r="K917">
        <v>4</v>
      </c>
      <c r="L917" t="s">
        <v>44</v>
      </c>
      <c r="M917">
        <v>4</v>
      </c>
      <c r="N917" t="s">
        <v>116</v>
      </c>
      <c r="Q917" t="s">
        <v>47</v>
      </c>
      <c r="R917" t="s">
        <v>48</v>
      </c>
      <c r="S917" t="s">
        <v>49</v>
      </c>
      <c r="U917" t="s">
        <v>50</v>
      </c>
      <c r="X917" t="s">
        <v>141</v>
      </c>
      <c r="Y917" t="s">
        <v>67</v>
      </c>
      <c r="AA917">
        <v>0</v>
      </c>
      <c r="AB917" t="s">
        <v>54</v>
      </c>
      <c r="AC917" t="s">
        <v>55</v>
      </c>
      <c r="AD917">
        <v>34</v>
      </c>
      <c r="AE917">
        <v>8</v>
      </c>
      <c r="AF917">
        <v>3</v>
      </c>
      <c r="AG917">
        <v>2025</v>
      </c>
      <c r="AH917" s="13">
        <v>1000</v>
      </c>
      <c r="AI917" s="13">
        <v>881.7794189453125</v>
      </c>
      <c r="AJ917" s="13">
        <f t="shared" si="112"/>
        <v>118.2205810546875</v>
      </c>
      <c r="AK917" s="14">
        <f t="shared" si="113"/>
        <v>0.1182205810546875</v>
      </c>
      <c r="AL917" s="9">
        <v>1000</v>
      </c>
      <c r="AM917" s="9">
        <v>833.95261211101285</v>
      </c>
      <c r="AN917" s="9">
        <f t="shared" si="114"/>
        <v>166.04738788898715</v>
      </c>
      <c r="AO917" s="10">
        <f t="shared" si="115"/>
        <v>0.16604738788898715</v>
      </c>
      <c r="AP917" s="16">
        <v>1000</v>
      </c>
      <c r="AQ917" s="16">
        <v>830.64734057426529</v>
      </c>
      <c r="AR917" s="16">
        <f t="shared" si="116"/>
        <v>169.35265942573471</v>
      </c>
      <c r="AS917" s="17">
        <f t="shared" si="117"/>
        <v>0.16935265942573471</v>
      </c>
      <c r="AT917" s="6">
        <v>1000</v>
      </c>
      <c r="AU917" s="6">
        <v>733.5205078125</v>
      </c>
      <c r="AV917" s="6">
        <f t="shared" si="118"/>
        <v>266.4794921875</v>
      </c>
      <c r="AW917" s="7">
        <f t="shared" si="119"/>
        <v>0.2664794921875</v>
      </c>
    </row>
    <row r="918" spans="1:49" x14ac:dyDescent="0.25">
      <c r="A918" t="s">
        <v>56</v>
      </c>
      <c r="B918" t="s">
        <v>104</v>
      </c>
      <c r="C918">
        <v>113320</v>
      </c>
      <c r="D918">
        <v>2022</v>
      </c>
      <c r="E918" t="s">
        <v>382</v>
      </c>
      <c r="F918" t="s">
        <v>1202</v>
      </c>
      <c r="G918" t="s">
        <v>284</v>
      </c>
      <c r="I918">
        <v>6</v>
      </c>
      <c r="J918" t="s">
        <v>82</v>
      </c>
      <c r="K918">
        <v>4</v>
      </c>
      <c r="L918" t="s">
        <v>44</v>
      </c>
      <c r="M918">
        <v>3.6</v>
      </c>
      <c r="N918" t="s">
        <v>45</v>
      </c>
      <c r="O918" t="s">
        <v>46</v>
      </c>
      <c r="P918">
        <v>4</v>
      </c>
      <c r="Q918" t="s">
        <v>47</v>
      </c>
      <c r="R918" t="s">
        <v>365</v>
      </c>
      <c r="S918" t="s">
        <v>102</v>
      </c>
      <c r="T918">
        <v>287</v>
      </c>
      <c r="U918" t="s">
        <v>50</v>
      </c>
      <c r="V918" t="s">
        <v>64</v>
      </c>
      <c r="X918" t="s">
        <v>66</v>
      </c>
      <c r="Y918" t="s">
        <v>88</v>
      </c>
      <c r="AA918">
        <v>0</v>
      </c>
      <c r="AB918" t="s">
        <v>54</v>
      </c>
      <c r="AC918" t="s">
        <v>365</v>
      </c>
      <c r="AD918">
        <v>34</v>
      </c>
      <c r="AE918">
        <v>8</v>
      </c>
      <c r="AF918">
        <v>3</v>
      </c>
      <c r="AG918">
        <v>2025</v>
      </c>
      <c r="AH918" s="13">
        <v>13100</v>
      </c>
      <c r="AI918" s="13">
        <v>15513.5302734375</v>
      </c>
      <c r="AJ918" s="13">
        <f t="shared" si="112"/>
        <v>2413.5302734375</v>
      </c>
      <c r="AK918" s="14">
        <f t="shared" si="113"/>
        <v>0.18423895217080152</v>
      </c>
      <c r="AL918" s="9">
        <v>13100</v>
      </c>
      <c r="AM918" s="9">
        <v>14335.80693913647</v>
      </c>
      <c r="AN918" s="9">
        <f t="shared" si="114"/>
        <v>1235.8069391364697</v>
      </c>
      <c r="AO918" s="10">
        <f t="shared" si="115"/>
        <v>9.433640756766945E-2</v>
      </c>
      <c r="AP918" s="16">
        <v>13100</v>
      </c>
      <c r="AQ918" s="16">
        <v>12868.691968671499</v>
      </c>
      <c r="AR918" s="16">
        <f t="shared" si="116"/>
        <v>231.30803132850087</v>
      </c>
      <c r="AS918" s="17">
        <f t="shared" si="117"/>
        <v>1.7657101628129838E-2</v>
      </c>
      <c r="AT918" s="6">
        <v>13100</v>
      </c>
      <c r="AU918" s="6">
        <v>14137.2568359375</v>
      </c>
      <c r="AV918" s="6">
        <f t="shared" si="118"/>
        <v>1037.2568359375</v>
      </c>
      <c r="AW918" s="7">
        <f t="shared" si="119"/>
        <v>7.9179911140267178E-2</v>
      </c>
    </row>
    <row r="919" spans="1:49" x14ac:dyDescent="0.25">
      <c r="A919" t="s">
        <v>38</v>
      </c>
      <c r="B919" t="s">
        <v>167</v>
      </c>
      <c r="C919">
        <v>126282</v>
      </c>
      <c r="D919">
        <v>2013</v>
      </c>
      <c r="E919" t="s">
        <v>213</v>
      </c>
      <c r="F919" t="s">
        <v>654</v>
      </c>
      <c r="G919" t="s">
        <v>1203</v>
      </c>
      <c r="I919">
        <v>6</v>
      </c>
      <c r="J919" t="s">
        <v>82</v>
      </c>
      <c r="K919">
        <v>4</v>
      </c>
      <c r="L919" t="s">
        <v>44</v>
      </c>
      <c r="M919">
        <v>3.6</v>
      </c>
      <c r="N919" t="s">
        <v>45</v>
      </c>
      <c r="O919" t="s">
        <v>46</v>
      </c>
      <c r="P919">
        <v>3</v>
      </c>
      <c r="Q919" t="s">
        <v>47</v>
      </c>
      <c r="R919" t="s">
        <v>48</v>
      </c>
      <c r="S919" t="s">
        <v>102</v>
      </c>
      <c r="U919" t="s">
        <v>50</v>
      </c>
      <c r="W919" t="s">
        <v>655</v>
      </c>
      <c r="X919" t="s">
        <v>141</v>
      </c>
      <c r="Y919" t="s">
        <v>106</v>
      </c>
      <c r="AA919">
        <v>0</v>
      </c>
      <c r="AB919" t="s">
        <v>54</v>
      </c>
      <c r="AC919" t="s">
        <v>55</v>
      </c>
      <c r="AD919">
        <v>34</v>
      </c>
      <c r="AE919">
        <v>8</v>
      </c>
      <c r="AF919">
        <v>3</v>
      </c>
      <c r="AG919">
        <v>2025</v>
      </c>
      <c r="AH919" s="13">
        <v>5100</v>
      </c>
      <c r="AI919" s="13">
        <v>3590.160400390625</v>
      </c>
      <c r="AJ919" s="13">
        <f t="shared" si="112"/>
        <v>1509.839599609375</v>
      </c>
      <c r="AK919" s="14">
        <f t="shared" si="113"/>
        <v>0.2960469803155637</v>
      </c>
      <c r="AL919" s="9">
        <v>5100</v>
      </c>
      <c r="AM919" s="9">
        <v>3926.691290508259</v>
      </c>
      <c r="AN919" s="9">
        <f t="shared" si="114"/>
        <v>1173.308709491741</v>
      </c>
      <c r="AO919" s="10">
        <f t="shared" si="115"/>
        <v>0.23006053127289039</v>
      </c>
      <c r="AP919" s="16">
        <v>5100</v>
      </c>
      <c r="AQ919" s="16">
        <v>3901.8442498341151</v>
      </c>
      <c r="AR919" s="16">
        <f t="shared" si="116"/>
        <v>1198.1557501658849</v>
      </c>
      <c r="AS919" s="17">
        <f t="shared" si="117"/>
        <v>0.23493250003252644</v>
      </c>
      <c r="AT919" s="6">
        <v>5100</v>
      </c>
      <c r="AU919" s="6">
        <v>3589.49267578125</v>
      </c>
      <c r="AV919" s="6">
        <f t="shared" si="118"/>
        <v>1510.50732421875</v>
      </c>
      <c r="AW919" s="7">
        <f t="shared" si="119"/>
        <v>0.29617790670955885</v>
      </c>
    </row>
    <row r="920" spans="1:49" x14ac:dyDescent="0.25">
      <c r="A920" t="s">
        <v>56</v>
      </c>
      <c r="B920" t="s">
        <v>144</v>
      </c>
      <c r="C920">
        <v>5467</v>
      </c>
      <c r="D920">
        <v>2023</v>
      </c>
      <c r="E920" t="s">
        <v>91</v>
      </c>
      <c r="F920" t="s">
        <v>517</v>
      </c>
      <c r="G920" t="s">
        <v>693</v>
      </c>
      <c r="H920" t="s">
        <v>519</v>
      </c>
      <c r="I920">
        <v>4</v>
      </c>
      <c r="J920" t="s">
        <v>61</v>
      </c>
      <c r="K920">
        <v>4</v>
      </c>
      <c r="L920" t="s">
        <v>44</v>
      </c>
      <c r="M920">
        <v>2.5</v>
      </c>
      <c r="N920" t="s">
        <v>44</v>
      </c>
      <c r="O920" t="s">
        <v>46</v>
      </c>
      <c r="P920">
        <v>5</v>
      </c>
      <c r="Q920" t="s">
        <v>47</v>
      </c>
      <c r="R920" t="s">
        <v>48</v>
      </c>
      <c r="S920" t="s">
        <v>63</v>
      </c>
      <c r="T920">
        <v>176</v>
      </c>
      <c r="U920" t="s">
        <v>50</v>
      </c>
      <c r="V920" t="s">
        <v>95</v>
      </c>
      <c r="W920" t="s">
        <v>1204</v>
      </c>
      <c r="X920" t="s">
        <v>52</v>
      </c>
      <c r="Y920" t="s">
        <v>67</v>
      </c>
      <c r="AA920">
        <v>1</v>
      </c>
      <c r="AB920" t="s">
        <v>130</v>
      </c>
      <c r="AC920" t="s">
        <v>149</v>
      </c>
      <c r="AD920">
        <v>34</v>
      </c>
      <c r="AE920">
        <v>8</v>
      </c>
      <c r="AF920">
        <v>3</v>
      </c>
      <c r="AG920">
        <v>2025</v>
      </c>
      <c r="AH920" s="13">
        <v>38000</v>
      </c>
      <c r="AI920" s="13">
        <v>33458.140625</v>
      </c>
      <c r="AJ920" s="13">
        <f t="shared" si="112"/>
        <v>4541.859375</v>
      </c>
      <c r="AK920" s="14">
        <f t="shared" si="113"/>
        <v>0.11952261513157894</v>
      </c>
      <c r="AL920" s="9">
        <v>38000</v>
      </c>
      <c r="AM920" s="9">
        <v>38738.1258872732</v>
      </c>
      <c r="AN920" s="9">
        <f t="shared" si="114"/>
        <v>738.12588727319962</v>
      </c>
      <c r="AO920" s="10">
        <f t="shared" si="115"/>
        <v>1.9424365454557883E-2</v>
      </c>
      <c r="AP920" s="16">
        <v>38000</v>
      </c>
      <c r="AQ920" s="16">
        <v>32568.005116751639</v>
      </c>
      <c r="AR920" s="16">
        <f t="shared" si="116"/>
        <v>5431.9948832483606</v>
      </c>
      <c r="AS920" s="17">
        <f t="shared" si="117"/>
        <v>0.1429472337696937</v>
      </c>
      <c r="AT920" s="6">
        <v>38000</v>
      </c>
      <c r="AU920" s="6">
        <v>34881.37109375</v>
      </c>
      <c r="AV920" s="6">
        <f t="shared" si="118"/>
        <v>3118.62890625</v>
      </c>
      <c r="AW920" s="7">
        <f t="shared" si="119"/>
        <v>8.2069181743421052E-2</v>
      </c>
    </row>
    <row r="921" spans="1:49" x14ac:dyDescent="0.25">
      <c r="A921" t="s">
        <v>38</v>
      </c>
      <c r="B921" t="s">
        <v>229</v>
      </c>
      <c r="C921">
        <v>61234</v>
      </c>
      <c r="D921">
        <v>2023</v>
      </c>
      <c r="E921" t="s">
        <v>40</v>
      </c>
      <c r="F921" t="s">
        <v>119</v>
      </c>
      <c r="G921" t="s">
        <v>1205</v>
      </c>
      <c r="I921">
        <v>4</v>
      </c>
      <c r="J921" t="s">
        <v>74</v>
      </c>
      <c r="K921">
        <v>4</v>
      </c>
      <c r="L921" t="s">
        <v>44</v>
      </c>
      <c r="M921">
        <v>2</v>
      </c>
      <c r="N921" t="s">
        <v>45</v>
      </c>
      <c r="O921" t="s">
        <v>46</v>
      </c>
      <c r="P921">
        <v>2</v>
      </c>
      <c r="Q921" t="s">
        <v>47</v>
      </c>
      <c r="R921" t="s">
        <v>48</v>
      </c>
      <c r="S921" t="s">
        <v>49</v>
      </c>
      <c r="T921">
        <v>147</v>
      </c>
      <c r="U921" t="s">
        <v>50</v>
      </c>
      <c r="W921" t="s">
        <v>353</v>
      </c>
      <c r="X921" t="s">
        <v>52</v>
      </c>
      <c r="Y921" t="s">
        <v>53</v>
      </c>
      <c r="AA921">
        <v>0</v>
      </c>
      <c r="AB921" t="s">
        <v>54</v>
      </c>
      <c r="AC921" t="s">
        <v>55</v>
      </c>
      <c r="AD921">
        <v>34</v>
      </c>
      <c r="AE921">
        <v>8</v>
      </c>
      <c r="AF921">
        <v>3</v>
      </c>
      <c r="AG921">
        <v>2025</v>
      </c>
      <c r="AH921" s="13">
        <v>9000</v>
      </c>
      <c r="AI921" s="13">
        <v>9050.1513671875</v>
      </c>
      <c r="AJ921" s="13">
        <f t="shared" si="112"/>
        <v>50.1513671875</v>
      </c>
      <c r="AK921" s="14">
        <f t="shared" si="113"/>
        <v>5.5723741319444447E-3</v>
      </c>
      <c r="AL921" s="9">
        <v>9000</v>
      </c>
      <c r="AM921" s="9">
        <v>9549.7641541274133</v>
      </c>
      <c r="AN921" s="9">
        <f t="shared" si="114"/>
        <v>549.76415412741335</v>
      </c>
      <c r="AO921" s="10">
        <f t="shared" si="115"/>
        <v>6.1084906014157038E-2</v>
      </c>
      <c r="AP921" s="16">
        <v>9000</v>
      </c>
      <c r="AQ921" s="16">
        <v>8362.7840413181675</v>
      </c>
      <c r="AR921" s="16">
        <f t="shared" si="116"/>
        <v>637.21595868183249</v>
      </c>
      <c r="AS921" s="17">
        <f t="shared" si="117"/>
        <v>7.0801773186870282E-2</v>
      </c>
      <c r="AT921" s="6">
        <v>9000</v>
      </c>
      <c r="AU921" s="6">
        <v>10617.6953125</v>
      </c>
      <c r="AV921" s="6">
        <f t="shared" si="118"/>
        <v>1617.6953125</v>
      </c>
      <c r="AW921" s="7">
        <f t="shared" si="119"/>
        <v>0.17974392361111111</v>
      </c>
    </row>
    <row r="922" spans="1:49" x14ac:dyDescent="0.25">
      <c r="A922" t="s">
        <v>38</v>
      </c>
      <c r="B922" t="s">
        <v>39</v>
      </c>
      <c r="C922">
        <v>178655</v>
      </c>
      <c r="D922">
        <v>2017</v>
      </c>
      <c r="E922" t="s">
        <v>213</v>
      </c>
      <c r="F922" t="s">
        <v>1206</v>
      </c>
      <c r="G922" t="s">
        <v>1207</v>
      </c>
      <c r="I922">
        <v>6</v>
      </c>
      <c r="J922" t="s">
        <v>61</v>
      </c>
      <c r="K922">
        <v>4</v>
      </c>
      <c r="L922" t="s">
        <v>44</v>
      </c>
      <c r="M922">
        <v>3.6</v>
      </c>
      <c r="N922" t="s">
        <v>45</v>
      </c>
      <c r="O922" t="s">
        <v>46</v>
      </c>
      <c r="P922">
        <v>3</v>
      </c>
      <c r="Q922" t="s">
        <v>47</v>
      </c>
      <c r="R922" t="s">
        <v>48</v>
      </c>
      <c r="S922" t="s">
        <v>102</v>
      </c>
      <c r="U922" t="s">
        <v>50</v>
      </c>
      <c r="V922" t="s">
        <v>64</v>
      </c>
      <c r="W922" t="s">
        <v>1208</v>
      </c>
      <c r="X922" t="s">
        <v>66</v>
      </c>
      <c r="Y922" t="s">
        <v>67</v>
      </c>
      <c r="Z922">
        <v>52295</v>
      </c>
      <c r="AA922">
        <v>0</v>
      </c>
      <c r="AB922" t="s">
        <v>54</v>
      </c>
      <c r="AC922" t="s">
        <v>55</v>
      </c>
      <c r="AD922">
        <v>34</v>
      </c>
      <c r="AE922">
        <v>8</v>
      </c>
      <c r="AF922">
        <v>3</v>
      </c>
      <c r="AG922">
        <v>2025</v>
      </c>
      <c r="AH922" s="13">
        <v>4300</v>
      </c>
      <c r="AI922" s="13">
        <v>4724.91455078125</v>
      </c>
      <c r="AJ922" s="13">
        <f t="shared" si="112"/>
        <v>424.91455078125</v>
      </c>
      <c r="AK922" s="14">
        <f t="shared" si="113"/>
        <v>9.8817337390988372E-2</v>
      </c>
      <c r="AL922" s="9">
        <v>4300</v>
      </c>
      <c r="AM922" s="9">
        <v>4340.4245992291926</v>
      </c>
      <c r="AN922" s="9">
        <f t="shared" si="114"/>
        <v>40.424599229192609</v>
      </c>
      <c r="AO922" s="10">
        <f t="shared" si="115"/>
        <v>9.4010695881843274E-3</v>
      </c>
      <c r="AP922" s="16">
        <v>4300</v>
      </c>
      <c r="AQ922" s="16">
        <v>4850.9618252019181</v>
      </c>
      <c r="AR922" s="16">
        <f t="shared" si="116"/>
        <v>550.96182520191815</v>
      </c>
      <c r="AS922" s="17">
        <f t="shared" si="117"/>
        <v>0.12813065702370188</v>
      </c>
      <c r="AT922" s="6">
        <v>4300</v>
      </c>
      <c r="AU922" s="6">
        <v>3715.7783203125</v>
      </c>
      <c r="AV922" s="6">
        <f t="shared" si="118"/>
        <v>584.2216796875</v>
      </c>
      <c r="AW922" s="7">
        <f t="shared" si="119"/>
        <v>0.13586550690406976</v>
      </c>
    </row>
    <row r="923" spans="1:49" x14ac:dyDescent="0.25">
      <c r="A923" t="s">
        <v>38</v>
      </c>
      <c r="B923" t="s">
        <v>167</v>
      </c>
      <c r="C923">
        <v>192237</v>
      </c>
      <c r="D923">
        <v>2007</v>
      </c>
      <c r="E923" t="s">
        <v>213</v>
      </c>
      <c r="F923" t="s">
        <v>1029</v>
      </c>
      <c r="G923" t="s">
        <v>215</v>
      </c>
      <c r="H923" t="s">
        <v>1209</v>
      </c>
      <c r="I923">
        <v>8</v>
      </c>
      <c r="J923" t="s">
        <v>94</v>
      </c>
      <c r="K923">
        <v>4</v>
      </c>
      <c r="L923" t="s">
        <v>44</v>
      </c>
      <c r="M923">
        <v>6.2</v>
      </c>
      <c r="N923" t="s">
        <v>44</v>
      </c>
      <c r="O923" t="s">
        <v>46</v>
      </c>
      <c r="P923">
        <v>3</v>
      </c>
      <c r="Q923" t="s">
        <v>47</v>
      </c>
      <c r="R923" t="s">
        <v>48</v>
      </c>
      <c r="S923" t="s">
        <v>63</v>
      </c>
      <c r="V923" t="s">
        <v>64</v>
      </c>
      <c r="W923" t="s">
        <v>706</v>
      </c>
      <c r="X923" t="s">
        <v>77</v>
      </c>
      <c r="Y923" t="s">
        <v>67</v>
      </c>
      <c r="AA923">
        <v>0</v>
      </c>
      <c r="AB923" t="s">
        <v>54</v>
      </c>
      <c r="AC923" t="s">
        <v>55</v>
      </c>
      <c r="AD923">
        <v>34</v>
      </c>
      <c r="AE923">
        <v>8</v>
      </c>
      <c r="AF923">
        <v>3</v>
      </c>
      <c r="AG923">
        <v>2025</v>
      </c>
      <c r="AH923" s="13">
        <v>2600</v>
      </c>
      <c r="AI923" s="13">
        <v>2808.181884765625</v>
      </c>
      <c r="AJ923" s="13">
        <f t="shared" si="112"/>
        <v>208.181884765625</v>
      </c>
      <c r="AK923" s="14">
        <f t="shared" si="113"/>
        <v>8.0069955679086535E-2</v>
      </c>
      <c r="AL923" s="9">
        <v>2600</v>
      </c>
      <c r="AM923" s="9">
        <v>2617.3519503607431</v>
      </c>
      <c r="AN923" s="9">
        <f t="shared" si="114"/>
        <v>17.351950360743103</v>
      </c>
      <c r="AO923" s="10">
        <f t="shared" si="115"/>
        <v>6.6738270618242708E-3</v>
      </c>
      <c r="AP923" s="16">
        <v>2600</v>
      </c>
      <c r="AQ923" s="16">
        <v>1940.006458902739</v>
      </c>
      <c r="AR923" s="16">
        <f t="shared" si="116"/>
        <v>659.99354109726096</v>
      </c>
      <c r="AS923" s="17">
        <f t="shared" si="117"/>
        <v>0.2538436696527927</v>
      </c>
      <c r="AT923" s="6">
        <v>2600</v>
      </c>
      <c r="AU923" s="6">
        <v>2548.671875</v>
      </c>
      <c r="AV923" s="6">
        <f t="shared" si="118"/>
        <v>51.328125</v>
      </c>
      <c r="AW923" s="7">
        <f t="shared" si="119"/>
        <v>1.9741586538461538E-2</v>
      </c>
    </row>
    <row r="924" spans="1:49" x14ac:dyDescent="0.25">
      <c r="A924" t="s">
        <v>38</v>
      </c>
      <c r="B924" t="s">
        <v>132</v>
      </c>
      <c r="C924">
        <v>76298</v>
      </c>
      <c r="D924">
        <v>2014</v>
      </c>
      <c r="E924" t="s">
        <v>40</v>
      </c>
      <c r="F924" t="s">
        <v>41</v>
      </c>
      <c r="G924" t="s">
        <v>284</v>
      </c>
      <c r="I924">
        <v>4</v>
      </c>
      <c r="J924" t="s">
        <v>82</v>
      </c>
      <c r="K924">
        <v>4</v>
      </c>
      <c r="L924" t="s">
        <v>44</v>
      </c>
      <c r="M924">
        <v>2.4</v>
      </c>
      <c r="N924" t="s">
        <v>44</v>
      </c>
      <c r="O924" t="s">
        <v>46</v>
      </c>
      <c r="P924">
        <v>4</v>
      </c>
      <c r="Q924" t="s">
        <v>47</v>
      </c>
      <c r="R924" t="s">
        <v>48</v>
      </c>
      <c r="S924" t="s">
        <v>63</v>
      </c>
      <c r="U924" t="s">
        <v>50</v>
      </c>
      <c r="W924" t="s">
        <v>539</v>
      </c>
      <c r="X924" t="s">
        <v>52</v>
      </c>
      <c r="Y924" t="s">
        <v>53</v>
      </c>
      <c r="AA924">
        <v>0</v>
      </c>
      <c r="AB924" t="s">
        <v>54</v>
      </c>
      <c r="AC924" t="s">
        <v>55</v>
      </c>
      <c r="AD924">
        <v>34</v>
      </c>
      <c r="AE924">
        <v>8</v>
      </c>
      <c r="AF924">
        <v>3</v>
      </c>
      <c r="AG924">
        <v>2025</v>
      </c>
      <c r="AH924" s="13">
        <v>6800</v>
      </c>
      <c r="AI924" s="13">
        <v>7560.8779296875</v>
      </c>
      <c r="AJ924" s="13">
        <f t="shared" si="112"/>
        <v>760.8779296875</v>
      </c>
      <c r="AK924" s="14">
        <f t="shared" si="113"/>
        <v>0.11189381318933823</v>
      </c>
      <c r="AL924" s="9">
        <v>6800</v>
      </c>
      <c r="AM924" s="9">
        <v>5922.4268623196713</v>
      </c>
      <c r="AN924" s="9">
        <f t="shared" si="114"/>
        <v>877.57313768032873</v>
      </c>
      <c r="AO924" s="10">
        <f t="shared" si="115"/>
        <v>0.12905487318828363</v>
      </c>
      <c r="AP924" s="16">
        <v>6800</v>
      </c>
      <c r="AQ924" s="16">
        <v>6938.7907515595762</v>
      </c>
      <c r="AR924" s="16">
        <f t="shared" si="116"/>
        <v>138.79075155957617</v>
      </c>
      <c r="AS924" s="17">
        <f t="shared" si="117"/>
        <v>2.0410404641114141E-2</v>
      </c>
      <c r="AT924" s="6">
        <v>6800</v>
      </c>
      <c r="AU924" s="6">
        <v>6322.8701171875</v>
      </c>
      <c r="AV924" s="6">
        <f t="shared" si="118"/>
        <v>477.1298828125</v>
      </c>
      <c r="AW924" s="7">
        <f t="shared" si="119"/>
        <v>7.0166159237132347E-2</v>
      </c>
    </row>
    <row r="925" spans="1:49" x14ac:dyDescent="0.25">
      <c r="A925" t="s">
        <v>38</v>
      </c>
      <c r="B925" t="s">
        <v>132</v>
      </c>
      <c r="C925">
        <v>43595</v>
      </c>
      <c r="D925">
        <v>2024</v>
      </c>
      <c r="E925" t="s">
        <v>91</v>
      </c>
      <c r="F925" t="s">
        <v>92</v>
      </c>
      <c r="G925" t="s">
        <v>518</v>
      </c>
      <c r="H925" t="s">
        <v>502</v>
      </c>
      <c r="I925">
        <v>4</v>
      </c>
      <c r="J925" t="s">
        <v>94</v>
      </c>
      <c r="K925">
        <v>4</v>
      </c>
      <c r="L925" t="s">
        <v>44</v>
      </c>
      <c r="M925">
        <v>2.5</v>
      </c>
      <c r="N925" t="s">
        <v>45</v>
      </c>
      <c r="O925" t="s">
        <v>46</v>
      </c>
      <c r="P925">
        <v>2</v>
      </c>
      <c r="Q925" t="s">
        <v>84</v>
      </c>
      <c r="R925" t="s">
        <v>85</v>
      </c>
      <c r="S925" t="s">
        <v>49</v>
      </c>
      <c r="T925">
        <v>203</v>
      </c>
      <c r="U925" t="s">
        <v>50</v>
      </c>
      <c r="V925" t="s">
        <v>95</v>
      </c>
      <c r="W925" t="s">
        <v>520</v>
      </c>
      <c r="X925" t="s">
        <v>87</v>
      </c>
      <c r="Y925" t="s">
        <v>67</v>
      </c>
      <c r="AA925">
        <v>0</v>
      </c>
      <c r="AB925" t="s">
        <v>54</v>
      </c>
      <c r="AC925" t="s">
        <v>89</v>
      </c>
      <c r="AD925">
        <v>34</v>
      </c>
      <c r="AE925">
        <v>8</v>
      </c>
      <c r="AF925">
        <v>3</v>
      </c>
      <c r="AG925">
        <v>2025</v>
      </c>
      <c r="AH925" s="13">
        <v>18200</v>
      </c>
      <c r="AI925" s="13">
        <v>14240.4423828125</v>
      </c>
      <c r="AJ925" s="13">
        <f t="shared" si="112"/>
        <v>3959.5576171875</v>
      </c>
      <c r="AK925" s="14">
        <f t="shared" si="113"/>
        <v>0.21755811083447801</v>
      </c>
      <c r="AL925" s="9">
        <v>18200</v>
      </c>
      <c r="AM925" s="9">
        <v>15097.715446076319</v>
      </c>
      <c r="AN925" s="9">
        <f t="shared" si="114"/>
        <v>3102.2845539236805</v>
      </c>
      <c r="AO925" s="10">
        <f t="shared" si="115"/>
        <v>0.17045519527053191</v>
      </c>
      <c r="AP925" s="16">
        <v>18200</v>
      </c>
      <c r="AQ925" s="16">
        <v>14047.736515273669</v>
      </c>
      <c r="AR925" s="16">
        <f t="shared" si="116"/>
        <v>4152.2634847263307</v>
      </c>
      <c r="AS925" s="17">
        <f t="shared" si="117"/>
        <v>0.22814634531463357</v>
      </c>
      <c r="AT925" s="6">
        <v>18200</v>
      </c>
      <c r="AU925" s="6">
        <v>13217.646484375</v>
      </c>
      <c r="AV925" s="6">
        <f t="shared" si="118"/>
        <v>4982.353515625</v>
      </c>
      <c r="AW925" s="7">
        <f t="shared" si="119"/>
        <v>0.27375568767170327</v>
      </c>
    </row>
    <row r="926" spans="1:49" x14ac:dyDescent="0.25">
      <c r="A926" t="s">
        <v>69</v>
      </c>
      <c r="B926" t="s">
        <v>70</v>
      </c>
      <c r="C926">
        <v>8987</v>
      </c>
      <c r="D926">
        <v>2023</v>
      </c>
      <c r="E926" t="s">
        <v>224</v>
      </c>
      <c r="F926" t="s">
        <v>1210</v>
      </c>
      <c r="G926" t="s">
        <v>120</v>
      </c>
      <c r="H926" t="s">
        <v>1211</v>
      </c>
      <c r="I926">
        <v>4</v>
      </c>
      <c r="J926" t="s">
        <v>74</v>
      </c>
      <c r="K926">
        <v>4</v>
      </c>
      <c r="L926" t="s">
        <v>44</v>
      </c>
      <c r="M926">
        <v>2</v>
      </c>
      <c r="N926" t="s">
        <v>45</v>
      </c>
      <c r="O926" t="s">
        <v>46</v>
      </c>
      <c r="P926">
        <v>4</v>
      </c>
      <c r="Q926" t="s">
        <v>84</v>
      </c>
      <c r="R926" t="s">
        <v>222</v>
      </c>
      <c r="S926" t="s">
        <v>49</v>
      </c>
      <c r="T926">
        <v>143</v>
      </c>
      <c r="U926" t="s">
        <v>50</v>
      </c>
      <c r="V926" t="s">
        <v>95</v>
      </c>
      <c r="W926" t="s">
        <v>1212</v>
      </c>
      <c r="Y926" t="s">
        <v>97</v>
      </c>
      <c r="AA926">
        <v>1</v>
      </c>
      <c r="AB926" t="s">
        <v>130</v>
      </c>
      <c r="AC926" t="s">
        <v>1213</v>
      </c>
      <c r="AD926">
        <v>34</v>
      </c>
      <c r="AE926">
        <v>8</v>
      </c>
      <c r="AF926">
        <v>3</v>
      </c>
      <c r="AG926">
        <v>2025</v>
      </c>
      <c r="AH926" s="13">
        <v>29400</v>
      </c>
      <c r="AI926" s="13">
        <v>32495.740234375</v>
      </c>
      <c r="AJ926" s="13">
        <f t="shared" si="112"/>
        <v>3095.740234375</v>
      </c>
      <c r="AK926" s="14">
        <f t="shared" si="113"/>
        <v>0.1052972868835034</v>
      </c>
      <c r="AL926" s="9">
        <v>29400</v>
      </c>
      <c r="AM926" s="9">
        <v>30178.565822231329</v>
      </c>
      <c r="AN926" s="9">
        <f t="shared" si="114"/>
        <v>778.56582223132864</v>
      </c>
      <c r="AO926" s="10">
        <f t="shared" si="115"/>
        <v>2.6481830688140431E-2</v>
      </c>
      <c r="AP926" s="16">
        <v>29400</v>
      </c>
      <c r="AQ926" s="16">
        <v>29848.747026303288</v>
      </c>
      <c r="AR926" s="16">
        <f t="shared" si="116"/>
        <v>448.74702630328829</v>
      </c>
      <c r="AS926" s="17">
        <f t="shared" si="117"/>
        <v>1.5263504296030215E-2</v>
      </c>
      <c r="AT926" s="6">
        <v>29400</v>
      </c>
      <c r="AU926" s="6">
        <v>25757.79296875</v>
      </c>
      <c r="AV926" s="6">
        <f t="shared" si="118"/>
        <v>3642.20703125</v>
      </c>
      <c r="AW926" s="7">
        <f t="shared" si="119"/>
        <v>0.12388459289965986</v>
      </c>
    </row>
    <row r="927" spans="1:49" x14ac:dyDescent="0.25">
      <c r="A927" t="s">
        <v>56</v>
      </c>
      <c r="B927" t="s">
        <v>178</v>
      </c>
      <c r="C927">
        <v>102720</v>
      </c>
      <c r="D927">
        <v>2019</v>
      </c>
      <c r="E927" t="s">
        <v>173</v>
      </c>
      <c r="F927" t="s">
        <v>174</v>
      </c>
      <c r="H927" t="s">
        <v>1214</v>
      </c>
      <c r="I927">
        <v>4</v>
      </c>
      <c r="J927" t="s">
        <v>43</v>
      </c>
      <c r="K927">
        <v>4</v>
      </c>
      <c r="L927" t="s">
        <v>44</v>
      </c>
      <c r="M927">
        <v>2.4</v>
      </c>
      <c r="N927" t="s">
        <v>62</v>
      </c>
      <c r="O927" t="s">
        <v>46</v>
      </c>
      <c r="P927">
        <v>4</v>
      </c>
      <c r="Q927" t="s">
        <v>47</v>
      </c>
      <c r="R927" t="s">
        <v>48</v>
      </c>
      <c r="S927" t="s">
        <v>63</v>
      </c>
      <c r="T927">
        <v>184</v>
      </c>
      <c r="U927" t="s">
        <v>50</v>
      </c>
      <c r="V927" t="s">
        <v>95</v>
      </c>
      <c r="X927" t="s">
        <v>141</v>
      </c>
      <c r="Y927" t="s">
        <v>67</v>
      </c>
      <c r="Z927">
        <v>25740</v>
      </c>
      <c r="AA927">
        <v>0</v>
      </c>
      <c r="AB927" t="s">
        <v>54</v>
      </c>
      <c r="AC927" t="s">
        <v>55</v>
      </c>
      <c r="AD927">
        <v>34</v>
      </c>
      <c r="AE927">
        <v>8</v>
      </c>
      <c r="AF927">
        <v>3</v>
      </c>
      <c r="AG927">
        <v>2025</v>
      </c>
      <c r="AH927" s="13">
        <v>7600</v>
      </c>
      <c r="AI927" s="13">
        <v>9568.306640625</v>
      </c>
      <c r="AJ927" s="13">
        <f t="shared" si="112"/>
        <v>1968.306640625</v>
      </c>
      <c r="AK927" s="14">
        <f t="shared" si="113"/>
        <v>0.25898771587171054</v>
      </c>
      <c r="AL927" s="9">
        <v>7600</v>
      </c>
      <c r="AM927" s="9">
        <v>10937.888075636391</v>
      </c>
      <c r="AN927" s="9">
        <f t="shared" si="114"/>
        <v>3337.8880756363906</v>
      </c>
      <c r="AO927" s="10">
        <f t="shared" si="115"/>
        <v>0.43919579942584086</v>
      </c>
      <c r="AP927" s="16">
        <v>7600</v>
      </c>
      <c r="AQ927" s="16">
        <v>8733.4151086343209</v>
      </c>
      <c r="AR927" s="16">
        <f t="shared" si="116"/>
        <v>1133.4151086343209</v>
      </c>
      <c r="AS927" s="17">
        <f t="shared" si="117"/>
        <v>0.14913356692556853</v>
      </c>
      <c r="AT927" s="6">
        <v>7600</v>
      </c>
      <c r="AU927" s="6">
        <v>9363.8642578125</v>
      </c>
      <c r="AV927" s="6">
        <f t="shared" si="118"/>
        <v>1763.8642578125</v>
      </c>
      <c r="AW927" s="7">
        <f t="shared" si="119"/>
        <v>0.23208740234375</v>
      </c>
    </row>
    <row r="928" spans="1:49" x14ac:dyDescent="0.25">
      <c r="A928" t="s">
        <v>56</v>
      </c>
      <c r="B928" t="s">
        <v>57</v>
      </c>
      <c r="C928">
        <v>100216</v>
      </c>
      <c r="D928">
        <v>2021</v>
      </c>
      <c r="E928" t="s">
        <v>79</v>
      </c>
      <c r="F928" t="s">
        <v>465</v>
      </c>
      <c r="G928" t="s">
        <v>748</v>
      </c>
      <c r="I928">
        <v>8</v>
      </c>
      <c r="J928" t="s">
        <v>43</v>
      </c>
      <c r="K928">
        <v>4</v>
      </c>
      <c r="L928" t="s">
        <v>44</v>
      </c>
      <c r="M928">
        <v>5.3</v>
      </c>
      <c r="N928" t="s">
        <v>62</v>
      </c>
      <c r="O928" t="s">
        <v>46</v>
      </c>
      <c r="Q928" t="s">
        <v>47</v>
      </c>
      <c r="R928" t="s">
        <v>48</v>
      </c>
      <c r="S928" t="s">
        <v>63</v>
      </c>
      <c r="U928" t="s">
        <v>50</v>
      </c>
      <c r="W928" t="s">
        <v>871</v>
      </c>
      <c r="X928" t="s">
        <v>77</v>
      </c>
      <c r="Y928" t="s">
        <v>67</v>
      </c>
      <c r="AA928">
        <v>0</v>
      </c>
      <c r="AB928" t="s">
        <v>54</v>
      </c>
      <c r="AC928" t="s">
        <v>68</v>
      </c>
      <c r="AD928">
        <v>34</v>
      </c>
      <c r="AE928">
        <v>8</v>
      </c>
      <c r="AF928">
        <v>3</v>
      </c>
      <c r="AG928">
        <v>2025</v>
      </c>
      <c r="AH928" s="13">
        <v>40000</v>
      </c>
      <c r="AI928" s="13">
        <v>35722.88671875</v>
      </c>
      <c r="AJ928" s="13">
        <f t="shared" si="112"/>
        <v>4277.11328125</v>
      </c>
      <c r="AK928" s="14">
        <f t="shared" si="113"/>
        <v>0.10692783203125</v>
      </c>
      <c r="AL928" s="9">
        <v>40000</v>
      </c>
      <c r="AM928" s="9">
        <v>35892.65382091565</v>
      </c>
      <c r="AN928" s="9">
        <f t="shared" si="114"/>
        <v>4107.3461790843503</v>
      </c>
      <c r="AO928" s="10">
        <f t="shared" si="115"/>
        <v>0.10268365447710875</v>
      </c>
      <c r="AP928" s="16">
        <v>40000</v>
      </c>
      <c r="AQ928" s="16">
        <v>36912.36411735641</v>
      </c>
      <c r="AR928" s="16">
        <f t="shared" si="116"/>
        <v>3087.6358826435899</v>
      </c>
      <c r="AS928" s="17">
        <f t="shared" si="117"/>
        <v>7.7190897066089753E-2</v>
      </c>
      <c r="AT928" s="6">
        <v>40000</v>
      </c>
      <c r="AU928" s="6">
        <v>42518.3203125</v>
      </c>
      <c r="AV928" s="6">
        <f t="shared" si="118"/>
        <v>2518.3203125</v>
      </c>
      <c r="AW928" s="7">
        <f t="shared" si="119"/>
        <v>6.2958007812499994E-2</v>
      </c>
    </row>
    <row r="929" spans="1:49" x14ac:dyDescent="0.25">
      <c r="A929" t="s">
        <v>56</v>
      </c>
      <c r="B929" t="s">
        <v>104</v>
      </c>
      <c r="C929">
        <v>98068</v>
      </c>
      <c r="D929">
        <v>2018</v>
      </c>
      <c r="E929" t="s">
        <v>625</v>
      </c>
      <c r="F929" t="s">
        <v>1215</v>
      </c>
      <c r="G929" t="s">
        <v>1216</v>
      </c>
      <c r="H929" t="s">
        <v>1217</v>
      </c>
      <c r="I929">
        <v>4</v>
      </c>
      <c r="J929" t="s">
        <v>101</v>
      </c>
      <c r="K929">
        <v>4</v>
      </c>
      <c r="L929" t="s">
        <v>44</v>
      </c>
      <c r="M929">
        <v>2</v>
      </c>
      <c r="N929" t="s">
        <v>44</v>
      </c>
      <c r="O929" t="s">
        <v>46</v>
      </c>
      <c r="Q929" t="s">
        <v>47</v>
      </c>
      <c r="R929" t="s">
        <v>48</v>
      </c>
      <c r="S929" t="s">
        <v>139</v>
      </c>
      <c r="T929">
        <v>250</v>
      </c>
      <c r="U929" t="s">
        <v>50</v>
      </c>
      <c r="V929" t="s">
        <v>95</v>
      </c>
      <c r="W929" t="s">
        <v>1218</v>
      </c>
      <c r="X929" t="s">
        <v>141</v>
      </c>
      <c r="Y929" t="s">
        <v>525</v>
      </c>
      <c r="Z929">
        <v>41500</v>
      </c>
      <c r="AA929">
        <v>0</v>
      </c>
      <c r="AB929" t="s">
        <v>54</v>
      </c>
      <c r="AC929" t="s">
        <v>55</v>
      </c>
      <c r="AD929">
        <v>34</v>
      </c>
      <c r="AE929">
        <v>8</v>
      </c>
      <c r="AF929">
        <v>3</v>
      </c>
      <c r="AG929">
        <v>2025</v>
      </c>
      <c r="AH929" s="13">
        <v>14800</v>
      </c>
      <c r="AI929" s="13">
        <v>9982.9736328125</v>
      </c>
      <c r="AJ929" s="13">
        <f t="shared" si="112"/>
        <v>4817.0263671875</v>
      </c>
      <c r="AK929" s="14">
        <f t="shared" si="113"/>
        <v>0.32547475453969593</v>
      </c>
      <c r="AL929" s="9">
        <v>14800</v>
      </c>
      <c r="AM929" s="9">
        <v>9882.6797064563543</v>
      </c>
      <c r="AN929" s="9">
        <f t="shared" si="114"/>
        <v>4917.3202935436457</v>
      </c>
      <c r="AO929" s="10">
        <f t="shared" si="115"/>
        <v>0.33225137118538145</v>
      </c>
      <c r="AP929" s="16">
        <v>14800</v>
      </c>
      <c r="AQ929" s="16">
        <v>9136.9373145916979</v>
      </c>
      <c r="AR929" s="16">
        <f t="shared" si="116"/>
        <v>5663.0626854083021</v>
      </c>
      <c r="AS929" s="17">
        <f t="shared" si="117"/>
        <v>0.38263937063569609</v>
      </c>
      <c r="AT929" s="6">
        <v>14800</v>
      </c>
      <c r="AU929" s="6">
        <v>9822.6474609375</v>
      </c>
      <c r="AV929" s="6">
        <f t="shared" si="118"/>
        <v>4977.3525390625</v>
      </c>
      <c r="AW929" s="7">
        <f t="shared" si="119"/>
        <v>0.33630760399070947</v>
      </c>
    </row>
    <row r="930" spans="1:49" x14ac:dyDescent="0.25">
      <c r="A930" t="s">
        <v>56</v>
      </c>
      <c r="B930" t="s">
        <v>57</v>
      </c>
      <c r="C930">
        <v>132597</v>
      </c>
      <c r="D930">
        <v>2016</v>
      </c>
      <c r="E930" t="s">
        <v>58</v>
      </c>
      <c r="F930" t="s">
        <v>168</v>
      </c>
      <c r="I930">
        <v>8</v>
      </c>
      <c r="J930" t="s">
        <v>82</v>
      </c>
      <c r="K930">
        <v>4</v>
      </c>
      <c r="L930" t="s">
        <v>44</v>
      </c>
      <c r="M930">
        <v>5</v>
      </c>
      <c r="N930" t="s">
        <v>62</v>
      </c>
      <c r="O930" t="s">
        <v>46</v>
      </c>
      <c r="Q930" t="s">
        <v>75</v>
      </c>
      <c r="R930" t="s">
        <v>76</v>
      </c>
      <c r="S930" t="s">
        <v>63</v>
      </c>
      <c r="T930">
        <v>386</v>
      </c>
      <c r="U930" t="s">
        <v>50</v>
      </c>
      <c r="V930" t="s">
        <v>64</v>
      </c>
      <c r="X930" t="s">
        <v>77</v>
      </c>
      <c r="Y930" t="s">
        <v>67</v>
      </c>
      <c r="AA930">
        <v>0</v>
      </c>
      <c r="AB930" t="s">
        <v>54</v>
      </c>
      <c r="AC930" t="s">
        <v>78</v>
      </c>
      <c r="AD930">
        <v>34</v>
      </c>
      <c r="AE930">
        <v>8</v>
      </c>
      <c r="AF930">
        <v>3</v>
      </c>
      <c r="AG930">
        <v>2025</v>
      </c>
      <c r="AH930" s="13">
        <v>11000</v>
      </c>
      <c r="AI930" s="13">
        <v>15888.7490234375</v>
      </c>
      <c r="AJ930" s="13">
        <f t="shared" si="112"/>
        <v>4888.7490234375</v>
      </c>
      <c r="AK930" s="14">
        <f t="shared" si="113"/>
        <v>0.44443172940340908</v>
      </c>
      <c r="AL930" s="9">
        <v>11000</v>
      </c>
      <c r="AM930" s="9">
        <v>15777.395527728781</v>
      </c>
      <c r="AN930" s="9">
        <f t="shared" si="114"/>
        <v>4777.3955277287805</v>
      </c>
      <c r="AO930" s="10">
        <f t="shared" si="115"/>
        <v>0.43430868433898007</v>
      </c>
      <c r="AP930" s="16">
        <v>11000</v>
      </c>
      <c r="AQ930" s="16">
        <v>12492.597475116379</v>
      </c>
      <c r="AR930" s="16">
        <f t="shared" si="116"/>
        <v>1492.5974751163794</v>
      </c>
      <c r="AS930" s="17">
        <f t="shared" si="117"/>
        <v>0.1356906795560345</v>
      </c>
      <c r="AT930" s="6">
        <v>11000</v>
      </c>
      <c r="AU930" s="6">
        <v>14540.8564453125</v>
      </c>
      <c r="AV930" s="6">
        <f t="shared" si="118"/>
        <v>3540.8564453125</v>
      </c>
      <c r="AW930" s="7">
        <f t="shared" si="119"/>
        <v>0.32189604048295456</v>
      </c>
    </row>
    <row r="931" spans="1:49" x14ac:dyDescent="0.25">
      <c r="A931" t="s">
        <v>38</v>
      </c>
      <c r="B931" t="s">
        <v>267</v>
      </c>
      <c r="C931">
        <v>130310</v>
      </c>
      <c r="D931">
        <v>2015</v>
      </c>
      <c r="E931" t="s">
        <v>98</v>
      </c>
      <c r="F931" t="s">
        <v>704</v>
      </c>
      <c r="G931" t="s">
        <v>100</v>
      </c>
      <c r="H931" t="s">
        <v>435</v>
      </c>
      <c r="I931">
        <v>8</v>
      </c>
      <c r="J931" t="s">
        <v>94</v>
      </c>
      <c r="K931">
        <v>4</v>
      </c>
      <c r="L931" t="s">
        <v>44</v>
      </c>
      <c r="M931">
        <v>5.3</v>
      </c>
      <c r="N931" t="s">
        <v>116</v>
      </c>
      <c r="O931" t="s">
        <v>46</v>
      </c>
      <c r="P931">
        <v>3</v>
      </c>
      <c r="Q931" t="s">
        <v>47</v>
      </c>
      <c r="R931" t="s">
        <v>48</v>
      </c>
      <c r="S931" t="s">
        <v>117</v>
      </c>
      <c r="U931" t="s">
        <v>50</v>
      </c>
      <c r="W931" t="s">
        <v>163</v>
      </c>
      <c r="X931" t="s">
        <v>77</v>
      </c>
      <c r="Y931" t="s">
        <v>67</v>
      </c>
      <c r="AA931">
        <v>0</v>
      </c>
      <c r="AB931" t="s">
        <v>54</v>
      </c>
      <c r="AC931" t="s">
        <v>55</v>
      </c>
      <c r="AD931">
        <v>34</v>
      </c>
      <c r="AE931">
        <v>8</v>
      </c>
      <c r="AF931">
        <v>3</v>
      </c>
      <c r="AG931">
        <v>2025</v>
      </c>
      <c r="AH931" s="13">
        <v>8500</v>
      </c>
      <c r="AI931" s="13">
        <v>10366.1650390625</v>
      </c>
      <c r="AJ931" s="13">
        <f t="shared" si="112"/>
        <v>1866.1650390625</v>
      </c>
      <c r="AK931" s="14">
        <f t="shared" si="113"/>
        <v>0.21954882812500001</v>
      </c>
      <c r="AL931" s="9">
        <v>8500</v>
      </c>
      <c r="AM931" s="9">
        <v>10301.06399314482</v>
      </c>
      <c r="AN931" s="9">
        <f t="shared" si="114"/>
        <v>1801.0639931448204</v>
      </c>
      <c r="AO931" s="10">
        <f t="shared" si="115"/>
        <v>0.21188988154644947</v>
      </c>
      <c r="AP931" s="16">
        <v>8500</v>
      </c>
      <c r="AQ931" s="16">
        <v>9688.8746202399234</v>
      </c>
      <c r="AR931" s="16">
        <f t="shared" si="116"/>
        <v>1188.8746202399234</v>
      </c>
      <c r="AS931" s="17">
        <f t="shared" si="117"/>
        <v>0.13986760238116747</v>
      </c>
      <c r="AT931" s="6">
        <v>8500</v>
      </c>
      <c r="AU931" s="6">
        <v>10053.9208984375</v>
      </c>
      <c r="AV931" s="6">
        <f t="shared" si="118"/>
        <v>1553.9208984375</v>
      </c>
      <c r="AW931" s="7">
        <f t="shared" si="119"/>
        <v>0.18281422334558822</v>
      </c>
    </row>
    <row r="932" spans="1:49" x14ac:dyDescent="0.25">
      <c r="A932" t="s">
        <v>69</v>
      </c>
      <c r="B932" t="s">
        <v>160</v>
      </c>
      <c r="C932">
        <v>43477</v>
      </c>
      <c r="D932">
        <v>2022</v>
      </c>
      <c r="E932" t="s">
        <v>79</v>
      </c>
      <c r="F932" t="s">
        <v>354</v>
      </c>
      <c r="G932" t="s">
        <v>698</v>
      </c>
      <c r="H932" t="s">
        <v>162</v>
      </c>
      <c r="I932">
        <v>8</v>
      </c>
      <c r="J932" t="s">
        <v>82</v>
      </c>
      <c r="K932">
        <v>4</v>
      </c>
      <c r="L932" t="s">
        <v>44</v>
      </c>
      <c r="M932">
        <v>5.3</v>
      </c>
      <c r="N932" t="s">
        <v>116</v>
      </c>
      <c r="O932" t="s">
        <v>46</v>
      </c>
      <c r="P932">
        <v>4</v>
      </c>
      <c r="Q932" t="s">
        <v>75</v>
      </c>
      <c r="R932" t="s">
        <v>76</v>
      </c>
      <c r="S932" t="s">
        <v>49</v>
      </c>
      <c r="U932" t="s">
        <v>50</v>
      </c>
      <c r="W932" t="s">
        <v>526</v>
      </c>
      <c r="X932" t="s">
        <v>66</v>
      </c>
      <c r="Y932" t="s">
        <v>67</v>
      </c>
      <c r="AA932">
        <v>0</v>
      </c>
      <c r="AB932" t="s">
        <v>54</v>
      </c>
      <c r="AC932" t="s">
        <v>78</v>
      </c>
      <c r="AD932">
        <v>34</v>
      </c>
      <c r="AE932">
        <v>8</v>
      </c>
      <c r="AF932">
        <v>3</v>
      </c>
      <c r="AG932">
        <v>2025</v>
      </c>
      <c r="AH932" s="13">
        <v>37000</v>
      </c>
      <c r="AI932" s="13">
        <v>37640.9140625</v>
      </c>
      <c r="AJ932" s="13">
        <f t="shared" si="112"/>
        <v>640.9140625</v>
      </c>
      <c r="AK932" s="14">
        <f t="shared" si="113"/>
        <v>1.7322001689189188E-2</v>
      </c>
      <c r="AL932" s="9">
        <v>37000</v>
      </c>
      <c r="AM932" s="9">
        <v>37526.958036059666</v>
      </c>
      <c r="AN932" s="9">
        <f t="shared" si="114"/>
        <v>526.95803605966648</v>
      </c>
      <c r="AO932" s="10">
        <f t="shared" si="115"/>
        <v>1.4242109082693688E-2</v>
      </c>
      <c r="AP932" s="16">
        <v>37000</v>
      </c>
      <c r="AQ932" s="16">
        <v>32371.365721658382</v>
      </c>
      <c r="AR932" s="16">
        <f t="shared" si="116"/>
        <v>4628.6342783416185</v>
      </c>
      <c r="AS932" s="17">
        <f t="shared" si="117"/>
        <v>0.12509822373896265</v>
      </c>
      <c r="AT932" s="6">
        <v>37000</v>
      </c>
      <c r="AU932" s="6">
        <v>33156.62890625</v>
      </c>
      <c r="AV932" s="6">
        <f t="shared" si="118"/>
        <v>3843.37109375</v>
      </c>
      <c r="AW932" s="7">
        <f t="shared" si="119"/>
        <v>0.10387489442567567</v>
      </c>
    </row>
    <row r="933" spans="1:49" x14ac:dyDescent="0.25">
      <c r="A933" t="s">
        <v>107</v>
      </c>
      <c r="B933" t="s">
        <v>192</v>
      </c>
      <c r="C933">
        <v>164640</v>
      </c>
      <c r="D933">
        <v>2009</v>
      </c>
      <c r="E933" t="s">
        <v>607</v>
      </c>
      <c r="F933" t="s">
        <v>1116</v>
      </c>
      <c r="H933" t="s">
        <v>1053</v>
      </c>
      <c r="I933">
        <v>4</v>
      </c>
      <c r="J933" t="s">
        <v>177</v>
      </c>
      <c r="K933">
        <v>4</v>
      </c>
      <c r="L933" t="s">
        <v>44</v>
      </c>
      <c r="M933">
        <v>2.4</v>
      </c>
      <c r="N933" t="s">
        <v>45</v>
      </c>
      <c r="O933" t="s">
        <v>46</v>
      </c>
      <c r="Q933" t="s">
        <v>47</v>
      </c>
      <c r="R933" t="s">
        <v>48</v>
      </c>
      <c r="S933" t="s">
        <v>49</v>
      </c>
      <c r="U933" t="s">
        <v>50</v>
      </c>
      <c r="X933" t="s">
        <v>52</v>
      </c>
      <c r="Y933" t="s">
        <v>97</v>
      </c>
      <c r="AA933">
        <v>0</v>
      </c>
      <c r="AB933" t="s">
        <v>54</v>
      </c>
      <c r="AC933" t="s">
        <v>55</v>
      </c>
      <c r="AD933">
        <v>34</v>
      </c>
      <c r="AE933">
        <v>8</v>
      </c>
      <c r="AF933">
        <v>3</v>
      </c>
      <c r="AG933">
        <v>2025</v>
      </c>
      <c r="AH933" s="13">
        <v>1700</v>
      </c>
      <c r="AI933" s="13">
        <v>970.294921875</v>
      </c>
      <c r="AJ933" s="13">
        <f t="shared" si="112"/>
        <v>729.705078125</v>
      </c>
      <c r="AK933" s="14">
        <f t="shared" si="113"/>
        <v>0.42923828125000002</v>
      </c>
      <c r="AL933" s="9">
        <v>1700</v>
      </c>
      <c r="AM933" s="9">
        <v>836.97036667061775</v>
      </c>
      <c r="AN933" s="9">
        <f t="shared" si="114"/>
        <v>863.02963332938225</v>
      </c>
      <c r="AO933" s="10">
        <f t="shared" si="115"/>
        <v>0.50766449019375426</v>
      </c>
      <c r="AP933" s="16">
        <v>1700</v>
      </c>
      <c r="AQ933" s="16">
        <v>969.86295516475559</v>
      </c>
      <c r="AR933" s="16">
        <f t="shared" si="116"/>
        <v>730.13704483524441</v>
      </c>
      <c r="AS933" s="17">
        <f t="shared" si="117"/>
        <v>0.42949237931484963</v>
      </c>
      <c r="AT933" s="6">
        <v>1700</v>
      </c>
      <c r="AU933" s="6">
        <v>936.1094970703125</v>
      </c>
      <c r="AV933" s="6">
        <f t="shared" si="118"/>
        <v>763.8905029296875</v>
      </c>
      <c r="AW933" s="7">
        <f t="shared" si="119"/>
        <v>0.44934735466452208</v>
      </c>
    </row>
    <row r="934" spans="1:49" x14ac:dyDescent="0.25">
      <c r="A934" t="s">
        <v>107</v>
      </c>
      <c r="B934" t="s">
        <v>154</v>
      </c>
      <c r="C934">
        <v>74859</v>
      </c>
      <c r="D934">
        <v>2016</v>
      </c>
      <c r="E934" t="s">
        <v>136</v>
      </c>
      <c r="F934" t="s">
        <v>211</v>
      </c>
      <c r="G934" t="s">
        <v>1219</v>
      </c>
      <c r="I934">
        <v>4</v>
      </c>
      <c r="J934" t="s">
        <v>82</v>
      </c>
      <c r="K934">
        <v>4</v>
      </c>
      <c r="L934" t="s">
        <v>44</v>
      </c>
      <c r="M934">
        <v>2</v>
      </c>
      <c r="N934" t="s">
        <v>45</v>
      </c>
      <c r="O934" t="s">
        <v>46</v>
      </c>
      <c r="Q934" t="s">
        <v>84</v>
      </c>
      <c r="R934" t="s">
        <v>85</v>
      </c>
      <c r="T934">
        <v>210</v>
      </c>
      <c r="U934" t="s">
        <v>50</v>
      </c>
      <c r="X934" t="s">
        <v>87</v>
      </c>
      <c r="Y934" t="s">
        <v>106</v>
      </c>
      <c r="AA934">
        <v>0</v>
      </c>
      <c r="AB934" t="s">
        <v>54</v>
      </c>
      <c r="AC934" t="s">
        <v>89</v>
      </c>
      <c r="AD934">
        <v>34</v>
      </c>
      <c r="AE934">
        <v>8</v>
      </c>
      <c r="AF934">
        <v>3</v>
      </c>
      <c r="AG934">
        <v>2025</v>
      </c>
      <c r="AH934" s="13">
        <v>6300</v>
      </c>
      <c r="AI934" s="13">
        <v>5138.01513671875</v>
      </c>
      <c r="AJ934" s="13">
        <f t="shared" si="112"/>
        <v>1161.98486328125</v>
      </c>
      <c r="AK934" s="14">
        <f t="shared" si="113"/>
        <v>0.18444204179067461</v>
      </c>
      <c r="AL934" s="9">
        <v>6300</v>
      </c>
      <c r="AM934" s="9">
        <v>5516.0545936132421</v>
      </c>
      <c r="AN934" s="9">
        <f t="shared" si="114"/>
        <v>783.9454063867579</v>
      </c>
      <c r="AO934" s="10">
        <f t="shared" si="115"/>
        <v>0.12443577879154888</v>
      </c>
      <c r="AP934" s="16">
        <v>6300</v>
      </c>
      <c r="AQ934" s="16">
        <v>6033.0143448725821</v>
      </c>
      <c r="AR934" s="16">
        <f t="shared" si="116"/>
        <v>266.98565512741789</v>
      </c>
      <c r="AS934" s="17">
        <f t="shared" si="117"/>
        <v>4.2378675417050461E-2</v>
      </c>
      <c r="AT934" s="6">
        <v>6300</v>
      </c>
      <c r="AU934" s="6">
        <v>5609.76025390625</v>
      </c>
      <c r="AV934" s="6">
        <f t="shared" si="118"/>
        <v>690.23974609375</v>
      </c>
      <c r="AW934" s="7">
        <f t="shared" si="119"/>
        <v>0.10956186445932539</v>
      </c>
    </row>
    <row r="935" spans="1:49" x14ac:dyDescent="0.25">
      <c r="A935" t="s">
        <v>56</v>
      </c>
      <c r="B935" t="s">
        <v>57</v>
      </c>
      <c r="C935">
        <v>218717</v>
      </c>
      <c r="D935">
        <v>2016</v>
      </c>
      <c r="E935" t="s">
        <v>79</v>
      </c>
      <c r="F935" t="s">
        <v>465</v>
      </c>
      <c r="G935" t="s">
        <v>273</v>
      </c>
      <c r="I935">
        <v>8</v>
      </c>
      <c r="J935" t="s">
        <v>74</v>
      </c>
      <c r="K935">
        <v>4</v>
      </c>
      <c r="L935" t="s">
        <v>44</v>
      </c>
      <c r="M935">
        <v>5.3</v>
      </c>
      <c r="N935" t="s">
        <v>116</v>
      </c>
      <c r="O935" t="s">
        <v>46</v>
      </c>
      <c r="P935">
        <v>3</v>
      </c>
      <c r="Q935" t="s">
        <v>47</v>
      </c>
      <c r="R935" t="s">
        <v>48</v>
      </c>
      <c r="S935" t="s">
        <v>49</v>
      </c>
      <c r="U935" t="s">
        <v>50</v>
      </c>
      <c r="W935" t="s">
        <v>480</v>
      </c>
      <c r="X935" t="s">
        <v>77</v>
      </c>
      <c r="Y935" t="s">
        <v>67</v>
      </c>
      <c r="AA935">
        <v>0</v>
      </c>
      <c r="AB935" t="s">
        <v>54</v>
      </c>
      <c r="AC935" t="s">
        <v>55</v>
      </c>
      <c r="AD935">
        <v>34</v>
      </c>
      <c r="AE935">
        <v>8</v>
      </c>
      <c r="AF935">
        <v>3</v>
      </c>
      <c r="AG935">
        <v>2025</v>
      </c>
      <c r="AH935" s="13">
        <v>5700</v>
      </c>
      <c r="AI935" s="13">
        <v>5622.4990234375</v>
      </c>
      <c r="AJ935" s="13">
        <f t="shared" ref="AJ935:AJ962" si="120">ABS(AH935-AI935)</f>
        <v>77.5009765625</v>
      </c>
      <c r="AK935" s="14">
        <f t="shared" si="113"/>
        <v>1.3596662554824562E-2</v>
      </c>
      <c r="AL935" s="9">
        <v>5700</v>
      </c>
      <c r="AM935" s="9">
        <v>5896.3057316922077</v>
      </c>
      <c r="AN935" s="9">
        <f t="shared" si="114"/>
        <v>196.3057316922077</v>
      </c>
      <c r="AO935" s="10">
        <f t="shared" si="115"/>
        <v>3.4439602051264506E-2</v>
      </c>
      <c r="AP935" s="16">
        <v>5700</v>
      </c>
      <c r="AQ935" s="16">
        <v>5288.3473443149132</v>
      </c>
      <c r="AR935" s="16">
        <f t="shared" si="116"/>
        <v>411.65265568508676</v>
      </c>
      <c r="AS935" s="17">
        <f t="shared" si="117"/>
        <v>7.2219764155278379E-2</v>
      </c>
      <c r="AT935" s="6">
        <v>5700</v>
      </c>
      <c r="AU935" s="6">
        <v>6914.9404296875</v>
      </c>
      <c r="AV935" s="6">
        <f t="shared" si="118"/>
        <v>1214.9404296875</v>
      </c>
      <c r="AW935" s="7">
        <f t="shared" si="119"/>
        <v>0.21314744380482456</v>
      </c>
    </row>
    <row r="936" spans="1:49" x14ac:dyDescent="0.25">
      <c r="A936" t="s">
        <v>56</v>
      </c>
      <c r="B936" t="s">
        <v>104</v>
      </c>
      <c r="C936">
        <v>108890</v>
      </c>
      <c r="D936">
        <v>2018</v>
      </c>
      <c r="E936" t="s">
        <v>58</v>
      </c>
      <c r="F936" t="s">
        <v>168</v>
      </c>
      <c r="I936">
        <v>6</v>
      </c>
      <c r="J936" t="s">
        <v>82</v>
      </c>
      <c r="K936">
        <v>4</v>
      </c>
      <c r="L936" t="s">
        <v>44</v>
      </c>
      <c r="M936">
        <v>3.5</v>
      </c>
      <c r="N936" t="s">
        <v>62</v>
      </c>
      <c r="O936" t="s">
        <v>46</v>
      </c>
      <c r="P936">
        <v>3</v>
      </c>
      <c r="Q936" t="s">
        <v>75</v>
      </c>
      <c r="R936" t="s">
        <v>76</v>
      </c>
      <c r="S936" t="s">
        <v>63</v>
      </c>
      <c r="T936">
        <v>375</v>
      </c>
      <c r="U936" t="s">
        <v>50</v>
      </c>
      <c r="V936" t="s">
        <v>64</v>
      </c>
      <c r="W936" t="s">
        <v>636</v>
      </c>
      <c r="X936" t="s">
        <v>66</v>
      </c>
      <c r="Y936" t="s">
        <v>67</v>
      </c>
      <c r="AA936">
        <v>0</v>
      </c>
      <c r="AB936" t="s">
        <v>54</v>
      </c>
      <c r="AC936" t="s">
        <v>78</v>
      </c>
      <c r="AD936">
        <v>34</v>
      </c>
      <c r="AE936">
        <v>8</v>
      </c>
      <c r="AF936">
        <v>3</v>
      </c>
      <c r="AG936">
        <v>2025</v>
      </c>
      <c r="AH936" s="13">
        <v>16200</v>
      </c>
      <c r="AI936" s="13">
        <v>16817.810546875</v>
      </c>
      <c r="AJ936" s="13">
        <f t="shared" si="120"/>
        <v>617.810546875</v>
      </c>
      <c r="AK936" s="14">
        <f t="shared" si="113"/>
        <v>3.813645351080247E-2</v>
      </c>
      <c r="AL936" s="9">
        <v>16200</v>
      </c>
      <c r="AM936" s="9">
        <v>17352.246082046309</v>
      </c>
      <c r="AN936" s="9">
        <f t="shared" si="114"/>
        <v>1152.2460820463093</v>
      </c>
      <c r="AO936" s="10">
        <f t="shared" si="115"/>
        <v>7.1126301360883284E-2</v>
      </c>
      <c r="AP936" s="16">
        <v>16200</v>
      </c>
      <c r="AQ936" s="16">
        <v>16421.36276690353</v>
      </c>
      <c r="AR936" s="16">
        <f t="shared" si="116"/>
        <v>221.36276690353043</v>
      </c>
      <c r="AS936" s="17">
        <f t="shared" si="117"/>
        <v>1.3664368327378421E-2</v>
      </c>
      <c r="AT936" s="6">
        <v>16200</v>
      </c>
      <c r="AU936" s="6">
        <v>17918.109375</v>
      </c>
      <c r="AV936" s="6">
        <f t="shared" si="118"/>
        <v>1718.109375</v>
      </c>
      <c r="AW936" s="7">
        <f t="shared" si="119"/>
        <v>0.10605613425925926</v>
      </c>
    </row>
    <row r="937" spans="1:49" x14ac:dyDescent="0.25">
      <c r="A937" t="s">
        <v>38</v>
      </c>
      <c r="B937" t="s">
        <v>229</v>
      </c>
      <c r="C937">
        <v>10454</v>
      </c>
      <c r="D937">
        <v>2024</v>
      </c>
      <c r="E937" t="s">
        <v>91</v>
      </c>
      <c r="F937" t="s">
        <v>650</v>
      </c>
      <c r="G937" t="s">
        <v>786</v>
      </c>
      <c r="H937" t="s">
        <v>502</v>
      </c>
      <c r="I937">
        <v>6</v>
      </c>
      <c r="J937" t="s">
        <v>74</v>
      </c>
      <c r="K937">
        <v>4</v>
      </c>
      <c r="L937" t="s">
        <v>44</v>
      </c>
      <c r="M937">
        <v>3.4</v>
      </c>
      <c r="N937" t="s">
        <v>116</v>
      </c>
      <c r="O937" t="s">
        <v>46</v>
      </c>
      <c r="P937">
        <v>4</v>
      </c>
      <c r="Q937" t="s">
        <v>75</v>
      </c>
      <c r="R937" t="s">
        <v>76</v>
      </c>
      <c r="S937" t="s">
        <v>49</v>
      </c>
      <c r="T937">
        <v>389</v>
      </c>
      <c r="U937" t="s">
        <v>50</v>
      </c>
      <c r="V937" t="s">
        <v>64</v>
      </c>
      <c r="W937" t="s">
        <v>1220</v>
      </c>
      <c r="X937" t="s">
        <v>66</v>
      </c>
      <c r="Y937" t="s">
        <v>67</v>
      </c>
      <c r="AA937">
        <v>0</v>
      </c>
      <c r="AB937" t="s">
        <v>54</v>
      </c>
      <c r="AC937" t="s">
        <v>78</v>
      </c>
      <c r="AD937">
        <v>34</v>
      </c>
      <c r="AE937">
        <v>8</v>
      </c>
      <c r="AF937">
        <v>3</v>
      </c>
      <c r="AG937">
        <v>2025</v>
      </c>
      <c r="AH937" s="13">
        <v>35500</v>
      </c>
      <c r="AI937" s="13">
        <v>34994.9921875</v>
      </c>
      <c r="AJ937" s="13">
        <f t="shared" si="120"/>
        <v>505.0078125</v>
      </c>
      <c r="AK937" s="14">
        <f t="shared" si="113"/>
        <v>1.4225572183098592E-2</v>
      </c>
      <c r="AL937" s="9">
        <v>35500</v>
      </c>
      <c r="AM937" s="9">
        <v>39441.742235556492</v>
      </c>
      <c r="AN937" s="9">
        <f t="shared" si="114"/>
        <v>3941.7422355564922</v>
      </c>
      <c r="AO937" s="10">
        <f t="shared" si="115"/>
        <v>0.1110349925508871</v>
      </c>
      <c r="AP937" s="16">
        <v>35500</v>
      </c>
      <c r="AQ937" s="16">
        <v>42521.981448476843</v>
      </c>
      <c r="AR937" s="16">
        <f t="shared" si="116"/>
        <v>7021.9814484768431</v>
      </c>
      <c r="AS937" s="17">
        <f t="shared" si="117"/>
        <v>0.19780229432329136</v>
      </c>
      <c r="AT937" s="6">
        <v>35500</v>
      </c>
      <c r="AU937" s="6">
        <v>40513.6484375</v>
      </c>
      <c r="AV937" s="6">
        <f t="shared" si="118"/>
        <v>5013.6484375</v>
      </c>
      <c r="AW937" s="7">
        <f t="shared" si="119"/>
        <v>0.14122953345070421</v>
      </c>
    </row>
    <row r="938" spans="1:49" x14ac:dyDescent="0.25">
      <c r="A938" t="s">
        <v>56</v>
      </c>
      <c r="B938" t="s">
        <v>123</v>
      </c>
      <c r="C938">
        <v>116721</v>
      </c>
      <c r="D938">
        <v>2019</v>
      </c>
      <c r="E938" t="s">
        <v>98</v>
      </c>
      <c r="F938" t="s">
        <v>99</v>
      </c>
      <c r="H938" t="s">
        <v>1221</v>
      </c>
      <c r="I938">
        <v>4</v>
      </c>
      <c r="J938" t="s">
        <v>43</v>
      </c>
      <c r="K938">
        <v>4</v>
      </c>
      <c r="L938" t="s">
        <v>44</v>
      </c>
      <c r="M938">
        <v>2.5</v>
      </c>
      <c r="N938" t="s">
        <v>44</v>
      </c>
      <c r="O938" t="s">
        <v>46</v>
      </c>
      <c r="P938">
        <v>4</v>
      </c>
      <c r="Q938" t="s">
        <v>47</v>
      </c>
      <c r="R938" t="s">
        <v>48</v>
      </c>
      <c r="S938" t="s">
        <v>139</v>
      </c>
      <c r="U938" t="s">
        <v>50</v>
      </c>
      <c r="V938" t="s">
        <v>95</v>
      </c>
      <c r="W938" t="s">
        <v>103</v>
      </c>
      <c r="X938" t="s">
        <v>66</v>
      </c>
      <c r="Y938" t="s">
        <v>67</v>
      </c>
      <c r="AA938">
        <v>0</v>
      </c>
      <c r="AB938" t="s">
        <v>54</v>
      </c>
      <c r="AC938" t="s">
        <v>55</v>
      </c>
      <c r="AD938">
        <v>34</v>
      </c>
      <c r="AE938">
        <v>8</v>
      </c>
      <c r="AF938">
        <v>3</v>
      </c>
      <c r="AG938">
        <v>2025</v>
      </c>
      <c r="AH938" s="13">
        <v>12000</v>
      </c>
      <c r="AI938" s="13">
        <v>11075.955078125</v>
      </c>
      <c r="AJ938" s="13">
        <f t="shared" si="120"/>
        <v>924.044921875</v>
      </c>
      <c r="AK938" s="14">
        <f t="shared" si="113"/>
        <v>7.7003743489583332E-2</v>
      </c>
      <c r="AL938" s="9">
        <v>12000</v>
      </c>
      <c r="AM938" s="9">
        <v>10247.99687012603</v>
      </c>
      <c r="AN938" s="9">
        <f t="shared" si="114"/>
        <v>1752.0031298739705</v>
      </c>
      <c r="AO938" s="10">
        <f t="shared" si="115"/>
        <v>0.14600026082283088</v>
      </c>
      <c r="AP938" s="16">
        <v>12000</v>
      </c>
      <c r="AQ938" s="16">
        <v>11007.505187165971</v>
      </c>
      <c r="AR938" s="16">
        <f t="shared" si="116"/>
        <v>992.49481283402929</v>
      </c>
      <c r="AS938" s="17">
        <f t="shared" si="117"/>
        <v>8.2707901069502446E-2</v>
      </c>
      <c r="AT938" s="6">
        <v>12000</v>
      </c>
      <c r="AU938" s="6">
        <v>10480.41015625</v>
      </c>
      <c r="AV938" s="6">
        <f t="shared" si="118"/>
        <v>1519.58984375</v>
      </c>
      <c r="AW938" s="7">
        <f t="shared" si="119"/>
        <v>0.12663248697916665</v>
      </c>
    </row>
    <row r="939" spans="1:49" x14ac:dyDescent="0.25">
      <c r="A939" t="s">
        <v>107</v>
      </c>
      <c r="B939" t="s">
        <v>154</v>
      </c>
      <c r="C939">
        <v>99569</v>
      </c>
      <c r="D939">
        <v>2018</v>
      </c>
      <c r="E939" t="s">
        <v>145</v>
      </c>
      <c r="F939" t="s">
        <v>363</v>
      </c>
      <c r="G939" t="s">
        <v>1222</v>
      </c>
      <c r="I939">
        <v>6</v>
      </c>
      <c r="J939" t="s">
        <v>82</v>
      </c>
      <c r="K939">
        <v>4</v>
      </c>
      <c r="L939" t="s">
        <v>44</v>
      </c>
      <c r="M939">
        <v>3.5</v>
      </c>
      <c r="N939" t="s">
        <v>45</v>
      </c>
      <c r="O939" t="s">
        <v>46</v>
      </c>
      <c r="Q939" t="s">
        <v>47</v>
      </c>
      <c r="R939" t="s">
        <v>365</v>
      </c>
      <c r="S939" t="s">
        <v>49</v>
      </c>
      <c r="T939">
        <v>280</v>
      </c>
      <c r="U939" t="s">
        <v>50</v>
      </c>
      <c r="V939" t="s">
        <v>64</v>
      </c>
      <c r="W939" t="s">
        <v>1223</v>
      </c>
      <c r="X939" t="s">
        <v>66</v>
      </c>
      <c r="Y939" t="s">
        <v>67</v>
      </c>
      <c r="Z939">
        <v>37460</v>
      </c>
      <c r="AA939">
        <v>0</v>
      </c>
      <c r="AB939" t="s">
        <v>54</v>
      </c>
      <c r="AC939" t="s">
        <v>365</v>
      </c>
      <c r="AD939">
        <v>34</v>
      </c>
      <c r="AE939">
        <v>8</v>
      </c>
      <c r="AF939">
        <v>3</v>
      </c>
      <c r="AG939">
        <v>2025</v>
      </c>
      <c r="AH939" s="13">
        <v>19200</v>
      </c>
      <c r="AI939" s="13">
        <v>15896.509765625</v>
      </c>
      <c r="AJ939" s="13">
        <f t="shared" si="120"/>
        <v>3303.490234375</v>
      </c>
      <c r="AK939" s="14">
        <f t="shared" si="113"/>
        <v>0.17205678304036459</v>
      </c>
      <c r="AL939" s="9">
        <v>19200</v>
      </c>
      <c r="AM939" s="9">
        <v>16774.254054055698</v>
      </c>
      <c r="AN939" s="9">
        <f t="shared" si="114"/>
        <v>2425.7459459443016</v>
      </c>
      <c r="AO939" s="10">
        <f t="shared" si="115"/>
        <v>0.12634093468459903</v>
      </c>
      <c r="AP939" s="16">
        <v>19200</v>
      </c>
      <c r="AQ939" s="16">
        <v>16448.074532042061</v>
      </c>
      <c r="AR939" s="16">
        <f t="shared" si="116"/>
        <v>2751.925467957939</v>
      </c>
      <c r="AS939" s="17">
        <f t="shared" si="117"/>
        <v>0.14332945145614265</v>
      </c>
      <c r="AT939" s="6">
        <v>19200</v>
      </c>
      <c r="AU939" s="6">
        <v>16187.4736328125</v>
      </c>
      <c r="AV939" s="6">
        <f t="shared" si="118"/>
        <v>3012.5263671875</v>
      </c>
      <c r="AW939" s="7">
        <f t="shared" si="119"/>
        <v>0.15690241495768228</v>
      </c>
    </row>
    <row r="940" spans="1:49" x14ac:dyDescent="0.25">
      <c r="A940" t="s">
        <v>69</v>
      </c>
      <c r="B940" t="s">
        <v>70</v>
      </c>
      <c r="C940">
        <v>113210</v>
      </c>
      <c r="D940">
        <v>2020</v>
      </c>
      <c r="E940" t="s">
        <v>79</v>
      </c>
      <c r="F940" t="s">
        <v>286</v>
      </c>
      <c r="G940" t="s">
        <v>287</v>
      </c>
      <c r="I940">
        <v>4</v>
      </c>
      <c r="J940" t="s">
        <v>82</v>
      </c>
      <c r="K940">
        <v>4</v>
      </c>
      <c r="L940" t="s">
        <v>44</v>
      </c>
      <c r="M940">
        <v>1.5</v>
      </c>
      <c r="N940" t="s">
        <v>45</v>
      </c>
      <c r="O940" t="s">
        <v>46</v>
      </c>
      <c r="P940">
        <v>4</v>
      </c>
      <c r="Q940" t="s">
        <v>84</v>
      </c>
      <c r="R940" t="s">
        <v>85</v>
      </c>
      <c r="S940" t="s">
        <v>102</v>
      </c>
      <c r="U940" t="s">
        <v>50</v>
      </c>
      <c r="V940" t="s">
        <v>95</v>
      </c>
      <c r="W940" t="s">
        <v>288</v>
      </c>
      <c r="X940" t="s">
        <v>87</v>
      </c>
      <c r="Y940" t="s">
        <v>67</v>
      </c>
      <c r="AA940">
        <v>0</v>
      </c>
      <c r="AB940" t="s">
        <v>54</v>
      </c>
      <c r="AC940" t="s">
        <v>89</v>
      </c>
      <c r="AD940">
        <v>34</v>
      </c>
      <c r="AE940">
        <v>8</v>
      </c>
      <c r="AF940">
        <v>3</v>
      </c>
      <c r="AG940">
        <v>2025</v>
      </c>
      <c r="AH940" s="13">
        <v>8500</v>
      </c>
      <c r="AI940" s="13">
        <v>11041.138671875</v>
      </c>
      <c r="AJ940" s="13">
        <f t="shared" si="120"/>
        <v>2541.138671875</v>
      </c>
      <c r="AK940" s="14">
        <f t="shared" si="113"/>
        <v>0.29895749080882356</v>
      </c>
      <c r="AL940" s="9">
        <v>8500</v>
      </c>
      <c r="AM940" s="9">
        <v>10070.88008103726</v>
      </c>
      <c r="AN940" s="9">
        <f t="shared" si="114"/>
        <v>1570.8800810372595</v>
      </c>
      <c r="AO940" s="10">
        <f t="shared" si="115"/>
        <v>0.18480942129850111</v>
      </c>
      <c r="AP940" s="16">
        <v>8500</v>
      </c>
      <c r="AQ940" s="16">
        <v>9207.7280084634967</v>
      </c>
      <c r="AR940" s="16">
        <f t="shared" si="116"/>
        <v>707.72800846349674</v>
      </c>
      <c r="AS940" s="17">
        <f t="shared" si="117"/>
        <v>8.3262118642764324E-2</v>
      </c>
      <c r="AT940" s="6">
        <v>8500</v>
      </c>
      <c r="AU940" s="6">
        <v>9971.5537109375</v>
      </c>
      <c r="AV940" s="6">
        <f t="shared" si="118"/>
        <v>1471.5537109375</v>
      </c>
      <c r="AW940" s="7">
        <f t="shared" si="119"/>
        <v>0.17312396599264707</v>
      </c>
    </row>
    <row r="941" spans="1:49" x14ac:dyDescent="0.25">
      <c r="A941" t="s">
        <v>107</v>
      </c>
      <c r="B941" t="s">
        <v>108</v>
      </c>
      <c r="C941">
        <v>28272</v>
      </c>
      <c r="D941">
        <v>2024</v>
      </c>
      <c r="E941" t="s">
        <v>169</v>
      </c>
      <c r="F941" t="s">
        <v>219</v>
      </c>
      <c r="G941" t="s">
        <v>171</v>
      </c>
      <c r="I941">
        <v>4</v>
      </c>
      <c r="J941" t="s">
        <v>61</v>
      </c>
      <c r="K941">
        <v>4</v>
      </c>
      <c r="L941" t="s">
        <v>44</v>
      </c>
      <c r="M941">
        <v>2.5</v>
      </c>
      <c r="N941" t="s">
        <v>44</v>
      </c>
      <c r="O941" t="s">
        <v>46</v>
      </c>
      <c r="P941">
        <v>3</v>
      </c>
      <c r="Q941" t="s">
        <v>84</v>
      </c>
      <c r="R941" t="s">
        <v>85</v>
      </c>
      <c r="S941" t="s">
        <v>139</v>
      </c>
      <c r="T941">
        <v>182</v>
      </c>
      <c r="U941" t="s">
        <v>50</v>
      </c>
      <c r="W941" t="s">
        <v>1159</v>
      </c>
      <c r="X941" t="s">
        <v>52</v>
      </c>
      <c r="Y941" t="s">
        <v>67</v>
      </c>
      <c r="AA941">
        <v>0</v>
      </c>
      <c r="AB941" t="s">
        <v>54</v>
      </c>
      <c r="AC941" t="s">
        <v>89</v>
      </c>
      <c r="AD941">
        <v>34</v>
      </c>
      <c r="AE941">
        <v>8</v>
      </c>
      <c r="AF941">
        <v>3</v>
      </c>
      <c r="AG941">
        <v>2025</v>
      </c>
      <c r="AH941" s="13">
        <v>24200</v>
      </c>
      <c r="AI941" s="13">
        <v>23352.947265625</v>
      </c>
      <c r="AJ941" s="13">
        <f t="shared" si="120"/>
        <v>847.052734375</v>
      </c>
      <c r="AK941" s="14">
        <f t="shared" si="113"/>
        <v>3.5002179106404956E-2</v>
      </c>
      <c r="AL941" s="9">
        <v>24200</v>
      </c>
      <c r="AM941" s="9">
        <v>23174.971550636201</v>
      </c>
      <c r="AN941" s="9">
        <f t="shared" si="114"/>
        <v>1025.0284493637992</v>
      </c>
      <c r="AO941" s="10">
        <f t="shared" si="115"/>
        <v>4.2356547494371864E-2</v>
      </c>
      <c r="AP941" s="16">
        <v>24200</v>
      </c>
      <c r="AQ941" s="16">
        <v>20581.187564966611</v>
      </c>
      <c r="AR941" s="16">
        <f t="shared" si="116"/>
        <v>3618.8124350333892</v>
      </c>
      <c r="AS941" s="17">
        <f t="shared" si="117"/>
        <v>0.14953770392699955</v>
      </c>
      <c r="AT941" s="6">
        <v>24200</v>
      </c>
      <c r="AU941" s="6">
        <v>20166.412109375</v>
      </c>
      <c r="AV941" s="6">
        <f t="shared" si="118"/>
        <v>4033.587890625</v>
      </c>
      <c r="AW941" s="7">
        <f t="shared" si="119"/>
        <v>0.16667718556301653</v>
      </c>
    </row>
    <row r="942" spans="1:49" x14ac:dyDescent="0.25">
      <c r="A942" t="s">
        <v>38</v>
      </c>
      <c r="B942" t="s">
        <v>167</v>
      </c>
      <c r="C942">
        <v>224203</v>
      </c>
      <c r="D942">
        <v>2006</v>
      </c>
      <c r="E942" t="s">
        <v>79</v>
      </c>
      <c r="F942" t="s">
        <v>1011</v>
      </c>
      <c r="H942" t="s">
        <v>435</v>
      </c>
      <c r="I942">
        <v>6</v>
      </c>
      <c r="J942" t="s">
        <v>94</v>
      </c>
      <c r="K942">
        <v>4</v>
      </c>
      <c r="L942" t="s">
        <v>44</v>
      </c>
      <c r="M942">
        <v>4.2</v>
      </c>
      <c r="N942" t="s">
        <v>62</v>
      </c>
      <c r="O942" t="s">
        <v>42</v>
      </c>
      <c r="Q942" t="s">
        <v>47</v>
      </c>
      <c r="R942" t="s">
        <v>48</v>
      </c>
      <c r="S942" t="s">
        <v>63</v>
      </c>
      <c r="U942" t="s">
        <v>50</v>
      </c>
      <c r="V942" t="s">
        <v>95</v>
      </c>
      <c r="W942" t="s">
        <v>1224</v>
      </c>
      <c r="X942" t="s">
        <v>141</v>
      </c>
      <c r="Y942" t="s">
        <v>67</v>
      </c>
      <c r="AA942">
        <v>0</v>
      </c>
      <c r="AB942" t="s">
        <v>54</v>
      </c>
      <c r="AC942" t="s">
        <v>55</v>
      </c>
      <c r="AD942">
        <v>34</v>
      </c>
      <c r="AE942">
        <v>8</v>
      </c>
      <c r="AF942">
        <v>3</v>
      </c>
      <c r="AG942">
        <v>2025</v>
      </c>
      <c r="AH942" s="13">
        <v>350</v>
      </c>
      <c r="AI942" s="13">
        <v>220.40960693359381</v>
      </c>
      <c r="AJ942" s="13">
        <f t="shared" si="120"/>
        <v>129.59039306640619</v>
      </c>
      <c r="AK942" s="14">
        <f t="shared" si="113"/>
        <v>0.37025826590401767</v>
      </c>
      <c r="AL942" s="9">
        <v>350</v>
      </c>
      <c r="AM942" s="9">
        <v>376.97940858741441</v>
      </c>
      <c r="AN942" s="9">
        <f t="shared" si="114"/>
        <v>26.979408587414412</v>
      </c>
      <c r="AO942" s="10">
        <f t="shared" si="115"/>
        <v>7.7084024535469753E-2</v>
      </c>
      <c r="AP942" s="16">
        <v>350</v>
      </c>
      <c r="AQ942" s="16">
        <v>329.13629519813651</v>
      </c>
      <c r="AR942" s="16">
        <f t="shared" si="116"/>
        <v>20.863704801863491</v>
      </c>
      <c r="AS942" s="17">
        <f t="shared" si="117"/>
        <v>5.9610585148181405E-2</v>
      </c>
      <c r="AT942" s="6">
        <v>350</v>
      </c>
      <c r="AU942" s="6">
        <v>425.54299926757813</v>
      </c>
      <c r="AV942" s="6">
        <f t="shared" si="118"/>
        <v>75.542999267578125</v>
      </c>
      <c r="AW942" s="7">
        <f t="shared" si="119"/>
        <v>0.21583714076450894</v>
      </c>
    </row>
    <row r="943" spans="1:49" x14ac:dyDescent="0.25">
      <c r="A943" t="s">
        <v>56</v>
      </c>
      <c r="B943" t="s">
        <v>144</v>
      </c>
      <c r="C943">
        <v>128601</v>
      </c>
      <c r="D943">
        <v>2015</v>
      </c>
      <c r="E943" t="s">
        <v>173</v>
      </c>
      <c r="F943" t="s">
        <v>174</v>
      </c>
      <c r="G943" t="s">
        <v>915</v>
      </c>
      <c r="I943">
        <v>4</v>
      </c>
      <c r="J943" t="s">
        <v>94</v>
      </c>
      <c r="K943">
        <v>4</v>
      </c>
      <c r="L943" t="s">
        <v>44</v>
      </c>
      <c r="M943">
        <v>2.4</v>
      </c>
      <c r="N943" t="s">
        <v>45</v>
      </c>
      <c r="O943" t="s">
        <v>46</v>
      </c>
      <c r="Q943" t="s">
        <v>47</v>
      </c>
      <c r="R943" t="s">
        <v>48</v>
      </c>
      <c r="S943" t="s">
        <v>49</v>
      </c>
      <c r="U943" t="s">
        <v>50</v>
      </c>
      <c r="X943" t="s">
        <v>141</v>
      </c>
      <c r="Y943" t="s">
        <v>67</v>
      </c>
      <c r="AA943">
        <v>0</v>
      </c>
      <c r="AB943" t="s">
        <v>54</v>
      </c>
      <c r="AC943" t="s">
        <v>55</v>
      </c>
      <c r="AD943">
        <v>34</v>
      </c>
      <c r="AE943">
        <v>8</v>
      </c>
      <c r="AF943">
        <v>3</v>
      </c>
      <c r="AG943">
        <v>2025</v>
      </c>
      <c r="AH943" s="13">
        <v>5400</v>
      </c>
      <c r="AI943" s="13">
        <v>3769.753662109375</v>
      </c>
      <c r="AJ943" s="13">
        <f t="shared" si="120"/>
        <v>1630.246337890625</v>
      </c>
      <c r="AK943" s="14">
        <f t="shared" si="113"/>
        <v>0.30189746997974537</v>
      </c>
      <c r="AL943" s="9">
        <v>5400</v>
      </c>
      <c r="AM943" s="9">
        <v>4396.1528201881574</v>
      </c>
      <c r="AN943" s="9">
        <f t="shared" si="114"/>
        <v>1003.8471798118426</v>
      </c>
      <c r="AO943" s="10">
        <f t="shared" si="115"/>
        <v>0.18589762589108197</v>
      </c>
      <c r="AP943" s="16">
        <v>5400</v>
      </c>
      <c r="AQ943" s="16">
        <v>4077.220788631359</v>
      </c>
      <c r="AR943" s="16">
        <f t="shared" si="116"/>
        <v>1322.779211368641</v>
      </c>
      <c r="AS943" s="17">
        <f t="shared" si="117"/>
        <v>0.244959113216415</v>
      </c>
      <c r="AT943" s="6">
        <v>5400</v>
      </c>
      <c r="AU943" s="6">
        <v>4541.88720703125</v>
      </c>
      <c r="AV943" s="6">
        <f t="shared" si="118"/>
        <v>858.11279296875</v>
      </c>
      <c r="AW943" s="7">
        <f t="shared" si="119"/>
        <v>0.15890977647569443</v>
      </c>
    </row>
    <row r="944" spans="1:49" x14ac:dyDescent="0.25">
      <c r="A944" t="s">
        <v>69</v>
      </c>
      <c r="B944" t="s">
        <v>70</v>
      </c>
      <c r="C944">
        <v>89544</v>
      </c>
      <c r="D944">
        <v>2021</v>
      </c>
      <c r="E944" t="s">
        <v>173</v>
      </c>
      <c r="F944" t="s">
        <v>174</v>
      </c>
      <c r="H944" t="s">
        <v>1225</v>
      </c>
      <c r="I944">
        <v>4</v>
      </c>
      <c r="J944" t="s">
        <v>82</v>
      </c>
      <c r="K944">
        <v>4</v>
      </c>
      <c r="L944" t="s">
        <v>44</v>
      </c>
      <c r="M944">
        <v>2.4</v>
      </c>
      <c r="N944" t="s">
        <v>45</v>
      </c>
      <c r="O944" t="s">
        <v>46</v>
      </c>
      <c r="P944">
        <v>3</v>
      </c>
      <c r="Q944" t="s">
        <v>47</v>
      </c>
      <c r="R944" t="s">
        <v>48</v>
      </c>
      <c r="S944" t="s">
        <v>49</v>
      </c>
      <c r="T944">
        <v>180</v>
      </c>
      <c r="U944" t="s">
        <v>50</v>
      </c>
      <c r="V944" t="s">
        <v>95</v>
      </c>
      <c r="X944" t="s">
        <v>141</v>
      </c>
      <c r="Y944" t="s">
        <v>67</v>
      </c>
      <c r="AA944">
        <v>0</v>
      </c>
      <c r="AB944" t="s">
        <v>54</v>
      </c>
      <c r="AC944" t="s">
        <v>55</v>
      </c>
      <c r="AD944">
        <v>34</v>
      </c>
      <c r="AE944">
        <v>8</v>
      </c>
      <c r="AF944">
        <v>3</v>
      </c>
      <c r="AG944">
        <v>2025</v>
      </c>
      <c r="AH944" s="13">
        <v>10000</v>
      </c>
      <c r="AI944" s="13">
        <v>11886.8388671875</v>
      </c>
      <c r="AJ944" s="13">
        <f t="shared" si="120"/>
        <v>1886.8388671875</v>
      </c>
      <c r="AK944" s="14">
        <f t="shared" si="113"/>
        <v>0.18868388671875</v>
      </c>
      <c r="AL944" s="9">
        <v>10000</v>
      </c>
      <c r="AM944" s="9">
        <v>12630.22582581725</v>
      </c>
      <c r="AN944" s="9">
        <f t="shared" si="114"/>
        <v>2630.2258258172496</v>
      </c>
      <c r="AO944" s="10">
        <f t="shared" si="115"/>
        <v>0.26302258258172495</v>
      </c>
      <c r="AP944" s="16">
        <v>10000</v>
      </c>
      <c r="AQ944" s="16">
        <v>10831.26458557367</v>
      </c>
      <c r="AR944" s="16">
        <f t="shared" si="116"/>
        <v>831.26458557367005</v>
      </c>
      <c r="AS944" s="17">
        <f t="shared" si="117"/>
        <v>8.3126458557367E-2</v>
      </c>
      <c r="AT944" s="6">
        <v>10000</v>
      </c>
      <c r="AU944" s="6">
        <v>11330.205078125</v>
      </c>
      <c r="AV944" s="6">
        <f t="shared" si="118"/>
        <v>1330.205078125</v>
      </c>
      <c r="AW944" s="7">
        <f t="shared" si="119"/>
        <v>0.13302050781249999</v>
      </c>
    </row>
    <row r="945" spans="1:49" x14ac:dyDescent="0.25">
      <c r="A945" t="s">
        <v>38</v>
      </c>
      <c r="B945" t="s">
        <v>289</v>
      </c>
      <c r="C945">
        <v>128993</v>
      </c>
      <c r="D945">
        <v>2016</v>
      </c>
      <c r="E945" t="s">
        <v>79</v>
      </c>
      <c r="F945" t="s">
        <v>272</v>
      </c>
      <c r="G945" t="s">
        <v>273</v>
      </c>
      <c r="H945" t="s">
        <v>162</v>
      </c>
      <c r="I945">
        <v>8</v>
      </c>
      <c r="J945" t="s">
        <v>74</v>
      </c>
      <c r="K945">
        <v>4</v>
      </c>
      <c r="L945" t="s">
        <v>44</v>
      </c>
      <c r="M945">
        <v>5.3</v>
      </c>
      <c r="N945" t="s">
        <v>62</v>
      </c>
      <c r="Q945" t="s">
        <v>75</v>
      </c>
      <c r="R945" t="s">
        <v>76</v>
      </c>
      <c r="S945" t="s">
        <v>63</v>
      </c>
      <c r="U945" t="s">
        <v>50</v>
      </c>
      <c r="W945" t="s">
        <v>480</v>
      </c>
      <c r="X945" t="s">
        <v>77</v>
      </c>
      <c r="Y945" t="s">
        <v>67</v>
      </c>
      <c r="AA945">
        <v>0</v>
      </c>
      <c r="AB945" t="s">
        <v>54</v>
      </c>
      <c r="AC945" t="s">
        <v>78</v>
      </c>
      <c r="AD945">
        <v>34</v>
      </c>
      <c r="AE945">
        <v>8</v>
      </c>
      <c r="AF945">
        <v>3</v>
      </c>
      <c r="AG945">
        <v>2025</v>
      </c>
      <c r="AH945" s="13">
        <v>11400</v>
      </c>
      <c r="AI945" s="13">
        <v>16131.1748046875</v>
      </c>
      <c r="AJ945" s="13">
        <f t="shared" si="120"/>
        <v>4731.1748046875</v>
      </c>
      <c r="AK945" s="14">
        <f t="shared" si="113"/>
        <v>0.41501533374451754</v>
      </c>
      <c r="AL945" s="9">
        <v>11400</v>
      </c>
      <c r="AM945" s="9">
        <v>13391.3895320464</v>
      </c>
      <c r="AN945" s="9">
        <f t="shared" si="114"/>
        <v>1991.3895320463998</v>
      </c>
      <c r="AO945" s="10">
        <f t="shared" si="115"/>
        <v>0.17468329228477192</v>
      </c>
      <c r="AP945" s="16">
        <v>11400</v>
      </c>
      <c r="AQ945" s="16">
        <v>13139.145922501921</v>
      </c>
      <c r="AR945" s="16">
        <f t="shared" si="116"/>
        <v>1739.1459225019207</v>
      </c>
      <c r="AS945" s="17">
        <f t="shared" si="117"/>
        <v>0.15255665986858954</v>
      </c>
      <c r="AT945" s="6">
        <v>11400</v>
      </c>
      <c r="AU945" s="6">
        <v>14880</v>
      </c>
      <c r="AV945" s="6">
        <f t="shared" si="118"/>
        <v>3480</v>
      </c>
      <c r="AW945" s="7">
        <f t="shared" si="119"/>
        <v>0.30526315789473685</v>
      </c>
    </row>
    <row r="946" spans="1:49" x14ac:dyDescent="0.25">
      <c r="A946" t="s">
        <v>56</v>
      </c>
      <c r="B946" t="s">
        <v>178</v>
      </c>
      <c r="C946">
        <v>82287</v>
      </c>
      <c r="D946">
        <v>2011</v>
      </c>
      <c r="E946" t="s">
        <v>173</v>
      </c>
      <c r="F946" t="s">
        <v>438</v>
      </c>
      <c r="G946" t="s">
        <v>329</v>
      </c>
      <c r="H946" t="s">
        <v>1074</v>
      </c>
      <c r="I946">
        <v>6</v>
      </c>
      <c r="J946" t="s">
        <v>82</v>
      </c>
      <c r="K946">
        <v>4</v>
      </c>
      <c r="L946" t="s">
        <v>44</v>
      </c>
      <c r="M946">
        <v>3.7</v>
      </c>
      <c r="N946" t="s">
        <v>62</v>
      </c>
      <c r="O946" t="s">
        <v>46</v>
      </c>
      <c r="P946">
        <v>3</v>
      </c>
      <c r="Q946" t="s">
        <v>47</v>
      </c>
      <c r="R946" t="s">
        <v>48</v>
      </c>
      <c r="S946" t="s">
        <v>63</v>
      </c>
      <c r="U946" t="s">
        <v>50</v>
      </c>
      <c r="X946" t="s">
        <v>141</v>
      </c>
      <c r="Y946" t="s">
        <v>67</v>
      </c>
      <c r="AA946">
        <v>0</v>
      </c>
      <c r="AB946" t="s">
        <v>54</v>
      </c>
      <c r="AC946" t="s">
        <v>55</v>
      </c>
      <c r="AD946">
        <v>34</v>
      </c>
      <c r="AE946">
        <v>8</v>
      </c>
      <c r="AF946">
        <v>3</v>
      </c>
      <c r="AG946">
        <v>2025</v>
      </c>
      <c r="AH946" s="13">
        <v>4600</v>
      </c>
      <c r="AI946" s="13">
        <v>3663.777587890625</v>
      </c>
      <c r="AJ946" s="13">
        <f t="shared" si="120"/>
        <v>936.222412109375</v>
      </c>
      <c r="AK946" s="14">
        <f t="shared" si="113"/>
        <v>0.203526611328125</v>
      </c>
      <c r="AL946" s="9">
        <v>4600</v>
      </c>
      <c r="AM946" s="9">
        <v>3110.6166570546161</v>
      </c>
      <c r="AN946" s="9">
        <f t="shared" si="114"/>
        <v>1489.3833429453839</v>
      </c>
      <c r="AO946" s="10">
        <f t="shared" si="115"/>
        <v>0.32377898759682261</v>
      </c>
      <c r="AP946" s="16">
        <v>4600</v>
      </c>
      <c r="AQ946" s="16">
        <v>2783.1815962830829</v>
      </c>
      <c r="AR946" s="16">
        <f t="shared" si="116"/>
        <v>1816.8184037169171</v>
      </c>
      <c r="AS946" s="17">
        <f t="shared" si="117"/>
        <v>0.39496052254715591</v>
      </c>
      <c r="AT946" s="6">
        <v>4600</v>
      </c>
      <c r="AU946" s="6">
        <v>3487.4580078125</v>
      </c>
      <c r="AV946" s="6">
        <f t="shared" si="118"/>
        <v>1112.5419921875</v>
      </c>
      <c r="AW946" s="7">
        <f t="shared" si="119"/>
        <v>0.24185695482336955</v>
      </c>
    </row>
    <row r="947" spans="1:49" x14ac:dyDescent="0.25">
      <c r="A947" t="s">
        <v>38</v>
      </c>
      <c r="B947" t="s">
        <v>167</v>
      </c>
      <c r="C947">
        <v>141921</v>
      </c>
      <c r="D947">
        <v>2011</v>
      </c>
      <c r="E947" t="s">
        <v>40</v>
      </c>
      <c r="F947" t="s">
        <v>360</v>
      </c>
      <c r="G947" t="s">
        <v>682</v>
      </c>
      <c r="I947">
        <v>4</v>
      </c>
      <c r="J947" t="s">
        <v>94</v>
      </c>
      <c r="K947">
        <v>4</v>
      </c>
      <c r="L947" t="s">
        <v>44</v>
      </c>
      <c r="M947">
        <v>2.4</v>
      </c>
      <c r="N947" t="s">
        <v>45</v>
      </c>
      <c r="O947" t="s">
        <v>46</v>
      </c>
      <c r="P947">
        <v>4</v>
      </c>
      <c r="Q947" t="s">
        <v>47</v>
      </c>
      <c r="R947" t="s">
        <v>48</v>
      </c>
      <c r="S947" t="s">
        <v>49</v>
      </c>
      <c r="U947" t="s">
        <v>50</v>
      </c>
      <c r="W947" t="s">
        <v>1226</v>
      </c>
      <c r="X947" t="s">
        <v>141</v>
      </c>
      <c r="Y947" t="s">
        <v>67</v>
      </c>
      <c r="AA947">
        <v>0</v>
      </c>
      <c r="AB947" t="s">
        <v>54</v>
      </c>
      <c r="AC947" t="s">
        <v>55</v>
      </c>
      <c r="AD947">
        <v>34</v>
      </c>
      <c r="AE947">
        <v>8</v>
      </c>
      <c r="AF947">
        <v>3</v>
      </c>
      <c r="AG947">
        <v>2025</v>
      </c>
      <c r="AH947" s="13">
        <v>2100</v>
      </c>
      <c r="AI947" s="13">
        <v>2085.705078125</v>
      </c>
      <c r="AJ947" s="13">
        <f t="shared" si="120"/>
        <v>14.294921875</v>
      </c>
      <c r="AK947" s="14">
        <f t="shared" si="113"/>
        <v>6.8071056547619043E-3</v>
      </c>
      <c r="AL947" s="9">
        <v>2100</v>
      </c>
      <c r="AM947" s="9">
        <v>2472.5448588858771</v>
      </c>
      <c r="AN947" s="9">
        <f t="shared" si="114"/>
        <v>372.54485888587715</v>
      </c>
      <c r="AO947" s="10">
        <f t="shared" si="115"/>
        <v>0.17740231375517959</v>
      </c>
      <c r="AP947" s="16">
        <v>2100</v>
      </c>
      <c r="AQ947" s="16">
        <v>2489.6385609129202</v>
      </c>
      <c r="AR947" s="16">
        <f t="shared" si="116"/>
        <v>389.63856091292018</v>
      </c>
      <c r="AS947" s="17">
        <f t="shared" si="117"/>
        <v>0.18554217186329533</v>
      </c>
      <c r="AT947" s="6">
        <v>2100</v>
      </c>
      <c r="AU947" s="6">
        <v>2300.50537109375</v>
      </c>
      <c r="AV947" s="6">
        <f t="shared" si="118"/>
        <v>200.50537109375</v>
      </c>
      <c r="AW947" s="7">
        <f t="shared" si="119"/>
        <v>9.5478748139880956E-2</v>
      </c>
    </row>
    <row r="948" spans="1:49" x14ac:dyDescent="0.25">
      <c r="A948" t="s">
        <v>107</v>
      </c>
      <c r="B948" t="s">
        <v>108</v>
      </c>
      <c r="C948">
        <v>207257</v>
      </c>
      <c r="D948">
        <v>2008</v>
      </c>
      <c r="E948" t="s">
        <v>91</v>
      </c>
      <c r="F948" t="s">
        <v>723</v>
      </c>
      <c r="G948" t="s">
        <v>687</v>
      </c>
      <c r="H948" t="s">
        <v>1227</v>
      </c>
      <c r="I948">
        <v>6</v>
      </c>
      <c r="J948" t="s">
        <v>694</v>
      </c>
      <c r="K948">
        <v>4</v>
      </c>
      <c r="L948" t="s">
        <v>44</v>
      </c>
      <c r="M948">
        <v>3.5</v>
      </c>
      <c r="N948" t="s">
        <v>44</v>
      </c>
      <c r="O948" t="s">
        <v>46</v>
      </c>
      <c r="Q948" t="s">
        <v>47</v>
      </c>
      <c r="R948" t="s">
        <v>365</v>
      </c>
      <c r="S948" t="s">
        <v>63</v>
      </c>
      <c r="U948" t="s">
        <v>50</v>
      </c>
      <c r="V948" t="s">
        <v>64</v>
      </c>
      <c r="W948" t="s">
        <v>318</v>
      </c>
      <c r="X948" t="s">
        <v>141</v>
      </c>
      <c r="Y948" t="s">
        <v>67</v>
      </c>
      <c r="AA948">
        <v>0</v>
      </c>
      <c r="AB948" t="s">
        <v>54</v>
      </c>
      <c r="AC948" t="s">
        <v>365</v>
      </c>
      <c r="AD948">
        <v>34</v>
      </c>
      <c r="AE948">
        <v>8</v>
      </c>
      <c r="AF948">
        <v>3</v>
      </c>
      <c r="AG948">
        <v>2025</v>
      </c>
      <c r="AH948" s="13">
        <v>1700</v>
      </c>
      <c r="AI948" s="13">
        <v>1319.181396484375</v>
      </c>
      <c r="AJ948" s="13">
        <f t="shared" si="120"/>
        <v>380.818603515625</v>
      </c>
      <c r="AK948" s="14">
        <f t="shared" si="113"/>
        <v>0.22401094324448528</v>
      </c>
      <c r="AL948" s="9">
        <v>1700</v>
      </c>
      <c r="AM948" s="9">
        <v>1664.5356751886641</v>
      </c>
      <c r="AN948" s="9">
        <f t="shared" si="114"/>
        <v>35.464324811335928</v>
      </c>
      <c r="AO948" s="10">
        <f t="shared" si="115"/>
        <v>2.0861367536079957E-2</v>
      </c>
      <c r="AP948" s="16">
        <v>1700</v>
      </c>
      <c r="AQ948" s="16">
        <v>991.984579798764</v>
      </c>
      <c r="AR948" s="16">
        <f t="shared" si="116"/>
        <v>708.015420201236</v>
      </c>
      <c r="AS948" s="17">
        <f t="shared" si="117"/>
        <v>0.41647965894190353</v>
      </c>
      <c r="AT948" s="6">
        <v>1700</v>
      </c>
      <c r="AU948" s="6">
        <v>1577.413940429688</v>
      </c>
      <c r="AV948" s="6">
        <f t="shared" si="118"/>
        <v>122.58605957031205</v>
      </c>
      <c r="AW948" s="7">
        <f t="shared" si="119"/>
        <v>7.2109446806065902E-2</v>
      </c>
    </row>
    <row r="949" spans="1:49" x14ac:dyDescent="0.25">
      <c r="A949" t="s">
        <v>69</v>
      </c>
      <c r="B949" t="s">
        <v>160</v>
      </c>
      <c r="C949">
        <v>128237</v>
      </c>
      <c r="D949">
        <v>2016</v>
      </c>
      <c r="E949" t="s">
        <v>71</v>
      </c>
      <c r="F949" t="s">
        <v>1228</v>
      </c>
      <c r="I949">
        <v>4</v>
      </c>
      <c r="J949" t="s">
        <v>74</v>
      </c>
      <c r="K949">
        <v>4</v>
      </c>
      <c r="L949" t="s">
        <v>44</v>
      </c>
      <c r="M949">
        <v>1.6</v>
      </c>
      <c r="N949" t="s">
        <v>45</v>
      </c>
      <c r="Q949" t="s">
        <v>84</v>
      </c>
      <c r="R949" t="s">
        <v>157</v>
      </c>
      <c r="S949" t="s">
        <v>49</v>
      </c>
      <c r="U949" t="s">
        <v>50</v>
      </c>
      <c r="V949" t="s">
        <v>95</v>
      </c>
      <c r="X949" t="s">
        <v>87</v>
      </c>
      <c r="Y949" t="s">
        <v>106</v>
      </c>
      <c r="AA949">
        <v>0</v>
      </c>
      <c r="AB949" t="s">
        <v>54</v>
      </c>
      <c r="AC949" t="s">
        <v>159</v>
      </c>
      <c r="AD949">
        <v>34</v>
      </c>
      <c r="AE949">
        <v>8</v>
      </c>
      <c r="AF949">
        <v>3</v>
      </c>
      <c r="AG949">
        <v>2025</v>
      </c>
      <c r="AH949" s="13">
        <v>1700</v>
      </c>
      <c r="AI949" s="13">
        <v>1703.611450195312</v>
      </c>
      <c r="AJ949" s="13">
        <f t="shared" si="120"/>
        <v>3.6114501953120453</v>
      </c>
      <c r="AK949" s="14">
        <f t="shared" si="113"/>
        <v>2.1243824678306147E-3</v>
      </c>
      <c r="AL949" s="9">
        <v>1700</v>
      </c>
      <c r="AM949" s="9">
        <v>1702.9570482951281</v>
      </c>
      <c r="AN949" s="9">
        <f t="shared" si="114"/>
        <v>2.957048295128061</v>
      </c>
      <c r="AO949" s="10">
        <f t="shared" si="115"/>
        <v>1.7394401736047418E-3</v>
      </c>
      <c r="AP949" s="16">
        <v>1700</v>
      </c>
      <c r="AQ949" s="16">
        <v>1544.710299505891</v>
      </c>
      <c r="AR949" s="16">
        <f t="shared" si="116"/>
        <v>155.28970049410896</v>
      </c>
      <c r="AS949" s="17">
        <f t="shared" si="117"/>
        <v>9.1346882643593502E-2</v>
      </c>
      <c r="AT949" s="6">
        <v>1700</v>
      </c>
      <c r="AU949" s="6">
        <v>1558.989868164062</v>
      </c>
      <c r="AV949" s="6">
        <f t="shared" si="118"/>
        <v>141.01013183593795</v>
      </c>
      <c r="AW949" s="7">
        <f t="shared" si="119"/>
        <v>8.2947136374081146E-2</v>
      </c>
    </row>
    <row r="950" spans="1:49" x14ac:dyDescent="0.25">
      <c r="A950" t="s">
        <v>38</v>
      </c>
      <c r="B950" t="s">
        <v>229</v>
      </c>
      <c r="C950">
        <v>144967</v>
      </c>
      <c r="D950">
        <v>2018</v>
      </c>
      <c r="E950" t="s">
        <v>71</v>
      </c>
      <c r="F950" t="s">
        <v>813</v>
      </c>
      <c r="I950">
        <v>6</v>
      </c>
      <c r="J950" t="s">
        <v>43</v>
      </c>
      <c r="K950">
        <v>4</v>
      </c>
      <c r="L950" t="s">
        <v>44</v>
      </c>
      <c r="M950">
        <v>4</v>
      </c>
      <c r="N950" t="s">
        <v>116</v>
      </c>
      <c r="O950" t="s">
        <v>46</v>
      </c>
      <c r="Q950" t="s">
        <v>75</v>
      </c>
      <c r="R950" t="s">
        <v>76</v>
      </c>
      <c r="S950" t="s">
        <v>49</v>
      </c>
      <c r="U950" t="s">
        <v>50</v>
      </c>
      <c r="X950" t="s">
        <v>141</v>
      </c>
      <c r="Y950" t="s">
        <v>67</v>
      </c>
      <c r="AA950">
        <v>0</v>
      </c>
      <c r="AB950" t="s">
        <v>54</v>
      </c>
      <c r="AC950" t="s">
        <v>78</v>
      </c>
      <c r="AD950">
        <v>34</v>
      </c>
      <c r="AE950">
        <v>8</v>
      </c>
      <c r="AF950">
        <v>3</v>
      </c>
      <c r="AG950">
        <v>2025</v>
      </c>
      <c r="AH950" s="13">
        <v>6000</v>
      </c>
      <c r="AI950" s="13">
        <v>7386.55224609375</v>
      </c>
      <c r="AJ950" s="13">
        <f t="shared" si="120"/>
        <v>1386.55224609375</v>
      </c>
      <c r="AK950" s="14">
        <f t="shared" si="113"/>
        <v>0.231092041015625</v>
      </c>
      <c r="AL950" s="9">
        <v>6000</v>
      </c>
      <c r="AM950" s="9">
        <v>9114.2851771805035</v>
      </c>
      <c r="AN950" s="9">
        <f t="shared" si="114"/>
        <v>3114.2851771805035</v>
      </c>
      <c r="AO950" s="10">
        <f t="shared" si="115"/>
        <v>0.51904752953008393</v>
      </c>
      <c r="AP950" s="16">
        <v>6000</v>
      </c>
      <c r="AQ950" s="16">
        <v>6989.9415425520519</v>
      </c>
      <c r="AR950" s="16">
        <f t="shared" si="116"/>
        <v>989.94154255205194</v>
      </c>
      <c r="AS950" s="17">
        <f t="shared" si="117"/>
        <v>0.16499025709200865</v>
      </c>
      <c r="AT950" s="6">
        <v>6000</v>
      </c>
      <c r="AU950" s="6">
        <v>7410.6728515625</v>
      </c>
      <c r="AV950" s="6">
        <f t="shared" si="118"/>
        <v>1410.6728515625</v>
      </c>
      <c r="AW950" s="7">
        <f t="shared" si="119"/>
        <v>0.23511214192708332</v>
      </c>
    </row>
    <row r="951" spans="1:49" x14ac:dyDescent="0.25">
      <c r="A951" t="s">
        <v>56</v>
      </c>
      <c r="B951" t="s">
        <v>104</v>
      </c>
      <c r="C951">
        <v>121742</v>
      </c>
      <c r="D951">
        <v>2015</v>
      </c>
      <c r="E951" t="s">
        <v>145</v>
      </c>
      <c r="F951" t="s">
        <v>146</v>
      </c>
      <c r="G951" t="s">
        <v>432</v>
      </c>
      <c r="I951">
        <v>4</v>
      </c>
      <c r="J951" t="s">
        <v>127</v>
      </c>
      <c r="K951">
        <v>4</v>
      </c>
      <c r="L951" t="s">
        <v>44</v>
      </c>
      <c r="M951">
        <v>2.4</v>
      </c>
      <c r="N951" t="s">
        <v>44</v>
      </c>
      <c r="Q951" t="s">
        <v>47</v>
      </c>
      <c r="R951" t="s">
        <v>48</v>
      </c>
      <c r="S951" t="s">
        <v>139</v>
      </c>
      <c r="T951">
        <v>185</v>
      </c>
      <c r="U951" t="s">
        <v>50</v>
      </c>
      <c r="V951" t="s">
        <v>95</v>
      </c>
      <c r="W951" t="s">
        <v>690</v>
      </c>
      <c r="X951" t="s">
        <v>52</v>
      </c>
      <c r="Y951" t="s">
        <v>88</v>
      </c>
      <c r="AA951">
        <v>0</v>
      </c>
      <c r="AB951" t="s">
        <v>54</v>
      </c>
      <c r="AC951" t="s">
        <v>55</v>
      </c>
      <c r="AD951">
        <v>34</v>
      </c>
      <c r="AE951">
        <v>8</v>
      </c>
      <c r="AF951">
        <v>3</v>
      </c>
      <c r="AG951">
        <v>2025</v>
      </c>
      <c r="AH951" s="13">
        <v>7000</v>
      </c>
      <c r="AI951" s="13">
        <v>8336.380859375</v>
      </c>
      <c r="AJ951" s="13">
        <f t="shared" si="120"/>
        <v>1336.380859375</v>
      </c>
      <c r="AK951" s="14">
        <f t="shared" si="113"/>
        <v>0.19091155133928572</v>
      </c>
      <c r="AL951" s="9">
        <v>7000</v>
      </c>
      <c r="AM951" s="9">
        <v>9849.4162803725794</v>
      </c>
      <c r="AN951" s="9">
        <f t="shared" si="114"/>
        <v>2849.4162803725794</v>
      </c>
      <c r="AO951" s="10">
        <f t="shared" si="115"/>
        <v>0.4070594686246542</v>
      </c>
      <c r="AP951" s="16">
        <v>7000</v>
      </c>
      <c r="AQ951" s="16">
        <v>7866.1129161849012</v>
      </c>
      <c r="AR951" s="16">
        <f t="shared" si="116"/>
        <v>866.11291618490122</v>
      </c>
      <c r="AS951" s="17">
        <f t="shared" si="117"/>
        <v>0.12373041659784303</v>
      </c>
      <c r="AT951" s="6">
        <v>7000</v>
      </c>
      <c r="AU951" s="6">
        <v>9590.58203125</v>
      </c>
      <c r="AV951" s="6">
        <f t="shared" si="118"/>
        <v>2590.58203125</v>
      </c>
      <c r="AW951" s="7">
        <f t="shared" si="119"/>
        <v>0.37008314732142855</v>
      </c>
    </row>
    <row r="952" spans="1:49" x14ac:dyDescent="0.25">
      <c r="A952" t="s">
        <v>38</v>
      </c>
      <c r="B952" t="s">
        <v>229</v>
      </c>
      <c r="C952">
        <v>189068</v>
      </c>
      <c r="D952">
        <v>2017</v>
      </c>
      <c r="E952" t="s">
        <v>91</v>
      </c>
      <c r="F952" t="s">
        <v>341</v>
      </c>
      <c r="G952" t="s">
        <v>1229</v>
      </c>
      <c r="H952" t="s">
        <v>1093</v>
      </c>
      <c r="I952">
        <v>4</v>
      </c>
      <c r="J952" t="s">
        <v>74</v>
      </c>
      <c r="K952">
        <v>4</v>
      </c>
      <c r="L952" t="s">
        <v>44</v>
      </c>
      <c r="M952">
        <v>1.8</v>
      </c>
      <c r="N952" t="s">
        <v>45</v>
      </c>
      <c r="O952" t="s">
        <v>46</v>
      </c>
      <c r="P952">
        <v>3</v>
      </c>
      <c r="Q952" t="s">
        <v>84</v>
      </c>
      <c r="R952" t="s">
        <v>85</v>
      </c>
      <c r="S952" t="s">
        <v>102</v>
      </c>
      <c r="T952">
        <v>132</v>
      </c>
      <c r="U952" t="s">
        <v>50</v>
      </c>
      <c r="V952" t="s">
        <v>95</v>
      </c>
      <c r="W952" t="s">
        <v>343</v>
      </c>
      <c r="X952" t="s">
        <v>87</v>
      </c>
      <c r="Y952" t="s">
        <v>67</v>
      </c>
      <c r="Z952">
        <v>19400</v>
      </c>
      <c r="AA952">
        <v>0</v>
      </c>
      <c r="AB952" t="s">
        <v>54</v>
      </c>
      <c r="AC952" t="s">
        <v>89</v>
      </c>
      <c r="AD952">
        <v>34</v>
      </c>
      <c r="AE952">
        <v>8</v>
      </c>
      <c r="AF952">
        <v>3</v>
      </c>
      <c r="AG952">
        <v>2025</v>
      </c>
      <c r="AH952" s="13">
        <v>3600</v>
      </c>
      <c r="AI952" s="13">
        <v>2772.77294921875</v>
      </c>
      <c r="AJ952" s="13">
        <f t="shared" si="120"/>
        <v>827.22705078125</v>
      </c>
      <c r="AK952" s="14">
        <f t="shared" si="113"/>
        <v>0.22978529188368055</v>
      </c>
      <c r="AL952" s="9">
        <v>3600</v>
      </c>
      <c r="AM952" s="9">
        <v>3092.054644333185</v>
      </c>
      <c r="AN952" s="9">
        <f t="shared" si="114"/>
        <v>507.94535566681498</v>
      </c>
      <c r="AO952" s="10">
        <f t="shared" si="115"/>
        <v>0.14109593212967084</v>
      </c>
      <c r="AP952" s="16">
        <v>3600</v>
      </c>
      <c r="AQ952" s="16">
        <v>2664.097446537663</v>
      </c>
      <c r="AR952" s="16">
        <f t="shared" si="116"/>
        <v>935.90255346233698</v>
      </c>
      <c r="AS952" s="17">
        <f t="shared" si="117"/>
        <v>0.25997293151731582</v>
      </c>
      <c r="AT952" s="6">
        <v>3600</v>
      </c>
      <c r="AU952" s="6">
        <v>2768.346923828125</v>
      </c>
      <c r="AV952" s="6">
        <f t="shared" si="118"/>
        <v>831.653076171875</v>
      </c>
      <c r="AW952" s="7">
        <f t="shared" si="119"/>
        <v>0.23101474338107639</v>
      </c>
    </row>
    <row r="953" spans="1:49" x14ac:dyDescent="0.25">
      <c r="A953" t="s">
        <v>107</v>
      </c>
      <c r="B953" t="s">
        <v>108</v>
      </c>
      <c r="C953">
        <v>162465</v>
      </c>
      <c r="D953">
        <v>2016</v>
      </c>
      <c r="E953" t="s">
        <v>224</v>
      </c>
      <c r="F953" t="s">
        <v>1162</v>
      </c>
      <c r="G953" t="s">
        <v>1109</v>
      </c>
      <c r="H953" t="s">
        <v>1230</v>
      </c>
      <c r="I953">
        <v>6</v>
      </c>
      <c r="J953" t="s">
        <v>94</v>
      </c>
      <c r="K953">
        <v>4</v>
      </c>
      <c r="L953" t="s">
        <v>44</v>
      </c>
      <c r="M953">
        <v>3.5</v>
      </c>
      <c r="N953" t="s">
        <v>45</v>
      </c>
      <c r="O953" t="s">
        <v>46</v>
      </c>
      <c r="P953">
        <v>3</v>
      </c>
      <c r="Q953" t="s">
        <v>84</v>
      </c>
      <c r="R953" t="s">
        <v>85</v>
      </c>
      <c r="S953" t="s">
        <v>49</v>
      </c>
      <c r="T953">
        <v>268</v>
      </c>
      <c r="U953" t="s">
        <v>50</v>
      </c>
      <c r="V953" t="s">
        <v>64</v>
      </c>
      <c r="W953" t="s">
        <v>318</v>
      </c>
      <c r="X953" t="s">
        <v>87</v>
      </c>
      <c r="Y953" t="s">
        <v>67</v>
      </c>
      <c r="AA953">
        <v>0</v>
      </c>
      <c r="AB953" t="s">
        <v>54</v>
      </c>
      <c r="AC953" t="s">
        <v>89</v>
      </c>
      <c r="AD953">
        <v>34</v>
      </c>
      <c r="AE953">
        <v>8</v>
      </c>
      <c r="AF953">
        <v>3</v>
      </c>
      <c r="AG953">
        <v>2025</v>
      </c>
      <c r="AH953" s="13">
        <v>10000</v>
      </c>
      <c r="AI953" s="13">
        <v>7735.26513671875</v>
      </c>
      <c r="AJ953" s="13">
        <f t="shared" si="120"/>
        <v>2264.73486328125</v>
      </c>
      <c r="AK953" s="14">
        <f t="shared" si="113"/>
        <v>0.226473486328125</v>
      </c>
      <c r="AL953" s="9">
        <v>10000</v>
      </c>
      <c r="AM953" s="9">
        <v>6542.6286039148954</v>
      </c>
      <c r="AN953" s="9">
        <f t="shared" si="114"/>
        <v>3457.3713960851046</v>
      </c>
      <c r="AO953" s="10">
        <f t="shared" si="115"/>
        <v>0.34573713960851044</v>
      </c>
      <c r="AP953" s="16">
        <v>10000</v>
      </c>
      <c r="AQ953" s="16">
        <v>5998.8213011517573</v>
      </c>
      <c r="AR953" s="16">
        <f t="shared" si="116"/>
        <v>4001.1786988482427</v>
      </c>
      <c r="AS953" s="17">
        <f t="shared" si="117"/>
        <v>0.40011786988482428</v>
      </c>
      <c r="AT953" s="6">
        <v>10000</v>
      </c>
      <c r="AU953" s="6">
        <v>6054.93798828125</v>
      </c>
      <c r="AV953" s="6">
        <f t="shared" si="118"/>
        <v>3945.06201171875</v>
      </c>
      <c r="AW953" s="7">
        <f t="shared" si="119"/>
        <v>0.39450620117187502</v>
      </c>
    </row>
    <row r="954" spans="1:49" x14ac:dyDescent="0.25">
      <c r="A954" t="s">
        <v>69</v>
      </c>
      <c r="B954" t="s">
        <v>223</v>
      </c>
      <c r="C954">
        <v>128269</v>
      </c>
      <c r="D954">
        <v>2015</v>
      </c>
      <c r="E954" t="s">
        <v>58</v>
      </c>
      <c r="F954" t="s">
        <v>168</v>
      </c>
      <c r="I954">
        <v>8</v>
      </c>
      <c r="J954" t="s">
        <v>43</v>
      </c>
      <c r="K954">
        <v>4</v>
      </c>
      <c r="L954" t="s">
        <v>44</v>
      </c>
      <c r="M954">
        <v>5</v>
      </c>
      <c r="N954" t="s">
        <v>116</v>
      </c>
      <c r="O954" t="s">
        <v>46</v>
      </c>
      <c r="P954">
        <v>4</v>
      </c>
      <c r="Q954" t="s">
        <v>75</v>
      </c>
      <c r="R954" t="s">
        <v>76</v>
      </c>
      <c r="S954" t="s">
        <v>49</v>
      </c>
      <c r="U954" t="s">
        <v>50</v>
      </c>
      <c r="V954" t="s">
        <v>64</v>
      </c>
      <c r="X954" t="s">
        <v>66</v>
      </c>
      <c r="Y954" t="s">
        <v>67</v>
      </c>
      <c r="AA954">
        <v>0</v>
      </c>
      <c r="AB954" t="s">
        <v>54</v>
      </c>
      <c r="AC954" t="s">
        <v>78</v>
      </c>
      <c r="AD954">
        <v>34</v>
      </c>
      <c r="AE954">
        <v>8</v>
      </c>
      <c r="AF954">
        <v>3</v>
      </c>
      <c r="AG954">
        <v>2025</v>
      </c>
      <c r="AH954" s="13">
        <v>16000</v>
      </c>
      <c r="AI954" s="13">
        <v>14895.705078125</v>
      </c>
      <c r="AJ954" s="13">
        <f t="shared" si="120"/>
        <v>1104.294921875</v>
      </c>
      <c r="AK954" s="14">
        <f t="shared" si="113"/>
        <v>6.90184326171875E-2</v>
      </c>
      <c r="AL954" s="9">
        <v>16000</v>
      </c>
      <c r="AM954" s="9">
        <v>14506.234842435761</v>
      </c>
      <c r="AN954" s="9">
        <f t="shared" si="114"/>
        <v>1493.7651575642394</v>
      </c>
      <c r="AO954" s="10">
        <f t="shared" si="115"/>
        <v>9.3360322347764965E-2</v>
      </c>
      <c r="AP954" s="16">
        <v>16000</v>
      </c>
      <c r="AQ954" s="16">
        <v>13831.14753735723</v>
      </c>
      <c r="AR954" s="16">
        <f t="shared" si="116"/>
        <v>2168.8524626427698</v>
      </c>
      <c r="AS954" s="17">
        <f t="shared" si="117"/>
        <v>0.1355532789151731</v>
      </c>
      <c r="AT954" s="6">
        <v>16000</v>
      </c>
      <c r="AU954" s="6">
        <v>13270.5341796875</v>
      </c>
      <c r="AV954" s="6">
        <f t="shared" si="118"/>
        <v>2729.4658203125</v>
      </c>
      <c r="AW954" s="7">
        <f t="shared" si="119"/>
        <v>0.17059161376953125</v>
      </c>
    </row>
    <row r="955" spans="1:49" x14ac:dyDescent="0.25">
      <c r="A955" t="s">
        <v>38</v>
      </c>
      <c r="B955" t="s">
        <v>229</v>
      </c>
      <c r="C955">
        <v>145505</v>
      </c>
      <c r="D955">
        <v>2018</v>
      </c>
      <c r="E955" t="s">
        <v>58</v>
      </c>
      <c r="F955" t="s">
        <v>168</v>
      </c>
      <c r="I955">
        <v>8</v>
      </c>
      <c r="J955" t="s">
        <v>43</v>
      </c>
      <c r="K955">
        <v>4</v>
      </c>
      <c r="L955" t="s">
        <v>44</v>
      </c>
      <c r="M955">
        <v>5</v>
      </c>
      <c r="N955" t="s">
        <v>62</v>
      </c>
      <c r="O955" t="s">
        <v>46</v>
      </c>
      <c r="P955">
        <v>4</v>
      </c>
      <c r="Q955" t="s">
        <v>75</v>
      </c>
      <c r="R955" t="s">
        <v>76</v>
      </c>
      <c r="S955" t="s">
        <v>63</v>
      </c>
      <c r="T955">
        <v>395</v>
      </c>
      <c r="U955" t="s">
        <v>50</v>
      </c>
      <c r="V955" t="s">
        <v>64</v>
      </c>
      <c r="W955" t="s">
        <v>649</v>
      </c>
      <c r="X955" t="s">
        <v>66</v>
      </c>
      <c r="Y955" t="s">
        <v>67</v>
      </c>
      <c r="AA955">
        <v>0</v>
      </c>
      <c r="AB955" t="s">
        <v>54</v>
      </c>
      <c r="AC955" t="s">
        <v>78</v>
      </c>
      <c r="AD955">
        <v>34</v>
      </c>
      <c r="AE955">
        <v>8</v>
      </c>
      <c r="AF955">
        <v>3</v>
      </c>
      <c r="AG955">
        <v>2025</v>
      </c>
      <c r="AH955" s="13">
        <v>19500</v>
      </c>
      <c r="AI955" s="13">
        <v>13542.2724609375</v>
      </c>
      <c r="AJ955" s="13">
        <f t="shared" si="120"/>
        <v>5957.7275390625</v>
      </c>
      <c r="AK955" s="14">
        <f t="shared" si="113"/>
        <v>0.30552448918269232</v>
      </c>
      <c r="AL955" s="9">
        <v>19500</v>
      </c>
      <c r="AM955" s="9">
        <v>13738.81225552807</v>
      </c>
      <c r="AN955" s="9">
        <f t="shared" si="114"/>
        <v>5761.1877444719303</v>
      </c>
      <c r="AO955" s="10">
        <f t="shared" si="115"/>
        <v>0.29544552535753488</v>
      </c>
      <c r="AP955" s="16">
        <v>19500</v>
      </c>
      <c r="AQ955" s="16">
        <v>15686.13086426426</v>
      </c>
      <c r="AR955" s="16">
        <f t="shared" si="116"/>
        <v>3813.8691357357402</v>
      </c>
      <c r="AS955" s="17">
        <f t="shared" si="117"/>
        <v>0.19558303260183282</v>
      </c>
      <c r="AT955" s="6">
        <v>19500</v>
      </c>
      <c r="AU955" s="6">
        <v>13700.556640625</v>
      </c>
      <c r="AV955" s="6">
        <f t="shared" si="118"/>
        <v>5799.443359375</v>
      </c>
      <c r="AW955" s="7">
        <f t="shared" si="119"/>
        <v>0.29740735176282052</v>
      </c>
    </row>
    <row r="956" spans="1:49" x14ac:dyDescent="0.25">
      <c r="A956" t="s">
        <v>69</v>
      </c>
      <c r="B956" t="s">
        <v>70</v>
      </c>
      <c r="C956">
        <v>15094</v>
      </c>
      <c r="D956">
        <v>2024</v>
      </c>
      <c r="E956" t="s">
        <v>224</v>
      </c>
      <c r="F956" t="s">
        <v>225</v>
      </c>
      <c r="G956" t="s">
        <v>1109</v>
      </c>
      <c r="H956" t="s">
        <v>1211</v>
      </c>
      <c r="I956">
        <v>4</v>
      </c>
      <c r="J956" t="s">
        <v>177</v>
      </c>
      <c r="K956">
        <v>4</v>
      </c>
      <c r="L956" t="s">
        <v>44</v>
      </c>
      <c r="M956">
        <v>2.4</v>
      </c>
      <c r="N956" t="s">
        <v>45</v>
      </c>
      <c r="Q956" t="s">
        <v>47</v>
      </c>
      <c r="R956" t="s">
        <v>48</v>
      </c>
      <c r="S956" t="s">
        <v>49</v>
      </c>
      <c r="T956">
        <v>275</v>
      </c>
      <c r="U956" t="s">
        <v>50</v>
      </c>
      <c r="V956" t="s">
        <v>95</v>
      </c>
      <c r="W956" t="s">
        <v>503</v>
      </c>
      <c r="X956" t="s">
        <v>141</v>
      </c>
      <c r="Y956" t="s">
        <v>88</v>
      </c>
      <c r="AA956">
        <v>0</v>
      </c>
      <c r="AB956" t="s">
        <v>54</v>
      </c>
      <c r="AC956" t="s">
        <v>55</v>
      </c>
      <c r="AD956">
        <v>34</v>
      </c>
      <c r="AE956">
        <v>8</v>
      </c>
      <c r="AF956">
        <v>3</v>
      </c>
      <c r="AG956">
        <v>2025</v>
      </c>
      <c r="AH956" s="13">
        <v>47500</v>
      </c>
      <c r="AI956" s="13">
        <v>40616.16796875</v>
      </c>
      <c r="AJ956" s="13">
        <f t="shared" si="120"/>
        <v>6883.83203125</v>
      </c>
      <c r="AK956" s="14">
        <f t="shared" si="113"/>
        <v>0.14492277960526315</v>
      </c>
      <c r="AL956" s="9">
        <v>47500</v>
      </c>
      <c r="AM956" s="9">
        <v>41293.182727935418</v>
      </c>
      <c r="AN956" s="9">
        <f t="shared" si="114"/>
        <v>6206.8172720645816</v>
      </c>
      <c r="AO956" s="10">
        <f t="shared" si="115"/>
        <v>0.13066983730662277</v>
      </c>
      <c r="AP956" s="16">
        <v>47500</v>
      </c>
      <c r="AQ956" s="16">
        <v>43605.794467100182</v>
      </c>
      <c r="AR956" s="16">
        <f t="shared" si="116"/>
        <v>3894.2055328998176</v>
      </c>
      <c r="AS956" s="17">
        <f t="shared" si="117"/>
        <v>8.1983274376838264E-2</v>
      </c>
      <c r="AT956" s="6">
        <v>47500</v>
      </c>
      <c r="AU956" s="6">
        <v>41190.92578125</v>
      </c>
      <c r="AV956" s="6">
        <f t="shared" si="118"/>
        <v>6309.07421875</v>
      </c>
      <c r="AW956" s="7">
        <f t="shared" si="119"/>
        <v>0.13282261513157895</v>
      </c>
    </row>
    <row r="957" spans="1:49" x14ac:dyDescent="0.25">
      <c r="A957" t="s">
        <v>38</v>
      </c>
      <c r="B957" t="s">
        <v>289</v>
      </c>
      <c r="C957">
        <v>169191</v>
      </c>
      <c r="D957">
        <v>2015</v>
      </c>
      <c r="E957" t="s">
        <v>58</v>
      </c>
      <c r="F957" t="s">
        <v>1000</v>
      </c>
      <c r="G957" t="s">
        <v>268</v>
      </c>
      <c r="I957">
        <v>4</v>
      </c>
      <c r="J957" t="s">
        <v>101</v>
      </c>
      <c r="K957">
        <v>4</v>
      </c>
      <c r="L957" t="s">
        <v>44</v>
      </c>
      <c r="M957">
        <v>1.6</v>
      </c>
      <c r="N957" t="s">
        <v>45</v>
      </c>
      <c r="Q957" t="s">
        <v>84</v>
      </c>
      <c r="R957" t="s">
        <v>157</v>
      </c>
      <c r="T957">
        <v>120</v>
      </c>
      <c r="U957" t="s">
        <v>134</v>
      </c>
      <c r="V957" t="s">
        <v>95</v>
      </c>
      <c r="X957" t="s">
        <v>87</v>
      </c>
      <c r="Y957" t="s">
        <v>106</v>
      </c>
      <c r="AA957">
        <v>0</v>
      </c>
      <c r="AB957" t="s">
        <v>54</v>
      </c>
      <c r="AC957" t="s">
        <v>159</v>
      </c>
      <c r="AD957">
        <v>34</v>
      </c>
      <c r="AE957">
        <v>8</v>
      </c>
      <c r="AF957">
        <v>3</v>
      </c>
      <c r="AG957">
        <v>2025</v>
      </c>
      <c r="AH957" s="13">
        <v>1900</v>
      </c>
      <c r="AI957" s="13">
        <v>1416.857543945312</v>
      </c>
      <c r="AJ957" s="13">
        <f t="shared" si="120"/>
        <v>483.14245605468795</v>
      </c>
      <c r="AK957" s="14">
        <f t="shared" si="113"/>
        <v>0.25428550318667786</v>
      </c>
      <c r="AL957" s="9">
        <v>1900</v>
      </c>
      <c r="AM957" s="9">
        <v>983.96218110044731</v>
      </c>
      <c r="AN957" s="9">
        <f t="shared" si="114"/>
        <v>916.03781889955269</v>
      </c>
      <c r="AO957" s="10">
        <f t="shared" si="115"/>
        <v>0.48212516784186982</v>
      </c>
      <c r="AP957" s="16">
        <v>1900</v>
      </c>
      <c r="AQ957" s="16">
        <v>751.51561913566957</v>
      </c>
      <c r="AR957" s="16">
        <f t="shared" si="116"/>
        <v>1148.4843808643304</v>
      </c>
      <c r="AS957" s="17">
        <f t="shared" si="117"/>
        <v>0.60446546361280551</v>
      </c>
      <c r="AT957" s="6">
        <v>1900</v>
      </c>
      <c r="AU957" s="6">
        <v>918.46282958984375</v>
      </c>
      <c r="AV957" s="6">
        <f t="shared" si="118"/>
        <v>981.53717041015625</v>
      </c>
      <c r="AW957" s="7">
        <f t="shared" si="119"/>
        <v>0.51659851074218754</v>
      </c>
    </row>
    <row r="958" spans="1:49" x14ac:dyDescent="0.25">
      <c r="A958" t="s">
        <v>69</v>
      </c>
      <c r="B958" t="s">
        <v>112</v>
      </c>
      <c r="C958">
        <v>100133</v>
      </c>
      <c r="D958">
        <v>2015</v>
      </c>
      <c r="E958" t="s">
        <v>124</v>
      </c>
      <c r="F958" t="s">
        <v>321</v>
      </c>
      <c r="G958" t="s">
        <v>1231</v>
      </c>
      <c r="I958">
        <v>4</v>
      </c>
      <c r="J958" t="s">
        <v>127</v>
      </c>
      <c r="K958">
        <v>4</v>
      </c>
      <c r="L958" t="s">
        <v>44</v>
      </c>
      <c r="M958">
        <v>2.4</v>
      </c>
      <c r="N958" t="s">
        <v>45</v>
      </c>
      <c r="O958" t="s">
        <v>46</v>
      </c>
      <c r="P958">
        <v>4</v>
      </c>
      <c r="Q958" t="s">
        <v>84</v>
      </c>
      <c r="R958" t="s">
        <v>85</v>
      </c>
      <c r="U958" t="s">
        <v>50</v>
      </c>
      <c r="W958" t="s">
        <v>844</v>
      </c>
      <c r="X958" t="s">
        <v>87</v>
      </c>
      <c r="Y958" t="s">
        <v>67</v>
      </c>
      <c r="AA958">
        <v>0</v>
      </c>
      <c r="AB958" t="s">
        <v>54</v>
      </c>
      <c r="AC958" t="s">
        <v>89</v>
      </c>
      <c r="AD958">
        <v>34</v>
      </c>
      <c r="AE958">
        <v>8</v>
      </c>
      <c r="AF958">
        <v>3</v>
      </c>
      <c r="AG958">
        <v>2025</v>
      </c>
      <c r="AH958" s="13">
        <v>4500</v>
      </c>
      <c r="AI958" s="13">
        <v>5584.1455078125</v>
      </c>
      <c r="AJ958" s="13">
        <f t="shared" si="120"/>
        <v>1084.1455078125</v>
      </c>
      <c r="AK958" s="14">
        <f t="shared" si="113"/>
        <v>0.24092122395833335</v>
      </c>
      <c r="AL958" s="9">
        <v>4500</v>
      </c>
      <c r="AM958" s="9">
        <v>5426.0402341975323</v>
      </c>
      <c r="AN958" s="9">
        <f t="shared" si="114"/>
        <v>926.0402341975323</v>
      </c>
      <c r="AO958" s="10">
        <f t="shared" si="115"/>
        <v>0.20578671871056273</v>
      </c>
      <c r="AP958" s="16">
        <v>4500</v>
      </c>
      <c r="AQ958" s="16">
        <v>5164.8128793223068</v>
      </c>
      <c r="AR958" s="16">
        <f t="shared" si="116"/>
        <v>664.8128793223068</v>
      </c>
      <c r="AS958" s="17">
        <f t="shared" si="117"/>
        <v>0.14773619540495705</v>
      </c>
      <c r="AT958" s="6">
        <v>4500</v>
      </c>
      <c r="AU958" s="6">
        <v>5736.716796875</v>
      </c>
      <c r="AV958" s="6">
        <f t="shared" si="118"/>
        <v>1236.716796875</v>
      </c>
      <c r="AW958" s="7">
        <f t="shared" si="119"/>
        <v>0.27482595486111111</v>
      </c>
    </row>
    <row r="959" spans="1:49" x14ac:dyDescent="0.25">
      <c r="A959" t="s">
        <v>38</v>
      </c>
      <c r="B959" t="s">
        <v>229</v>
      </c>
      <c r="C959">
        <v>179712</v>
      </c>
      <c r="D959">
        <v>2007</v>
      </c>
      <c r="E959" t="s">
        <v>145</v>
      </c>
      <c r="F959" t="s">
        <v>307</v>
      </c>
      <c r="G959" t="s">
        <v>268</v>
      </c>
      <c r="I959">
        <v>6</v>
      </c>
      <c r="J959" t="s">
        <v>61</v>
      </c>
      <c r="K959">
        <v>4</v>
      </c>
      <c r="L959" t="s">
        <v>44</v>
      </c>
      <c r="M959">
        <v>3</v>
      </c>
      <c r="N959" t="s">
        <v>45</v>
      </c>
      <c r="O959" t="s">
        <v>46</v>
      </c>
      <c r="Q959" t="s">
        <v>84</v>
      </c>
      <c r="R959" t="s">
        <v>85</v>
      </c>
      <c r="T959">
        <v>244</v>
      </c>
      <c r="U959" t="s">
        <v>50</v>
      </c>
      <c r="V959" t="s">
        <v>64</v>
      </c>
      <c r="W959" t="s">
        <v>1232</v>
      </c>
      <c r="X959" t="s">
        <v>52</v>
      </c>
      <c r="Y959" t="s">
        <v>67</v>
      </c>
      <c r="AA959">
        <v>0</v>
      </c>
      <c r="AB959" t="s">
        <v>54</v>
      </c>
      <c r="AC959" t="s">
        <v>89</v>
      </c>
      <c r="AD959">
        <v>34</v>
      </c>
      <c r="AE959">
        <v>8</v>
      </c>
      <c r="AF959">
        <v>3</v>
      </c>
      <c r="AG959">
        <v>2025</v>
      </c>
      <c r="AH959" s="13">
        <v>1200</v>
      </c>
      <c r="AI959" s="13">
        <v>1485.726928710938</v>
      </c>
      <c r="AJ959" s="13">
        <f t="shared" si="120"/>
        <v>285.72692871093795</v>
      </c>
      <c r="AK959" s="14">
        <f t="shared" si="113"/>
        <v>0.23810577392578164</v>
      </c>
      <c r="AL959" s="9">
        <v>1200</v>
      </c>
      <c r="AM959" s="9">
        <v>1487.0100749606729</v>
      </c>
      <c r="AN959" s="9">
        <f t="shared" si="114"/>
        <v>287.01007496067291</v>
      </c>
      <c r="AO959" s="10">
        <f t="shared" si="115"/>
        <v>0.23917506246722742</v>
      </c>
      <c r="AP959" s="16">
        <v>1200</v>
      </c>
      <c r="AQ959" s="16">
        <v>1585.7406516665301</v>
      </c>
      <c r="AR959" s="16">
        <f t="shared" si="116"/>
        <v>385.74065166653008</v>
      </c>
      <c r="AS959" s="17">
        <f t="shared" si="117"/>
        <v>0.32145054305544174</v>
      </c>
      <c r="AT959" s="6">
        <v>1200</v>
      </c>
      <c r="AU959" s="6">
        <v>1392.333374023438</v>
      </c>
      <c r="AV959" s="6">
        <f t="shared" si="118"/>
        <v>192.33337402343795</v>
      </c>
      <c r="AW959" s="7">
        <f t="shared" si="119"/>
        <v>0.16027781168619828</v>
      </c>
    </row>
    <row r="960" spans="1:49" x14ac:dyDescent="0.25">
      <c r="A960" t="s">
        <v>107</v>
      </c>
      <c r="B960" t="s">
        <v>108</v>
      </c>
      <c r="C960">
        <v>49074</v>
      </c>
      <c r="D960">
        <v>2020</v>
      </c>
      <c r="E960" t="s">
        <v>91</v>
      </c>
      <c r="F960" t="s">
        <v>723</v>
      </c>
      <c r="G960" t="s">
        <v>1233</v>
      </c>
      <c r="H960" t="s">
        <v>1234</v>
      </c>
      <c r="I960">
        <v>6</v>
      </c>
      <c r="J960" t="s">
        <v>74</v>
      </c>
      <c r="K960">
        <v>4</v>
      </c>
      <c r="L960" t="s">
        <v>44</v>
      </c>
      <c r="M960">
        <v>3.5</v>
      </c>
      <c r="N960" t="s">
        <v>45</v>
      </c>
      <c r="O960" t="s">
        <v>46</v>
      </c>
      <c r="P960">
        <v>4</v>
      </c>
      <c r="Q960" t="s">
        <v>47</v>
      </c>
      <c r="R960" t="s">
        <v>365</v>
      </c>
      <c r="S960" t="s">
        <v>49</v>
      </c>
      <c r="T960">
        <v>296</v>
      </c>
      <c r="U960" t="s">
        <v>50</v>
      </c>
      <c r="V960" t="s">
        <v>64</v>
      </c>
      <c r="W960" t="s">
        <v>228</v>
      </c>
      <c r="X960" t="s">
        <v>141</v>
      </c>
      <c r="Y960" t="s">
        <v>67</v>
      </c>
      <c r="AA960">
        <v>0</v>
      </c>
      <c r="AB960" t="s">
        <v>54</v>
      </c>
      <c r="AC960" t="s">
        <v>365</v>
      </c>
      <c r="AD960">
        <v>34</v>
      </c>
      <c r="AE960">
        <v>8</v>
      </c>
      <c r="AF960">
        <v>3</v>
      </c>
      <c r="AG960">
        <v>2025</v>
      </c>
      <c r="AH960" s="13">
        <v>26600</v>
      </c>
      <c r="AI960" s="13">
        <v>25300.728515625</v>
      </c>
      <c r="AJ960" s="13">
        <f t="shared" si="120"/>
        <v>1299.271484375</v>
      </c>
      <c r="AK960" s="14">
        <f t="shared" si="113"/>
        <v>4.8844792645676691E-2</v>
      </c>
      <c r="AL960" s="9">
        <v>26600</v>
      </c>
      <c r="AM960" s="9">
        <v>24630.675430503699</v>
      </c>
      <c r="AN960" s="9">
        <f t="shared" si="114"/>
        <v>1969.3245694963007</v>
      </c>
      <c r="AO960" s="10">
        <f t="shared" si="115"/>
        <v>7.4034758251740621E-2</v>
      </c>
      <c r="AP960" s="16">
        <v>26600</v>
      </c>
      <c r="AQ960" s="16">
        <v>22961.88217479692</v>
      </c>
      <c r="AR960" s="16">
        <f t="shared" si="116"/>
        <v>3638.1178252030804</v>
      </c>
      <c r="AS960" s="17">
        <f t="shared" si="117"/>
        <v>0.13677134681214589</v>
      </c>
      <c r="AT960" s="6">
        <v>26600</v>
      </c>
      <c r="AU960" s="6">
        <v>22581.099609375</v>
      </c>
      <c r="AV960" s="6">
        <f t="shared" si="118"/>
        <v>4018.900390625</v>
      </c>
      <c r="AW960" s="7">
        <f t="shared" si="119"/>
        <v>0.15108648085056392</v>
      </c>
    </row>
    <row r="961" spans="1:49" x14ac:dyDescent="0.25">
      <c r="A961" t="s">
        <v>69</v>
      </c>
      <c r="B961" t="s">
        <v>70</v>
      </c>
      <c r="C961">
        <v>105855</v>
      </c>
      <c r="D961">
        <v>2021</v>
      </c>
      <c r="E961" t="s">
        <v>91</v>
      </c>
      <c r="F961" t="s">
        <v>341</v>
      </c>
      <c r="G961" t="s">
        <v>1235</v>
      </c>
      <c r="H961" t="s">
        <v>1236</v>
      </c>
      <c r="I961">
        <v>4</v>
      </c>
      <c r="J961" t="s">
        <v>94</v>
      </c>
      <c r="K961">
        <v>4</v>
      </c>
      <c r="L961" t="s">
        <v>44</v>
      </c>
      <c r="M961">
        <v>1.8</v>
      </c>
      <c r="N961" t="s">
        <v>45</v>
      </c>
      <c r="O961" t="s">
        <v>46</v>
      </c>
      <c r="P961">
        <v>2</v>
      </c>
      <c r="Q961" t="s">
        <v>84</v>
      </c>
      <c r="R961" t="s">
        <v>85</v>
      </c>
      <c r="S961" t="s">
        <v>49</v>
      </c>
      <c r="T961">
        <v>139</v>
      </c>
      <c r="U961" t="s">
        <v>50</v>
      </c>
      <c r="V961" t="s">
        <v>95</v>
      </c>
      <c r="W961" t="s">
        <v>861</v>
      </c>
      <c r="X961" t="s">
        <v>87</v>
      </c>
      <c r="Y961" t="s">
        <v>97</v>
      </c>
      <c r="AA961">
        <v>0</v>
      </c>
      <c r="AB961" t="s">
        <v>54</v>
      </c>
      <c r="AC961" t="s">
        <v>89</v>
      </c>
      <c r="AD961">
        <v>34</v>
      </c>
      <c r="AE961">
        <v>8</v>
      </c>
      <c r="AF961">
        <v>3</v>
      </c>
      <c r="AG961">
        <v>2025</v>
      </c>
      <c r="AH961" s="13">
        <v>8400</v>
      </c>
      <c r="AI961" s="13">
        <v>6675.9814453125</v>
      </c>
      <c r="AJ961" s="13">
        <f t="shared" si="120"/>
        <v>1724.0185546875</v>
      </c>
      <c r="AK961" s="14">
        <f t="shared" si="113"/>
        <v>0.20524030412946428</v>
      </c>
      <c r="AL961" s="9">
        <v>8400</v>
      </c>
      <c r="AM961" s="9">
        <v>7688.0419455192396</v>
      </c>
      <c r="AN961" s="9">
        <f t="shared" si="114"/>
        <v>711.95805448076044</v>
      </c>
      <c r="AO961" s="10">
        <f t="shared" si="115"/>
        <v>8.4756911247709579E-2</v>
      </c>
      <c r="AP961" s="16">
        <v>8400</v>
      </c>
      <c r="AQ961" s="16">
        <v>8305.3936377643186</v>
      </c>
      <c r="AR961" s="16">
        <f t="shared" si="116"/>
        <v>94.606362235681445</v>
      </c>
      <c r="AS961" s="17">
        <f t="shared" si="117"/>
        <v>1.1262662170914458E-2</v>
      </c>
      <c r="AT961" s="6">
        <v>8400</v>
      </c>
      <c r="AU961" s="6">
        <v>7346.42626953125</v>
      </c>
      <c r="AV961" s="6">
        <f t="shared" si="118"/>
        <v>1053.57373046875</v>
      </c>
      <c r="AW961" s="7">
        <f t="shared" si="119"/>
        <v>0.12542544410342263</v>
      </c>
    </row>
    <row r="962" spans="1:49" x14ac:dyDescent="0.25">
      <c r="A962" t="s">
        <v>56</v>
      </c>
      <c r="B962" t="s">
        <v>178</v>
      </c>
      <c r="C962">
        <v>198100</v>
      </c>
      <c r="D962">
        <v>2015</v>
      </c>
      <c r="E962" t="s">
        <v>98</v>
      </c>
      <c r="F962" t="s">
        <v>1182</v>
      </c>
      <c r="H962" t="s">
        <v>1237</v>
      </c>
      <c r="I962">
        <v>8</v>
      </c>
      <c r="J962" t="s">
        <v>43</v>
      </c>
      <c r="K962">
        <v>2</v>
      </c>
      <c r="L962" t="s">
        <v>44</v>
      </c>
      <c r="M962">
        <v>6</v>
      </c>
      <c r="N962" t="s">
        <v>116</v>
      </c>
      <c r="O962" t="s">
        <v>46</v>
      </c>
      <c r="P962">
        <v>3</v>
      </c>
      <c r="Q962" t="s">
        <v>455</v>
      </c>
      <c r="R962" t="s">
        <v>456</v>
      </c>
      <c r="S962" t="s">
        <v>117</v>
      </c>
      <c r="U962" t="s">
        <v>50</v>
      </c>
      <c r="W962" t="s">
        <v>898</v>
      </c>
      <c r="X962" t="s">
        <v>301</v>
      </c>
      <c r="Y962" t="s">
        <v>67</v>
      </c>
      <c r="AA962">
        <v>0</v>
      </c>
      <c r="AB962" t="s">
        <v>54</v>
      </c>
      <c r="AC962" t="s">
        <v>673</v>
      </c>
      <c r="AD962">
        <v>34</v>
      </c>
      <c r="AE962">
        <v>8</v>
      </c>
      <c r="AF962">
        <v>3</v>
      </c>
      <c r="AG962">
        <v>2025</v>
      </c>
      <c r="AH962" s="13">
        <v>7400</v>
      </c>
      <c r="AI962" s="13">
        <v>4586.49951171875</v>
      </c>
      <c r="AJ962" s="13">
        <f t="shared" si="120"/>
        <v>2813.50048828125</v>
      </c>
      <c r="AK962" s="14">
        <f t="shared" si="113"/>
        <v>0.38020276868665542</v>
      </c>
      <c r="AL962" s="9">
        <v>7400</v>
      </c>
      <c r="AM962" s="9">
        <v>5127.9877819579788</v>
      </c>
      <c r="AN962" s="9">
        <f t="shared" si="114"/>
        <v>2272.0122180420212</v>
      </c>
      <c r="AO962" s="10">
        <f t="shared" si="115"/>
        <v>0.30702867811378665</v>
      </c>
      <c r="AP962" s="16">
        <v>7400</v>
      </c>
      <c r="AQ962" s="16">
        <v>4344.6889427139813</v>
      </c>
      <c r="AR962" s="16">
        <f t="shared" si="116"/>
        <v>3055.3110572860187</v>
      </c>
      <c r="AS962" s="17">
        <f t="shared" si="117"/>
        <v>0.41287987260621872</v>
      </c>
      <c r="AT962" s="6">
        <v>7400</v>
      </c>
      <c r="AU962" s="6">
        <v>5843.447265625</v>
      </c>
      <c r="AV962" s="6">
        <f t="shared" si="118"/>
        <v>1556.552734375</v>
      </c>
      <c r="AW962" s="7">
        <f t="shared" si="119"/>
        <v>0.21034496410472972</v>
      </c>
    </row>
    <row r="963" spans="1:49" x14ac:dyDescent="0.25">
      <c r="AK963"/>
      <c r="AL963"/>
    </row>
    <row r="964" spans="1:49" x14ac:dyDescent="0.25">
      <c r="AK964"/>
      <c r="AL964"/>
    </row>
    <row r="965" spans="1:49" x14ac:dyDescent="0.25">
      <c r="AH965" t="s">
        <v>1238</v>
      </c>
      <c r="AI965" s="3">
        <f>RSQ(AI2:AI962,$AH$2:$AH$962)</f>
        <v>0.91792578709763017</v>
      </c>
      <c r="AJ965" s="3"/>
      <c r="AK965" s="3"/>
      <c r="AL965" s="3"/>
      <c r="AM965" s="3">
        <f>RSQ(AM2:AM962,$AH$2:$AH$962)</f>
        <v>0.9022031675740646</v>
      </c>
      <c r="AN965" s="3"/>
      <c r="AO965" s="3"/>
      <c r="AP965" s="3"/>
      <c r="AQ965" s="3">
        <f>RSQ(AQ2:AQ962,$AH$2:$AH$962)</f>
        <v>0.91711996010388785</v>
      </c>
      <c r="AR965" s="3"/>
      <c r="AS965" s="3"/>
      <c r="AT965" s="3"/>
      <c r="AU965" s="3">
        <f>RSQ(AU2:AU962,$AH$2:$AH$962)</f>
        <v>0.9317287485867326</v>
      </c>
    </row>
    <row r="966" spans="1:49" x14ac:dyDescent="0.25">
      <c r="AK966"/>
      <c r="AL966"/>
    </row>
    <row r="967" spans="1:49" x14ac:dyDescent="0.25">
      <c r="AG967" t="s">
        <v>1239</v>
      </c>
      <c r="AH967" s="2">
        <f>SUM(AH2:AH962)</f>
        <v>9887675</v>
      </c>
      <c r="AI967" s="2">
        <f>SUM(AI2:AI962)</f>
        <v>10287434.652038574</v>
      </c>
      <c r="AJ967" s="2">
        <f>SUM(AJ2:AJ962)</f>
        <v>1950395.5538330078</v>
      </c>
      <c r="AK967" s="4">
        <f>($AH967-AI967)/$AH967</f>
        <v>-4.0430096260098983E-2</v>
      </c>
      <c r="AL967" s="2">
        <f>SUM(AL2:AL962)</f>
        <v>9887675</v>
      </c>
      <c r="AM967" s="2">
        <f>SUM(AM2:AM962)</f>
        <v>10092772.442779243</v>
      </c>
      <c r="AN967" s="2">
        <f>SUM(AN2:AN962)</f>
        <v>1874552.4018278294</v>
      </c>
      <c r="AO967" s="4">
        <f>($AH967-AM967)/$AH967</f>
        <v>-2.0742737072086511E-2</v>
      </c>
      <c r="AP967" s="2">
        <f>SUM(AP2:AP962)</f>
        <v>9887675</v>
      </c>
      <c r="AQ967" s="2">
        <f>SUM(AQ2:AQ962)</f>
        <v>9673776.756531395</v>
      </c>
      <c r="AR967" s="2">
        <f>SUM(AR2:AR962)</f>
        <v>1766746.4082567745</v>
      </c>
      <c r="AS967" s="4">
        <f>($AH967-AQ967)/$AH967</f>
        <v>2.1632814940681706E-2</v>
      </c>
      <c r="AT967" s="2">
        <f>SUM(AT2:AT962)</f>
        <v>9887675</v>
      </c>
      <c r="AU967" s="2">
        <f>SUM(AU2:AU962)</f>
        <v>9867981.2605285645</v>
      </c>
      <c r="AV967" s="2">
        <f>SUM(AV2:AV962)</f>
        <v>1718784.183807373</v>
      </c>
      <c r="AW967" s="4">
        <f>($AH967-AU967)/$AH967</f>
        <v>1.9917462367478244E-3</v>
      </c>
    </row>
    <row r="968" spans="1:49" x14ac:dyDescent="0.25">
      <c r="AQ968" s="18">
        <f>AQ967*AS967</f>
        <v>209271.02235151178</v>
      </c>
    </row>
    <row r="969" spans="1:49" x14ac:dyDescent="0.25">
      <c r="AG969" t="s">
        <v>1240</v>
      </c>
      <c r="AH969" s="2">
        <f>AVERAGE(AH2:AH962)</f>
        <v>10288.943808532778</v>
      </c>
      <c r="AI969" s="2">
        <f>AVERAGE(AI2:AI962)</f>
        <v>10704.926797126507</v>
      </c>
      <c r="AJ969" s="2">
        <f>AVERAGE(AJ2:AJ962)</f>
        <v>2029.547922823109</v>
      </c>
      <c r="AK969" s="3"/>
      <c r="AL969" s="3"/>
      <c r="AM969" s="2">
        <f t="shared" ref="AM969:AV969" si="121">AVERAGE(AM2:AM962)</f>
        <v>10502.364664702645</v>
      </c>
      <c r="AN969" s="2">
        <f t="shared" si="121"/>
        <v>1950.626848936347</v>
      </c>
      <c r="AO969" s="3">
        <f>AVERAGE(AO2:AO962)</f>
        <v>0.33600095557932524</v>
      </c>
      <c r="AP969" s="3"/>
      <c r="AQ969" s="2">
        <f t="shared" si="121"/>
        <v>10066.364991187716</v>
      </c>
      <c r="AR969" s="2">
        <f t="shared" si="121"/>
        <v>1838.4457942318154</v>
      </c>
      <c r="AS969" s="3">
        <f>AVERAGE(AS2:AS962)</f>
        <v>0.29783505033764412</v>
      </c>
      <c r="AT969" s="3"/>
      <c r="AU969" s="2">
        <f t="shared" si="121"/>
        <v>10268.450843422024</v>
      </c>
      <c r="AV969" s="2">
        <f t="shared" si="121"/>
        <v>1788.537131953562</v>
      </c>
      <c r="AW969" s="3">
        <f>AVERAGE(AW2:AW962)</f>
        <v>0.31651090306957658</v>
      </c>
    </row>
    <row r="971" spans="1:49" x14ac:dyDescent="0.25">
      <c r="AG971" t="s">
        <v>1241</v>
      </c>
      <c r="AI971" t="s">
        <v>1242</v>
      </c>
      <c r="AJ971" s="2">
        <f>_xlfn.STDEV.S(AJ2:AJ962)</f>
        <v>2648.6275326944192</v>
      </c>
      <c r="AK971" s="2"/>
      <c r="AL971" s="2"/>
      <c r="AM971" s="2" t="s">
        <v>1243</v>
      </c>
      <c r="AN971" s="2">
        <f>_xlfn.STDEV.S(AN2:AN962)</f>
        <v>2892.887952429192</v>
      </c>
      <c r="AO971" s="2"/>
      <c r="AP971" s="2"/>
      <c r="AQ971" s="2" t="s">
        <v>1244</v>
      </c>
      <c r="AR971" s="2">
        <f>_xlfn.STDEV.S(AR2:AR962)</f>
        <v>2635.4406804016335</v>
      </c>
      <c r="AS971" s="2"/>
      <c r="AT971" s="2"/>
      <c r="AU971" s="2" t="s">
        <v>1245</v>
      </c>
      <c r="AV971" s="2">
        <f>_xlfn.STDEV.S(AV2:AV962)</f>
        <v>2282.2832217814093</v>
      </c>
    </row>
    <row r="973" spans="1:49" x14ac:dyDescent="0.25">
      <c r="AG973" t="s">
        <v>1247</v>
      </c>
      <c r="AH973" s="19" t="s">
        <v>1248</v>
      </c>
      <c r="AI973" s="19"/>
      <c r="AJ973" s="2">
        <f>AVERAGE(AJ2:AJ962)</f>
        <v>2029.547922823109</v>
      </c>
      <c r="AL973" s="2"/>
      <c r="AM973" s="2"/>
      <c r="AN973" s="2">
        <f>AVERAGE(AN2:AN962)</f>
        <v>1950.626848936347</v>
      </c>
      <c r="AP973" s="2"/>
      <c r="AQ973" s="2"/>
      <c r="AR973" s="2">
        <f>AVERAGE(AR2:AR962)</f>
        <v>1838.4457942318154</v>
      </c>
      <c r="AT973" s="2"/>
      <c r="AU973" s="2"/>
      <c r="AV973" s="2">
        <f>AVERAGE(AV2:AV962)</f>
        <v>1788.537131953562</v>
      </c>
    </row>
    <row r="974" spans="1:49" x14ac:dyDescent="0.25">
      <c r="AH974" s="19"/>
      <c r="AI974" s="19"/>
    </row>
    <row r="975" spans="1:49" x14ac:dyDescent="0.25">
      <c r="AG975" t="s">
        <v>1246</v>
      </c>
      <c r="AH975" s="19" t="s">
        <v>1249</v>
      </c>
      <c r="AI975" s="19"/>
      <c r="AJ975" s="2" cm="1">
        <f t="array" ref="AJ975">SQRT(AVERAGE((AH2:AH962-AI2:AI962)^2))</f>
        <v>3335.7147139863996</v>
      </c>
      <c r="AK975" s="2"/>
      <c r="AL975" s="2"/>
      <c r="AM975" s="2"/>
      <c r="AN975" s="2" cm="1">
        <f t="array" ref="AN975">SQRT(AVERAGE((AL2:AL962-AM2:AM962)^2))</f>
        <v>3487.8413638878833</v>
      </c>
      <c r="AO975" s="2"/>
      <c r="AP975" s="2"/>
      <c r="AQ975" s="2"/>
      <c r="AR975" s="2" cm="1">
        <f t="array" ref="AR975">SQRT(AVERAGE((AP2:AP962-AQ2:AQ962)^2))</f>
        <v>3212.1959936168178</v>
      </c>
      <c r="AS975" s="2"/>
      <c r="AT975" s="2"/>
      <c r="AU975" s="2"/>
      <c r="AV975" s="2" cm="1">
        <f t="array" ref="AV975">SQRT(AVERAGE((AT2:AT962-AU2:AU962)^2))</f>
        <v>2898.6654812369047</v>
      </c>
    </row>
    <row r="976" spans="1:49" x14ac:dyDescent="0.25">
      <c r="AH976" s="19"/>
      <c r="AI976" s="19"/>
    </row>
    <row r="977" spans="33:48" x14ac:dyDescent="0.25">
      <c r="AG977" t="s">
        <v>1252</v>
      </c>
      <c r="AJ977" s="3">
        <f>AJ973/$AH$969</f>
        <v>0.19725522469468382</v>
      </c>
      <c r="AN977" s="3">
        <f>AN973/$AH$969</f>
        <v>0.18958475089723614</v>
      </c>
      <c r="AR977" s="3">
        <f>AR973/$AH$969</f>
        <v>0.17868168282804345</v>
      </c>
      <c r="AV977" s="3">
        <f>AV973/$AH$969</f>
        <v>0.17383097480523713</v>
      </c>
    </row>
    <row r="978" spans="33:48" x14ac:dyDescent="0.25">
      <c r="AG978" s="20" t="s">
        <v>1253</v>
      </c>
    </row>
    <row r="979" spans="33:48" x14ac:dyDescent="0.25">
      <c r="AG979" s="20"/>
    </row>
  </sheetData>
  <mergeCells count="3">
    <mergeCell ref="AH973:AI974"/>
    <mergeCell ref="AH975:AI976"/>
    <mergeCell ref="AG978:AG97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45A2-A18B-433C-892B-8164E06E15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6A4FF1-2EC1-423A-BFA8-A2FBEAE52D04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2.xml><?xml version="1.0" encoding="utf-8"?>
<ds:datastoreItem xmlns:ds="http://schemas.openxmlformats.org/officeDocument/2006/customXml" ds:itemID="{23241EA8-9E51-4D8C-B785-421242D37D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B65D0A-398D-41F4-84AF-0411470F81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2025-08-26T18:49:27Z</dcterms:created>
  <dcterms:modified xsi:type="dcterms:W3CDTF">2025-09-10T19:01:21Z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